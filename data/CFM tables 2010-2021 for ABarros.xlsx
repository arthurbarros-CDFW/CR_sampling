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cdfw-my.sharepoint.com/personal/arthur_barros_wildlife_ca_gov/Documents/Analysis/Cohort Reconstruction/R work/data/"/>
    </mc:Choice>
  </mc:AlternateContent>
  <xr:revisionPtr revIDLastSave="2" documentId="13_ncr:1_{2CA7CAD2-35CF-48BA-A019-6DC355B782E5}" xr6:coauthVersionLast="47" xr6:coauthVersionMax="47" xr10:uidLastSave="{E08FA3B8-4491-443A-BFC1-3E120EE72C2E}"/>
  <bookViews>
    <workbookView xWindow="-108" yWindow="-108" windowWidth="23256" windowHeight="12456" firstSheet="2" activeTab="2" xr2:uid="{170DF380-9475-4B42-8CDB-EED37C53D24D}"/>
  </bookViews>
  <sheets>
    <sheet name="Table 6.Inland 2010 Tag Summary" sheetId="20" r:id="rId1"/>
    <sheet name="cv catch sample 2010" sheetId="28" r:id="rId2"/>
    <sheet name="Table 7 Inland 2011 Tag Summary" sheetId="25" r:id="rId3"/>
    <sheet name="2011 Table 9" sheetId="21" r:id="rId4"/>
    <sheet name="Table 7 Inland 2012 Tag Summary" sheetId="26" r:id="rId5"/>
    <sheet name="2012 table 9" sheetId="23" r:id="rId6"/>
    <sheet name="2013 Table 9 proportion " sheetId="18" r:id="rId7"/>
    <sheet name="2013 Table 11 CWTs exp" sheetId="27" r:id="rId8"/>
    <sheet name="2014 Table 9 proportion" sheetId="16" r:id="rId9"/>
    <sheet name="2014 Table 11 CWTs exp" sheetId="15" r:id="rId10"/>
    <sheet name="2015 Table 9 proportion " sheetId="14" r:id="rId11"/>
    <sheet name="2015 Table 11 CWTs exp" sheetId="13" r:id="rId12"/>
    <sheet name="2016 Table 9 proportion " sheetId="11" r:id="rId13"/>
    <sheet name="2016 Table 11 CWTs exp" sheetId="12" r:id="rId14"/>
    <sheet name="2017 Table 9 proportion " sheetId="10" r:id="rId15"/>
    <sheet name="2017 Table 10 CWTs exp" sheetId="9" r:id="rId16"/>
    <sheet name="2018 Table 9 proportion " sheetId="8" r:id="rId17"/>
    <sheet name="2018 Table 10 CWTs exp" sheetId="7" r:id="rId18"/>
    <sheet name="2019 Table 9 proportion " sheetId="5" r:id="rId19"/>
    <sheet name="2019 Table 10 CWTs exp" sheetId="6" r:id="rId20"/>
    <sheet name="2020 Table 9 proportion " sheetId="3" r:id="rId21"/>
    <sheet name="2020 Table 10 CWTs exp " sheetId="4" r:id="rId22"/>
    <sheet name="2021 Table 9 proportion " sheetId="2" r:id="rId23"/>
    <sheet name="2021 Table 10 CWTs exp" sheetId="1"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s>
  <definedNames>
    <definedName name="_xlnm.Print_Area" localSheetId="3">'2011 Table 9'!$A$1:$AD$49</definedName>
    <definedName name="_xlnm.Print_Area" localSheetId="5">'2012 table 9'!$A$1:$AA$52</definedName>
    <definedName name="_xlnm.Print_Area" localSheetId="7">'2013 Table 11 CWTs exp'!$E$1:$AA$56</definedName>
    <definedName name="_xlnm.Print_Area" localSheetId="6">'2013 Table 9 proportion '!$E$1:$AB$56</definedName>
    <definedName name="_xlnm.Print_Area" localSheetId="9">'2014 Table 11 CWTs exp'!$E$1:$AA$55</definedName>
    <definedName name="_xlnm.Print_Area" localSheetId="8">'2014 Table 9 proportion'!$E$1:$AB$56</definedName>
    <definedName name="_xlnm.Print_Area" localSheetId="11">'2015 Table 11 CWTs exp'!$E$2:$AA$58</definedName>
    <definedName name="_xlnm.Print_Area" localSheetId="10">'2015 Table 9 proportion '!$E$1:$AA$59</definedName>
    <definedName name="_xlnm.Print_Area" localSheetId="21">'2020 Table 10 CWTs exp '!$E$2:$Z$59</definedName>
    <definedName name="_xlnm.Print_Area" localSheetId="20">'2020 Table 9 proportion '!$E$2:$Z$61</definedName>
    <definedName name="_xlnm.Print_Area" localSheetId="1">'cv catch sample 2010'!$A$1:$O$39</definedName>
    <definedName name="_xlnm.Print_Area" localSheetId="0">'Table 6.Inland 2010 Tag Summary'!$A$1:$L$39</definedName>
    <definedName name="_xlnm.Print_Area" localSheetId="2">'Table 7 Inland 2011 Tag Summary'!$A$1:$L$46</definedName>
    <definedName name="_xlnm.Print_Area" localSheetId="4">'Table 7 Inland 2012 Tag Summary'!$A$1:$K$46</definedName>
    <definedName name="zoned" localSheetId="7">'2013 Table 11 CWTs exp'!#REF!</definedName>
    <definedName name="zoned" localSheetId="9">'2014 Table 11 CWTs exp'!#REF!</definedName>
    <definedName name="zoned" localSheetId="11">'2015 Table 11 CWTs exp'!#REF!</definedName>
    <definedName name="zoned" localSheetId="13">'2016 Table 11 CWTs exp'!#REF!</definedName>
    <definedName name="zoned" localSheetId="15">'2017 Table 10 CWTs exp'!#REF!</definedName>
    <definedName name="zoned" localSheetId="17">'2018 Table 10 CWTs exp'!#REF!</definedName>
    <definedName name="zoned" localSheetId="19">'2019 Table 10 CWTs exp'!#REF!</definedName>
    <definedName name="zoned" localSheetId="21">'2020 Table 10 CWTs exp '!#REF!</definedName>
    <definedName name="zoned" localSheetId="23">'2021 Table 10 CWTs exp'!#REF!</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8" i="27" l="1"/>
  <c r="Z8" i="27"/>
  <c r="Y9" i="27"/>
  <c r="Z9" i="27"/>
  <c r="I66" i="28"/>
  <c r="G62" i="28"/>
  <c r="H62" i="28" s="1"/>
  <c r="F62" i="28"/>
  <c r="K60" i="28"/>
  <c r="K59" i="28"/>
  <c r="K56" i="28"/>
  <c r="F56" i="28"/>
  <c r="F53" i="28"/>
  <c r="M47" i="28"/>
  <c r="M66" i="28" s="1"/>
  <c r="K47" i="28"/>
  <c r="K66" i="28" s="1"/>
  <c r="J47" i="28"/>
  <c r="I47" i="28"/>
  <c r="G47" i="28"/>
  <c r="G66" i="28" s="1"/>
  <c r="F47" i="28"/>
  <c r="F66" i="28" s="1"/>
  <c r="O46" i="28"/>
  <c r="M46" i="28"/>
  <c r="L46" i="28"/>
  <c r="N46" i="28" s="1"/>
  <c r="K46" i="28"/>
  <c r="I46" i="28"/>
  <c r="J46" i="28" s="1"/>
  <c r="G46" i="28"/>
  <c r="H46" i="28" s="1"/>
  <c r="F46" i="28"/>
  <c r="M45" i="28"/>
  <c r="K45" i="28"/>
  <c r="I45" i="28"/>
  <c r="J45" i="28" s="1"/>
  <c r="G45" i="28"/>
  <c r="H45" i="28" s="1"/>
  <c r="F45" i="28"/>
  <c r="L45" i="28" s="1"/>
  <c r="N45" i="28" s="1"/>
  <c r="M44" i="28"/>
  <c r="O44" i="28" s="1"/>
  <c r="L44" i="28"/>
  <c r="N44" i="28" s="1"/>
  <c r="K44" i="28"/>
  <c r="I44" i="28"/>
  <c r="J44" i="28" s="1"/>
  <c r="H44" i="28"/>
  <c r="G44" i="28"/>
  <c r="F44" i="28"/>
  <c r="M43" i="28"/>
  <c r="M48" i="28" s="1"/>
  <c r="L43" i="28"/>
  <c r="K43" i="28"/>
  <c r="K48" i="28" s="1"/>
  <c r="K65" i="28" s="1"/>
  <c r="I43" i="28"/>
  <c r="J43" i="28" s="1"/>
  <c r="H43" i="28"/>
  <c r="G43" i="28"/>
  <c r="G48" i="28" s="1"/>
  <c r="F43" i="28"/>
  <c r="F48" i="28" s="1"/>
  <c r="F65" i="28" s="1"/>
  <c r="F73" i="28" s="1"/>
  <c r="M38" i="28"/>
  <c r="M56" i="28" s="1"/>
  <c r="O56" i="28" s="1"/>
  <c r="L38" i="28"/>
  <c r="L56" i="28" s="1"/>
  <c r="N56" i="28" s="1"/>
  <c r="K38" i="28"/>
  <c r="I38" i="28"/>
  <c r="I56" i="28" s="1"/>
  <c r="G38" i="28"/>
  <c r="G56" i="28" s="1"/>
  <c r="H56" i="28" s="1"/>
  <c r="F38" i="28"/>
  <c r="O37" i="28"/>
  <c r="H37" i="28"/>
  <c r="M36" i="28"/>
  <c r="O36" i="28" s="1"/>
  <c r="L36" i="28"/>
  <c r="N36" i="28" s="1"/>
  <c r="K36" i="28"/>
  <c r="I36" i="28"/>
  <c r="J36" i="28" s="1"/>
  <c r="H36" i="28"/>
  <c r="G36" i="28"/>
  <c r="F36" i="28"/>
  <c r="M35" i="28"/>
  <c r="M57" i="28" s="1"/>
  <c r="O57" i="28" s="1"/>
  <c r="K35" i="28"/>
  <c r="K57" i="28" s="1"/>
  <c r="J35" i="28"/>
  <c r="I35" i="28"/>
  <c r="G35" i="28"/>
  <c r="G57" i="28" s="1"/>
  <c r="F35" i="28"/>
  <c r="F57" i="28" s="1"/>
  <c r="M34" i="28"/>
  <c r="M39" i="28" s="1"/>
  <c r="L34" i="28"/>
  <c r="N34" i="28" s="1"/>
  <c r="K34" i="28"/>
  <c r="I34" i="28"/>
  <c r="J34" i="28" s="1"/>
  <c r="G34" i="28"/>
  <c r="H34" i="28" s="1"/>
  <c r="F34" i="28"/>
  <c r="M33" i="28"/>
  <c r="M60" i="28" s="1"/>
  <c r="K33" i="28"/>
  <c r="I33" i="28"/>
  <c r="J33" i="28" s="1"/>
  <c r="G33" i="28"/>
  <c r="G60" i="28" s="1"/>
  <c r="F33" i="28"/>
  <c r="F60" i="28" s="1"/>
  <c r="M32" i="28"/>
  <c r="M59" i="28" s="1"/>
  <c r="K32" i="28"/>
  <c r="I32" i="28"/>
  <c r="I39" i="28" s="1"/>
  <c r="J39" i="28" s="1"/>
  <c r="G32" i="28"/>
  <c r="G39" i="28" s="1"/>
  <c r="F32" i="28"/>
  <c r="L32" i="28" s="1"/>
  <c r="M28" i="28"/>
  <c r="O28" i="28" s="1"/>
  <c r="K28" i="28"/>
  <c r="J28" i="28"/>
  <c r="I28" i="28"/>
  <c r="G28" i="28"/>
  <c r="H28" i="28" s="1"/>
  <c r="F28" i="28"/>
  <c r="L28" i="28" s="1"/>
  <c r="N28" i="28" s="1"/>
  <c r="M27" i="28"/>
  <c r="O27" i="28" s="1"/>
  <c r="L27" i="28"/>
  <c r="N27" i="28" s="1"/>
  <c r="K27" i="28"/>
  <c r="I27" i="28"/>
  <c r="J27" i="28" s="1"/>
  <c r="G27" i="28"/>
  <c r="H27" i="28" s="1"/>
  <c r="F27" i="28"/>
  <c r="M26" i="28"/>
  <c r="K26" i="28"/>
  <c r="I26" i="28"/>
  <c r="J26" i="28" s="1"/>
  <c r="G26" i="28"/>
  <c r="H26" i="28" s="1"/>
  <c r="F26" i="28"/>
  <c r="L26" i="28" s="1"/>
  <c r="N26" i="28" s="1"/>
  <c r="O25" i="28"/>
  <c r="M25" i="28"/>
  <c r="L25" i="28"/>
  <c r="N25" i="28" s="1"/>
  <c r="K25" i="28"/>
  <c r="I25" i="28"/>
  <c r="J25" i="28" s="1"/>
  <c r="H25" i="28"/>
  <c r="G25" i="28"/>
  <c r="F25" i="28"/>
  <c r="M24" i="28"/>
  <c r="M29" i="28" s="1"/>
  <c r="K24" i="28"/>
  <c r="K29" i="28" s="1"/>
  <c r="K63" i="28" s="1"/>
  <c r="K72" i="28" s="1"/>
  <c r="J24" i="28"/>
  <c r="I24" i="28"/>
  <c r="G24" i="28"/>
  <c r="G29" i="28" s="1"/>
  <c r="F24" i="28"/>
  <c r="F29" i="28" s="1"/>
  <c r="F63" i="28" s="1"/>
  <c r="M20" i="28"/>
  <c r="K20" i="28"/>
  <c r="I20" i="28"/>
  <c r="J20" i="28" s="1"/>
  <c r="G20" i="28"/>
  <c r="H20" i="28" s="1"/>
  <c r="F20" i="28"/>
  <c r="L20" i="28" s="1"/>
  <c r="N20" i="28" s="1"/>
  <c r="O19" i="28"/>
  <c r="M19" i="28"/>
  <c r="L19" i="28"/>
  <c r="N19" i="28" s="1"/>
  <c r="K19" i="28"/>
  <c r="I19" i="28"/>
  <c r="J19" i="28" s="1"/>
  <c r="H19" i="28"/>
  <c r="G19" i="28"/>
  <c r="F19" i="28"/>
  <c r="M18" i="28"/>
  <c r="O18" i="28" s="1"/>
  <c r="K18" i="28"/>
  <c r="J18" i="28"/>
  <c r="I18" i="28"/>
  <c r="G18" i="28"/>
  <c r="H18" i="28" s="1"/>
  <c r="F18" i="28"/>
  <c r="L18" i="28" s="1"/>
  <c r="N18" i="28" s="1"/>
  <c r="M17" i="28"/>
  <c r="O17" i="28" s="1"/>
  <c r="L17" i="28"/>
  <c r="N17" i="28" s="1"/>
  <c r="K17" i="28"/>
  <c r="G17" i="28"/>
  <c r="J17" i="28" s="1"/>
  <c r="F17" i="28"/>
  <c r="M16" i="28"/>
  <c r="O16" i="28" s="1"/>
  <c r="K16" i="28"/>
  <c r="I16" i="28"/>
  <c r="J16" i="28" s="1"/>
  <c r="G16" i="28"/>
  <c r="F16" i="28"/>
  <c r="L16" i="28" s="1"/>
  <c r="N16" i="28" s="1"/>
  <c r="O15" i="28"/>
  <c r="M15" i="28"/>
  <c r="K15" i="28"/>
  <c r="I15" i="28"/>
  <c r="G15" i="28"/>
  <c r="G21" i="28" s="1"/>
  <c r="F15" i="28"/>
  <c r="L15" i="28" s="1"/>
  <c r="N15" i="28" s="1"/>
  <c r="M14" i="28"/>
  <c r="O14" i="28" s="1"/>
  <c r="L14" i="28"/>
  <c r="N14" i="28" s="1"/>
  <c r="K14" i="28"/>
  <c r="I14" i="28"/>
  <c r="J14" i="28" s="1"/>
  <c r="H14" i="28"/>
  <c r="G14" i="28"/>
  <c r="F14" i="28"/>
  <c r="M13" i="28"/>
  <c r="L13" i="28"/>
  <c r="N13" i="28" s="1"/>
  <c r="K13" i="28"/>
  <c r="I13" i="28"/>
  <c r="G13" i="28"/>
  <c r="J13" i="28" s="1"/>
  <c r="F13" i="28"/>
  <c r="O13" i="28" s="1"/>
  <c r="M12" i="28"/>
  <c r="O12" i="28" s="1"/>
  <c r="K12" i="28"/>
  <c r="K21" i="28" s="1"/>
  <c r="K54" i="28" s="1"/>
  <c r="I12" i="28"/>
  <c r="I21" i="28" s="1"/>
  <c r="G12" i="28"/>
  <c r="F12" i="28"/>
  <c r="L12" i="28" s="1"/>
  <c r="M8" i="28"/>
  <c r="O8" i="28" s="1"/>
  <c r="L8" i="28"/>
  <c r="N8" i="28" s="1"/>
  <c r="K8" i="28"/>
  <c r="I8" i="28"/>
  <c r="I62" i="28" s="1"/>
  <c r="H8" i="28"/>
  <c r="G8" i="28"/>
  <c r="F8" i="28"/>
  <c r="M7" i="28"/>
  <c r="M62" i="28" s="1"/>
  <c r="L7" i="28"/>
  <c r="L62" i="28" s="1"/>
  <c r="K7" i="28"/>
  <c r="K62" i="28" s="1"/>
  <c r="K71" i="28" s="1"/>
  <c r="I7" i="28"/>
  <c r="G7" i="28"/>
  <c r="J7" i="28" s="1"/>
  <c r="F7" i="28"/>
  <c r="O7" i="28" s="1"/>
  <c r="M6" i="28"/>
  <c r="O6" i="28" s="1"/>
  <c r="K6" i="28"/>
  <c r="I6" i="28"/>
  <c r="J6" i="28" s="1"/>
  <c r="G6" i="28"/>
  <c r="F6" i="28"/>
  <c r="L6" i="28" s="1"/>
  <c r="N6" i="28" s="1"/>
  <c r="O5" i="28"/>
  <c r="M5" i="28"/>
  <c r="K5" i="28"/>
  <c r="K9" i="28" s="1"/>
  <c r="I5" i="28"/>
  <c r="G5" i="28"/>
  <c r="G9" i="28" s="1"/>
  <c r="F5" i="28"/>
  <c r="L5" i="28" s="1"/>
  <c r="N5" i="28" s="1"/>
  <c r="M4" i="28"/>
  <c r="M53" i="28" s="1"/>
  <c r="L4" i="28"/>
  <c r="L53" i="28" s="1"/>
  <c r="K4" i="28"/>
  <c r="K53" i="28" s="1"/>
  <c r="I4" i="28"/>
  <c r="I53" i="28" s="1"/>
  <c r="H4" i="28"/>
  <c r="G4" i="28"/>
  <c r="F4" i="28"/>
  <c r="F9" i="28" s="1"/>
  <c r="AK79" i="27"/>
  <c r="AI79" i="27"/>
  <c r="AJ79" i="27" s="1"/>
  <c r="AH79" i="27"/>
  <c r="AJ78" i="27"/>
  <c r="AJ77" i="27"/>
  <c r="AJ76" i="27"/>
  <c r="AJ75" i="27"/>
  <c r="AJ74" i="27"/>
  <c r="AJ73" i="27"/>
  <c r="AJ72" i="27"/>
  <c r="AJ71" i="27"/>
  <c r="AJ70" i="27"/>
  <c r="AJ69" i="27"/>
  <c r="AJ68" i="27"/>
  <c r="AJ67" i="27"/>
  <c r="AA67" i="27"/>
  <c r="Z67" i="27"/>
  <c r="Y67" i="27"/>
  <c r="X67" i="27"/>
  <c r="W67" i="27"/>
  <c r="V67" i="27"/>
  <c r="U67" i="27"/>
  <c r="T67" i="27"/>
  <c r="S67" i="27"/>
  <c r="R67" i="27"/>
  <c r="Q67" i="27"/>
  <c r="P67" i="27"/>
  <c r="O67" i="27"/>
  <c r="N67" i="27"/>
  <c r="M67" i="27"/>
  <c r="L67" i="27"/>
  <c r="K67" i="27"/>
  <c r="J67" i="27"/>
  <c r="I67" i="27"/>
  <c r="H67" i="27"/>
  <c r="G67" i="27"/>
  <c r="AJ66" i="27"/>
  <c r="AJ65" i="27"/>
  <c r="AJ64" i="27"/>
  <c r="AJ63" i="27"/>
  <c r="AB63" i="27"/>
  <c r="AJ62" i="27"/>
  <c r="AJ61" i="27"/>
  <c r="X50" i="27"/>
  <c r="W50" i="27"/>
  <c r="P50" i="27"/>
  <c r="O50" i="27"/>
  <c r="H50" i="27"/>
  <c r="G50" i="27"/>
  <c r="A50" i="27"/>
  <c r="V50" i="27" s="1"/>
  <c r="W49" i="27"/>
  <c r="V49" i="27"/>
  <c r="O49" i="27"/>
  <c r="N49" i="27"/>
  <c r="G49" i="27"/>
  <c r="F49" i="27"/>
  <c r="A49" i="27"/>
  <c r="U49" i="27" s="1"/>
  <c r="W48" i="27"/>
  <c r="V48" i="27"/>
  <c r="O48" i="27"/>
  <c r="N48" i="27"/>
  <c r="G48" i="27"/>
  <c r="F48" i="27"/>
  <c r="A48" i="27"/>
  <c r="U48" i="27" s="1"/>
  <c r="W47" i="27"/>
  <c r="V47" i="27"/>
  <c r="O47" i="27"/>
  <c r="N47" i="27"/>
  <c r="G47" i="27"/>
  <c r="F47" i="27"/>
  <c r="A47" i="27"/>
  <c r="U47" i="27" s="1"/>
  <c r="W46" i="27"/>
  <c r="V46" i="27"/>
  <c r="O46" i="27"/>
  <c r="N46" i="27"/>
  <c r="G46" i="27"/>
  <c r="F46" i="27"/>
  <c r="A46" i="27"/>
  <c r="U46" i="27" s="1"/>
  <c r="W45" i="27"/>
  <c r="W51" i="27" s="1"/>
  <c r="V45" i="27"/>
  <c r="O45" i="27"/>
  <c r="N45" i="27"/>
  <c r="G45" i="27"/>
  <c r="F45" i="27"/>
  <c r="A45" i="27"/>
  <c r="U45" i="27" s="1"/>
  <c r="U37" i="27"/>
  <c r="N37" i="27"/>
  <c r="M37" i="27"/>
  <c r="A37" i="27"/>
  <c r="V37" i="27" s="1"/>
  <c r="W36" i="27"/>
  <c r="V36" i="27"/>
  <c r="O36" i="27"/>
  <c r="N36" i="27"/>
  <c r="G36" i="27"/>
  <c r="F36" i="27"/>
  <c r="A36" i="27"/>
  <c r="U36" i="27" s="1"/>
  <c r="Y35" i="27"/>
  <c r="X35" i="27"/>
  <c r="W35" i="27"/>
  <c r="Q35" i="27"/>
  <c r="P35" i="27"/>
  <c r="O35" i="27"/>
  <c r="I35" i="27"/>
  <c r="H35" i="27"/>
  <c r="G35" i="27"/>
  <c r="F35" i="27"/>
  <c r="A35" i="27"/>
  <c r="V35" i="27" s="1"/>
  <c r="AA34" i="27"/>
  <c r="Z34" i="27"/>
  <c r="AH34" i="27" s="1"/>
  <c r="Y34" i="27"/>
  <c r="X34" i="27"/>
  <c r="W34" i="27"/>
  <c r="S34" i="27"/>
  <c r="R34" i="27"/>
  <c r="Q34" i="27"/>
  <c r="P34" i="27"/>
  <c r="O34" i="27"/>
  <c r="K34" i="27"/>
  <c r="J34" i="27"/>
  <c r="I34" i="27"/>
  <c r="H34" i="27"/>
  <c r="G34" i="27"/>
  <c r="F34" i="27"/>
  <c r="A34" i="27"/>
  <c r="V34" i="27" s="1"/>
  <c r="AC33" i="27"/>
  <c r="AG33" i="27" s="1"/>
  <c r="Z33" i="27"/>
  <c r="AH33" i="27" s="1"/>
  <c r="Q33" i="27"/>
  <c r="L33" i="27"/>
  <c r="F33" i="27"/>
  <c r="A33" i="27"/>
  <c r="AC32" i="27"/>
  <c r="AG32" i="27" s="1"/>
  <c r="N32" i="27"/>
  <c r="F32" i="27"/>
  <c r="A32" i="27"/>
  <c r="Q31" i="27"/>
  <c r="O31" i="27"/>
  <c r="F31" i="27"/>
  <c r="A31" i="27"/>
  <c r="Y31" i="27" s="1"/>
  <c r="AC30" i="27"/>
  <c r="AG30" i="27" s="1"/>
  <c r="AA30" i="27"/>
  <c r="Z30" i="27"/>
  <c r="AH30" i="27" s="1"/>
  <c r="Y30" i="27"/>
  <c r="X30" i="27"/>
  <c r="W30" i="27"/>
  <c r="V30" i="27"/>
  <c r="T30" i="27"/>
  <c r="S30" i="27"/>
  <c r="R30" i="27"/>
  <c r="Q30" i="27"/>
  <c r="P30" i="27"/>
  <c r="O30" i="27"/>
  <c r="N30" i="27"/>
  <c r="L30" i="27"/>
  <c r="K30" i="27"/>
  <c r="J30" i="27"/>
  <c r="I30" i="27"/>
  <c r="H30" i="27"/>
  <c r="G30" i="27"/>
  <c r="F30" i="27"/>
  <c r="A30" i="27"/>
  <c r="U30" i="27" s="1"/>
  <c r="AH29" i="27"/>
  <c r="AC29" i="27"/>
  <c r="AG29" i="27" s="1"/>
  <c r="Z29" i="27"/>
  <c r="V29" i="27"/>
  <c r="U29" i="27"/>
  <c r="T29" i="27"/>
  <c r="S29" i="27"/>
  <c r="Q29" i="27"/>
  <c r="M29" i="27"/>
  <c r="L29" i="27"/>
  <c r="K29" i="27"/>
  <c r="J29" i="27"/>
  <c r="H29" i="27"/>
  <c r="F29" i="27"/>
  <c r="A29" i="27"/>
  <c r="AG28" i="27"/>
  <c r="AC28" i="27"/>
  <c r="AA28" i="27"/>
  <c r="X28" i="27"/>
  <c r="V28" i="27"/>
  <c r="U28" i="27"/>
  <c r="T28" i="27"/>
  <c r="S28" i="27"/>
  <c r="R28" i="27"/>
  <c r="O28" i="27"/>
  <c r="M28" i="27"/>
  <c r="L28" i="27"/>
  <c r="K28" i="27"/>
  <c r="J28" i="27"/>
  <c r="H28" i="27"/>
  <c r="F28" i="27"/>
  <c r="A28" i="27"/>
  <c r="AC27" i="27"/>
  <c r="AG27" i="27" s="1"/>
  <c r="Y27" i="27"/>
  <c r="R27" i="27"/>
  <c r="P27" i="27"/>
  <c r="I27" i="27"/>
  <c r="G27" i="27"/>
  <c r="F27" i="27"/>
  <c r="A27" i="27"/>
  <c r="V27" i="27" s="1"/>
  <c r="AC26" i="27"/>
  <c r="AG26" i="27" s="1"/>
  <c r="AA26" i="27"/>
  <c r="Z26" i="27"/>
  <c r="AH26" i="27" s="1"/>
  <c r="Y26" i="27"/>
  <c r="X26" i="27"/>
  <c r="W26" i="27"/>
  <c r="V26" i="27"/>
  <c r="T26" i="27"/>
  <c r="S26" i="27"/>
  <c r="R26" i="27"/>
  <c r="Q26" i="27"/>
  <c r="P26" i="27"/>
  <c r="O26" i="27"/>
  <c r="N26" i="27"/>
  <c r="L26" i="27"/>
  <c r="K26" i="27"/>
  <c r="J26" i="27"/>
  <c r="I26" i="27"/>
  <c r="H26" i="27"/>
  <c r="G26" i="27"/>
  <c r="F26" i="27"/>
  <c r="A26" i="27"/>
  <c r="U26" i="27" s="1"/>
  <c r="Z25" i="27"/>
  <c r="AH25" i="27" s="1"/>
  <c r="X25" i="27"/>
  <c r="Q25" i="27"/>
  <c r="H25" i="27"/>
  <c r="F25" i="27"/>
  <c r="A25" i="27"/>
  <c r="X24" i="27"/>
  <c r="V24" i="27"/>
  <c r="O24" i="27"/>
  <c r="M24" i="27"/>
  <c r="F24" i="27"/>
  <c r="A24" i="27"/>
  <c r="U24" i="27" s="1"/>
  <c r="W23" i="27"/>
  <c r="U23" i="27"/>
  <c r="N23" i="27"/>
  <c r="L23" i="27"/>
  <c r="F23" i="27"/>
  <c r="A23" i="27"/>
  <c r="AC22" i="27"/>
  <c r="AG22" i="27" s="1"/>
  <c r="V22" i="27"/>
  <c r="T22" i="27"/>
  <c r="S22" i="27"/>
  <c r="L22" i="27"/>
  <c r="K22" i="27"/>
  <c r="J22" i="27"/>
  <c r="H22" i="27"/>
  <c r="F22" i="27"/>
  <c r="A22" i="27"/>
  <c r="A21" i="27"/>
  <c r="AC20" i="27"/>
  <c r="AG20" i="27" s="1"/>
  <c r="V20" i="27"/>
  <c r="T20" i="27"/>
  <c r="N20" i="27"/>
  <c r="L20" i="27"/>
  <c r="F20" i="27"/>
  <c r="A20" i="27"/>
  <c r="U20" i="27" s="1"/>
  <c r="AH19" i="27"/>
  <c r="AC19" i="27"/>
  <c r="AG19" i="27" s="1"/>
  <c r="Z19" i="27"/>
  <c r="Y19" i="27"/>
  <c r="X19" i="27"/>
  <c r="W19" i="27"/>
  <c r="V19" i="27"/>
  <c r="T19" i="27"/>
  <c r="R19" i="27"/>
  <c r="Q19" i="27"/>
  <c r="P19" i="27"/>
  <c r="O19" i="27"/>
  <c r="N19" i="27"/>
  <c r="L19" i="27"/>
  <c r="J19" i="27"/>
  <c r="I19" i="27"/>
  <c r="H19" i="27"/>
  <c r="G19" i="27"/>
  <c r="F19" i="27"/>
  <c r="A19" i="27"/>
  <c r="U19" i="27" s="1"/>
  <c r="V18" i="27"/>
  <c r="F18" i="27"/>
  <c r="A18" i="27"/>
  <c r="N18" i="27" s="1"/>
  <c r="F17" i="27"/>
  <c r="A17" i="27"/>
  <c r="T17" i="27" s="1"/>
  <c r="A14" i="27"/>
  <c r="M14" i="27" s="1"/>
  <c r="AA13" i="27"/>
  <c r="X13" i="27"/>
  <c r="W13" i="27"/>
  <c r="U13" i="27"/>
  <c r="S13" i="27"/>
  <c r="R13" i="27"/>
  <c r="Q13" i="27"/>
  <c r="P13" i="27"/>
  <c r="O13" i="27"/>
  <c r="M13" i="27"/>
  <c r="K13" i="27"/>
  <c r="J13" i="27"/>
  <c r="I13" i="27"/>
  <c r="H13" i="27"/>
  <c r="G13" i="27"/>
  <c r="A13" i="27"/>
  <c r="V13" i="27" s="1"/>
  <c r="AC12" i="27"/>
  <c r="AG12" i="27" s="1"/>
  <c r="AA12" i="27"/>
  <c r="X12" i="27"/>
  <c r="V12" i="27"/>
  <c r="V40" i="27" s="1"/>
  <c r="T12" i="27"/>
  <c r="S12" i="27"/>
  <c r="R12" i="27"/>
  <c r="Q12" i="27"/>
  <c r="P12" i="27"/>
  <c r="N12" i="27"/>
  <c r="L12" i="27"/>
  <c r="K12" i="27"/>
  <c r="J12" i="27"/>
  <c r="I12" i="27"/>
  <c r="H12" i="27"/>
  <c r="F12" i="27"/>
  <c r="A12" i="27"/>
  <c r="W12" i="27" s="1"/>
  <c r="W40" i="27" s="1"/>
  <c r="X11" i="27"/>
  <c r="V11" i="27"/>
  <c r="U11" i="27"/>
  <c r="M11" i="27"/>
  <c r="L11" i="27"/>
  <c r="K11" i="27"/>
  <c r="F11" i="27"/>
  <c r="A11" i="27"/>
  <c r="N11" i="27" s="1"/>
  <c r="F10" i="27"/>
  <c r="A10" i="27"/>
  <c r="V10" i="27" s="1"/>
  <c r="AC9" i="27"/>
  <c r="AG9" i="27" s="1"/>
  <c r="X9" i="27"/>
  <c r="W9" i="27"/>
  <c r="V9" i="27"/>
  <c r="T9" i="27"/>
  <c r="R9" i="27"/>
  <c r="Q9" i="27"/>
  <c r="P9" i="27"/>
  <c r="O9" i="27"/>
  <c r="N9" i="27"/>
  <c r="L9" i="27"/>
  <c r="J9" i="27"/>
  <c r="I9" i="27"/>
  <c r="H9" i="27"/>
  <c r="G9" i="27"/>
  <c r="F9" i="27"/>
  <c r="A9" i="27"/>
  <c r="U9" i="27" s="1"/>
  <c r="AC8" i="27"/>
  <c r="AG8" i="27" s="1"/>
  <c r="AA8" i="27"/>
  <c r="X8" i="27"/>
  <c r="V8" i="27"/>
  <c r="T8" i="27"/>
  <c r="S8" i="27"/>
  <c r="R8" i="27"/>
  <c r="Q8" i="27"/>
  <c r="P8" i="27"/>
  <c r="N8" i="27"/>
  <c r="L8" i="27"/>
  <c r="K8" i="27"/>
  <c r="J8" i="27"/>
  <c r="I8" i="27"/>
  <c r="H8" i="27"/>
  <c r="F8" i="27"/>
  <c r="A8" i="27"/>
  <c r="W8" i="27" s="1"/>
  <c r="X7" i="27"/>
  <c r="V7" i="27"/>
  <c r="U7" i="27"/>
  <c r="M7" i="27"/>
  <c r="L7" i="27"/>
  <c r="K7" i="27"/>
  <c r="F7" i="27"/>
  <c r="A7" i="27"/>
  <c r="AC7" i="27" s="1"/>
  <c r="AG7" i="27" s="1"/>
  <c r="X6" i="27"/>
  <c r="N6" i="27"/>
  <c r="M6" i="27"/>
  <c r="F6" i="27"/>
  <c r="A6" i="27"/>
  <c r="F5" i="27"/>
  <c r="A5" i="27"/>
  <c r="H9" i="28" l="1"/>
  <c r="O29" i="28"/>
  <c r="M63" i="28"/>
  <c r="I71" i="28"/>
  <c r="J62" i="28"/>
  <c r="L59" i="28"/>
  <c r="L71" i="28" s="1"/>
  <c r="N71" i="28" s="1"/>
  <c r="H66" i="28"/>
  <c r="K68" i="28"/>
  <c r="O60" i="28"/>
  <c r="H57" i="28"/>
  <c r="J56" i="28"/>
  <c r="K73" i="28"/>
  <c r="J21" i="28"/>
  <c r="I54" i="28"/>
  <c r="H60" i="28"/>
  <c r="G65" i="28"/>
  <c r="H48" i="28"/>
  <c r="N53" i="28"/>
  <c r="G63" i="28"/>
  <c r="H29" i="28"/>
  <c r="O53" i="28"/>
  <c r="N62" i="28"/>
  <c r="O48" i="28"/>
  <c r="M65" i="28"/>
  <c r="G54" i="28"/>
  <c r="H54" i="28" s="1"/>
  <c r="M71" i="28"/>
  <c r="O62" i="28"/>
  <c r="N12" i="28"/>
  <c r="L21" i="28"/>
  <c r="O66" i="28"/>
  <c r="J66" i="28"/>
  <c r="J4" i="28"/>
  <c r="J8" i="28"/>
  <c r="H15" i="28"/>
  <c r="O20" i="28"/>
  <c r="M21" i="28"/>
  <c r="O26" i="28"/>
  <c r="I29" i="28"/>
  <c r="O33" i="28"/>
  <c r="K39" i="28"/>
  <c r="O45" i="28"/>
  <c r="I48" i="28"/>
  <c r="G53" i="28"/>
  <c r="I57" i="28"/>
  <c r="J57" i="28" s="1"/>
  <c r="G59" i="28"/>
  <c r="I60" i="28"/>
  <c r="J60" i="28" s="1"/>
  <c r="I9" i="28"/>
  <c r="J9" i="28" s="1"/>
  <c r="F21" i="28"/>
  <c r="F54" i="28" s="1"/>
  <c r="F68" i="28" s="1"/>
  <c r="L24" i="28"/>
  <c r="H32" i="28"/>
  <c r="H33" i="28"/>
  <c r="L35" i="28"/>
  <c r="N38" i="28"/>
  <c r="L47" i="28"/>
  <c r="I59" i="28"/>
  <c r="J32" i="28"/>
  <c r="H38" i="28"/>
  <c r="F39" i="28"/>
  <c r="O39" i="28" s="1"/>
  <c r="L48" i="28"/>
  <c r="F59" i="28"/>
  <c r="F71" i="28" s="1"/>
  <c r="H5" i="28"/>
  <c r="J5" i="28"/>
  <c r="H6" i="28"/>
  <c r="N7" i="28"/>
  <c r="H12" i="28"/>
  <c r="O34" i="28"/>
  <c r="O38" i="28"/>
  <c r="N4" i="28"/>
  <c r="H7" i="28"/>
  <c r="L9" i="28"/>
  <c r="N9" i="28" s="1"/>
  <c r="J12" i="28"/>
  <c r="H13" i="28"/>
  <c r="H17" i="28"/>
  <c r="O24" i="28"/>
  <c r="O35" i="28"/>
  <c r="O47" i="28"/>
  <c r="J15" i="28"/>
  <c r="O4" i="28"/>
  <c r="M9" i="28"/>
  <c r="O9" i="28" s="1"/>
  <c r="H24" i="28"/>
  <c r="L33" i="28"/>
  <c r="H35" i="28"/>
  <c r="J38" i="28"/>
  <c r="H47" i="28"/>
  <c r="H16" i="28"/>
  <c r="Q5" i="27"/>
  <c r="I5" i="27"/>
  <c r="W5" i="27"/>
  <c r="O5" i="27"/>
  <c r="G5" i="27"/>
  <c r="V14" i="27"/>
  <c r="G10" i="27"/>
  <c r="R10" i="27"/>
  <c r="H14" i="27"/>
  <c r="W14" i="27"/>
  <c r="L17" i="27"/>
  <c r="AC5" i="27"/>
  <c r="G14" i="27"/>
  <c r="Q6" i="27"/>
  <c r="I6" i="27"/>
  <c r="W6" i="27"/>
  <c r="O6" i="27"/>
  <c r="G6" i="27"/>
  <c r="P6" i="27"/>
  <c r="AA6" i="27"/>
  <c r="J5" i="27"/>
  <c r="T5" i="27"/>
  <c r="R6" i="27"/>
  <c r="AC6" i="27"/>
  <c r="N7" i="27"/>
  <c r="H10" i="27"/>
  <c r="T10" i="27"/>
  <c r="K14" i="27"/>
  <c r="X14" i="27"/>
  <c r="M17" i="27"/>
  <c r="L18" i="27"/>
  <c r="W25" i="27"/>
  <c r="O25" i="27"/>
  <c r="G25" i="27"/>
  <c r="Y25" i="27"/>
  <c r="P25" i="27"/>
  <c r="V25" i="27"/>
  <c r="M25" i="27"/>
  <c r="U25" i="27"/>
  <c r="L25" i="27"/>
  <c r="T25" i="27"/>
  <c r="K25" i="27"/>
  <c r="AC25" i="27"/>
  <c r="AG25" i="27" s="1"/>
  <c r="S25" i="27"/>
  <c r="J25" i="27"/>
  <c r="AA25" i="27"/>
  <c r="R25" i="27"/>
  <c r="I25" i="27"/>
  <c r="Z32" i="27"/>
  <c r="AH32" i="27" s="1"/>
  <c r="R32" i="27"/>
  <c r="J32" i="27"/>
  <c r="Y32" i="27"/>
  <c r="Q32" i="27"/>
  <c r="I32" i="27"/>
  <c r="X32" i="27"/>
  <c r="P32" i="27"/>
  <c r="H32" i="27"/>
  <c r="O32" i="27"/>
  <c r="AA32" i="27"/>
  <c r="M32" i="27"/>
  <c r="W32" i="27"/>
  <c r="L32" i="27"/>
  <c r="V32" i="27"/>
  <c r="K32" i="27"/>
  <c r="U32" i="27"/>
  <c r="G32" i="27"/>
  <c r="T32" i="27"/>
  <c r="R5" i="27"/>
  <c r="P10" i="27"/>
  <c r="AC10" i="27"/>
  <c r="AG10" i="27" s="1"/>
  <c r="AG13" i="27" s="1"/>
  <c r="H5" i="27"/>
  <c r="S5" i="27"/>
  <c r="J10" i="27"/>
  <c r="U10" i="27"/>
  <c r="Q11" i="27"/>
  <c r="I11" i="27"/>
  <c r="W11" i="27"/>
  <c r="O11" i="27"/>
  <c r="G11" i="27"/>
  <c r="P11" i="27"/>
  <c r="AA11" i="27"/>
  <c r="N17" i="27"/>
  <c r="M18" i="27"/>
  <c r="P5" i="27"/>
  <c r="AC14" i="27"/>
  <c r="T14" i="27"/>
  <c r="L14" i="27"/>
  <c r="AA14" i="27"/>
  <c r="S14" i="27"/>
  <c r="R14" i="27"/>
  <c r="J14" i="27"/>
  <c r="Q14" i="27"/>
  <c r="I14" i="27"/>
  <c r="U14" i="27"/>
  <c r="AC17" i="27"/>
  <c r="L5" i="27"/>
  <c r="J6" i="27"/>
  <c r="T6" i="27"/>
  <c r="R7" i="27"/>
  <c r="L10" i="27"/>
  <c r="L15" i="27" s="1"/>
  <c r="N14" i="27"/>
  <c r="O51" i="27"/>
  <c r="AA5" i="27"/>
  <c r="AA10" i="27"/>
  <c r="S10" i="27"/>
  <c r="K10" i="27"/>
  <c r="Q10" i="27"/>
  <c r="I10" i="27"/>
  <c r="O10" i="27"/>
  <c r="AA17" i="27"/>
  <c r="S17" i="27"/>
  <c r="K17" i="27"/>
  <c r="Z17" i="27"/>
  <c r="R17" i="27"/>
  <c r="J17" i="27"/>
  <c r="Y17" i="27"/>
  <c r="Q17" i="27"/>
  <c r="I17" i="27"/>
  <c r="X17" i="27"/>
  <c r="P17" i="27"/>
  <c r="H17" i="27"/>
  <c r="W17" i="27"/>
  <c r="O17" i="27"/>
  <c r="G17" i="27"/>
  <c r="S18" i="27"/>
  <c r="K18" i="27"/>
  <c r="J18" i="27"/>
  <c r="R18" i="27"/>
  <c r="Q18" i="27"/>
  <c r="I18" i="27"/>
  <c r="X18" i="27"/>
  <c r="P18" i="27"/>
  <c r="H18" i="27"/>
  <c r="W18" i="27"/>
  <c r="O18" i="27"/>
  <c r="G18" i="27"/>
  <c r="X15" i="27"/>
  <c r="U5" i="27"/>
  <c r="H6" i="27"/>
  <c r="S6" i="27"/>
  <c r="Q7" i="27"/>
  <c r="I7" i="27"/>
  <c r="W7" i="27"/>
  <c r="O7" i="27"/>
  <c r="G7" i="27"/>
  <c r="P7" i="27"/>
  <c r="AA7" i="27"/>
  <c r="M21" i="27" s="1"/>
  <c r="V5" i="27"/>
  <c r="R11" i="27"/>
  <c r="AC11" i="27"/>
  <c r="AG11" i="27" s="1"/>
  <c r="M5" i="27"/>
  <c r="X5" i="27"/>
  <c r="K6" i="27"/>
  <c r="U6" i="27"/>
  <c r="H7" i="27"/>
  <c r="S7" i="27"/>
  <c r="Q40" i="27"/>
  <c r="M10" i="27"/>
  <c r="W10" i="27"/>
  <c r="H11" i="27"/>
  <c r="S11" i="27"/>
  <c r="S40" i="27" s="1"/>
  <c r="O14" i="27"/>
  <c r="V15" i="27"/>
  <c r="U17" i="27"/>
  <c r="T18" i="27"/>
  <c r="AA23" i="27"/>
  <c r="S23" i="27"/>
  <c r="K23" i="27"/>
  <c r="V23" i="27"/>
  <c r="M23" i="27"/>
  <c r="T23" i="27"/>
  <c r="J23" i="27"/>
  <c r="AC23" i="27"/>
  <c r="AG23" i="27" s="1"/>
  <c r="R23" i="27"/>
  <c r="I23" i="27"/>
  <c r="Z23" i="27"/>
  <c r="AH23" i="27" s="1"/>
  <c r="Q23" i="27"/>
  <c r="H23" i="27"/>
  <c r="Y23" i="27"/>
  <c r="P23" i="27"/>
  <c r="G23" i="27"/>
  <c r="X23" i="27"/>
  <c r="O23" i="27"/>
  <c r="N25" i="27"/>
  <c r="S32" i="27"/>
  <c r="L21" i="27"/>
  <c r="K5" i="27"/>
  <c r="N5" i="27"/>
  <c r="L6" i="27"/>
  <c r="V6" i="27"/>
  <c r="J7" i="27"/>
  <c r="T7" i="27"/>
  <c r="R40" i="27"/>
  <c r="N10" i="27"/>
  <c r="X10" i="27"/>
  <c r="J11" i="27"/>
  <c r="T11" i="27"/>
  <c r="T40" i="27" s="1"/>
  <c r="P14" i="27"/>
  <c r="V17" i="27"/>
  <c r="U18" i="27"/>
  <c r="G20" i="27"/>
  <c r="O20" i="27"/>
  <c r="W20" i="27"/>
  <c r="U22" i="27"/>
  <c r="M22" i="27"/>
  <c r="N22" i="27"/>
  <c r="W22" i="27"/>
  <c r="G24" i="27"/>
  <c r="P24" i="27"/>
  <c r="Z24" i="27"/>
  <c r="AH24" i="27" s="1"/>
  <c r="J27" i="27"/>
  <c r="T27" i="27"/>
  <c r="G31" i="27"/>
  <c r="U31" i="27"/>
  <c r="U40" i="27" s="1"/>
  <c r="X33" i="27"/>
  <c r="P33" i="27"/>
  <c r="H33" i="27"/>
  <c r="W33" i="27"/>
  <c r="O33" i="27"/>
  <c r="G33" i="27"/>
  <c r="V33" i="27"/>
  <c r="N33" i="27"/>
  <c r="R33" i="27"/>
  <c r="H20" i="27"/>
  <c r="P20" i="27"/>
  <c r="X20" i="27"/>
  <c r="O22" i="27"/>
  <c r="X22" i="27"/>
  <c r="H24" i="27"/>
  <c r="R24" i="27"/>
  <c r="AA24" i="27"/>
  <c r="L27" i="27"/>
  <c r="U27" i="27"/>
  <c r="W29" i="27"/>
  <c r="O29" i="27"/>
  <c r="G29" i="27"/>
  <c r="N29" i="27"/>
  <c r="X29" i="27"/>
  <c r="H31" i="27"/>
  <c r="V31" i="27"/>
  <c r="S33" i="27"/>
  <c r="M8" i="27"/>
  <c r="U8" i="27"/>
  <c r="U15" i="27" s="1"/>
  <c r="K9" i="27"/>
  <c r="K15" i="27" s="1"/>
  <c r="S9" i="27"/>
  <c r="AA9" i="27"/>
  <c r="M12" i="27"/>
  <c r="U12" i="27"/>
  <c r="L13" i="27"/>
  <c r="T13" i="27"/>
  <c r="AC13" i="27"/>
  <c r="K19" i="27"/>
  <c r="S19" i="27"/>
  <c r="AA19" i="27"/>
  <c r="I20" i="27"/>
  <c r="Q20" i="27"/>
  <c r="Y20" i="27"/>
  <c r="G22" i="27"/>
  <c r="P22" i="27"/>
  <c r="Y22" i="27"/>
  <c r="J24" i="27"/>
  <c r="S24" i="27"/>
  <c r="AC24" i="27"/>
  <c r="AG24" i="27" s="1"/>
  <c r="M27" i="27"/>
  <c r="Y28" i="27"/>
  <c r="Q28" i="27"/>
  <c r="I28" i="27"/>
  <c r="N28" i="27"/>
  <c r="W28" i="27"/>
  <c r="P29" i="27"/>
  <c r="Y29" i="27"/>
  <c r="I31" i="27"/>
  <c r="W31" i="27"/>
  <c r="I33" i="27"/>
  <c r="T33" i="27"/>
  <c r="J20" i="27"/>
  <c r="R20" i="27"/>
  <c r="Z20" i="27"/>
  <c r="AH20" i="27" s="1"/>
  <c r="Q22" i="27"/>
  <c r="Z22" i="27"/>
  <c r="AH22" i="27" s="1"/>
  <c r="K24" i="27"/>
  <c r="T24" i="27"/>
  <c r="AA27" i="27"/>
  <c r="S27" i="27"/>
  <c r="K27" i="27"/>
  <c r="N27" i="27"/>
  <c r="W27" i="27"/>
  <c r="M31" i="27"/>
  <c r="X31" i="27"/>
  <c r="J33" i="27"/>
  <c r="U33" i="27"/>
  <c r="V51" i="27"/>
  <c r="G8" i="27"/>
  <c r="AH8" i="27" s="1"/>
  <c r="O8" i="27"/>
  <c r="M9" i="27"/>
  <c r="G12" i="27"/>
  <c r="O12" i="27"/>
  <c r="N13" i="27"/>
  <c r="Y13" i="27" s="1"/>
  <c r="Z13" i="27" s="1"/>
  <c r="M19" i="27"/>
  <c r="K20" i="27"/>
  <c r="S20" i="27"/>
  <c r="AA20" i="27"/>
  <c r="I22" i="27"/>
  <c r="R22" i="27"/>
  <c r="AA22" i="27"/>
  <c r="L24" i="27"/>
  <c r="L38" i="27" s="1"/>
  <c r="O27" i="27"/>
  <c r="X27" i="27"/>
  <c r="G28" i="27"/>
  <c r="P28" i="27"/>
  <c r="Z28" i="27"/>
  <c r="AH28" i="27" s="1"/>
  <c r="I29" i="27"/>
  <c r="R29" i="27"/>
  <c r="AA29" i="27"/>
  <c r="N31" i="27"/>
  <c r="K33" i="27"/>
  <c r="Y33" i="27"/>
  <c r="AC37" i="27"/>
  <c r="T37" i="27"/>
  <c r="L37" i="27"/>
  <c r="AA37" i="27"/>
  <c r="S37" i="27"/>
  <c r="K37" i="27"/>
  <c r="Z37" i="27"/>
  <c r="R37" i="27"/>
  <c r="J37" i="27"/>
  <c r="Y37" i="27"/>
  <c r="Q37" i="27"/>
  <c r="I37" i="27"/>
  <c r="X37" i="27"/>
  <c r="P37" i="27"/>
  <c r="H37" i="27"/>
  <c r="W37" i="27"/>
  <c r="O37" i="27"/>
  <c r="G37" i="27"/>
  <c r="M20" i="27"/>
  <c r="Y24" i="27"/>
  <c r="Q24" i="27"/>
  <c r="I24" i="27"/>
  <c r="N24" i="27"/>
  <c r="W24" i="27"/>
  <c r="H27" i="27"/>
  <c r="Q27" i="27"/>
  <c r="Z27" i="27"/>
  <c r="AH27" i="27" s="1"/>
  <c r="AC31" i="27"/>
  <c r="AG31" i="27" s="1"/>
  <c r="T31" i="27"/>
  <c r="L31" i="27"/>
  <c r="AA31" i="27"/>
  <c r="S31" i="27"/>
  <c r="K31" i="27"/>
  <c r="Z31" i="27"/>
  <c r="AH31" i="27" s="1"/>
  <c r="R31" i="27"/>
  <c r="J31" i="27"/>
  <c r="P31" i="27"/>
  <c r="M33" i="27"/>
  <c r="AA33" i="27"/>
  <c r="L34" i="27"/>
  <c r="T34" i="27"/>
  <c r="AC34" i="27"/>
  <c r="AG34" i="27" s="1"/>
  <c r="J35" i="27"/>
  <c r="R35" i="27"/>
  <c r="Z35" i="27"/>
  <c r="AH35" i="27" s="1"/>
  <c r="H36" i="27"/>
  <c r="P36" i="27"/>
  <c r="X36" i="27"/>
  <c r="H45" i="27"/>
  <c r="P45" i="27"/>
  <c r="X45" i="27"/>
  <c r="H46" i="27"/>
  <c r="P46" i="27"/>
  <c r="X46" i="27"/>
  <c r="H47" i="27"/>
  <c r="P47" i="27"/>
  <c r="X47" i="27"/>
  <c r="H48" i="27"/>
  <c r="P48" i="27"/>
  <c r="X48" i="27"/>
  <c r="H49" i="27"/>
  <c r="P49" i="27"/>
  <c r="X49" i="27"/>
  <c r="I50" i="27"/>
  <c r="Q50" i="27"/>
  <c r="Y50" i="27"/>
  <c r="M26" i="27"/>
  <c r="M30" i="27"/>
  <c r="M34" i="27"/>
  <c r="U34" i="27"/>
  <c r="K35" i="27"/>
  <c r="S35" i="27"/>
  <c r="AA35" i="27"/>
  <c r="I36" i="27"/>
  <c r="Q36" i="27"/>
  <c r="Y36" i="27"/>
  <c r="I45" i="27"/>
  <c r="Q45" i="27"/>
  <c r="Y45" i="27"/>
  <c r="I46" i="27"/>
  <c r="Q46" i="27"/>
  <c r="Y46" i="27"/>
  <c r="I47" i="27"/>
  <c r="Q47" i="27"/>
  <c r="Y47" i="27"/>
  <c r="I48" i="27"/>
  <c r="Q48" i="27"/>
  <c r="Y48" i="27"/>
  <c r="I49" i="27"/>
  <c r="Q49" i="27"/>
  <c r="Y49" i="27"/>
  <c r="J50" i="27"/>
  <c r="R50" i="27"/>
  <c r="Z50" i="27"/>
  <c r="N34" i="27"/>
  <c r="L35" i="27"/>
  <c r="T35" i="27"/>
  <c r="AC35" i="27"/>
  <c r="AG35" i="27" s="1"/>
  <c r="J36" i="27"/>
  <c r="R36" i="27"/>
  <c r="Z36" i="27"/>
  <c r="AH36" i="27" s="1"/>
  <c r="J45" i="27"/>
  <c r="R45" i="27"/>
  <c r="Z45" i="27"/>
  <c r="J46" i="27"/>
  <c r="R46" i="27"/>
  <c r="Z46" i="27"/>
  <c r="J47" i="27"/>
  <c r="R47" i="27"/>
  <c r="Z47" i="27"/>
  <c r="J48" i="27"/>
  <c r="R48" i="27"/>
  <c r="Z48" i="27"/>
  <c r="J49" i="27"/>
  <c r="R49" i="27"/>
  <c r="Z49" i="27"/>
  <c r="K50" i="27"/>
  <c r="S50" i="27"/>
  <c r="AA50" i="27"/>
  <c r="M35" i="27"/>
  <c r="U35" i="27"/>
  <c r="K36" i="27"/>
  <c r="S36" i="27"/>
  <c r="AA36" i="27"/>
  <c r="K45" i="27"/>
  <c r="S45" i="27"/>
  <c r="AA45" i="27"/>
  <c r="K46" i="27"/>
  <c r="S46" i="27"/>
  <c r="AA46" i="27"/>
  <c r="K47" i="27"/>
  <c r="S47" i="27"/>
  <c r="AA47" i="27"/>
  <c r="K48" i="27"/>
  <c r="S48" i="27"/>
  <c r="AA48" i="27"/>
  <c r="K49" i="27"/>
  <c r="S49" i="27"/>
  <c r="AA49" i="27"/>
  <c r="L50" i="27"/>
  <c r="T50" i="27"/>
  <c r="AC50" i="27"/>
  <c r="N35" i="27"/>
  <c r="L36" i="27"/>
  <c r="T36" i="27"/>
  <c r="AC36" i="27"/>
  <c r="AG36" i="27" s="1"/>
  <c r="L45" i="27"/>
  <c r="T45" i="27"/>
  <c r="AC45" i="27"/>
  <c r="L46" i="27"/>
  <c r="T46" i="27"/>
  <c r="AC46" i="27"/>
  <c r="L47" i="27"/>
  <c r="T47" i="27"/>
  <c r="AC47" i="27"/>
  <c r="L48" i="27"/>
  <c r="T48" i="27"/>
  <c r="AC48" i="27"/>
  <c r="L49" i="27"/>
  <c r="T49" i="27"/>
  <c r="AC49" i="27"/>
  <c r="M50" i="27"/>
  <c r="U50" i="27"/>
  <c r="U51" i="27" s="1"/>
  <c r="AH81" i="27"/>
  <c r="AJ81" i="27" s="1"/>
  <c r="M36" i="27"/>
  <c r="M45" i="27"/>
  <c r="M46" i="27"/>
  <c r="M47" i="27"/>
  <c r="M48" i="27"/>
  <c r="M49" i="27"/>
  <c r="N50" i="27"/>
  <c r="N51" i="27" s="1"/>
  <c r="H53" i="28" l="1"/>
  <c r="G68" i="28"/>
  <c r="H68" i="28" s="1"/>
  <c r="J53" i="28"/>
  <c r="H21" i="28"/>
  <c r="J54" i="28"/>
  <c r="F72" i="28"/>
  <c r="O71" i="28"/>
  <c r="L29" i="28"/>
  <c r="N24" i="28"/>
  <c r="L57" i="28"/>
  <c r="N57" i="28" s="1"/>
  <c r="N35" i="28"/>
  <c r="N48" i="28"/>
  <c r="L65" i="28"/>
  <c r="I65" i="28"/>
  <c r="I68" i="28" s="1"/>
  <c r="J68" i="28" s="1"/>
  <c r="J48" i="28"/>
  <c r="G73" i="28"/>
  <c r="H73" i="28" s="1"/>
  <c r="H65" i="28"/>
  <c r="N33" i="28"/>
  <c r="L60" i="28"/>
  <c r="N60" i="28" s="1"/>
  <c r="H39" i="28"/>
  <c r="O63" i="28"/>
  <c r="L66" i="28"/>
  <c r="N66" i="28" s="1"/>
  <c r="N47" i="28"/>
  <c r="I63" i="28"/>
  <c r="J29" i="28"/>
  <c r="M73" i="28"/>
  <c r="O73" i="28" s="1"/>
  <c r="O65" i="28"/>
  <c r="O21" i="28"/>
  <c r="M54" i="28"/>
  <c r="M72" i="28" s="1"/>
  <c r="O72" i="28" s="1"/>
  <c r="J71" i="28"/>
  <c r="G72" i="28"/>
  <c r="H63" i="28"/>
  <c r="G71" i="28"/>
  <c r="H71" i="28" s="1"/>
  <c r="N21" i="28"/>
  <c r="L54" i="28"/>
  <c r="L39" i="28"/>
  <c r="N39" i="28" s="1"/>
  <c r="T42" i="27"/>
  <c r="T41" i="27" s="1"/>
  <c r="H38" i="27"/>
  <c r="P38" i="27"/>
  <c r="G38" i="27"/>
  <c r="P51" i="27"/>
  <c r="M38" i="27"/>
  <c r="P21" i="27"/>
  <c r="P42" i="27" s="1"/>
  <c r="P41" i="27" s="1"/>
  <c r="P15" i="27"/>
  <c r="O42" i="27"/>
  <c r="V21" i="27"/>
  <c r="V38" i="27" s="1"/>
  <c r="Y14" i="27"/>
  <c r="Z14" i="27" s="1"/>
  <c r="AE50" i="27"/>
  <c r="Z51" i="27"/>
  <c r="N40" i="27"/>
  <c r="O21" i="27"/>
  <c r="O38" i="27" s="1"/>
  <c r="O15" i="27"/>
  <c r="X21" i="27"/>
  <c r="X38" i="27" s="1"/>
  <c r="H42" i="27"/>
  <c r="H41" i="27" s="1"/>
  <c r="Y7" i="27"/>
  <c r="G21" i="27"/>
  <c r="G15" i="27"/>
  <c r="R21" i="27"/>
  <c r="R15" i="27"/>
  <c r="Z6" i="27"/>
  <c r="AA51" i="27"/>
  <c r="AF50" i="27"/>
  <c r="AF54" i="27" s="1"/>
  <c r="R51" i="27"/>
  <c r="AD50" i="27"/>
  <c r="Y51" i="27"/>
  <c r="Y12" i="27"/>
  <c r="Z12" i="27" s="1"/>
  <c r="AH12" i="27" s="1"/>
  <c r="M15" i="27"/>
  <c r="K40" i="27"/>
  <c r="M40" i="27"/>
  <c r="W21" i="27"/>
  <c r="W38" i="27" s="1"/>
  <c r="W15" i="27"/>
  <c r="Y18" i="27"/>
  <c r="Z18" i="27" s="1"/>
  <c r="Y11" i="27"/>
  <c r="Z11" i="27" s="1"/>
  <c r="AH11" i="27" s="1"/>
  <c r="Y6" i="27"/>
  <c r="S51" i="27"/>
  <c r="J51" i="27"/>
  <c r="J62" i="27" s="1"/>
  <c r="Q51" i="27"/>
  <c r="I21" i="27"/>
  <c r="I40" i="27" s="1"/>
  <c r="I15" i="27"/>
  <c r="X42" i="27"/>
  <c r="X41" i="27" s="1"/>
  <c r="X68" i="27" s="1"/>
  <c r="S42" i="27"/>
  <c r="S41" i="27" s="1"/>
  <c r="AF14" i="27"/>
  <c r="L40" i="27"/>
  <c r="P40" i="27"/>
  <c r="N21" i="27"/>
  <c r="N38" i="27" s="1"/>
  <c r="N15" i="27"/>
  <c r="Y5" i="27"/>
  <c r="AH9" i="27"/>
  <c r="R42" i="27"/>
  <c r="R41" i="27" s="1"/>
  <c r="K51" i="27"/>
  <c r="I51" i="27"/>
  <c r="I62" i="27" s="1"/>
  <c r="Q21" i="27"/>
  <c r="Q38" i="27" s="1"/>
  <c r="Q15" i="27"/>
  <c r="I42" i="27"/>
  <c r="AA42" i="27"/>
  <c r="AF37" i="27"/>
  <c r="U21" i="27"/>
  <c r="U38" i="27" s="1"/>
  <c r="L42" i="27"/>
  <c r="L41" i="27" s="1"/>
  <c r="O40" i="27"/>
  <c r="Y10" i="27"/>
  <c r="Z10" i="27" s="1"/>
  <c r="AH10" i="27" s="1"/>
  <c r="M51" i="27"/>
  <c r="T51" i="27"/>
  <c r="R38" i="27"/>
  <c r="T21" i="27"/>
  <c r="T38" i="27" s="1"/>
  <c r="T15" i="27"/>
  <c r="U42" i="27"/>
  <c r="U41" i="27" s="1"/>
  <c r="S15" i="27"/>
  <c r="S21" i="27"/>
  <c r="S38" i="27" s="1"/>
  <c r="H51" i="27"/>
  <c r="H62" i="27" s="1"/>
  <c r="L51" i="27"/>
  <c r="X51" i="27"/>
  <c r="AA38" i="27"/>
  <c r="J21" i="27"/>
  <c r="J38" i="27" s="1"/>
  <c r="J15" i="27"/>
  <c r="H40" i="27"/>
  <c r="H21" i="27"/>
  <c r="H15" i="27"/>
  <c r="AA15" i="27"/>
  <c r="G40" i="27"/>
  <c r="G42" i="27"/>
  <c r="G41" i="27" s="1"/>
  <c r="G68" i="27" s="1"/>
  <c r="M42" i="27"/>
  <c r="M41" i="27" s="1"/>
  <c r="K21" i="27"/>
  <c r="K42" i="27" s="1"/>
  <c r="K41" i="27" s="1"/>
  <c r="K68" i="27" s="1"/>
  <c r="O54" i="28" l="1"/>
  <c r="M68" i="28"/>
  <c r="O68" i="28" s="1"/>
  <c r="L73" i="28"/>
  <c r="N73" i="28" s="1"/>
  <c r="N65" i="28"/>
  <c r="N54" i="28"/>
  <c r="L68" i="28"/>
  <c r="N68" i="28" s="1"/>
  <c r="I72" i="28"/>
  <c r="J72" i="28" s="1"/>
  <c r="J63" i="28"/>
  <c r="J65" i="28"/>
  <c r="I73" i="28"/>
  <c r="J73" i="28" s="1"/>
  <c r="H72" i="28"/>
  <c r="N29" i="28"/>
  <c r="L63" i="28"/>
  <c r="P68" i="27"/>
  <c r="P43" i="27"/>
  <c r="S43" i="27"/>
  <c r="S68" i="27"/>
  <c r="J42" i="27"/>
  <c r="J40" i="27"/>
  <c r="Y40" i="27" s="1"/>
  <c r="Q42" i="27"/>
  <c r="Q41" i="27" s="1"/>
  <c r="O41" i="27"/>
  <c r="T43" i="27"/>
  <c r="T68" i="27"/>
  <c r="V42" i="27"/>
  <c r="V41" i="27" s="1"/>
  <c r="K38" i="27"/>
  <c r="Y15" i="27"/>
  <c r="AC15" i="27" s="1"/>
  <c r="H43" i="27"/>
  <c r="H68" i="27"/>
  <c r="L68" i="27"/>
  <c r="L43" i="27"/>
  <c r="I38" i="27"/>
  <c r="AD14" i="27"/>
  <c r="W42" i="27"/>
  <c r="W41" i="27" s="1"/>
  <c r="U68" i="27"/>
  <c r="U43" i="27"/>
  <c r="M68" i="27"/>
  <c r="M43" i="27"/>
  <c r="N42" i="27"/>
  <c r="N41" i="27" s="1"/>
  <c r="I41" i="27"/>
  <c r="Z7" i="27"/>
  <c r="AG38" i="27"/>
  <c r="AA59" i="27"/>
  <c r="R68" i="27"/>
  <c r="R43" i="27"/>
  <c r="Z5" i="27"/>
  <c r="Y21" i="27"/>
  <c r="L72" i="28" l="1"/>
  <c r="N72" i="28" s="1"/>
  <c r="N63" i="28"/>
  <c r="J41" i="27"/>
  <c r="Z15" i="27"/>
  <c r="AH7" i="27"/>
  <c r="AH13" i="27" s="1"/>
  <c r="AI13" i="27" s="1"/>
  <c r="I43" i="27"/>
  <c r="I68" i="27"/>
  <c r="Q68" i="27"/>
  <c r="Q43" i="27"/>
  <c r="Z21" i="27"/>
  <c r="AC21" i="27"/>
  <c r="AG21" i="27" s="1"/>
  <c r="AG37" i="27" s="1"/>
  <c r="AD37" i="27"/>
  <c r="AD54" i="27" s="1"/>
  <c r="Y42" i="27"/>
  <c r="Y38" i="27"/>
  <c r="V68" i="27"/>
  <c r="V43" i="27"/>
  <c r="W68" i="27"/>
  <c r="W43" i="27"/>
  <c r="AE14" i="27"/>
  <c r="N68" i="27"/>
  <c r="N43" i="27"/>
  <c r="O68" i="27"/>
  <c r="O43" i="27"/>
  <c r="J68" i="27" l="1"/>
  <c r="J43" i="27"/>
  <c r="AH21" i="27"/>
  <c r="AH37" i="27" s="1"/>
  <c r="AE37" i="27"/>
  <c r="AE54" i="27" s="1"/>
  <c r="Z40" i="27"/>
  <c r="AA40" i="27" s="1"/>
  <c r="Z38" i="27"/>
  <c r="AC38" i="27"/>
  <c r="Y59" i="27"/>
  <c r="AC59" i="27" s="1"/>
  <c r="AC42" i="27"/>
  <c r="Y41" i="27"/>
  <c r="AB64" i="27"/>
  <c r="Z42" i="27"/>
  <c r="Z41" i="27" s="1"/>
  <c r="AA41" i="27" s="1"/>
  <c r="AA43" i="27" s="1"/>
  <c r="Y68" i="27" l="1"/>
  <c r="Y43" i="27"/>
  <c r="AH38" i="27"/>
  <c r="AI38" i="27" s="1"/>
  <c r="AI37" i="27"/>
  <c r="M7" i="26" l="1"/>
  <c r="N7" i="26"/>
  <c r="O7" i="26"/>
  <c r="P7" i="26"/>
  <c r="Q7" i="26"/>
  <c r="M10" i="26"/>
  <c r="N10" i="26"/>
  <c r="O10" i="26"/>
  <c r="P10" i="26"/>
  <c r="Q10" i="26"/>
  <c r="M16" i="26"/>
  <c r="N16" i="26"/>
  <c r="O16" i="26"/>
  <c r="P16" i="26"/>
  <c r="Q16" i="26"/>
  <c r="M19" i="26"/>
  <c r="N19" i="26"/>
  <c r="O19" i="26"/>
  <c r="P19" i="26"/>
  <c r="Q19" i="26"/>
  <c r="M25" i="26"/>
  <c r="N25" i="26"/>
  <c r="O25" i="26"/>
  <c r="P25" i="26"/>
  <c r="Q25" i="26"/>
  <c r="M28" i="26"/>
  <c r="N28" i="26"/>
  <c r="O28" i="26"/>
  <c r="P28" i="26"/>
  <c r="Q28" i="26"/>
  <c r="M34" i="26"/>
  <c r="N34" i="26"/>
  <c r="O34" i="26"/>
  <c r="P34" i="26"/>
  <c r="Q34" i="26"/>
  <c r="M37" i="26"/>
  <c r="N37" i="26"/>
  <c r="O37" i="26"/>
  <c r="P37" i="26"/>
  <c r="Q37" i="26"/>
  <c r="M42" i="26"/>
  <c r="N42" i="26"/>
  <c r="O42" i="26"/>
  <c r="P42" i="26"/>
  <c r="Q42" i="26"/>
  <c r="M45" i="26"/>
  <c r="N45" i="26"/>
  <c r="O45" i="26"/>
  <c r="P45" i="26"/>
  <c r="Q45" i="26"/>
  <c r="AC5" i="16"/>
  <c r="AD5" i="16" s="1"/>
  <c r="AE5" i="16"/>
  <c r="AC6" i="16"/>
  <c r="AD6" i="16" s="1"/>
  <c r="AE6" i="16"/>
  <c r="AC7" i="16"/>
  <c r="AD7" i="16" s="1"/>
  <c r="AE7" i="16"/>
  <c r="AC8" i="16"/>
  <c r="AD8" i="16" s="1"/>
  <c r="AE8" i="16"/>
  <c r="AC9" i="16"/>
  <c r="AD9" i="16"/>
  <c r="AE9" i="16"/>
  <c r="AC10" i="16"/>
  <c r="AD10" i="16" s="1"/>
  <c r="AE10" i="16"/>
  <c r="AC11" i="16"/>
  <c r="AD11" i="16"/>
  <c r="AE11" i="16"/>
  <c r="AC12" i="16"/>
  <c r="AD12" i="16"/>
  <c r="AE12" i="16"/>
  <c r="AC13" i="16"/>
  <c r="AD13" i="16" s="1"/>
  <c r="AE13" i="16"/>
  <c r="AC14" i="16"/>
  <c r="AD14" i="16" s="1"/>
  <c r="AC16" i="16"/>
  <c r="AD16" i="16"/>
  <c r="AE16" i="16"/>
  <c r="AC17" i="16"/>
  <c r="AD17" i="16" s="1"/>
  <c r="AE17" i="16"/>
  <c r="AC18" i="16"/>
  <c r="AD18" i="16" s="1"/>
  <c r="AE18" i="16"/>
  <c r="AC19" i="16"/>
  <c r="AD19" i="16" s="1"/>
  <c r="AE19" i="16"/>
  <c r="AC20" i="16"/>
  <c r="AD20" i="16" s="1"/>
  <c r="AE20" i="16"/>
  <c r="AC21" i="16"/>
  <c r="AD21" i="16"/>
  <c r="AE21" i="16"/>
  <c r="AC22" i="16"/>
  <c r="AD22" i="16" s="1"/>
  <c r="AE22" i="16"/>
  <c r="AC23" i="16"/>
  <c r="AD23" i="16"/>
  <c r="AE23" i="16"/>
  <c r="AC24" i="16"/>
  <c r="AD24" i="16"/>
  <c r="AE24" i="16"/>
  <c r="AC25" i="16"/>
  <c r="AD25" i="16"/>
  <c r="AE25" i="16"/>
  <c r="AC26" i="16"/>
  <c r="AD26" i="16" s="1"/>
  <c r="AE26" i="16"/>
  <c r="AC27" i="16"/>
  <c r="AD27" i="16" s="1"/>
  <c r="AE27" i="16"/>
  <c r="AC28" i="16"/>
  <c r="AD28" i="16" s="1"/>
  <c r="AE28" i="16"/>
  <c r="AC29" i="16"/>
  <c r="AD29" i="16"/>
  <c r="AE29" i="16"/>
  <c r="AC30" i="16"/>
  <c r="AD30" i="16" s="1"/>
  <c r="AE30" i="16"/>
  <c r="AC31" i="16"/>
  <c r="AD31" i="16" s="1"/>
  <c r="AE31" i="16"/>
  <c r="AC32" i="16"/>
  <c r="AD32" i="16"/>
  <c r="AE32" i="16"/>
  <c r="AC33" i="16"/>
  <c r="AD33" i="16"/>
  <c r="AE33" i="16"/>
  <c r="AC34" i="16"/>
  <c r="AD34" i="16"/>
  <c r="AE34" i="16"/>
  <c r="AC35" i="16"/>
  <c r="AD35" i="16" s="1"/>
  <c r="AE35" i="16"/>
  <c r="AC36" i="16"/>
  <c r="AD36" i="16"/>
  <c r="AE36" i="16"/>
  <c r="AC37" i="16"/>
  <c r="AD37" i="16"/>
  <c r="AC39" i="16"/>
  <c r="AD39" i="16" s="1"/>
  <c r="AC40" i="16"/>
  <c r="AD40" i="16" s="1"/>
  <c r="AC41" i="16"/>
  <c r="AD41" i="16"/>
  <c r="AC44" i="16"/>
  <c r="AD44" i="16"/>
  <c r="AC45" i="16"/>
  <c r="AD45" i="16" s="1"/>
  <c r="AC46" i="16"/>
  <c r="AD46" i="16"/>
  <c r="AC47" i="16"/>
  <c r="AD47" i="16"/>
  <c r="AC48" i="16"/>
  <c r="AD48" i="16"/>
  <c r="AC49" i="16"/>
  <c r="AD49" i="16" s="1"/>
  <c r="AC50" i="16"/>
  <c r="AD50" i="16" s="1"/>
  <c r="AD51" i="16"/>
  <c r="AC5" i="15"/>
  <c r="AD5" i="15"/>
  <c r="AC6" i="15"/>
  <c r="AD6" i="15"/>
  <c r="AC7" i="15"/>
  <c r="AD7" i="15"/>
  <c r="AH7" i="15"/>
  <c r="AH12" i="15" s="1"/>
  <c r="AI7" i="15"/>
  <c r="AI12" i="15" s="1"/>
  <c r="AJ12" i="15" s="1"/>
  <c r="AC8" i="15"/>
  <c r="AH8" i="15" s="1"/>
  <c r="AD8" i="15"/>
  <c r="AI8" i="15"/>
  <c r="AC9" i="15"/>
  <c r="AD9" i="15"/>
  <c r="AH9" i="15"/>
  <c r="AI9" i="15"/>
  <c r="AC10" i="15"/>
  <c r="AD10" i="15"/>
  <c r="AH10" i="15"/>
  <c r="AI10" i="15"/>
  <c r="AC11" i="15"/>
  <c r="AD11" i="15"/>
  <c r="AH11" i="15"/>
  <c r="AI11" i="15"/>
  <c r="AC12" i="15"/>
  <c r="AD12" i="15"/>
  <c r="AC13" i="15"/>
  <c r="AD13" i="15"/>
  <c r="AE13" i="15"/>
  <c r="AF13" i="15"/>
  <c r="AG13" i="15"/>
  <c r="AC14" i="15"/>
  <c r="AC16" i="15"/>
  <c r="AD16" i="15"/>
  <c r="AD17" i="15"/>
  <c r="AC18" i="15"/>
  <c r="AH18" i="15" s="1"/>
  <c r="AH36" i="15" s="1"/>
  <c r="AD18" i="15"/>
  <c r="AI18" i="15"/>
  <c r="AC19" i="15"/>
  <c r="AH19" i="15" s="1"/>
  <c r="AD19" i="15"/>
  <c r="AI19" i="15"/>
  <c r="AI36" i="15" s="1"/>
  <c r="AC20" i="15"/>
  <c r="AH20" i="15" s="1"/>
  <c r="AD20" i="15"/>
  <c r="AI20" i="15"/>
  <c r="AC21" i="15"/>
  <c r="AH21" i="15" s="1"/>
  <c r="AD21" i="15"/>
  <c r="AI21" i="15"/>
  <c r="AC22" i="15"/>
  <c r="AH22" i="15" s="1"/>
  <c r="AD22" i="15"/>
  <c r="AI22" i="15"/>
  <c r="AC23" i="15"/>
  <c r="AH23" i="15" s="1"/>
  <c r="AD23" i="15"/>
  <c r="AI23" i="15"/>
  <c r="AC24" i="15"/>
  <c r="AH24" i="15" s="1"/>
  <c r="AD24" i="15"/>
  <c r="AI24" i="15"/>
  <c r="AC25" i="15"/>
  <c r="AH25" i="15" s="1"/>
  <c r="AD25" i="15"/>
  <c r="AI25" i="15"/>
  <c r="AC26" i="15"/>
  <c r="AH26" i="15" s="1"/>
  <c r="AD26" i="15"/>
  <c r="AI26" i="15"/>
  <c r="AC27" i="15"/>
  <c r="AH27" i="15" s="1"/>
  <c r="AD27" i="15"/>
  <c r="AI27" i="15"/>
  <c r="AC28" i="15"/>
  <c r="AH28" i="15" s="1"/>
  <c r="AD28" i="15"/>
  <c r="AI28" i="15"/>
  <c r="AC29" i="15"/>
  <c r="AH29" i="15" s="1"/>
  <c r="AD29" i="15"/>
  <c r="AI29" i="15"/>
  <c r="AC30" i="15"/>
  <c r="AH30" i="15" s="1"/>
  <c r="AD30" i="15"/>
  <c r="AI30" i="15"/>
  <c r="AC31" i="15"/>
  <c r="AH31" i="15" s="1"/>
  <c r="AD31" i="15"/>
  <c r="AI31" i="15"/>
  <c r="AC32" i="15"/>
  <c r="AH32" i="15" s="1"/>
  <c r="AD32" i="15"/>
  <c r="AI32" i="15"/>
  <c r="AC33" i="15"/>
  <c r="AH33" i="15" s="1"/>
  <c r="AD33" i="15"/>
  <c r="AI33" i="15"/>
  <c r="AC34" i="15"/>
  <c r="AH34" i="15" s="1"/>
  <c r="AD34" i="15"/>
  <c r="AI34" i="15"/>
  <c r="AC35" i="15"/>
  <c r="AH35" i="15" s="1"/>
  <c r="AD35" i="15"/>
  <c r="AI35" i="15"/>
  <c r="AC36" i="15"/>
  <c r="AD36" i="15"/>
  <c r="AE36" i="15"/>
  <c r="AF36" i="15"/>
  <c r="AG36" i="15"/>
  <c r="AC37" i="15"/>
  <c r="AH37" i="15"/>
  <c r="AC41" i="15"/>
  <c r="AF41" i="15"/>
  <c r="AC44" i="15"/>
  <c r="AD44" i="15"/>
  <c r="AC45" i="15"/>
  <c r="AD45" i="15"/>
  <c r="AC46" i="15"/>
  <c r="AD46" i="15"/>
  <c r="AC47" i="15"/>
  <c r="AD47" i="15"/>
  <c r="AC48" i="15"/>
  <c r="AD48" i="15"/>
  <c r="AC49" i="15"/>
  <c r="AD49" i="15"/>
  <c r="AE49" i="15"/>
  <c r="AF49" i="15"/>
  <c r="AG49" i="15"/>
  <c r="AG53" i="15" s="1"/>
  <c r="AC50" i="15"/>
  <c r="AD50" i="15"/>
  <c r="AO2" i="15"/>
  <c r="AP2" i="15"/>
  <c r="AQ2" i="15"/>
  <c r="AR2" i="15"/>
  <c r="AT2" i="15"/>
  <c r="AU2" i="15"/>
  <c r="AV2" i="15"/>
  <c r="AW2" i="15"/>
  <c r="AX2" i="15"/>
  <c r="AY2" i="15"/>
  <c r="AZ2" i="15"/>
  <c r="BA2" i="15"/>
  <c r="BB2" i="15"/>
  <c r="BC2" i="15"/>
  <c r="BD2" i="15"/>
  <c r="BE2" i="15"/>
  <c r="BF2" i="15"/>
  <c r="AC5" i="14"/>
  <c r="AD5" i="14" s="1"/>
  <c r="AE5" i="14"/>
  <c r="AC6" i="14"/>
  <c r="AD6" i="14" s="1"/>
  <c r="AE6" i="14"/>
  <c r="AC7" i="14"/>
  <c r="AD7" i="14" s="1"/>
  <c r="AE7" i="14"/>
  <c r="AC8" i="14"/>
  <c r="AD8" i="14"/>
  <c r="AE8" i="14"/>
  <c r="AC9" i="14"/>
  <c r="AD9" i="14"/>
  <c r="AE9" i="14"/>
  <c r="AC10" i="14"/>
  <c r="AD10" i="14"/>
  <c r="AE10" i="14"/>
  <c r="AC11" i="14"/>
  <c r="AD11" i="14"/>
  <c r="AE11" i="14"/>
  <c r="AC12" i="14"/>
  <c r="AD12" i="14"/>
  <c r="AE12" i="14"/>
  <c r="AC13" i="14"/>
  <c r="AD13" i="14" s="1"/>
  <c r="AE13" i="14"/>
  <c r="AC14" i="14"/>
  <c r="AD14" i="14" s="1"/>
  <c r="AE14" i="14"/>
  <c r="AC16" i="14"/>
  <c r="AD16" i="14" s="1"/>
  <c r="AC18" i="14"/>
  <c r="AD18" i="14" s="1"/>
  <c r="AE18" i="14"/>
  <c r="AC19" i="14"/>
  <c r="AD19" i="14"/>
  <c r="AE19" i="14"/>
  <c r="AC20" i="14"/>
  <c r="AD20" i="14"/>
  <c r="AE20" i="14"/>
  <c r="AC21" i="14"/>
  <c r="AD21" i="14"/>
  <c r="AE21" i="14"/>
  <c r="AC22" i="14"/>
  <c r="AD22" i="14"/>
  <c r="AE22" i="14"/>
  <c r="AC23" i="14"/>
  <c r="AD23" i="14" s="1"/>
  <c r="AE23" i="14"/>
  <c r="AC24" i="14"/>
  <c r="AD24" i="14"/>
  <c r="AE24" i="14"/>
  <c r="AC25" i="14"/>
  <c r="AD25" i="14"/>
  <c r="AE25" i="14"/>
  <c r="AC26" i="14"/>
  <c r="AD26" i="14" s="1"/>
  <c r="AE26" i="14"/>
  <c r="AC27" i="14"/>
  <c r="AD27" i="14"/>
  <c r="AE27" i="14"/>
  <c r="AC28" i="14"/>
  <c r="AD28" i="14"/>
  <c r="AE28" i="14"/>
  <c r="AC29" i="14"/>
  <c r="AD29" i="14"/>
  <c r="AE29" i="14"/>
  <c r="AC30" i="14"/>
  <c r="AD30" i="14"/>
  <c r="AE30" i="14"/>
  <c r="AC31" i="14"/>
  <c r="AD31" i="14" s="1"/>
  <c r="AE31" i="14"/>
  <c r="AC32" i="14"/>
  <c r="AD32" i="14" s="1"/>
  <c r="AE32" i="14"/>
  <c r="AC33" i="14"/>
  <c r="AD33" i="14"/>
  <c r="AE33" i="14"/>
  <c r="AC34" i="14"/>
  <c r="AD34" i="14" s="1"/>
  <c r="AE34" i="14"/>
  <c r="AC35" i="14"/>
  <c r="AD35" i="14"/>
  <c r="AE35" i="14"/>
  <c r="AC36" i="14"/>
  <c r="AD36" i="14"/>
  <c r="AE36" i="14"/>
  <c r="AC37" i="14"/>
  <c r="AD37" i="14"/>
  <c r="AE37" i="14"/>
  <c r="AC38" i="14"/>
  <c r="AD38" i="14"/>
  <c r="AE38" i="14"/>
  <c r="AC39" i="14"/>
  <c r="AD39" i="14" s="1"/>
  <c r="AC41" i="14"/>
  <c r="AD41" i="14" s="1"/>
  <c r="AC42" i="14"/>
  <c r="AD42" i="14"/>
  <c r="AC43" i="14"/>
  <c r="AD43" i="14" s="1"/>
  <c r="AC46" i="14"/>
  <c r="AC47" i="14"/>
  <c r="AD47" i="14" s="1"/>
  <c r="AC48" i="14"/>
  <c r="AD48" i="14"/>
  <c r="AC49" i="14"/>
  <c r="AD49" i="14" s="1"/>
  <c r="AC50" i="14"/>
  <c r="AD50" i="14"/>
  <c r="AC51" i="14"/>
  <c r="AD51" i="14" s="1"/>
  <c r="AC52" i="14"/>
  <c r="AD52" i="14"/>
  <c r="E36" i="26"/>
  <c r="D36" i="26"/>
  <c r="I36" i="26" s="1"/>
  <c r="I33" i="26"/>
  <c r="E33" i="26"/>
  <c r="E41" i="26" s="1"/>
  <c r="D33" i="26"/>
  <c r="D41" i="26" s="1"/>
  <c r="F30" i="26"/>
  <c r="E30" i="26"/>
  <c r="D30" i="26"/>
  <c r="G27" i="26"/>
  <c r="F27" i="26"/>
  <c r="E27" i="26"/>
  <c r="D27" i="26"/>
  <c r="G24" i="26"/>
  <c r="F24" i="26"/>
  <c r="E24" i="26"/>
  <c r="D24" i="26"/>
  <c r="I24" i="26" s="1"/>
  <c r="G21" i="26"/>
  <c r="F21" i="26"/>
  <c r="E21" i="26" s="1"/>
  <c r="D21" i="26" s="1"/>
  <c r="F18" i="26"/>
  <c r="E18" i="26"/>
  <c r="D18" i="26"/>
  <c r="I15" i="26"/>
  <c r="F15" i="26"/>
  <c r="E15" i="26"/>
  <c r="D15" i="26"/>
  <c r="G12" i="26"/>
  <c r="G9" i="26"/>
  <c r="F9" i="26"/>
  <c r="F44" i="26" s="1"/>
  <c r="E9" i="26"/>
  <c r="E44" i="26" s="1"/>
  <c r="D9" i="26"/>
  <c r="D44" i="26" s="1"/>
  <c r="C9" i="26"/>
  <c r="C44" i="26" s="1"/>
  <c r="G6" i="26"/>
  <c r="F6" i="26"/>
  <c r="F41" i="26" s="1"/>
  <c r="E6" i="26"/>
  <c r="D6" i="26"/>
  <c r="C6" i="26"/>
  <c r="G3" i="26"/>
  <c r="F3" i="26" s="1"/>
  <c r="AI37" i="15" l="1"/>
  <c r="AJ37" i="15" s="1"/>
  <c r="AJ36" i="15"/>
  <c r="F12" i="26"/>
  <c r="E3" i="26"/>
  <c r="I44" i="26"/>
  <c r="G44" i="26"/>
  <c r="I9" i="26"/>
  <c r="C41" i="26"/>
  <c r="I18" i="26"/>
  <c r="G41" i="26"/>
  <c r="I6" i="26"/>
  <c r="I27" i="26"/>
  <c r="J36" i="26" l="1"/>
  <c r="J9" i="26"/>
  <c r="J27" i="26"/>
  <c r="D3" i="26"/>
  <c r="E12" i="26"/>
  <c r="J18" i="26"/>
  <c r="J6" i="26"/>
  <c r="I41" i="26"/>
  <c r="J15" i="26" l="1"/>
  <c r="J24" i="26"/>
  <c r="J33" i="26"/>
  <c r="J41" i="26" s="1"/>
  <c r="C3" i="26"/>
  <c r="C12" i="26" s="1"/>
  <c r="D12" i="26"/>
  <c r="J44" i="26"/>
  <c r="G41" i="25" l="1"/>
  <c r="E36" i="25"/>
  <c r="D36" i="25"/>
  <c r="J36" i="25" s="1"/>
  <c r="E33" i="25"/>
  <c r="E41" i="25" s="1"/>
  <c r="D33" i="25"/>
  <c r="H30" i="25"/>
  <c r="G30" i="25"/>
  <c r="F30" i="25" s="1"/>
  <c r="E30" i="25" s="1"/>
  <c r="D30" i="25" s="1"/>
  <c r="C30" i="25" s="1"/>
  <c r="H27" i="25"/>
  <c r="H44" i="25" s="1"/>
  <c r="G27" i="25"/>
  <c r="F27" i="25"/>
  <c r="E27" i="25"/>
  <c r="D27" i="25"/>
  <c r="D44" i="25" s="1"/>
  <c r="J24" i="25"/>
  <c r="H24" i="25"/>
  <c r="G24" i="25"/>
  <c r="F24" i="25"/>
  <c r="F41" i="25" s="1"/>
  <c r="E24" i="25"/>
  <c r="D24" i="25"/>
  <c r="G21" i="25"/>
  <c r="F21" i="25" s="1"/>
  <c r="E21" i="25" s="1"/>
  <c r="D21" i="25" s="1"/>
  <c r="C21" i="25" s="1"/>
  <c r="F18" i="25"/>
  <c r="F44" i="25" s="1"/>
  <c r="E18" i="25"/>
  <c r="E44" i="25" s="1"/>
  <c r="D18" i="25"/>
  <c r="J18" i="25" s="1"/>
  <c r="F15" i="25"/>
  <c r="E15" i="25"/>
  <c r="D15" i="25"/>
  <c r="J15" i="25" s="1"/>
  <c r="G12" i="25"/>
  <c r="F12" i="25"/>
  <c r="G9" i="25"/>
  <c r="G44" i="25" s="1"/>
  <c r="C9" i="25"/>
  <c r="J9" i="25" s="1"/>
  <c r="G6" i="25"/>
  <c r="F6" i="25"/>
  <c r="E6" i="25"/>
  <c r="D6" i="25"/>
  <c r="C6" i="25"/>
  <c r="F3" i="25"/>
  <c r="E3" i="25" s="1"/>
  <c r="E12" i="25" l="1"/>
  <c r="D3" i="25"/>
  <c r="H41" i="25"/>
  <c r="C44" i="25"/>
  <c r="J33" i="25"/>
  <c r="C41" i="25"/>
  <c r="J6" i="25"/>
  <c r="J27" i="25"/>
  <c r="D41" i="25"/>
  <c r="J41" i="25" l="1"/>
  <c r="D12" i="25"/>
  <c r="C3" i="25"/>
  <c r="C12" i="25" s="1"/>
  <c r="J44" i="25"/>
  <c r="K24" i="25" l="1"/>
  <c r="K15" i="25"/>
  <c r="K9" i="25"/>
  <c r="K18" i="25"/>
  <c r="K36" i="25"/>
  <c r="K44" i="25" s="1"/>
  <c r="K33" i="25"/>
  <c r="K41" i="25" s="1"/>
  <c r="K27" i="25"/>
  <c r="K6" i="25"/>
  <c r="V47" i="23" l="1"/>
  <c r="U47" i="23"/>
  <c r="T47" i="23"/>
  <c r="S47" i="23"/>
  <c r="R47" i="23"/>
  <c r="Q47" i="23"/>
  <c r="P47" i="23"/>
  <c r="O47" i="23"/>
  <c r="N47" i="23"/>
  <c r="M47" i="23"/>
  <c r="L47" i="23"/>
  <c r="K47" i="23"/>
  <c r="J47" i="23"/>
  <c r="I47" i="23"/>
  <c r="H47" i="23"/>
  <c r="G47" i="23"/>
  <c r="F47" i="23"/>
  <c r="C47" i="23"/>
  <c r="B47" i="23"/>
  <c r="A47" i="23"/>
  <c r="Z46" i="23"/>
  <c r="Y46" i="23"/>
  <c r="X46" i="23"/>
  <c r="W46" i="23"/>
  <c r="V46" i="23"/>
  <c r="U46" i="23"/>
  <c r="T46" i="23"/>
  <c r="S46" i="23"/>
  <c r="R46" i="23"/>
  <c r="Q46" i="23"/>
  <c r="P46" i="23"/>
  <c r="O46" i="23"/>
  <c r="N46" i="23"/>
  <c r="M46" i="23"/>
  <c r="L46" i="23"/>
  <c r="K46" i="23"/>
  <c r="J46" i="23"/>
  <c r="I46" i="23"/>
  <c r="H46" i="23"/>
  <c r="G46" i="23"/>
  <c r="F46" i="23"/>
  <c r="Z45" i="23"/>
  <c r="W45" i="23"/>
  <c r="V45" i="23"/>
  <c r="U45" i="23"/>
  <c r="T45" i="23"/>
  <c r="S45" i="23"/>
  <c r="R45" i="23"/>
  <c r="Q45" i="23"/>
  <c r="P45" i="23"/>
  <c r="O45" i="23"/>
  <c r="N45" i="23"/>
  <c r="M45" i="23"/>
  <c r="L45" i="23"/>
  <c r="K45" i="23"/>
  <c r="J45" i="23"/>
  <c r="I45" i="23"/>
  <c r="H45" i="23"/>
  <c r="X45" i="23" s="1"/>
  <c r="Y45" i="23" s="1"/>
  <c r="G45" i="23"/>
  <c r="F45" i="23"/>
  <c r="E45" i="23"/>
  <c r="Z44" i="23"/>
  <c r="W44" i="23"/>
  <c r="V44" i="23"/>
  <c r="U44" i="23"/>
  <c r="T44" i="23"/>
  <c r="S44" i="23"/>
  <c r="R44" i="23"/>
  <c r="Q44" i="23"/>
  <c r="P44" i="23"/>
  <c r="O44" i="23"/>
  <c r="N44" i="23"/>
  <c r="M44" i="23"/>
  <c r="L44" i="23"/>
  <c r="K44" i="23"/>
  <c r="J44" i="23"/>
  <c r="I44" i="23"/>
  <c r="H44" i="23"/>
  <c r="G44" i="23"/>
  <c r="F44" i="23"/>
  <c r="X44" i="23" s="1"/>
  <c r="Y44" i="23" s="1"/>
  <c r="E44" i="23"/>
  <c r="Z43" i="23"/>
  <c r="W43" i="23"/>
  <c r="V43" i="23"/>
  <c r="U43" i="23"/>
  <c r="T43" i="23"/>
  <c r="S43" i="23"/>
  <c r="R43" i="23"/>
  <c r="Q43" i="23"/>
  <c r="P43" i="23"/>
  <c r="O43" i="23"/>
  <c r="N43" i="23"/>
  <c r="M43" i="23"/>
  <c r="L43" i="23"/>
  <c r="K43" i="23"/>
  <c r="J43" i="23"/>
  <c r="I43" i="23"/>
  <c r="H43" i="23"/>
  <c r="X43" i="23" s="1"/>
  <c r="Y43" i="23" s="1"/>
  <c r="G43" i="23"/>
  <c r="F43" i="23"/>
  <c r="E43" i="23"/>
  <c r="Z42" i="23"/>
  <c r="W42" i="23"/>
  <c r="V42" i="23"/>
  <c r="U42" i="23"/>
  <c r="T42" i="23"/>
  <c r="S42" i="23"/>
  <c r="R42" i="23"/>
  <c r="Q42" i="23"/>
  <c r="P42" i="23"/>
  <c r="O42" i="23"/>
  <c r="N42" i="23"/>
  <c r="M42" i="23"/>
  <c r="L42" i="23"/>
  <c r="K42" i="23"/>
  <c r="J42" i="23"/>
  <c r="I42" i="23"/>
  <c r="H42" i="23"/>
  <c r="G42" i="23"/>
  <c r="F42" i="23"/>
  <c r="E42" i="23"/>
  <c r="X42" i="23" s="1"/>
  <c r="Y42" i="23" s="1"/>
  <c r="Z41" i="23"/>
  <c r="W41" i="23"/>
  <c r="V41" i="23"/>
  <c r="U41" i="23"/>
  <c r="T41" i="23"/>
  <c r="S41" i="23"/>
  <c r="R41" i="23"/>
  <c r="Q41" i="23"/>
  <c r="P41" i="23"/>
  <c r="O41" i="23"/>
  <c r="N41" i="23"/>
  <c r="M41" i="23"/>
  <c r="L41" i="23"/>
  <c r="K41" i="23"/>
  <c r="J41" i="23"/>
  <c r="I41" i="23"/>
  <c r="H41" i="23"/>
  <c r="X41" i="23" s="1"/>
  <c r="Y41" i="23" s="1"/>
  <c r="G41" i="23"/>
  <c r="F41" i="23"/>
  <c r="E41" i="23"/>
  <c r="Z40" i="23"/>
  <c r="W40" i="23"/>
  <c r="V40" i="23"/>
  <c r="U40" i="23"/>
  <c r="T40" i="23"/>
  <c r="S40" i="23"/>
  <c r="R40" i="23"/>
  <c r="Q40" i="23"/>
  <c r="P40" i="23"/>
  <c r="O40" i="23"/>
  <c r="N40" i="23"/>
  <c r="M40" i="23"/>
  <c r="L40" i="23"/>
  <c r="K40" i="23"/>
  <c r="J40" i="23"/>
  <c r="I40" i="23"/>
  <c r="H40" i="23"/>
  <c r="G40" i="23"/>
  <c r="F40" i="23"/>
  <c r="X40" i="23" s="1"/>
  <c r="Y40" i="23" s="1"/>
  <c r="E40" i="23"/>
  <c r="Z39" i="23"/>
  <c r="Z37" i="23"/>
  <c r="Y37" i="23"/>
  <c r="X37" i="23"/>
  <c r="W37" i="23"/>
  <c r="V37" i="23"/>
  <c r="U37" i="23"/>
  <c r="T37" i="23"/>
  <c r="S37" i="23"/>
  <c r="R37" i="23"/>
  <c r="Q37" i="23"/>
  <c r="P37" i="23"/>
  <c r="O37" i="23"/>
  <c r="N37" i="23"/>
  <c r="M37" i="23"/>
  <c r="L37" i="23"/>
  <c r="K37" i="23"/>
  <c r="J37" i="23"/>
  <c r="I37" i="23"/>
  <c r="H37" i="23"/>
  <c r="G37" i="23"/>
  <c r="F37" i="23"/>
  <c r="E37" i="23"/>
  <c r="Z36" i="23"/>
  <c r="W36" i="23"/>
  <c r="V36" i="23"/>
  <c r="U36" i="23"/>
  <c r="T36" i="23"/>
  <c r="S36" i="23"/>
  <c r="R36" i="23"/>
  <c r="Q36" i="23"/>
  <c r="P36" i="23"/>
  <c r="O36" i="23"/>
  <c r="N36" i="23"/>
  <c r="M36" i="23"/>
  <c r="L36" i="23"/>
  <c r="K36" i="23"/>
  <c r="J36" i="23"/>
  <c r="I36" i="23"/>
  <c r="H36" i="23"/>
  <c r="G36" i="23"/>
  <c r="F36" i="23"/>
  <c r="E36" i="23"/>
  <c r="X36" i="23" s="1"/>
  <c r="Y36" i="23" s="1"/>
  <c r="Z35" i="23"/>
  <c r="W35" i="23"/>
  <c r="V35" i="23"/>
  <c r="U35" i="23"/>
  <c r="T35" i="23"/>
  <c r="S35" i="23"/>
  <c r="R35" i="23"/>
  <c r="Q35" i="23"/>
  <c r="P35" i="23"/>
  <c r="O35" i="23"/>
  <c r="N35" i="23"/>
  <c r="M35" i="23"/>
  <c r="L35" i="23"/>
  <c r="K35" i="23"/>
  <c r="J35" i="23"/>
  <c r="I35" i="23"/>
  <c r="H35" i="23"/>
  <c r="G35" i="23"/>
  <c r="F35" i="23"/>
  <c r="E35" i="23"/>
  <c r="X35" i="23" s="1"/>
  <c r="Y35" i="23" s="1"/>
  <c r="Z34" i="23"/>
  <c r="W34" i="23"/>
  <c r="V34" i="23"/>
  <c r="U34" i="23"/>
  <c r="T34" i="23"/>
  <c r="S34" i="23"/>
  <c r="R34" i="23"/>
  <c r="Q34" i="23"/>
  <c r="P34" i="23"/>
  <c r="O34" i="23"/>
  <c r="N34" i="23"/>
  <c r="M34" i="23"/>
  <c r="L34" i="23"/>
  <c r="K34" i="23"/>
  <c r="J34" i="23"/>
  <c r="I34" i="23"/>
  <c r="H34" i="23"/>
  <c r="G34" i="23"/>
  <c r="X34" i="23" s="1"/>
  <c r="Y34" i="23" s="1"/>
  <c r="F34" i="23"/>
  <c r="E34" i="23"/>
  <c r="Z33" i="23"/>
  <c r="W33" i="23"/>
  <c r="V33" i="23"/>
  <c r="U33" i="23"/>
  <c r="T33" i="23"/>
  <c r="S33" i="23"/>
  <c r="R33" i="23"/>
  <c r="Q33" i="23"/>
  <c r="P33" i="23"/>
  <c r="O33" i="23"/>
  <c r="N33" i="23"/>
  <c r="M33" i="23"/>
  <c r="L33" i="23"/>
  <c r="K33" i="23"/>
  <c r="J33" i="23"/>
  <c r="I33" i="23"/>
  <c r="H33" i="23"/>
  <c r="G33" i="23"/>
  <c r="F33" i="23"/>
  <c r="E33" i="23"/>
  <c r="X33" i="23" s="1"/>
  <c r="Y33" i="23" s="1"/>
  <c r="Z32" i="23"/>
  <c r="W32" i="23"/>
  <c r="V32" i="23"/>
  <c r="U32" i="23"/>
  <c r="T32" i="23"/>
  <c r="S32" i="23"/>
  <c r="R32" i="23"/>
  <c r="Q32" i="23"/>
  <c r="P32" i="23"/>
  <c r="O32" i="23"/>
  <c r="N32" i="23"/>
  <c r="M32" i="23"/>
  <c r="L32" i="23"/>
  <c r="K32" i="23"/>
  <c r="J32" i="23"/>
  <c r="I32" i="23"/>
  <c r="H32" i="23"/>
  <c r="G32" i="23"/>
  <c r="F32" i="23"/>
  <c r="E32" i="23"/>
  <c r="X32" i="23" s="1"/>
  <c r="Y32" i="23" s="1"/>
  <c r="Z31" i="23"/>
  <c r="W31" i="23"/>
  <c r="V31" i="23"/>
  <c r="U31" i="23"/>
  <c r="T31" i="23"/>
  <c r="S31" i="23"/>
  <c r="R31" i="23"/>
  <c r="Q31" i="23"/>
  <c r="P31" i="23"/>
  <c r="O31" i="23"/>
  <c r="N31" i="23"/>
  <c r="M31" i="23"/>
  <c r="L31" i="23"/>
  <c r="K31" i="23"/>
  <c r="J31" i="23"/>
  <c r="I31" i="23"/>
  <c r="H31" i="23"/>
  <c r="G31" i="23"/>
  <c r="F31" i="23"/>
  <c r="E31" i="23"/>
  <c r="X31" i="23" s="1"/>
  <c r="Y31" i="23" s="1"/>
  <c r="Z30" i="23"/>
  <c r="W30" i="23"/>
  <c r="V30" i="23"/>
  <c r="U30" i="23"/>
  <c r="T30" i="23"/>
  <c r="S30" i="23"/>
  <c r="R30" i="23"/>
  <c r="Q30" i="23"/>
  <c r="P30" i="23"/>
  <c r="O30" i="23"/>
  <c r="N30" i="23"/>
  <c r="M30" i="23"/>
  <c r="L30" i="23"/>
  <c r="K30" i="23"/>
  <c r="J30" i="23"/>
  <c r="I30" i="23"/>
  <c r="H30" i="23"/>
  <c r="G30" i="23"/>
  <c r="F30" i="23"/>
  <c r="X30" i="23" s="1"/>
  <c r="Y30" i="23" s="1"/>
  <c r="E30" i="23"/>
  <c r="Z29" i="23"/>
  <c r="W29" i="23"/>
  <c r="V29" i="23"/>
  <c r="U29" i="23"/>
  <c r="T29" i="23"/>
  <c r="S29" i="23"/>
  <c r="R29" i="23"/>
  <c r="Q29" i="23"/>
  <c r="P29" i="23"/>
  <c r="O29" i="23"/>
  <c r="N29" i="23"/>
  <c r="M29" i="23"/>
  <c r="L29" i="23"/>
  <c r="K29" i="23"/>
  <c r="J29" i="23"/>
  <c r="I29" i="23"/>
  <c r="H29" i="23"/>
  <c r="G29" i="23"/>
  <c r="F29" i="23"/>
  <c r="E29" i="23"/>
  <c r="X29" i="23" s="1"/>
  <c r="Y29" i="23" s="1"/>
  <c r="Z28" i="23"/>
  <c r="W28" i="23"/>
  <c r="V28" i="23"/>
  <c r="U28" i="23"/>
  <c r="T28" i="23"/>
  <c r="S28" i="23"/>
  <c r="R28" i="23"/>
  <c r="Q28" i="23"/>
  <c r="P28" i="23"/>
  <c r="O28" i="23"/>
  <c r="N28" i="23"/>
  <c r="M28" i="23"/>
  <c r="L28" i="23"/>
  <c r="K28" i="23"/>
  <c r="J28" i="23"/>
  <c r="I28" i="23"/>
  <c r="H28" i="23"/>
  <c r="G28" i="23"/>
  <c r="F28" i="23"/>
  <c r="E28" i="23"/>
  <c r="X28" i="23" s="1"/>
  <c r="Y28" i="23" s="1"/>
  <c r="Z27" i="23"/>
  <c r="W27" i="23"/>
  <c r="V27" i="23"/>
  <c r="U27" i="23"/>
  <c r="T27" i="23"/>
  <c r="S27" i="23"/>
  <c r="R27" i="23"/>
  <c r="Q27" i="23"/>
  <c r="P27" i="23"/>
  <c r="O27" i="23"/>
  <c r="N27" i="23"/>
  <c r="M27" i="23"/>
  <c r="L27" i="23"/>
  <c r="K27" i="23"/>
  <c r="J27" i="23"/>
  <c r="I27" i="23"/>
  <c r="H27" i="23"/>
  <c r="G27" i="23"/>
  <c r="F27" i="23"/>
  <c r="E27" i="23"/>
  <c r="X27" i="23" s="1"/>
  <c r="Y27" i="23" s="1"/>
  <c r="Z26" i="23"/>
  <c r="W26" i="23"/>
  <c r="V26" i="23"/>
  <c r="U26" i="23"/>
  <c r="T26" i="23"/>
  <c r="S26" i="23"/>
  <c r="R26" i="23"/>
  <c r="Q26" i="23"/>
  <c r="P26" i="23"/>
  <c r="O26" i="23"/>
  <c r="N26" i="23"/>
  <c r="M26" i="23"/>
  <c r="L26" i="23"/>
  <c r="K26" i="23"/>
  <c r="J26" i="23"/>
  <c r="I26" i="23"/>
  <c r="H26" i="23"/>
  <c r="G26" i="23"/>
  <c r="F26" i="23"/>
  <c r="X26" i="23" s="1"/>
  <c r="Y26" i="23" s="1"/>
  <c r="E26" i="23"/>
  <c r="Z25" i="23"/>
  <c r="W25" i="23"/>
  <c r="V25" i="23"/>
  <c r="U25" i="23"/>
  <c r="T25" i="23"/>
  <c r="S25" i="23"/>
  <c r="R25" i="23"/>
  <c r="Q25" i="23"/>
  <c r="P25" i="23"/>
  <c r="O25" i="23"/>
  <c r="N25" i="23"/>
  <c r="M25" i="23"/>
  <c r="L25" i="23"/>
  <c r="K25" i="23"/>
  <c r="J25" i="23"/>
  <c r="I25" i="23"/>
  <c r="H25" i="23"/>
  <c r="G25" i="23"/>
  <c r="F25" i="23"/>
  <c r="E25" i="23"/>
  <c r="X25" i="23" s="1"/>
  <c r="Y25" i="23" s="1"/>
  <c r="Z24" i="23"/>
  <c r="W24" i="23"/>
  <c r="V24" i="23"/>
  <c r="U24" i="23"/>
  <c r="T24" i="23"/>
  <c r="S24" i="23"/>
  <c r="R24" i="23"/>
  <c r="Q24" i="23"/>
  <c r="P24" i="23"/>
  <c r="O24" i="23"/>
  <c r="N24" i="23"/>
  <c r="M24" i="23"/>
  <c r="L24" i="23"/>
  <c r="K24" i="23"/>
  <c r="J24" i="23"/>
  <c r="I24" i="23"/>
  <c r="H24" i="23"/>
  <c r="G24" i="23"/>
  <c r="F24" i="23"/>
  <c r="E24" i="23"/>
  <c r="X24" i="23" s="1"/>
  <c r="Y24" i="23" s="1"/>
  <c r="Z23" i="23"/>
  <c r="W23" i="23"/>
  <c r="V23" i="23"/>
  <c r="U23" i="23"/>
  <c r="T23" i="23"/>
  <c r="S23" i="23"/>
  <c r="R23" i="23"/>
  <c r="Q23" i="23"/>
  <c r="P23" i="23"/>
  <c r="O23" i="23"/>
  <c r="N23" i="23"/>
  <c r="M23" i="23"/>
  <c r="L23" i="23"/>
  <c r="K23" i="23"/>
  <c r="J23" i="23"/>
  <c r="I23" i="23"/>
  <c r="H23" i="23"/>
  <c r="G23" i="23"/>
  <c r="F23" i="23"/>
  <c r="E23" i="23"/>
  <c r="X23" i="23" s="1"/>
  <c r="Y23" i="23" s="1"/>
  <c r="Z22" i="23"/>
  <c r="W22" i="23"/>
  <c r="V22" i="23"/>
  <c r="U22" i="23"/>
  <c r="T22" i="23"/>
  <c r="S22" i="23"/>
  <c r="R22" i="23"/>
  <c r="Q22" i="23"/>
  <c r="P22" i="23"/>
  <c r="O22" i="23"/>
  <c r="N22" i="23"/>
  <c r="M22" i="23"/>
  <c r="L22" i="23"/>
  <c r="K22" i="23"/>
  <c r="J22" i="23"/>
  <c r="I22" i="23"/>
  <c r="H22" i="23"/>
  <c r="G22" i="23"/>
  <c r="F22" i="23"/>
  <c r="E22" i="23"/>
  <c r="X22" i="23" s="1"/>
  <c r="Y22" i="23" s="1"/>
  <c r="Z21" i="23"/>
  <c r="W21" i="23"/>
  <c r="V21" i="23"/>
  <c r="U21" i="23"/>
  <c r="T21" i="23"/>
  <c r="S21" i="23"/>
  <c r="R21" i="23"/>
  <c r="Q21" i="23"/>
  <c r="P21" i="23"/>
  <c r="O21" i="23"/>
  <c r="N21" i="23"/>
  <c r="M21" i="23"/>
  <c r="L21" i="23"/>
  <c r="K21" i="23"/>
  <c r="J21" i="23"/>
  <c r="I21" i="23"/>
  <c r="H21" i="23"/>
  <c r="G21" i="23"/>
  <c r="F21" i="23"/>
  <c r="E21" i="23"/>
  <c r="X21" i="23" s="1"/>
  <c r="Y21" i="23" s="1"/>
  <c r="Z20" i="23"/>
  <c r="W20" i="23"/>
  <c r="V20" i="23"/>
  <c r="U20" i="23"/>
  <c r="T20" i="23"/>
  <c r="S20" i="23"/>
  <c r="R20" i="23"/>
  <c r="Q20" i="23"/>
  <c r="P20" i="23"/>
  <c r="O20" i="23"/>
  <c r="N20" i="23"/>
  <c r="M20" i="23"/>
  <c r="L20" i="23"/>
  <c r="K20" i="23"/>
  <c r="J20" i="23"/>
  <c r="I20" i="23"/>
  <c r="H20" i="23"/>
  <c r="G20" i="23"/>
  <c r="F20" i="23"/>
  <c r="E20" i="23"/>
  <c r="X20" i="23" s="1"/>
  <c r="Y20" i="23" s="1"/>
  <c r="Z19" i="23"/>
  <c r="W19" i="23"/>
  <c r="V19" i="23"/>
  <c r="U19" i="23"/>
  <c r="T19" i="23"/>
  <c r="S19" i="23"/>
  <c r="R19" i="23"/>
  <c r="Q19" i="23"/>
  <c r="P19" i="23"/>
  <c r="O19" i="23"/>
  <c r="N19" i="23"/>
  <c r="M19" i="23"/>
  <c r="L19" i="23"/>
  <c r="K19" i="23"/>
  <c r="J19" i="23"/>
  <c r="I19" i="23"/>
  <c r="H19" i="23"/>
  <c r="G19" i="23"/>
  <c r="F19" i="23"/>
  <c r="E19" i="23"/>
  <c r="X19" i="23" s="1"/>
  <c r="Y19" i="23" s="1"/>
  <c r="W18" i="23"/>
  <c r="V18" i="23"/>
  <c r="U18" i="23"/>
  <c r="T18" i="23"/>
  <c r="S18" i="23"/>
  <c r="R18" i="23"/>
  <c r="Q18" i="23"/>
  <c r="P18" i="23"/>
  <c r="O18" i="23"/>
  <c r="N18" i="23"/>
  <c r="M18" i="23"/>
  <c r="L18" i="23"/>
  <c r="K18" i="23"/>
  <c r="J18" i="23"/>
  <c r="I18" i="23"/>
  <c r="H18" i="23"/>
  <c r="G18" i="23"/>
  <c r="F18" i="23"/>
  <c r="E18" i="23"/>
  <c r="Z17" i="23"/>
  <c r="Z15" i="23"/>
  <c r="Y15" i="23"/>
  <c r="X15" i="23"/>
  <c r="W15" i="23"/>
  <c r="V15" i="23"/>
  <c r="U15" i="23"/>
  <c r="T15" i="23"/>
  <c r="S15" i="23"/>
  <c r="R15" i="23"/>
  <c r="Q15" i="23"/>
  <c r="P15" i="23"/>
  <c r="O15" i="23"/>
  <c r="N15" i="23"/>
  <c r="M15" i="23"/>
  <c r="L15" i="23"/>
  <c r="K15" i="23"/>
  <c r="J15" i="23"/>
  <c r="I15" i="23"/>
  <c r="H15" i="23"/>
  <c r="G15" i="23"/>
  <c r="F15" i="23"/>
  <c r="E15" i="23"/>
  <c r="Z14" i="23"/>
  <c r="W14" i="23"/>
  <c r="V14" i="23"/>
  <c r="U14" i="23"/>
  <c r="T14" i="23"/>
  <c r="S14" i="23"/>
  <c r="R14" i="23"/>
  <c r="Q14" i="23"/>
  <c r="P14" i="23"/>
  <c r="O14" i="23"/>
  <c r="N14" i="23"/>
  <c r="M14" i="23"/>
  <c r="L14" i="23"/>
  <c r="K14" i="23"/>
  <c r="J14" i="23"/>
  <c r="I14" i="23"/>
  <c r="H14" i="23"/>
  <c r="G14" i="23"/>
  <c r="F14" i="23"/>
  <c r="E14" i="23"/>
  <c r="X14" i="23" s="1"/>
  <c r="Y14" i="23" s="1"/>
  <c r="Z13" i="23"/>
  <c r="W13" i="23"/>
  <c r="V13" i="23"/>
  <c r="U13" i="23"/>
  <c r="T13" i="23"/>
  <c r="S13" i="23"/>
  <c r="R13" i="23"/>
  <c r="Q13" i="23"/>
  <c r="P13" i="23"/>
  <c r="O13" i="23"/>
  <c r="N13" i="23"/>
  <c r="M13" i="23"/>
  <c r="L13" i="23"/>
  <c r="K13" i="23"/>
  <c r="J13" i="23"/>
  <c r="I13" i="23"/>
  <c r="H13" i="23"/>
  <c r="G13" i="23"/>
  <c r="F13" i="23"/>
  <c r="E13" i="23"/>
  <c r="X13" i="23" s="1"/>
  <c r="Y13" i="23" s="1"/>
  <c r="Z12" i="23"/>
  <c r="W12" i="23"/>
  <c r="V12" i="23"/>
  <c r="U12" i="23"/>
  <c r="T12" i="23"/>
  <c r="S12" i="23"/>
  <c r="R12" i="23"/>
  <c r="Q12" i="23"/>
  <c r="P12" i="23"/>
  <c r="O12" i="23"/>
  <c r="N12" i="23"/>
  <c r="M12" i="23"/>
  <c r="L12" i="23"/>
  <c r="K12" i="23"/>
  <c r="J12" i="23"/>
  <c r="I12" i="23"/>
  <c r="H12" i="23"/>
  <c r="G12" i="23"/>
  <c r="F12" i="23"/>
  <c r="E12" i="23"/>
  <c r="X12" i="23" s="1"/>
  <c r="Y12" i="23" s="1"/>
  <c r="Z11" i="23"/>
  <c r="W11" i="23"/>
  <c r="V11" i="23"/>
  <c r="U11" i="23"/>
  <c r="T11" i="23"/>
  <c r="S11" i="23"/>
  <c r="R11" i="23"/>
  <c r="Q11" i="23"/>
  <c r="P11" i="23"/>
  <c r="O11" i="23"/>
  <c r="N11" i="23"/>
  <c r="M11" i="23"/>
  <c r="L11" i="23"/>
  <c r="K11" i="23"/>
  <c r="J11" i="23"/>
  <c r="I11" i="23"/>
  <c r="H11" i="23"/>
  <c r="G11" i="23"/>
  <c r="F11" i="23"/>
  <c r="E11" i="23"/>
  <c r="X11" i="23" s="1"/>
  <c r="Y11" i="23" s="1"/>
  <c r="Z10" i="23"/>
  <c r="W10" i="23"/>
  <c r="V10" i="23"/>
  <c r="U10" i="23"/>
  <c r="T10" i="23"/>
  <c r="S10" i="23"/>
  <c r="R10" i="23"/>
  <c r="Q10" i="23"/>
  <c r="P10" i="23"/>
  <c r="O10" i="23"/>
  <c r="N10" i="23"/>
  <c r="M10" i="23"/>
  <c r="L10" i="23"/>
  <c r="K10" i="23"/>
  <c r="J10" i="23"/>
  <c r="I10" i="23"/>
  <c r="H10" i="23"/>
  <c r="G10" i="23"/>
  <c r="F10" i="23"/>
  <c r="E10" i="23"/>
  <c r="X10" i="23" s="1"/>
  <c r="Y10" i="23" s="1"/>
  <c r="Z9" i="23"/>
  <c r="W9" i="23"/>
  <c r="V9" i="23"/>
  <c r="U9" i="23"/>
  <c r="T9" i="23"/>
  <c r="S9" i="23"/>
  <c r="R9" i="23"/>
  <c r="Q9" i="23"/>
  <c r="P9" i="23"/>
  <c r="O9" i="23"/>
  <c r="N9" i="23"/>
  <c r="M9" i="23"/>
  <c r="L9" i="23"/>
  <c r="K9" i="23"/>
  <c r="J9" i="23"/>
  <c r="I9" i="23"/>
  <c r="H9" i="23"/>
  <c r="G9" i="23"/>
  <c r="F9" i="23"/>
  <c r="E9" i="23"/>
  <c r="X9" i="23" s="1"/>
  <c r="Y9" i="23" s="1"/>
  <c r="Z8" i="23"/>
  <c r="W8" i="23"/>
  <c r="V8" i="23"/>
  <c r="U8" i="23"/>
  <c r="T8" i="23"/>
  <c r="S8" i="23"/>
  <c r="R8" i="23"/>
  <c r="Q8" i="23"/>
  <c r="P8" i="23"/>
  <c r="O8" i="23"/>
  <c r="N8" i="23"/>
  <c r="M8" i="23"/>
  <c r="L8" i="23"/>
  <c r="K8" i="23"/>
  <c r="J8" i="23"/>
  <c r="I8" i="23"/>
  <c r="H8" i="23"/>
  <c r="G8" i="23"/>
  <c r="F8" i="23"/>
  <c r="E8" i="23"/>
  <c r="X8" i="23" s="1"/>
  <c r="Y8" i="23" s="1"/>
  <c r="Z7" i="23"/>
  <c r="W7" i="23"/>
  <c r="V7" i="23"/>
  <c r="U7" i="23"/>
  <c r="T7" i="23"/>
  <c r="S7" i="23"/>
  <c r="R7" i="23"/>
  <c r="Q7" i="23"/>
  <c r="P7" i="23"/>
  <c r="O7" i="23"/>
  <c r="N7" i="23"/>
  <c r="M7" i="23"/>
  <c r="L7" i="23"/>
  <c r="K7" i="23"/>
  <c r="J7" i="23"/>
  <c r="I7" i="23"/>
  <c r="H7" i="23"/>
  <c r="G7" i="23"/>
  <c r="F7" i="23"/>
  <c r="E7" i="23"/>
  <c r="X7" i="23" s="1"/>
  <c r="Y7" i="23" s="1"/>
  <c r="Y44" i="21" l="1"/>
  <c r="X44" i="21"/>
  <c r="W44" i="21"/>
  <c r="V44" i="21"/>
  <c r="U44" i="21"/>
  <c r="T44" i="21"/>
  <c r="S44" i="21"/>
  <c r="R44" i="21"/>
  <c r="Q44" i="21"/>
  <c r="P44" i="21"/>
  <c r="O44" i="21"/>
  <c r="N44" i="21"/>
  <c r="M44" i="21"/>
  <c r="L44" i="21"/>
  <c r="K44" i="21"/>
  <c r="J44" i="21"/>
  <c r="I44" i="21"/>
  <c r="H44" i="21"/>
  <c r="G44" i="21"/>
  <c r="F44" i="21"/>
  <c r="E44" i="21"/>
  <c r="C44" i="21"/>
  <c r="B44" i="21"/>
  <c r="A44" i="21"/>
  <c r="AC43" i="21"/>
  <c r="AB43" i="21"/>
  <c r="AA43" i="21"/>
  <c r="Z43" i="21"/>
  <c r="Y43" i="21"/>
  <c r="X43" i="21"/>
  <c r="W43" i="21"/>
  <c r="V43" i="21"/>
  <c r="U43" i="21"/>
  <c r="T43" i="21"/>
  <c r="S43" i="21"/>
  <c r="R43" i="21"/>
  <c r="Q43" i="21"/>
  <c r="P43" i="21"/>
  <c r="O43" i="21"/>
  <c r="N43" i="21"/>
  <c r="M43" i="21"/>
  <c r="L43" i="21"/>
  <c r="K43" i="21"/>
  <c r="J43" i="21"/>
  <c r="I43" i="21"/>
  <c r="H43" i="21"/>
  <c r="G43" i="21"/>
  <c r="F43" i="21"/>
  <c r="E43" i="21"/>
  <c r="AC42" i="21"/>
  <c r="Z42" i="21"/>
  <c r="Y42" i="21"/>
  <c r="X42" i="21"/>
  <c r="W42" i="21"/>
  <c r="V42" i="21"/>
  <c r="U42" i="21"/>
  <c r="T42" i="21"/>
  <c r="S42" i="21"/>
  <c r="R42" i="21"/>
  <c r="Q42" i="21"/>
  <c r="P42" i="21"/>
  <c r="O42" i="21"/>
  <c r="N42" i="21"/>
  <c r="M42" i="21"/>
  <c r="L42" i="21"/>
  <c r="K42" i="21"/>
  <c r="J42" i="21"/>
  <c r="I42" i="21"/>
  <c r="H42" i="21"/>
  <c r="AA42" i="21" s="1"/>
  <c r="AB42" i="21" s="1"/>
  <c r="G42" i="21"/>
  <c r="F42" i="21"/>
  <c r="E42" i="21"/>
  <c r="AC41" i="21"/>
  <c r="Z41" i="21"/>
  <c r="Y41" i="21"/>
  <c r="X41" i="21"/>
  <c r="W41" i="21"/>
  <c r="V41" i="21"/>
  <c r="U41" i="21"/>
  <c r="T41" i="21"/>
  <c r="S41" i="21"/>
  <c r="R41" i="21"/>
  <c r="Q41" i="21"/>
  <c r="P41" i="21"/>
  <c r="O41" i="21"/>
  <c r="N41" i="21"/>
  <c r="M41" i="21"/>
  <c r="L41" i="21"/>
  <c r="K41" i="21"/>
  <c r="J41" i="21"/>
  <c r="I41" i="21"/>
  <c r="H41" i="21"/>
  <c r="G41" i="21"/>
  <c r="F41" i="21"/>
  <c r="E41" i="21"/>
  <c r="AA41" i="21" s="1"/>
  <c r="AB41" i="21" s="1"/>
  <c r="AC40" i="21"/>
  <c r="Z40" i="21"/>
  <c r="Y40" i="21"/>
  <c r="X40" i="21"/>
  <c r="W40" i="21"/>
  <c r="V40" i="21"/>
  <c r="U40" i="21"/>
  <c r="T40" i="21"/>
  <c r="S40" i="21"/>
  <c r="R40" i="21"/>
  <c r="Q40" i="21"/>
  <c r="P40" i="21"/>
  <c r="O40" i="21"/>
  <c r="N40" i="21"/>
  <c r="M40" i="21"/>
  <c r="L40" i="21"/>
  <c r="K40" i="21"/>
  <c r="J40" i="21"/>
  <c r="AA40" i="21" s="1"/>
  <c r="AB40" i="21" s="1"/>
  <c r="I40" i="21"/>
  <c r="H40" i="21"/>
  <c r="G40" i="21"/>
  <c r="F40" i="21"/>
  <c r="E40" i="21"/>
  <c r="AC39" i="21"/>
  <c r="Z39" i="21"/>
  <c r="Y39" i="21"/>
  <c r="X39" i="21"/>
  <c r="W39" i="21"/>
  <c r="V39" i="21"/>
  <c r="U39" i="21"/>
  <c r="T39" i="21"/>
  <c r="S39" i="21"/>
  <c r="R39" i="21"/>
  <c r="Q39" i="21"/>
  <c r="P39" i="21"/>
  <c r="O39" i="21"/>
  <c r="N39" i="21"/>
  <c r="M39" i="21"/>
  <c r="L39" i="21"/>
  <c r="K39" i="21"/>
  <c r="AA39" i="21" s="1"/>
  <c r="AB39" i="21" s="1"/>
  <c r="J39" i="21"/>
  <c r="I39" i="21"/>
  <c r="H39" i="21"/>
  <c r="G39" i="21"/>
  <c r="F39" i="21"/>
  <c r="E39" i="21"/>
  <c r="AC38" i="21"/>
  <c r="Z38" i="21"/>
  <c r="Y38" i="21"/>
  <c r="X38" i="21"/>
  <c r="W38" i="21"/>
  <c r="V38" i="21"/>
  <c r="U38" i="21"/>
  <c r="T38" i="21"/>
  <c r="S38" i="21"/>
  <c r="R38" i="21"/>
  <c r="Q38" i="21"/>
  <c r="P38" i="21"/>
  <c r="O38" i="21"/>
  <c r="N38" i="21"/>
  <c r="M38" i="21"/>
  <c r="L38" i="21"/>
  <c r="K38" i="21"/>
  <c r="J38" i="21"/>
  <c r="I38" i="21"/>
  <c r="H38" i="21"/>
  <c r="G38" i="21"/>
  <c r="F38" i="21"/>
  <c r="E38" i="21"/>
  <c r="AA38" i="21" s="1"/>
  <c r="AB38" i="21" s="1"/>
  <c r="AC37" i="21"/>
  <c r="AC35" i="21"/>
  <c r="AB35" i="21"/>
  <c r="AA35" i="21"/>
  <c r="Z35" i="21"/>
  <c r="Y35" i="21"/>
  <c r="X35" i="21"/>
  <c r="W35" i="21"/>
  <c r="V35" i="21"/>
  <c r="U35" i="21"/>
  <c r="T35" i="21"/>
  <c r="S35" i="21"/>
  <c r="R35" i="21"/>
  <c r="Q35" i="21"/>
  <c r="P35" i="21"/>
  <c r="O35" i="21"/>
  <c r="N35" i="21"/>
  <c r="M35" i="21"/>
  <c r="L35" i="21"/>
  <c r="K35" i="21"/>
  <c r="J35" i="21"/>
  <c r="I35" i="21"/>
  <c r="H35" i="21"/>
  <c r="G35" i="21"/>
  <c r="F35" i="21"/>
  <c r="E35" i="21"/>
  <c r="AC34" i="21"/>
  <c r="Z34" i="21"/>
  <c r="Y34" i="21"/>
  <c r="X34" i="21"/>
  <c r="W34" i="21"/>
  <c r="V34" i="21"/>
  <c r="U34" i="21"/>
  <c r="T34" i="21"/>
  <c r="S34" i="21"/>
  <c r="R34" i="21"/>
  <c r="Q34" i="21"/>
  <c r="P34" i="21"/>
  <c r="O34" i="21"/>
  <c r="N34" i="21"/>
  <c r="M34" i="21"/>
  <c r="L34" i="21"/>
  <c r="K34" i="21"/>
  <c r="J34" i="21"/>
  <c r="I34" i="21"/>
  <c r="H34" i="21"/>
  <c r="G34" i="21"/>
  <c r="F34" i="21"/>
  <c r="E34" i="21"/>
  <c r="AA34" i="21" s="1"/>
  <c r="AB34" i="21" s="1"/>
  <c r="AC33" i="21"/>
  <c r="Z33" i="21"/>
  <c r="Y33" i="21"/>
  <c r="X33" i="21"/>
  <c r="W33" i="21"/>
  <c r="V33" i="21"/>
  <c r="U33" i="21"/>
  <c r="T33" i="21"/>
  <c r="S33" i="21"/>
  <c r="R33" i="21"/>
  <c r="Q33" i="21"/>
  <c r="P33" i="21"/>
  <c r="O33" i="21"/>
  <c r="N33" i="21"/>
  <c r="M33" i="21"/>
  <c r="L33" i="21"/>
  <c r="K33" i="21"/>
  <c r="J33" i="21"/>
  <c r="I33" i="21"/>
  <c r="H33" i="21"/>
  <c r="G33" i="21"/>
  <c r="F33" i="21"/>
  <c r="E33" i="21"/>
  <c r="AA33" i="21" s="1"/>
  <c r="AB33" i="21" s="1"/>
  <c r="AC32" i="21"/>
  <c r="Z32" i="21"/>
  <c r="Y32" i="21"/>
  <c r="X32" i="21"/>
  <c r="W32" i="21"/>
  <c r="V32" i="21"/>
  <c r="U32" i="21"/>
  <c r="T32" i="21"/>
  <c r="S32" i="21"/>
  <c r="R32" i="21"/>
  <c r="Q32" i="21"/>
  <c r="P32" i="21"/>
  <c r="O32" i="21"/>
  <c r="N32" i="21"/>
  <c r="M32" i="21"/>
  <c r="L32" i="21"/>
  <c r="K32" i="21"/>
  <c r="J32" i="21"/>
  <c r="I32" i="21"/>
  <c r="H32" i="21"/>
  <c r="G32" i="21"/>
  <c r="F32" i="21"/>
  <c r="E32" i="21"/>
  <c r="AA32" i="21" s="1"/>
  <c r="AB32" i="21" s="1"/>
  <c r="AC31" i="21"/>
  <c r="Z31" i="21"/>
  <c r="Y31" i="21"/>
  <c r="X31" i="21"/>
  <c r="W31" i="21"/>
  <c r="V31" i="21"/>
  <c r="U31" i="21"/>
  <c r="T31" i="21"/>
  <c r="S31" i="21"/>
  <c r="R31" i="21"/>
  <c r="Q31" i="21"/>
  <c r="P31" i="21"/>
  <c r="O31" i="21"/>
  <c r="N31" i="21"/>
  <c r="M31" i="21"/>
  <c r="L31" i="21"/>
  <c r="K31" i="21"/>
  <c r="J31" i="21"/>
  <c r="AA31" i="21" s="1"/>
  <c r="AB31" i="21" s="1"/>
  <c r="I31" i="21"/>
  <c r="H31" i="21"/>
  <c r="G31" i="21"/>
  <c r="F31" i="21"/>
  <c r="E31" i="21"/>
  <c r="AC30" i="21"/>
  <c r="Z30" i="21"/>
  <c r="Y30" i="21"/>
  <c r="X30" i="21"/>
  <c r="W30" i="21"/>
  <c r="V30" i="21"/>
  <c r="U30" i="21"/>
  <c r="T30" i="21"/>
  <c r="S30" i="21"/>
  <c r="R30" i="21"/>
  <c r="Q30" i="21"/>
  <c r="P30" i="21"/>
  <c r="O30" i="21"/>
  <c r="N30" i="21"/>
  <c r="M30" i="21"/>
  <c r="L30" i="21"/>
  <c r="K30" i="21"/>
  <c r="AA30" i="21" s="1"/>
  <c r="AB30" i="21" s="1"/>
  <c r="J30" i="21"/>
  <c r="I30" i="21"/>
  <c r="H30" i="21"/>
  <c r="G30" i="21"/>
  <c r="F30" i="21"/>
  <c r="E30" i="21"/>
  <c r="AC29" i="21"/>
  <c r="Z29" i="21"/>
  <c r="Y29" i="21"/>
  <c r="X29" i="21"/>
  <c r="W29" i="21"/>
  <c r="V29" i="21"/>
  <c r="U29" i="21"/>
  <c r="T29" i="21"/>
  <c r="S29" i="21"/>
  <c r="R29" i="21"/>
  <c r="Q29" i="21"/>
  <c r="P29" i="21"/>
  <c r="O29" i="21"/>
  <c r="N29" i="21"/>
  <c r="M29" i="21"/>
  <c r="L29" i="21"/>
  <c r="K29" i="21"/>
  <c r="J29" i="21"/>
  <c r="I29" i="21"/>
  <c r="H29" i="21"/>
  <c r="G29" i="21"/>
  <c r="F29" i="21"/>
  <c r="E29" i="21"/>
  <c r="AA29" i="21" s="1"/>
  <c r="AB29" i="21" s="1"/>
  <c r="AC28" i="21"/>
  <c r="Z28" i="21"/>
  <c r="Y28" i="21"/>
  <c r="X28" i="21"/>
  <c r="W28" i="21"/>
  <c r="V28" i="21"/>
  <c r="U28" i="21"/>
  <c r="T28" i="21"/>
  <c r="S28" i="21"/>
  <c r="R28" i="21"/>
  <c r="Q28" i="21"/>
  <c r="P28" i="21"/>
  <c r="O28" i="21"/>
  <c r="N28" i="21"/>
  <c r="M28" i="21"/>
  <c r="L28" i="21"/>
  <c r="K28" i="21"/>
  <c r="J28" i="21"/>
  <c r="I28" i="21"/>
  <c r="H28" i="21"/>
  <c r="G28" i="21"/>
  <c r="F28" i="21"/>
  <c r="E28" i="21"/>
  <c r="AA28" i="21" s="1"/>
  <c r="AB28" i="21" s="1"/>
  <c r="AC27" i="21"/>
  <c r="Z27" i="21"/>
  <c r="Y27" i="21"/>
  <c r="X27" i="21"/>
  <c r="W27" i="21"/>
  <c r="V27" i="21"/>
  <c r="U27" i="21"/>
  <c r="T27" i="21"/>
  <c r="S27" i="21"/>
  <c r="R27" i="21"/>
  <c r="Q27" i="21"/>
  <c r="P27" i="21"/>
  <c r="O27" i="21"/>
  <c r="N27" i="21"/>
  <c r="M27" i="21"/>
  <c r="L27" i="21"/>
  <c r="K27" i="21"/>
  <c r="J27" i="21"/>
  <c r="I27" i="21"/>
  <c r="H27" i="21"/>
  <c r="G27" i="21"/>
  <c r="F27" i="21"/>
  <c r="AA27" i="21" s="1"/>
  <c r="AB27" i="21" s="1"/>
  <c r="E27" i="21"/>
  <c r="AC26" i="21"/>
  <c r="Z26" i="21"/>
  <c r="Y26" i="21"/>
  <c r="X26" i="21"/>
  <c r="W26" i="21"/>
  <c r="V26" i="21"/>
  <c r="U26" i="21"/>
  <c r="T26" i="21"/>
  <c r="S26" i="21"/>
  <c r="R26" i="21"/>
  <c r="Q26" i="21"/>
  <c r="P26" i="21"/>
  <c r="O26" i="21"/>
  <c r="N26" i="21"/>
  <c r="M26" i="21"/>
  <c r="L26" i="21"/>
  <c r="K26" i="21"/>
  <c r="J26" i="21"/>
  <c r="I26" i="21"/>
  <c r="H26" i="21"/>
  <c r="G26" i="21"/>
  <c r="F26" i="21"/>
  <c r="E26" i="21"/>
  <c r="AA26" i="21" s="1"/>
  <c r="AB26" i="21" s="1"/>
  <c r="AC25" i="21"/>
  <c r="Z25" i="21"/>
  <c r="Y25" i="21"/>
  <c r="X25" i="21"/>
  <c r="W25" i="21"/>
  <c r="V25" i="21"/>
  <c r="U25" i="21"/>
  <c r="T25" i="21"/>
  <c r="S25" i="21"/>
  <c r="R25" i="21"/>
  <c r="Q25" i="21"/>
  <c r="P25" i="21"/>
  <c r="O25" i="21"/>
  <c r="N25" i="21"/>
  <c r="M25" i="21"/>
  <c r="L25" i="21"/>
  <c r="K25" i="21"/>
  <c r="J25" i="21"/>
  <c r="I25" i="21"/>
  <c r="H25" i="21"/>
  <c r="G25" i="21"/>
  <c r="F25" i="21"/>
  <c r="E25" i="21"/>
  <c r="AA25" i="21" s="1"/>
  <c r="AB25" i="21" s="1"/>
  <c r="AC24" i="21"/>
  <c r="Z24" i="21"/>
  <c r="Y24" i="21"/>
  <c r="X24" i="21"/>
  <c r="W24" i="21"/>
  <c r="V24" i="21"/>
  <c r="U24" i="21"/>
  <c r="T24" i="21"/>
  <c r="S24" i="21"/>
  <c r="R24" i="21"/>
  <c r="Q24" i="21"/>
  <c r="P24" i="21"/>
  <c r="O24" i="21"/>
  <c r="N24" i="21"/>
  <c r="M24" i="21"/>
  <c r="L24" i="21"/>
  <c r="K24" i="21"/>
  <c r="J24" i="21"/>
  <c r="I24" i="21"/>
  <c r="H24" i="21"/>
  <c r="G24" i="21"/>
  <c r="F24" i="21"/>
  <c r="E24" i="21"/>
  <c r="AA24" i="21" s="1"/>
  <c r="AB24" i="21" s="1"/>
  <c r="AC23" i="21"/>
  <c r="Z23" i="21"/>
  <c r="Y23" i="21"/>
  <c r="X23" i="21"/>
  <c r="W23" i="21"/>
  <c r="V23" i="21"/>
  <c r="U23" i="21"/>
  <c r="T23" i="21"/>
  <c r="S23" i="21"/>
  <c r="R23" i="21"/>
  <c r="Q23" i="21"/>
  <c r="P23" i="21"/>
  <c r="O23" i="21"/>
  <c r="N23" i="21"/>
  <c r="M23" i="21"/>
  <c r="L23" i="21"/>
  <c r="K23" i="21"/>
  <c r="J23" i="21"/>
  <c r="AA23" i="21" s="1"/>
  <c r="AB23" i="21" s="1"/>
  <c r="I23" i="21"/>
  <c r="H23" i="21"/>
  <c r="G23" i="21"/>
  <c r="F23" i="21"/>
  <c r="E23" i="21"/>
  <c r="AC22" i="21"/>
  <c r="Z22" i="21"/>
  <c r="Y22" i="21"/>
  <c r="X22" i="21"/>
  <c r="W22" i="21"/>
  <c r="V22" i="21"/>
  <c r="U22" i="21"/>
  <c r="T22" i="21"/>
  <c r="S22" i="21"/>
  <c r="R22" i="21"/>
  <c r="Q22" i="21"/>
  <c r="P22" i="21"/>
  <c r="O22" i="21"/>
  <c r="N22" i="21"/>
  <c r="M22" i="21"/>
  <c r="L22" i="21"/>
  <c r="K22" i="21"/>
  <c r="AA22" i="21" s="1"/>
  <c r="AB22" i="21" s="1"/>
  <c r="J22" i="21"/>
  <c r="I22" i="21"/>
  <c r="H22" i="21"/>
  <c r="G22" i="21"/>
  <c r="F22" i="21"/>
  <c r="E22" i="21"/>
  <c r="AC21" i="21"/>
  <c r="Z21" i="21"/>
  <c r="Y21" i="21"/>
  <c r="X21" i="21"/>
  <c r="W21" i="21"/>
  <c r="V21" i="21"/>
  <c r="U21" i="21"/>
  <c r="T21" i="21"/>
  <c r="S21" i="21"/>
  <c r="R21" i="21"/>
  <c r="Q21" i="21"/>
  <c r="P21" i="21"/>
  <c r="O21" i="21"/>
  <c r="N21" i="21"/>
  <c r="M21" i="21"/>
  <c r="L21" i="21"/>
  <c r="K21" i="21"/>
  <c r="J21" i="21"/>
  <c r="I21" i="21"/>
  <c r="H21" i="21"/>
  <c r="G21" i="21"/>
  <c r="F21" i="21"/>
  <c r="E21" i="21"/>
  <c r="AA21" i="21" s="1"/>
  <c r="AB21" i="21" s="1"/>
  <c r="AC20" i="21"/>
  <c r="Z20" i="21"/>
  <c r="Y20" i="21"/>
  <c r="X20" i="21"/>
  <c r="W20" i="21"/>
  <c r="V20" i="21"/>
  <c r="U20" i="21"/>
  <c r="T20" i="21"/>
  <c r="S20" i="21"/>
  <c r="R20" i="21"/>
  <c r="Q20" i="21"/>
  <c r="P20" i="21"/>
  <c r="O20" i="21"/>
  <c r="N20" i="21"/>
  <c r="M20" i="21"/>
  <c r="L20" i="21"/>
  <c r="K20" i="21"/>
  <c r="J20" i="21"/>
  <c r="I20" i="21"/>
  <c r="H20" i="21"/>
  <c r="G20" i="21"/>
  <c r="F20" i="21"/>
  <c r="E20" i="21"/>
  <c r="AA20" i="21" s="1"/>
  <c r="AB20" i="21" s="1"/>
  <c r="AC19" i="21"/>
  <c r="Z19" i="21"/>
  <c r="Y19" i="21"/>
  <c r="X19" i="21"/>
  <c r="W19" i="21"/>
  <c r="V19" i="21"/>
  <c r="U19" i="21"/>
  <c r="T19" i="21"/>
  <c r="S19" i="21"/>
  <c r="R19" i="21"/>
  <c r="Q19" i="21"/>
  <c r="P19" i="21"/>
  <c r="O19" i="21"/>
  <c r="N19" i="21"/>
  <c r="M19" i="21"/>
  <c r="L19" i="21"/>
  <c r="K19" i="21"/>
  <c r="J19" i="21"/>
  <c r="I19" i="21"/>
  <c r="H19" i="21"/>
  <c r="G19" i="21"/>
  <c r="F19" i="21"/>
  <c r="E19" i="21"/>
  <c r="AC18" i="21"/>
  <c r="Z18" i="21"/>
  <c r="Y18" i="21"/>
  <c r="X18" i="21"/>
  <c r="W18" i="21"/>
  <c r="V18" i="21"/>
  <c r="U18" i="21"/>
  <c r="T18" i="21"/>
  <c r="S18" i="21"/>
  <c r="R18" i="21"/>
  <c r="Q18" i="21"/>
  <c r="P18" i="21"/>
  <c r="O18" i="21"/>
  <c r="N18" i="21"/>
  <c r="M18" i="21"/>
  <c r="L18" i="21"/>
  <c r="K18" i="21"/>
  <c r="J18" i="21"/>
  <c r="I18" i="21"/>
  <c r="H18" i="21"/>
  <c r="G18" i="21"/>
  <c r="F18" i="21"/>
  <c r="E18" i="21"/>
  <c r="AA18" i="21" s="1"/>
  <c r="AB18" i="21" s="1"/>
  <c r="AC17" i="21"/>
  <c r="AC15" i="21"/>
  <c r="AB15" i="21"/>
  <c r="AA15" i="21"/>
  <c r="Z15" i="21"/>
  <c r="Y15" i="21"/>
  <c r="X15" i="21"/>
  <c r="W15" i="21"/>
  <c r="V15" i="21"/>
  <c r="U15" i="21"/>
  <c r="T15" i="21"/>
  <c r="S15" i="21"/>
  <c r="R15" i="21"/>
  <c r="Q15" i="21"/>
  <c r="P15" i="21"/>
  <c r="O15" i="21"/>
  <c r="N15" i="21"/>
  <c r="M15" i="21"/>
  <c r="L15" i="21"/>
  <c r="K15" i="21"/>
  <c r="J15" i="21"/>
  <c r="I15" i="21"/>
  <c r="H15" i="21"/>
  <c r="G15" i="21"/>
  <c r="F15" i="21"/>
  <c r="E15" i="21"/>
  <c r="AC14" i="21"/>
  <c r="Z14" i="21"/>
  <c r="Y14" i="21"/>
  <c r="X14" i="21"/>
  <c r="W14" i="21"/>
  <c r="V14" i="21"/>
  <c r="U14" i="21"/>
  <c r="T14" i="21"/>
  <c r="S14" i="21"/>
  <c r="R14" i="21"/>
  <c r="Q14" i="21"/>
  <c r="P14" i="21"/>
  <c r="O14" i="21"/>
  <c r="N14" i="21"/>
  <c r="M14" i="21"/>
  <c r="L14" i="21"/>
  <c r="K14" i="21"/>
  <c r="J14" i="21"/>
  <c r="I14" i="21"/>
  <c r="H14" i="21"/>
  <c r="G14" i="21"/>
  <c r="F14" i="21"/>
  <c r="E14" i="21"/>
  <c r="AA14" i="21" s="1"/>
  <c r="AB14" i="21" s="1"/>
  <c r="AC13" i="21"/>
  <c r="Z13" i="21"/>
  <c r="Y13" i="21"/>
  <c r="X13" i="21"/>
  <c r="W13" i="21"/>
  <c r="V13" i="21"/>
  <c r="U13" i="21"/>
  <c r="T13" i="21"/>
  <c r="S13" i="21"/>
  <c r="R13" i="21"/>
  <c r="Q13" i="21"/>
  <c r="P13" i="21"/>
  <c r="O13" i="21"/>
  <c r="N13" i="21"/>
  <c r="M13" i="21"/>
  <c r="L13" i="21"/>
  <c r="K13" i="21"/>
  <c r="J13" i="21"/>
  <c r="I13" i="21"/>
  <c r="H13" i="21"/>
  <c r="G13" i="21"/>
  <c r="F13" i="21"/>
  <c r="E13" i="21"/>
  <c r="AA13" i="21" s="1"/>
  <c r="AB13" i="21" s="1"/>
  <c r="AC12" i="21"/>
  <c r="Z12" i="21"/>
  <c r="Y12" i="21"/>
  <c r="X12" i="21"/>
  <c r="W12" i="21"/>
  <c r="V12" i="21"/>
  <c r="U12" i="21"/>
  <c r="T12" i="21"/>
  <c r="S12" i="21"/>
  <c r="R12" i="21"/>
  <c r="Q12" i="21"/>
  <c r="P12" i="21"/>
  <c r="O12" i="21"/>
  <c r="N12" i="21"/>
  <c r="M12" i="21"/>
  <c r="L12" i="21"/>
  <c r="K12" i="21"/>
  <c r="J12" i="21"/>
  <c r="AA12" i="21" s="1"/>
  <c r="AB12" i="21" s="1"/>
  <c r="I12" i="21"/>
  <c r="H12" i="21"/>
  <c r="G12" i="21"/>
  <c r="F12" i="21"/>
  <c r="E12" i="21"/>
  <c r="AC11" i="21"/>
  <c r="Z11" i="21"/>
  <c r="Y11" i="21"/>
  <c r="X11" i="21"/>
  <c r="W11" i="21"/>
  <c r="V11" i="21"/>
  <c r="U11" i="21"/>
  <c r="T11" i="21"/>
  <c r="S11" i="21"/>
  <c r="R11" i="21"/>
  <c r="Q11" i="21"/>
  <c r="P11" i="21"/>
  <c r="O11" i="21"/>
  <c r="N11" i="21"/>
  <c r="M11" i="21"/>
  <c r="L11" i="21"/>
  <c r="K11" i="21"/>
  <c r="AA11" i="21" s="1"/>
  <c r="AB11" i="21" s="1"/>
  <c r="J11" i="21"/>
  <c r="I11" i="21"/>
  <c r="H11" i="21"/>
  <c r="G11" i="21"/>
  <c r="F11" i="21"/>
  <c r="E11" i="21"/>
  <c r="AC10" i="21"/>
  <c r="Z10" i="21"/>
  <c r="Y10" i="21"/>
  <c r="X10" i="21"/>
  <c r="W10" i="21"/>
  <c r="V10" i="21"/>
  <c r="U10" i="21"/>
  <c r="T10" i="21"/>
  <c r="S10" i="21"/>
  <c r="R10" i="21"/>
  <c r="Q10" i="21"/>
  <c r="P10" i="21"/>
  <c r="O10" i="21"/>
  <c r="N10" i="21"/>
  <c r="M10" i="21"/>
  <c r="L10" i="21"/>
  <c r="K10" i="21"/>
  <c r="J10" i="21"/>
  <c r="I10" i="21"/>
  <c r="H10" i="21"/>
  <c r="G10" i="21"/>
  <c r="F10" i="21"/>
  <c r="E10" i="21"/>
  <c r="AA10" i="21" s="1"/>
  <c r="AB10" i="21" s="1"/>
  <c r="AC9" i="21"/>
  <c r="Z9" i="21"/>
  <c r="Y9" i="21"/>
  <c r="X9" i="21"/>
  <c r="W9" i="21"/>
  <c r="V9" i="21"/>
  <c r="U9" i="21"/>
  <c r="T9" i="21"/>
  <c r="S9" i="21"/>
  <c r="R9" i="21"/>
  <c r="Q9" i="21"/>
  <c r="P9" i="21"/>
  <c r="O9" i="21"/>
  <c r="N9" i="21"/>
  <c r="M9" i="21"/>
  <c r="L9" i="21"/>
  <c r="K9" i="21"/>
  <c r="J9" i="21"/>
  <c r="I9" i="21"/>
  <c r="H9" i="21"/>
  <c r="G9" i="21"/>
  <c r="F9" i="21"/>
  <c r="E9" i="21"/>
  <c r="AA9" i="21" s="1"/>
  <c r="AB9" i="21" s="1"/>
  <c r="AC8" i="21"/>
  <c r="Z8" i="21"/>
  <c r="Y8" i="21"/>
  <c r="X8" i="21"/>
  <c r="W8" i="21"/>
  <c r="V8" i="21"/>
  <c r="U8" i="21"/>
  <c r="T8" i="21"/>
  <c r="S8" i="21"/>
  <c r="R8" i="21"/>
  <c r="Q8" i="21"/>
  <c r="P8" i="21"/>
  <c r="O8" i="21"/>
  <c r="N8" i="21"/>
  <c r="M8" i="21"/>
  <c r="L8" i="21"/>
  <c r="K8" i="21"/>
  <c r="J8" i="21"/>
  <c r="I8" i="21"/>
  <c r="H8" i="21"/>
  <c r="G8" i="21"/>
  <c r="F8" i="21"/>
  <c r="E8" i="21"/>
  <c r="AA8" i="21" s="1"/>
  <c r="AB8" i="21" s="1"/>
  <c r="AC7" i="21"/>
  <c r="Z7" i="21"/>
  <c r="Y7" i="21"/>
  <c r="X7" i="21"/>
  <c r="W7" i="21"/>
  <c r="V7" i="21"/>
  <c r="U7" i="21"/>
  <c r="T7" i="21"/>
  <c r="S7" i="21"/>
  <c r="R7" i="21"/>
  <c r="Q7" i="21"/>
  <c r="P7" i="21"/>
  <c r="O7" i="21"/>
  <c r="N7" i="21"/>
  <c r="M7" i="21"/>
  <c r="L7" i="21"/>
  <c r="K7" i="21"/>
  <c r="J7" i="21"/>
  <c r="I7" i="21"/>
  <c r="H7" i="21"/>
  <c r="G7" i="21"/>
  <c r="F7" i="21"/>
  <c r="E7" i="21"/>
  <c r="J37" i="20" l="1"/>
  <c r="H37" i="20"/>
  <c r="G37" i="20"/>
  <c r="F37" i="20"/>
  <c r="E37" i="20"/>
  <c r="D37" i="20"/>
  <c r="C37" i="20"/>
  <c r="H34" i="20"/>
  <c r="G34" i="20"/>
  <c r="J34" i="20" s="1"/>
  <c r="F34" i="20"/>
  <c r="E34" i="20"/>
  <c r="D34" i="20"/>
  <c r="C34" i="20"/>
  <c r="J28" i="20"/>
  <c r="J25" i="20"/>
  <c r="J19" i="20"/>
  <c r="J16" i="20"/>
  <c r="J10" i="20"/>
  <c r="J7" i="20"/>
  <c r="W52" i="18" l="1"/>
  <c r="V52" i="18"/>
  <c r="U52" i="18"/>
  <c r="T52" i="18"/>
  <c r="S52" i="18"/>
  <c r="R52" i="18"/>
  <c r="Q52" i="18"/>
  <c r="P52" i="18"/>
  <c r="O52" i="18"/>
  <c r="N52" i="18"/>
  <c r="M52" i="18"/>
  <c r="L52" i="18"/>
  <c r="K52" i="18"/>
  <c r="J52" i="18"/>
  <c r="I52" i="18"/>
  <c r="H52" i="18"/>
  <c r="AA51" i="18"/>
  <c r="X51" i="18"/>
  <c r="W51" i="18"/>
  <c r="V51" i="18"/>
  <c r="U51" i="18"/>
  <c r="T51" i="18"/>
  <c r="S51" i="18"/>
  <c r="R51" i="18"/>
  <c r="Q51" i="18"/>
  <c r="P51" i="18"/>
  <c r="O51" i="18"/>
  <c r="N51" i="18"/>
  <c r="M51" i="18"/>
  <c r="L51" i="18"/>
  <c r="K51" i="18"/>
  <c r="J51" i="18"/>
  <c r="I51" i="18"/>
  <c r="H51" i="18"/>
  <c r="G51" i="18"/>
  <c r="AA50" i="18"/>
  <c r="X50" i="18"/>
  <c r="W50" i="18"/>
  <c r="V50" i="18"/>
  <c r="U50" i="18"/>
  <c r="T50" i="18"/>
  <c r="S50" i="18"/>
  <c r="R50" i="18"/>
  <c r="Q50" i="18"/>
  <c r="P50" i="18"/>
  <c r="O50" i="18"/>
  <c r="N50" i="18"/>
  <c r="M50" i="18"/>
  <c r="L50" i="18"/>
  <c r="K50" i="18"/>
  <c r="J50" i="18"/>
  <c r="I50" i="18"/>
  <c r="H50" i="18"/>
  <c r="G50" i="18"/>
  <c r="E50" i="18"/>
  <c r="D50" i="18"/>
  <c r="C50" i="18"/>
  <c r="B50" i="18"/>
  <c r="A50" i="18"/>
  <c r="AA49" i="18"/>
  <c r="X49" i="18"/>
  <c r="W49" i="18"/>
  <c r="V49" i="18"/>
  <c r="U49" i="18"/>
  <c r="T49" i="18"/>
  <c r="S49" i="18"/>
  <c r="R49" i="18"/>
  <c r="Q49" i="18"/>
  <c r="P49" i="18"/>
  <c r="O49" i="18"/>
  <c r="N49" i="18"/>
  <c r="M49" i="18"/>
  <c r="L49" i="18"/>
  <c r="K49" i="18"/>
  <c r="J49" i="18"/>
  <c r="I49" i="18"/>
  <c r="H49" i="18"/>
  <c r="G49" i="18"/>
  <c r="F49" i="18"/>
  <c r="E49" i="18"/>
  <c r="D49" i="18"/>
  <c r="C49" i="18"/>
  <c r="B49" i="18"/>
  <c r="A49" i="18"/>
  <c r="AA48" i="18"/>
  <c r="X48" i="18"/>
  <c r="W48" i="18"/>
  <c r="V48" i="18"/>
  <c r="U48" i="18"/>
  <c r="T48" i="18"/>
  <c r="S48" i="18"/>
  <c r="R48" i="18"/>
  <c r="Q48" i="18"/>
  <c r="P48" i="18"/>
  <c r="O48" i="18"/>
  <c r="N48" i="18"/>
  <c r="M48" i="18"/>
  <c r="L48" i="18"/>
  <c r="K48" i="18"/>
  <c r="J48" i="18"/>
  <c r="I48" i="18"/>
  <c r="H48" i="18"/>
  <c r="G48" i="18"/>
  <c r="F48" i="18"/>
  <c r="E48" i="18"/>
  <c r="D48" i="18"/>
  <c r="C48" i="18"/>
  <c r="B48" i="18"/>
  <c r="A48" i="18"/>
  <c r="AA47" i="18"/>
  <c r="X47" i="18"/>
  <c r="W47" i="18"/>
  <c r="V47" i="18"/>
  <c r="U47" i="18"/>
  <c r="T47" i="18"/>
  <c r="S47" i="18"/>
  <c r="R47" i="18"/>
  <c r="Q47" i="18"/>
  <c r="P47" i="18"/>
  <c r="O47" i="18"/>
  <c r="N47" i="18"/>
  <c r="M47" i="18"/>
  <c r="L47" i="18"/>
  <c r="K47" i="18"/>
  <c r="J47" i="18"/>
  <c r="I47" i="18"/>
  <c r="H47" i="18"/>
  <c r="G47" i="18"/>
  <c r="Y47" i="18" s="1"/>
  <c r="Z47" i="18" s="1"/>
  <c r="F47" i="18"/>
  <c r="E47" i="18"/>
  <c r="D47" i="18"/>
  <c r="C47" i="18"/>
  <c r="B47" i="18"/>
  <c r="A47" i="18"/>
  <c r="AA46" i="18"/>
  <c r="X46" i="18"/>
  <c r="W46" i="18"/>
  <c r="V46" i="18"/>
  <c r="U46" i="18"/>
  <c r="T46" i="18"/>
  <c r="S46" i="18"/>
  <c r="R46" i="18"/>
  <c r="Q46" i="18"/>
  <c r="P46" i="18"/>
  <c r="O46" i="18"/>
  <c r="N46" i="18"/>
  <c r="M46" i="18"/>
  <c r="L46" i="18"/>
  <c r="K46" i="18"/>
  <c r="J46" i="18"/>
  <c r="I46" i="18"/>
  <c r="H46" i="18"/>
  <c r="G46" i="18"/>
  <c r="F46" i="18"/>
  <c r="E46" i="18"/>
  <c r="D46" i="18"/>
  <c r="C46" i="18"/>
  <c r="B46" i="18"/>
  <c r="A46" i="18"/>
  <c r="AA45" i="18"/>
  <c r="X45" i="18"/>
  <c r="W45" i="18"/>
  <c r="V45" i="18"/>
  <c r="U45" i="18"/>
  <c r="T45" i="18"/>
  <c r="S45" i="18"/>
  <c r="R45" i="18"/>
  <c r="Q45" i="18"/>
  <c r="P45" i="18"/>
  <c r="O45" i="18"/>
  <c r="N45" i="18"/>
  <c r="M45" i="18"/>
  <c r="L45" i="18"/>
  <c r="K45" i="18"/>
  <c r="J45" i="18"/>
  <c r="I45" i="18"/>
  <c r="H45" i="18"/>
  <c r="G45" i="18"/>
  <c r="F45" i="18"/>
  <c r="E45" i="18"/>
  <c r="D45" i="18"/>
  <c r="C45" i="18"/>
  <c r="B45" i="18"/>
  <c r="A45" i="18"/>
  <c r="AA44" i="18"/>
  <c r="AA42" i="18"/>
  <c r="X42" i="18"/>
  <c r="W42" i="18"/>
  <c r="V42" i="18"/>
  <c r="U42" i="18"/>
  <c r="T42" i="18"/>
  <c r="S42" i="18"/>
  <c r="R42" i="18"/>
  <c r="Q42" i="18"/>
  <c r="P42" i="18"/>
  <c r="O42" i="18"/>
  <c r="N42" i="18"/>
  <c r="M42" i="18"/>
  <c r="L42" i="18"/>
  <c r="K42" i="18"/>
  <c r="J42" i="18"/>
  <c r="I42" i="18"/>
  <c r="H42" i="18"/>
  <c r="G42" i="18"/>
  <c r="AA41" i="18"/>
  <c r="X41" i="18"/>
  <c r="W41" i="18"/>
  <c r="V41" i="18"/>
  <c r="U41" i="18"/>
  <c r="T41" i="18"/>
  <c r="S41" i="18"/>
  <c r="R41" i="18"/>
  <c r="Q41" i="18"/>
  <c r="P41" i="18"/>
  <c r="O41" i="18"/>
  <c r="N41" i="18"/>
  <c r="M41" i="18"/>
  <c r="L41" i="18"/>
  <c r="K41" i="18"/>
  <c r="J41" i="18"/>
  <c r="I41" i="18"/>
  <c r="H41" i="18"/>
  <c r="G41" i="18"/>
  <c r="AA40" i="18"/>
  <c r="X40" i="18"/>
  <c r="W40" i="18"/>
  <c r="V40" i="18"/>
  <c r="U40" i="18"/>
  <c r="T40" i="18"/>
  <c r="S40" i="18"/>
  <c r="R40" i="18"/>
  <c r="Q40" i="18"/>
  <c r="P40" i="18"/>
  <c r="O40" i="18"/>
  <c r="N40" i="18"/>
  <c r="M40" i="18"/>
  <c r="L40" i="18"/>
  <c r="K40" i="18"/>
  <c r="J40" i="18"/>
  <c r="I40" i="18"/>
  <c r="Y40" i="18" s="1"/>
  <c r="Z40" i="18" s="1"/>
  <c r="H40" i="18"/>
  <c r="G40" i="18"/>
  <c r="AA38" i="18"/>
  <c r="Z38" i="18"/>
  <c r="Y38" i="18"/>
  <c r="X38" i="18"/>
  <c r="W38" i="18"/>
  <c r="V38" i="18"/>
  <c r="U38" i="18"/>
  <c r="T38" i="18"/>
  <c r="S38" i="18"/>
  <c r="R38" i="18"/>
  <c r="Q38" i="18"/>
  <c r="P38" i="18"/>
  <c r="O38" i="18"/>
  <c r="N38" i="18"/>
  <c r="M38" i="18"/>
  <c r="L38" i="18"/>
  <c r="K38" i="18"/>
  <c r="J38" i="18"/>
  <c r="I38" i="18"/>
  <c r="H38" i="18"/>
  <c r="G38" i="18"/>
  <c r="AA37" i="18"/>
  <c r="X37" i="18"/>
  <c r="W37" i="18"/>
  <c r="V37" i="18"/>
  <c r="U37" i="18"/>
  <c r="T37" i="18"/>
  <c r="S37" i="18"/>
  <c r="R37" i="18"/>
  <c r="Q37" i="18"/>
  <c r="P37" i="18"/>
  <c r="O37" i="18"/>
  <c r="N37" i="18"/>
  <c r="M37" i="18"/>
  <c r="L37" i="18"/>
  <c r="K37" i="18"/>
  <c r="J37" i="18"/>
  <c r="I37" i="18"/>
  <c r="H37" i="18"/>
  <c r="G37" i="18"/>
  <c r="E37" i="18"/>
  <c r="D37" i="18"/>
  <c r="C37" i="18"/>
  <c r="B37" i="18"/>
  <c r="A37" i="18"/>
  <c r="AA36" i="18"/>
  <c r="X36" i="18"/>
  <c r="W36" i="18"/>
  <c r="V36" i="18"/>
  <c r="U36" i="18"/>
  <c r="T36" i="18"/>
  <c r="S36" i="18"/>
  <c r="R36" i="18"/>
  <c r="Q36" i="18"/>
  <c r="P36" i="18"/>
  <c r="O36" i="18"/>
  <c r="N36" i="18"/>
  <c r="M36" i="18"/>
  <c r="L36" i="18"/>
  <c r="K36" i="18"/>
  <c r="J36" i="18"/>
  <c r="I36" i="18"/>
  <c r="Y36" i="18" s="1"/>
  <c r="Z36" i="18" s="1"/>
  <c r="H36" i="18"/>
  <c r="G36" i="18"/>
  <c r="F36" i="18"/>
  <c r="E36" i="18"/>
  <c r="D36" i="18"/>
  <c r="C36" i="18"/>
  <c r="B36" i="18"/>
  <c r="A36" i="18"/>
  <c r="AA35" i="18"/>
  <c r="X35" i="18"/>
  <c r="W35" i="18"/>
  <c r="V35" i="18"/>
  <c r="U35" i="18"/>
  <c r="T35" i="18"/>
  <c r="S35" i="18"/>
  <c r="R35" i="18"/>
  <c r="Q35" i="18"/>
  <c r="P35" i="18"/>
  <c r="O35" i="18"/>
  <c r="N35" i="18"/>
  <c r="M35" i="18"/>
  <c r="L35" i="18"/>
  <c r="K35" i="18"/>
  <c r="J35" i="18"/>
  <c r="I35" i="18"/>
  <c r="H35" i="18"/>
  <c r="G35" i="18"/>
  <c r="F35" i="18"/>
  <c r="E35" i="18"/>
  <c r="D35" i="18"/>
  <c r="C35" i="18"/>
  <c r="B35" i="18"/>
  <c r="A35" i="18"/>
  <c r="AA34" i="18"/>
  <c r="X34" i="18"/>
  <c r="W34" i="18"/>
  <c r="V34" i="18"/>
  <c r="U34" i="18"/>
  <c r="T34" i="18"/>
  <c r="S34" i="18"/>
  <c r="R34" i="18"/>
  <c r="Q34" i="18"/>
  <c r="P34" i="18"/>
  <c r="O34" i="18"/>
  <c r="N34" i="18"/>
  <c r="M34" i="18"/>
  <c r="L34" i="18"/>
  <c r="K34" i="18"/>
  <c r="J34" i="18"/>
  <c r="I34" i="18"/>
  <c r="H34" i="18"/>
  <c r="G34" i="18"/>
  <c r="F34" i="18"/>
  <c r="E34" i="18"/>
  <c r="D34" i="18"/>
  <c r="C34" i="18"/>
  <c r="B34" i="18"/>
  <c r="A34" i="18"/>
  <c r="AA33" i="18"/>
  <c r="X33" i="18"/>
  <c r="W33" i="18"/>
  <c r="V33" i="18"/>
  <c r="U33" i="18"/>
  <c r="T33" i="18"/>
  <c r="S33" i="18"/>
  <c r="R33" i="18"/>
  <c r="Q33" i="18"/>
  <c r="P33" i="18"/>
  <c r="O33" i="18"/>
  <c r="N33" i="18"/>
  <c r="M33" i="18"/>
  <c r="L33" i="18"/>
  <c r="K33" i="18"/>
  <c r="J33" i="18"/>
  <c r="I33" i="18"/>
  <c r="H33" i="18"/>
  <c r="G33" i="18"/>
  <c r="Y33" i="18" s="1"/>
  <c r="Z33" i="18" s="1"/>
  <c r="F33" i="18"/>
  <c r="E33" i="18"/>
  <c r="D33" i="18"/>
  <c r="C33" i="18"/>
  <c r="B33" i="18"/>
  <c r="A33" i="18"/>
  <c r="AA32" i="18"/>
  <c r="X32" i="18"/>
  <c r="W32" i="18"/>
  <c r="V32" i="18"/>
  <c r="U32" i="18"/>
  <c r="T32" i="18"/>
  <c r="S32" i="18"/>
  <c r="R32" i="18"/>
  <c r="Q32" i="18"/>
  <c r="P32" i="18"/>
  <c r="O32" i="18"/>
  <c r="N32" i="18"/>
  <c r="M32" i="18"/>
  <c r="L32" i="18"/>
  <c r="K32" i="18"/>
  <c r="J32" i="18"/>
  <c r="I32" i="18"/>
  <c r="H32" i="18"/>
  <c r="G32" i="18"/>
  <c r="Y32" i="18" s="1"/>
  <c r="Z32" i="18" s="1"/>
  <c r="F32" i="18"/>
  <c r="E32" i="18"/>
  <c r="D32" i="18"/>
  <c r="C32" i="18"/>
  <c r="B32" i="18"/>
  <c r="A32" i="18"/>
  <c r="AA31" i="18"/>
  <c r="X31" i="18"/>
  <c r="W31" i="18"/>
  <c r="V31" i="18"/>
  <c r="U31" i="18"/>
  <c r="T31" i="18"/>
  <c r="S31" i="18"/>
  <c r="R31" i="18"/>
  <c r="Q31" i="18"/>
  <c r="P31" i="18"/>
  <c r="O31" i="18"/>
  <c r="N31" i="18"/>
  <c r="M31" i="18"/>
  <c r="L31" i="18"/>
  <c r="K31" i="18"/>
  <c r="J31" i="18"/>
  <c r="I31" i="18"/>
  <c r="H31" i="18"/>
  <c r="G31" i="18"/>
  <c r="F31" i="18"/>
  <c r="E31" i="18"/>
  <c r="D31" i="18"/>
  <c r="C31" i="18"/>
  <c r="B31" i="18"/>
  <c r="A31" i="18"/>
  <c r="AA30" i="18"/>
  <c r="X30" i="18"/>
  <c r="W30" i="18"/>
  <c r="V30" i="18"/>
  <c r="U30" i="18"/>
  <c r="T30" i="18"/>
  <c r="S30" i="18"/>
  <c r="R30" i="18"/>
  <c r="Q30" i="18"/>
  <c r="P30" i="18"/>
  <c r="O30" i="18"/>
  <c r="N30" i="18"/>
  <c r="M30" i="18"/>
  <c r="L30" i="18"/>
  <c r="K30" i="18"/>
  <c r="J30" i="18"/>
  <c r="I30" i="18"/>
  <c r="H30" i="18"/>
  <c r="G30" i="18"/>
  <c r="F30" i="18"/>
  <c r="E30" i="18"/>
  <c r="D30" i="18"/>
  <c r="C30" i="18"/>
  <c r="B30" i="18"/>
  <c r="A30" i="18"/>
  <c r="AA29" i="18"/>
  <c r="X29" i="18"/>
  <c r="W29" i="18"/>
  <c r="V29" i="18"/>
  <c r="U29" i="18"/>
  <c r="T29" i="18"/>
  <c r="S29" i="18"/>
  <c r="R29" i="18"/>
  <c r="Q29" i="18"/>
  <c r="P29" i="18"/>
  <c r="O29" i="18"/>
  <c r="N29" i="18"/>
  <c r="M29" i="18"/>
  <c r="L29" i="18"/>
  <c r="K29" i="18"/>
  <c r="J29" i="18"/>
  <c r="I29" i="18"/>
  <c r="H29" i="18"/>
  <c r="G29" i="18"/>
  <c r="F29" i="18"/>
  <c r="E29" i="18"/>
  <c r="D29" i="18"/>
  <c r="C29" i="18"/>
  <c r="B29" i="18"/>
  <c r="A29" i="18"/>
  <c r="AA28" i="18"/>
  <c r="X28" i="18"/>
  <c r="W28" i="18"/>
  <c r="V28" i="18"/>
  <c r="U28" i="18"/>
  <c r="T28" i="18"/>
  <c r="S28" i="18"/>
  <c r="R28" i="18"/>
  <c r="Q28" i="18"/>
  <c r="P28" i="18"/>
  <c r="O28" i="18"/>
  <c r="N28" i="18"/>
  <c r="M28" i="18"/>
  <c r="L28" i="18"/>
  <c r="K28" i="18"/>
  <c r="J28" i="18"/>
  <c r="I28" i="18"/>
  <c r="H28" i="18"/>
  <c r="G28" i="18"/>
  <c r="F28" i="18"/>
  <c r="E28" i="18"/>
  <c r="D28" i="18"/>
  <c r="C28" i="18"/>
  <c r="B28" i="18"/>
  <c r="A28" i="18"/>
  <c r="AA27" i="18"/>
  <c r="X27" i="18"/>
  <c r="W27" i="18"/>
  <c r="V27" i="18"/>
  <c r="U27" i="18"/>
  <c r="T27" i="18"/>
  <c r="S27" i="18"/>
  <c r="R27" i="18"/>
  <c r="Q27" i="18"/>
  <c r="P27" i="18"/>
  <c r="O27" i="18"/>
  <c r="N27" i="18"/>
  <c r="M27" i="18"/>
  <c r="L27" i="18"/>
  <c r="K27" i="18"/>
  <c r="J27" i="18"/>
  <c r="I27" i="18"/>
  <c r="H27" i="18"/>
  <c r="G27" i="18"/>
  <c r="F27" i="18"/>
  <c r="E27" i="18"/>
  <c r="D27" i="18"/>
  <c r="C27" i="18"/>
  <c r="B27" i="18"/>
  <c r="A27" i="18"/>
  <c r="AA26" i="18"/>
  <c r="X26" i="18"/>
  <c r="W26" i="18"/>
  <c r="V26" i="18"/>
  <c r="U26" i="18"/>
  <c r="T26" i="18"/>
  <c r="S26" i="18"/>
  <c r="R26" i="18"/>
  <c r="Q26" i="18"/>
  <c r="P26" i="18"/>
  <c r="O26" i="18"/>
  <c r="N26" i="18"/>
  <c r="M26" i="18"/>
  <c r="L26" i="18"/>
  <c r="K26" i="18"/>
  <c r="J26" i="18"/>
  <c r="I26" i="18"/>
  <c r="H26" i="18"/>
  <c r="G26" i="18"/>
  <c r="F26" i="18"/>
  <c r="E26" i="18"/>
  <c r="D26" i="18"/>
  <c r="C26" i="18"/>
  <c r="B26" i="18"/>
  <c r="A26" i="18"/>
  <c r="AA25" i="18"/>
  <c r="X25" i="18"/>
  <c r="W25" i="18"/>
  <c r="V25" i="18"/>
  <c r="U25" i="18"/>
  <c r="T25" i="18"/>
  <c r="S25" i="18"/>
  <c r="R25" i="18"/>
  <c r="Q25" i="18"/>
  <c r="P25" i="18"/>
  <c r="O25" i="18"/>
  <c r="N25" i="18"/>
  <c r="M25" i="18"/>
  <c r="L25" i="18"/>
  <c r="K25" i="18"/>
  <c r="J25" i="18"/>
  <c r="I25" i="18"/>
  <c r="H25" i="18"/>
  <c r="G25" i="18"/>
  <c r="F25" i="18"/>
  <c r="E25" i="18"/>
  <c r="D25" i="18"/>
  <c r="C25" i="18"/>
  <c r="B25" i="18"/>
  <c r="A25" i="18"/>
  <c r="AA24" i="18"/>
  <c r="X24" i="18"/>
  <c r="W24" i="18"/>
  <c r="V24" i="18"/>
  <c r="U24" i="18"/>
  <c r="T24" i="18"/>
  <c r="S24" i="18"/>
  <c r="R24" i="18"/>
  <c r="Q24" i="18"/>
  <c r="P24" i="18"/>
  <c r="O24" i="18"/>
  <c r="N24" i="18"/>
  <c r="M24" i="18"/>
  <c r="L24" i="18"/>
  <c r="K24" i="18"/>
  <c r="J24" i="18"/>
  <c r="I24" i="18"/>
  <c r="H24" i="18"/>
  <c r="G24" i="18"/>
  <c r="Y24" i="18" s="1"/>
  <c r="Z24" i="18" s="1"/>
  <c r="F24" i="18"/>
  <c r="E24" i="18"/>
  <c r="D24" i="18"/>
  <c r="C24" i="18"/>
  <c r="B24" i="18"/>
  <c r="A24" i="18"/>
  <c r="AA23" i="18"/>
  <c r="X23" i="18"/>
  <c r="W23" i="18"/>
  <c r="V23" i="18"/>
  <c r="U23" i="18"/>
  <c r="T23" i="18"/>
  <c r="S23" i="18"/>
  <c r="R23" i="18"/>
  <c r="Q23" i="18"/>
  <c r="P23" i="18"/>
  <c r="O23" i="18"/>
  <c r="N23" i="18"/>
  <c r="M23" i="18"/>
  <c r="L23" i="18"/>
  <c r="K23" i="18"/>
  <c r="J23" i="18"/>
  <c r="I23" i="18"/>
  <c r="H23" i="18"/>
  <c r="G23" i="18"/>
  <c r="F23" i="18"/>
  <c r="E23" i="18"/>
  <c r="D23" i="18"/>
  <c r="C23" i="18"/>
  <c r="B23" i="18"/>
  <c r="A23" i="18"/>
  <c r="AA22" i="18"/>
  <c r="X22" i="18"/>
  <c r="W22" i="18"/>
  <c r="V22" i="18"/>
  <c r="U22" i="18"/>
  <c r="T22" i="18"/>
  <c r="S22" i="18"/>
  <c r="R22" i="18"/>
  <c r="Q22" i="18"/>
  <c r="P22" i="18"/>
  <c r="O22" i="18"/>
  <c r="N22" i="18"/>
  <c r="M22" i="18"/>
  <c r="L22" i="18"/>
  <c r="K22" i="18"/>
  <c r="J22" i="18"/>
  <c r="I22" i="18"/>
  <c r="H22" i="18"/>
  <c r="G22" i="18"/>
  <c r="F22" i="18"/>
  <c r="E22" i="18"/>
  <c r="D22" i="18"/>
  <c r="C22" i="18"/>
  <c r="B22" i="18"/>
  <c r="A22" i="18"/>
  <c r="AA21" i="18"/>
  <c r="X21" i="18"/>
  <c r="W21" i="18"/>
  <c r="V21" i="18"/>
  <c r="U21" i="18"/>
  <c r="T21" i="18"/>
  <c r="S21" i="18"/>
  <c r="R21" i="18"/>
  <c r="Q21" i="18"/>
  <c r="P21" i="18"/>
  <c r="O21" i="18"/>
  <c r="N21" i="18"/>
  <c r="M21" i="18"/>
  <c r="L21" i="18"/>
  <c r="K21" i="18"/>
  <c r="J21" i="18"/>
  <c r="I21" i="18"/>
  <c r="H21" i="18"/>
  <c r="G21" i="18"/>
  <c r="E21" i="18"/>
  <c r="D21" i="18"/>
  <c r="C21" i="18"/>
  <c r="B21" i="18"/>
  <c r="A21" i="18"/>
  <c r="AA20" i="18"/>
  <c r="X20" i="18"/>
  <c r="W20" i="18"/>
  <c r="V20" i="18"/>
  <c r="U20" i="18"/>
  <c r="T20" i="18"/>
  <c r="S20" i="18"/>
  <c r="R20" i="18"/>
  <c r="Q20" i="18"/>
  <c r="P20" i="18"/>
  <c r="O20" i="18"/>
  <c r="N20" i="18"/>
  <c r="M20" i="18"/>
  <c r="L20" i="18"/>
  <c r="K20" i="18"/>
  <c r="J20" i="18"/>
  <c r="I20" i="18"/>
  <c r="H20" i="18"/>
  <c r="G20" i="18"/>
  <c r="F20" i="18"/>
  <c r="E20" i="18"/>
  <c r="D20" i="18"/>
  <c r="C20" i="18"/>
  <c r="B20" i="18"/>
  <c r="A20" i="18"/>
  <c r="AA19" i="18"/>
  <c r="X19" i="18"/>
  <c r="W19" i="18"/>
  <c r="V19" i="18"/>
  <c r="U19" i="18"/>
  <c r="T19" i="18"/>
  <c r="S19" i="18"/>
  <c r="R19" i="18"/>
  <c r="Q19" i="18"/>
  <c r="P19" i="18"/>
  <c r="O19" i="18"/>
  <c r="N19" i="18"/>
  <c r="M19" i="18"/>
  <c r="L19" i="18"/>
  <c r="K19" i="18"/>
  <c r="J19" i="18"/>
  <c r="I19" i="18"/>
  <c r="H19" i="18"/>
  <c r="G19" i="18"/>
  <c r="F19" i="18"/>
  <c r="E19" i="18"/>
  <c r="D19" i="18"/>
  <c r="C19" i="18"/>
  <c r="B19" i="18"/>
  <c r="A19" i="18"/>
  <c r="AA18" i="18"/>
  <c r="X18" i="18"/>
  <c r="W18" i="18"/>
  <c r="V18" i="18"/>
  <c r="U18" i="18"/>
  <c r="T18" i="18"/>
  <c r="S18" i="18"/>
  <c r="R18" i="18"/>
  <c r="Q18" i="18"/>
  <c r="P18" i="18"/>
  <c r="O18" i="18"/>
  <c r="N18" i="18"/>
  <c r="M18" i="18"/>
  <c r="L18" i="18"/>
  <c r="K18" i="18"/>
  <c r="J18" i="18"/>
  <c r="I18" i="18"/>
  <c r="H18" i="18"/>
  <c r="G18" i="18"/>
  <c r="F18" i="18"/>
  <c r="E18" i="18"/>
  <c r="D18" i="18"/>
  <c r="C18" i="18"/>
  <c r="B18" i="18"/>
  <c r="A18" i="18"/>
  <c r="AA17" i="18"/>
  <c r="X17" i="18"/>
  <c r="W17" i="18"/>
  <c r="V17" i="18"/>
  <c r="U17" i="18"/>
  <c r="T17" i="18"/>
  <c r="S17" i="18"/>
  <c r="R17" i="18"/>
  <c r="Q17" i="18"/>
  <c r="P17" i="18"/>
  <c r="O17" i="18"/>
  <c r="N17" i="18"/>
  <c r="M17" i="18"/>
  <c r="L17" i="18"/>
  <c r="K17" i="18"/>
  <c r="J17" i="18"/>
  <c r="I17" i="18"/>
  <c r="H17" i="18"/>
  <c r="G17" i="18"/>
  <c r="F17" i="18"/>
  <c r="E17" i="18"/>
  <c r="D17" i="18"/>
  <c r="C17" i="18"/>
  <c r="B17" i="18"/>
  <c r="A17" i="18"/>
  <c r="AA15" i="18"/>
  <c r="Z15" i="18"/>
  <c r="Y15" i="18"/>
  <c r="X15" i="18"/>
  <c r="W15" i="18"/>
  <c r="V15" i="18"/>
  <c r="U15" i="18"/>
  <c r="T15" i="18"/>
  <c r="S15" i="18"/>
  <c r="R15" i="18"/>
  <c r="Q15" i="18"/>
  <c r="P15" i="18"/>
  <c r="O15" i="18"/>
  <c r="N15" i="18"/>
  <c r="M15" i="18"/>
  <c r="L15" i="18"/>
  <c r="K15" i="18"/>
  <c r="J15" i="18"/>
  <c r="I15" i="18"/>
  <c r="H15" i="18"/>
  <c r="G15" i="18"/>
  <c r="A15" i="18"/>
  <c r="AA14" i="18"/>
  <c r="X14" i="18"/>
  <c r="W14" i="18"/>
  <c r="V14" i="18"/>
  <c r="U14" i="18"/>
  <c r="T14" i="18"/>
  <c r="S14" i="18"/>
  <c r="R14" i="18"/>
  <c r="Q14" i="18"/>
  <c r="P14" i="18"/>
  <c r="O14" i="18"/>
  <c r="N14" i="18"/>
  <c r="M14" i="18"/>
  <c r="L14" i="18"/>
  <c r="K14" i="18"/>
  <c r="J14" i="18"/>
  <c r="I14" i="18"/>
  <c r="H14" i="18"/>
  <c r="G14" i="18"/>
  <c r="E14" i="18"/>
  <c r="D14" i="18"/>
  <c r="C14" i="18"/>
  <c r="B14" i="18"/>
  <c r="A14" i="18"/>
  <c r="AA13" i="18"/>
  <c r="X13" i="18"/>
  <c r="W13" i="18"/>
  <c r="V13" i="18"/>
  <c r="U13" i="18"/>
  <c r="T13" i="18"/>
  <c r="S13" i="18"/>
  <c r="R13" i="18"/>
  <c r="Q13" i="18"/>
  <c r="P13" i="18"/>
  <c r="O13" i="18"/>
  <c r="N13" i="18"/>
  <c r="M13" i="18"/>
  <c r="L13" i="18"/>
  <c r="K13" i="18"/>
  <c r="J13" i="18"/>
  <c r="I13" i="18"/>
  <c r="H13" i="18"/>
  <c r="G13" i="18"/>
  <c r="E13" i="18"/>
  <c r="D13" i="18"/>
  <c r="C13" i="18"/>
  <c r="B13" i="18"/>
  <c r="A13" i="18"/>
  <c r="AA12" i="18"/>
  <c r="X12" i="18"/>
  <c r="W12" i="18"/>
  <c r="V12" i="18"/>
  <c r="U12" i="18"/>
  <c r="T12" i="18"/>
  <c r="S12" i="18"/>
  <c r="R12" i="18"/>
  <c r="Q12" i="18"/>
  <c r="P12" i="18"/>
  <c r="O12" i="18"/>
  <c r="N12" i="18"/>
  <c r="M12" i="18"/>
  <c r="L12" i="18"/>
  <c r="K12" i="18"/>
  <c r="J12" i="18"/>
  <c r="I12" i="18"/>
  <c r="H12" i="18"/>
  <c r="G12" i="18"/>
  <c r="F12" i="18"/>
  <c r="E12" i="18"/>
  <c r="D12" i="18"/>
  <c r="C12" i="18"/>
  <c r="B12" i="18"/>
  <c r="A12" i="18"/>
  <c r="AA11" i="18"/>
  <c r="X11" i="18"/>
  <c r="W11" i="18"/>
  <c r="V11" i="18"/>
  <c r="U11" i="18"/>
  <c r="T11" i="18"/>
  <c r="S11" i="18"/>
  <c r="R11" i="18"/>
  <c r="Q11" i="18"/>
  <c r="P11" i="18"/>
  <c r="O11" i="18"/>
  <c r="N11" i="18"/>
  <c r="M11" i="18"/>
  <c r="L11" i="18"/>
  <c r="K11" i="18"/>
  <c r="J11" i="18"/>
  <c r="I11" i="18"/>
  <c r="H11" i="18"/>
  <c r="G11" i="18"/>
  <c r="F11" i="18"/>
  <c r="E11" i="18"/>
  <c r="D11" i="18"/>
  <c r="C11" i="18"/>
  <c r="B11" i="18"/>
  <c r="A11" i="18"/>
  <c r="AA10" i="18"/>
  <c r="X10" i="18"/>
  <c r="W10" i="18"/>
  <c r="V10" i="18"/>
  <c r="U10" i="18"/>
  <c r="T10" i="18"/>
  <c r="S10" i="18"/>
  <c r="R10" i="18"/>
  <c r="Q10" i="18"/>
  <c r="P10" i="18"/>
  <c r="O10" i="18"/>
  <c r="N10" i="18"/>
  <c r="M10" i="18"/>
  <c r="L10" i="18"/>
  <c r="K10" i="18"/>
  <c r="J10" i="18"/>
  <c r="I10" i="18"/>
  <c r="H10" i="18"/>
  <c r="G10" i="18"/>
  <c r="F10" i="18"/>
  <c r="E10" i="18"/>
  <c r="D10" i="18"/>
  <c r="C10" i="18"/>
  <c r="B10" i="18"/>
  <c r="A10" i="18"/>
  <c r="AA9" i="18"/>
  <c r="X9" i="18"/>
  <c r="W9" i="18"/>
  <c r="V9" i="18"/>
  <c r="U9" i="18"/>
  <c r="T9" i="18"/>
  <c r="S9" i="18"/>
  <c r="R9" i="18"/>
  <c r="Q9" i="18"/>
  <c r="P9" i="18"/>
  <c r="O9" i="18"/>
  <c r="N9" i="18"/>
  <c r="M9" i="18"/>
  <c r="L9" i="18"/>
  <c r="K9" i="18"/>
  <c r="J9" i="18"/>
  <c r="I9" i="18"/>
  <c r="H9" i="18"/>
  <c r="G9" i="18"/>
  <c r="Y9" i="18" s="1"/>
  <c r="Z9" i="18" s="1"/>
  <c r="F9" i="18"/>
  <c r="E9" i="18"/>
  <c r="D9" i="18"/>
  <c r="C9" i="18"/>
  <c r="B9" i="18"/>
  <c r="A9" i="18"/>
  <c r="AA8" i="18"/>
  <c r="X8" i="18"/>
  <c r="W8" i="18"/>
  <c r="V8" i="18"/>
  <c r="U8" i="18"/>
  <c r="T8" i="18"/>
  <c r="S8" i="18"/>
  <c r="R8" i="18"/>
  <c r="Q8" i="18"/>
  <c r="P8" i="18"/>
  <c r="O8" i="18"/>
  <c r="N8" i="18"/>
  <c r="M8" i="18"/>
  <c r="L8" i="18"/>
  <c r="K8" i="18"/>
  <c r="J8" i="18"/>
  <c r="I8" i="18"/>
  <c r="H8" i="18"/>
  <c r="G8" i="18"/>
  <c r="F8" i="18"/>
  <c r="E8" i="18"/>
  <c r="D8" i="18"/>
  <c r="C8" i="18"/>
  <c r="B8" i="18"/>
  <c r="A8" i="18"/>
  <c r="AA7" i="18"/>
  <c r="X7" i="18"/>
  <c r="W7" i="18"/>
  <c r="V7" i="18"/>
  <c r="U7" i="18"/>
  <c r="T7" i="18"/>
  <c r="S7" i="18"/>
  <c r="R7" i="18"/>
  <c r="Q7" i="18"/>
  <c r="P7" i="18"/>
  <c r="O7" i="18"/>
  <c r="N7" i="18"/>
  <c r="M7" i="18"/>
  <c r="L7" i="18"/>
  <c r="K7" i="18"/>
  <c r="J7" i="18"/>
  <c r="I7" i="18"/>
  <c r="H7" i="18"/>
  <c r="G7" i="18"/>
  <c r="F7" i="18"/>
  <c r="E7" i="18"/>
  <c r="D7" i="18"/>
  <c r="C7" i="18"/>
  <c r="B7" i="18"/>
  <c r="A7" i="18"/>
  <c r="AA6" i="18"/>
  <c r="X6" i="18"/>
  <c r="W6" i="18"/>
  <c r="V6" i="18"/>
  <c r="U6" i="18"/>
  <c r="T6" i="18"/>
  <c r="S6" i="18"/>
  <c r="R6" i="18"/>
  <c r="Q6" i="18"/>
  <c r="P6" i="18"/>
  <c r="O6" i="18"/>
  <c r="N6" i="18"/>
  <c r="M6" i="18"/>
  <c r="L6" i="18"/>
  <c r="K6" i="18"/>
  <c r="J6" i="18"/>
  <c r="I6" i="18"/>
  <c r="H6" i="18"/>
  <c r="G6" i="18"/>
  <c r="F6" i="18"/>
  <c r="E6" i="18"/>
  <c r="D6" i="18"/>
  <c r="C6" i="18"/>
  <c r="B6" i="18"/>
  <c r="A6" i="18"/>
  <c r="AA5" i="18"/>
  <c r="X5" i="18"/>
  <c r="W5" i="18"/>
  <c r="V5" i="18"/>
  <c r="U5" i="18"/>
  <c r="T5" i="18"/>
  <c r="S5" i="18"/>
  <c r="R5" i="18"/>
  <c r="Q5" i="18"/>
  <c r="P5" i="18"/>
  <c r="O5" i="18"/>
  <c r="N5" i="18"/>
  <c r="M5" i="18"/>
  <c r="L5" i="18"/>
  <c r="K5" i="18"/>
  <c r="J5" i="18"/>
  <c r="I5" i="18"/>
  <c r="H5" i="18"/>
  <c r="G5" i="18"/>
  <c r="F5" i="18"/>
  <c r="E5" i="18"/>
  <c r="D5" i="18"/>
  <c r="C5" i="18"/>
  <c r="B5" i="18"/>
  <c r="A5" i="18"/>
  <c r="Y26" i="18" l="1"/>
  <c r="Z26" i="18" s="1"/>
  <c r="Y12" i="18"/>
  <c r="Z12" i="18" s="1"/>
  <c r="Y5" i="18"/>
  <c r="Z5" i="18" s="1"/>
  <c r="Y11" i="18"/>
  <c r="Z11" i="18" s="1"/>
  <c r="Y17" i="18"/>
  <c r="Z17" i="18" s="1"/>
  <c r="Y34" i="18"/>
  <c r="Z34" i="18" s="1"/>
  <c r="Y49" i="18"/>
  <c r="Z49" i="18" s="1"/>
  <c r="Y25" i="18"/>
  <c r="Z25" i="18" s="1"/>
  <c r="Y46" i="18"/>
  <c r="Z46" i="18" s="1"/>
  <c r="Y48" i="18"/>
  <c r="Z48" i="18" s="1"/>
  <c r="Y18" i="18"/>
  <c r="Z18" i="18" s="1"/>
  <c r="Y6" i="18"/>
  <c r="Z6" i="18" s="1"/>
  <c r="Y13" i="18"/>
  <c r="Z13" i="18" s="1"/>
  <c r="Y19" i="18"/>
  <c r="Z19" i="18" s="1"/>
  <c r="Y20" i="18"/>
  <c r="Z20" i="18" s="1"/>
  <c r="Y21" i="18"/>
  <c r="Z21" i="18" s="1"/>
  <c r="Y27" i="18"/>
  <c r="Z27" i="18" s="1"/>
  <c r="Y29" i="18"/>
  <c r="Z29" i="18" s="1"/>
  <c r="Y50" i="18"/>
  <c r="Z50" i="18" s="1"/>
  <c r="Y10" i="18"/>
  <c r="Z10" i="18" s="1"/>
  <c r="Y14" i="18"/>
  <c r="Z14" i="18" s="1"/>
  <c r="Y7" i="18"/>
  <c r="Z7" i="18" s="1"/>
  <c r="Y28" i="18"/>
  <c r="Z28" i="18" s="1"/>
  <c r="Y30" i="18"/>
  <c r="Z30" i="18" s="1"/>
  <c r="Y37" i="18"/>
  <c r="Z37" i="18" s="1"/>
  <c r="Y42" i="18"/>
  <c r="Z42" i="18" s="1"/>
  <c r="Y45" i="18"/>
  <c r="Z45" i="18" s="1"/>
  <c r="Y41" i="18"/>
  <c r="Y8" i="18"/>
  <c r="Z8" i="18" s="1"/>
  <c r="Y22" i="18"/>
  <c r="Z22" i="18" s="1"/>
  <c r="Y23" i="18"/>
  <c r="Z23" i="18" s="1"/>
  <c r="Y31" i="18"/>
  <c r="Z31" i="18" s="1"/>
  <c r="Y35" i="18"/>
  <c r="Z35" i="18" s="1"/>
  <c r="Y51" i="18"/>
  <c r="Z51" i="18" s="1"/>
  <c r="W51" i="16"/>
  <c r="V51" i="16"/>
  <c r="U51" i="16"/>
  <c r="T51" i="16"/>
  <c r="S51" i="16"/>
  <c r="R51" i="16"/>
  <c r="Q51" i="16"/>
  <c r="P51" i="16"/>
  <c r="O51" i="16"/>
  <c r="N51" i="16"/>
  <c r="M51" i="16"/>
  <c r="L51" i="16"/>
  <c r="K51" i="16"/>
  <c r="J51" i="16"/>
  <c r="I51" i="16"/>
  <c r="H51" i="16"/>
  <c r="AA50" i="16"/>
  <c r="X50" i="16"/>
  <c r="W50" i="16"/>
  <c r="V50" i="16"/>
  <c r="U50" i="16"/>
  <c r="T50" i="16"/>
  <c r="S50" i="16"/>
  <c r="R50" i="16"/>
  <c r="Q50" i="16"/>
  <c r="P50" i="16"/>
  <c r="O50" i="16"/>
  <c r="N50" i="16"/>
  <c r="M50" i="16"/>
  <c r="L50" i="16"/>
  <c r="K50" i="16"/>
  <c r="J50" i="16"/>
  <c r="I50" i="16"/>
  <c r="H50" i="16"/>
  <c r="Y50" i="16" s="1"/>
  <c r="G50" i="16"/>
  <c r="AA49" i="16"/>
  <c r="X49" i="16"/>
  <c r="W49" i="16"/>
  <c r="V49" i="16"/>
  <c r="U49" i="16"/>
  <c r="T49" i="16"/>
  <c r="S49" i="16"/>
  <c r="R49" i="16"/>
  <c r="Q49" i="16"/>
  <c r="P49" i="16"/>
  <c r="O49" i="16"/>
  <c r="N49" i="16"/>
  <c r="M49" i="16"/>
  <c r="L49" i="16"/>
  <c r="K49" i="16"/>
  <c r="J49" i="16"/>
  <c r="I49" i="16"/>
  <c r="H49" i="16"/>
  <c r="G49" i="16"/>
  <c r="Y49" i="16" s="1"/>
  <c r="E49" i="16"/>
  <c r="D49" i="16"/>
  <c r="C49" i="16"/>
  <c r="B49" i="16"/>
  <c r="A49" i="16"/>
  <c r="AA48" i="16"/>
  <c r="X48" i="16"/>
  <c r="W48" i="16"/>
  <c r="V48" i="16"/>
  <c r="U48" i="16"/>
  <c r="T48" i="16"/>
  <c r="S48" i="16"/>
  <c r="R48" i="16"/>
  <c r="Q48" i="16"/>
  <c r="P48" i="16"/>
  <c r="O48" i="16"/>
  <c r="N48" i="16"/>
  <c r="M48" i="16"/>
  <c r="L48" i="16"/>
  <c r="K48" i="16"/>
  <c r="J48" i="16"/>
  <c r="I48" i="16"/>
  <c r="Y48" i="16" s="1"/>
  <c r="H48" i="16"/>
  <c r="G48" i="16"/>
  <c r="F48" i="16"/>
  <c r="E48" i="16"/>
  <c r="D48" i="16"/>
  <c r="C48" i="16"/>
  <c r="B48" i="16"/>
  <c r="A48" i="16"/>
  <c r="AA47" i="16"/>
  <c r="X47" i="16"/>
  <c r="W47" i="16"/>
  <c r="V47" i="16"/>
  <c r="U47" i="16"/>
  <c r="T47" i="16"/>
  <c r="S47" i="16"/>
  <c r="R47" i="16"/>
  <c r="Q47" i="16"/>
  <c r="P47" i="16"/>
  <c r="O47" i="16"/>
  <c r="N47" i="16"/>
  <c r="M47" i="16"/>
  <c r="L47" i="16"/>
  <c r="K47" i="16"/>
  <c r="J47" i="16"/>
  <c r="I47" i="16"/>
  <c r="H47" i="16"/>
  <c r="Y47" i="16" s="1"/>
  <c r="G47" i="16"/>
  <c r="F47" i="16"/>
  <c r="E47" i="16"/>
  <c r="D47" i="16"/>
  <c r="C47" i="16"/>
  <c r="B47" i="16"/>
  <c r="A47" i="16"/>
  <c r="AA46" i="16"/>
  <c r="X46" i="16"/>
  <c r="W46" i="16"/>
  <c r="V46" i="16"/>
  <c r="U46" i="16"/>
  <c r="T46" i="16"/>
  <c r="S46" i="16"/>
  <c r="R46" i="16"/>
  <c r="Q46" i="16"/>
  <c r="P46" i="16"/>
  <c r="O46" i="16"/>
  <c r="N46" i="16"/>
  <c r="M46" i="16"/>
  <c r="L46" i="16"/>
  <c r="K46" i="16"/>
  <c r="J46" i="16"/>
  <c r="I46" i="16"/>
  <c r="H46" i="16"/>
  <c r="G46" i="16"/>
  <c r="Y46" i="16" s="1"/>
  <c r="F46" i="16"/>
  <c r="E46" i="16"/>
  <c r="D46" i="16"/>
  <c r="C46" i="16"/>
  <c r="B46" i="16"/>
  <c r="A46" i="16"/>
  <c r="AA45" i="16"/>
  <c r="X45" i="16"/>
  <c r="W45" i="16"/>
  <c r="V45" i="16"/>
  <c r="U45" i="16"/>
  <c r="T45" i="16"/>
  <c r="S45" i="16"/>
  <c r="R45" i="16"/>
  <c r="Q45" i="16"/>
  <c r="P45" i="16"/>
  <c r="O45" i="16"/>
  <c r="N45" i="16"/>
  <c r="M45" i="16"/>
  <c r="L45" i="16"/>
  <c r="K45" i="16"/>
  <c r="J45" i="16"/>
  <c r="I45" i="16"/>
  <c r="H45" i="16"/>
  <c r="G45" i="16"/>
  <c r="Y45" i="16" s="1"/>
  <c r="F45" i="16"/>
  <c r="E45" i="16"/>
  <c r="D45" i="16"/>
  <c r="C45" i="16"/>
  <c r="B45" i="16"/>
  <c r="A45" i="16"/>
  <c r="AA44" i="16"/>
  <c r="X44" i="16"/>
  <c r="W44" i="16"/>
  <c r="V44" i="16"/>
  <c r="U44" i="16"/>
  <c r="T44" i="16"/>
  <c r="S44" i="16"/>
  <c r="R44" i="16"/>
  <c r="Q44" i="16"/>
  <c r="P44" i="16"/>
  <c r="O44" i="16"/>
  <c r="N44" i="16"/>
  <c r="M44" i="16"/>
  <c r="L44" i="16"/>
  <c r="K44" i="16"/>
  <c r="J44" i="16"/>
  <c r="I44" i="16"/>
  <c r="H44" i="16"/>
  <c r="G44" i="16"/>
  <c r="Y44" i="16" s="1"/>
  <c r="F44" i="16"/>
  <c r="E44" i="16"/>
  <c r="D44" i="16"/>
  <c r="C44" i="16"/>
  <c r="B44" i="16"/>
  <c r="A44" i="16"/>
  <c r="AA41" i="16"/>
  <c r="X41" i="16"/>
  <c r="W41" i="16"/>
  <c r="V41" i="16"/>
  <c r="U41" i="16"/>
  <c r="T41" i="16"/>
  <c r="S41" i="16"/>
  <c r="R41" i="16"/>
  <c r="Q41" i="16"/>
  <c r="P41" i="16"/>
  <c r="O41" i="16"/>
  <c r="N41" i="16"/>
  <c r="M41" i="16"/>
  <c r="L41" i="16"/>
  <c r="K41" i="16"/>
  <c r="J41" i="16"/>
  <c r="I41" i="16"/>
  <c r="Y41" i="16" s="1"/>
  <c r="H41" i="16"/>
  <c r="G41" i="16"/>
  <c r="AA40" i="16"/>
  <c r="X40" i="16"/>
  <c r="W40" i="16"/>
  <c r="V40" i="16"/>
  <c r="U40" i="16"/>
  <c r="T40" i="16"/>
  <c r="S40" i="16"/>
  <c r="R40" i="16"/>
  <c r="Q40" i="16"/>
  <c r="P40" i="16"/>
  <c r="O40" i="16"/>
  <c r="N40" i="16"/>
  <c r="M40" i="16"/>
  <c r="L40" i="16"/>
  <c r="K40" i="16"/>
  <c r="J40" i="16"/>
  <c r="I40" i="16"/>
  <c r="H40" i="16"/>
  <c r="G40" i="16"/>
  <c r="Y40" i="16" s="1"/>
  <c r="AA39" i="16"/>
  <c r="X39" i="16"/>
  <c r="W39" i="16"/>
  <c r="V39" i="16"/>
  <c r="U39" i="16"/>
  <c r="T39" i="16"/>
  <c r="S39" i="16"/>
  <c r="R39" i="16"/>
  <c r="Q39" i="16"/>
  <c r="P39" i="16"/>
  <c r="O39" i="16"/>
  <c r="N39" i="16"/>
  <c r="M39" i="16"/>
  <c r="L39" i="16"/>
  <c r="K39" i="16"/>
  <c r="J39" i="16"/>
  <c r="I39" i="16"/>
  <c r="Y39" i="16" s="1"/>
  <c r="H39" i="16"/>
  <c r="G39" i="16"/>
  <c r="AA37" i="16"/>
  <c r="Y37" i="16"/>
  <c r="X37" i="16"/>
  <c r="W37" i="16"/>
  <c r="V37" i="16"/>
  <c r="U37" i="16"/>
  <c r="T37" i="16"/>
  <c r="S37" i="16"/>
  <c r="R37" i="16"/>
  <c r="Q37" i="16"/>
  <c r="P37" i="16"/>
  <c r="O37" i="16"/>
  <c r="N37" i="16"/>
  <c r="M37" i="16"/>
  <c r="L37" i="16"/>
  <c r="K37" i="16"/>
  <c r="J37" i="16"/>
  <c r="I37" i="16"/>
  <c r="H37" i="16"/>
  <c r="G37" i="16"/>
  <c r="AA36" i="16"/>
  <c r="X36" i="16"/>
  <c r="W36" i="16"/>
  <c r="V36" i="16"/>
  <c r="U36" i="16"/>
  <c r="T36" i="16"/>
  <c r="S36" i="16"/>
  <c r="R36" i="16"/>
  <c r="Q36" i="16"/>
  <c r="P36" i="16"/>
  <c r="O36" i="16"/>
  <c r="N36" i="16"/>
  <c r="M36" i="16"/>
  <c r="L36" i="16"/>
  <c r="K36" i="16"/>
  <c r="J36" i="16"/>
  <c r="I36" i="16"/>
  <c r="H36" i="16"/>
  <c r="Y36" i="16" s="1"/>
  <c r="G36" i="16"/>
  <c r="E36" i="16"/>
  <c r="D36" i="16"/>
  <c r="C36" i="16"/>
  <c r="B36" i="16"/>
  <c r="A36" i="16"/>
  <c r="AA35" i="16"/>
  <c r="X35" i="16"/>
  <c r="W35" i="16"/>
  <c r="V35" i="16"/>
  <c r="U35" i="16"/>
  <c r="T35" i="16"/>
  <c r="S35" i="16"/>
  <c r="R35" i="16"/>
  <c r="Q35" i="16"/>
  <c r="P35" i="16"/>
  <c r="O35" i="16"/>
  <c r="N35" i="16"/>
  <c r="M35" i="16"/>
  <c r="L35" i="16"/>
  <c r="K35" i="16"/>
  <c r="J35" i="16"/>
  <c r="I35" i="16"/>
  <c r="H35" i="16"/>
  <c r="G35" i="16"/>
  <c r="Y35" i="16" s="1"/>
  <c r="F35" i="16"/>
  <c r="E35" i="16"/>
  <c r="D35" i="16"/>
  <c r="C35" i="16"/>
  <c r="B35" i="16"/>
  <c r="A35" i="16"/>
  <c r="AA34" i="16"/>
  <c r="Y34" i="16"/>
  <c r="X34" i="16"/>
  <c r="W34" i="16"/>
  <c r="V34" i="16"/>
  <c r="U34" i="16"/>
  <c r="T34" i="16"/>
  <c r="S34" i="16"/>
  <c r="R34" i="16"/>
  <c r="Q34" i="16"/>
  <c r="P34" i="16"/>
  <c r="O34" i="16"/>
  <c r="N34" i="16"/>
  <c r="M34" i="16"/>
  <c r="L34" i="16"/>
  <c r="K34" i="16"/>
  <c r="J34" i="16"/>
  <c r="I34" i="16"/>
  <c r="H34" i="16"/>
  <c r="G34" i="16"/>
  <c r="F34" i="16"/>
  <c r="E34" i="16"/>
  <c r="D34" i="16"/>
  <c r="C34" i="16"/>
  <c r="B34" i="16"/>
  <c r="A34" i="16"/>
  <c r="AA33" i="16"/>
  <c r="X33" i="16"/>
  <c r="W33" i="16"/>
  <c r="V33" i="16"/>
  <c r="U33" i="16"/>
  <c r="T33" i="16"/>
  <c r="S33" i="16"/>
  <c r="R33" i="16"/>
  <c r="Q33" i="16"/>
  <c r="P33" i="16"/>
  <c r="O33" i="16"/>
  <c r="N33" i="16"/>
  <c r="M33" i="16"/>
  <c r="L33" i="16"/>
  <c r="K33" i="16"/>
  <c r="J33" i="16"/>
  <c r="I33" i="16"/>
  <c r="Y33" i="16" s="1"/>
  <c r="H33" i="16"/>
  <c r="G33" i="16"/>
  <c r="F33" i="16"/>
  <c r="E33" i="16"/>
  <c r="D33" i="16"/>
  <c r="C33" i="16"/>
  <c r="B33" i="16"/>
  <c r="A33" i="16"/>
  <c r="AA32" i="16"/>
  <c r="X32" i="16"/>
  <c r="W32" i="16"/>
  <c r="V32" i="16"/>
  <c r="U32" i="16"/>
  <c r="T32" i="16"/>
  <c r="S32" i="16"/>
  <c r="R32" i="16"/>
  <c r="Q32" i="16"/>
  <c r="P32" i="16"/>
  <c r="O32" i="16"/>
  <c r="N32" i="16"/>
  <c r="M32" i="16"/>
  <c r="L32" i="16"/>
  <c r="K32" i="16"/>
  <c r="J32" i="16"/>
  <c r="I32" i="16"/>
  <c r="H32" i="16"/>
  <c r="G32" i="16"/>
  <c r="Y32" i="16" s="1"/>
  <c r="F32" i="16"/>
  <c r="E32" i="16"/>
  <c r="D32" i="16"/>
  <c r="C32" i="16"/>
  <c r="B32" i="16"/>
  <c r="A32" i="16"/>
  <c r="AA31" i="16"/>
  <c r="X31" i="16"/>
  <c r="W31" i="16"/>
  <c r="V31" i="16"/>
  <c r="U31" i="16"/>
  <c r="T31" i="16"/>
  <c r="S31" i="16"/>
  <c r="R31" i="16"/>
  <c r="Q31" i="16"/>
  <c r="P31" i="16"/>
  <c r="O31" i="16"/>
  <c r="N31" i="16"/>
  <c r="M31" i="16"/>
  <c r="L31" i="16"/>
  <c r="K31" i="16"/>
  <c r="J31" i="16"/>
  <c r="I31" i="16"/>
  <c r="H31" i="16"/>
  <c r="G31" i="16"/>
  <c r="Y31" i="16" s="1"/>
  <c r="F31" i="16"/>
  <c r="E31" i="16"/>
  <c r="D31" i="16"/>
  <c r="C31" i="16"/>
  <c r="B31" i="16"/>
  <c r="A31" i="16"/>
  <c r="AA30" i="16"/>
  <c r="X30" i="16"/>
  <c r="W30" i="16"/>
  <c r="V30" i="16"/>
  <c r="U30" i="16"/>
  <c r="T30" i="16"/>
  <c r="S30" i="16"/>
  <c r="R30" i="16"/>
  <c r="Q30" i="16"/>
  <c r="P30" i="16"/>
  <c r="O30" i="16"/>
  <c r="N30" i="16"/>
  <c r="M30" i="16"/>
  <c r="L30" i="16"/>
  <c r="K30" i="16"/>
  <c r="J30" i="16"/>
  <c r="I30" i="16"/>
  <c r="H30" i="16"/>
  <c r="G30" i="16"/>
  <c r="Y30" i="16" s="1"/>
  <c r="F30" i="16"/>
  <c r="E30" i="16"/>
  <c r="D30" i="16"/>
  <c r="C30" i="16"/>
  <c r="B30" i="16"/>
  <c r="A30" i="16"/>
  <c r="AA29" i="16"/>
  <c r="X29" i="16"/>
  <c r="W29" i="16"/>
  <c r="V29" i="16"/>
  <c r="U29" i="16"/>
  <c r="T29" i="16"/>
  <c r="S29" i="16"/>
  <c r="R29" i="16"/>
  <c r="Q29" i="16"/>
  <c r="P29" i="16"/>
  <c r="O29" i="16"/>
  <c r="N29" i="16"/>
  <c r="M29" i="16"/>
  <c r="L29" i="16"/>
  <c r="K29" i="16"/>
  <c r="J29" i="16"/>
  <c r="I29" i="16"/>
  <c r="Y29" i="16" s="1"/>
  <c r="H29" i="16"/>
  <c r="G29" i="16"/>
  <c r="F29" i="16"/>
  <c r="E29" i="16"/>
  <c r="D29" i="16"/>
  <c r="C29" i="16"/>
  <c r="B29" i="16"/>
  <c r="A29" i="16"/>
  <c r="AA28" i="16"/>
  <c r="X28" i="16"/>
  <c r="W28" i="16"/>
  <c r="V28" i="16"/>
  <c r="U28" i="16"/>
  <c r="T28" i="16"/>
  <c r="S28" i="16"/>
  <c r="R28" i="16"/>
  <c r="Q28" i="16"/>
  <c r="P28" i="16"/>
  <c r="O28" i="16"/>
  <c r="N28" i="16"/>
  <c r="M28" i="16"/>
  <c r="L28" i="16"/>
  <c r="K28" i="16"/>
  <c r="J28" i="16"/>
  <c r="I28" i="16"/>
  <c r="H28" i="16"/>
  <c r="G28" i="16"/>
  <c r="Y28" i="16" s="1"/>
  <c r="F28" i="16"/>
  <c r="E28" i="16"/>
  <c r="D28" i="16"/>
  <c r="C28" i="16"/>
  <c r="B28" i="16"/>
  <c r="A28" i="16"/>
  <c r="AA27" i="16"/>
  <c r="X27" i="16"/>
  <c r="W27" i="16"/>
  <c r="V27" i="16"/>
  <c r="U27" i="16"/>
  <c r="T27" i="16"/>
  <c r="S27" i="16"/>
  <c r="R27" i="16"/>
  <c r="Q27" i="16"/>
  <c r="P27" i="16"/>
  <c r="O27" i="16"/>
  <c r="N27" i="16"/>
  <c r="M27" i="16"/>
  <c r="L27" i="16"/>
  <c r="K27" i="16"/>
  <c r="J27" i="16"/>
  <c r="I27" i="16"/>
  <c r="H27" i="16"/>
  <c r="G27" i="16"/>
  <c r="Y27" i="16" s="1"/>
  <c r="F27" i="16"/>
  <c r="D27" i="16"/>
  <c r="C27" i="16"/>
  <c r="B27" i="16"/>
  <c r="A27" i="16"/>
  <c r="AA26" i="16"/>
  <c r="X26" i="16"/>
  <c r="W26" i="16"/>
  <c r="V26" i="16"/>
  <c r="U26" i="16"/>
  <c r="T26" i="16"/>
  <c r="S26" i="16"/>
  <c r="R26" i="16"/>
  <c r="Q26" i="16"/>
  <c r="P26" i="16"/>
  <c r="O26" i="16"/>
  <c r="N26" i="16"/>
  <c r="M26" i="16"/>
  <c r="L26" i="16"/>
  <c r="K26" i="16"/>
  <c r="J26" i="16"/>
  <c r="I26" i="16"/>
  <c r="H26" i="16"/>
  <c r="G26" i="16"/>
  <c r="Y26" i="16" s="1"/>
  <c r="F26" i="16"/>
  <c r="D26" i="16"/>
  <c r="C26" i="16"/>
  <c r="B26" i="16"/>
  <c r="A26" i="16"/>
  <c r="AA25" i="16"/>
  <c r="X25" i="16"/>
  <c r="W25" i="16"/>
  <c r="V25" i="16"/>
  <c r="U25" i="16"/>
  <c r="T25" i="16"/>
  <c r="S25" i="16"/>
  <c r="R25" i="16"/>
  <c r="Q25" i="16"/>
  <c r="P25" i="16"/>
  <c r="O25" i="16"/>
  <c r="N25" i="16"/>
  <c r="M25" i="16"/>
  <c r="L25" i="16"/>
  <c r="K25" i="16"/>
  <c r="J25" i="16"/>
  <c r="I25" i="16"/>
  <c r="H25" i="16"/>
  <c r="G25" i="16"/>
  <c r="Y25" i="16" s="1"/>
  <c r="F25" i="16"/>
  <c r="E25" i="16"/>
  <c r="D25" i="16"/>
  <c r="C25" i="16"/>
  <c r="B25" i="16"/>
  <c r="A25" i="16"/>
  <c r="AA24" i="16"/>
  <c r="X24" i="16"/>
  <c r="W24" i="16"/>
  <c r="V24" i="16"/>
  <c r="U24" i="16"/>
  <c r="T24" i="16"/>
  <c r="S24" i="16"/>
  <c r="R24" i="16"/>
  <c r="Q24" i="16"/>
  <c r="P24" i="16"/>
  <c r="O24" i="16"/>
  <c r="N24" i="16"/>
  <c r="M24" i="16"/>
  <c r="L24" i="16"/>
  <c r="K24" i="16"/>
  <c r="J24" i="16"/>
  <c r="I24" i="16"/>
  <c r="H24" i="16"/>
  <c r="G24" i="16"/>
  <c r="Y24" i="16" s="1"/>
  <c r="F24" i="16"/>
  <c r="E24" i="16"/>
  <c r="D24" i="16"/>
  <c r="C24" i="16"/>
  <c r="B24" i="16"/>
  <c r="A24" i="16"/>
  <c r="AA23" i="16"/>
  <c r="X23" i="16"/>
  <c r="W23" i="16"/>
  <c r="V23" i="16"/>
  <c r="U23" i="16"/>
  <c r="T23" i="16"/>
  <c r="S23" i="16"/>
  <c r="R23" i="16"/>
  <c r="Q23" i="16"/>
  <c r="P23" i="16"/>
  <c r="O23" i="16"/>
  <c r="N23" i="16"/>
  <c r="M23" i="16"/>
  <c r="L23" i="16"/>
  <c r="K23" i="16"/>
  <c r="J23" i="16"/>
  <c r="I23" i="16"/>
  <c r="H23" i="16"/>
  <c r="G23" i="16"/>
  <c r="Y23" i="16" s="1"/>
  <c r="F23" i="16"/>
  <c r="E23" i="16"/>
  <c r="D23" i="16"/>
  <c r="C23" i="16"/>
  <c r="B23" i="16"/>
  <c r="A23" i="16"/>
  <c r="AA22" i="16"/>
  <c r="X22" i="16"/>
  <c r="W22" i="16"/>
  <c r="V22" i="16"/>
  <c r="U22" i="16"/>
  <c r="T22" i="16"/>
  <c r="S22" i="16"/>
  <c r="R22" i="16"/>
  <c r="Q22" i="16"/>
  <c r="P22" i="16"/>
  <c r="O22" i="16"/>
  <c r="N22" i="16"/>
  <c r="M22" i="16"/>
  <c r="L22" i="16"/>
  <c r="K22" i="16"/>
  <c r="J22" i="16"/>
  <c r="I22" i="16"/>
  <c r="Y22" i="16" s="1"/>
  <c r="H22" i="16"/>
  <c r="G22" i="16"/>
  <c r="F22" i="16"/>
  <c r="E22" i="16"/>
  <c r="D22" i="16"/>
  <c r="C22" i="16"/>
  <c r="B22" i="16"/>
  <c r="A22" i="16"/>
  <c r="AA21" i="16"/>
  <c r="X21" i="16"/>
  <c r="W21" i="16"/>
  <c r="V21" i="16"/>
  <c r="U21" i="16"/>
  <c r="T21" i="16"/>
  <c r="S21" i="16"/>
  <c r="R21" i="16"/>
  <c r="Q21" i="16"/>
  <c r="P21" i="16"/>
  <c r="O21" i="16"/>
  <c r="N21" i="16"/>
  <c r="M21" i="16"/>
  <c r="L21" i="16"/>
  <c r="K21" i="16"/>
  <c r="J21" i="16"/>
  <c r="I21" i="16"/>
  <c r="H21" i="16"/>
  <c r="G21" i="16"/>
  <c r="Y21" i="16" s="1"/>
  <c r="F21" i="16"/>
  <c r="E21" i="16"/>
  <c r="D21" i="16"/>
  <c r="C21" i="16"/>
  <c r="B21" i="16"/>
  <c r="A21" i="16"/>
  <c r="AA20" i="16"/>
  <c r="X20" i="16"/>
  <c r="W20" i="16"/>
  <c r="V20" i="16"/>
  <c r="U20" i="16"/>
  <c r="T20" i="16"/>
  <c r="S20" i="16"/>
  <c r="R20" i="16"/>
  <c r="Q20" i="16"/>
  <c r="P20" i="16"/>
  <c r="O20" i="16"/>
  <c r="N20" i="16"/>
  <c r="M20" i="16"/>
  <c r="L20" i="16"/>
  <c r="K20" i="16"/>
  <c r="J20" i="16"/>
  <c r="I20" i="16"/>
  <c r="H20" i="16"/>
  <c r="G20" i="16"/>
  <c r="Y20" i="16" s="1"/>
  <c r="E20" i="16"/>
  <c r="D20" i="16"/>
  <c r="C20" i="16"/>
  <c r="B20" i="16"/>
  <c r="A20" i="16"/>
  <c r="AA19" i="16"/>
  <c r="X19" i="16"/>
  <c r="W19" i="16"/>
  <c r="V19" i="16"/>
  <c r="U19" i="16"/>
  <c r="T19" i="16"/>
  <c r="S19" i="16"/>
  <c r="R19" i="16"/>
  <c r="Q19" i="16"/>
  <c r="P19" i="16"/>
  <c r="O19" i="16"/>
  <c r="N19" i="16"/>
  <c r="M19" i="16"/>
  <c r="L19" i="16"/>
  <c r="K19" i="16"/>
  <c r="J19" i="16"/>
  <c r="I19" i="16"/>
  <c r="H19" i="16"/>
  <c r="G19" i="16"/>
  <c r="Y19" i="16" s="1"/>
  <c r="F19" i="16"/>
  <c r="E19" i="16"/>
  <c r="D19" i="16"/>
  <c r="C19" i="16"/>
  <c r="B19" i="16"/>
  <c r="A19" i="16"/>
  <c r="AA18" i="16"/>
  <c r="X18" i="16"/>
  <c r="W18" i="16"/>
  <c r="V18" i="16"/>
  <c r="U18" i="16"/>
  <c r="T18" i="16"/>
  <c r="S18" i="16"/>
  <c r="R18" i="16"/>
  <c r="Q18" i="16"/>
  <c r="P18" i="16"/>
  <c r="O18" i="16"/>
  <c r="N18" i="16"/>
  <c r="M18" i="16"/>
  <c r="L18" i="16"/>
  <c r="K18" i="16"/>
  <c r="J18" i="16"/>
  <c r="I18" i="16"/>
  <c r="H18" i="16"/>
  <c r="Y18" i="16" s="1"/>
  <c r="G18" i="16"/>
  <c r="F18" i="16"/>
  <c r="E18" i="16"/>
  <c r="D18" i="16"/>
  <c r="C18" i="16"/>
  <c r="B18" i="16"/>
  <c r="A18" i="16"/>
  <c r="AA17" i="16"/>
  <c r="X17" i="16"/>
  <c r="W17" i="16"/>
  <c r="V17" i="16"/>
  <c r="U17" i="16"/>
  <c r="T17" i="16"/>
  <c r="S17" i="16"/>
  <c r="R17" i="16"/>
  <c r="Q17" i="16"/>
  <c r="P17" i="16"/>
  <c r="O17" i="16"/>
  <c r="N17" i="16"/>
  <c r="M17" i="16"/>
  <c r="L17" i="16"/>
  <c r="K17" i="16"/>
  <c r="J17" i="16"/>
  <c r="I17" i="16"/>
  <c r="H17" i="16"/>
  <c r="G17" i="16"/>
  <c r="Y17" i="16" s="1"/>
  <c r="F17" i="16"/>
  <c r="E17" i="16"/>
  <c r="D17" i="16"/>
  <c r="C17" i="16"/>
  <c r="B17" i="16"/>
  <c r="A17" i="16"/>
  <c r="AA16" i="16"/>
  <c r="X16" i="16"/>
  <c r="W16" i="16"/>
  <c r="V16" i="16"/>
  <c r="U16" i="16"/>
  <c r="T16" i="16"/>
  <c r="S16" i="16"/>
  <c r="R16" i="16"/>
  <c r="Q16" i="16"/>
  <c r="P16" i="16"/>
  <c r="O16" i="16"/>
  <c r="N16" i="16"/>
  <c r="M16" i="16"/>
  <c r="L16" i="16"/>
  <c r="K16" i="16"/>
  <c r="J16" i="16"/>
  <c r="I16" i="16"/>
  <c r="Y16" i="16" s="1"/>
  <c r="H16" i="16"/>
  <c r="G16" i="16"/>
  <c r="F16" i="16"/>
  <c r="E16" i="16"/>
  <c r="D16" i="16"/>
  <c r="C16" i="16"/>
  <c r="B16" i="16"/>
  <c r="A16" i="16"/>
  <c r="AA14" i="16"/>
  <c r="Z14" i="16"/>
  <c r="Y14" i="16"/>
  <c r="X14" i="16"/>
  <c r="W14" i="16"/>
  <c r="V14" i="16"/>
  <c r="U14" i="16"/>
  <c r="T14" i="16"/>
  <c r="S14" i="16"/>
  <c r="R14" i="16"/>
  <c r="Q14" i="16"/>
  <c r="P14" i="16"/>
  <c r="O14" i="16"/>
  <c r="N14" i="16"/>
  <c r="M14" i="16"/>
  <c r="L14" i="16"/>
  <c r="K14" i="16"/>
  <c r="J14" i="16"/>
  <c r="I14" i="16"/>
  <c r="H14" i="16"/>
  <c r="G14" i="16"/>
  <c r="AA13" i="16"/>
  <c r="X13" i="16"/>
  <c r="W13" i="16"/>
  <c r="V13" i="16"/>
  <c r="U13" i="16"/>
  <c r="T13" i="16"/>
  <c r="S13" i="16"/>
  <c r="R13" i="16"/>
  <c r="Q13" i="16"/>
  <c r="P13" i="16"/>
  <c r="O13" i="16"/>
  <c r="N13" i="16"/>
  <c r="M13" i="16"/>
  <c r="L13" i="16"/>
  <c r="K13" i="16"/>
  <c r="J13" i="16"/>
  <c r="I13" i="16"/>
  <c r="Y13" i="16" s="1"/>
  <c r="H13" i="16"/>
  <c r="G13" i="16"/>
  <c r="E13" i="16"/>
  <c r="D13" i="16"/>
  <c r="C13" i="16"/>
  <c r="B13" i="16"/>
  <c r="A13" i="16"/>
  <c r="AA12" i="16"/>
  <c r="X12" i="16"/>
  <c r="W12" i="16"/>
  <c r="V12" i="16"/>
  <c r="U12" i="16"/>
  <c r="T12" i="16"/>
  <c r="S12" i="16"/>
  <c r="R12" i="16"/>
  <c r="Q12" i="16"/>
  <c r="P12" i="16"/>
  <c r="O12" i="16"/>
  <c r="N12" i="16"/>
  <c r="M12" i="16"/>
  <c r="L12" i="16"/>
  <c r="K12" i="16"/>
  <c r="J12" i="16"/>
  <c r="I12" i="16"/>
  <c r="H12" i="16"/>
  <c r="G12" i="16"/>
  <c r="Y12" i="16" s="1"/>
  <c r="E12" i="16"/>
  <c r="D12" i="16"/>
  <c r="C12" i="16"/>
  <c r="B12" i="16"/>
  <c r="A12" i="16"/>
  <c r="AA11" i="16"/>
  <c r="X11" i="16"/>
  <c r="W11" i="16"/>
  <c r="V11" i="16"/>
  <c r="U11" i="16"/>
  <c r="T11" i="16"/>
  <c r="S11" i="16"/>
  <c r="R11" i="16"/>
  <c r="Q11" i="16"/>
  <c r="P11" i="16"/>
  <c r="O11" i="16"/>
  <c r="N11" i="16"/>
  <c r="M11" i="16"/>
  <c r="L11" i="16"/>
  <c r="K11" i="16"/>
  <c r="J11" i="16"/>
  <c r="I11" i="16"/>
  <c r="H11" i="16"/>
  <c r="G11" i="16"/>
  <c r="Y11" i="16" s="1"/>
  <c r="F11" i="16"/>
  <c r="E11" i="16"/>
  <c r="D11" i="16"/>
  <c r="C11" i="16"/>
  <c r="B11" i="16"/>
  <c r="A11" i="16"/>
  <c r="AA10" i="16"/>
  <c r="X10" i="16"/>
  <c r="W10" i="16"/>
  <c r="V10" i="16"/>
  <c r="U10" i="16"/>
  <c r="T10" i="16"/>
  <c r="S10" i="16"/>
  <c r="R10" i="16"/>
  <c r="Q10" i="16"/>
  <c r="P10" i="16"/>
  <c r="O10" i="16"/>
  <c r="N10" i="16"/>
  <c r="M10" i="16"/>
  <c r="L10" i="16"/>
  <c r="K10" i="16"/>
  <c r="J10" i="16"/>
  <c r="I10" i="16"/>
  <c r="Y10" i="16" s="1"/>
  <c r="H10" i="16"/>
  <c r="G10" i="16"/>
  <c r="F10" i="16"/>
  <c r="E10" i="16"/>
  <c r="D10" i="16"/>
  <c r="C10" i="16"/>
  <c r="B10" i="16"/>
  <c r="A10" i="16"/>
  <c r="AA9" i="16"/>
  <c r="X9" i="16"/>
  <c r="W9" i="16"/>
  <c r="V9" i="16"/>
  <c r="U9" i="16"/>
  <c r="T9" i="16"/>
  <c r="S9" i="16"/>
  <c r="R9" i="16"/>
  <c r="Q9" i="16"/>
  <c r="P9" i="16"/>
  <c r="O9" i="16"/>
  <c r="N9" i="16"/>
  <c r="M9" i="16"/>
  <c r="L9" i="16"/>
  <c r="K9" i="16"/>
  <c r="J9" i="16"/>
  <c r="I9" i="16"/>
  <c r="H9" i="16"/>
  <c r="G9" i="16"/>
  <c r="Y9" i="16" s="1"/>
  <c r="F9" i="16"/>
  <c r="E9" i="16"/>
  <c r="D9" i="16"/>
  <c r="C9" i="16"/>
  <c r="B9" i="16"/>
  <c r="A9" i="16"/>
  <c r="AA8" i="16"/>
  <c r="X8" i="16"/>
  <c r="W8" i="16"/>
  <c r="V8" i="16"/>
  <c r="U8" i="16"/>
  <c r="T8" i="16"/>
  <c r="S8" i="16"/>
  <c r="R8" i="16"/>
  <c r="Q8" i="16"/>
  <c r="P8" i="16"/>
  <c r="O8" i="16"/>
  <c r="N8" i="16"/>
  <c r="M8" i="16"/>
  <c r="L8" i="16"/>
  <c r="K8" i="16"/>
  <c r="J8" i="16"/>
  <c r="I8" i="16"/>
  <c r="H8" i="16"/>
  <c r="G8" i="16"/>
  <c r="Y8" i="16" s="1"/>
  <c r="F8" i="16"/>
  <c r="E8" i="16"/>
  <c r="D8" i="16"/>
  <c r="C8" i="16"/>
  <c r="B8" i="16"/>
  <c r="A8" i="16"/>
  <c r="AA7" i="16"/>
  <c r="X7" i="16"/>
  <c r="W7" i="16"/>
  <c r="V7" i="16"/>
  <c r="U7" i="16"/>
  <c r="T7" i="16"/>
  <c r="S7" i="16"/>
  <c r="R7" i="16"/>
  <c r="Q7" i="16"/>
  <c r="P7" i="16"/>
  <c r="O7" i="16"/>
  <c r="N7" i="16"/>
  <c r="M7" i="16"/>
  <c r="L7" i="16"/>
  <c r="K7" i="16"/>
  <c r="J7" i="16"/>
  <c r="I7" i="16"/>
  <c r="H7" i="16"/>
  <c r="G7" i="16"/>
  <c r="Y7" i="16" s="1"/>
  <c r="F7" i="16"/>
  <c r="E7" i="16"/>
  <c r="D7" i="16"/>
  <c r="C7" i="16"/>
  <c r="B7" i="16"/>
  <c r="A7" i="16"/>
  <c r="AA6" i="16"/>
  <c r="X6" i="16"/>
  <c r="W6" i="16"/>
  <c r="V6" i="16"/>
  <c r="U6" i="16"/>
  <c r="T6" i="16"/>
  <c r="S6" i="16"/>
  <c r="R6" i="16"/>
  <c r="Q6" i="16"/>
  <c r="P6" i="16"/>
  <c r="O6" i="16"/>
  <c r="N6" i="16"/>
  <c r="M6" i="16"/>
  <c r="L6" i="16"/>
  <c r="K6" i="16"/>
  <c r="J6" i="16"/>
  <c r="I6" i="16"/>
  <c r="Y6" i="16" s="1"/>
  <c r="H6" i="16"/>
  <c r="G6" i="16"/>
  <c r="F6" i="16"/>
  <c r="D6" i="16"/>
  <c r="C6" i="16"/>
  <c r="B6" i="16"/>
  <c r="A6" i="16"/>
  <c r="AA5" i="16"/>
  <c r="X5" i="16"/>
  <c r="W5" i="16"/>
  <c r="V5" i="16"/>
  <c r="U5" i="16"/>
  <c r="T5" i="16"/>
  <c r="S5" i="16"/>
  <c r="R5" i="16"/>
  <c r="Q5" i="16"/>
  <c r="P5" i="16"/>
  <c r="O5" i="16"/>
  <c r="N5" i="16"/>
  <c r="M5" i="16"/>
  <c r="L5" i="16"/>
  <c r="K5" i="16"/>
  <c r="J5" i="16"/>
  <c r="I5" i="16"/>
  <c r="H5" i="16"/>
  <c r="G5" i="16"/>
  <c r="Y5" i="16" s="1"/>
  <c r="F5" i="16"/>
  <c r="E5" i="16"/>
  <c r="D5" i="16"/>
  <c r="C5" i="16"/>
  <c r="B5" i="16"/>
  <c r="A5" i="16"/>
  <c r="W3" i="16"/>
  <c r="V3" i="16"/>
  <c r="U3" i="16"/>
  <c r="T3" i="16"/>
  <c r="S3" i="16"/>
  <c r="R3" i="16"/>
  <c r="Q3" i="16"/>
  <c r="P3" i="16"/>
  <c r="O3" i="16"/>
  <c r="N3" i="16"/>
  <c r="M3" i="16"/>
  <c r="L3" i="16"/>
  <c r="K3" i="16"/>
  <c r="J3" i="16"/>
  <c r="I3" i="16"/>
  <c r="H3" i="16"/>
  <c r="G3" i="16"/>
  <c r="V2" i="16"/>
  <c r="S2" i="16"/>
  <c r="Q2" i="16"/>
  <c r="K2" i="16"/>
  <c r="H2" i="16"/>
  <c r="AA49" i="15"/>
  <c r="T49" i="15"/>
  <c r="S49" i="15"/>
  <c r="L49" i="15"/>
  <c r="K49" i="15"/>
  <c r="A49" i="15"/>
  <c r="Y49" i="15" s="1"/>
  <c r="AA48" i="15"/>
  <c r="V48" i="15"/>
  <c r="T48" i="15"/>
  <c r="S48" i="15"/>
  <c r="N48" i="15"/>
  <c r="L48" i="15"/>
  <c r="K48" i="15"/>
  <c r="F48" i="15"/>
  <c r="A48" i="15"/>
  <c r="Y48" i="15" s="1"/>
  <c r="O47" i="15"/>
  <c r="M47" i="15"/>
  <c r="L47" i="15"/>
  <c r="F47" i="15"/>
  <c r="A47" i="15"/>
  <c r="U47" i="15" s="1"/>
  <c r="V46" i="15"/>
  <c r="U46" i="15"/>
  <c r="P46" i="15"/>
  <c r="H46" i="15"/>
  <c r="F46" i="15"/>
  <c r="A46" i="15"/>
  <c r="Y45" i="15"/>
  <c r="X45" i="15"/>
  <c r="W45" i="15"/>
  <c r="V45" i="15"/>
  <c r="Q45" i="15"/>
  <c r="P45" i="15"/>
  <c r="O45" i="15"/>
  <c r="N45" i="15"/>
  <c r="I45" i="15"/>
  <c r="H45" i="15"/>
  <c r="G45" i="15"/>
  <c r="F45" i="15"/>
  <c r="A45" i="15"/>
  <c r="Z44" i="15"/>
  <c r="Y44" i="15"/>
  <c r="X44" i="15"/>
  <c r="W44" i="15"/>
  <c r="V44" i="15"/>
  <c r="R44" i="15"/>
  <c r="Q44" i="15"/>
  <c r="P44" i="15"/>
  <c r="O44" i="15"/>
  <c r="N44" i="15"/>
  <c r="J44" i="15"/>
  <c r="I44" i="15"/>
  <c r="H44" i="15"/>
  <c r="G44" i="15"/>
  <c r="F44" i="15"/>
  <c r="A44" i="15"/>
  <c r="T39" i="15"/>
  <c r="S39" i="15"/>
  <c r="AA36" i="15"/>
  <c r="Z36" i="15"/>
  <c r="Y36" i="15"/>
  <c r="U36" i="15"/>
  <c r="T36" i="15"/>
  <c r="S36" i="15"/>
  <c r="R36" i="15"/>
  <c r="Q36" i="15"/>
  <c r="M36" i="15"/>
  <c r="L36" i="15"/>
  <c r="K36" i="15"/>
  <c r="J36" i="15"/>
  <c r="I36" i="15"/>
  <c r="A36" i="15"/>
  <c r="X36" i="15" s="1"/>
  <c r="AA35" i="15"/>
  <c r="W35" i="15"/>
  <c r="V35" i="15"/>
  <c r="U35" i="15"/>
  <c r="O35" i="15"/>
  <c r="N35" i="15"/>
  <c r="M35" i="15"/>
  <c r="L35" i="15"/>
  <c r="K35" i="15"/>
  <c r="G35" i="15"/>
  <c r="F35" i="15"/>
  <c r="A35" i="15"/>
  <c r="AA34" i="15"/>
  <c r="Z34" i="15"/>
  <c r="Y34" i="15"/>
  <c r="X34" i="15"/>
  <c r="W34" i="15"/>
  <c r="V34" i="15"/>
  <c r="S34" i="15"/>
  <c r="R34" i="15"/>
  <c r="Q34" i="15"/>
  <c r="P34" i="15"/>
  <c r="O34" i="15"/>
  <c r="N34" i="15"/>
  <c r="K34" i="15"/>
  <c r="J34" i="15"/>
  <c r="I34" i="15"/>
  <c r="H34" i="15"/>
  <c r="G34" i="15"/>
  <c r="F34" i="15"/>
  <c r="A34" i="15"/>
  <c r="V33" i="15"/>
  <c r="U33" i="15"/>
  <c r="T33" i="15"/>
  <c r="L33" i="15"/>
  <c r="K33" i="15"/>
  <c r="J33" i="15"/>
  <c r="F33" i="15"/>
  <c r="A33" i="15"/>
  <c r="Z33" i="15" s="1"/>
  <c r="Q32" i="15"/>
  <c r="P32" i="15"/>
  <c r="G32" i="15"/>
  <c r="F32" i="15"/>
  <c r="A32" i="15"/>
  <c r="AA31" i="15"/>
  <c r="Z31" i="15"/>
  <c r="Y31" i="15"/>
  <c r="X31" i="15"/>
  <c r="W31" i="15"/>
  <c r="T31" i="15"/>
  <c r="S31" i="15"/>
  <c r="R31" i="15"/>
  <c r="Q31" i="15"/>
  <c r="P31" i="15"/>
  <c r="O31" i="15"/>
  <c r="L31" i="15"/>
  <c r="K31" i="15"/>
  <c r="J31" i="15"/>
  <c r="I31" i="15"/>
  <c r="H31" i="15"/>
  <c r="G31" i="15"/>
  <c r="F31" i="15"/>
  <c r="A31" i="15"/>
  <c r="V31" i="15" s="1"/>
  <c r="Z30" i="15"/>
  <c r="W30" i="15"/>
  <c r="V30" i="15"/>
  <c r="U30" i="15"/>
  <c r="T30" i="15"/>
  <c r="S30" i="15"/>
  <c r="N30" i="15"/>
  <c r="M30" i="15"/>
  <c r="L30" i="15"/>
  <c r="K30" i="15"/>
  <c r="J30" i="15"/>
  <c r="G30" i="15"/>
  <c r="F30" i="15"/>
  <c r="A30" i="15"/>
  <c r="Z29" i="15"/>
  <c r="P29" i="15"/>
  <c r="O29" i="15"/>
  <c r="F29" i="15"/>
  <c r="A29" i="15"/>
  <c r="Y29" i="15" s="1"/>
  <c r="U28" i="15"/>
  <c r="T28" i="15"/>
  <c r="S28" i="15"/>
  <c r="K28" i="15"/>
  <c r="J28" i="15"/>
  <c r="I28" i="15"/>
  <c r="F28" i="15"/>
  <c r="A28" i="15"/>
  <c r="Y28" i="15" s="1"/>
  <c r="S27" i="15"/>
  <c r="P27" i="15"/>
  <c r="G27" i="15"/>
  <c r="F27" i="15"/>
  <c r="A27" i="15"/>
  <c r="AA26" i="15"/>
  <c r="Z26" i="15"/>
  <c r="Y26" i="15"/>
  <c r="X26" i="15"/>
  <c r="W26" i="15"/>
  <c r="V26" i="15"/>
  <c r="T26" i="15"/>
  <c r="S26" i="15"/>
  <c r="R26" i="15"/>
  <c r="Q26" i="15"/>
  <c r="P26" i="15"/>
  <c r="O26" i="15"/>
  <c r="N26" i="15"/>
  <c r="L26" i="15"/>
  <c r="K26" i="15"/>
  <c r="J26" i="15"/>
  <c r="I26" i="15"/>
  <c r="H26" i="15"/>
  <c r="G26" i="15"/>
  <c r="F26" i="15"/>
  <c r="A26" i="15"/>
  <c r="F25" i="15"/>
  <c r="A25" i="15"/>
  <c r="V25" i="15" s="1"/>
  <c r="M24" i="15"/>
  <c r="F24" i="15"/>
  <c r="A24" i="15"/>
  <c r="W23" i="15"/>
  <c r="U23" i="15"/>
  <c r="O23" i="15"/>
  <c r="M23" i="15"/>
  <c r="L23" i="15"/>
  <c r="F23" i="15"/>
  <c r="A23" i="15"/>
  <c r="X23" i="15" s="1"/>
  <c r="X22" i="15"/>
  <c r="W22" i="15"/>
  <c r="V22" i="15"/>
  <c r="O22" i="15"/>
  <c r="N22" i="15"/>
  <c r="M22" i="15"/>
  <c r="F22" i="15"/>
  <c r="A22" i="15"/>
  <c r="X21" i="15"/>
  <c r="V21" i="15"/>
  <c r="O21" i="15"/>
  <c r="F21" i="15"/>
  <c r="A21" i="15"/>
  <c r="W21" i="15" s="1"/>
  <c r="AA20" i="15"/>
  <c r="Z20" i="15"/>
  <c r="Y20" i="15"/>
  <c r="X20" i="15"/>
  <c r="W20" i="15"/>
  <c r="U20" i="15"/>
  <c r="T20" i="15"/>
  <c r="S20" i="15"/>
  <c r="R20" i="15"/>
  <c r="Q20" i="15"/>
  <c r="P20" i="15"/>
  <c r="O20" i="15"/>
  <c r="M20" i="15"/>
  <c r="L20" i="15"/>
  <c r="K20" i="15"/>
  <c r="J20" i="15"/>
  <c r="I20" i="15"/>
  <c r="H20" i="15"/>
  <c r="G20" i="15"/>
  <c r="A20" i="15"/>
  <c r="V20" i="15" s="1"/>
  <c r="AA19" i="15"/>
  <c r="Z19" i="15"/>
  <c r="Y19" i="15"/>
  <c r="S19" i="15"/>
  <c r="R19" i="15"/>
  <c r="Q19" i="15"/>
  <c r="K19" i="15"/>
  <c r="J19" i="15"/>
  <c r="I19" i="15"/>
  <c r="F19" i="15"/>
  <c r="A19" i="15"/>
  <c r="X19" i="15" s="1"/>
  <c r="F18" i="15"/>
  <c r="A18" i="15"/>
  <c r="V18" i="15" s="1"/>
  <c r="K17" i="15"/>
  <c r="F17" i="15"/>
  <c r="A17" i="15"/>
  <c r="V16" i="15"/>
  <c r="U16" i="15"/>
  <c r="T16" i="15"/>
  <c r="N16" i="15"/>
  <c r="M16" i="15"/>
  <c r="L16" i="15"/>
  <c r="F16" i="15"/>
  <c r="A16" i="15"/>
  <c r="W13" i="15"/>
  <c r="V13" i="15"/>
  <c r="P13" i="15"/>
  <c r="H13" i="15"/>
  <c r="G13" i="15"/>
  <c r="A13" i="15"/>
  <c r="AA12" i="15"/>
  <c r="Z12" i="15"/>
  <c r="Y12" i="15"/>
  <c r="U12" i="15"/>
  <c r="S12" i="15"/>
  <c r="R12" i="15"/>
  <c r="Q12" i="15"/>
  <c r="M12" i="15"/>
  <c r="K12" i="15"/>
  <c r="J12" i="15"/>
  <c r="I12" i="15"/>
  <c r="A12" i="15"/>
  <c r="X12" i="15" s="1"/>
  <c r="U11" i="15"/>
  <c r="T11" i="15"/>
  <c r="S11" i="15"/>
  <c r="K11" i="15"/>
  <c r="F11" i="15"/>
  <c r="A11" i="15"/>
  <c r="AA10" i="15"/>
  <c r="Z10" i="15"/>
  <c r="Y10" i="15"/>
  <c r="X10" i="15"/>
  <c r="W10" i="15"/>
  <c r="V10" i="15"/>
  <c r="T10" i="15"/>
  <c r="S10" i="15"/>
  <c r="R10" i="15"/>
  <c r="Q10" i="15"/>
  <c r="P10" i="15"/>
  <c r="O10" i="15"/>
  <c r="N10" i="15"/>
  <c r="L10" i="15"/>
  <c r="K10" i="15"/>
  <c r="J10" i="15"/>
  <c r="I10" i="15"/>
  <c r="H10" i="15"/>
  <c r="G10" i="15"/>
  <c r="F10" i="15"/>
  <c r="A10" i="15"/>
  <c r="AA9" i="15"/>
  <c r="Z9" i="15"/>
  <c r="Y9" i="15"/>
  <c r="S9" i="15"/>
  <c r="R9" i="15"/>
  <c r="Q9" i="15"/>
  <c r="K9" i="15"/>
  <c r="J9" i="15"/>
  <c r="I9" i="15"/>
  <c r="F9" i="15"/>
  <c r="A9" i="15"/>
  <c r="X9" i="15" s="1"/>
  <c r="V8" i="15"/>
  <c r="T8" i="15"/>
  <c r="N8" i="15"/>
  <c r="M8" i="15"/>
  <c r="F8" i="15"/>
  <c r="A8" i="15"/>
  <c r="U8" i="15" s="1"/>
  <c r="AA7" i="15"/>
  <c r="Z7" i="15"/>
  <c r="Y7" i="15"/>
  <c r="X7" i="15"/>
  <c r="W7" i="15"/>
  <c r="T7" i="15"/>
  <c r="S7" i="15"/>
  <c r="R7" i="15"/>
  <c r="Q7" i="15"/>
  <c r="P7" i="15"/>
  <c r="O7" i="15"/>
  <c r="L7" i="15"/>
  <c r="K7" i="15"/>
  <c r="J7" i="15"/>
  <c r="I7" i="15"/>
  <c r="H7" i="15"/>
  <c r="G7" i="15"/>
  <c r="F7" i="15"/>
  <c r="A7" i="15"/>
  <c r="V7" i="15" s="1"/>
  <c r="AA6" i="15"/>
  <c r="Z6" i="15"/>
  <c r="Y6" i="15"/>
  <c r="X6" i="15"/>
  <c r="T6" i="15"/>
  <c r="S6" i="15"/>
  <c r="R6" i="15"/>
  <c r="Q6" i="15"/>
  <c r="P6" i="15"/>
  <c r="L6" i="15"/>
  <c r="K6" i="15"/>
  <c r="J6" i="15"/>
  <c r="I6" i="15"/>
  <c r="H6" i="15"/>
  <c r="F6" i="15"/>
  <c r="A6" i="15"/>
  <c r="W6" i="15" s="1"/>
  <c r="AA5" i="15"/>
  <c r="Z5" i="15"/>
  <c r="Y5" i="15"/>
  <c r="U5" i="15"/>
  <c r="T5" i="15"/>
  <c r="S5" i="15"/>
  <c r="M5" i="15"/>
  <c r="L5" i="15"/>
  <c r="K5" i="15"/>
  <c r="J5" i="15"/>
  <c r="I5" i="15"/>
  <c r="F5" i="15"/>
  <c r="A5" i="15"/>
  <c r="Z5" i="16" l="1"/>
  <c r="Z20" i="16"/>
  <c r="Z45" i="16"/>
  <c r="Z48" i="16"/>
  <c r="Z32" i="16"/>
  <c r="Z46" i="16"/>
  <c r="Z21" i="16"/>
  <c r="Z24" i="16"/>
  <c r="Z16" i="16"/>
  <c r="Z6" i="16"/>
  <c r="Z25" i="16"/>
  <c r="Z36" i="16"/>
  <c r="Z50" i="16"/>
  <c r="Z35" i="16"/>
  <c r="Z17" i="16"/>
  <c r="Z7" i="16"/>
  <c r="Z10" i="16"/>
  <c r="Z11" i="16"/>
  <c r="Z26" i="16"/>
  <c r="Z29" i="16"/>
  <c r="Z30" i="16"/>
  <c r="Z47" i="16"/>
  <c r="Z9" i="16"/>
  <c r="Z8" i="16"/>
  <c r="Z12" i="16"/>
  <c r="Z18" i="16"/>
  <c r="Z27" i="16"/>
  <c r="Z33" i="16"/>
  <c r="Z39" i="16"/>
  <c r="Z41" i="16"/>
  <c r="Z44" i="16"/>
  <c r="Z28" i="16"/>
  <c r="Z13" i="16"/>
  <c r="Z19" i="16"/>
  <c r="Z22" i="16"/>
  <c r="Z23" i="16"/>
  <c r="Z31" i="16"/>
  <c r="Z49" i="16"/>
  <c r="Z34" i="16"/>
  <c r="Z37" i="16"/>
  <c r="R17" i="15"/>
  <c r="J17" i="15"/>
  <c r="Q17" i="15"/>
  <c r="I17" i="15"/>
  <c r="P17" i="15"/>
  <c r="X17" i="15"/>
  <c r="H17" i="15"/>
  <c r="W17" i="15"/>
  <c r="O17" i="15"/>
  <c r="G17" i="15"/>
  <c r="V17" i="15"/>
  <c r="N17" i="15"/>
  <c r="N21" i="15"/>
  <c r="AA24" i="15"/>
  <c r="S24" i="15"/>
  <c r="K24" i="15"/>
  <c r="U24" i="15"/>
  <c r="L24" i="15"/>
  <c r="T24" i="15"/>
  <c r="J24" i="15"/>
  <c r="R24" i="15"/>
  <c r="I24" i="15"/>
  <c r="Z24" i="15"/>
  <c r="Q24" i="15"/>
  <c r="H24" i="15"/>
  <c r="Y24" i="15"/>
  <c r="P24" i="15"/>
  <c r="G24" i="15"/>
  <c r="Y25" i="15"/>
  <c r="W50" i="15"/>
  <c r="AA18" i="15"/>
  <c r="S18" i="15"/>
  <c r="K18" i="15"/>
  <c r="J18" i="15"/>
  <c r="Z18" i="15"/>
  <c r="R18" i="15"/>
  <c r="I18" i="15"/>
  <c r="I39" i="15" s="1"/>
  <c r="Y18" i="15"/>
  <c r="Q18" i="15"/>
  <c r="X18" i="15"/>
  <c r="P18" i="15"/>
  <c r="H18" i="15"/>
  <c r="W18" i="15"/>
  <c r="O18" i="15"/>
  <c r="G18" i="15"/>
  <c r="Z11" i="15"/>
  <c r="R11" i="15"/>
  <c r="J11" i="15"/>
  <c r="Y11" i="15"/>
  <c r="X11" i="15"/>
  <c r="O11" i="15"/>
  <c r="Q11" i="15"/>
  <c r="I11" i="15"/>
  <c r="W11" i="15"/>
  <c r="W39" i="15" s="1"/>
  <c r="P11" i="15"/>
  <c r="H11" i="15"/>
  <c r="G11" i="15"/>
  <c r="V11" i="15"/>
  <c r="V39" i="15" s="1"/>
  <c r="N11" i="15"/>
  <c r="AA11" i="15"/>
  <c r="U13" i="15"/>
  <c r="M13" i="15"/>
  <c r="T13" i="15"/>
  <c r="L13" i="15"/>
  <c r="AA13" i="15"/>
  <c r="S13" i="15"/>
  <c r="K13" i="15"/>
  <c r="Z13" i="15"/>
  <c r="R13" i="15"/>
  <c r="J13" i="15"/>
  <c r="Y13" i="15"/>
  <c r="Q13" i="15"/>
  <c r="I13" i="15"/>
  <c r="X13" i="15"/>
  <c r="L17" i="15"/>
  <c r="L41" i="15" s="1"/>
  <c r="L18" i="15"/>
  <c r="N24" i="15"/>
  <c r="M25" i="15"/>
  <c r="M17" i="15"/>
  <c r="M41" i="15" s="1"/>
  <c r="M18" i="15"/>
  <c r="O24" i="15"/>
  <c r="N25" i="15"/>
  <c r="S17" i="15"/>
  <c r="N18" i="15"/>
  <c r="T21" i="15"/>
  <c r="L21" i="15"/>
  <c r="U21" i="15"/>
  <c r="K21" i="15"/>
  <c r="S21" i="15"/>
  <c r="J21" i="15"/>
  <c r="AA21" i="15"/>
  <c r="R21" i="15"/>
  <c r="I21" i="15"/>
  <c r="Z21" i="15"/>
  <c r="Q21" i="15"/>
  <c r="H21" i="15"/>
  <c r="Y21" i="15"/>
  <c r="P21" i="15"/>
  <c r="G21" i="15"/>
  <c r="V24" i="15"/>
  <c r="O25" i="15"/>
  <c r="AA8" i="15"/>
  <c r="S8" i="15"/>
  <c r="S14" i="15" s="1"/>
  <c r="K8" i="15"/>
  <c r="K14" i="15" s="1"/>
  <c r="R8" i="15"/>
  <c r="R14" i="15" s="1"/>
  <c r="Y8" i="15"/>
  <c r="Y14" i="15" s="1"/>
  <c r="Q8" i="15"/>
  <c r="Q14" i="15" s="1"/>
  <c r="I8" i="15"/>
  <c r="I14" i="15" s="1"/>
  <c r="H8" i="15"/>
  <c r="H14" i="15" s="1"/>
  <c r="Z8" i="15"/>
  <c r="J8" i="15"/>
  <c r="X8" i="15"/>
  <c r="P8" i="15"/>
  <c r="P14" i="15" s="1"/>
  <c r="W8" i="15"/>
  <c r="O8" i="15"/>
  <c r="O14" i="15" s="1"/>
  <c r="G8" i="15"/>
  <c r="Q5" i="15"/>
  <c r="L11" i="15"/>
  <c r="N13" i="15"/>
  <c r="AA16" i="15"/>
  <c r="S16" i="15"/>
  <c r="K16" i="15"/>
  <c r="R16" i="15"/>
  <c r="J16" i="15"/>
  <c r="Z16" i="15"/>
  <c r="Y16" i="15"/>
  <c r="I16" i="15"/>
  <c r="Q16" i="15"/>
  <c r="X16" i="15"/>
  <c r="P16" i="15"/>
  <c r="H16" i="15"/>
  <c r="W16" i="15"/>
  <c r="O16" i="15"/>
  <c r="G16" i="15"/>
  <c r="T17" i="15"/>
  <c r="T41" i="15" s="1"/>
  <c r="T40" i="15" s="1"/>
  <c r="T18" i="15"/>
  <c r="Y22" i="15"/>
  <c r="Q22" i="15"/>
  <c r="I22" i="15"/>
  <c r="U22" i="15"/>
  <c r="L22" i="15"/>
  <c r="T22" i="15"/>
  <c r="K22" i="15"/>
  <c r="S22" i="15"/>
  <c r="J22" i="15"/>
  <c r="AA22" i="15"/>
  <c r="R22" i="15"/>
  <c r="H22" i="15"/>
  <c r="Z22" i="15"/>
  <c r="P22" i="15"/>
  <c r="G22" i="15"/>
  <c r="W24" i="15"/>
  <c r="X25" i="15"/>
  <c r="P25" i="15"/>
  <c r="H25" i="15"/>
  <c r="U25" i="15"/>
  <c r="L25" i="15"/>
  <c r="T25" i="15"/>
  <c r="K25" i="15"/>
  <c r="S25" i="15"/>
  <c r="J25" i="15"/>
  <c r="AA25" i="15"/>
  <c r="R25" i="15"/>
  <c r="I25" i="15"/>
  <c r="Z25" i="15"/>
  <c r="Q25" i="15"/>
  <c r="G25" i="15"/>
  <c r="AA14" i="15"/>
  <c r="J39" i="15"/>
  <c r="X5" i="15"/>
  <c r="P5" i="15"/>
  <c r="H5" i="15"/>
  <c r="O5" i="15"/>
  <c r="G5" i="15"/>
  <c r="W5" i="15"/>
  <c r="N5" i="15"/>
  <c r="V5" i="15"/>
  <c r="R5" i="15"/>
  <c r="X14" i="15"/>
  <c r="L8" i="15"/>
  <c r="M11" i="15"/>
  <c r="O13" i="15"/>
  <c r="U17" i="15"/>
  <c r="U41" i="15" s="1"/>
  <c r="U40" i="15" s="1"/>
  <c r="U18" i="15"/>
  <c r="M21" i="15"/>
  <c r="V23" i="15"/>
  <c r="N23" i="15"/>
  <c r="T23" i="15"/>
  <c r="K23" i="15"/>
  <c r="S23" i="15"/>
  <c r="J23" i="15"/>
  <c r="AA23" i="15"/>
  <c r="R23" i="15"/>
  <c r="I23" i="15"/>
  <c r="Z23" i="15"/>
  <c r="Q23" i="15"/>
  <c r="H23" i="15"/>
  <c r="Y23" i="15"/>
  <c r="P23" i="15"/>
  <c r="G23" i="15"/>
  <c r="X24" i="15"/>
  <c r="W25" i="15"/>
  <c r="T29" i="15"/>
  <c r="L29" i="15"/>
  <c r="AA29" i="15"/>
  <c r="S29" i="15"/>
  <c r="K29" i="15"/>
  <c r="W29" i="15"/>
  <c r="M29" i="15"/>
  <c r="V29" i="15"/>
  <c r="J29" i="15"/>
  <c r="U29" i="15"/>
  <c r="I29" i="15"/>
  <c r="R29" i="15"/>
  <c r="R39" i="15" s="1"/>
  <c r="H29" i="15"/>
  <c r="Q29" i="15"/>
  <c r="Q39" i="15" s="1"/>
  <c r="G29" i="15"/>
  <c r="X29" i="15"/>
  <c r="N29" i="15"/>
  <c r="Z27" i="15"/>
  <c r="R27" i="15"/>
  <c r="J27" i="15"/>
  <c r="Y27" i="15"/>
  <c r="Q27" i="15"/>
  <c r="I27" i="15"/>
  <c r="O27" i="15"/>
  <c r="AA27" i="15"/>
  <c r="AA32" i="15"/>
  <c r="S32" i="15"/>
  <c r="K32" i="15"/>
  <c r="Z32" i="15"/>
  <c r="R32" i="15"/>
  <c r="J32" i="15"/>
  <c r="O32" i="15"/>
  <c r="Y32" i="15"/>
  <c r="L9" i="15"/>
  <c r="T9" i="15"/>
  <c r="T14" i="15" s="1"/>
  <c r="L12" i="15"/>
  <c r="T12" i="15"/>
  <c r="L19" i="15"/>
  <c r="T19" i="15"/>
  <c r="H27" i="15"/>
  <c r="T27" i="15"/>
  <c r="L28" i="15"/>
  <c r="X28" i="15"/>
  <c r="H32" i="15"/>
  <c r="T32" i="15"/>
  <c r="M33" i="15"/>
  <c r="Y33" i="15"/>
  <c r="AA46" i="15"/>
  <c r="S46" i="15"/>
  <c r="K46" i="15"/>
  <c r="Z46" i="15"/>
  <c r="R46" i="15"/>
  <c r="J46" i="15"/>
  <c r="Y46" i="15"/>
  <c r="Q46" i="15"/>
  <c r="Q50" i="15" s="1"/>
  <c r="I46" i="15"/>
  <c r="I50" i="15" s="1"/>
  <c r="W46" i="15"/>
  <c r="O46" i="15"/>
  <c r="G46" i="15"/>
  <c r="T46" i="15"/>
  <c r="L46" i="15"/>
  <c r="X46" i="15"/>
  <c r="X50" i="15" s="1"/>
  <c r="T47" i="15"/>
  <c r="M19" i="15"/>
  <c r="U19" i="15"/>
  <c r="K27" i="15"/>
  <c r="U27" i="15"/>
  <c r="M28" i="15"/>
  <c r="I32" i="15"/>
  <c r="U32" i="15"/>
  <c r="N33" i="15"/>
  <c r="N9" i="15"/>
  <c r="N12" i="15"/>
  <c r="V12" i="15"/>
  <c r="L27" i="15"/>
  <c r="V27" i="15"/>
  <c r="W28" i="15"/>
  <c r="O28" i="15"/>
  <c r="G28" i="15"/>
  <c r="V28" i="15"/>
  <c r="N28" i="15"/>
  <c r="P28" i="15"/>
  <c r="Z28" i="15"/>
  <c r="L32" i="15"/>
  <c r="V32" i="15"/>
  <c r="X33" i="15"/>
  <c r="P33" i="15"/>
  <c r="H33" i="15"/>
  <c r="W33" i="15"/>
  <c r="O33" i="15"/>
  <c r="G33" i="15"/>
  <c r="Q33" i="15"/>
  <c r="AA33" i="15"/>
  <c r="Z47" i="15"/>
  <c r="R47" i="15"/>
  <c r="J47" i="15"/>
  <c r="Y47" i="15"/>
  <c r="Q47" i="15"/>
  <c r="I47" i="15"/>
  <c r="X47" i="15"/>
  <c r="P47" i="15"/>
  <c r="P50" i="15" s="1"/>
  <c r="H47" i="15"/>
  <c r="H50" i="15" s="1"/>
  <c r="V47" i="15"/>
  <c r="V50" i="15" s="1"/>
  <c r="N47" i="15"/>
  <c r="AA47" i="15"/>
  <c r="S47" i="15"/>
  <c r="K47" i="15"/>
  <c r="W47" i="15"/>
  <c r="U9" i="15"/>
  <c r="N19" i="15"/>
  <c r="N41" i="15" s="1"/>
  <c r="V19" i="15"/>
  <c r="V37" i="15" s="1"/>
  <c r="M7" i="15"/>
  <c r="G9" i="15"/>
  <c r="G14" i="15" s="1"/>
  <c r="G12" i="15"/>
  <c r="W12" i="15"/>
  <c r="J14" i="15"/>
  <c r="G19" i="15"/>
  <c r="O19" i="15"/>
  <c r="W19" i="15"/>
  <c r="M27" i="15"/>
  <c r="W27" i="15"/>
  <c r="Q28" i="15"/>
  <c r="AA28" i="15"/>
  <c r="Y30" i="15"/>
  <c r="Q30" i="15"/>
  <c r="I30" i="15"/>
  <c r="X30" i="15"/>
  <c r="P30" i="15"/>
  <c r="H30" i="15"/>
  <c r="O30" i="15"/>
  <c r="AA30" i="15"/>
  <c r="M32" i="15"/>
  <c r="W32" i="15"/>
  <c r="R33" i="15"/>
  <c r="Z35" i="15"/>
  <c r="R35" i="15"/>
  <c r="J35" i="15"/>
  <c r="Y35" i="15"/>
  <c r="Q35" i="15"/>
  <c r="I35" i="15"/>
  <c r="X35" i="15"/>
  <c r="P35" i="15"/>
  <c r="H35" i="15"/>
  <c r="S35" i="15"/>
  <c r="M46" i="15"/>
  <c r="M9" i="15"/>
  <c r="M6" i="15"/>
  <c r="M39" i="15" s="1"/>
  <c r="U6" i="15"/>
  <c r="V9" i="15"/>
  <c r="V14" i="15" s="1"/>
  <c r="N6" i="15"/>
  <c r="V6" i="15"/>
  <c r="U7" i="15"/>
  <c r="U14" i="15" s="1"/>
  <c r="O9" i="15"/>
  <c r="W9" i="15"/>
  <c r="W14" i="15" s="1"/>
  <c r="O12" i="15"/>
  <c r="G6" i="15"/>
  <c r="O6" i="15"/>
  <c r="N7" i="15"/>
  <c r="H9" i="15"/>
  <c r="P9" i="15"/>
  <c r="M10" i="15"/>
  <c r="U10" i="15"/>
  <c r="U39" i="15" s="1"/>
  <c r="H12" i="15"/>
  <c r="H39" i="15" s="1"/>
  <c r="P12" i="15"/>
  <c r="H19" i="15"/>
  <c r="P19" i="15"/>
  <c r="N20" i="15"/>
  <c r="N27" i="15"/>
  <c r="X27" i="15"/>
  <c r="H28" i="15"/>
  <c r="R28" i="15"/>
  <c r="R30" i="15"/>
  <c r="N32" i="15"/>
  <c r="X32" i="15"/>
  <c r="I33" i="15"/>
  <c r="S33" i="15"/>
  <c r="T35" i="15"/>
  <c r="N46" i="15"/>
  <c r="N50" i="15" s="1"/>
  <c r="G47" i="15"/>
  <c r="M45" i="15"/>
  <c r="U45" i="15"/>
  <c r="J48" i="15"/>
  <c r="R48" i="15"/>
  <c r="Z48" i="15"/>
  <c r="J49" i="15"/>
  <c r="R49" i="15"/>
  <c r="Z49" i="15"/>
  <c r="M48" i="15"/>
  <c r="U48" i="15"/>
  <c r="M49" i="15"/>
  <c r="U49" i="15"/>
  <c r="N49" i="15"/>
  <c r="V49" i="15"/>
  <c r="N36" i="15"/>
  <c r="V36" i="15"/>
  <c r="K44" i="15"/>
  <c r="S44" i="15"/>
  <c r="S50" i="15" s="1"/>
  <c r="AA44" i="15"/>
  <c r="J45" i="15"/>
  <c r="J50" i="15" s="1"/>
  <c r="R45" i="15"/>
  <c r="R50" i="15" s="1"/>
  <c r="Z45" i="15"/>
  <c r="G48" i="15"/>
  <c r="O48" i="15"/>
  <c r="O50" i="15" s="1"/>
  <c r="W48" i="15"/>
  <c r="G49" i="15"/>
  <c r="O49" i="15"/>
  <c r="W49" i="15"/>
  <c r="M31" i="15"/>
  <c r="U31" i="15"/>
  <c r="L34" i="15"/>
  <c r="T34" i="15"/>
  <c r="G36" i="15"/>
  <c r="O36" i="15"/>
  <c r="W36" i="15"/>
  <c r="L44" i="15"/>
  <c r="T44" i="15"/>
  <c r="K45" i="15"/>
  <c r="S45" i="15"/>
  <c r="AA45" i="15"/>
  <c r="H48" i="15"/>
  <c r="P48" i="15"/>
  <c r="X48" i="15"/>
  <c r="H49" i="15"/>
  <c r="P49" i="15"/>
  <c r="X49" i="15"/>
  <c r="M26" i="15"/>
  <c r="U26" i="15"/>
  <c r="N31" i="15"/>
  <c r="M34" i="15"/>
  <c r="U34" i="15"/>
  <c r="H36" i="15"/>
  <c r="P36" i="15"/>
  <c r="M44" i="15"/>
  <c r="M50" i="15" s="1"/>
  <c r="U44" i="15"/>
  <c r="U50" i="15" s="1"/>
  <c r="L45" i="15"/>
  <c r="T45" i="15"/>
  <c r="I48" i="15"/>
  <c r="Q48" i="15"/>
  <c r="I49" i="15"/>
  <c r="Q49" i="15"/>
  <c r="U42" i="15" l="1"/>
  <c r="M40" i="15"/>
  <c r="T42" i="15"/>
  <c r="L14" i="15"/>
  <c r="O39" i="15"/>
  <c r="O41" i="15"/>
  <c r="O40" i="15" s="1"/>
  <c r="Z39" i="15"/>
  <c r="Z41" i="15"/>
  <c r="K39" i="15"/>
  <c r="Q37" i="15"/>
  <c r="AA37" i="15"/>
  <c r="Z50" i="15"/>
  <c r="P39" i="15"/>
  <c r="H41" i="15"/>
  <c r="H40" i="15" s="1"/>
  <c r="R41" i="15"/>
  <c r="R40" i="15" s="1"/>
  <c r="G37" i="15"/>
  <c r="I37" i="15"/>
  <c r="Y17" i="15"/>
  <c r="Z17" i="15" s="1"/>
  <c r="AA50" i="15"/>
  <c r="N14" i="15"/>
  <c r="Y50" i="15"/>
  <c r="P41" i="15"/>
  <c r="P40" i="15" s="1"/>
  <c r="K41" i="15"/>
  <c r="K40" i="15" s="1"/>
  <c r="N37" i="15"/>
  <c r="L37" i="15"/>
  <c r="O37" i="15"/>
  <c r="R37" i="15"/>
  <c r="J41" i="15"/>
  <c r="J40" i="15" s="1"/>
  <c r="Y37" i="15"/>
  <c r="U37" i="15"/>
  <c r="T37" i="15"/>
  <c r="X41" i="15"/>
  <c r="X40" i="15" s="1"/>
  <c r="S41" i="15"/>
  <c r="S40" i="15" s="1"/>
  <c r="M37" i="15"/>
  <c r="W37" i="15"/>
  <c r="Z37" i="15"/>
  <c r="W41" i="15"/>
  <c r="W40" i="15" s="1"/>
  <c r="K50" i="15"/>
  <c r="N39" i="15"/>
  <c r="N40" i="15" s="1"/>
  <c r="Q41" i="15"/>
  <c r="Q40" i="15" s="1"/>
  <c r="V41" i="15"/>
  <c r="V40" i="15" s="1"/>
  <c r="H37" i="15"/>
  <c r="J37" i="15"/>
  <c r="T50" i="15"/>
  <c r="M14" i="15"/>
  <c r="I41" i="15"/>
  <c r="I40" i="15" s="1"/>
  <c r="P37" i="15"/>
  <c r="K37" i="15"/>
  <c r="L50" i="15"/>
  <c r="G41" i="15"/>
  <c r="G39" i="15"/>
  <c r="Y39" i="15" s="1"/>
  <c r="AE53" i="15"/>
  <c r="Y41" i="15"/>
  <c r="L39" i="15"/>
  <c r="L40" i="15" s="1"/>
  <c r="X37" i="15"/>
  <c r="S37" i="15"/>
  <c r="Z14" i="15"/>
  <c r="AF53" i="15"/>
  <c r="L42" i="15" l="1"/>
  <c r="N42" i="15"/>
  <c r="K42" i="15"/>
  <c r="P42" i="15"/>
  <c r="R42" i="15"/>
  <c r="W42" i="15"/>
  <c r="H42" i="15"/>
  <c r="AA39" i="15"/>
  <c r="Y40" i="15"/>
  <c r="Y42" i="15" s="1"/>
  <c r="Z40" i="15"/>
  <c r="AA41" i="15"/>
  <c r="J42" i="15"/>
  <c r="O42" i="15"/>
  <c r="V42" i="15"/>
  <c r="M42" i="15"/>
  <c r="G40" i="15"/>
  <c r="Q42" i="15"/>
  <c r="I42" i="15"/>
  <c r="S42" i="15"/>
  <c r="AB40" i="15" l="1"/>
  <c r="AN2" i="15"/>
  <c r="AA40" i="15"/>
  <c r="AA42" i="15" s="1"/>
  <c r="AD53" i="14" l="1"/>
  <c r="AA52" i="14"/>
  <c r="X52" i="14"/>
  <c r="W52" i="14"/>
  <c r="V52" i="14"/>
  <c r="U52" i="14"/>
  <c r="T52" i="14"/>
  <c r="S52" i="14"/>
  <c r="R52" i="14"/>
  <c r="Q52" i="14"/>
  <c r="P52" i="14"/>
  <c r="O52" i="14"/>
  <c r="N52" i="14"/>
  <c r="M52" i="14"/>
  <c r="L52" i="14"/>
  <c r="K52" i="14"/>
  <c r="J52" i="14"/>
  <c r="I52" i="14"/>
  <c r="H52" i="14"/>
  <c r="G52" i="14"/>
  <c r="Y52" i="14" s="1"/>
  <c r="AA51" i="14"/>
  <c r="X51" i="14"/>
  <c r="W51" i="14"/>
  <c r="V51" i="14"/>
  <c r="U51" i="14"/>
  <c r="T51" i="14"/>
  <c r="S51" i="14"/>
  <c r="R51" i="14"/>
  <c r="Q51" i="14"/>
  <c r="P51" i="14"/>
  <c r="O51" i="14"/>
  <c r="N51" i="14"/>
  <c r="M51" i="14"/>
  <c r="L51" i="14"/>
  <c r="K51" i="14"/>
  <c r="J51" i="14"/>
  <c r="I51" i="14"/>
  <c r="H51" i="14"/>
  <c r="G51" i="14"/>
  <c r="Y51" i="14" s="1"/>
  <c r="E51" i="14"/>
  <c r="D51" i="14"/>
  <c r="C51" i="14"/>
  <c r="B51" i="14"/>
  <c r="A51" i="14"/>
  <c r="AA50" i="14"/>
  <c r="X50" i="14"/>
  <c r="W50" i="14"/>
  <c r="V50" i="14"/>
  <c r="U50" i="14"/>
  <c r="T50" i="14"/>
  <c r="S50" i="14"/>
  <c r="R50" i="14"/>
  <c r="Q50" i="14"/>
  <c r="P50" i="14"/>
  <c r="O50" i="14"/>
  <c r="N50" i="14"/>
  <c r="M50" i="14"/>
  <c r="L50" i="14"/>
  <c r="K50" i="14"/>
  <c r="J50" i="14"/>
  <c r="I50" i="14"/>
  <c r="H50" i="14"/>
  <c r="G50" i="14"/>
  <c r="Y50" i="14" s="1"/>
  <c r="F50" i="14"/>
  <c r="E50" i="14"/>
  <c r="D50" i="14"/>
  <c r="C50" i="14"/>
  <c r="B50" i="14"/>
  <c r="A50" i="14"/>
  <c r="AA49" i="14"/>
  <c r="X49" i="14"/>
  <c r="W49" i="14"/>
  <c r="V49" i="14"/>
  <c r="U49" i="14"/>
  <c r="T49" i="14"/>
  <c r="S49" i="14"/>
  <c r="R49" i="14"/>
  <c r="Q49" i="14"/>
  <c r="P49" i="14"/>
  <c r="O49" i="14"/>
  <c r="N49" i="14"/>
  <c r="M49" i="14"/>
  <c r="L49" i="14"/>
  <c r="K49" i="14"/>
  <c r="J49" i="14"/>
  <c r="I49" i="14"/>
  <c r="H49" i="14"/>
  <c r="G49" i="14"/>
  <c r="Y49" i="14" s="1"/>
  <c r="F49" i="14"/>
  <c r="E49" i="14"/>
  <c r="D49" i="14"/>
  <c r="C49" i="14"/>
  <c r="B49" i="14"/>
  <c r="A49" i="14"/>
  <c r="AA48" i="14"/>
  <c r="X48" i="14"/>
  <c r="W48" i="14"/>
  <c r="V48" i="14"/>
  <c r="U48" i="14"/>
  <c r="T48" i="14"/>
  <c r="S48" i="14"/>
  <c r="R48" i="14"/>
  <c r="Q48" i="14"/>
  <c r="P48" i="14"/>
  <c r="O48" i="14"/>
  <c r="N48" i="14"/>
  <c r="M48" i="14"/>
  <c r="L48" i="14"/>
  <c r="K48" i="14"/>
  <c r="J48" i="14"/>
  <c r="I48" i="14"/>
  <c r="Y48" i="14" s="1"/>
  <c r="H48" i="14"/>
  <c r="G48" i="14"/>
  <c r="F48" i="14"/>
  <c r="E48" i="14"/>
  <c r="D48" i="14"/>
  <c r="C48" i="14"/>
  <c r="B48" i="14"/>
  <c r="A48" i="14"/>
  <c r="AA47" i="14"/>
  <c r="X47" i="14"/>
  <c r="W47" i="14"/>
  <c r="V47" i="14"/>
  <c r="U47" i="14"/>
  <c r="T47" i="14"/>
  <c r="S47" i="14"/>
  <c r="R47" i="14"/>
  <c r="Q47" i="14"/>
  <c r="P47" i="14"/>
  <c r="O47" i="14"/>
  <c r="N47" i="14"/>
  <c r="M47" i="14"/>
  <c r="L47" i="14"/>
  <c r="K47" i="14"/>
  <c r="J47" i="14"/>
  <c r="I47" i="14"/>
  <c r="H47" i="14"/>
  <c r="Y47" i="14" s="1"/>
  <c r="G47" i="14"/>
  <c r="F47" i="14"/>
  <c r="E47" i="14"/>
  <c r="D47" i="14"/>
  <c r="C47" i="14"/>
  <c r="B47" i="14"/>
  <c r="A47" i="14"/>
  <c r="Y46" i="14"/>
  <c r="AD46" i="14" s="1"/>
  <c r="AA46" i="14"/>
  <c r="X46" i="14"/>
  <c r="W46" i="14"/>
  <c r="V46" i="14"/>
  <c r="U46" i="14"/>
  <c r="T46" i="14"/>
  <c r="S46" i="14"/>
  <c r="R46" i="14"/>
  <c r="Q46" i="14"/>
  <c r="P46" i="14"/>
  <c r="O46" i="14"/>
  <c r="N46" i="14"/>
  <c r="M46" i="14"/>
  <c r="L46" i="14"/>
  <c r="K46" i="14"/>
  <c r="J46" i="14"/>
  <c r="I46" i="14"/>
  <c r="H46" i="14"/>
  <c r="G46" i="14"/>
  <c r="F46" i="14"/>
  <c r="E46" i="14"/>
  <c r="D46" i="14"/>
  <c r="C46" i="14"/>
  <c r="B46" i="14"/>
  <c r="A46" i="14"/>
  <c r="AA43" i="14"/>
  <c r="X43" i="14"/>
  <c r="W43" i="14"/>
  <c r="V43" i="14"/>
  <c r="U43" i="14"/>
  <c r="T43" i="14"/>
  <c r="S43" i="14"/>
  <c r="R43" i="14"/>
  <c r="Q43" i="14"/>
  <c r="P43" i="14"/>
  <c r="O43" i="14"/>
  <c r="N43" i="14"/>
  <c r="M43" i="14"/>
  <c r="L43" i="14"/>
  <c r="K43" i="14"/>
  <c r="J43" i="14"/>
  <c r="I43" i="14"/>
  <c r="H43" i="14"/>
  <c r="G43" i="14"/>
  <c r="Y43" i="14" s="1"/>
  <c r="AA42" i="14"/>
  <c r="X42" i="14"/>
  <c r="W42" i="14"/>
  <c r="V42" i="14"/>
  <c r="U42" i="14"/>
  <c r="T42" i="14"/>
  <c r="S42" i="14"/>
  <c r="R42" i="14"/>
  <c r="Q42" i="14"/>
  <c r="P42" i="14"/>
  <c r="O42" i="14"/>
  <c r="N42" i="14"/>
  <c r="M42" i="14"/>
  <c r="L42" i="14"/>
  <c r="K42" i="14"/>
  <c r="J42" i="14"/>
  <c r="I42" i="14"/>
  <c r="H42" i="14"/>
  <c r="Y42" i="14" s="1"/>
  <c r="G42" i="14"/>
  <c r="AA41" i="14"/>
  <c r="X41" i="14"/>
  <c r="W41" i="14"/>
  <c r="V41" i="14"/>
  <c r="U41" i="14"/>
  <c r="T41" i="14"/>
  <c r="S41" i="14"/>
  <c r="R41" i="14"/>
  <c r="Q41" i="14"/>
  <c r="P41" i="14"/>
  <c r="O41" i="14"/>
  <c r="N41" i="14"/>
  <c r="M41" i="14"/>
  <c r="L41" i="14"/>
  <c r="K41" i="14"/>
  <c r="J41" i="14"/>
  <c r="I41" i="14"/>
  <c r="H41" i="14"/>
  <c r="G41" i="14"/>
  <c r="Y41" i="14" s="1"/>
  <c r="AA39" i="14"/>
  <c r="X39" i="14"/>
  <c r="W39" i="14"/>
  <c r="V39" i="14"/>
  <c r="U39" i="14"/>
  <c r="T39" i="14"/>
  <c r="S39" i="14"/>
  <c r="R39" i="14"/>
  <c r="Q39" i="14"/>
  <c r="P39" i="14"/>
  <c r="O39" i="14"/>
  <c r="N39" i="14"/>
  <c r="M39" i="14"/>
  <c r="L39" i="14"/>
  <c r="K39" i="14"/>
  <c r="J39" i="14"/>
  <c r="I39" i="14"/>
  <c r="H39" i="14"/>
  <c r="G39" i="14"/>
  <c r="Y39" i="14" s="1"/>
  <c r="AA38" i="14"/>
  <c r="X38" i="14"/>
  <c r="W38" i="14"/>
  <c r="V38" i="14"/>
  <c r="U38" i="14"/>
  <c r="T38" i="14"/>
  <c r="S38" i="14"/>
  <c r="R38" i="14"/>
  <c r="Q38" i="14"/>
  <c r="P38" i="14"/>
  <c r="O38" i="14"/>
  <c r="N38" i="14"/>
  <c r="M38" i="14"/>
  <c r="L38" i="14"/>
  <c r="K38" i="14"/>
  <c r="J38" i="14"/>
  <c r="I38" i="14"/>
  <c r="H38" i="14"/>
  <c r="G38" i="14"/>
  <c r="Y38" i="14" s="1"/>
  <c r="E38" i="14"/>
  <c r="D38" i="14"/>
  <c r="C38" i="14"/>
  <c r="B38" i="14"/>
  <c r="A38" i="14"/>
  <c r="AA37" i="14"/>
  <c r="X37" i="14"/>
  <c r="W37" i="14"/>
  <c r="V37" i="14"/>
  <c r="U37" i="14"/>
  <c r="T37" i="14"/>
  <c r="S37" i="14"/>
  <c r="R37" i="14"/>
  <c r="Q37" i="14"/>
  <c r="P37" i="14"/>
  <c r="O37" i="14"/>
  <c r="N37" i="14"/>
  <c r="M37" i="14"/>
  <c r="L37" i="14"/>
  <c r="K37" i="14"/>
  <c r="J37" i="14"/>
  <c r="I37" i="14"/>
  <c r="H37" i="14"/>
  <c r="G37" i="14"/>
  <c r="Y37" i="14" s="1"/>
  <c r="F37" i="14"/>
  <c r="E37" i="14"/>
  <c r="D37" i="14"/>
  <c r="C37" i="14"/>
  <c r="B37" i="14"/>
  <c r="A37" i="14"/>
  <c r="AA36" i="14"/>
  <c r="X36" i="14"/>
  <c r="W36" i="14"/>
  <c r="V36" i="14"/>
  <c r="U36" i="14"/>
  <c r="T36" i="14"/>
  <c r="S36" i="14"/>
  <c r="R36" i="14"/>
  <c r="Q36" i="14"/>
  <c r="P36" i="14"/>
  <c r="O36" i="14"/>
  <c r="N36" i="14"/>
  <c r="M36" i="14"/>
  <c r="L36" i="14"/>
  <c r="K36" i="14"/>
  <c r="J36" i="14"/>
  <c r="I36" i="14"/>
  <c r="Y36" i="14" s="1"/>
  <c r="H36" i="14"/>
  <c r="G36" i="14"/>
  <c r="F36" i="14"/>
  <c r="E36" i="14"/>
  <c r="D36" i="14"/>
  <c r="C36" i="14"/>
  <c r="B36" i="14"/>
  <c r="A36" i="14"/>
  <c r="AA35" i="14"/>
  <c r="X35" i="14"/>
  <c r="W35" i="14"/>
  <c r="V35" i="14"/>
  <c r="U35" i="14"/>
  <c r="T35" i="14"/>
  <c r="S35" i="14"/>
  <c r="R35" i="14"/>
  <c r="Q35" i="14"/>
  <c r="P35" i="14"/>
  <c r="O35" i="14"/>
  <c r="N35" i="14"/>
  <c r="M35" i="14"/>
  <c r="L35" i="14"/>
  <c r="K35" i="14"/>
  <c r="J35" i="14"/>
  <c r="I35" i="14"/>
  <c r="H35" i="14"/>
  <c r="G35" i="14"/>
  <c r="Y35" i="14" s="1"/>
  <c r="F35" i="14"/>
  <c r="E35" i="14"/>
  <c r="D35" i="14"/>
  <c r="C35" i="14"/>
  <c r="B35" i="14"/>
  <c r="A35" i="14"/>
  <c r="AA34" i="14"/>
  <c r="X34" i="14"/>
  <c r="W34" i="14"/>
  <c r="V34" i="14"/>
  <c r="U34" i="14"/>
  <c r="T34" i="14"/>
  <c r="S34" i="14"/>
  <c r="R34" i="14"/>
  <c r="Q34" i="14"/>
  <c r="P34" i="14"/>
  <c r="O34" i="14"/>
  <c r="N34" i="14"/>
  <c r="M34" i="14"/>
  <c r="L34" i="14"/>
  <c r="K34" i="14"/>
  <c r="J34" i="14"/>
  <c r="I34" i="14"/>
  <c r="H34" i="14"/>
  <c r="G34" i="14"/>
  <c r="Y34" i="14" s="1"/>
  <c r="F34" i="14"/>
  <c r="E34" i="14"/>
  <c r="D34" i="14"/>
  <c r="C34" i="14"/>
  <c r="B34" i="14"/>
  <c r="A34" i="14"/>
  <c r="AA33" i="14"/>
  <c r="X33" i="14"/>
  <c r="W33" i="14"/>
  <c r="V33" i="14"/>
  <c r="U33" i="14"/>
  <c r="T33" i="14"/>
  <c r="S33" i="14"/>
  <c r="R33" i="14"/>
  <c r="Q33" i="14"/>
  <c r="P33" i="14"/>
  <c r="O33" i="14"/>
  <c r="N33" i="14"/>
  <c r="M33" i="14"/>
  <c r="L33" i="14"/>
  <c r="K33" i="14"/>
  <c r="J33" i="14"/>
  <c r="I33" i="14"/>
  <c r="H33" i="14"/>
  <c r="G33" i="14"/>
  <c r="Y33" i="14" s="1"/>
  <c r="F33" i="14"/>
  <c r="E33" i="14"/>
  <c r="D33" i="14"/>
  <c r="C33" i="14"/>
  <c r="B33" i="14"/>
  <c r="A33" i="14"/>
  <c r="AA32" i="14"/>
  <c r="X32" i="14"/>
  <c r="W32" i="14"/>
  <c r="V32" i="14"/>
  <c r="U32" i="14"/>
  <c r="T32" i="14"/>
  <c r="S32" i="14"/>
  <c r="R32" i="14"/>
  <c r="Q32" i="14"/>
  <c r="P32" i="14"/>
  <c r="O32" i="14"/>
  <c r="N32" i="14"/>
  <c r="M32" i="14"/>
  <c r="L32" i="14"/>
  <c r="K32" i="14"/>
  <c r="J32" i="14"/>
  <c r="I32" i="14"/>
  <c r="Y32" i="14" s="1"/>
  <c r="H32" i="14"/>
  <c r="G32" i="14"/>
  <c r="F32" i="14"/>
  <c r="E32" i="14"/>
  <c r="D32" i="14"/>
  <c r="C32" i="14"/>
  <c r="B32" i="14"/>
  <c r="A32" i="14"/>
  <c r="AA31" i="14"/>
  <c r="X31" i="14"/>
  <c r="W31" i="14"/>
  <c r="V31" i="14"/>
  <c r="U31" i="14"/>
  <c r="T31" i="14"/>
  <c r="S31" i="14"/>
  <c r="R31" i="14"/>
  <c r="Q31" i="14"/>
  <c r="P31" i="14"/>
  <c r="O31" i="14"/>
  <c r="N31" i="14"/>
  <c r="M31" i="14"/>
  <c r="L31" i="14"/>
  <c r="K31" i="14"/>
  <c r="J31" i="14"/>
  <c r="I31" i="14"/>
  <c r="H31" i="14"/>
  <c r="G31" i="14"/>
  <c r="Y31" i="14" s="1"/>
  <c r="F31" i="14"/>
  <c r="E31" i="14"/>
  <c r="D31" i="14"/>
  <c r="C31" i="14"/>
  <c r="B31" i="14"/>
  <c r="A31" i="14"/>
  <c r="AA30" i="14"/>
  <c r="X30" i="14"/>
  <c r="W30" i="14"/>
  <c r="V30" i="14"/>
  <c r="U30" i="14"/>
  <c r="T30" i="14"/>
  <c r="S30" i="14"/>
  <c r="R30" i="14"/>
  <c r="Q30" i="14"/>
  <c r="P30" i="14"/>
  <c r="O30" i="14"/>
  <c r="N30" i="14"/>
  <c r="M30" i="14"/>
  <c r="L30" i="14"/>
  <c r="K30" i="14"/>
  <c r="J30" i="14"/>
  <c r="I30" i="14"/>
  <c r="H30" i="14"/>
  <c r="G30" i="14"/>
  <c r="Y30" i="14" s="1"/>
  <c r="F30" i="14"/>
  <c r="E30" i="14"/>
  <c r="D30" i="14"/>
  <c r="C30" i="14"/>
  <c r="B30" i="14"/>
  <c r="A30" i="14"/>
  <c r="AA29" i="14"/>
  <c r="X29" i="14"/>
  <c r="W29" i="14"/>
  <c r="V29" i="14"/>
  <c r="U29" i="14"/>
  <c r="T29" i="14"/>
  <c r="S29" i="14"/>
  <c r="R29" i="14"/>
  <c r="Q29" i="14"/>
  <c r="P29" i="14"/>
  <c r="O29" i="14"/>
  <c r="N29" i="14"/>
  <c r="M29" i="14"/>
  <c r="L29" i="14"/>
  <c r="K29" i="14"/>
  <c r="J29" i="14"/>
  <c r="I29" i="14"/>
  <c r="H29" i="14"/>
  <c r="G29" i="14"/>
  <c r="Y29" i="14" s="1"/>
  <c r="F29" i="14"/>
  <c r="D29" i="14"/>
  <c r="C29" i="14"/>
  <c r="B29" i="14"/>
  <c r="A29" i="14"/>
  <c r="AA28" i="14"/>
  <c r="X28" i="14"/>
  <c r="W28" i="14"/>
  <c r="V28" i="14"/>
  <c r="U28" i="14"/>
  <c r="T28" i="14"/>
  <c r="S28" i="14"/>
  <c r="R28" i="14"/>
  <c r="Q28" i="14"/>
  <c r="P28" i="14"/>
  <c r="O28" i="14"/>
  <c r="N28" i="14"/>
  <c r="M28" i="14"/>
  <c r="L28" i="14"/>
  <c r="K28" i="14"/>
  <c r="J28" i="14"/>
  <c r="I28" i="14"/>
  <c r="H28" i="14"/>
  <c r="Y28" i="14" s="1"/>
  <c r="G28" i="14"/>
  <c r="F28" i="14"/>
  <c r="D28" i="14"/>
  <c r="C28" i="14"/>
  <c r="B28" i="14"/>
  <c r="A28" i="14"/>
  <c r="AA27" i="14"/>
  <c r="X27" i="14"/>
  <c r="W27" i="14"/>
  <c r="V27" i="14"/>
  <c r="U27" i="14"/>
  <c r="T27" i="14"/>
  <c r="S27" i="14"/>
  <c r="R27" i="14"/>
  <c r="Q27" i="14"/>
  <c r="P27" i="14"/>
  <c r="O27" i="14"/>
  <c r="N27" i="14"/>
  <c r="M27" i="14"/>
  <c r="L27" i="14"/>
  <c r="K27" i="14"/>
  <c r="J27" i="14"/>
  <c r="I27" i="14"/>
  <c r="H27" i="14"/>
  <c r="G27" i="14"/>
  <c r="Y27" i="14" s="1"/>
  <c r="F27" i="14"/>
  <c r="E27" i="14"/>
  <c r="D27" i="14"/>
  <c r="C27" i="14"/>
  <c r="B27" i="14"/>
  <c r="A27" i="14"/>
  <c r="AA26" i="14"/>
  <c r="X26" i="14"/>
  <c r="W26" i="14"/>
  <c r="V26" i="14"/>
  <c r="U26" i="14"/>
  <c r="T26" i="14"/>
  <c r="S26" i="14"/>
  <c r="R26" i="14"/>
  <c r="Q26" i="14"/>
  <c r="P26" i="14"/>
  <c r="O26" i="14"/>
  <c r="N26" i="14"/>
  <c r="M26" i="14"/>
  <c r="L26" i="14"/>
  <c r="K26" i="14"/>
  <c r="J26" i="14"/>
  <c r="I26" i="14"/>
  <c r="H26" i="14"/>
  <c r="G26" i="14"/>
  <c r="Y26" i="14" s="1"/>
  <c r="F26" i="14"/>
  <c r="E26" i="14"/>
  <c r="D26" i="14"/>
  <c r="C26" i="14"/>
  <c r="B26" i="14"/>
  <c r="A26" i="14"/>
  <c r="AA25" i="14"/>
  <c r="X25" i="14"/>
  <c r="W25" i="14"/>
  <c r="V25" i="14"/>
  <c r="U25" i="14"/>
  <c r="T25" i="14"/>
  <c r="S25" i="14"/>
  <c r="R25" i="14"/>
  <c r="Q25" i="14"/>
  <c r="P25" i="14"/>
  <c r="O25" i="14"/>
  <c r="N25" i="14"/>
  <c r="M25" i="14"/>
  <c r="L25" i="14"/>
  <c r="K25" i="14"/>
  <c r="J25" i="14"/>
  <c r="I25" i="14"/>
  <c r="Y25" i="14" s="1"/>
  <c r="H25" i="14"/>
  <c r="G25" i="14"/>
  <c r="F25" i="14"/>
  <c r="E25" i="14"/>
  <c r="D25" i="14"/>
  <c r="C25" i="14"/>
  <c r="B25" i="14"/>
  <c r="A25" i="14"/>
  <c r="AA24" i="14"/>
  <c r="X24" i="14"/>
  <c r="W24" i="14"/>
  <c r="V24" i="14"/>
  <c r="U24" i="14"/>
  <c r="T24" i="14"/>
  <c r="S24" i="14"/>
  <c r="R24" i="14"/>
  <c r="Q24" i="14"/>
  <c r="P24" i="14"/>
  <c r="O24" i="14"/>
  <c r="N24" i="14"/>
  <c r="M24" i="14"/>
  <c r="L24" i="14"/>
  <c r="K24" i="14"/>
  <c r="J24" i="14"/>
  <c r="I24" i="14"/>
  <c r="H24" i="14"/>
  <c r="G24" i="14"/>
  <c r="Y24" i="14" s="1"/>
  <c r="F24" i="14"/>
  <c r="E24" i="14"/>
  <c r="D24" i="14"/>
  <c r="C24" i="14"/>
  <c r="B24" i="14"/>
  <c r="A24" i="14"/>
  <c r="AA23" i="14"/>
  <c r="X23" i="14"/>
  <c r="W23" i="14"/>
  <c r="V23" i="14"/>
  <c r="U23" i="14"/>
  <c r="T23" i="14"/>
  <c r="S23" i="14"/>
  <c r="R23" i="14"/>
  <c r="Q23" i="14"/>
  <c r="P23" i="14"/>
  <c r="O23" i="14"/>
  <c r="N23" i="14"/>
  <c r="M23" i="14"/>
  <c r="L23" i="14"/>
  <c r="K23" i="14"/>
  <c r="J23" i="14"/>
  <c r="I23" i="14"/>
  <c r="H23" i="14"/>
  <c r="G23" i="14"/>
  <c r="Y23" i="14" s="1"/>
  <c r="F23" i="14"/>
  <c r="E23" i="14"/>
  <c r="D23" i="14"/>
  <c r="C23" i="14"/>
  <c r="B23" i="14"/>
  <c r="A23" i="14"/>
  <c r="AA22" i="14"/>
  <c r="X22" i="14"/>
  <c r="W22" i="14"/>
  <c r="V22" i="14"/>
  <c r="U22" i="14"/>
  <c r="T22" i="14"/>
  <c r="S22" i="14"/>
  <c r="R22" i="14"/>
  <c r="Q22" i="14"/>
  <c r="P22" i="14"/>
  <c r="O22" i="14"/>
  <c r="N22" i="14"/>
  <c r="M22" i="14"/>
  <c r="L22" i="14"/>
  <c r="K22" i="14"/>
  <c r="J22" i="14"/>
  <c r="I22" i="14"/>
  <c r="H22" i="14"/>
  <c r="G22" i="14"/>
  <c r="Y22" i="14" s="1"/>
  <c r="E22" i="14"/>
  <c r="D22" i="14"/>
  <c r="C22" i="14"/>
  <c r="B22" i="14"/>
  <c r="A22" i="14"/>
  <c r="AA21" i="14"/>
  <c r="X21" i="14"/>
  <c r="W21" i="14"/>
  <c r="V21" i="14"/>
  <c r="U21" i="14"/>
  <c r="T21" i="14"/>
  <c r="S21" i="14"/>
  <c r="R21" i="14"/>
  <c r="Q21" i="14"/>
  <c r="P21" i="14"/>
  <c r="O21" i="14"/>
  <c r="N21" i="14"/>
  <c r="M21" i="14"/>
  <c r="L21" i="14"/>
  <c r="K21" i="14"/>
  <c r="J21" i="14"/>
  <c r="I21" i="14"/>
  <c r="H21" i="14"/>
  <c r="G21" i="14"/>
  <c r="Y21" i="14" s="1"/>
  <c r="F21" i="14"/>
  <c r="E21" i="14"/>
  <c r="D21" i="14"/>
  <c r="C21" i="14"/>
  <c r="B21" i="14"/>
  <c r="A21" i="14"/>
  <c r="AA20" i="14"/>
  <c r="X20" i="14"/>
  <c r="W20" i="14"/>
  <c r="V20" i="14"/>
  <c r="U20" i="14"/>
  <c r="T20" i="14"/>
  <c r="S20" i="14"/>
  <c r="R20" i="14"/>
  <c r="Q20" i="14"/>
  <c r="P20" i="14"/>
  <c r="O20" i="14"/>
  <c r="N20" i="14"/>
  <c r="M20" i="14"/>
  <c r="L20" i="14"/>
  <c r="K20" i="14"/>
  <c r="J20" i="14"/>
  <c r="I20" i="14"/>
  <c r="H20" i="14"/>
  <c r="G20" i="14"/>
  <c r="Y20" i="14" s="1"/>
  <c r="F20" i="14"/>
  <c r="E20" i="14"/>
  <c r="D20" i="14"/>
  <c r="C20" i="14"/>
  <c r="B20" i="14"/>
  <c r="A20" i="14"/>
  <c r="AA19" i="14"/>
  <c r="X19" i="14"/>
  <c r="W19" i="14"/>
  <c r="V19" i="14"/>
  <c r="U19" i="14"/>
  <c r="T19" i="14"/>
  <c r="S19" i="14"/>
  <c r="R19" i="14"/>
  <c r="Q19" i="14"/>
  <c r="P19" i="14"/>
  <c r="O19" i="14"/>
  <c r="N19" i="14"/>
  <c r="M19" i="14"/>
  <c r="L19" i="14"/>
  <c r="K19" i="14"/>
  <c r="J19" i="14"/>
  <c r="I19" i="14"/>
  <c r="H19" i="14"/>
  <c r="G19" i="14"/>
  <c r="Y19" i="14" s="1"/>
  <c r="F19" i="14"/>
  <c r="E19" i="14"/>
  <c r="D19" i="14"/>
  <c r="C19" i="14"/>
  <c r="B19" i="14"/>
  <c r="A19" i="14"/>
  <c r="AA18" i="14"/>
  <c r="X18" i="14"/>
  <c r="W18" i="14"/>
  <c r="V18" i="14"/>
  <c r="U18" i="14"/>
  <c r="T18" i="14"/>
  <c r="S18" i="14"/>
  <c r="R18" i="14"/>
  <c r="Q18" i="14"/>
  <c r="P18" i="14"/>
  <c r="O18" i="14"/>
  <c r="N18" i="14"/>
  <c r="M18" i="14"/>
  <c r="L18" i="14"/>
  <c r="K18" i="14"/>
  <c r="J18" i="14"/>
  <c r="I18" i="14"/>
  <c r="Y18" i="14" s="1"/>
  <c r="H18" i="14"/>
  <c r="G18" i="14"/>
  <c r="F18" i="14"/>
  <c r="E18" i="14"/>
  <c r="D18" i="14"/>
  <c r="C18" i="14"/>
  <c r="B18" i="14"/>
  <c r="A18" i="14"/>
  <c r="AA16" i="14"/>
  <c r="Z16" i="14"/>
  <c r="X16" i="14"/>
  <c r="W16" i="14"/>
  <c r="V16" i="14"/>
  <c r="U16" i="14"/>
  <c r="T16" i="14"/>
  <c r="S16" i="14"/>
  <c r="R16" i="14"/>
  <c r="Q16" i="14"/>
  <c r="P16" i="14"/>
  <c r="O16" i="14"/>
  <c r="N16" i="14"/>
  <c r="M16" i="14"/>
  <c r="L16" i="14"/>
  <c r="K16" i="14"/>
  <c r="J16" i="14"/>
  <c r="I16" i="14"/>
  <c r="H16" i="14"/>
  <c r="G16" i="14"/>
  <c r="Y16" i="14" s="1"/>
  <c r="AA15" i="14"/>
  <c r="X15" i="14"/>
  <c r="W15" i="14"/>
  <c r="V15" i="14"/>
  <c r="U15" i="14"/>
  <c r="T15" i="14"/>
  <c r="S15" i="14"/>
  <c r="R15" i="14"/>
  <c r="Q15" i="14"/>
  <c r="P15" i="14"/>
  <c r="O15" i="14"/>
  <c r="N15" i="14"/>
  <c r="M15" i="14"/>
  <c r="L15" i="14"/>
  <c r="K15" i="14"/>
  <c r="J15" i="14"/>
  <c r="I15" i="14"/>
  <c r="H15" i="14"/>
  <c r="G15" i="14"/>
  <c r="Y15" i="14" s="1"/>
  <c r="Z15" i="14" s="1"/>
  <c r="E15" i="14"/>
  <c r="D15" i="14"/>
  <c r="C15" i="14"/>
  <c r="B15" i="14"/>
  <c r="AA14" i="14"/>
  <c r="X14" i="14"/>
  <c r="W14" i="14"/>
  <c r="V14" i="14"/>
  <c r="U14" i="14"/>
  <c r="T14" i="14"/>
  <c r="S14" i="14"/>
  <c r="R14" i="14"/>
  <c r="Q14" i="14"/>
  <c r="P14" i="14"/>
  <c r="O14" i="14"/>
  <c r="N14" i="14"/>
  <c r="M14" i="14"/>
  <c r="L14" i="14"/>
  <c r="K14" i="14"/>
  <c r="J14" i="14"/>
  <c r="I14" i="14"/>
  <c r="H14" i="14"/>
  <c r="G14" i="14"/>
  <c r="Y14" i="14" s="1"/>
  <c r="E14" i="14"/>
  <c r="D14" i="14"/>
  <c r="C14" i="14"/>
  <c r="B14" i="14"/>
  <c r="A14" i="14"/>
  <c r="AA13" i="14"/>
  <c r="X13" i="14"/>
  <c r="W13" i="14"/>
  <c r="V13" i="14"/>
  <c r="U13" i="14"/>
  <c r="T13" i="14"/>
  <c r="S13" i="14"/>
  <c r="R13" i="14"/>
  <c r="Q13" i="14"/>
  <c r="P13" i="14"/>
  <c r="O13" i="14"/>
  <c r="N13" i="14"/>
  <c r="M13" i="14"/>
  <c r="L13" i="14"/>
  <c r="K13" i="14"/>
  <c r="J13" i="14"/>
  <c r="I13" i="14"/>
  <c r="H13" i="14"/>
  <c r="G13" i="14"/>
  <c r="Y13" i="14" s="1"/>
  <c r="E13" i="14"/>
  <c r="D13" i="14"/>
  <c r="C13" i="14"/>
  <c r="B13" i="14"/>
  <c r="A13" i="14"/>
  <c r="AA12" i="14"/>
  <c r="X12" i="14"/>
  <c r="W12" i="14"/>
  <c r="V12" i="14"/>
  <c r="U12" i="14"/>
  <c r="T12" i="14"/>
  <c r="S12" i="14"/>
  <c r="R12" i="14"/>
  <c r="Q12" i="14"/>
  <c r="P12" i="14"/>
  <c r="O12" i="14"/>
  <c r="N12" i="14"/>
  <c r="M12" i="14"/>
  <c r="L12" i="14"/>
  <c r="K12" i="14"/>
  <c r="J12" i="14"/>
  <c r="I12" i="14"/>
  <c r="H12" i="14"/>
  <c r="G12" i="14"/>
  <c r="Y12" i="14" s="1"/>
  <c r="F12" i="14"/>
  <c r="E12" i="14"/>
  <c r="D12" i="14"/>
  <c r="C12" i="14"/>
  <c r="B12" i="14"/>
  <c r="A12" i="14"/>
  <c r="AA11" i="14"/>
  <c r="X11" i="14"/>
  <c r="W11" i="14"/>
  <c r="V11" i="14"/>
  <c r="U11" i="14"/>
  <c r="T11" i="14"/>
  <c r="S11" i="14"/>
  <c r="R11" i="14"/>
  <c r="Q11" i="14"/>
  <c r="P11" i="14"/>
  <c r="O11" i="14"/>
  <c r="N11" i="14"/>
  <c r="M11" i="14"/>
  <c r="L11" i="14"/>
  <c r="K11" i="14"/>
  <c r="J11" i="14"/>
  <c r="I11" i="14"/>
  <c r="H11" i="14"/>
  <c r="G11" i="14"/>
  <c r="Y11" i="14" s="1"/>
  <c r="F11" i="14"/>
  <c r="E11" i="14"/>
  <c r="D11" i="14"/>
  <c r="C11" i="14"/>
  <c r="B11" i="14"/>
  <c r="A11" i="14"/>
  <c r="AA10" i="14"/>
  <c r="X10" i="14"/>
  <c r="W10" i="14"/>
  <c r="V10" i="14"/>
  <c r="U10" i="14"/>
  <c r="T10" i="14"/>
  <c r="S10" i="14"/>
  <c r="R10" i="14"/>
  <c r="Q10" i="14"/>
  <c r="P10" i="14"/>
  <c r="O10" i="14"/>
  <c r="N10" i="14"/>
  <c r="M10" i="14"/>
  <c r="L10" i="14"/>
  <c r="K10" i="14"/>
  <c r="J10" i="14"/>
  <c r="I10" i="14"/>
  <c r="H10" i="14"/>
  <c r="G10" i="14"/>
  <c r="Y10" i="14" s="1"/>
  <c r="F10" i="14"/>
  <c r="E10" i="14"/>
  <c r="D10" i="14"/>
  <c r="C10" i="14"/>
  <c r="B10" i="14"/>
  <c r="A10" i="14"/>
  <c r="AA9" i="14"/>
  <c r="X9" i="14"/>
  <c r="W9" i="14"/>
  <c r="V9" i="14"/>
  <c r="U9" i="14"/>
  <c r="T9" i="14"/>
  <c r="S9" i="14"/>
  <c r="R9" i="14"/>
  <c r="Q9" i="14"/>
  <c r="P9" i="14"/>
  <c r="O9" i="14"/>
  <c r="N9" i="14"/>
  <c r="M9" i="14"/>
  <c r="L9" i="14"/>
  <c r="K9" i="14"/>
  <c r="J9" i="14"/>
  <c r="I9" i="14"/>
  <c r="Y9" i="14" s="1"/>
  <c r="H9" i="14"/>
  <c r="G9" i="14"/>
  <c r="F9" i="14"/>
  <c r="E9" i="14"/>
  <c r="D9" i="14"/>
  <c r="C9" i="14"/>
  <c r="B9" i="14"/>
  <c r="A9" i="14"/>
  <c r="AA8" i="14"/>
  <c r="X8" i="14"/>
  <c r="W8" i="14"/>
  <c r="V8" i="14"/>
  <c r="U8" i="14"/>
  <c r="T8" i="14"/>
  <c r="S8" i="14"/>
  <c r="R8" i="14"/>
  <c r="Q8" i="14"/>
  <c r="P8" i="14"/>
  <c r="O8" i="14"/>
  <c r="N8" i="14"/>
  <c r="M8" i="14"/>
  <c r="L8" i="14"/>
  <c r="K8" i="14"/>
  <c r="J8" i="14"/>
  <c r="I8" i="14"/>
  <c r="H8" i="14"/>
  <c r="G8" i="14"/>
  <c r="Y8" i="14" s="1"/>
  <c r="F8" i="14"/>
  <c r="E8" i="14"/>
  <c r="D8" i="14"/>
  <c r="C8" i="14"/>
  <c r="B8" i="14"/>
  <c r="A8" i="14"/>
  <c r="AA7" i="14"/>
  <c r="X7" i="14"/>
  <c r="W7" i="14"/>
  <c r="V7" i="14"/>
  <c r="U7" i="14"/>
  <c r="T7" i="14"/>
  <c r="S7" i="14"/>
  <c r="R7" i="14"/>
  <c r="Q7" i="14"/>
  <c r="P7" i="14"/>
  <c r="O7" i="14"/>
  <c r="N7" i="14"/>
  <c r="M7" i="14"/>
  <c r="L7" i="14"/>
  <c r="K7" i="14"/>
  <c r="J7" i="14"/>
  <c r="I7" i="14"/>
  <c r="H7" i="14"/>
  <c r="G7" i="14"/>
  <c r="Y7" i="14" s="1"/>
  <c r="F7" i="14"/>
  <c r="D7" i="14"/>
  <c r="C7" i="14"/>
  <c r="B7" i="14"/>
  <c r="A7" i="14"/>
  <c r="AA6" i="14"/>
  <c r="X6" i="14"/>
  <c r="W6" i="14"/>
  <c r="V6" i="14"/>
  <c r="U6" i="14"/>
  <c r="T6" i="14"/>
  <c r="S6" i="14"/>
  <c r="R6" i="14"/>
  <c r="Q6" i="14"/>
  <c r="P6" i="14"/>
  <c r="O6" i="14"/>
  <c r="N6" i="14"/>
  <c r="M6" i="14"/>
  <c r="L6" i="14"/>
  <c r="K6" i="14"/>
  <c r="J6" i="14"/>
  <c r="I6" i="14"/>
  <c r="H6" i="14"/>
  <c r="G6" i="14"/>
  <c r="Y6" i="14" s="1"/>
  <c r="F6" i="14"/>
  <c r="E6" i="14"/>
  <c r="D6" i="14"/>
  <c r="C6" i="14"/>
  <c r="B6" i="14"/>
  <c r="A6" i="14"/>
  <c r="AA5" i="14"/>
  <c r="X5" i="14"/>
  <c r="W5" i="14"/>
  <c r="V5" i="14"/>
  <c r="U5" i="14"/>
  <c r="T5" i="14"/>
  <c r="S5" i="14"/>
  <c r="R5" i="14"/>
  <c r="Q5" i="14"/>
  <c r="P5" i="14"/>
  <c r="O5" i="14"/>
  <c r="N5" i="14"/>
  <c r="M5" i="14"/>
  <c r="L5" i="14"/>
  <c r="K5" i="14"/>
  <c r="J5" i="14"/>
  <c r="I5" i="14"/>
  <c r="H5" i="14"/>
  <c r="Y5" i="14" s="1"/>
  <c r="G5" i="14"/>
  <c r="F5" i="14"/>
  <c r="E5" i="14"/>
  <c r="A5" i="14"/>
  <c r="W3" i="14"/>
  <c r="V3" i="14"/>
  <c r="U3" i="14"/>
  <c r="T3" i="14"/>
  <c r="S3" i="14"/>
  <c r="R3" i="14"/>
  <c r="Q3" i="14"/>
  <c r="P3" i="14"/>
  <c r="O3" i="14"/>
  <c r="N3" i="14"/>
  <c r="M3" i="14"/>
  <c r="L3" i="14"/>
  <c r="K3" i="14"/>
  <c r="J3" i="14"/>
  <c r="I3" i="14"/>
  <c r="H3" i="14"/>
  <c r="G3" i="14"/>
  <c r="V2" i="14"/>
  <c r="S2" i="14"/>
  <c r="Q2" i="14"/>
  <c r="K2" i="14"/>
  <c r="H2" i="14"/>
  <c r="AD53" i="13"/>
  <c r="AA52" i="13"/>
  <c r="Z52" i="13"/>
  <c r="S52" i="13"/>
  <c r="R52" i="13"/>
  <c r="K52" i="13"/>
  <c r="J52" i="13"/>
  <c r="A52" i="13"/>
  <c r="Y52" i="13" s="1"/>
  <c r="AA51" i="13"/>
  <c r="Z51" i="13"/>
  <c r="V51" i="13"/>
  <c r="S51" i="13"/>
  <c r="R51" i="13"/>
  <c r="N51" i="13"/>
  <c r="K51" i="13"/>
  <c r="J51" i="13"/>
  <c r="F51" i="13"/>
  <c r="A51" i="13"/>
  <c r="Y51" i="13" s="1"/>
  <c r="AC50" i="13"/>
  <c r="AA50" i="13"/>
  <c r="W50" i="13"/>
  <c r="V50" i="13"/>
  <c r="T50" i="13"/>
  <c r="S50" i="13"/>
  <c r="O50" i="13"/>
  <c r="N50" i="13"/>
  <c r="L50" i="13"/>
  <c r="K50" i="13"/>
  <c r="G50" i="13"/>
  <c r="F50" i="13"/>
  <c r="A50" i="13"/>
  <c r="Z50" i="13" s="1"/>
  <c r="AC49" i="13"/>
  <c r="X49" i="13"/>
  <c r="U49" i="13"/>
  <c r="L49" i="13"/>
  <c r="H49" i="13"/>
  <c r="F49" i="13"/>
  <c r="A49" i="13"/>
  <c r="P49" i="13" s="1"/>
  <c r="V48" i="13"/>
  <c r="F48" i="13"/>
  <c r="A48" i="13"/>
  <c r="Z47" i="13"/>
  <c r="Y47" i="13"/>
  <c r="X47" i="13"/>
  <c r="W47" i="13"/>
  <c r="V47" i="13"/>
  <c r="R47" i="13"/>
  <c r="Q47" i="13"/>
  <c r="P47" i="13"/>
  <c r="O47" i="13"/>
  <c r="N47" i="13"/>
  <c r="J47" i="13"/>
  <c r="I47" i="13"/>
  <c r="H47" i="13"/>
  <c r="G47" i="13"/>
  <c r="F47" i="13"/>
  <c r="A47" i="13"/>
  <c r="AD47" i="13" s="1"/>
  <c r="AA39" i="13"/>
  <c r="AF39" i="13" s="1"/>
  <c r="Z39" i="13"/>
  <c r="Y39" i="13"/>
  <c r="X39" i="13"/>
  <c r="W39" i="13"/>
  <c r="S39" i="13"/>
  <c r="R39" i="13"/>
  <c r="Q39" i="13"/>
  <c r="P39" i="13"/>
  <c r="O39" i="13"/>
  <c r="K39" i="13"/>
  <c r="J39" i="13"/>
  <c r="I39" i="13"/>
  <c r="H39" i="13"/>
  <c r="G39" i="13"/>
  <c r="A39" i="13"/>
  <c r="V39" i="13" s="1"/>
  <c r="S38" i="13"/>
  <c r="F38" i="13"/>
  <c r="A38" i="13"/>
  <c r="T38" i="13" s="1"/>
  <c r="AH37" i="13"/>
  <c r="AC37" i="13"/>
  <c r="AA37" i="13"/>
  <c r="Z37" i="13"/>
  <c r="Y37" i="13"/>
  <c r="X37" i="13"/>
  <c r="T37" i="13"/>
  <c r="S37" i="13"/>
  <c r="R37" i="13"/>
  <c r="Q37" i="13"/>
  <c r="P37" i="13"/>
  <c r="L37" i="13"/>
  <c r="K37" i="13"/>
  <c r="J37" i="13"/>
  <c r="I37" i="13"/>
  <c r="H37" i="13"/>
  <c r="F37" i="13"/>
  <c r="A37" i="13"/>
  <c r="W37" i="13" s="1"/>
  <c r="AD36" i="13"/>
  <c r="O36" i="13"/>
  <c r="F36" i="13"/>
  <c r="A36" i="13"/>
  <c r="P36" i="13" s="1"/>
  <c r="T35" i="13"/>
  <c r="S35" i="13"/>
  <c r="F35" i="13"/>
  <c r="A35" i="13"/>
  <c r="AA34" i="13"/>
  <c r="AG34" i="13" s="1"/>
  <c r="Z34" i="13"/>
  <c r="AI34" i="13" s="1"/>
  <c r="Y34" i="13"/>
  <c r="X34" i="13"/>
  <c r="W34" i="13"/>
  <c r="S34" i="13"/>
  <c r="R34" i="13"/>
  <c r="Q34" i="13"/>
  <c r="P34" i="13"/>
  <c r="O34" i="13"/>
  <c r="K34" i="13"/>
  <c r="J34" i="13"/>
  <c r="I34" i="13"/>
  <c r="H34" i="13"/>
  <c r="G34" i="13"/>
  <c r="F34" i="13"/>
  <c r="A34" i="13"/>
  <c r="V34" i="13" s="1"/>
  <c r="P33" i="13"/>
  <c r="O33" i="13"/>
  <c r="F33" i="13"/>
  <c r="A33" i="13"/>
  <c r="AI32" i="13"/>
  <c r="AC32" i="13"/>
  <c r="AH32" i="13" s="1"/>
  <c r="AA32" i="13"/>
  <c r="Z32" i="13"/>
  <c r="AG32" i="13" s="1"/>
  <c r="U32" i="13"/>
  <c r="T32" i="13"/>
  <c r="S32" i="13"/>
  <c r="Q32" i="13"/>
  <c r="M32" i="13"/>
  <c r="L32" i="13"/>
  <c r="J32" i="13"/>
  <c r="I32" i="13"/>
  <c r="F32" i="13"/>
  <c r="A32" i="13"/>
  <c r="Y32" i="13" s="1"/>
  <c r="AF32" i="13" s="1"/>
  <c r="AI31" i="13"/>
  <c r="Z31" i="13"/>
  <c r="Y31" i="13"/>
  <c r="X31" i="13"/>
  <c r="W31" i="13"/>
  <c r="V31" i="13"/>
  <c r="T31" i="13"/>
  <c r="R31" i="13"/>
  <c r="Q31" i="13"/>
  <c r="P31" i="13"/>
  <c r="O31" i="13"/>
  <c r="N31" i="13"/>
  <c r="L31" i="13"/>
  <c r="J31" i="13"/>
  <c r="I31" i="13"/>
  <c r="H31" i="13"/>
  <c r="G31" i="13"/>
  <c r="F31" i="13"/>
  <c r="A31" i="13"/>
  <c r="AD31" i="13" s="1"/>
  <c r="AD30" i="13"/>
  <c r="AC30" i="13"/>
  <c r="AH30" i="13" s="1"/>
  <c r="Y30" i="13"/>
  <c r="W30" i="13"/>
  <c r="V30" i="13"/>
  <c r="T30" i="13"/>
  <c r="S30" i="13"/>
  <c r="Q30" i="13"/>
  <c r="N30" i="13"/>
  <c r="M30" i="13"/>
  <c r="L30" i="13"/>
  <c r="I30" i="13"/>
  <c r="G30" i="13"/>
  <c r="F30" i="13"/>
  <c r="A30" i="13"/>
  <c r="AC29" i="13"/>
  <c r="AH29" i="13" s="1"/>
  <c r="U29" i="13"/>
  <c r="T29" i="13"/>
  <c r="R29" i="13"/>
  <c r="K29" i="13"/>
  <c r="J29" i="13"/>
  <c r="G29" i="13"/>
  <c r="F29" i="13"/>
  <c r="A29" i="13"/>
  <c r="Y29" i="13" s="1"/>
  <c r="AH28" i="13"/>
  <c r="AC28" i="13"/>
  <c r="Z28" i="13"/>
  <c r="AI28" i="13" s="1"/>
  <c r="Y28" i="13"/>
  <c r="X28" i="13"/>
  <c r="W28" i="13"/>
  <c r="V28" i="13"/>
  <c r="T28" i="13"/>
  <c r="R28" i="13"/>
  <c r="Q28" i="13"/>
  <c r="P28" i="13"/>
  <c r="O28" i="13"/>
  <c r="N28" i="13"/>
  <c r="L28" i="13"/>
  <c r="J28" i="13"/>
  <c r="I28" i="13"/>
  <c r="H28" i="13"/>
  <c r="G28" i="13"/>
  <c r="F28" i="13"/>
  <c r="A28" i="13"/>
  <c r="AD28" i="13" s="1"/>
  <c r="AD27" i="13"/>
  <c r="AC27" i="13"/>
  <c r="AH27" i="13" s="1"/>
  <c r="Y27" i="13"/>
  <c r="W27" i="13"/>
  <c r="V27" i="13"/>
  <c r="T27" i="13"/>
  <c r="S27" i="13"/>
  <c r="Q27" i="13"/>
  <c r="N27" i="13"/>
  <c r="M27" i="13"/>
  <c r="L27" i="13"/>
  <c r="I27" i="13"/>
  <c r="G27" i="13"/>
  <c r="F27" i="13"/>
  <c r="A27" i="13"/>
  <c r="U27" i="13" s="1"/>
  <c r="AH26" i="13"/>
  <c r="AC26" i="13"/>
  <c r="AA26" i="13"/>
  <c r="Z26" i="13"/>
  <c r="Y26" i="13"/>
  <c r="AF26" i="13" s="1"/>
  <c r="X26" i="13"/>
  <c r="V26" i="13"/>
  <c r="T26" i="13"/>
  <c r="S26" i="13"/>
  <c r="R26" i="13"/>
  <c r="Q26" i="13"/>
  <c r="P26" i="13"/>
  <c r="N26" i="13"/>
  <c r="L26" i="13"/>
  <c r="K26" i="13"/>
  <c r="J26" i="13"/>
  <c r="I26" i="13"/>
  <c r="H26" i="13"/>
  <c r="F26" i="13"/>
  <c r="A26" i="13"/>
  <c r="W26" i="13" s="1"/>
  <c r="X25" i="13"/>
  <c r="W25" i="13"/>
  <c r="N25" i="13"/>
  <c r="F25" i="13"/>
  <c r="A25" i="13"/>
  <c r="O25" i="13" s="1"/>
  <c r="AH24" i="13"/>
  <c r="AC24" i="13"/>
  <c r="AA24" i="13"/>
  <c r="Z24" i="13"/>
  <c r="X24" i="13"/>
  <c r="W24" i="13"/>
  <c r="V24" i="13"/>
  <c r="T24" i="13"/>
  <c r="S24" i="13"/>
  <c r="R24" i="13"/>
  <c r="P24" i="13"/>
  <c r="O24" i="13"/>
  <c r="N24" i="13"/>
  <c r="L24" i="13"/>
  <c r="K24" i="13"/>
  <c r="J24" i="13"/>
  <c r="H24" i="13"/>
  <c r="G24" i="13"/>
  <c r="F24" i="13"/>
  <c r="A24" i="13"/>
  <c r="Y24" i="13" s="1"/>
  <c r="AD23" i="13"/>
  <c r="AA23" i="13"/>
  <c r="Y23" i="13"/>
  <c r="AF23" i="13" s="1"/>
  <c r="X23" i="13"/>
  <c r="W23" i="13"/>
  <c r="U23" i="13"/>
  <c r="T23" i="13"/>
  <c r="S23" i="13"/>
  <c r="Q23" i="13"/>
  <c r="P23" i="13"/>
  <c r="O23" i="13"/>
  <c r="M23" i="13"/>
  <c r="L23" i="13"/>
  <c r="K23" i="13"/>
  <c r="I23" i="13"/>
  <c r="H23" i="13"/>
  <c r="G23" i="13"/>
  <c r="A23" i="13"/>
  <c r="V23" i="13" s="1"/>
  <c r="AI22" i="13"/>
  <c r="AC22" i="13"/>
  <c r="AH22" i="13" s="1"/>
  <c r="AA22" i="13"/>
  <c r="Y22" i="13"/>
  <c r="T22" i="13"/>
  <c r="S22" i="13"/>
  <c r="Q22" i="13"/>
  <c r="L22" i="13"/>
  <c r="K22" i="13"/>
  <c r="I22" i="13"/>
  <c r="F22" i="13"/>
  <c r="A22" i="13"/>
  <c r="Z22" i="13" s="1"/>
  <c r="AI21" i="13"/>
  <c r="AH21" i="13"/>
  <c r="AC21" i="13"/>
  <c r="Z21" i="13"/>
  <c r="Y21" i="13"/>
  <c r="X21" i="13"/>
  <c r="V21" i="13"/>
  <c r="T21" i="13"/>
  <c r="R21" i="13"/>
  <c r="Q21" i="13"/>
  <c r="P21" i="13"/>
  <c r="N21" i="13"/>
  <c r="L21" i="13"/>
  <c r="J21" i="13"/>
  <c r="I21" i="13"/>
  <c r="H21" i="13"/>
  <c r="F21" i="13"/>
  <c r="A21" i="13"/>
  <c r="W21" i="13" s="1"/>
  <c r="AG20" i="13"/>
  <c r="AD20" i="13"/>
  <c r="X20" i="13"/>
  <c r="V20" i="13"/>
  <c r="T20" i="13"/>
  <c r="R20" i="13"/>
  <c r="Q20" i="13"/>
  <c r="P20" i="13"/>
  <c r="N20" i="13"/>
  <c r="L20" i="13"/>
  <c r="J20" i="13"/>
  <c r="I20" i="13"/>
  <c r="H20" i="13"/>
  <c r="F20" i="13"/>
  <c r="A20" i="13"/>
  <c r="W20" i="13" s="1"/>
  <c r="AC19" i="13"/>
  <c r="U19" i="13"/>
  <c r="T19" i="13"/>
  <c r="O19" i="13"/>
  <c r="I19" i="13"/>
  <c r="G19" i="13"/>
  <c r="F19" i="13"/>
  <c r="A19" i="13"/>
  <c r="AA19" i="13" s="1"/>
  <c r="AF16" i="13"/>
  <c r="AD16" i="13"/>
  <c r="AC16" i="13"/>
  <c r="AA16" i="13"/>
  <c r="Z16" i="13"/>
  <c r="Y16" i="13"/>
  <c r="X16" i="13"/>
  <c r="W16" i="13"/>
  <c r="V16" i="13"/>
  <c r="U16" i="13"/>
  <c r="T16" i="13"/>
  <c r="S16" i="13"/>
  <c r="R16" i="13"/>
  <c r="Q16" i="13"/>
  <c r="P16" i="13"/>
  <c r="O16" i="13"/>
  <c r="N16" i="13"/>
  <c r="M16" i="13"/>
  <c r="L16" i="13"/>
  <c r="K16" i="13"/>
  <c r="J16" i="13"/>
  <c r="I16" i="13"/>
  <c r="H16" i="13"/>
  <c r="V15" i="13"/>
  <c r="U15" i="13"/>
  <c r="K15" i="13"/>
  <c r="J15" i="13"/>
  <c r="A15" i="13"/>
  <c r="Z15" i="13" s="1"/>
  <c r="A14" i="13"/>
  <c r="S14" i="13" s="1"/>
  <c r="AD13" i="13"/>
  <c r="X13" i="13"/>
  <c r="V13" i="13"/>
  <c r="T13" i="13"/>
  <c r="R13" i="13"/>
  <c r="M13" i="13"/>
  <c r="L13" i="13"/>
  <c r="I13" i="13"/>
  <c r="H13" i="13"/>
  <c r="F13" i="13"/>
  <c r="A13" i="13"/>
  <c r="Y13" i="13" s="1"/>
  <c r="AD12" i="13"/>
  <c r="Y12" i="13"/>
  <c r="T12" i="13"/>
  <c r="R12" i="13"/>
  <c r="N12" i="13"/>
  <c r="I12" i="13"/>
  <c r="H12" i="13"/>
  <c r="F12" i="13"/>
  <c r="A12" i="13"/>
  <c r="X12" i="13" s="1"/>
  <c r="Y11" i="13"/>
  <c r="N11" i="13"/>
  <c r="F11" i="13"/>
  <c r="A11" i="13"/>
  <c r="AD10" i="13"/>
  <c r="AC10" i="13"/>
  <c r="AH10" i="13" s="1"/>
  <c r="Y10" i="13"/>
  <c r="V10" i="13"/>
  <c r="U10" i="13"/>
  <c r="R10" i="13"/>
  <c r="Q10" i="13"/>
  <c r="N10" i="13"/>
  <c r="L10" i="13"/>
  <c r="J10" i="13"/>
  <c r="H10" i="13"/>
  <c r="F10" i="13"/>
  <c r="A10" i="13"/>
  <c r="X10" i="13" s="1"/>
  <c r="AD9" i="13"/>
  <c r="AC9" i="13"/>
  <c r="AH9" i="13" s="1"/>
  <c r="X9" i="13"/>
  <c r="R9" i="13"/>
  <c r="Q9" i="13"/>
  <c r="M9" i="13"/>
  <c r="H9" i="13"/>
  <c r="G9" i="13"/>
  <c r="F9" i="13"/>
  <c r="A9" i="13"/>
  <c r="V9" i="13" s="1"/>
  <c r="Y8" i="13"/>
  <c r="X8" i="13"/>
  <c r="Q8" i="13"/>
  <c r="P8" i="13"/>
  <c r="I8" i="13"/>
  <c r="H8" i="13"/>
  <c r="F8" i="13"/>
  <c r="A8" i="13"/>
  <c r="W8" i="13" s="1"/>
  <c r="AA7" i="13"/>
  <c r="Z7" i="13"/>
  <c r="X7" i="13"/>
  <c r="W7" i="13"/>
  <c r="S7" i="13"/>
  <c r="R7" i="13"/>
  <c r="P7" i="13"/>
  <c r="O7" i="13"/>
  <c r="K7" i="13"/>
  <c r="J7" i="13"/>
  <c r="H7" i="13"/>
  <c r="G7" i="13"/>
  <c r="F7" i="13"/>
  <c r="A7" i="13"/>
  <c r="Y7" i="13" s="1"/>
  <c r="AD6" i="13"/>
  <c r="AC6" i="13"/>
  <c r="AA6" i="13"/>
  <c r="Z6" i="13"/>
  <c r="Y6" i="13"/>
  <c r="AF6" i="13" s="1"/>
  <c r="X6" i="13"/>
  <c r="W6" i="13"/>
  <c r="V6" i="13"/>
  <c r="U6" i="13"/>
  <c r="T6" i="13"/>
  <c r="S6" i="13"/>
  <c r="R6" i="13"/>
  <c r="Q6" i="13"/>
  <c r="P6" i="13"/>
  <c r="O6" i="13"/>
  <c r="N6" i="13"/>
  <c r="M6" i="13"/>
  <c r="L6" i="13"/>
  <c r="K6" i="13"/>
  <c r="J6" i="13"/>
  <c r="I6" i="13"/>
  <c r="H6" i="13"/>
  <c r="G6" i="13"/>
  <c r="X1" i="13"/>
  <c r="W1" i="13"/>
  <c r="V1" i="13"/>
  <c r="U1" i="13"/>
  <c r="T1" i="13"/>
  <c r="S1" i="13"/>
  <c r="R1" i="13"/>
  <c r="Q1" i="13"/>
  <c r="P1" i="13"/>
  <c r="O1" i="13"/>
  <c r="N1" i="13"/>
  <c r="M1" i="13"/>
  <c r="L1" i="13"/>
  <c r="K1" i="13"/>
  <c r="J1" i="13"/>
  <c r="I1" i="13"/>
  <c r="H1" i="13"/>
  <c r="G1" i="13"/>
  <c r="Z29" i="14" l="1"/>
  <c r="Z39" i="14"/>
  <c r="Z47" i="14"/>
  <c r="Z22" i="14"/>
  <c r="Z36" i="14"/>
  <c r="Z25" i="14"/>
  <c r="Z26" i="14"/>
  <c r="Z34" i="14"/>
  <c r="Z38" i="14"/>
  <c r="Z52" i="14"/>
  <c r="Z21" i="14"/>
  <c r="Z46" i="14"/>
  <c r="Z12" i="14"/>
  <c r="Z37" i="14"/>
  <c r="Z5" i="14"/>
  <c r="Z18" i="14"/>
  <c r="Z19" i="14"/>
  <c r="Z23" i="14"/>
  <c r="Z41" i="14"/>
  <c r="Z43" i="14"/>
  <c r="Z49" i="14"/>
  <c r="Z28" i="14"/>
  <c r="Z32" i="14"/>
  <c r="Z6" i="14"/>
  <c r="Z9" i="14"/>
  <c r="Z10" i="14"/>
  <c r="Z27" i="14"/>
  <c r="Z31" i="14"/>
  <c r="Z8" i="14"/>
  <c r="Z30" i="14"/>
  <c r="Z7" i="14"/>
  <c r="Z20" i="14"/>
  <c r="Z35" i="14"/>
  <c r="Z50" i="14"/>
  <c r="Z33" i="14"/>
  <c r="Z11" i="14"/>
  <c r="Z51" i="14"/>
  <c r="AF7" i="13"/>
  <c r="AF11" i="13"/>
  <c r="M17" i="13"/>
  <c r="H42" i="13"/>
  <c r="AA11" i="13"/>
  <c r="S11" i="13"/>
  <c r="K11" i="13"/>
  <c r="W11" i="13"/>
  <c r="O11" i="13"/>
  <c r="G11" i="13"/>
  <c r="Z11" i="13"/>
  <c r="AI11" i="13" s="1"/>
  <c r="L7" i="13"/>
  <c r="T7" i="13"/>
  <c r="AC7" i="13"/>
  <c r="J8" i="13"/>
  <c r="R8" i="13"/>
  <c r="Z8" i="13"/>
  <c r="I9" i="13"/>
  <c r="T9" i="13"/>
  <c r="M10" i="13"/>
  <c r="Q11" i="13"/>
  <c r="Q42" i="13" s="1"/>
  <c r="AC11" i="13"/>
  <c r="AH11" i="13" s="1"/>
  <c r="AH14" i="13" s="1"/>
  <c r="J12" i="13"/>
  <c r="U12" i="13"/>
  <c r="N13" i="13"/>
  <c r="I14" i="13"/>
  <c r="M15" i="13"/>
  <c r="W15" i="13"/>
  <c r="K19" i="13"/>
  <c r="W19" i="13"/>
  <c r="Y35" i="13"/>
  <c r="Q35" i="13"/>
  <c r="I35" i="13"/>
  <c r="X35" i="13"/>
  <c r="P35" i="13"/>
  <c r="H35" i="13"/>
  <c r="W35" i="13"/>
  <c r="O35" i="13"/>
  <c r="G35" i="13"/>
  <c r="AD35" i="13"/>
  <c r="R35" i="13"/>
  <c r="AC35" i="13"/>
  <c r="AH35" i="13" s="1"/>
  <c r="N35" i="13"/>
  <c r="AA35" i="13"/>
  <c r="M35" i="13"/>
  <c r="Z35" i="13"/>
  <c r="L35" i="13"/>
  <c r="V35" i="13"/>
  <c r="K35" i="13"/>
  <c r="U35" i="13"/>
  <c r="J35" i="13"/>
  <c r="X14" i="13"/>
  <c r="P14" i="13"/>
  <c r="H14" i="13"/>
  <c r="AC14" i="13"/>
  <c r="T14" i="13"/>
  <c r="L14" i="13"/>
  <c r="AA14" i="13"/>
  <c r="AG15" i="13"/>
  <c r="G14" i="13"/>
  <c r="R14" i="13"/>
  <c r="AD14" i="13"/>
  <c r="M7" i="13"/>
  <c r="U7" i="13"/>
  <c r="AD7" i="13"/>
  <c r="K8" i="13"/>
  <c r="K42" i="13" s="1"/>
  <c r="S8" i="13"/>
  <c r="AA8" i="13"/>
  <c r="J9" i="13"/>
  <c r="U9" i="13"/>
  <c r="H11" i="13"/>
  <c r="H17" i="13" s="1"/>
  <c r="R11" i="13"/>
  <c r="AD11" i="13"/>
  <c r="L12" i="13"/>
  <c r="V12" i="13"/>
  <c r="AA13" i="13"/>
  <c r="AF13" i="13" s="1"/>
  <c r="S13" i="13"/>
  <c r="K13" i="13"/>
  <c r="W13" i="13"/>
  <c r="O13" i="13"/>
  <c r="G13" i="13"/>
  <c r="P13" i="13"/>
  <c r="Z13" i="13"/>
  <c r="AI13" i="13" s="1"/>
  <c r="J14" i="13"/>
  <c r="U14" i="13"/>
  <c r="N15" i="13"/>
  <c r="Y15" i="13"/>
  <c r="L19" i="13"/>
  <c r="Y19" i="13"/>
  <c r="I40" i="13"/>
  <c r="AG22" i="13"/>
  <c r="AF22" i="13"/>
  <c r="AF24" i="13"/>
  <c r="AI24" i="13"/>
  <c r="AG24" i="13"/>
  <c r="AA33" i="13"/>
  <c r="S33" i="13"/>
  <c r="K33" i="13"/>
  <c r="Z33" i="13"/>
  <c r="R33" i="13"/>
  <c r="J33" i="13"/>
  <c r="Y33" i="13"/>
  <c r="AF33" i="13" s="1"/>
  <c r="Q33" i="13"/>
  <c r="I33" i="13"/>
  <c r="AC33" i="13"/>
  <c r="AH33" i="13" s="1"/>
  <c r="N33" i="13"/>
  <c r="X33" i="13"/>
  <c r="M33" i="13"/>
  <c r="W33" i="13"/>
  <c r="L33" i="13"/>
  <c r="V33" i="13"/>
  <c r="H33" i="13"/>
  <c r="U33" i="13"/>
  <c r="G33" i="13"/>
  <c r="T33" i="13"/>
  <c r="T42" i="13" s="1"/>
  <c r="P11" i="13"/>
  <c r="N7" i="13"/>
  <c r="V7" i="13"/>
  <c r="L8" i="13"/>
  <c r="T8" i="13"/>
  <c r="AC8" i="13"/>
  <c r="L9" i="13"/>
  <c r="W10" i="13"/>
  <c r="O10" i="13"/>
  <c r="G10" i="13"/>
  <c r="G17" i="13" s="1"/>
  <c r="AA10" i="13"/>
  <c r="AF10" i="13" s="1"/>
  <c r="S10" i="13"/>
  <c r="K10" i="13"/>
  <c r="P10" i="13"/>
  <c r="P42" i="13" s="1"/>
  <c r="Z10" i="13"/>
  <c r="AI10" i="13" s="1"/>
  <c r="I11" i="13"/>
  <c r="T11" i="13"/>
  <c r="M12" i="13"/>
  <c r="Q13" i="13"/>
  <c r="AC13" i="13"/>
  <c r="AH13" i="13" s="1"/>
  <c r="K14" i="13"/>
  <c r="V14" i="13"/>
  <c r="O15" i="13"/>
  <c r="M19" i="13"/>
  <c r="Q14" i="13"/>
  <c r="J11" i="13"/>
  <c r="U11" i="13"/>
  <c r="M14" i="13"/>
  <c r="W14" i="13"/>
  <c r="AC15" i="13"/>
  <c r="T15" i="13"/>
  <c r="L15" i="13"/>
  <c r="X15" i="13"/>
  <c r="P15" i="13"/>
  <c r="H15" i="13"/>
  <c r="Q15" i="13"/>
  <c r="AA15" i="13"/>
  <c r="AC48" i="13"/>
  <c r="T48" i="13"/>
  <c r="L48" i="13"/>
  <c r="AA48" i="13"/>
  <c r="S48" i="13"/>
  <c r="K48" i="13"/>
  <c r="Z48" i="13"/>
  <c r="Z53" i="13" s="1"/>
  <c r="R48" i="13"/>
  <c r="J48" i="13"/>
  <c r="J53" i="13" s="1"/>
  <c r="W48" i="13"/>
  <c r="W53" i="13" s="1"/>
  <c r="O48" i="13"/>
  <c r="G48" i="13"/>
  <c r="Q48" i="13"/>
  <c r="Q53" i="13" s="1"/>
  <c r="P48" i="13"/>
  <c r="P53" i="13" s="1"/>
  <c r="N48" i="13"/>
  <c r="AD48" i="13"/>
  <c r="M48" i="13"/>
  <c r="Y48" i="13"/>
  <c r="Y53" i="13" s="1"/>
  <c r="I48" i="13"/>
  <c r="X48" i="13"/>
  <c r="H48" i="13"/>
  <c r="M8" i="13"/>
  <c r="U8" i="13"/>
  <c r="AD8" i="13"/>
  <c r="N8" i="13"/>
  <c r="V8" i="13"/>
  <c r="W12" i="13"/>
  <c r="O12" i="13"/>
  <c r="G12" i="13"/>
  <c r="AA12" i="13"/>
  <c r="AF12" i="13" s="1"/>
  <c r="S12" i="13"/>
  <c r="S42" i="13" s="1"/>
  <c r="K12" i="13"/>
  <c r="P12" i="13"/>
  <c r="N14" i="13"/>
  <c r="Y14" i="13"/>
  <c r="AF14" i="13" s="1"/>
  <c r="G15" i="13"/>
  <c r="R15" i="13"/>
  <c r="AD15" i="13"/>
  <c r="Z19" i="13"/>
  <c r="R19" i="13"/>
  <c r="J19" i="13"/>
  <c r="X19" i="13"/>
  <c r="P19" i="13"/>
  <c r="H19" i="13"/>
  <c r="V19" i="13"/>
  <c r="V44" i="13" s="1"/>
  <c r="N19" i="13"/>
  <c r="Q19" i="13"/>
  <c r="AD19" i="13"/>
  <c r="AG26" i="13"/>
  <c r="AI26" i="13"/>
  <c r="AF27" i="13"/>
  <c r="G42" i="13"/>
  <c r="AA9" i="13"/>
  <c r="AA17" i="13" s="1"/>
  <c r="S9" i="13"/>
  <c r="S17" i="13" s="1"/>
  <c r="K9" i="13"/>
  <c r="W9" i="13"/>
  <c r="W17" i="13" s="1"/>
  <c r="O9" i="13"/>
  <c r="O17" i="13" s="1"/>
  <c r="N9" i="13"/>
  <c r="Y9" i="13"/>
  <c r="AE15" i="13" s="1"/>
  <c r="L11" i="13"/>
  <c r="V11" i="13"/>
  <c r="V17" i="13" s="1"/>
  <c r="Z12" i="13"/>
  <c r="AI12" i="13" s="1"/>
  <c r="I7" i="13"/>
  <c r="Q7" i="13"/>
  <c r="G8" i="13"/>
  <c r="O8" i="13"/>
  <c r="P9" i="13"/>
  <c r="Z9" i="13"/>
  <c r="I10" i="13"/>
  <c r="T10" i="13"/>
  <c r="M11" i="13"/>
  <c r="X11" i="13"/>
  <c r="X17" i="13" s="1"/>
  <c r="Q12" i="13"/>
  <c r="Q17" i="13" s="1"/>
  <c r="AC12" i="13"/>
  <c r="AH12" i="13" s="1"/>
  <c r="J13" i="13"/>
  <c r="U13" i="13"/>
  <c r="O14" i="13"/>
  <c r="Z14" i="13"/>
  <c r="I15" i="13"/>
  <c r="S15" i="13"/>
  <c r="S19" i="13"/>
  <c r="S44" i="13" s="1"/>
  <c r="S43" i="13" s="1"/>
  <c r="AC25" i="13"/>
  <c r="AH25" i="13" s="1"/>
  <c r="T25" i="13"/>
  <c r="T40" i="13" s="1"/>
  <c r="L25" i="13"/>
  <c r="L40" i="13" s="1"/>
  <c r="Z25" i="13"/>
  <c r="V25" i="13"/>
  <c r="M25" i="13"/>
  <c r="U25" i="13"/>
  <c r="U44" i="13" s="1"/>
  <c r="K25" i="13"/>
  <c r="S25" i="13"/>
  <c r="J25" i="13"/>
  <c r="AD25" i="13"/>
  <c r="R25" i="13"/>
  <c r="I25" i="13"/>
  <c r="AA25" i="13"/>
  <c r="Q25" i="13"/>
  <c r="H25" i="13"/>
  <c r="Y25" i="13"/>
  <c r="Y40" i="13" s="1"/>
  <c r="P25" i="13"/>
  <c r="G25" i="13"/>
  <c r="AD33" i="13"/>
  <c r="AC36" i="13"/>
  <c r="AH36" i="13" s="1"/>
  <c r="T36" i="13"/>
  <c r="L36" i="13"/>
  <c r="AA36" i="13"/>
  <c r="S36" i="13"/>
  <c r="K36" i="13"/>
  <c r="Z36" i="13"/>
  <c r="R36" i="13"/>
  <c r="J36" i="13"/>
  <c r="Y36" i="13"/>
  <c r="N36" i="13"/>
  <c r="X36" i="13"/>
  <c r="M36" i="13"/>
  <c r="W36" i="13"/>
  <c r="I36" i="13"/>
  <c r="V36" i="13"/>
  <c r="H36" i="13"/>
  <c r="U36" i="13"/>
  <c r="G36" i="13"/>
  <c r="Q36" i="13"/>
  <c r="Z38" i="13"/>
  <c r="R38" i="13"/>
  <c r="J38" i="13"/>
  <c r="Y38" i="13"/>
  <c r="AF38" i="13" s="1"/>
  <c r="Q38" i="13"/>
  <c r="I38" i="13"/>
  <c r="X38" i="13"/>
  <c r="P38" i="13"/>
  <c r="H38" i="13"/>
  <c r="AD38" i="13"/>
  <c r="O38" i="13"/>
  <c r="AC38" i="13"/>
  <c r="AH38" i="13" s="1"/>
  <c r="N38" i="13"/>
  <c r="AA38" i="13"/>
  <c r="M38" i="13"/>
  <c r="W38" i="13"/>
  <c r="L38" i="13"/>
  <c r="V38" i="13"/>
  <c r="V42" i="13" s="1"/>
  <c r="K38" i="13"/>
  <c r="U38" i="13"/>
  <c r="G38" i="13"/>
  <c r="U48" i="13"/>
  <c r="M22" i="13"/>
  <c r="U22" i="13"/>
  <c r="AD22" i="13"/>
  <c r="L29" i="13"/>
  <c r="W29" i="13"/>
  <c r="AF34" i="13"/>
  <c r="AF37" i="13"/>
  <c r="M49" i="13"/>
  <c r="AD49" i="13"/>
  <c r="K20" i="13"/>
  <c r="S20" i="13"/>
  <c r="K21" i="13"/>
  <c r="S21" i="13"/>
  <c r="AA21" i="13"/>
  <c r="AG39" i="13" s="1"/>
  <c r="N22" i="13"/>
  <c r="N40" i="13" s="1"/>
  <c r="V22" i="13"/>
  <c r="V40" i="13" s="1"/>
  <c r="J23" i="13"/>
  <c r="R23" i="13"/>
  <c r="Z23" i="13"/>
  <c r="M24" i="13"/>
  <c r="U24" i="13"/>
  <c r="AD24" i="13"/>
  <c r="K27" i="13"/>
  <c r="M29" i="13"/>
  <c r="Z30" i="13"/>
  <c r="R30" i="13"/>
  <c r="J30" i="13"/>
  <c r="X30" i="13"/>
  <c r="P30" i="13"/>
  <c r="H30" i="13"/>
  <c r="O30" i="13"/>
  <c r="AA30" i="13"/>
  <c r="AF30" i="13" s="1"/>
  <c r="K32" i="13"/>
  <c r="AG37" i="13"/>
  <c r="O49" i="13"/>
  <c r="O53" i="13" s="1"/>
  <c r="G22" i="13"/>
  <c r="O22" i="13"/>
  <c r="W22" i="13"/>
  <c r="W40" i="13" s="1"/>
  <c r="X29" i="13"/>
  <c r="P29" i="13"/>
  <c r="H29" i="13"/>
  <c r="V29" i="13"/>
  <c r="N29" i="13"/>
  <c r="O29" i="13"/>
  <c r="O42" i="13" s="1"/>
  <c r="Z29" i="13"/>
  <c r="M20" i="13"/>
  <c r="U20" i="13"/>
  <c r="M21" i="13"/>
  <c r="U21" i="13"/>
  <c r="AD21" i="13"/>
  <c r="H22" i="13"/>
  <c r="H40" i="13" s="1"/>
  <c r="P22" i="13"/>
  <c r="P40" i="13" s="1"/>
  <c r="X22" i="13"/>
  <c r="X40" i="13" s="1"/>
  <c r="AC23" i="13"/>
  <c r="AH23" i="13" s="1"/>
  <c r="AH39" i="13" s="1"/>
  <c r="Q29" i="13"/>
  <c r="AA29" i="13"/>
  <c r="AF29" i="13" s="1"/>
  <c r="AA49" i="13"/>
  <c r="S49" i="13"/>
  <c r="K49" i="13"/>
  <c r="Z49" i="13"/>
  <c r="R49" i="13"/>
  <c r="R53" i="13" s="1"/>
  <c r="J49" i="13"/>
  <c r="Y49" i="13"/>
  <c r="Q49" i="13"/>
  <c r="I49" i="13"/>
  <c r="V49" i="13"/>
  <c r="V53" i="13" s="1"/>
  <c r="N49" i="13"/>
  <c r="T49" i="13"/>
  <c r="N53" i="13"/>
  <c r="G20" i="13"/>
  <c r="Y20" i="13" s="1"/>
  <c r="AF20" i="13" s="1"/>
  <c r="O20" i="13"/>
  <c r="O44" i="13" s="1"/>
  <c r="O43" i="13" s="1"/>
  <c r="G21" i="13"/>
  <c r="O21" i="13"/>
  <c r="O40" i="13" s="1"/>
  <c r="J22" i="13"/>
  <c r="J40" i="13" s="1"/>
  <c r="R22" i="13"/>
  <c r="R40" i="13" s="1"/>
  <c r="N23" i="13"/>
  <c r="I24" i="13"/>
  <c r="Q24" i="13"/>
  <c r="Q40" i="13" s="1"/>
  <c r="Z27" i="13"/>
  <c r="R27" i="13"/>
  <c r="J27" i="13"/>
  <c r="X27" i="13"/>
  <c r="P27" i="13"/>
  <c r="H27" i="13"/>
  <c r="O27" i="13"/>
  <c r="AA27" i="13"/>
  <c r="I29" i="13"/>
  <c r="S29" i="13"/>
  <c r="AD29" i="13"/>
  <c r="K30" i="13"/>
  <c r="U30" i="13"/>
  <c r="X32" i="13"/>
  <c r="P32" i="13"/>
  <c r="H32" i="13"/>
  <c r="W32" i="13"/>
  <c r="O32" i="13"/>
  <c r="G32" i="13"/>
  <c r="V32" i="13"/>
  <c r="N32" i="13"/>
  <c r="R32" i="13"/>
  <c r="AD32" i="13"/>
  <c r="AI37" i="13"/>
  <c r="AF52" i="13"/>
  <c r="G49" i="13"/>
  <c r="W49" i="13"/>
  <c r="M50" i="13"/>
  <c r="U50" i="13"/>
  <c r="AD50" i="13"/>
  <c r="L51" i="13"/>
  <c r="T51" i="13"/>
  <c r="AC51" i="13"/>
  <c r="L52" i="13"/>
  <c r="T52" i="13"/>
  <c r="AC52" i="13"/>
  <c r="M51" i="13"/>
  <c r="U51" i="13"/>
  <c r="AD51" i="13"/>
  <c r="M52" i="13"/>
  <c r="U52" i="13"/>
  <c r="AD52" i="13"/>
  <c r="N52" i="13"/>
  <c r="V52" i="13"/>
  <c r="M26" i="13"/>
  <c r="U26" i="13"/>
  <c r="AD26" i="13"/>
  <c r="K28" i="13"/>
  <c r="S28" i="13"/>
  <c r="AA28" i="13"/>
  <c r="K31" i="13"/>
  <c r="S31" i="13"/>
  <c r="AA31" i="13"/>
  <c r="AG31" i="13" s="1"/>
  <c r="L34" i="13"/>
  <c r="T34" i="13"/>
  <c r="AC34" i="13"/>
  <c r="AH34" i="13" s="1"/>
  <c r="M37" i="13"/>
  <c r="U37" i="13"/>
  <c r="AD37" i="13"/>
  <c r="L39" i="13"/>
  <c r="T39" i="13"/>
  <c r="AC39" i="13"/>
  <c r="K47" i="13"/>
  <c r="K53" i="13" s="1"/>
  <c r="S47" i="13"/>
  <c r="AA47" i="13"/>
  <c r="H50" i="13"/>
  <c r="H53" i="13" s="1"/>
  <c r="P50" i="13"/>
  <c r="X50" i="13"/>
  <c r="X53" i="13" s="1"/>
  <c r="G51" i="13"/>
  <c r="O51" i="13"/>
  <c r="W51" i="13"/>
  <c r="G52" i="13"/>
  <c r="O52" i="13"/>
  <c r="W52" i="13"/>
  <c r="AC31" i="13"/>
  <c r="AH31" i="13" s="1"/>
  <c r="M34" i="13"/>
  <c r="U34" i="13"/>
  <c r="AD34" i="13"/>
  <c r="N37" i="13"/>
  <c r="V37" i="13"/>
  <c r="M39" i="13"/>
  <c r="U39" i="13"/>
  <c r="AD39" i="13"/>
  <c r="L47" i="13"/>
  <c r="T47" i="13"/>
  <c r="AC47" i="13"/>
  <c r="I50" i="13"/>
  <c r="Q50" i="13"/>
  <c r="Y50" i="13"/>
  <c r="H51" i="13"/>
  <c r="P51" i="13"/>
  <c r="X51" i="13"/>
  <c r="H52" i="13"/>
  <c r="P52" i="13"/>
  <c r="X52" i="13"/>
  <c r="G26" i="13"/>
  <c r="O26" i="13"/>
  <c r="M28" i="13"/>
  <c r="U28" i="13"/>
  <c r="M31" i="13"/>
  <c r="U31" i="13"/>
  <c r="N34" i="13"/>
  <c r="G37" i="13"/>
  <c r="O37" i="13"/>
  <c r="N39" i="13"/>
  <c r="M47" i="13"/>
  <c r="M53" i="13" s="1"/>
  <c r="U47" i="13"/>
  <c r="J50" i="13"/>
  <c r="R50" i="13"/>
  <c r="I51" i="13"/>
  <c r="Q51" i="13"/>
  <c r="I52" i="13"/>
  <c r="Q52" i="13"/>
  <c r="O45" i="13" l="1"/>
  <c r="AV3" i="13"/>
  <c r="S53" i="13"/>
  <c r="AI27" i="13"/>
  <c r="AG27" i="13"/>
  <c r="U40" i="13"/>
  <c r="K40" i="13"/>
  <c r="AI36" i="13"/>
  <c r="AG36" i="13"/>
  <c r="AJ29" i="13"/>
  <c r="K17" i="13"/>
  <c r="P44" i="13"/>
  <c r="P43" i="13" s="1"/>
  <c r="AE39" i="13"/>
  <c r="Y44" i="13"/>
  <c r="AF19" i="13"/>
  <c r="T44" i="13"/>
  <c r="T43" i="13" s="1"/>
  <c r="U42" i="13"/>
  <c r="U43" i="13" s="1"/>
  <c r="AI23" i="13"/>
  <c r="AG23" i="13"/>
  <c r="Z40" i="13"/>
  <c r="AC40" i="13" s="1"/>
  <c r="AG25" i="13"/>
  <c r="AI25" i="13"/>
  <c r="AG21" i="13"/>
  <c r="X44" i="13"/>
  <c r="X43" i="13" s="1"/>
  <c r="BF3" i="13" s="1"/>
  <c r="L44" i="13"/>
  <c r="R42" i="13"/>
  <c r="R17" i="13"/>
  <c r="AG28" i="13"/>
  <c r="AF28" i="13"/>
  <c r="S45" i="13"/>
  <c r="BA3" i="13"/>
  <c r="V43" i="13"/>
  <c r="BD3" i="13" s="1"/>
  <c r="I42" i="13"/>
  <c r="I17" i="13"/>
  <c r="S40" i="13"/>
  <c r="I44" i="13"/>
  <c r="I43" i="13" s="1"/>
  <c r="AE52" i="13"/>
  <c r="AE56" i="13" s="1"/>
  <c r="AI38" i="13"/>
  <c r="AG38" i="13"/>
  <c r="J44" i="13"/>
  <c r="J43" i="13" s="1"/>
  <c r="N42" i="13"/>
  <c r="AF15" i="13"/>
  <c r="AF56" i="13" s="1"/>
  <c r="W42" i="13"/>
  <c r="M42" i="13"/>
  <c r="W44" i="13"/>
  <c r="AI33" i="13"/>
  <c r="AG33" i="13"/>
  <c r="AF31" i="13"/>
  <c r="AG52" i="13"/>
  <c r="AG56" i="13" s="1"/>
  <c r="AA53" i="13"/>
  <c r="AC53" i="13" s="1"/>
  <c r="M40" i="13"/>
  <c r="T53" i="13"/>
  <c r="AG30" i="13"/>
  <c r="AI30" i="13"/>
  <c r="Z17" i="13"/>
  <c r="AI9" i="13"/>
  <c r="AI14" i="13" s="1"/>
  <c r="AJ14" i="13" s="1"/>
  <c r="G44" i="13"/>
  <c r="R44" i="13"/>
  <c r="R43" i="13" s="1"/>
  <c r="U17" i="13"/>
  <c r="K44" i="13"/>
  <c r="K43" i="13" s="1"/>
  <c r="L53" i="13"/>
  <c r="AF25" i="13"/>
  <c r="P17" i="13"/>
  <c r="Y17" i="13"/>
  <c r="AF9" i="13"/>
  <c r="Q44" i="13"/>
  <c r="Q43" i="13" s="1"/>
  <c r="Z44" i="13"/>
  <c r="AG19" i="13"/>
  <c r="Z42" i="13"/>
  <c r="M44" i="13"/>
  <c r="J42" i="13"/>
  <c r="J17" i="13"/>
  <c r="L42" i="13"/>
  <c r="Y42" i="13" s="1"/>
  <c r="AA40" i="13"/>
  <c r="AH40" i="13" s="1"/>
  <c r="AF21" i="13"/>
  <c r="AI35" i="13"/>
  <c r="AG35" i="13"/>
  <c r="G40" i="13"/>
  <c r="H44" i="13"/>
  <c r="H43" i="13" s="1"/>
  <c r="U53" i="13"/>
  <c r="AG29" i="13"/>
  <c r="AI29" i="13"/>
  <c r="AF36" i="13"/>
  <c r="N17" i="13"/>
  <c r="N44" i="13"/>
  <c r="N43" i="13" s="1"/>
  <c r="I53" i="13"/>
  <c r="L17" i="13"/>
  <c r="AF35" i="13"/>
  <c r="T17" i="13"/>
  <c r="U45" i="13" l="1"/>
  <c r="BC3" i="13"/>
  <c r="Z43" i="13"/>
  <c r="AA44" i="13"/>
  <c r="R45" i="13"/>
  <c r="AZ3" i="13"/>
  <c r="AI39" i="13"/>
  <c r="AR3" i="13"/>
  <c r="K45" i="13"/>
  <c r="Q45" i="13"/>
  <c r="AY3" i="13"/>
  <c r="H45" i="13"/>
  <c r="AO3" i="13"/>
  <c r="T45" i="13"/>
  <c r="BB3" i="13"/>
  <c r="I45" i="13"/>
  <c r="AP3" i="13"/>
  <c r="AF44" i="13"/>
  <c r="G43" i="13"/>
  <c r="AF17" i="13"/>
  <c r="AC17" i="13"/>
  <c r="M43" i="13"/>
  <c r="AU3" i="13" s="1"/>
  <c r="N45" i="13"/>
  <c r="AX3" i="13"/>
  <c r="AC44" i="13"/>
  <c r="Y43" i="13"/>
  <c r="Y45" i="13" s="1"/>
  <c r="P45" i="13"/>
  <c r="AW3" i="13"/>
  <c r="L43" i="13"/>
  <c r="J45" i="13"/>
  <c r="AQ3" i="13"/>
  <c r="AA42" i="13"/>
  <c r="W43" i="13"/>
  <c r="W45" i="13" l="1"/>
  <c r="BE3" i="13"/>
  <c r="AA43" i="13"/>
  <c r="AA45" i="13" s="1"/>
  <c r="AB43" i="13"/>
  <c r="AN3" i="13"/>
  <c r="AJ39" i="13"/>
  <c r="AI40" i="13"/>
  <c r="AJ40" i="13" s="1"/>
  <c r="AT3" i="13"/>
  <c r="L45" i="13"/>
  <c r="AE53" i="12" l="1"/>
  <c r="X52" i="12"/>
  <c r="V52" i="12"/>
  <c r="A52" i="12"/>
  <c r="T52" i="12" s="1"/>
  <c r="AD51" i="12"/>
  <c r="X51" i="12"/>
  <c r="V51" i="12"/>
  <c r="T51" i="12"/>
  <c r="P51" i="12"/>
  <c r="N51" i="12"/>
  <c r="L51" i="12"/>
  <c r="H51" i="12"/>
  <c r="F51" i="12"/>
  <c r="A51" i="12"/>
  <c r="AA51" i="12" s="1"/>
  <c r="M50" i="12"/>
  <c r="I50" i="12"/>
  <c r="F50" i="12"/>
  <c r="A50" i="12"/>
  <c r="U50" i="12" s="1"/>
  <c r="Z49" i="12"/>
  <c r="X49" i="12"/>
  <c r="W49" i="12"/>
  <c r="V49" i="12"/>
  <c r="R49" i="12"/>
  <c r="P49" i="12"/>
  <c r="O49" i="12"/>
  <c r="N49" i="12"/>
  <c r="J49" i="12"/>
  <c r="H49" i="12"/>
  <c r="G49" i="12"/>
  <c r="F49" i="12"/>
  <c r="A49" i="12"/>
  <c r="AE49" i="12" s="1"/>
  <c r="AA48" i="12"/>
  <c r="Y48" i="12"/>
  <c r="X48" i="12"/>
  <c r="W48" i="12"/>
  <c r="V48" i="12"/>
  <c r="S48" i="12"/>
  <c r="Q48" i="12"/>
  <c r="P48" i="12"/>
  <c r="O48" i="12"/>
  <c r="N48" i="12"/>
  <c r="K48" i="12"/>
  <c r="I48" i="12"/>
  <c r="H48" i="12"/>
  <c r="G48" i="12"/>
  <c r="F48" i="12"/>
  <c r="A48" i="12"/>
  <c r="AE48" i="12" s="1"/>
  <c r="AD47" i="12"/>
  <c r="Z47" i="12"/>
  <c r="Y47" i="12"/>
  <c r="X47" i="12"/>
  <c r="W47" i="12"/>
  <c r="V47" i="12"/>
  <c r="T47" i="12"/>
  <c r="R47" i="12"/>
  <c r="Q47" i="12"/>
  <c r="P47" i="12"/>
  <c r="O47" i="12"/>
  <c r="N47" i="12"/>
  <c r="L47" i="12"/>
  <c r="J47" i="12"/>
  <c r="I47" i="12"/>
  <c r="H47" i="12"/>
  <c r="G47" i="12"/>
  <c r="F47" i="12"/>
  <c r="A47" i="12"/>
  <c r="AE47" i="12" s="1"/>
  <c r="X39" i="12"/>
  <c r="W39" i="12"/>
  <c r="U39" i="12"/>
  <c r="T39" i="12"/>
  <c r="N39" i="12"/>
  <c r="M39" i="12"/>
  <c r="J39" i="12"/>
  <c r="H39" i="12"/>
  <c r="A39" i="12"/>
  <c r="Z39" i="12" s="1"/>
  <c r="AG38" i="12"/>
  <c r="AA38" i="12"/>
  <c r="Z38" i="12"/>
  <c r="AH38" i="12" s="1"/>
  <c r="Y38" i="12"/>
  <c r="AD38" i="12" s="1"/>
  <c r="AI38" i="12" s="1"/>
  <c r="X38" i="12"/>
  <c r="V38" i="12"/>
  <c r="T38" i="12"/>
  <c r="S38" i="12"/>
  <c r="R38" i="12"/>
  <c r="Q38" i="12"/>
  <c r="P38" i="12"/>
  <c r="N38" i="12"/>
  <c r="L38" i="12"/>
  <c r="K38" i="12"/>
  <c r="J38" i="12"/>
  <c r="I38" i="12"/>
  <c r="H38" i="12"/>
  <c r="F38" i="12"/>
  <c r="A38" i="12"/>
  <c r="W38" i="12" s="1"/>
  <c r="AG37" i="12"/>
  <c r="AE37" i="12"/>
  <c r="X37" i="12"/>
  <c r="S37" i="12"/>
  <c r="Q37" i="12"/>
  <c r="N37" i="12"/>
  <c r="H37" i="12"/>
  <c r="G37" i="12"/>
  <c r="F37" i="12"/>
  <c r="A37" i="12"/>
  <c r="W37" i="12" s="1"/>
  <c r="F36" i="12"/>
  <c r="A36" i="12"/>
  <c r="AE35" i="12"/>
  <c r="X35" i="12"/>
  <c r="W35" i="12"/>
  <c r="S35" i="12"/>
  <c r="R35" i="12"/>
  <c r="M35" i="12"/>
  <c r="K35" i="12"/>
  <c r="I35" i="12"/>
  <c r="H35" i="12"/>
  <c r="F35" i="12"/>
  <c r="A35" i="12"/>
  <c r="U35" i="12" s="1"/>
  <c r="AE34" i="12"/>
  <c r="V34" i="12"/>
  <c r="U34" i="12"/>
  <c r="R34" i="12"/>
  <c r="P34" i="12"/>
  <c r="L34" i="12"/>
  <c r="J34" i="12"/>
  <c r="G34" i="12"/>
  <c r="F34" i="12"/>
  <c r="A34" i="12"/>
  <c r="X34" i="12" s="1"/>
  <c r="AE33" i="12"/>
  <c r="Y33" i="12"/>
  <c r="S33" i="12"/>
  <c r="R33" i="12"/>
  <c r="M33" i="12"/>
  <c r="I33" i="12"/>
  <c r="G33" i="12"/>
  <c r="F33" i="12"/>
  <c r="A33" i="12"/>
  <c r="W33" i="12" s="1"/>
  <c r="AJ32" i="12"/>
  <c r="AG32" i="12"/>
  <c r="Z32" i="12"/>
  <c r="Y32" i="12"/>
  <c r="X32" i="12"/>
  <c r="W32" i="12"/>
  <c r="V32" i="12"/>
  <c r="T32" i="12"/>
  <c r="R32" i="12"/>
  <c r="Q32" i="12"/>
  <c r="P32" i="12"/>
  <c r="O32" i="12"/>
  <c r="N32" i="12"/>
  <c r="L32" i="12"/>
  <c r="J32" i="12"/>
  <c r="I32" i="12"/>
  <c r="H32" i="12"/>
  <c r="G32" i="12"/>
  <c r="F32" i="12"/>
  <c r="A32" i="12"/>
  <c r="AE32" i="12" s="1"/>
  <c r="AA31" i="12"/>
  <c r="F31" i="12"/>
  <c r="A31" i="12"/>
  <c r="AJ30" i="12"/>
  <c r="AG30" i="12"/>
  <c r="AD30" i="12"/>
  <c r="AI30" i="12" s="1"/>
  <c r="AA30" i="12"/>
  <c r="Z30" i="12"/>
  <c r="Y30" i="12"/>
  <c r="X30" i="12"/>
  <c r="V30" i="12"/>
  <c r="T30" i="12"/>
  <c r="S30" i="12"/>
  <c r="R30" i="12"/>
  <c r="Q30" i="12"/>
  <c r="P30" i="12"/>
  <c r="N30" i="12"/>
  <c r="L30" i="12"/>
  <c r="K30" i="12"/>
  <c r="J30" i="12"/>
  <c r="I30" i="12"/>
  <c r="H30" i="12"/>
  <c r="F30" i="12"/>
  <c r="A30" i="12"/>
  <c r="W30" i="12" s="1"/>
  <c r="AJ29" i="12"/>
  <c r="AG29" i="12"/>
  <c r="Z29" i="12"/>
  <c r="Y29" i="12"/>
  <c r="X29" i="12"/>
  <c r="W29" i="12"/>
  <c r="V29" i="12"/>
  <c r="T29" i="12"/>
  <c r="R29" i="12"/>
  <c r="Q29" i="12"/>
  <c r="P29" i="12"/>
  <c r="O29" i="12"/>
  <c r="N29" i="12"/>
  <c r="L29" i="12"/>
  <c r="J29" i="12"/>
  <c r="I29" i="12"/>
  <c r="H29" i="12"/>
  <c r="G29" i="12"/>
  <c r="F29" i="12"/>
  <c r="A29" i="12"/>
  <c r="AE29" i="12" s="1"/>
  <c r="AG28" i="12"/>
  <c r="U28" i="12"/>
  <c r="T28" i="12"/>
  <c r="Q28" i="12"/>
  <c r="K28" i="12"/>
  <c r="I28" i="12"/>
  <c r="F28" i="12"/>
  <c r="A28" i="12"/>
  <c r="AG27" i="12"/>
  <c r="AD27" i="12"/>
  <c r="AI27" i="12" s="1"/>
  <c r="AA27" i="12"/>
  <c r="Z27" i="12"/>
  <c r="Y27" i="12"/>
  <c r="X27" i="12"/>
  <c r="V27" i="12"/>
  <c r="T27" i="12"/>
  <c r="S27" i="12"/>
  <c r="R27" i="12"/>
  <c r="Q27" i="12"/>
  <c r="P27" i="12"/>
  <c r="N27" i="12"/>
  <c r="L27" i="12"/>
  <c r="K27" i="12"/>
  <c r="J27" i="12"/>
  <c r="I27" i="12"/>
  <c r="H27" i="12"/>
  <c r="F27" i="12"/>
  <c r="A27" i="12"/>
  <c r="W27" i="12" s="1"/>
  <c r="AA26" i="12"/>
  <c r="W26" i="12"/>
  <c r="V26" i="12"/>
  <c r="P26" i="12"/>
  <c r="M26" i="12"/>
  <c r="K26" i="12"/>
  <c r="F26" i="12"/>
  <c r="A26" i="12"/>
  <c r="AG25" i="12"/>
  <c r="AE25" i="12"/>
  <c r="X25" i="12"/>
  <c r="T25" i="12"/>
  <c r="S25" i="12"/>
  <c r="N25" i="12"/>
  <c r="M25" i="12"/>
  <c r="K25" i="12"/>
  <c r="J25" i="12"/>
  <c r="F25" i="12"/>
  <c r="A25" i="12"/>
  <c r="AA24" i="12"/>
  <c r="AH24" i="12" s="1"/>
  <c r="Z24" i="12"/>
  <c r="AJ24" i="12" s="1"/>
  <c r="X24" i="12"/>
  <c r="W24" i="12"/>
  <c r="T24" i="12"/>
  <c r="S24" i="12"/>
  <c r="R24" i="12"/>
  <c r="P24" i="12"/>
  <c r="O24" i="12"/>
  <c r="L24" i="12"/>
  <c r="K24" i="12"/>
  <c r="J24" i="12"/>
  <c r="H24" i="12"/>
  <c r="G24" i="12"/>
  <c r="F24" i="12"/>
  <c r="A24" i="12"/>
  <c r="AG24" i="12" s="1"/>
  <c r="AE23" i="12"/>
  <c r="AD23" i="12"/>
  <c r="AI23" i="12" s="1"/>
  <c r="Y23" i="12"/>
  <c r="X23" i="12"/>
  <c r="W23" i="12"/>
  <c r="U23" i="12"/>
  <c r="T23" i="12"/>
  <c r="Q23" i="12"/>
  <c r="P23" i="12"/>
  <c r="O23" i="12"/>
  <c r="M23" i="12"/>
  <c r="L23" i="12"/>
  <c r="I23" i="12"/>
  <c r="H23" i="12"/>
  <c r="G23" i="12"/>
  <c r="A23" i="12"/>
  <c r="AA23" i="12" s="1"/>
  <c r="X22" i="12"/>
  <c r="T22" i="12"/>
  <c r="S22" i="12"/>
  <c r="K22" i="12"/>
  <c r="H22" i="12"/>
  <c r="F22" i="12"/>
  <c r="A22" i="12"/>
  <c r="P22" i="12" s="1"/>
  <c r="AE21" i="12"/>
  <c r="Y21" i="12"/>
  <c r="X21" i="12"/>
  <c r="V21" i="12"/>
  <c r="P21" i="12"/>
  <c r="M21" i="12"/>
  <c r="J21" i="12"/>
  <c r="I21" i="12"/>
  <c r="F21" i="12"/>
  <c r="A21" i="12"/>
  <c r="Z21" i="12" s="1"/>
  <c r="AH20" i="12"/>
  <c r="AE20" i="12"/>
  <c r="W20" i="12"/>
  <c r="V20" i="12"/>
  <c r="S20" i="12"/>
  <c r="R20" i="12"/>
  <c r="Q20" i="12"/>
  <c r="O20" i="12"/>
  <c r="N20" i="12"/>
  <c r="K20" i="12"/>
  <c r="J20" i="12"/>
  <c r="I20" i="12"/>
  <c r="G20" i="12"/>
  <c r="F20" i="12"/>
  <c r="A20" i="12"/>
  <c r="U20" i="12" s="1"/>
  <c r="AE19" i="12"/>
  <c r="Z19" i="12"/>
  <c r="V19" i="12"/>
  <c r="U19" i="12"/>
  <c r="T19" i="12"/>
  <c r="Q19" i="12"/>
  <c r="N19" i="12"/>
  <c r="M19" i="12"/>
  <c r="J19" i="12"/>
  <c r="I19" i="12"/>
  <c r="F19" i="12"/>
  <c r="A19" i="12"/>
  <c r="AG17" i="12"/>
  <c r="AG16" i="12"/>
  <c r="AA16" i="12"/>
  <c r="Z16" i="12"/>
  <c r="W16" i="12"/>
  <c r="R16" i="12"/>
  <c r="N16" i="12"/>
  <c r="M16" i="12"/>
  <c r="K16" i="12"/>
  <c r="A16" i="12"/>
  <c r="S16" i="12" s="1"/>
  <c r="AG15" i="12"/>
  <c r="AE15" i="12"/>
  <c r="Y15" i="12"/>
  <c r="AD15" i="12" s="1"/>
  <c r="X15" i="12"/>
  <c r="W15" i="12"/>
  <c r="U15" i="12"/>
  <c r="T15" i="12"/>
  <c r="Q15" i="12"/>
  <c r="P15" i="12"/>
  <c r="O15" i="12"/>
  <c r="M15" i="12"/>
  <c r="L15" i="12"/>
  <c r="I15" i="12"/>
  <c r="H15" i="12"/>
  <c r="G15" i="12"/>
  <c r="A15" i="12"/>
  <c r="AA15" i="12" s="1"/>
  <c r="AE14" i="12"/>
  <c r="AD14" i="12"/>
  <c r="AA14" i="12"/>
  <c r="Y14" i="12"/>
  <c r="X14" i="12"/>
  <c r="U14" i="12"/>
  <c r="T14" i="12"/>
  <c r="S14" i="12"/>
  <c r="Q14" i="12"/>
  <c r="P14" i="12"/>
  <c r="M14" i="12"/>
  <c r="L14" i="12"/>
  <c r="K14" i="12"/>
  <c r="I14" i="12"/>
  <c r="H14" i="12"/>
  <c r="A14" i="12"/>
  <c r="W14" i="12" s="1"/>
  <c r="Y13" i="12"/>
  <c r="W13" i="12"/>
  <c r="W42" i="12" s="1"/>
  <c r="U13" i="12"/>
  <c r="T13" i="12"/>
  <c r="M13" i="12"/>
  <c r="I13" i="12"/>
  <c r="H13" i="12"/>
  <c r="G13" i="12"/>
  <c r="F13" i="12"/>
  <c r="A13" i="12"/>
  <c r="O13" i="12" s="1"/>
  <c r="AA12" i="12"/>
  <c r="Y12" i="12"/>
  <c r="AD12" i="12" s="1"/>
  <c r="AI12" i="12" s="1"/>
  <c r="M12" i="12"/>
  <c r="L12" i="12"/>
  <c r="F12" i="12"/>
  <c r="A12" i="12"/>
  <c r="P12" i="12" s="1"/>
  <c r="AE11" i="12"/>
  <c r="X11" i="12"/>
  <c r="U11" i="12"/>
  <c r="R11" i="12"/>
  <c r="Q11" i="12"/>
  <c r="P11" i="12"/>
  <c r="N11" i="12"/>
  <c r="L11" i="12"/>
  <c r="J11" i="12"/>
  <c r="I11" i="12"/>
  <c r="H11" i="12"/>
  <c r="F11" i="12"/>
  <c r="A11" i="12"/>
  <c r="T11" i="12" s="1"/>
  <c r="F10" i="12"/>
  <c r="A10" i="12"/>
  <c r="T10" i="12" s="1"/>
  <c r="AG9" i="12"/>
  <c r="Z9" i="12"/>
  <c r="AJ9" i="12" s="1"/>
  <c r="Y9" i="12"/>
  <c r="X9" i="12"/>
  <c r="V9" i="12"/>
  <c r="T9" i="12"/>
  <c r="R9" i="12"/>
  <c r="Q9" i="12"/>
  <c r="P9" i="12"/>
  <c r="N9" i="12"/>
  <c r="L9" i="12"/>
  <c r="J9" i="12"/>
  <c r="I9" i="12"/>
  <c r="H9" i="12"/>
  <c r="F9" i="12"/>
  <c r="A9" i="12"/>
  <c r="W9" i="12" s="1"/>
  <c r="AG8" i="12"/>
  <c r="AA8" i="12"/>
  <c r="AD8" i="12" s="1"/>
  <c r="Z8" i="12"/>
  <c r="Y8" i="12"/>
  <c r="X8" i="12"/>
  <c r="W8" i="12"/>
  <c r="V8" i="12"/>
  <c r="T8" i="12"/>
  <c r="S8" i="12"/>
  <c r="R8" i="12"/>
  <c r="Q8" i="12"/>
  <c r="P8" i="12"/>
  <c r="O8" i="12"/>
  <c r="N8" i="12"/>
  <c r="L8" i="12"/>
  <c r="K8" i="12"/>
  <c r="J8" i="12"/>
  <c r="I8" i="12"/>
  <c r="H8" i="12"/>
  <c r="G8" i="12"/>
  <c r="F8" i="12"/>
  <c r="A8" i="12"/>
  <c r="AE8" i="12" s="1"/>
  <c r="F7" i="12"/>
  <c r="A7" i="12"/>
  <c r="T7" i="12" s="1"/>
  <c r="AG6" i="12"/>
  <c r="AA6" i="12"/>
  <c r="Y6" i="12"/>
  <c r="AD6" i="12" s="1"/>
  <c r="X6" i="12"/>
  <c r="W6" i="12"/>
  <c r="U6" i="12"/>
  <c r="T6" i="12"/>
  <c r="S6" i="12"/>
  <c r="Q6" i="12"/>
  <c r="P6" i="12"/>
  <c r="O6" i="12"/>
  <c r="M6" i="12"/>
  <c r="L6" i="12"/>
  <c r="K6" i="12"/>
  <c r="I6" i="12"/>
  <c r="H6" i="12"/>
  <c r="G6" i="12"/>
  <c r="AC6" i="12" s="1"/>
  <c r="A6" i="12"/>
  <c r="AE6" i="12" s="1"/>
  <c r="W1" i="12"/>
  <c r="V1" i="12"/>
  <c r="U1" i="12"/>
  <c r="T1" i="12"/>
  <c r="S1" i="12"/>
  <c r="R1" i="12"/>
  <c r="Q1" i="12"/>
  <c r="P1" i="12"/>
  <c r="O1" i="12"/>
  <c r="N1" i="12"/>
  <c r="M1" i="12"/>
  <c r="L1" i="12"/>
  <c r="K1" i="12"/>
  <c r="J1" i="12"/>
  <c r="I1" i="12"/>
  <c r="H1" i="12"/>
  <c r="G1" i="12"/>
  <c r="AD54" i="11"/>
  <c r="AC53" i="11"/>
  <c r="AA53" i="11"/>
  <c r="Z53" i="11"/>
  <c r="Y53" i="11"/>
  <c r="AD53" i="11" s="1"/>
  <c r="X53" i="11"/>
  <c r="W53" i="11"/>
  <c r="V53" i="11"/>
  <c r="U53" i="11"/>
  <c r="T53" i="11"/>
  <c r="S53" i="11"/>
  <c r="R53" i="11"/>
  <c r="Q53" i="11"/>
  <c r="P53" i="11"/>
  <c r="O53" i="11"/>
  <c r="N53" i="11"/>
  <c r="M53" i="11"/>
  <c r="L53" i="11"/>
  <c r="K53" i="11"/>
  <c r="J53" i="11"/>
  <c r="I53" i="11"/>
  <c r="H53" i="11"/>
  <c r="G53" i="11"/>
  <c r="AC52" i="11"/>
  <c r="Y52" i="11" s="1"/>
  <c r="AA52" i="11"/>
  <c r="X52" i="11"/>
  <c r="W52" i="11"/>
  <c r="V52" i="11"/>
  <c r="U52" i="11"/>
  <c r="T52" i="11"/>
  <c r="S52" i="11"/>
  <c r="R52" i="11"/>
  <c r="Q52" i="11"/>
  <c r="P52" i="11"/>
  <c r="O52" i="11"/>
  <c r="N52" i="11"/>
  <c r="M52" i="11"/>
  <c r="L52" i="11"/>
  <c r="K52" i="11"/>
  <c r="J52" i="11"/>
  <c r="I52" i="11"/>
  <c r="H52" i="11"/>
  <c r="G52" i="11"/>
  <c r="E52" i="11"/>
  <c r="D52" i="11"/>
  <c r="C52" i="11"/>
  <c r="B52" i="11"/>
  <c r="A52" i="11"/>
  <c r="AE52" i="11" s="1"/>
  <c r="AC51" i="11"/>
  <c r="Y51" i="11" s="1"/>
  <c r="AA51" i="11"/>
  <c r="X51" i="11"/>
  <c r="W51" i="11"/>
  <c r="V51" i="11"/>
  <c r="U51" i="11"/>
  <c r="T51" i="11"/>
  <c r="S51" i="11"/>
  <c r="R51" i="11"/>
  <c r="Q51" i="11"/>
  <c r="P51" i="11"/>
  <c r="O51" i="11"/>
  <c r="N51" i="11"/>
  <c r="M51" i="11"/>
  <c r="L51" i="11"/>
  <c r="K51" i="11"/>
  <c r="J51" i="11"/>
  <c r="I51" i="11"/>
  <c r="H51" i="11"/>
  <c r="G51" i="11"/>
  <c r="F51" i="11"/>
  <c r="E51" i="11"/>
  <c r="D51" i="11"/>
  <c r="C51" i="11"/>
  <c r="B51" i="11"/>
  <c r="A51" i="11"/>
  <c r="AE51" i="11" s="1"/>
  <c r="AC50" i="11"/>
  <c r="Y50" i="11" s="1"/>
  <c r="AA50" i="11"/>
  <c r="X50" i="11"/>
  <c r="W50" i="11"/>
  <c r="V50" i="11"/>
  <c r="U50" i="11"/>
  <c r="T50" i="11"/>
  <c r="S50" i="11"/>
  <c r="R50" i="11"/>
  <c r="Q50" i="11"/>
  <c r="P50" i="11"/>
  <c r="O50" i="11"/>
  <c r="N50" i="11"/>
  <c r="M50" i="11"/>
  <c r="L50" i="11"/>
  <c r="K50" i="11"/>
  <c r="J50" i="11"/>
  <c r="I50" i="11"/>
  <c r="H50" i="11"/>
  <c r="G50" i="11"/>
  <c r="F50" i="11"/>
  <c r="E50" i="11"/>
  <c r="D50" i="11"/>
  <c r="C50" i="11"/>
  <c r="B50" i="11"/>
  <c r="A50" i="11"/>
  <c r="AE50" i="11" s="1"/>
  <c r="AC49" i="11"/>
  <c r="AA49" i="11"/>
  <c r="Y49" i="11"/>
  <c r="AD49" i="11" s="1"/>
  <c r="X49" i="11"/>
  <c r="W49" i="11"/>
  <c r="V49" i="11"/>
  <c r="U49" i="11"/>
  <c r="T49" i="11"/>
  <c r="S49" i="11"/>
  <c r="R49" i="11"/>
  <c r="Q49" i="11"/>
  <c r="P49" i="11"/>
  <c r="O49" i="11"/>
  <c r="N49" i="11"/>
  <c r="M49" i="11"/>
  <c r="L49" i="11"/>
  <c r="K49" i="11"/>
  <c r="J49" i="11"/>
  <c r="I49" i="11"/>
  <c r="H49" i="11"/>
  <c r="G49" i="11"/>
  <c r="F49" i="11"/>
  <c r="E49" i="11"/>
  <c r="D49" i="11"/>
  <c r="C49" i="11"/>
  <c r="B49" i="11"/>
  <c r="A49" i="11"/>
  <c r="AE49" i="11" s="1"/>
  <c r="AE48" i="11"/>
  <c r="AC48" i="11"/>
  <c r="Y48" i="11" s="1"/>
  <c r="AA48" i="11"/>
  <c r="X48" i="11"/>
  <c r="W48" i="11"/>
  <c r="V48" i="11"/>
  <c r="U48" i="11"/>
  <c r="T48" i="11"/>
  <c r="S48" i="11"/>
  <c r="R48" i="11"/>
  <c r="Q48" i="11"/>
  <c r="P48" i="11"/>
  <c r="O48" i="11"/>
  <c r="N48" i="11"/>
  <c r="M48" i="11"/>
  <c r="L48" i="11"/>
  <c r="K48" i="11"/>
  <c r="J48" i="11"/>
  <c r="I48" i="11"/>
  <c r="H48" i="11"/>
  <c r="G48" i="11"/>
  <c r="F48" i="11"/>
  <c r="E48" i="11"/>
  <c r="D48" i="11"/>
  <c r="C48" i="11"/>
  <c r="B48" i="11"/>
  <c r="A48" i="11"/>
  <c r="AC47" i="11"/>
  <c r="Y47" i="11" s="1"/>
  <c r="AA47" i="11"/>
  <c r="X47" i="11"/>
  <c r="W47" i="11"/>
  <c r="V47" i="11"/>
  <c r="U47" i="11"/>
  <c r="T47" i="11"/>
  <c r="S47" i="11"/>
  <c r="R47" i="11"/>
  <c r="Q47" i="11"/>
  <c r="P47" i="11"/>
  <c r="O47" i="11"/>
  <c r="N47" i="11"/>
  <c r="M47" i="11"/>
  <c r="L47" i="11"/>
  <c r="K47" i="11"/>
  <c r="J47" i="11"/>
  <c r="I47" i="11"/>
  <c r="H47" i="11"/>
  <c r="G47" i="11"/>
  <c r="F47" i="11"/>
  <c r="E47" i="11"/>
  <c r="D47" i="11"/>
  <c r="C47" i="11"/>
  <c r="B47" i="11"/>
  <c r="A47" i="11"/>
  <c r="AE47" i="11" s="1"/>
  <c r="AC44" i="11"/>
  <c r="AA44" i="11"/>
  <c r="Y44" i="11"/>
  <c r="AD44" i="11" s="1"/>
  <c r="X44" i="11"/>
  <c r="W44" i="11"/>
  <c r="V44" i="11"/>
  <c r="U44" i="11"/>
  <c r="T44" i="11"/>
  <c r="S44" i="11"/>
  <c r="R44" i="11"/>
  <c r="Q44" i="11"/>
  <c r="P44" i="11"/>
  <c r="O44" i="11"/>
  <c r="N44" i="11"/>
  <c r="M44" i="11"/>
  <c r="L44" i="11"/>
  <c r="K44" i="11"/>
  <c r="J44" i="11"/>
  <c r="I44" i="11"/>
  <c r="H44" i="11"/>
  <c r="G44" i="11"/>
  <c r="AC43" i="11"/>
  <c r="AA43" i="11"/>
  <c r="Y43" i="11"/>
  <c r="AD43" i="11" s="1"/>
  <c r="X43" i="11"/>
  <c r="W43" i="11"/>
  <c r="V43" i="11"/>
  <c r="U43" i="11"/>
  <c r="T43" i="11"/>
  <c r="S43" i="11"/>
  <c r="R43" i="11"/>
  <c r="Q43" i="11"/>
  <c r="P43" i="11"/>
  <c r="O43" i="11"/>
  <c r="N43" i="11"/>
  <c r="M43" i="11"/>
  <c r="L43" i="11"/>
  <c r="K43" i="11"/>
  <c r="J43" i="11"/>
  <c r="I43" i="11"/>
  <c r="H43" i="11"/>
  <c r="G43" i="11"/>
  <c r="AC42" i="11"/>
  <c r="Y42" i="11" s="1"/>
  <c r="AA42" i="11"/>
  <c r="X42" i="11"/>
  <c r="W42" i="11"/>
  <c r="V42" i="11"/>
  <c r="U42" i="11"/>
  <c r="T42" i="11"/>
  <c r="S42" i="11"/>
  <c r="R42" i="11"/>
  <c r="Q42" i="11"/>
  <c r="P42" i="11"/>
  <c r="O42" i="11"/>
  <c r="N42" i="11"/>
  <c r="M42" i="11"/>
  <c r="L42" i="11"/>
  <c r="K42" i="11"/>
  <c r="J42" i="11"/>
  <c r="I42" i="11"/>
  <c r="H42" i="11"/>
  <c r="G42" i="11"/>
  <c r="AC40" i="11"/>
  <c r="Y40" i="11" s="1"/>
  <c r="AA40" i="11"/>
  <c r="X40" i="11"/>
  <c r="W40" i="11"/>
  <c r="V40" i="11"/>
  <c r="U40" i="11"/>
  <c r="T40" i="11"/>
  <c r="S40" i="11"/>
  <c r="R40" i="11"/>
  <c r="Q40" i="11"/>
  <c r="P40" i="11"/>
  <c r="O40" i="11"/>
  <c r="N40" i="11"/>
  <c r="M40" i="11"/>
  <c r="L40" i="11"/>
  <c r="K40" i="11"/>
  <c r="J40" i="11"/>
  <c r="I40" i="11"/>
  <c r="H40" i="11"/>
  <c r="G40" i="11"/>
  <c r="AE39" i="11"/>
  <c r="AC39" i="11"/>
  <c r="AA39" i="11"/>
  <c r="Y39" i="11"/>
  <c r="AD39" i="11" s="1"/>
  <c r="X39" i="11"/>
  <c r="W39" i="11"/>
  <c r="V39" i="11"/>
  <c r="U39" i="11"/>
  <c r="T39" i="11"/>
  <c r="S39" i="11"/>
  <c r="R39" i="11"/>
  <c r="Q39" i="11"/>
  <c r="P39" i="11"/>
  <c r="O39" i="11"/>
  <c r="N39" i="11"/>
  <c r="M39" i="11"/>
  <c r="L39" i="11"/>
  <c r="K39" i="11"/>
  <c r="J39" i="11"/>
  <c r="I39" i="11"/>
  <c r="H39" i="11"/>
  <c r="G39" i="11"/>
  <c r="E39" i="11"/>
  <c r="D39" i="11"/>
  <c r="C39" i="11"/>
  <c r="B39" i="11"/>
  <c r="A39" i="11"/>
  <c r="AC38" i="11"/>
  <c r="Y38" i="11" s="1"/>
  <c r="AA38" i="11"/>
  <c r="X38" i="11"/>
  <c r="W38" i="11"/>
  <c r="V38" i="11"/>
  <c r="U38" i="11"/>
  <c r="T38" i="11"/>
  <c r="S38" i="11"/>
  <c r="R38" i="11"/>
  <c r="Q38" i="11"/>
  <c r="P38" i="11"/>
  <c r="O38" i="11"/>
  <c r="N38" i="11"/>
  <c r="M38" i="11"/>
  <c r="L38" i="11"/>
  <c r="K38" i="11"/>
  <c r="J38" i="11"/>
  <c r="I38" i="11"/>
  <c r="H38" i="11"/>
  <c r="G38" i="11"/>
  <c r="F38" i="11"/>
  <c r="E38" i="11"/>
  <c r="D38" i="11"/>
  <c r="C38" i="11"/>
  <c r="B38" i="11"/>
  <c r="A38" i="11"/>
  <c r="AE38" i="11" s="1"/>
  <c r="AC37" i="11"/>
  <c r="AA37" i="11"/>
  <c r="Y37" i="11"/>
  <c r="Z37" i="11" s="1"/>
  <c r="X37" i="11"/>
  <c r="W37" i="11"/>
  <c r="V37" i="11"/>
  <c r="U37" i="11"/>
  <c r="T37" i="11"/>
  <c r="S37" i="11"/>
  <c r="R37" i="11"/>
  <c r="Q37" i="11"/>
  <c r="P37" i="11"/>
  <c r="O37" i="11"/>
  <c r="N37" i="11"/>
  <c r="M37" i="11"/>
  <c r="L37" i="11"/>
  <c r="K37" i="11"/>
  <c r="J37" i="11"/>
  <c r="I37" i="11"/>
  <c r="H37" i="11"/>
  <c r="G37" i="11"/>
  <c r="F37" i="11"/>
  <c r="E37" i="11"/>
  <c r="D37" i="11"/>
  <c r="C37" i="11"/>
  <c r="B37" i="11"/>
  <c r="A37" i="11"/>
  <c r="AE37" i="11" s="1"/>
  <c r="AC36" i="11"/>
  <c r="Y36" i="11" s="1"/>
  <c r="AA36" i="11"/>
  <c r="X36" i="11"/>
  <c r="W36" i="11"/>
  <c r="V36" i="11"/>
  <c r="U36" i="11"/>
  <c r="T36" i="11"/>
  <c r="S36" i="11"/>
  <c r="R36" i="11"/>
  <c r="Q36" i="11"/>
  <c r="P36" i="11"/>
  <c r="O36" i="11"/>
  <c r="N36" i="11"/>
  <c r="M36" i="11"/>
  <c r="L36" i="11"/>
  <c r="K36" i="11"/>
  <c r="J36" i="11"/>
  <c r="I36" i="11"/>
  <c r="H36" i="11"/>
  <c r="G36" i="11"/>
  <c r="F36" i="11"/>
  <c r="E36" i="11"/>
  <c r="D36" i="11"/>
  <c r="C36" i="11"/>
  <c r="B36" i="11"/>
  <c r="A36" i="11"/>
  <c r="AE36" i="11" s="1"/>
  <c r="AE35" i="11"/>
  <c r="AD35" i="11"/>
  <c r="AC35" i="11"/>
  <c r="AA35" i="11"/>
  <c r="Y35" i="11"/>
  <c r="Z35" i="11" s="1"/>
  <c r="X35" i="11"/>
  <c r="W35" i="11"/>
  <c r="V35" i="11"/>
  <c r="U35" i="11"/>
  <c r="T35" i="11"/>
  <c r="S35" i="11"/>
  <c r="R35" i="11"/>
  <c r="Q35" i="11"/>
  <c r="P35" i="11"/>
  <c r="O35" i="11"/>
  <c r="N35" i="11"/>
  <c r="M35" i="11"/>
  <c r="L35" i="11"/>
  <c r="K35" i="11"/>
  <c r="J35" i="11"/>
  <c r="I35" i="11"/>
  <c r="H35" i="11"/>
  <c r="G35" i="11"/>
  <c r="F35" i="11"/>
  <c r="E35" i="11"/>
  <c r="D35" i="11"/>
  <c r="C35" i="11"/>
  <c r="B35" i="11"/>
  <c r="A35" i="11"/>
  <c r="AC34" i="11"/>
  <c r="Y34" i="11" s="1"/>
  <c r="AA34" i="11"/>
  <c r="X34" i="11"/>
  <c r="W34" i="11"/>
  <c r="V34" i="11"/>
  <c r="U34" i="11"/>
  <c r="T34" i="11"/>
  <c r="S34" i="11"/>
  <c r="R34" i="11"/>
  <c r="Q34" i="11"/>
  <c r="P34" i="11"/>
  <c r="O34" i="11"/>
  <c r="N34" i="11"/>
  <c r="M34" i="11"/>
  <c r="L34" i="11"/>
  <c r="K34" i="11"/>
  <c r="J34" i="11"/>
  <c r="I34" i="11"/>
  <c r="H34" i="11"/>
  <c r="G34" i="11"/>
  <c r="F34" i="11"/>
  <c r="E34" i="11"/>
  <c r="D34" i="11"/>
  <c r="C34" i="11"/>
  <c r="B34" i="11"/>
  <c r="A34" i="11"/>
  <c r="AE34" i="11" s="1"/>
  <c r="AC33" i="11"/>
  <c r="AA33" i="11"/>
  <c r="Y33" i="11"/>
  <c r="Z33" i="11" s="1"/>
  <c r="X33" i="11"/>
  <c r="W33" i="11"/>
  <c r="V33" i="11"/>
  <c r="U33" i="11"/>
  <c r="T33" i="11"/>
  <c r="S33" i="11"/>
  <c r="R33" i="11"/>
  <c r="Q33" i="11"/>
  <c r="P33" i="11"/>
  <c r="O33" i="11"/>
  <c r="N33" i="11"/>
  <c r="M33" i="11"/>
  <c r="L33" i="11"/>
  <c r="K33" i="11"/>
  <c r="J33" i="11"/>
  <c r="I33" i="11"/>
  <c r="H33" i="11"/>
  <c r="G33" i="11"/>
  <c r="F33" i="11"/>
  <c r="D33" i="11"/>
  <c r="C33" i="11"/>
  <c r="B33" i="11"/>
  <c r="A33" i="11"/>
  <c r="AE33" i="11" s="1"/>
  <c r="AE32" i="11"/>
  <c r="AC32" i="11"/>
  <c r="Y32" i="11" s="1"/>
  <c r="AA32" i="11"/>
  <c r="X32" i="11"/>
  <c r="W32" i="11"/>
  <c r="V32" i="11"/>
  <c r="U32" i="11"/>
  <c r="T32" i="11"/>
  <c r="S32" i="11"/>
  <c r="R32" i="11"/>
  <c r="Q32" i="11"/>
  <c r="P32" i="11"/>
  <c r="O32" i="11"/>
  <c r="N32" i="11"/>
  <c r="M32" i="11"/>
  <c r="L32" i="11"/>
  <c r="K32" i="11"/>
  <c r="J32" i="11"/>
  <c r="I32" i="11"/>
  <c r="H32" i="11"/>
  <c r="G32" i="11"/>
  <c r="F32" i="11"/>
  <c r="E32" i="11"/>
  <c r="D32" i="11"/>
  <c r="C32" i="11"/>
  <c r="B32" i="11"/>
  <c r="A32" i="11"/>
  <c r="AC31" i="11"/>
  <c r="Y31" i="11" s="1"/>
  <c r="AA31" i="11"/>
  <c r="X31" i="11"/>
  <c r="W31" i="11"/>
  <c r="V31" i="11"/>
  <c r="U31" i="11"/>
  <c r="T31" i="11"/>
  <c r="S31" i="11"/>
  <c r="R31" i="11"/>
  <c r="Q31" i="11"/>
  <c r="P31" i="11"/>
  <c r="O31" i="11"/>
  <c r="N31" i="11"/>
  <c r="M31" i="11"/>
  <c r="L31" i="11"/>
  <c r="K31" i="11"/>
  <c r="J31" i="11"/>
  <c r="I31" i="11"/>
  <c r="H31" i="11"/>
  <c r="G31" i="11"/>
  <c r="F31" i="11"/>
  <c r="E31" i="11"/>
  <c r="D31" i="11"/>
  <c r="C31" i="11"/>
  <c r="B31" i="11"/>
  <c r="A31" i="11"/>
  <c r="AE31" i="11" s="1"/>
  <c r="AE30" i="11"/>
  <c r="AC30" i="11"/>
  <c r="AA30" i="11"/>
  <c r="X30" i="11"/>
  <c r="W30" i="11"/>
  <c r="V30" i="11"/>
  <c r="U30" i="11"/>
  <c r="T30" i="11"/>
  <c r="S30" i="11"/>
  <c r="R30" i="11"/>
  <c r="Q30" i="11"/>
  <c r="P30" i="11"/>
  <c r="O30" i="11"/>
  <c r="N30" i="11"/>
  <c r="M30" i="11"/>
  <c r="L30" i="11"/>
  <c r="K30" i="11"/>
  <c r="J30" i="11"/>
  <c r="I30" i="11"/>
  <c r="H30" i="11"/>
  <c r="G30" i="11"/>
  <c r="Y30" i="11" s="1"/>
  <c r="F30" i="11"/>
  <c r="E30" i="11"/>
  <c r="D30" i="11"/>
  <c r="C30" i="11"/>
  <c r="B30" i="11"/>
  <c r="A30" i="11"/>
  <c r="AC29" i="11"/>
  <c r="AA29" i="11"/>
  <c r="Y29" i="11"/>
  <c r="AD29" i="11" s="1"/>
  <c r="X29" i="11"/>
  <c r="W29" i="11"/>
  <c r="V29" i="11"/>
  <c r="U29" i="11"/>
  <c r="T29" i="11"/>
  <c r="S29" i="11"/>
  <c r="R29" i="11"/>
  <c r="Q29" i="11"/>
  <c r="P29" i="11"/>
  <c r="O29" i="11"/>
  <c r="N29" i="11"/>
  <c r="M29" i="11"/>
  <c r="L29" i="11"/>
  <c r="K29" i="11"/>
  <c r="J29" i="11"/>
  <c r="I29" i="11"/>
  <c r="H29" i="11"/>
  <c r="G29" i="11"/>
  <c r="F29" i="11"/>
  <c r="E29" i="11"/>
  <c r="D29" i="11"/>
  <c r="C29" i="11"/>
  <c r="B29" i="11"/>
  <c r="A29" i="11"/>
  <c r="AE29" i="11" s="1"/>
  <c r="AE28" i="11"/>
  <c r="AD28" i="11"/>
  <c r="AC28" i="11"/>
  <c r="AA28" i="11"/>
  <c r="Z28" i="11"/>
  <c r="Y28" i="11"/>
  <c r="X28" i="11"/>
  <c r="W28" i="11"/>
  <c r="V28" i="11"/>
  <c r="U28" i="11"/>
  <c r="T28" i="11"/>
  <c r="S28" i="11"/>
  <c r="R28" i="11"/>
  <c r="Q28" i="11"/>
  <c r="P28" i="11"/>
  <c r="O28" i="11"/>
  <c r="N28" i="11"/>
  <c r="M28" i="11"/>
  <c r="L28" i="11"/>
  <c r="K28" i="11"/>
  <c r="J28" i="11"/>
  <c r="I28" i="11"/>
  <c r="H28" i="11"/>
  <c r="G28" i="11"/>
  <c r="F28" i="11"/>
  <c r="E28" i="11"/>
  <c r="D28" i="11"/>
  <c r="C28" i="11"/>
  <c r="B28" i="11"/>
  <c r="A28" i="11"/>
  <c r="AC27" i="11"/>
  <c r="Y27" i="11" s="1"/>
  <c r="AA27" i="11"/>
  <c r="X27" i="11"/>
  <c r="W27" i="11"/>
  <c r="V27" i="11"/>
  <c r="U27" i="11"/>
  <c r="T27" i="11"/>
  <c r="S27" i="11"/>
  <c r="R27" i="11"/>
  <c r="Q27" i="11"/>
  <c r="P27" i="11"/>
  <c r="O27" i="11"/>
  <c r="N27" i="11"/>
  <c r="M27" i="11"/>
  <c r="L27" i="11"/>
  <c r="K27" i="11"/>
  <c r="J27" i="11"/>
  <c r="I27" i="11"/>
  <c r="H27" i="11"/>
  <c r="G27" i="11"/>
  <c r="F27" i="11"/>
  <c r="E27" i="11"/>
  <c r="D27" i="11"/>
  <c r="C27" i="11"/>
  <c r="B27" i="11"/>
  <c r="A27" i="11"/>
  <c r="AE27" i="11" s="1"/>
  <c r="AE26" i="11"/>
  <c r="AC26" i="11"/>
  <c r="AA26" i="11"/>
  <c r="Z26" i="11"/>
  <c r="Y26" i="11"/>
  <c r="AD26" i="11" s="1"/>
  <c r="X26" i="11"/>
  <c r="W26" i="11"/>
  <c r="V26" i="11"/>
  <c r="U26" i="11"/>
  <c r="T26" i="11"/>
  <c r="S26" i="11"/>
  <c r="R26" i="11"/>
  <c r="Q26" i="11"/>
  <c r="P26" i="11"/>
  <c r="O26" i="11"/>
  <c r="N26" i="11"/>
  <c r="M26" i="11"/>
  <c r="L26" i="11"/>
  <c r="K26" i="11"/>
  <c r="J26" i="11"/>
  <c r="I26" i="11"/>
  <c r="H26" i="11"/>
  <c r="G26" i="11"/>
  <c r="F26" i="11"/>
  <c r="E26" i="11"/>
  <c r="D26" i="11"/>
  <c r="C26" i="11"/>
  <c r="B26" i="11"/>
  <c r="A26" i="11"/>
  <c r="AC25" i="11"/>
  <c r="AA25" i="11"/>
  <c r="Y25" i="11"/>
  <c r="AD25" i="11" s="1"/>
  <c r="X25" i="11"/>
  <c r="W25" i="11"/>
  <c r="V25" i="11"/>
  <c r="U25" i="11"/>
  <c r="T25" i="11"/>
  <c r="S25" i="11"/>
  <c r="R25" i="11"/>
  <c r="Q25" i="11"/>
  <c r="P25" i="11"/>
  <c r="O25" i="11"/>
  <c r="N25" i="11"/>
  <c r="M25" i="11"/>
  <c r="L25" i="11"/>
  <c r="K25" i="11"/>
  <c r="J25" i="11"/>
  <c r="I25" i="11"/>
  <c r="H25" i="11"/>
  <c r="G25" i="11"/>
  <c r="F25" i="11"/>
  <c r="E25" i="11"/>
  <c r="D25" i="11"/>
  <c r="C25" i="11"/>
  <c r="B25" i="11"/>
  <c r="A25" i="11"/>
  <c r="AE25" i="11" s="1"/>
  <c r="AE24" i="11"/>
  <c r="AD24" i="11"/>
  <c r="AC24" i="11"/>
  <c r="AA24" i="11"/>
  <c r="Z24" i="11"/>
  <c r="Y24" i="11"/>
  <c r="X24" i="11"/>
  <c r="W24" i="11"/>
  <c r="V24" i="11"/>
  <c r="U24" i="11"/>
  <c r="T24" i="11"/>
  <c r="S24" i="11"/>
  <c r="R24" i="11"/>
  <c r="Q24" i="11"/>
  <c r="P24" i="11"/>
  <c r="O24" i="11"/>
  <c r="N24" i="11"/>
  <c r="M24" i="11"/>
  <c r="L24" i="11"/>
  <c r="K24" i="11"/>
  <c r="J24" i="11"/>
  <c r="I24" i="11"/>
  <c r="H24" i="11"/>
  <c r="G24" i="11"/>
  <c r="F24" i="11"/>
  <c r="E24" i="11"/>
  <c r="D24" i="11"/>
  <c r="C24" i="11"/>
  <c r="B24" i="11"/>
  <c r="A24" i="11"/>
  <c r="AC23" i="11"/>
  <c r="Y23" i="11" s="1"/>
  <c r="AA23" i="11"/>
  <c r="X23" i="11"/>
  <c r="W23" i="11"/>
  <c r="V23" i="11"/>
  <c r="U23" i="11"/>
  <c r="T23" i="11"/>
  <c r="S23" i="11"/>
  <c r="R23" i="11"/>
  <c r="Q23" i="11"/>
  <c r="P23" i="11"/>
  <c r="O23" i="11"/>
  <c r="N23" i="11"/>
  <c r="M23" i="11"/>
  <c r="L23" i="11"/>
  <c r="K23" i="11"/>
  <c r="J23" i="11"/>
  <c r="I23" i="11"/>
  <c r="H23" i="11"/>
  <c r="G23" i="11"/>
  <c r="F23" i="11"/>
  <c r="D23" i="11"/>
  <c r="C23" i="11"/>
  <c r="B23" i="11"/>
  <c r="A23" i="11"/>
  <c r="AE23" i="11" s="1"/>
  <c r="AC22" i="11"/>
  <c r="AA22" i="11"/>
  <c r="Y22" i="11"/>
  <c r="AD22" i="11" s="1"/>
  <c r="X22" i="11"/>
  <c r="W22" i="11"/>
  <c r="V22" i="11"/>
  <c r="U22" i="11"/>
  <c r="T22" i="11"/>
  <c r="S22" i="11"/>
  <c r="R22" i="11"/>
  <c r="Q22" i="11"/>
  <c r="P22" i="11"/>
  <c r="O22" i="11"/>
  <c r="N22" i="11"/>
  <c r="M22" i="11"/>
  <c r="L22" i="11"/>
  <c r="K22" i="11"/>
  <c r="J22" i="11"/>
  <c r="I22" i="11"/>
  <c r="H22" i="11"/>
  <c r="G22" i="11"/>
  <c r="F22" i="11"/>
  <c r="E22" i="11"/>
  <c r="D22" i="11"/>
  <c r="C22" i="11"/>
  <c r="B22" i="11"/>
  <c r="A22" i="11"/>
  <c r="AE22" i="11" s="1"/>
  <c r="AC21" i="11"/>
  <c r="AA21" i="11"/>
  <c r="Z21" i="11"/>
  <c r="Y21" i="11"/>
  <c r="AD21" i="11" s="1"/>
  <c r="X21" i="11"/>
  <c r="W21" i="11"/>
  <c r="V21" i="11"/>
  <c r="U21" i="11"/>
  <c r="T21" i="11"/>
  <c r="S21" i="11"/>
  <c r="R21" i="11"/>
  <c r="Q21" i="11"/>
  <c r="P21" i="11"/>
  <c r="O21" i="11"/>
  <c r="N21" i="11"/>
  <c r="M21" i="11"/>
  <c r="L21" i="11"/>
  <c r="K21" i="11"/>
  <c r="J21" i="11"/>
  <c r="I21" i="11"/>
  <c r="H21" i="11"/>
  <c r="G21" i="11"/>
  <c r="F21" i="11"/>
  <c r="E21" i="11"/>
  <c r="D21" i="11"/>
  <c r="C21" i="11"/>
  <c r="B21" i="11"/>
  <c r="A21" i="11"/>
  <c r="AE21" i="11" s="1"/>
  <c r="AE20" i="11"/>
  <c r="AD20" i="11"/>
  <c r="AC20" i="11"/>
  <c r="AA20" i="11"/>
  <c r="Y20" i="11"/>
  <c r="Z20" i="11" s="1"/>
  <c r="X20" i="11"/>
  <c r="W20" i="11"/>
  <c r="V20" i="11"/>
  <c r="U20" i="11"/>
  <c r="T20" i="11"/>
  <c r="S20" i="11"/>
  <c r="R20" i="11"/>
  <c r="Q20" i="11"/>
  <c r="P20" i="11"/>
  <c r="O20" i="11"/>
  <c r="N20" i="11"/>
  <c r="M20" i="11"/>
  <c r="L20" i="11"/>
  <c r="K20" i="11"/>
  <c r="J20" i="11"/>
  <c r="I20" i="11"/>
  <c r="H20" i="11"/>
  <c r="G20" i="11"/>
  <c r="F20" i="11"/>
  <c r="E20" i="11"/>
  <c r="D20" i="11"/>
  <c r="C20" i="11"/>
  <c r="B20" i="11"/>
  <c r="A20" i="11"/>
  <c r="AC19" i="11"/>
  <c r="Y19" i="11" s="1"/>
  <c r="AA19" i="11"/>
  <c r="X19" i="11"/>
  <c r="W19" i="11"/>
  <c r="V19" i="11"/>
  <c r="U19" i="11"/>
  <c r="T19" i="11"/>
  <c r="S19" i="11"/>
  <c r="R19" i="11"/>
  <c r="Q19" i="11"/>
  <c r="P19" i="11"/>
  <c r="O19" i="11"/>
  <c r="N19" i="11"/>
  <c r="M19" i="11"/>
  <c r="L19" i="11"/>
  <c r="K19" i="11"/>
  <c r="J19" i="11"/>
  <c r="I19" i="11"/>
  <c r="H19" i="11"/>
  <c r="G19" i="11"/>
  <c r="F19" i="11"/>
  <c r="E19" i="11"/>
  <c r="D19" i="11"/>
  <c r="C19" i="11"/>
  <c r="B19" i="11"/>
  <c r="A19" i="11"/>
  <c r="AE19" i="11" s="1"/>
  <c r="AC17" i="11"/>
  <c r="AA17" i="11"/>
  <c r="Z17" i="11"/>
  <c r="Y17" i="11"/>
  <c r="AD17" i="11" s="1"/>
  <c r="X17" i="11"/>
  <c r="W17" i="11"/>
  <c r="V17" i="11"/>
  <c r="U17" i="11"/>
  <c r="T17" i="11"/>
  <c r="S17" i="11"/>
  <c r="R17" i="11"/>
  <c r="Q17" i="11"/>
  <c r="P17" i="11"/>
  <c r="O17" i="11"/>
  <c r="N17" i="11"/>
  <c r="M17" i="11"/>
  <c r="L17" i="11"/>
  <c r="K17" i="11"/>
  <c r="J17" i="11"/>
  <c r="I17" i="11"/>
  <c r="H17" i="11"/>
  <c r="G17" i="11"/>
  <c r="AA16" i="11"/>
  <c r="Y16" i="11"/>
  <c r="Z16" i="11" s="1"/>
  <c r="X16" i="11"/>
  <c r="W16" i="11"/>
  <c r="V16" i="11"/>
  <c r="U16" i="11"/>
  <c r="T16" i="11"/>
  <c r="S16" i="11"/>
  <c r="R16" i="11"/>
  <c r="Q16" i="11"/>
  <c r="P16" i="11"/>
  <c r="O16" i="11"/>
  <c r="N16" i="11"/>
  <c r="M16" i="11"/>
  <c r="L16" i="11"/>
  <c r="K16" i="11"/>
  <c r="J16" i="11"/>
  <c r="I16" i="11"/>
  <c r="H16" i="11"/>
  <c r="G16" i="11"/>
  <c r="E16" i="11"/>
  <c r="D16" i="11"/>
  <c r="C16" i="11"/>
  <c r="B16" i="11"/>
  <c r="AC15" i="11"/>
  <c r="AA15" i="11"/>
  <c r="Y15" i="11"/>
  <c r="Z15" i="11" s="1"/>
  <c r="X15" i="11"/>
  <c r="W15" i="11"/>
  <c r="V15" i="11"/>
  <c r="U15" i="11"/>
  <c r="T15" i="11"/>
  <c r="S15" i="11"/>
  <c r="R15" i="11"/>
  <c r="Q15" i="11"/>
  <c r="P15" i="11"/>
  <c r="O15" i="11"/>
  <c r="N15" i="11"/>
  <c r="M15" i="11"/>
  <c r="L15" i="11"/>
  <c r="K15" i="11"/>
  <c r="J15" i="11"/>
  <c r="I15" i="11"/>
  <c r="H15" i="11"/>
  <c r="G15" i="11"/>
  <c r="E15" i="11"/>
  <c r="D15" i="11"/>
  <c r="C15" i="11"/>
  <c r="B15" i="11"/>
  <c r="A15" i="11"/>
  <c r="AE15" i="11" s="1"/>
  <c r="AE14" i="11"/>
  <c r="AC14" i="11"/>
  <c r="AA14" i="11"/>
  <c r="Z14" i="11"/>
  <c r="Y14" i="11"/>
  <c r="AD14" i="11" s="1"/>
  <c r="X14" i="11"/>
  <c r="W14" i="11"/>
  <c r="V14" i="11"/>
  <c r="U14" i="11"/>
  <c r="T14" i="11"/>
  <c r="S14" i="11"/>
  <c r="R14" i="11"/>
  <c r="Q14" i="11"/>
  <c r="P14" i="11"/>
  <c r="O14" i="11"/>
  <c r="N14" i="11"/>
  <c r="M14" i="11"/>
  <c r="L14" i="11"/>
  <c r="K14" i="11"/>
  <c r="J14" i="11"/>
  <c r="I14" i="11"/>
  <c r="H14" i="11"/>
  <c r="G14" i="11"/>
  <c r="E14" i="11"/>
  <c r="D14" i="11"/>
  <c r="C14" i="11"/>
  <c r="B14" i="11"/>
  <c r="A14" i="11"/>
  <c r="AC13" i="11"/>
  <c r="Y13" i="11" s="1"/>
  <c r="AA13" i="11"/>
  <c r="X13" i="11"/>
  <c r="W13" i="11"/>
  <c r="V13" i="11"/>
  <c r="U13" i="11"/>
  <c r="T13" i="11"/>
  <c r="S13" i="11"/>
  <c r="R13" i="11"/>
  <c r="Q13" i="11"/>
  <c r="P13" i="11"/>
  <c r="O13" i="11"/>
  <c r="N13" i="11"/>
  <c r="M13" i="11"/>
  <c r="L13" i="11"/>
  <c r="K13" i="11"/>
  <c r="J13" i="11"/>
  <c r="I13" i="11"/>
  <c r="H13" i="11"/>
  <c r="G13" i="11"/>
  <c r="F13" i="11"/>
  <c r="E13" i="11"/>
  <c r="D13" i="11"/>
  <c r="C13" i="11"/>
  <c r="B13" i="11"/>
  <c r="A13" i="11"/>
  <c r="AE13" i="11" s="1"/>
  <c r="AC12" i="11"/>
  <c r="AA12" i="11"/>
  <c r="Y12" i="11"/>
  <c r="Z12" i="11" s="1"/>
  <c r="X12" i="11"/>
  <c r="W12" i="11"/>
  <c r="V12" i="11"/>
  <c r="U12" i="11"/>
  <c r="T12" i="11"/>
  <c r="S12" i="11"/>
  <c r="R12" i="11"/>
  <c r="Q12" i="11"/>
  <c r="P12" i="11"/>
  <c r="O12" i="11"/>
  <c r="N12" i="11"/>
  <c r="M12" i="11"/>
  <c r="L12" i="11"/>
  <c r="K12" i="11"/>
  <c r="J12" i="11"/>
  <c r="I12" i="11"/>
  <c r="H12" i="11"/>
  <c r="G12" i="11"/>
  <c r="F12" i="11"/>
  <c r="E12" i="11"/>
  <c r="D12" i="11"/>
  <c r="C12" i="11"/>
  <c r="B12" i="11"/>
  <c r="A12" i="11"/>
  <c r="AE12" i="11" s="1"/>
  <c r="AC11" i="11"/>
  <c r="Y11" i="11" s="1"/>
  <c r="AA11" i="11"/>
  <c r="X11" i="11"/>
  <c r="W11" i="11"/>
  <c r="V11" i="11"/>
  <c r="U11" i="11"/>
  <c r="T11" i="11"/>
  <c r="S11" i="11"/>
  <c r="R11" i="11"/>
  <c r="Q11" i="11"/>
  <c r="P11" i="11"/>
  <c r="O11" i="11"/>
  <c r="N11" i="11"/>
  <c r="M11" i="11"/>
  <c r="L11" i="11"/>
  <c r="K11" i="11"/>
  <c r="J11" i="11"/>
  <c r="I11" i="11"/>
  <c r="H11" i="11"/>
  <c r="G11" i="11"/>
  <c r="F11" i="11"/>
  <c r="E11" i="11"/>
  <c r="D11" i="11"/>
  <c r="C11" i="11"/>
  <c r="B11" i="11"/>
  <c r="A11" i="11"/>
  <c r="AE11" i="11" s="1"/>
  <c r="AE10" i="11"/>
  <c r="AD10" i="11"/>
  <c r="AC10" i="11"/>
  <c r="AA10" i="11"/>
  <c r="Y10" i="11"/>
  <c r="Z10" i="11" s="1"/>
  <c r="X10" i="11"/>
  <c r="W10" i="11"/>
  <c r="V10" i="11"/>
  <c r="U10" i="11"/>
  <c r="T10" i="11"/>
  <c r="S10" i="11"/>
  <c r="R10" i="11"/>
  <c r="Q10" i="11"/>
  <c r="P10" i="11"/>
  <c r="O10" i="11"/>
  <c r="N10" i="11"/>
  <c r="M10" i="11"/>
  <c r="L10" i="11"/>
  <c r="K10" i="11"/>
  <c r="J10" i="11"/>
  <c r="I10" i="11"/>
  <c r="H10" i="11"/>
  <c r="G10" i="11"/>
  <c r="F10" i="11"/>
  <c r="E10" i="11"/>
  <c r="D10" i="11"/>
  <c r="C10" i="11"/>
  <c r="B10" i="11"/>
  <c r="A10" i="11"/>
  <c r="AC9" i="11"/>
  <c r="Y9" i="11" s="1"/>
  <c r="AA9" i="11"/>
  <c r="X9" i="11"/>
  <c r="W9" i="11"/>
  <c r="V9" i="11"/>
  <c r="U9" i="11"/>
  <c r="T9" i="11"/>
  <c r="S9" i="11"/>
  <c r="R9" i="11"/>
  <c r="Q9" i="11"/>
  <c r="P9" i="11"/>
  <c r="O9" i="11"/>
  <c r="N9" i="11"/>
  <c r="M9" i="11"/>
  <c r="L9" i="11"/>
  <c r="K9" i="11"/>
  <c r="J9" i="11"/>
  <c r="I9" i="11"/>
  <c r="H9" i="11"/>
  <c r="G9" i="11"/>
  <c r="F9" i="11"/>
  <c r="E9" i="11"/>
  <c r="D9" i="11"/>
  <c r="C9" i="11"/>
  <c r="B9" i="11"/>
  <c r="A9" i="11"/>
  <c r="AE9" i="11" s="1"/>
  <c r="AC8" i="11"/>
  <c r="AA8" i="11"/>
  <c r="Y8" i="11"/>
  <c r="AD8" i="11" s="1"/>
  <c r="X8" i="11"/>
  <c r="W8" i="11"/>
  <c r="V8" i="11"/>
  <c r="U8" i="11"/>
  <c r="T8" i="11"/>
  <c r="S8" i="11"/>
  <c r="R8" i="11"/>
  <c r="Q8" i="11"/>
  <c r="P8" i="11"/>
  <c r="O8" i="11"/>
  <c r="N8" i="11"/>
  <c r="M8" i="11"/>
  <c r="L8" i="11"/>
  <c r="K8" i="11"/>
  <c r="J8" i="11"/>
  <c r="I8" i="11"/>
  <c r="H8" i="11"/>
  <c r="G8" i="11"/>
  <c r="F8" i="11"/>
  <c r="E8" i="11"/>
  <c r="D8" i="11"/>
  <c r="C8" i="11"/>
  <c r="B8" i="11"/>
  <c r="A8" i="11"/>
  <c r="AE8" i="11" s="1"/>
  <c r="AC7" i="11"/>
  <c r="AA7" i="11"/>
  <c r="Y7" i="11"/>
  <c r="AD7" i="11" s="1"/>
  <c r="X7" i="11"/>
  <c r="W7" i="11"/>
  <c r="V7" i="11"/>
  <c r="U7" i="11"/>
  <c r="T7" i="11"/>
  <c r="S7" i="11"/>
  <c r="R7" i="11"/>
  <c r="Q7" i="11"/>
  <c r="P7" i="11"/>
  <c r="O7" i="11"/>
  <c r="N7" i="11"/>
  <c r="M7" i="11"/>
  <c r="L7" i="11"/>
  <c r="K7" i="11"/>
  <c r="J7" i="11"/>
  <c r="I7" i="11"/>
  <c r="H7" i="11"/>
  <c r="G7" i="11"/>
  <c r="F7" i="11"/>
  <c r="E7" i="11"/>
  <c r="D7" i="11"/>
  <c r="C7" i="11"/>
  <c r="B7" i="11"/>
  <c r="A7" i="11"/>
  <c r="AE7" i="11" s="1"/>
  <c r="AE6" i="11"/>
  <c r="AD6" i="11"/>
  <c r="AC6" i="11"/>
  <c r="AA6" i="11"/>
  <c r="Y6" i="11"/>
  <c r="Z6" i="11" s="1"/>
  <c r="X6" i="11"/>
  <c r="W6" i="11"/>
  <c r="V6" i="11"/>
  <c r="U6" i="11"/>
  <c r="T6" i="11"/>
  <c r="S6" i="11"/>
  <c r="R6" i="11"/>
  <c r="Q6" i="11"/>
  <c r="P6" i="11"/>
  <c r="O6" i="11"/>
  <c r="N6" i="11"/>
  <c r="M6" i="11"/>
  <c r="L6" i="11"/>
  <c r="K6" i="11"/>
  <c r="J6" i="11"/>
  <c r="I6" i="11"/>
  <c r="H6" i="11"/>
  <c r="G6" i="11"/>
  <c r="F6" i="11"/>
  <c r="E6" i="11"/>
  <c r="A6" i="11"/>
  <c r="W4" i="11"/>
  <c r="V4" i="11"/>
  <c r="U4" i="11"/>
  <c r="T4" i="11"/>
  <c r="S4" i="11"/>
  <c r="R4" i="11"/>
  <c r="Q4" i="11"/>
  <c r="P4" i="11"/>
  <c r="O4" i="11"/>
  <c r="N4" i="11"/>
  <c r="M4" i="11"/>
  <c r="L4" i="11"/>
  <c r="K4" i="11"/>
  <c r="J4" i="11"/>
  <c r="I4" i="11"/>
  <c r="H4" i="11"/>
  <c r="G4" i="11"/>
  <c r="W3" i="11"/>
  <c r="S3" i="11"/>
  <c r="Q3" i="11"/>
  <c r="K3" i="11"/>
  <c r="H3" i="11"/>
  <c r="AJ21" i="12" l="1"/>
  <c r="U10" i="12"/>
  <c r="Z31" i="12"/>
  <c r="R31" i="12"/>
  <c r="J31" i="12"/>
  <c r="X31" i="12"/>
  <c r="P31" i="12"/>
  <c r="H31" i="12"/>
  <c r="V31" i="12"/>
  <c r="L31" i="12"/>
  <c r="AG31" i="12"/>
  <c r="T31" i="12"/>
  <c r="I31" i="12"/>
  <c r="AE31" i="12"/>
  <c r="S31" i="12"/>
  <c r="G31" i="12"/>
  <c r="Q31" i="12"/>
  <c r="W31" i="12"/>
  <c r="M31" i="12"/>
  <c r="Y36" i="12"/>
  <c r="Q36" i="12"/>
  <c r="I36" i="12"/>
  <c r="W36" i="12"/>
  <c r="O36" i="12"/>
  <c r="G36" i="12"/>
  <c r="V36" i="12"/>
  <c r="L36" i="12"/>
  <c r="U36" i="12"/>
  <c r="K36" i="12"/>
  <c r="AG36" i="12"/>
  <c r="T36" i="12"/>
  <c r="J36" i="12"/>
  <c r="AE36" i="12"/>
  <c r="S36" i="12"/>
  <c r="H36" i="12"/>
  <c r="R36" i="12"/>
  <c r="X36" i="12"/>
  <c r="M36" i="12"/>
  <c r="J6" i="12"/>
  <c r="R6" i="12"/>
  <c r="Z6" i="12"/>
  <c r="G7" i="12"/>
  <c r="O7" i="12"/>
  <c r="W7" i="12"/>
  <c r="M8" i="12"/>
  <c r="U8" i="12"/>
  <c r="K9" i="12"/>
  <c r="K17" i="12" s="1"/>
  <c r="S9" i="12"/>
  <c r="AA9" i="12"/>
  <c r="AD9" i="12" s="1"/>
  <c r="AI9" i="12" s="1"/>
  <c r="G10" i="12"/>
  <c r="O10" i="12"/>
  <c r="W10" i="12"/>
  <c r="W17" i="12" s="1"/>
  <c r="K11" i="12"/>
  <c r="L13" i="12"/>
  <c r="X13" i="12"/>
  <c r="O16" i="12"/>
  <c r="AE16" i="12"/>
  <c r="X19" i="12"/>
  <c r="X44" i="12" s="1"/>
  <c r="X43" i="12" s="1"/>
  <c r="P19" i="12"/>
  <c r="H19" i="12"/>
  <c r="W19" i="12"/>
  <c r="O19" i="12"/>
  <c r="G19" i="12"/>
  <c r="AA19" i="12"/>
  <c r="S19" i="12"/>
  <c r="K19" i="12"/>
  <c r="R19" i="12"/>
  <c r="AG19" i="12"/>
  <c r="N21" i="12"/>
  <c r="I22" i="12"/>
  <c r="U22" i="12"/>
  <c r="T26" i="12"/>
  <c r="L26" i="12"/>
  <c r="Z26" i="12"/>
  <c r="R26" i="12"/>
  <c r="J26" i="12"/>
  <c r="U26" i="12"/>
  <c r="I26" i="12"/>
  <c r="AG26" i="12"/>
  <c r="S26" i="12"/>
  <c r="H26" i="12"/>
  <c r="AE26" i="12"/>
  <c r="Q26" i="12"/>
  <c r="G26" i="12"/>
  <c r="X26" i="12"/>
  <c r="N26" i="12"/>
  <c r="Y26" i="12"/>
  <c r="AD26" i="12" s="1"/>
  <c r="AI26" i="12" s="1"/>
  <c r="Z28" i="12"/>
  <c r="R28" i="12"/>
  <c r="J28" i="12"/>
  <c r="X28" i="12"/>
  <c r="P28" i="12"/>
  <c r="H28" i="12"/>
  <c r="Y28" i="12"/>
  <c r="N28" i="12"/>
  <c r="W28" i="12"/>
  <c r="M28" i="12"/>
  <c r="M40" i="12" s="1"/>
  <c r="V28" i="12"/>
  <c r="L28" i="12"/>
  <c r="AE28" i="12"/>
  <c r="S28" i="12"/>
  <c r="G28" i="12"/>
  <c r="AA28" i="12"/>
  <c r="I42" i="12"/>
  <c r="R42" i="12"/>
  <c r="H10" i="12"/>
  <c r="K31" i="12"/>
  <c r="N36" i="12"/>
  <c r="Q42" i="12"/>
  <c r="N7" i="12"/>
  <c r="V7" i="12"/>
  <c r="AG7" i="12"/>
  <c r="N10" i="12"/>
  <c r="N17" i="12" s="1"/>
  <c r="V10" i="12"/>
  <c r="V17" i="12" s="1"/>
  <c r="AG10" i="12"/>
  <c r="P10" i="12"/>
  <c r="P17" i="12" s="1"/>
  <c r="X10" i="12"/>
  <c r="W12" i="12"/>
  <c r="O12" i="12"/>
  <c r="G12" i="12"/>
  <c r="AG12" i="12"/>
  <c r="V12" i="12"/>
  <c r="N12" i="12"/>
  <c r="Z12" i="12"/>
  <c r="AJ12" i="12" s="1"/>
  <c r="R12" i="12"/>
  <c r="J12" i="12"/>
  <c r="Q12" i="12"/>
  <c r="Q17" i="12" s="1"/>
  <c r="AE12" i="12"/>
  <c r="I7" i="12"/>
  <c r="Q7" i="12"/>
  <c r="Y7" i="12"/>
  <c r="M9" i="12"/>
  <c r="U9" i="12"/>
  <c r="AE9" i="12"/>
  <c r="I10" i="12"/>
  <c r="I17" i="12" s="1"/>
  <c r="Q10" i="12"/>
  <c r="Y10" i="12"/>
  <c r="AA11" i="12"/>
  <c r="S11" i="12"/>
  <c r="Z11" i="12"/>
  <c r="AJ11" i="12" s="1"/>
  <c r="AG11" i="12"/>
  <c r="V11" i="12"/>
  <c r="M11" i="12"/>
  <c r="W11" i="12"/>
  <c r="S12" i="12"/>
  <c r="S42" i="12" s="1"/>
  <c r="T21" i="12"/>
  <c r="L21" i="12"/>
  <c r="AA21" i="12"/>
  <c r="AD21" i="12" s="1"/>
  <c r="AI21" i="12" s="1"/>
  <c r="S21" i="12"/>
  <c r="K21" i="12"/>
  <c r="W21" i="12"/>
  <c r="O21" i="12"/>
  <c r="G21" i="12"/>
  <c r="Q21" i="12"/>
  <c r="AG21" i="12"/>
  <c r="L22" i="12"/>
  <c r="Y22" i="12"/>
  <c r="N31" i="12"/>
  <c r="P36" i="12"/>
  <c r="M7" i="12"/>
  <c r="AE7" i="12"/>
  <c r="M10" i="12"/>
  <c r="AE10" i="12"/>
  <c r="T17" i="12"/>
  <c r="H7" i="12"/>
  <c r="X7" i="12"/>
  <c r="J10" i="12"/>
  <c r="J17" i="12" s="1"/>
  <c r="R10" i="12"/>
  <c r="R17" i="12" s="1"/>
  <c r="Z10" i="12"/>
  <c r="AJ10" i="12" s="1"/>
  <c r="AJ14" i="12" s="1"/>
  <c r="H12" i="12"/>
  <c r="H17" i="12" s="1"/>
  <c r="T12" i="12"/>
  <c r="AA13" i="12"/>
  <c r="AB13" i="12" s="1"/>
  <c r="S13" i="12"/>
  <c r="K13" i="12"/>
  <c r="Z13" i="12"/>
  <c r="AJ13" i="12" s="1"/>
  <c r="R13" i="12"/>
  <c r="J13" i="12"/>
  <c r="AE13" i="12"/>
  <c r="V13" i="12"/>
  <c r="N13" i="12"/>
  <c r="P13" i="12"/>
  <c r="Y16" i="12"/>
  <c r="AD16" i="12" s="1"/>
  <c r="Q16" i="12"/>
  <c r="I16" i="12"/>
  <c r="X16" i="12"/>
  <c r="P16" i="12"/>
  <c r="H16" i="12"/>
  <c r="T16" i="12"/>
  <c r="L16" i="12"/>
  <c r="U16" i="12"/>
  <c r="R21" i="12"/>
  <c r="M22" i="12"/>
  <c r="AA22" i="12"/>
  <c r="O31" i="12"/>
  <c r="Z36" i="12"/>
  <c r="U7" i="12"/>
  <c r="P7" i="12"/>
  <c r="P42" i="12" s="1"/>
  <c r="J7" i="12"/>
  <c r="R7" i="12"/>
  <c r="Z7" i="12"/>
  <c r="N6" i="12"/>
  <c r="V6" i="12"/>
  <c r="K7" i="12"/>
  <c r="S7" i="12"/>
  <c r="AA7" i="12"/>
  <c r="G9" i="12"/>
  <c r="G17" i="12" s="1"/>
  <c r="O9" i="12"/>
  <c r="K10" i="12"/>
  <c r="S10" i="12"/>
  <c r="S17" i="12" s="1"/>
  <c r="AA10" i="12"/>
  <c r="G11" i="12"/>
  <c r="O11" i="12"/>
  <c r="Y11" i="12"/>
  <c r="AD11" i="12" s="1"/>
  <c r="AI11" i="12" s="1"/>
  <c r="I12" i="12"/>
  <c r="U12" i="12"/>
  <c r="Q13" i="12"/>
  <c r="AG13" i="12"/>
  <c r="J16" i="12"/>
  <c r="V16" i="12"/>
  <c r="L19" i="12"/>
  <c r="Y19" i="12"/>
  <c r="H21" i="12"/>
  <c r="U21" i="12"/>
  <c r="Y25" i="12"/>
  <c r="AD25" i="12" s="1"/>
  <c r="AI25" i="12" s="1"/>
  <c r="W25" i="12"/>
  <c r="O25" i="12"/>
  <c r="R25" i="12"/>
  <c r="I25" i="12"/>
  <c r="AA25" i="12"/>
  <c r="Q25" i="12"/>
  <c r="H25" i="12"/>
  <c r="Z25" i="12"/>
  <c r="P25" i="12"/>
  <c r="P40" i="12" s="1"/>
  <c r="G25" i="12"/>
  <c r="U25" i="12"/>
  <c r="L25" i="12"/>
  <c r="V25" i="12"/>
  <c r="O26" i="12"/>
  <c r="O28" i="12"/>
  <c r="AK29" i="12"/>
  <c r="U31" i="12"/>
  <c r="AA36" i="12"/>
  <c r="L7" i="12"/>
  <c r="L10" i="12"/>
  <c r="L17" i="12" s="1"/>
  <c r="K12" i="12"/>
  <c r="X12" i="12"/>
  <c r="X17" i="12" s="1"/>
  <c r="Z44" i="12"/>
  <c r="AH19" i="12"/>
  <c r="W22" i="12"/>
  <c r="O22" i="12"/>
  <c r="G22" i="12"/>
  <c r="AG22" i="12"/>
  <c r="V22" i="12"/>
  <c r="V40" i="12" s="1"/>
  <c r="N22" i="12"/>
  <c r="N44" i="12" s="1"/>
  <c r="Z22" i="12"/>
  <c r="Z40" i="12" s="1"/>
  <c r="R22" i="12"/>
  <c r="J22" i="12"/>
  <c r="Q22" i="12"/>
  <c r="AE22" i="12"/>
  <c r="AH29" i="12"/>
  <c r="Y31" i="12"/>
  <c r="AD31" i="12" s="1"/>
  <c r="AI31" i="12" s="1"/>
  <c r="J14" i="12"/>
  <c r="R14" i="12"/>
  <c r="Z14" i="12"/>
  <c r="N15" i="12"/>
  <c r="V15" i="12"/>
  <c r="H20" i="12"/>
  <c r="P20" i="12"/>
  <c r="X20" i="12"/>
  <c r="N23" i="12"/>
  <c r="V23" i="12"/>
  <c r="AG23" i="12"/>
  <c r="I24" i="12"/>
  <c r="I40" i="12" s="1"/>
  <c r="Q24" i="12"/>
  <c r="Y24" i="12"/>
  <c r="AD24" i="12" s="1"/>
  <c r="AI24" i="12" s="1"/>
  <c r="AH27" i="12"/>
  <c r="Q33" i="12"/>
  <c r="AA33" i="12"/>
  <c r="AD33" i="12" s="1"/>
  <c r="AI33" i="12" s="1"/>
  <c r="H34" i="12"/>
  <c r="T34" i="12"/>
  <c r="AG34" i="12"/>
  <c r="J35" i="12"/>
  <c r="P37" i="12"/>
  <c r="AA37" i="12"/>
  <c r="L39" i="12"/>
  <c r="V39" i="12"/>
  <c r="G50" i="12"/>
  <c r="G53" i="12" s="1"/>
  <c r="AE50" i="12"/>
  <c r="J33" i="12"/>
  <c r="T33" i="12"/>
  <c r="M34" i="12"/>
  <c r="W34" i="12"/>
  <c r="AG35" i="12"/>
  <c r="V35" i="12"/>
  <c r="N35" i="12"/>
  <c r="T35" i="12"/>
  <c r="L35" i="12"/>
  <c r="O35" i="12"/>
  <c r="Y35" i="12"/>
  <c r="I37" i="12"/>
  <c r="U37" i="12"/>
  <c r="AJ38" i="12"/>
  <c r="O39" i="12"/>
  <c r="O50" i="12"/>
  <c r="AA52" i="12"/>
  <c r="S52" i="12"/>
  <c r="K52" i="12"/>
  <c r="Z52" i="12"/>
  <c r="R52" i="12"/>
  <c r="J52" i="12"/>
  <c r="Y52" i="12"/>
  <c r="Q52" i="12"/>
  <c r="I52" i="12"/>
  <c r="W52" i="12"/>
  <c r="O52" i="12"/>
  <c r="G52" i="12"/>
  <c r="AE52" i="12"/>
  <c r="U52" i="12"/>
  <c r="M52" i="12"/>
  <c r="AD52" i="12"/>
  <c r="N14" i="12"/>
  <c r="V14" i="12"/>
  <c r="AG14" i="12"/>
  <c r="J15" i="12"/>
  <c r="J42" i="12" s="1"/>
  <c r="R15" i="12"/>
  <c r="Z15" i="12"/>
  <c r="L20" i="12"/>
  <c r="T20" i="12"/>
  <c r="T44" i="12" s="1"/>
  <c r="AG20" i="12"/>
  <c r="J23" i="12"/>
  <c r="J40" i="12" s="1"/>
  <c r="R23" i="12"/>
  <c r="Z23" i="12"/>
  <c r="M24" i="12"/>
  <c r="U24" i="12"/>
  <c r="U44" i="12" s="1"/>
  <c r="AE24" i="12"/>
  <c r="AH30" i="12"/>
  <c r="K33" i="12"/>
  <c r="U33" i="12"/>
  <c r="N34" i="12"/>
  <c r="P35" i="12"/>
  <c r="Z35" i="12"/>
  <c r="K37" i="12"/>
  <c r="V37" i="12"/>
  <c r="AA39" i="12"/>
  <c r="S39" i="12"/>
  <c r="K39" i="12"/>
  <c r="Y39" i="12"/>
  <c r="Q39" i="12"/>
  <c r="I39" i="12"/>
  <c r="P39" i="12"/>
  <c r="Q50" i="12"/>
  <c r="H52" i="12"/>
  <c r="G14" i="12"/>
  <c r="O14" i="12"/>
  <c r="K15" i="12"/>
  <c r="S15" i="12"/>
  <c r="M20" i="12"/>
  <c r="M44" i="12" s="1"/>
  <c r="K23" i="12"/>
  <c r="S23" i="12"/>
  <c r="N24" i="12"/>
  <c r="V24" i="12"/>
  <c r="AJ27" i="12"/>
  <c r="L33" i="12"/>
  <c r="AA34" i="12"/>
  <c r="S34" i="12"/>
  <c r="K34" i="12"/>
  <c r="Y34" i="12"/>
  <c r="AD34" i="12" s="1"/>
  <c r="AI34" i="12" s="1"/>
  <c r="Q34" i="12"/>
  <c r="I34" i="12"/>
  <c r="O34" i="12"/>
  <c r="Z34" i="12"/>
  <c r="G35" i="12"/>
  <c r="Q35" i="12"/>
  <c r="AA35" i="12"/>
  <c r="M37" i="12"/>
  <c r="G39" i="12"/>
  <c r="R39" i="12"/>
  <c r="AE39" i="12"/>
  <c r="L52" i="12"/>
  <c r="AD50" i="12"/>
  <c r="T50" i="12"/>
  <c r="L50" i="12"/>
  <c r="AA50" i="12"/>
  <c r="S50" i="12"/>
  <c r="K50" i="12"/>
  <c r="Z50" i="12"/>
  <c r="R50" i="12"/>
  <c r="J50" i="12"/>
  <c r="X50" i="12"/>
  <c r="X53" i="12" s="1"/>
  <c r="P50" i="12"/>
  <c r="H50" i="12"/>
  <c r="H53" i="12" s="1"/>
  <c r="V50" i="12"/>
  <c r="V53" i="12" s="1"/>
  <c r="N50" i="12"/>
  <c r="N53" i="12" s="1"/>
  <c r="W50" i="12"/>
  <c r="W53" i="12" s="1"/>
  <c r="N52" i="12"/>
  <c r="X33" i="12"/>
  <c r="X40" i="12" s="1"/>
  <c r="P33" i="12"/>
  <c r="H33" i="12"/>
  <c r="AG33" i="12"/>
  <c r="V33" i="12"/>
  <c r="N33" i="12"/>
  <c r="O33" i="12"/>
  <c r="Z33" i="12"/>
  <c r="T37" i="12"/>
  <c r="L37" i="12"/>
  <c r="Z37" i="12"/>
  <c r="R37" i="12"/>
  <c r="J37" i="12"/>
  <c r="O37" i="12"/>
  <c r="Y37" i="12"/>
  <c r="P53" i="12"/>
  <c r="Y50" i="12"/>
  <c r="Y53" i="12" s="1"/>
  <c r="P52" i="12"/>
  <c r="M51" i="12"/>
  <c r="U51" i="12"/>
  <c r="AE51" i="12"/>
  <c r="M27" i="12"/>
  <c r="U27" i="12"/>
  <c r="AE27" i="12"/>
  <c r="K29" i="12"/>
  <c r="S29" i="12"/>
  <c r="AA29" i="12"/>
  <c r="AD29" i="12" s="1"/>
  <c r="AI29" i="12" s="1"/>
  <c r="M30" i="12"/>
  <c r="U30" i="12"/>
  <c r="AE30" i="12"/>
  <c r="K32" i="12"/>
  <c r="S32" i="12"/>
  <c r="AA32" i="12"/>
  <c r="AD32" i="12" s="1"/>
  <c r="AI32" i="12" s="1"/>
  <c r="M38" i="12"/>
  <c r="U38" i="12"/>
  <c r="AE38" i="12"/>
  <c r="K47" i="12"/>
  <c r="S47" i="12"/>
  <c r="AA47" i="12"/>
  <c r="J48" i="12"/>
  <c r="J53" i="12" s="1"/>
  <c r="R48" i="12"/>
  <c r="R53" i="12" s="1"/>
  <c r="Z48" i="12"/>
  <c r="I49" i="12"/>
  <c r="I53" i="12" s="1"/>
  <c r="Q49" i="12"/>
  <c r="Q53" i="12" s="1"/>
  <c r="Y49" i="12"/>
  <c r="AF52" i="12" s="1"/>
  <c r="G51" i="12"/>
  <c r="O51" i="12"/>
  <c r="O53" i="12" s="1"/>
  <c r="W51" i="12"/>
  <c r="G27" i="12"/>
  <c r="O27" i="12"/>
  <c r="M29" i="12"/>
  <c r="U29" i="12"/>
  <c r="G30" i="12"/>
  <c r="O30" i="12"/>
  <c r="M32" i="12"/>
  <c r="U32" i="12"/>
  <c r="G38" i="12"/>
  <c r="O38" i="12"/>
  <c r="M47" i="12"/>
  <c r="U47" i="12"/>
  <c r="L48" i="12"/>
  <c r="L53" i="12" s="1"/>
  <c r="T48" i="12"/>
  <c r="T53" i="12" s="1"/>
  <c r="AD48" i="12"/>
  <c r="K49" i="12"/>
  <c r="S49" i="12"/>
  <c r="AA49" i="12"/>
  <c r="I51" i="12"/>
  <c r="Q51" i="12"/>
  <c r="Y51" i="12"/>
  <c r="Z51" i="12" s="1"/>
  <c r="AG52" i="12" s="1"/>
  <c r="AG56" i="12" s="1"/>
  <c r="M48" i="12"/>
  <c r="U48" i="12"/>
  <c r="L49" i="12"/>
  <c r="T49" i="12"/>
  <c r="AD49" i="12"/>
  <c r="J51" i="12"/>
  <c r="R51" i="12"/>
  <c r="M49" i="12"/>
  <c r="U49" i="12"/>
  <c r="K51" i="12"/>
  <c r="S51" i="12"/>
  <c r="AD36" i="11"/>
  <c r="Z36" i="11"/>
  <c r="AD42" i="11"/>
  <c r="Z42" i="11"/>
  <c r="Z19" i="11"/>
  <c r="AD19" i="11"/>
  <c r="AD52" i="11"/>
  <c r="Z52" i="11"/>
  <c r="Z13" i="11"/>
  <c r="AD13" i="11"/>
  <c r="Z34" i="11"/>
  <c r="AD34" i="11"/>
  <c r="AD11" i="11"/>
  <c r="Z11" i="11"/>
  <c r="Z23" i="11"/>
  <c r="AD23" i="11"/>
  <c r="Z27" i="11"/>
  <c r="AD27" i="11"/>
  <c r="Z30" i="11"/>
  <c r="AD30" i="11"/>
  <c r="AD32" i="11"/>
  <c r="Z32" i="11"/>
  <c r="AD40" i="11"/>
  <c r="Z40" i="11"/>
  <c r="Z47" i="11"/>
  <c r="AD47" i="11"/>
  <c r="Z50" i="11"/>
  <c r="AD50" i="11"/>
  <c r="Z9" i="11"/>
  <c r="AD9" i="11"/>
  <c r="Z38" i="11"/>
  <c r="AD38" i="11"/>
  <c r="Z31" i="11"/>
  <c r="AD31" i="11"/>
  <c r="AD48" i="11"/>
  <c r="Z48" i="11"/>
  <c r="Z51" i="11"/>
  <c r="AD51" i="11"/>
  <c r="Z22" i="11"/>
  <c r="Z44" i="11"/>
  <c r="Z25" i="11"/>
  <c r="Z29" i="11"/>
  <c r="Z43" i="11"/>
  <c r="Z49" i="11"/>
  <c r="Z8" i="11"/>
  <c r="Z7" i="11"/>
  <c r="AD12" i="11"/>
  <c r="AD15" i="11"/>
  <c r="AD33" i="11"/>
  <c r="AD37" i="11"/>
  <c r="Z39" i="11"/>
  <c r="AD53" i="12" l="1"/>
  <c r="T43" i="12"/>
  <c r="Z53" i="12"/>
  <c r="X45" i="12"/>
  <c r="BG3" i="12"/>
  <c r="AJ25" i="12"/>
  <c r="AH25" i="12"/>
  <c r="V44" i="12"/>
  <c r="AE56" i="12"/>
  <c r="AA53" i="12"/>
  <c r="AH52" i="12"/>
  <c r="AJ33" i="12"/>
  <c r="AH33" i="12"/>
  <c r="AD56" i="12"/>
  <c r="U40" i="12"/>
  <c r="U42" i="12"/>
  <c r="U43" i="12" s="1"/>
  <c r="O17" i="12"/>
  <c r="Q40" i="12"/>
  <c r="T40" i="12"/>
  <c r="AJ28" i="12"/>
  <c r="AH28" i="12"/>
  <c r="AH39" i="12"/>
  <c r="AH26" i="12"/>
  <c r="AJ26" i="12"/>
  <c r="Y20" i="12"/>
  <c r="AD20" i="12" s="1"/>
  <c r="H40" i="12"/>
  <c r="AJ36" i="12"/>
  <c r="AH36" i="12"/>
  <c r="M42" i="12"/>
  <c r="M43" i="12" s="1"/>
  <c r="G40" i="12"/>
  <c r="G44" i="12"/>
  <c r="G42" i="12"/>
  <c r="Y42" i="12" s="1"/>
  <c r="AD42" i="12" s="1"/>
  <c r="AH21" i="12"/>
  <c r="K42" i="12"/>
  <c r="AH32" i="12"/>
  <c r="K53" i="12"/>
  <c r="H42" i="12"/>
  <c r="AF39" i="12"/>
  <c r="AF56" i="12" s="1"/>
  <c r="Y44" i="12"/>
  <c r="AD19" i="12"/>
  <c r="Y17" i="12"/>
  <c r="AD17" i="12" s="1"/>
  <c r="T42" i="12"/>
  <c r="O40" i="12"/>
  <c r="I44" i="12"/>
  <c r="I43" i="12" s="1"/>
  <c r="AF15" i="12"/>
  <c r="AD7" i="12"/>
  <c r="N42" i="12"/>
  <c r="N43" i="12" s="1"/>
  <c r="AD28" i="12"/>
  <c r="AI28" i="12" s="1"/>
  <c r="O44" i="12"/>
  <c r="U17" i="12"/>
  <c r="AA17" i="12"/>
  <c r="AK14" i="12" s="1"/>
  <c r="AD13" i="12"/>
  <c r="AI13" i="12" s="1"/>
  <c r="AA40" i="12"/>
  <c r="AI40" i="12" s="1"/>
  <c r="K44" i="12"/>
  <c r="K43" i="12" s="1"/>
  <c r="Z17" i="12"/>
  <c r="AD37" i="12"/>
  <c r="AI37" i="12" s="1"/>
  <c r="U53" i="12"/>
  <c r="AH35" i="12"/>
  <c r="AJ35" i="12"/>
  <c r="L42" i="12"/>
  <c r="L44" i="12"/>
  <c r="L43" i="12" s="1"/>
  <c r="W40" i="12"/>
  <c r="V42" i="12"/>
  <c r="Y40" i="12"/>
  <c r="AD40" i="12" s="1"/>
  <c r="N40" i="12"/>
  <c r="W44" i="12"/>
  <c r="W43" i="12" s="1"/>
  <c r="M17" i="12"/>
  <c r="J44" i="12"/>
  <c r="J43" i="12" s="1"/>
  <c r="AJ34" i="12"/>
  <c r="AH34" i="12"/>
  <c r="AJ23" i="12"/>
  <c r="AJ39" i="12" s="1"/>
  <c r="AH23" i="12"/>
  <c r="AH22" i="12"/>
  <c r="AJ22" i="12"/>
  <c r="K40" i="12"/>
  <c r="AD10" i="12"/>
  <c r="AI10" i="12" s="1"/>
  <c r="AI14" i="12" s="1"/>
  <c r="Q44" i="12"/>
  <c r="Q43" i="12" s="1"/>
  <c r="H44" i="12"/>
  <c r="H43" i="12" s="1"/>
  <c r="AA44" i="12"/>
  <c r="Z42" i="12"/>
  <c r="AA42" i="12" s="1"/>
  <c r="AJ31" i="12"/>
  <c r="AH31" i="12"/>
  <c r="L40" i="12"/>
  <c r="S44" i="12"/>
  <c r="S43" i="12" s="1"/>
  <c r="S53" i="12"/>
  <c r="M53" i="12"/>
  <c r="AJ37" i="12"/>
  <c r="AH37" i="12"/>
  <c r="AD39" i="12"/>
  <c r="AD35" i="12"/>
  <c r="AI35" i="12" s="1"/>
  <c r="AH15" i="12"/>
  <c r="R40" i="12"/>
  <c r="AD22" i="12"/>
  <c r="AI22" i="12" s="1"/>
  <c r="AI39" i="12" s="1"/>
  <c r="S40" i="12"/>
  <c r="R44" i="12"/>
  <c r="R43" i="12" s="1"/>
  <c r="P44" i="12"/>
  <c r="P43" i="12" s="1"/>
  <c r="O42" i="12"/>
  <c r="AD36" i="12"/>
  <c r="AI36" i="12" s="1"/>
  <c r="U45" i="12" l="1"/>
  <c r="BD3" i="12"/>
  <c r="AJ40" i="12"/>
  <c r="AK40" i="12" s="1"/>
  <c r="AK39" i="12"/>
  <c r="M45" i="12"/>
  <c r="AV3" i="12"/>
  <c r="N45" i="12"/>
  <c r="AY3" i="12"/>
  <c r="R45" i="12"/>
  <c r="BA3" i="12"/>
  <c r="G43" i="12"/>
  <c r="AG44" i="12"/>
  <c r="H45" i="12"/>
  <c r="AP3" i="12"/>
  <c r="S45" i="12"/>
  <c r="BB3" i="12"/>
  <c r="I45" i="12"/>
  <c r="AQ3" i="12"/>
  <c r="Y43" i="12"/>
  <c r="AD44" i="12"/>
  <c r="T45" i="12"/>
  <c r="BC3" i="12"/>
  <c r="Q45" i="12"/>
  <c r="AZ3" i="12"/>
  <c r="AR3" i="12"/>
  <c r="J45" i="12"/>
  <c r="V43" i="12"/>
  <c r="AU3" i="12"/>
  <c r="L45" i="12"/>
  <c r="W45" i="12"/>
  <c r="BF3" i="12"/>
  <c r="AH56" i="12"/>
  <c r="K45" i="12"/>
  <c r="AS3" i="12"/>
  <c r="P45" i="12"/>
  <c r="AX3" i="12"/>
  <c r="Z43" i="12"/>
  <c r="AA43" i="12" s="1"/>
  <c r="AA45" i="12" s="1"/>
  <c r="O43" i="12"/>
  <c r="O45" i="12" l="1"/>
  <c r="AW3" i="12"/>
  <c r="BE3" i="12"/>
  <c r="V45" i="12"/>
  <c r="Y45" i="12"/>
  <c r="AD43" i="12"/>
  <c r="G45" i="12"/>
  <c r="AB43" i="12"/>
  <c r="AO3" i="12"/>
  <c r="AC53" i="10" l="1"/>
  <c r="AA53" i="10"/>
  <c r="X53" i="10"/>
  <c r="W53" i="10"/>
  <c r="V53" i="10"/>
  <c r="U53" i="10"/>
  <c r="T53" i="10"/>
  <c r="S53" i="10"/>
  <c r="R53" i="10"/>
  <c r="Q53" i="10"/>
  <c r="P53" i="10"/>
  <c r="O53" i="10"/>
  <c r="N53" i="10"/>
  <c r="M53" i="10"/>
  <c r="L53" i="10"/>
  <c r="K53" i="10"/>
  <c r="J53" i="10"/>
  <c r="I53" i="10"/>
  <c r="H53" i="10"/>
  <c r="G53" i="10"/>
  <c r="Y53" i="10" s="1"/>
  <c r="AE52" i="10"/>
  <c r="AC52" i="10"/>
  <c r="AA52" i="10"/>
  <c r="X52" i="10"/>
  <c r="W52" i="10"/>
  <c r="V52" i="10"/>
  <c r="U52" i="10"/>
  <c r="T52" i="10"/>
  <c r="S52" i="10"/>
  <c r="R52" i="10"/>
  <c r="Q52" i="10"/>
  <c r="P52" i="10"/>
  <c r="O52" i="10"/>
  <c r="N52" i="10"/>
  <c r="M52" i="10"/>
  <c r="L52" i="10"/>
  <c r="K52" i="10"/>
  <c r="J52" i="10"/>
  <c r="I52" i="10"/>
  <c r="H52" i="10"/>
  <c r="G52" i="10"/>
  <c r="Y52" i="10" s="1"/>
  <c r="E52" i="10"/>
  <c r="D52" i="10"/>
  <c r="C52" i="10"/>
  <c r="B52" i="10"/>
  <c r="A52" i="10"/>
  <c r="AC51" i="10"/>
  <c r="AA51" i="10"/>
  <c r="X51" i="10"/>
  <c r="W51" i="10"/>
  <c r="V51" i="10"/>
  <c r="U51" i="10"/>
  <c r="T51" i="10"/>
  <c r="S51" i="10"/>
  <c r="R51" i="10"/>
  <c r="Q51" i="10"/>
  <c r="P51" i="10"/>
  <c r="O51" i="10"/>
  <c r="N51" i="10"/>
  <c r="M51" i="10"/>
  <c r="L51" i="10"/>
  <c r="K51" i="10"/>
  <c r="J51" i="10"/>
  <c r="I51" i="10"/>
  <c r="H51" i="10"/>
  <c r="G51" i="10"/>
  <c r="Y51" i="10" s="1"/>
  <c r="F51" i="10"/>
  <c r="E51" i="10"/>
  <c r="D51" i="10"/>
  <c r="C51" i="10"/>
  <c r="B51" i="10"/>
  <c r="A51" i="10"/>
  <c r="AE51" i="10" s="1"/>
  <c r="AC50" i="10"/>
  <c r="AA50" i="10"/>
  <c r="X50" i="10"/>
  <c r="W50" i="10"/>
  <c r="V50" i="10"/>
  <c r="U50" i="10"/>
  <c r="T50" i="10"/>
  <c r="S50" i="10"/>
  <c r="R50" i="10"/>
  <c r="Q50" i="10"/>
  <c r="P50" i="10"/>
  <c r="O50" i="10"/>
  <c r="N50" i="10"/>
  <c r="M50" i="10"/>
  <c r="L50" i="10"/>
  <c r="K50" i="10"/>
  <c r="J50" i="10"/>
  <c r="I50" i="10"/>
  <c r="Y50" i="10" s="1"/>
  <c r="H50" i="10"/>
  <c r="G50" i="10"/>
  <c r="F50" i="10"/>
  <c r="E50" i="10"/>
  <c r="D50" i="10"/>
  <c r="C50" i="10"/>
  <c r="B50" i="10"/>
  <c r="A50" i="10"/>
  <c r="AE50" i="10" s="1"/>
  <c r="AC49" i="10"/>
  <c r="AA49" i="10"/>
  <c r="X49" i="10"/>
  <c r="W49" i="10"/>
  <c r="V49" i="10"/>
  <c r="U49" i="10"/>
  <c r="T49" i="10"/>
  <c r="S49" i="10"/>
  <c r="R49" i="10"/>
  <c r="Q49" i="10"/>
  <c r="P49" i="10"/>
  <c r="O49" i="10"/>
  <c r="N49" i="10"/>
  <c r="M49" i="10"/>
  <c r="L49" i="10"/>
  <c r="K49" i="10"/>
  <c r="J49" i="10"/>
  <c r="I49" i="10"/>
  <c r="H49" i="10"/>
  <c r="G49" i="10"/>
  <c r="Y49" i="10" s="1"/>
  <c r="AD49" i="10" s="1"/>
  <c r="F49" i="10"/>
  <c r="E49" i="10"/>
  <c r="D49" i="10"/>
  <c r="C49" i="10"/>
  <c r="B49" i="10"/>
  <c r="A49" i="10"/>
  <c r="AE49" i="10" s="1"/>
  <c r="AC48" i="10"/>
  <c r="AA48" i="10"/>
  <c r="X48" i="10"/>
  <c r="W48" i="10"/>
  <c r="V48" i="10"/>
  <c r="U48" i="10"/>
  <c r="T48" i="10"/>
  <c r="S48" i="10"/>
  <c r="R48" i="10"/>
  <c r="Q48" i="10"/>
  <c r="P48" i="10"/>
  <c r="O48" i="10"/>
  <c r="N48" i="10"/>
  <c r="M48" i="10"/>
  <c r="L48" i="10"/>
  <c r="K48" i="10"/>
  <c r="J48" i="10"/>
  <c r="I48" i="10"/>
  <c r="H48" i="10"/>
  <c r="G48" i="10"/>
  <c r="Y48" i="10" s="1"/>
  <c r="F48" i="10"/>
  <c r="E48" i="10"/>
  <c r="D48" i="10"/>
  <c r="C48" i="10"/>
  <c r="B48" i="10"/>
  <c r="A48" i="10"/>
  <c r="AE48" i="10" s="1"/>
  <c r="AC47" i="10"/>
  <c r="Y47" i="10" s="1"/>
  <c r="AA47" i="10"/>
  <c r="X47" i="10"/>
  <c r="W47" i="10"/>
  <c r="V47" i="10"/>
  <c r="U47" i="10"/>
  <c r="T47" i="10"/>
  <c r="S47" i="10"/>
  <c r="R47" i="10"/>
  <c r="Q47" i="10"/>
  <c r="P47" i="10"/>
  <c r="O47" i="10"/>
  <c r="N47" i="10"/>
  <c r="M47" i="10"/>
  <c r="L47" i="10"/>
  <c r="K47" i="10"/>
  <c r="J47" i="10"/>
  <c r="I47" i="10"/>
  <c r="H47" i="10"/>
  <c r="G47" i="10"/>
  <c r="F47" i="10"/>
  <c r="E47" i="10"/>
  <c r="D47" i="10"/>
  <c r="C47" i="10"/>
  <c r="B47" i="10"/>
  <c r="A47" i="10"/>
  <c r="AE47" i="10" s="1"/>
  <c r="AC44" i="10"/>
  <c r="AA44" i="10"/>
  <c r="X44" i="10"/>
  <c r="W44" i="10"/>
  <c r="V44" i="10"/>
  <c r="U44" i="10"/>
  <c r="T44" i="10"/>
  <c r="S44" i="10"/>
  <c r="R44" i="10"/>
  <c r="Q44" i="10"/>
  <c r="P44" i="10"/>
  <c r="O44" i="10"/>
  <c r="N44" i="10"/>
  <c r="M44" i="10"/>
  <c r="L44" i="10"/>
  <c r="K44" i="10"/>
  <c r="J44" i="10"/>
  <c r="I44" i="10"/>
  <c r="H44" i="10"/>
  <c r="G44" i="10"/>
  <c r="Y44" i="10" s="1"/>
  <c r="AC43" i="10"/>
  <c r="AA43" i="10"/>
  <c r="X43" i="10"/>
  <c r="W43" i="10"/>
  <c r="V43" i="10"/>
  <c r="U43" i="10"/>
  <c r="T43" i="10"/>
  <c r="S43" i="10"/>
  <c r="R43" i="10"/>
  <c r="Q43" i="10"/>
  <c r="P43" i="10"/>
  <c r="O43" i="10"/>
  <c r="N43" i="10"/>
  <c r="M43" i="10"/>
  <c r="L43" i="10"/>
  <c r="K43" i="10"/>
  <c r="J43" i="10"/>
  <c r="I43" i="10"/>
  <c r="H43" i="10"/>
  <c r="G43" i="10"/>
  <c r="Y43" i="10" s="1"/>
  <c r="AD43" i="10" s="1"/>
  <c r="AC42" i="10"/>
  <c r="AA42" i="10"/>
  <c r="X42" i="10"/>
  <c r="W42" i="10"/>
  <c r="V42" i="10"/>
  <c r="U42" i="10"/>
  <c r="T42" i="10"/>
  <c r="S42" i="10"/>
  <c r="R42" i="10"/>
  <c r="Q42" i="10"/>
  <c r="P42" i="10"/>
  <c r="O42" i="10"/>
  <c r="N42" i="10"/>
  <c r="M42" i="10"/>
  <c r="L42" i="10"/>
  <c r="K42" i="10"/>
  <c r="J42" i="10"/>
  <c r="I42" i="10"/>
  <c r="H42" i="10"/>
  <c r="G42" i="10"/>
  <c r="Y42" i="10" s="1"/>
  <c r="AC40" i="10"/>
  <c r="AA40" i="10"/>
  <c r="X40" i="10"/>
  <c r="W40" i="10"/>
  <c r="V40" i="10"/>
  <c r="U40" i="10"/>
  <c r="T40" i="10"/>
  <c r="S40" i="10"/>
  <c r="R40" i="10"/>
  <c r="Q40" i="10"/>
  <c r="P40" i="10"/>
  <c r="O40" i="10"/>
  <c r="N40" i="10"/>
  <c r="M40" i="10"/>
  <c r="L40" i="10"/>
  <c r="K40" i="10"/>
  <c r="J40" i="10"/>
  <c r="I40" i="10"/>
  <c r="H40" i="10"/>
  <c r="G40" i="10"/>
  <c r="Y40" i="10" s="1"/>
  <c r="AC39" i="10"/>
  <c r="AA39" i="10"/>
  <c r="X39" i="10"/>
  <c r="W39" i="10"/>
  <c r="V39" i="10"/>
  <c r="U39" i="10"/>
  <c r="T39" i="10"/>
  <c r="S39" i="10"/>
  <c r="R39" i="10"/>
  <c r="Q39" i="10"/>
  <c r="P39" i="10"/>
  <c r="O39" i="10"/>
  <c r="N39" i="10"/>
  <c r="M39" i="10"/>
  <c r="L39" i="10"/>
  <c r="K39" i="10"/>
  <c r="J39" i="10"/>
  <c r="I39" i="10"/>
  <c r="H39" i="10"/>
  <c r="G39" i="10"/>
  <c r="Y39" i="10" s="1"/>
  <c r="E39" i="10"/>
  <c r="D39" i="10"/>
  <c r="C39" i="10"/>
  <c r="B39" i="10"/>
  <c r="A39" i="10"/>
  <c r="AE39" i="10" s="1"/>
  <c r="AC38" i="10"/>
  <c r="AA38" i="10"/>
  <c r="X38" i="10"/>
  <c r="W38" i="10"/>
  <c r="V38" i="10"/>
  <c r="U38" i="10"/>
  <c r="T38" i="10"/>
  <c r="S38" i="10"/>
  <c r="R38" i="10"/>
  <c r="Q38" i="10"/>
  <c r="P38" i="10"/>
  <c r="O38" i="10"/>
  <c r="N38" i="10"/>
  <c r="M38" i="10"/>
  <c r="L38" i="10"/>
  <c r="K38" i="10"/>
  <c r="J38" i="10"/>
  <c r="I38" i="10"/>
  <c r="H38" i="10"/>
  <c r="Y38" i="10" s="1"/>
  <c r="G38" i="10"/>
  <c r="F38" i="10"/>
  <c r="E38" i="10"/>
  <c r="D38" i="10"/>
  <c r="C38" i="10"/>
  <c r="B38" i="10"/>
  <c r="A38" i="10"/>
  <c r="AE38" i="10" s="1"/>
  <c r="AE37" i="10"/>
  <c r="AC37" i="10"/>
  <c r="AA37" i="10"/>
  <c r="X37" i="10"/>
  <c r="W37" i="10"/>
  <c r="V37" i="10"/>
  <c r="U37" i="10"/>
  <c r="T37" i="10"/>
  <c r="S37" i="10"/>
  <c r="R37" i="10"/>
  <c r="Q37" i="10"/>
  <c r="P37" i="10"/>
  <c r="O37" i="10"/>
  <c r="N37" i="10"/>
  <c r="M37" i="10"/>
  <c r="L37" i="10"/>
  <c r="K37" i="10"/>
  <c r="J37" i="10"/>
  <c r="I37" i="10"/>
  <c r="H37" i="10"/>
  <c r="G37" i="10"/>
  <c r="Y37" i="10" s="1"/>
  <c r="F37" i="10"/>
  <c r="E37" i="10"/>
  <c r="D37" i="10"/>
  <c r="C37" i="10"/>
  <c r="B37" i="10"/>
  <c r="A37" i="10"/>
  <c r="AC36" i="10"/>
  <c r="AA36" i="10"/>
  <c r="X36" i="10"/>
  <c r="W36" i="10"/>
  <c r="V36" i="10"/>
  <c r="U36" i="10"/>
  <c r="T36" i="10"/>
  <c r="S36" i="10"/>
  <c r="R36" i="10"/>
  <c r="Q36" i="10"/>
  <c r="P36" i="10"/>
  <c r="O36" i="10"/>
  <c r="N36" i="10"/>
  <c r="M36" i="10"/>
  <c r="L36" i="10"/>
  <c r="K36" i="10"/>
  <c r="J36" i="10"/>
  <c r="I36" i="10"/>
  <c r="H36" i="10"/>
  <c r="G36" i="10"/>
  <c r="Y36" i="10" s="1"/>
  <c r="F36" i="10"/>
  <c r="E36" i="10"/>
  <c r="D36" i="10"/>
  <c r="C36" i="10"/>
  <c r="B36" i="10"/>
  <c r="A36" i="10"/>
  <c r="AE36" i="10" s="1"/>
  <c r="AE35" i="10"/>
  <c r="AC35" i="10"/>
  <c r="AA35" i="10"/>
  <c r="X35" i="10"/>
  <c r="W35" i="10"/>
  <c r="V35" i="10"/>
  <c r="U35" i="10"/>
  <c r="T35" i="10"/>
  <c r="S35" i="10"/>
  <c r="R35" i="10"/>
  <c r="Q35" i="10"/>
  <c r="P35" i="10"/>
  <c r="O35" i="10"/>
  <c r="N35" i="10"/>
  <c r="M35" i="10"/>
  <c r="L35" i="10"/>
  <c r="K35" i="10"/>
  <c r="J35" i="10"/>
  <c r="I35" i="10"/>
  <c r="H35" i="10"/>
  <c r="G35" i="10"/>
  <c r="Y35" i="10" s="1"/>
  <c r="F35" i="10"/>
  <c r="E35" i="10"/>
  <c r="D35" i="10"/>
  <c r="C35" i="10"/>
  <c r="B35" i="10"/>
  <c r="A35" i="10"/>
  <c r="AC34" i="10"/>
  <c r="AA34" i="10"/>
  <c r="Y34" i="10"/>
  <c r="AD34" i="10" s="1"/>
  <c r="X34" i="10"/>
  <c r="W34" i="10"/>
  <c r="V34" i="10"/>
  <c r="U34" i="10"/>
  <c r="T34" i="10"/>
  <c r="S34" i="10"/>
  <c r="R34" i="10"/>
  <c r="Q34" i="10"/>
  <c r="P34" i="10"/>
  <c r="O34" i="10"/>
  <c r="N34" i="10"/>
  <c r="M34" i="10"/>
  <c r="L34" i="10"/>
  <c r="K34" i="10"/>
  <c r="J34" i="10"/>
  <c r="I34" i="10"/>
  <c r="H34" i="10"/>
  <c r="G34" i="10"/>
  <c r="F34" i="10"/>
  <c r="E34" i="10"/>
  <c r="D34" i="10"/>
  <c r="C34" i="10"/>
  <c r="B34" i="10"/>
  <c r="A34" i="10"/>
  <c r="AE34" i="10" s="1"/>
  <c r="AE33" i="10"/>
  <c r="AC33" i="10"/>
  <c r="AA33" i="10"/>
  <c r="X33" i="10"/>
  <c r="W33" i="10"/>
  <c r="V33" i="10"/>
  <c r="U33" i="10"/>
  <c r="T33" i="10"/>
  <c r="S33" i="10"/>
  <c r="R33" i="10"/>
  <c r="Q33" i="10"/>
  <c r="P33" i="10"/>
  <c r="O33" i="10"/>
  <c r="N33" i="10"/>
  <c r="M33" i="10"/>
  <c r="L33" i="10"/>
  <c r="K33" i="10"/>
  <c r="J33" i="10"/>
  <c r="I33" i="10"/>
  <c r="H33" i="10"/>
  <c r="G33" i="10"/>
  <c r="Y33" i="10" s="1"/>
  <c r="F33" i="10"/>
  <c r="E33" i="10"/>
  <c r="D33" i="10"/>
  <c r="C33" i="10"/>
  <c r="B33" i="10"/>
  <c r="A33" i="10"/>
  <c r="AC32" i="10"/>
  <c r="AA32" i="10"/>
  <c r="X32" i="10"/>
  <c r="W32" i="10"/>
  <c r="V32" i="10"/>
  <c r="U32" i="10"/>
  <c r="T32" i="10"/>
  <c r="S32" i="10"/>
  <c r="R32" i="10"/>
  <c r="Q32" i="10"/>
  <c r="P32" i="10"/>
  <c r="O32" i="10"/>
  <c r="N32" i="10"/>
  <c r="M32" i="10"/>
  <c r="L32" i="10"/>
  <c r="K32" i="10"/>
  <c r="J32" i="10"/>
  <c r="I32" i="10"/>
  <c r="H32" i="10"/>
  <c r="G32" i="10"/>
  <c r="Y32" i="10" s="1"/>
  <c r="F32" i="10"/>
  <c r="E32" i="10"/>
  <c r="D32" i="10"/>
  <c r="C32" i="10"/>
  <c r="B32" i="10"/>
  <c r="A32" i="10"/>
  <c r="AE32" i="10" s="1"/>
  <c r="AE31" i="10"/>
  <c r="AC31" i="10"/>
  <c r="AA31" i="10"/>
  <c r="X31" i="10"/>
  <c r="W31" i="10"/>
  <c r="V31" i="10"/>
  <c r="U31" i="10"/>
  <c r="T31" i="10"/>
  <c r="S31" i="10"/>
  <c r="R31" i="10"/>
  <c r="Q31" i="10"/>
  <c r="P31" i="10"/>
  <c r="O31" i="10"/>
  <c r="N31" i="10"/>
  <c r="M31" i="10"/>
  <c r="L31" i="10"/>
  <c r="K31" i="10"/>
  <c r="J31" i="10"/>
  <c r="I31" i="10"/>
  <c r="H31" i="10"/>
  <c r="G31" i="10"/>
  <c r="Y31" i="10" s="1"/>
  <c r="F31" i="10"/>
  <c r="E31" i="10"/>
  <c r="D31" i="10"/>
  <c r="C31" i="10"/>
  <c r="B31" i="10"/>
  <c r="A31" i="10"/>
  <c r="AC30" i="10"/>
  <c r="AA30" i="10"/>
  <c r="Y30" i="10"/>
  <c r="AD30" i="10" s="1"/>
  <c r="X30" i="10"/>
  <c r="W30" i="10"/>
  <c r="V30" i="10"/>
  <c r="U30" i="10"/>
  <c r="T30" i="10"/>
  <c r="S30" i="10"/>
  <c r="R30" i="10"/>
  <c r="Q30" i="10"/>
  <c r="P30" i="10"/>
  <c r="O30" i="10"/>
  <c r="N30" i="10"/>
  <c r="M30" i="10"/>
  <c r="L30" i="10"/>
  <c r="K30" i="10"/>
  <c r="J30" i="10"/>
  <c r="I30" i="10"/>
  <c r="H30" i="10"/>
  <c r="G30" i="10"/>
  <c r="F30" i="10"/>
  <c r="E30" i="10"/>
  <c r="D30" i="10"/>
  <c r="C30" i="10"/>
  <c r="B30" i="10"/>
  <c r="A30" i="10"/>
  <c r="AE30" i="10" s="1"/>
  <c r="AE29" i="10"/>
  <c r="AC29" i="10"/>
  <c r="AA29" i="10"/>
  <c r="X29" i="10"/>
  <c r="W29" i="10"/>
  <c r="V29" i="10"/>
  <c r="U29" i="10"/>
  <c r="T29" i="10"/>
  <c r="S29" i="10"/>
  <c r="R29" i="10"/>
  <c r="Q29" i="10"/>
  <c r="P29" i="10"/>
  <c r="O29" i="10"/>
  <c r="N29" i="10"/>
  <c r="M29" i="10"/>
  <c r="L29" i="10"/>
  <c r="K29" i="10"/>
  <c r="J29" i="10"/>
  <c r="I29" i="10"/>
  <c r="H29" i="10"/>
  <c r="G29" i="10"/>
  <c r="Y29" i="10" s="1"/>
  <c r="F29" i="10"/>
  <c r="E29" i="10"/>
  <c r="D29" i="10"/>
  <c r="C29" i="10"/>
  <c r="B29" i="10"/>
  <c r="A29" i="10"/>
  <c r="AC28" i="10"/>
  <c r="AA28" i="10"/>
  <c r="X28" i="10"/>
  <c r="W28" i="10"/>
  <c r="V28" i="10"/>
  <c r="U28" i="10"/>
  <c r="T28" i="10"/>
  <c r="S28" i="10"/>
  <c r="R28" i="10"/>
  <c r="Q28" i="10"/>
  <c r="P28" i="10"/>
  <c r="O28" i="10"/>
  <c r="N28" i="10"/>
  <c r="M28" i="10"/>
  <c r="L28" i="10"/>
  <c r="K28" i="10"/>
  <c r="J28" i="10"/>
  <c r="I28" i="10"/>
  <c r="H28" i="10"/>
  <c r="G28" i="10"/>
  <c r="Y28" i="10" s="1"/>
  <c r="F28" i="10"/>
  <c r="E28" i="10"/>
  <c r="D28" i="10"/>
  <c r="C28" i="10"/>
  <c r="B28" i="10"/>
  <c r="A28" i="10"/>
  <c r="AE28" i="10" s="1"/>
  <c r="AE27" i="10"/>
  <c r="AC27" i="10"/>
  <c r="AA27" i="10"/>
  <c r="X27" i="10"/>
  <c r="W27" i="10"/>
  <c r="V27" i="10"/>
  <c r="U27" i="10"/>
  <c r="T27" i="10"/>
  <c r="S27" i="10"/>
  <c r="R27" i="10"/>
  <c r="Q27" i="10"/>
  <c r="P27" i="10"/>
  <c r="O27" i="10"/>
  <c r="N27" i="10"/>
  <c r="M27" i="10"/>
  <c r="L27" i="10"/>
  <c r="K27" i="10"/>
  <c r="J27" i="10"/>
  <c r="I27" i="10"/>
  <c r="H27" i="10"/>
  <c r="G27" i="10"/>
  <c r="Y27" i="10" s="1"/>
  <c r="F27" i="10"/>
  <c r="E27" i="10"/>
  <c r="D27" i="10"/>
  <c r="C27" i="10"/>
  <c r="B27" i="10"/>
  <c r="A27" i="10"/>
  <c r="AC26" i="10"/>
  <c r="AA26" i="10"/>
  <c r="Y26" i="10"/>
  <c r="AD26" i="10" s="1"/>
  <c r="X26" i="10"/>
  <c r="W26" i="10"/>
  <c r="V26" i="10"/>
  <c r="U26" i="10"/>
  <c r="T26" i="10"/>
  <c r="S26" i="10"/>
  <c r="R26" i="10"/>
  <c r="Q26" i="10"/>
  <c r="P26" i="10"/>
  <c r="O26" i="10"/>
  <c r="N26" i="10"/>
  <c r="M26" i="10"/>
  <c r="L26" i="10"/>
  <c r="K26" i="10"/>
  <c r="J26" i="10"/>
  <c r="I26" i="10"/>
  <c r="H26" i="10"/>
  <c r="G26" i="10"/>
  <c r="F26" i="10"/>
  <c r="E26" i="10"/>
  <c r="D26" i="10"/>
  <c r="C26" i="10"/>
  <c r="B26" i="10"/>
  <c r="A26" i="10"/>
  <c r="AE26" i="10" s="1"/>
  <c r="AE25" i="10"/>
  <c r="AC25" i="10"/>
  <c r="AA25" i="10"/>
  <c r="Y25" i="10"/>
  <c r="AD25" i="10" s="1"/>
  <c r="X25" i="10"/>
  <c r="W25" i="10"/>
  <c r="V25" i="10"/>
  <c r="U25" i="10"/>
  <c r="T25" i="10"/>
  <c r="S25" i="10"/>
  <c r="R25" i="10"/>
  <c r="Q25" i="10"/>
  <c r="P25" i="10"/>
  <c r="O25" i="10"/>
  <c r="N25" i="10"/>
  <c r="M25" i="10"/>
  <c r="L25" i="10"/>
  <c r="K25" i="10"/>
  <c r="J25" i="10"/>
  <c r="I25" i="10"/>
  <c r="H25" i="10"/>
  <c r="G25" i="10"/>
  <c r="F25" i="10"/>
  <c r="E25" i="10"/>
  <c r="D25" i="10"/>
  <c r="C25" i="10"/>
  <c r="B25" i="10"/>
  <c r="A25" i="10"/>
  <c r="AE24" i="10"/>
  <c r="AC24" i="10"/>
  <c r="AA24" i="10"/>
  <c r="X24" i="10"/>
  <c r="W24" i="10"/>
  <c r="V24" i="10"/>
  <c r="U24" i="10"/>
  <c r="T24" i="10"/>
  <c r="S24" i="10"/>
  <c r="R24" i="10"/>
  <c r="Q24" i="10"/>
  <c r="P24" i="10"/>
  <c r="O24" i="10"/>
  <c r="N24" i="10"/>
  <c r="M24" i="10"/>
  <c r="L24" i="10"/>
  <c r="K24" i="10"/>
  <c r="J24" i="10"/>
  <c r="I24" i="10"/>
  <c r="H24" i="10"/>
  <c r="G24" i="10"/>
  <c r="Y24" i="10" s="1"/>
  <c r="F24" i="10"/>
  <c r="E24" i="10"/>
  <c r="D24" i="10"/>
  <c r="C24" i="10"/>
  <c r="B24" i="10"/>
  <c r="A24" i="10"/>
  <c r="AC23" i="10"/>
  <c r="AA23" i="10"/>
  <c r="X23" i="10"/>
  <c r="W23" i="10"/>
  <c r="V23" i="10"/>
  <c r="U23" i="10"/>
  <c r="T23" i="10"/>
  <c r="S23" i="10"/>
  <c r="R23" i="10"/>
  <c r="Q23" i="10"/>
  <c r="P23" i="10"/>
  <c r="O23" i="10"/>
  <c r="N23" i="10"/>
  <c r="M23" i="10"/>
  <c r="L23" i="10"/>
  <c r="K23" i="10"/>
  <c r="J23" i="10"/>
  <c r="I23" i="10"/>
  <c r="Y23" i="10" s="1"/>
  <c r="H23" i="10"/>
  <c r="G23" i="10"/>
  <c r="F23" i="10"/>
  <c r="D23" i="10"/>
  <c r="C23" i="10"/>
  <c r="B23" i="10"/>
  <c r="A23" i="10"/>
  <c r="AE23" i="10" s="1"/>
  <c r="AE22" i="10"/>
  <c r="AC22" i="10"/>
  <c r="AA22" i="10"/>
  <c r="X22" i="10"/>
  <c r="W22" i="10"/>
  <c r="V22" i="10"/>
  <c r="U22" i="10"/>
  <c r="T22" i="10"/>
  <c r="S22" i="10"/>
  <c r="R22" i="10"/>
  <c r="Q22" i="10"/>
  <c r="P22" i="10"/>
  <c r="O22" i="10"/>
  <c r="N22" i="10"/>
  <c r="M22" i="10"/>
  <c r="L22" i="10"/>
  <c r="K22" i="10"/>
  <c r="J22" i="10"/>
  <c r="I22" i="10"/>
  <c r="H22" i="10"/>
  <c r="G22" i="10"/>
  <c r="Y22" i="10" s="1"/>
  <c r="F22" i="10"/>
  <c r="E22" i="10"/>
  <c r="D22" i="10"/>
  <c r="C22" i="10"/>
  <c r="B22" i="10"/>
  <c r="A22" i="10"/>
  <c r="AC21" i="10"/>
  <c r="AA21" i="10"/>
  <c r="X21" i="10"/>
  <c r="W21" i="10"/>
  <c r="V21" i="10"/>
  <c r="U21" i="10"/>
  <c r="T21" i="10"/>
  <c r="S21" i="10"/>
  <c r="R21" i="10"/>
  <c r="Q21" i="10"/>
  <c r="P21" i="10"/>
  <c r="O21" i="10"/>
  <c r="N21" i="10"/>
  <c r="M21" i="10"/>
  <c r="L21" i="10"/>
  <c r="K21" i="10"/>
  <c r="J21" i="10"/>
  <c r="I21" i="10"/>
  <c r="H21" i="10"/>
  <c r="G21" i="10"/>
  <c r="Y21" i="10" s="1"/>
  <c r="F21" i="10"/>
  <c r="E21" i="10"/>
  <c r="D21" i="10"/>
  <c r="C21" i="10"/>
  <c r="B21" i="10"/>
  <c r="A21" i="10"/>
  <c r="AE21" i="10" s="1"/>
  <c r="AE20" i="10"/>
  <c r="AC20" i="10"/>
  <c r="AA20" i="10"/>
  <c r="X20" i="10"/>
  <c r="W20" i="10"/>
  <c r="V20" i="10"/>
  <c r="U20" i="10"/>
  <c r="T20" i="10"/>
  <c r="S20" i="10"/>
  <c r="R20" i="10"/>
  <c r="Q20" i="10"/>
  <c r="P20" i="10"/>
  <c r="O20" i="10"/>
  <c r="N20" i="10"/>
  <c r="M20" i="10"/>
  <c r="L20" i="10"/>
  <c r="K20" i="10"/>
  <c r="J20" i="10"/>
  <c r="I20" i="10"/>
  <c r="H20" i="10"/>
  <c r="G20" i="10"/>
  <c r="Y20" i="10" s="1"/>
  <c r="F20" i="10"/>
  <c r="E20" i="10"/>
  <c r="D20" i="10"/>
  <c r="C20" i="10"/>
  <c r="B20" i="10"/>
  <c r="A20" i="10"/>
  <c r="AC19" i="10"/>
  <c r="AA19" i="10"/>
  <c r="X19" i="10"/>
  <c r="W19" i="10"/>
  <c r="V19" i="10"/>
  <c r="U19" i="10"/>
  <c r="T19" i="10"/>
  <c r="S19" i="10"/>
  <c r="R19" i="10"/>
  <c r="Q19" i="10"/>
  <c r="P19" i="10"/>
  <c r="O19" i="10"/>
  <c r="N19" i="10"/>
  <c r="M19" i="10"/>
  <c r="L19" i="10"/>
  <c r="K19" i="10"/>
  <c r="J19" i="10"/>
  <c r="I19" i="10"/>
  <c r="H19" i="10"/>
  <c r="Y19" i="10" s="1"/>
  <c r="G19" i="10"/>
  <c r="F19" i="10"/>
  <c r="E19" i="10"/>
  <c r="D19" i="10"/>
  <c r="C19" i="10"/>
  <c r="B19" i="10"/>
  <c r="A19" i="10"/>
  <c r="AE19" i="10" s="1"/>
  <c r="AC17" i="10"/>
  <c r="AA17" i="10"/>
  <c r="Z17" i="10"/>
  <c r="X17" i="10"/>
  <c r="W17" i="10"/>
  <c r="V17" i="10"/>
  <c r="U17" i="10"/>
  <c r="T17" i="10"/>
  <c r="S17" i="10"/>
  <c r="R17" i="10"/>
  <c r="Q17" i="10"/>
  <c r="P17" i="10"/>
  <c r="O17" i="10"/>
  <c r="N17" i="10"/>
  <c r="M17" i="10"/>
  <c r="L17" i="10"/>
  <c r="K17" i="10"/>
  <c r="J17" i="10"/>
  <c r="I17" i="10"/>
  <c r="Y17" i="10" s="1"/>
  <c r="AD17" i="10" s="1"/>
  <c r="H17" i="10"/>
  <c r="G17" i="10"/>
  <c r="AA16" i="10"/>
  <c r="X16" i="10"/>
  <c r="W16" i="10"/>
  <c r="V16" i="10"/>
  <c r="U16" i="10"/>
  <c r="T16" i="10"/>
  <c r="S16" i="10"/>
  <c r="R16" i="10"/>
  <c r="Q16" i="10"/>
  <c r="P16" i="10"/>
  <c r="O16" i="10"/>
  <c r="N16" i="10"/>
  <c r="M16" i="10"/>
  <c r="L16" i="10"/>
  <c r="K16" i="10"/>
  <c r="J16" i="10"/>
  <c r="I16" i="10"/>
  <c r="H16" i="10"/>
  <c r="G16" i="10"/>
  <c r="Y16" i="10" s="1"/>
  <c r="Z16" i="10" s="1"/>
  <c r="E16" i="10"/>
  <c r="D16" i="10"/>
  <c r="C16" i="10"/>
  <c r="B16" i="10"/>
  <c r="AE15" i="10"/>
  <c r="AC15" i="10"/>
  <c r="AA15" i="10"/>
  <c r="Y15" i="10"/>
  <c r="AD15" i="10" s="1"/>
  <c r="X15" i="10"/>
  <c r="W15" i="10"/>
  <c r="V15" i="10"/>
  <c r="U15" i="10"/>
  <c r="T15" i="10"/>
  <c r="S15" i="10"/>
  <c r="R15" i="10"/>
  <c r="Q15" i="10"/>
  <c r="P15" i="10"/>
  <c r="O15" i="10"/>
  <c r="N15" i="10"/>
  <c r="M15" i="10"/>
  <c r="L15" i="10"/>
  <c r="K15" i="10"/>
  <c r="J15" i="10"/>
  <c r="I15" i="10"/>
  <c r="H15" i="10"/>
  <c r="G15" i="10"/>
  <c r="E15" i="10"/>
  <c r="D15" i="10"/>
  <c r="C15" i="10"/>
  <c r="B15" i="10"/>
  <c r="A15" i="10"/>
  <c r="AC14" i="10"/>
  <c r="AA14" i="10"/>
  <c r="X14" i="10"/>
  <c r="W14" i="10"/>
  <c r="V14" i="10"/>
  <c r="U14" i="10"/>
  <c r="T14" i="10"/>
  <c r="S14" i="10"/>
  <c r="R14" i="10"/>
  <c r="Q14" i="10"/>
  <c r="P14" i="10"/>
  <c r="O14" i="10"/>
  <c r="N14" i="10"/>
  <c r="M14" i="10"/>
  <c r="L14" i="10"/>
  <c r="K14" i="10"/>
  <c r="J14" i="10"/>
  <c r="I14" i="10"/>
  <c r="Y14" i="10" s="1"/>
  <c r="AD14" i="10" s="1"/>
  <c r="H14" i="10"/>
  <c r="G14" i="10"/>
  <c r="E14" i="10"/>
  <c r="D14" i="10"/>
  <c r="C14" i="10"/>
  <c r="B14" i="10"/>
  <c r="A14" i="10"/>
  <c r="AE14" i="10" s="1"/>
  <c r="AE13" i="10"/>
  <c r="AC13" i="10"/>
  <c r="AA13" i="10"/>
  <c r="X13" i="10"/>
  <c r="W13" i="10"/>
  <c r="V13" i="10"/>
  <c r="U13" i="10"/>
  <c r="T13" i="10"/>
  <c r="S13" i="10"/>
  <c r="R13" i="10"/>
  <c r="Q13" i="10"/>
  <c r="P13" i="10"/>
  <c r="O13" i="10"/>
  <c r="N13" i="10"/>
  <c r="M13" i="10"/>
  <c r="L13" i="10"/>
  <c r="K13" i="10"/>
  <c r="J13" i="10"/>
  <c r="I13" i="10"/>
  <c r="H13" i="10"/>
  <c r="G13" i="10"/>
  <c r="Y13" i="10" s="1"/>
  <c r="F13" i="10"/>
  <c r="E13" i="10"/>
  <c r="D13" i="10"/>
  <c r="C13" i="10"/>
  <c r="B13" i="10"/>
  <c r="A13" i="10"/>
  <c r="AE12" i="10"/>
  <c r="AC12" i="10"/>
  <c r="AA12" i="10"/>
  <c r="X12" i="10"/>
  <c r="W12" i="10"/>
  <c r="V12" i="10"/>
  <c r="U12" i="10"/>
  <c r="T12" i="10"/>
  <c r="S12" i="10"/>
  <c r="R12" i="10"/>
  <c r="Q12" i="10"/>
  <c r="P12" i="10"/>
  <c r="O12" i="10"/>
  <c r="N12" i="10"/>
  <c r="M12" i="10"/>
  <c r="L12" i="10"/>
  <c r="K12" i="10"/>
  <c r="J12" i="10"/>
  <c r="I12" i="10"/>
  <c r="H12" i="10"/>
  <c r="G12" i="10"/>
  <c r="Y12" i="10" s="1"/>
  <c r="F12" i="10"/>
  <c r="E12" i="10"/>
  <c r="D12" i="10"/>
  <c r="C12" i="10"/>
  <c r="B12" i="10"/>
  <c r="A12" i="10"/>
  <c r="AE11" i="10"/>
  <c r="AC11" i="10"/>
  <c r="AA11" i="10"/>
  <c r="X11" i="10"/>
  <c r="W11" i="10"/>
  <c r="V11" i="10"/>
  <c r="U11" i="10"/>
  <c r="T11" i="10"/>
  <c r="S11" i="10"/>
  <c r="R11" i="10"/>
  <c r="Q11" i="10"/>
  <c r="P11" i="10"/>
  <c r="O11" i="10"/>
  <c r="N11" i="10"/>
  <c r="M11" i="10"/>
  <c r="L11" i="10"/>
  <c r="K11" i="10"/>
  <c r="J11" i="10"/>
  <c r="I11" i="10"/>
  <c r="H11" i="10"/>
  <c r="G11" i="10"/>
  <c r="Y11" i="10" s="1"/>
  <c r="F11" i="10"/>
  <c r="E11" i="10"/>
  <c r="D11" i="10"/>
  <c r="C11" i="10"/>
  <c r="B11" i="10"/>
  <c r="A11" i="10"/>
  <c r="AC10" i="10"/>
  <c r="AA10" i="10"/>
  <c r="X10" i="10"/>
  <c r="W10" i="10"/>
  <c r="V10" i="10"/>
  <c r="U10" i="10"/>
  <c r="T10" i="10"/>
  <c r="S10" i="10"/>
  <c r="R10" i="10"/>
  <c r="Q10" i="10"/>
  <c r="P10" i="10"/>
  <c r="O10" i="10"/>
  <c r="N10" i="10"/>
  <c r="M10" i="10"/>
  <c r="L10" i="10"/>
  <c r="K10" i="10"/>
  <c r="J10" i="10"/>
  <c r="I10" i="10"/>
  <c r="H10" i="10"/>
  <c r="Y10" i="10" s="1"/>
  <c r="G10" i="10"/>
  <c r="F10" i="10"/>
  <c r="E10" i="10"/>
  <c r="D10" i="10"/>
  <c r="C10" i="10"/>
  <c r="B10" i="10"/>
  <c r="A10" i="10"/>
  <c r="AE10" i="10" s="1"/>
  <c r="AE9" i="10"/>
  <c r="AC9" i="10"/>
  <c r="AA9" i="10"/>
  <c r="X9" i="10"/>
  <c r="W9" i="10"/>
  <c r="V9" i="10"/>
  <c r="U9" i="10"/>
  <c r="T9" i="10"/>
  <c r="S9" i="10"/>
  <c r="R9" i="10"/>
  <c r="Q9" i="10"/>
  <c r="P9" i="10"/>
  <c r="O9" i="10"/>
  <c r="N9" i="10"/>
  <c r="M9" i="10"/>
  <c r="L9" i="10"/>
  <c r="K9" i="10"/>
  <c r="J9" i="10"/>
  <c r="I9" i="10"/>
  <c r="H9" i="10"/>
  <c r="G9" i="10"/>
  <c r="Y9" i="10" s="1"/>
  <c r="F9" i="10"/>
  <c r="E9" i="10"/>
  <c r="D9" i="10"/>
  <c r="C9" i="10"/>
  <c r="B9" i="10"/>
  <c r="A9" i="10"/>
  <c r="AE8" i="10"/>
  <c r="AC8" i="10"/>
  <c r="AA8" i="10"/>
  <c r="X8" i="10"/>
  <c r="W8" i="10"/>
  <c r="V8" i="10"/>
  <c r="U8" i="10"/>
  <c r="T8" i="10"/>
  <c r="S8" i="10"/>
  <c r="R8" i="10"/>
  <c r="Q8" i="10"/>
  <c r="P8" i="10"/>
  <c r="O8" i="10"/>
  <c r="N8" i="10"/>
  <c r="M8" i="10"/>
  <c r="L8" i="10"/>
  <c r="K8" i="10"/>
  <c r="J8" i="10"/>
  <c r="I8" i="10"/>
  <c r="H8" i="10"/>
  <c r="G8" i="10"/>
  <c r="Y8" i="10" s="1"/>
  <c r="F8" i="10"/>
  <c r="E8" i="10"/>
  <c r="D8" i="10"/>
  <c r="C8" i="10"/>
  <c r="B8" i="10"/>
  <c r="A8" i="10"/>
  <c r="AE7" i="10"/>
  <c r="AC7" i="10"/>
  <c r="AA7" i="10"/>
  <c r="X7" i="10"/>
  <c r="W7" i="10"/>
  <c r="V7" i="10"/>
  <c r="U7" i="10"/>
  <c r="T7" i="10"/>
  <c r="S7" i="10"/>
  <c r="R7" i="10"/>
  <c r="Q7" i="10"/>
  <c r="P7" i="10"/>
  <c r="O7" i="10"/>
  <c r="N7" i="10"/>
  <c r="M7" i="10"/>
  <c r="L7" i="10"/>
  <c r="K7" i="10"/>
  <c r="J7" i="10"/>
  <c r="I7" i="10"/>
  <c r="H7" i="10"/>
  <c r="G7" i="10"/>
  <c r="Y7" i="10" s="1"/>
  <c r="F7" i="10"/>
  <c r="E7" i="10"/>
  <c r="D7" i="10"/>
  <c r="C7" i="10"/>
  <c r="B7" i="10"/>
  <c r="A7" i="10"/>
  <c r="AC6" i="10"/>
  <c r="AA6" i="10"/>
  <c r="X6" i="10"/>
  <c r="W6" i="10"/>
  <c r="V6" i="10"/>
  <c r="U6" i="10"/>
  <c r="T6" i="10"/>
  <c r="S6" i="10"/>
  <c r="R6" i="10"/>
  <c r="Q6" i="10"/>
  <c r="P6" i="10"/>
  <c r="O6" i="10"/>
  <c r="N6" i="10"/>
  <c r="M6" i="10"/>
  <c r="L6" i="10"/>
  <c r="K6" i="10"/>
  <c r="J6" i="10"/>
  <c r="I6" i="10"/>
  <c r="H6" i="10"/>
  <c r="Y6" i="10" s="1"/>
  <c r="G6" i="10"/>
  <c r="F6" i="10"/>
  <c r="E6" i="10"/>
  <c r="A6" i="10"/>
  <c r="AE6" i="10" s="1"/>
  <c r="X4" i="10"/>
  <c r="W4" i="10"/>
  <c r="V4" i="10"/>
  <c r="U4" i="10"/>
  <c r="T4" i="10"/>
  <c r="S4" i="10"/>
  <c r="R4" i="10"/>
  <c r="Q4" i="10"/>
  <c r="P4" i="10"/>
  <c r="O4" i="10"/>
  <c r="N4" i="10"/>
  <c r="M4" i="10"/>
  <c r="L4" i="10"/>
  <c r="K4" i="10"/>
  <c r="J4" i="10"/>
  <c r="I4" i="10"/>
  <c r="H4" i="10"/>
  <c r="G4" i="10"/>
  <c r="X3" i="10"/>
  <c r="W3" i="10"/>
  <c r="T3" i="10"/>
  <c r="S3" i="10"/>
  <c r="R3" i="10"/>
  <c r="Q3" i="10"/>
  <c r="K3" i="10"/>
  <c r="H3" i="10"/>
  <c r="AE53" i="9"/>
  <c r="AE52" i="9"/>
  <c r="AA52" i="9"/>
  <c r="Z52" i="9"/>
  <c r="U52" i="9"/>
  <c r="S52" i="9"/>
  <c r="R52" i="9"/>
  <c r="M52" i="9"/>
  <c r="K52" i="9"/>
  <c r="J52" i="9"/>
  <c r="A52" i="9"/>
  <c r="Y52" i="9" s="1"/>
  <c r="AG52" i="9" s="1"/>
  <c r="AD51" i="9"/>
  <c r="AA51" i="9"/>
  <c r="W51" i="9"/>
  <c r="V51" i="9"/>
  <c r="T51" i="9"/>
  <c r="S51" i="9"/>
  <c r="O51" i="9"/>
  <c r="N51" i="9"/>
  <c r="L51" i="9"/>
  <c r="K51" i="9"/>
  <c r="G51" i="9"/>
  <c r="F51" i="9"/>
  <c r="A51" i="9"/>
  <c r="Z51" i="9" s="1"/>
  <c r="Y50" i="9"/>
  <c r="U50" i="9"/>
  <c r="I50" i="9"/>
  <c r="F50" i="9"/>
  <c r="A50" i="9"/>
  <c r="V50" i="9" s="1"/>
  <c r="AA49" i="9"/>
  <c r="Z49" i="9"/>
  <c r="Y49" i="9"/>
  <c r="X49" i="9"/>
  <c r="W49" i="9"/>
  <c r="S49" i="9"/>
  <c r="R49" i="9"/>
  <c r="Q49" i="9"/>
  <c r="P49" i="9"/>
  <c r="O49" i="9"/>
  <c r="K49" i="9"/>
  <c r="J49" i="9"/>
  <c r="I49" i="9"/>
  <c r="H49" i="9"/>
  <c r="G49" i="9"/>
  <c r="F49" i="9"/>
  <c r="A49" i="9"/>
  <c r="V49" i="9" s="1"/>
  <c r="Z48" i="9"/>
  <c r="Y48" i="9"/>
  <c r="U48" i="9"/>
  <c r="T48" i="9"/>
  <c r="S48" i="9"/>
  <c r="L48" i="9"/>
  <c r="K48" i="9"/>
  <c r="J48" i="9"/>
  <c r="I48" i="9"/>
  <c r="F48" i="9"/>
  <c r="A48" i="9"/>
  <c r="AD48" i="9" s="1"/>
  <c r="AE47" i="9"/>
  <c r="AD47" i="9"/>
  <c r="AA47" i="9"/>
  <c r="W47" i="9"/>
  <c r="V47" i="9"/>
  <c r="U47" i="9"/>
  <c r="T47" i="9"/>
  <c r="O47" i="9"/>
  <c r="N47" i="9"/>
  <c r="M47" i="9"/>
  <c r="L47" i="9"/>
  <c r="K47" i="9"/>
  <c r="G47" i="9"/>
  <c r="F47" i="9"/>
  <c r="A47" i="9"/>
  <c r="AA39" i="9"/>
  <c r="Z39" i="9"/>
  <c r="Y39" i="9"/>
  <c r="X39" i="9"/>
  <c r="T39" i="9"/>
  <c r="S39" i="9"/>
  <c r="R39" i="9"/>
  <c r="Q39" i="9"/>
  <c r="P39" i="9"/>
  <c r="L39" i="9"/>
  <c r="K39" i="9"/>
  <c r="J39" i="9"/>
  <c r="I39" i="9"/>
  <c r="H39" i="9"/>
  <c r="A39" i="9"/>
  <c r="W39" i="9" s="1"/>
  <c r="F38" i="9"/>
  <c r="A38" i="9"/>
  <c r="U38" i="9" s="1"/>
  <c r="W37" i="9"/>
  <c r="V37" i="9"/>
  <c r="U37" i="9"/>
  <c r="T37" i="9"/>
  <c r="L37" i="9"/>
  <c r="K37" i="9"/>
  <c r="G37" i="9"/>
  <c r="F37" i="9"/>
  <c r="A37" i="9"/>
  <c r="AE37" i="9" s="1"/>
  <c r="AD36" i="9"/>
  <c r="AI36" i="9" s="1"/>
  <c r="AA36" i="9"/>
  <c r="Z36" i="9"/>
  <c r="Y36" i="9"/>
  <c r="AG36" i="9" s="1"/>
  <c r="U36" i="9"/>
  <c r="Q36" i="9"/>
  <c r="M36" i="9"/>
  <c r="L36" i="9"/>
  <c r="K36" i="9"/>
  <c r="J36" i="9"/>
  <c r="F36" i="9"/>
  <c r="A36" i="9"/>
  <c r="AK35" i="9"/>
  <c r="AJ35" i="9"/>
  <c r="AH35" i="9"/>
  <c r="AA35" i="9"/>
  <c r="Z35" i="9"/>
  <c r="Y35" i="9"/>
  <c r="X35" i="9"/>
  <c r="W35" i="9"/>
  <c r="S35" i="9"/>
  <c r="R35" i="9"/>
  <c r="Q35" i="9"/>
  <c r="P35" i="9"/>
  <c r="O35" i="9"/>
  <c r="K35" i="9"/>
  <c r="J35" i="9"/>
  <c r="I35" i="9"/>
  <c r="H35" i="9"/>
  <c r="G35" i="9"/>
  <c r="F35" i="9"/>
  <c r="A35" i="9"/>
  <c r="V35" i="9" s="1"/>
  <c r="Y34" i="9"/>
  <c r="P34" i="9"/>
  <c r="N34" i="9"/>
  <c r="M34" i="9"/>
  <c r="F34" i="9"/>
  <c r="A34" i="9"/>
  <c r="X34" i="9" s="1"/>
  <c r="AE33" i="9"/>
  <c r="S33" i="9"/>
  <c r="O33" i="9"/>
  <c r="G33" i="9"/>
  <c r="F33" i="9"/>
  <c r="A33" i="9"/>
  <c r="U33" i="9" s="1"/>
  <c r="Z32" i="9"/>
  <c r="Y32" i="9"/>
  <c r="U32" i="9"/>
  <c r="T32" i="9"/>
  <c r="S32" i="9"/>
  <c r="M32" i="9"/>
  <c r="L32" i="9"/>
  <c r="K32" i="9"/>
  <c r="J32" i="9"/>
  <c r="I32" i="9"/>
  <c r="F32" i="9"/>
  <c r="A32" i="9"/>
  <c r="AD32" i="9" s="1"/>
  <c r="AI32" i="9" s="1"/>
  <c r="AA31" i="9"/>
  <c r="Z31" i="9"/>
  <c r="Y31" i="9"/>
  <c r="X31" i="9"/>
  <c r="W31" i="9"/>
  <c r="S31" i="9"/>
  <c r="R31" i="9"/>
  <c r="Q31" i="9"/>
  <c r="P31" i="9"/>
  <c r="O31" i="9"/>
  <c r="K31" i="9"/>
  <c r="J31" i="9"/>
  <c r="I31" i="9"/>
  <c r="H31" i="9"/>
  <c r="G31" i="9"/>
  <c r="F31" i="9"/>
  <c r="A31" i="9"/>
  <c r="V31" i="9" s="1"/>
  <c r="AE30" i="9"/>
  <c r="Y30" i="9"/>
  <c r="X30" i="9"/>
  <c r="W30" i="9"/>
  <c r="V30" i="9"/>
  <c r="U30" i="9"/>
  <c r="Q30" i="9"/>
  <c r="O30" i="9"/>
  <c r="N30" i="9"/>
  <c r="M30" i="9"/>
  <c r="I30" i="9"/>
  <c r="H30" i="9"/>
  <c r="G30" i="9"/>
  <c r="F30" i="9"/>
  <c r="A30" i="9"/>
  <c r="N29" i="9"/>
  <c r="M29" i="9"/>
  <c r="F29" i="9"/>
  <c r="A29" i="9"/>
  <c r="AA29" i="9" s="1"/>
  <c r="R28" i="9"/>
  <c r="J28" i="9"/>
  <c r="F28" i="9"/>
  <c r="A28" i="9"/>
  <c r="U28" i="9" s="1"/>
  <c r="AA27" i="9"/>
  <c r="Z27" i="9"/>
  <c r="AJ27" i="9" s="1"/>
  <c r="Y27" i="9"/>
  <c r="AG27" i="9" s="1"/>
  <c r="X27" i="9"/>
  <c r="W27" i="9"/>
  <c r="S27" i="9"/>
  <c r="R27" i="9"/>
  <c r="Q27" i="9"/>
  <c r="P27" i="9"/>
  <c r="O27" i="9"/>
  <c r="K27" i="9"/>
  <c r="J27" i="9"/>
  <c r="I27" i="9"/>
  <c r="H27" i="9"/>
  <c r="G27" i="9"/>
  <c r="F27" i="9"/>
  <c r="A27" i="9"/>
  <c r="V27" i="9" s="1"/>
  <c r="W26" i="9"/>
  <c r="V26" i="9"/>
  <c r="U26" i="9"/>
  <c r="Q26" i="9"/>
  <c r="I26" i="9"/>
  <c r="H26" i="9"/>
  <c r="G26" i="9"/>
  <c r="F26" i="9"/>
  <c r="A26" i="9"/>
  <c r="AE26" i="9" s="1"/>
  <c r="AE25" i="9"/>
  <c r="AD25" i="9"/>
  <c r="AI25" i="9" s="1"/>
  <c r="AA25" i="9"/>
  <c r="V25" i="9"/>
  <c r="T25" i="9"/>
  <c r="S25" i="9"/>
  <c r="N25" i="9"/>
  <c r="M25" i="9"/>
  <c r="L25" i="9"/>
  <c r="K25" i="9"/>
  <c r="F25" i="9"/>
  <c r="A25" i="9"/>
  <c r="AD24" i="9"/>
  <c r="AI24" i="9" s="1"/>
  <c r="AA24" i="9"/>
  <c r="Z24" i="9"/>
  <c r="AJ24" i="9" s="1"/>
  <c r="AK24" i="9" s="1"/>
  <c r="Y24" i="9"/>
  <c r="X24" i="9"/>
  <c r="T24" i="9"/>
  <c r="S24" i="9"/>
  <c r="R24" i="9"/>
  <c r="Q24" i="9"/>
  <c r="P24" i="9"/>
  <c r="L24" i="9"/>
  <c r="K24" i="9"/>
  <c r="J24" i="9"/>
  <c r="I24" i="9"/>
  <c r="H24" i="9"/>
  <c r="F24" i="9"/>
  <c r="A24" i="9"/>
  <c r="W24" i="9" s="1"/>
  <c r="AJ23" i="9"/>
  <c r="Z23" i="9"/>
  <c r="Y23" i="9"/>
  <c r="X23" i="9"/>
  <c r="W23" i="9"/>
  <c r="R23" i="9"/>
  <c r="Q23" i="9"/>
  <c r="P23" i="9"/>
  <c r="O23" i="9"/>
  <c r="J23" i="9"/>
  <c r="I23" i="9"/>
  <c r="H23" i="9"/>
  <c r="G23" i="9"/>
  <c r="A23" i="9"/>
  <c r="V23" i="9" s="1"/>
  <c r="V22" i="9"/>
  <c r="U22" i="9"/>
  <c r="K22" i="9"/>
  <c r="G22" i="9"/>
  <c r="F22" i="9"/>
  <c r="A22" i="9"/>
  <c r="AE22" i="9" s="1"/>
  <c r="AA21" i="9"/>
  <c r="Z21" i="9"/>
  <c r="AJ21" i="9" s="1"/>
  <c r="U21" i="9"/>
  <c r="M21" i="9"/>
  <c r="L21" i="9"/>
  <c r="J21" i="9"/>
  <c r="F21" i="9"/>
  <c r="A21" i="9"/>
  <c r="AD21" i="9" s="1"/>
  <c r="AI21" i="9" s="1"/>
  <c r="AE20" i="9"/>
  <c r="AA20" i="9"/>
  <c r="W20" i="9"/>
  <c r="V20" i="9"/>
  <c r="T20" i="9"/>
  <c r="O20" i="9"/>
  <c r="N20" i="9"/>
  <c r="M20" i="9"/>
  <c r="L20" i="9"/>
  <c r="K20" i="9"/>
  <c r="F20" i="9"/>
  <c r="A20" i="9"/>
  <c r="Z19" i="9"/>
  <c r="Y19" i="9"/>
  <c r="X19" i="9"/>
  <c r="W19" i="9"/>
  <c r="V19" i="9"/>
  <c r="S19" i="9"/>
  <c r="R19" i="9"/>
  <c r="Q19" i="9"/>
  <c r="P19" i="9"/>
  <c r="O19" i="9"/>
  <c r="N19" i="9"/>
  <c r="K19" i="9"/>
  <c r="J19" i="9"/>
  <c r="I19" i="9"/>
  <c r="H19" i="9"/>
  <c r="G19" i="9"/>
  <c r="F19" i="9"/>
  <c r="A19" i="9"/>
  <c r="AE19" i="9" s="1"/>
  <c r="A16" i="9"/>
  <c r="Z16" i="9" s="1"/>
  <c r="AD15" i="9"/>
  <c r="AA15" i="9"/>
  <c r="Z15" i="9"/>
  <c r="Y15" i="9"/>
  <c r="X15" i="9"/>
  <c r="W15" i="9"/>
  <c r="T15" i="9"/>
  <c r="S15" i="9"/>
  <c r="R15" i="9"/>
  <c r="Q15" i="9"/>
  <c r="P15" i="9"/>
  <c r="O15" i="9"/>
  <c r="L15" i="9"/>
  <c r="K15" i="9"/>
  <c r="J15" i="9"/>
  <c r="I15" i="9"/>
  <c r="H15" i="9"/>
  <c r="G15" i="9"/>
  <c r="A15" i="9"/>
  <c r="V15" i="9" s="1"/>
  <c r="AE14" i="9"/>
  <c r="AD14" i="9"/>
  <c r="AA14" i="9"/>
  <c r="W14" i="9"/>
  <c r="V14" i="9"/>
  <c r="U14" i="9"/>
  <c r="S14" i="9"/>
  <c r="O14" i="9"/>
  <c r="N14" i="9"/>
  <c r="M14" i="9"/>
  <c r="L14" i="9"/>
  <c r="K14" i="9"/>
  <c r="G14" i="9"/>
  <c r="A14" i="9"/>
  <c r="AA13" i="9"/>
  <c r="Z13" i="9"/>
  <c r="AJ13" i="9" s="1"/>
  <c r="AK13" i="9" s="1"/>
  <c r="Y13" i="9"/>
  <c r="X13" i="9"/>
  <c r="T13" i="9"/>
  <c r="S13" i="9"/>
  <c r="R13" i="9"/>
  <c r="Q13" i="9"/>
  <c r="P13" i="9"/>
  <c r="L13" i="9"/>
  <c r="K13" i="9"/>
  <c r="J13" i="9"/>
  <c r="I13" i="9"/>
  <c r="H13" i="9"/>
  <c r="F13" i="9"/>
  <c r="A13" i="9"/>
  <c r="W13" i="9" s="1"/>
  <c r="AB13" i="9" s="1"/>
  <c r="AE12" i="9"/>
  <c r="Y12" i="9"/>
  <c r="X12" i="9"/>
  <c r="W12" i="9"/>
  <c r="V12" i="9"/>
  <c r="U12" i="9"/>
  <c r="Q12" i="9"/>
  <c r="O12" i="9"/>
  <c r="N12" i="9"/>
  <c r="M12" i="9"/>
  <c r="I12" i="9"/>
  <c r="H12" i="9"/>
  <c r="G12" i="9"/>
  <c r="F12" i="9"/>
  <c r="A12" i="9"/>
  <c r="AD11" i="9"/>
  <c r="AI11" i="9" s="1"/>
  <c r="AA11" i="9"/>
  <c r="V11" i="9"/>
  <c r="N11" i="9"/>
  <c r="M11" i="9"/>
  <c r="K11" i="9"/>
  <c r="F11" i="9"/>
  <c r="A11" i="9"/>
  <c r="T11" i="9" s="1"/>
  <c r="AJ10" i="9"/>
  <c r="AK10" i="9" s="1"/>
  <c r="AI10" i="9"/>
  <c r="AD10" i="9"/>
  <c r="AA10" i="9"/>
  <c r="Z10" i="9"/>
  <c r="Y10" i="9"/>
  <c r="X10" i="9"/>
  <c r="W10" i="9"/>
  <c r="V10" i="9"/>
  <c r="T10" i="9"/>
  <c r="S10" i="9"/>
  <c r="R10" i="9"/>
  <c r="Q10" i="9"/>
  <c r="P10" i="9"/>
  <c r="O10" i="9"/>
  <c r="N10" i="9"/>
  <c r="L10" i="9"/>
  <c r="K10" i="9"/>
  <c r="J10" i="9"/>
  <c r="I10" i="9"/>
  <c r="H10" i="9"/>
  <c r="G10" i="9"/>
  <c r="F10" i="9"/>
  <c r="A10" i="9"/>
  <c r="AE10" i="9" s="1"/>
  <c r="AE9" i="9"/>
  <c r="W9" i="9"/>
  <c r="U9" i="9"/>
  <c r="T9" i="9"/>
  <c r="O9" i="9"/>
  <c r="L9" i="9"/>
  <c r="G9" i="9"/>
  <c r="F9" i="9"/>
  <c r="A9" i="9"/>
  <c r="AD9" i="9" s="1"/>
  <c r="AI9" i="9" s="1"/>
  <c r="AA8" i="9"/>
  <c r="Y8" i="9"/>
  <c r="AG8" i="9" s="1"/>
  <c r="U8" i="9"/>
  <c r="T8" i="9"/>
  <c r="S8" i="9"/>
  <c r="M8" i="9"/>
  <c r="K8" i="9"/>
  <c r="J8" i="9"/>
  <c r="I8" i="9"/>
  <c r="F8" i="9"/>
  <c r="A8" i="9"/>
  <c r="AD8" i="9" s="1"/>
  <c r="AI8" i="9" s="1"/>
  <c r="AE7" i="9"/>
  <c r="AD7" i="9"/>
  <c r="AA7" i="9"/>
  <c r="W7" i="9"/>
  <c r="V7" i="9"/>
  <c r="U7" i="9"/>
  <c r="T7" i="9"/>
  <c r="O7" i="9"/>
  <c r="N7" i="9"/>
  <c r="M7" i="9"/>
  <c r="L7" i="9"/>
  <c r="K7" i="9"/>
  <c r="G7" i="9"/>
  <c r="F7" i="9"/>
  <c r="A7" i="9"/>
  <c r="A6" i="9"/>
  <c r="V6" i="9" s="1"/>
  <c r="X1" i="9"/>
  <c r="W1" i="9"/>
  <c r="V1" i="9"/>
  <c r="U1" i="9"/>
  <c r="T1" i="9"/>
  <c r="S1" i="9"/>
  <c r="R1" i="9"/>
  <c r="Q1" i="9"/>
  <c r="P1" i="9"/>
  <c r="O1" i="9"/>
  <c r="N1" i="9"/>
  <c r="M1" i="9"/>
  <c r="L1" i="9"/>
  <c r="K1" i="9"/>
  <c r="J1" i="9"/>
  <c r="I1" i="9"/>
  <c r="H1" i="9"/>
  <c r="G1" i="9"/>
  <c r="Z28" i="10" l="1"/>
  <c r="AD28" i="10"/>
  <c r="AD31" i="10"/>
  <c r="Z31" i="10"/>
  <c r="AD37" i="10"/>
  <c r="Z37" i="10"/>
  <c r="Z40" i="10"/>
  <c r="AD40" i="10"/>
  <c r="Z48" i="10"/>
  <c r="AD48" i="10"/>
  <c r="AD19" i="10"/>
  <c r="Z19" i="10"/>
  <c r="Z47" i="10"/>
  <c r="AD47" i="10"/>
  <c r="AD9" i="10"/>
  <c r="Z9" i="10"/>
  <c r="Z12" i="10"/>
  <c r="AD12" i="10"/>
  <c r="AD20" i="10"/>
  <c r="Z20" i="10"/>
  <c r="AD29" i="10"/>
  <c r="Z29" i="10"/>
  <c r="Z24" i="10"/>
  <c r="AD24" i="10"/>
  <c r="Z35" i="10"/>
  <c r="AD35" i="10"/>
  <c r="AD38" i="10"/>
  <c r="Z38" i="10"/>
  <c r="AD53" i="10"/>
  <c r="Z53" i="10"/>
  <c r="AD13" i="10"/>
  <c r="Z13" i="10"/>
  <c r="Z21" i="10"/>
  <c r="AD21" i="10"/>
  <c r="Z27" i="10"/>
  <c r="AD27" i="10"/>
  <c r="AD33" i="10"/>
  <c r="Z33" i="10"/>
  <c r="AD6" i="10"/>
  <c r="Z6" i="10"/>
  <c r="Z23" i="10"/>
  <c r="AD23" i="10"/>
  <c r="Z39" i="10"/>
  <c r="AD39" i="10"/>
  <c r="AD44" i="10"/>
  <c r="Z44" i="10"/>
  <c r="AD10" i="10"/>
  <c r="Z10" i="10"/>
  <c r="Z36" i="10"/>
  <c r="AD36" i="10"/>
  <c r="AD50" i="10"/>
  <c r="Z50" i="10"/>
  <c r="Z51" i="10"/>
  <c r="AD51" i="10"/>
  <c r="Z32" i="10"/>
  <c r="AD32" i="10"/>
  <c r="AD7" i="10"/>
  <c r="Z7" i="10"/>
  <c r="Z42" i="10"/>
  <c r="AD42" i="10"/>
  <c r="Z8" i="10"/>
  <c r="AD8" i="10"/>
  <c r="Z11" i="10"/>
  <c r="AD11" i="10"/>
  <c r="AD22" i="10"/>
  <c r="Z22" i="10"/>
  <c r="AD52" i="10"/>
  <c r="Z52" i="10"/>
  <c r="Z26" i="10"/>
  <c r="Z30" i="10"/>
  <c r="Z34" i="10"/>
  <c r="AK21" i="9"/>
  <c r="L42" i="9"/>
  <c r="AG34" i="9"/>
  <c r="H6" i="9"/>
  <c r="R6" i="9"/>
  <c r="AE6" i="9"/>
  <c r="L8" i="9"/>
  <c r="Z8" i="9"/>
  <c r="H9" i="9"/>
  <c r="V9" i="9"/>
  <c r="R11" i="9"/>
  <c r="R42" i="9" s="1"/>
  <c r="AE11" i="9"/>
  <c r="I16" i="9"/>
  <c r="W16" i="9"/>
  <c r="Z20" i="9"/>
  <c r="AH20" i="9" s="1"/>
  <c r="R20" i="9"/>
  <c r="R44" i="9" s="1"/>
  <c r="R43" i="9" s="1"/>
  <c r="J20" i="9"/>
  <c r="Q20" i="9"/>
  <c r="Q44" i="9" s="1"/>
  <c r="I20" i="9"/>
  <c r="X20" i="9"/>
  <c r="P20" i="9"/>
  <c r="H20" i="9"/>
  <c r="S20" i="9"/>
  <c r="S44" i="9" s="1"/>
  <c r="S43" i="9" s="1"/>
  <c r="Q21" i="9"/>
  <c r="L22" i="9"/>
  <c r="L40" i="9" s="1"/>
  <c r="W22" i="9"/>
  <c r="W44" i="9" s="1"/>
  <c r="W43" i="9" s="1"/>
  <c r="S28" i="9"/>
  <c r="S29" i="9"/>
  <c r="G38" i="9"/>
  <c r="Q6" i="9"/>
  <c r="AA6" i="9"/>
  <c r="J16" i="9"/>
  <c r="X16" i="9"/>
  <c r="X21" i="9"/>
  <c r="P21" i="9"/>
  <c r="P40" i="9" s="1"/>
  <c r="H21" i="9"/>
  <c r="W21" i="9"/>
  <c r="O21" i="9"/>
  <c r="G21" i="9"/>
  <c r="V21" i="9"/>
  <c r="N21" i="9"/>
  <c r="AE21" i="9"/>
  <c r="M22" i="9"/>
  <c r="M40" i="9" s="1"/>
  <c r="AA22" i="9"/>
  <c r="AJ32" i="9"/>
  <c r="AK32" i="9" s="1"/>
  <c r="AH36" i="9"/>
  <c r="AJ36" i="9"/>
  <c r="AK36" i="9" s="1"/>
  <c r="O38" i="9"/>
  <c r="J6" i="9"/>
  <c r="Z7" i="9"/>
  <c r="R7" i="9"/>
  <c r="J7" i="9"/>
  <c r="Y7" i="9"/>
  <c r="AG7" i="9" s="1"/>
  <c r="Q7" i="9"/>
  <c r="I7" i="9"/>
  <c r="X7" i="9"/>
  <c r="H7" i="9"/>
  <c r="P7" i="9"/>
  <c r="S7" i="9"/>
  <c r="Q8" i="9"/>
  <c r="M9" i="9"/>
  <c r="M17" i="9" s="1"/>
  <c r="X9" i="9"/>
  <c r="AG10" i="9"/>
  <c r="AD12" i="9"/>
  <c r="AI12" i="9" s="1"/>
  <c r="AI14" i="9" s="1"/>
  <c r="T12" i="9"/>
  <c r="L12" i="9"/>
  <c r="AA12" i="9"/>
  <c r="AG12" i="9" s="1"/>
  <c r="S12" i="9"/>
  <c r="K12" i="9"/>
  <c r="Z12" i="9"/>
  <c r="AJ12" i="9" s="1"/>
  <c r="R12" i="9"/>
  <c r="J12" i="9"/>
  <c r="P12" i="9"/>
  <c r="Z14" i="9"/>
  <c r="R14" i="9"/>
  <c r="J14" i="9"/>
  <c r="Y14" i="9"/>
  <c r="AG14" i="9" s="1"/>
  <c r="Q14" i="9"/>
  <c r="I14" i="9"/>
  <c r="X14" i="9"/>
  <c r="P14" i="9"/>
  <c r="H14" i="9"/>
  <c r="T14" i="9"/>
  <c r="AG15" i="9"/>
  <c r="K16" i="9"/>
  <c r="Y16" i="9"/>
  <c r="G20" i="9"/>
  <c r="U20" i="9"/>
  <c r="S21" i="9"/>
  <c r="N22" i="9"/>
  <c r="AD22" i="9"/>
  <c r="AI22" i="9" s="1"/>
  <c r="Z25" i="9"/>
  <c r="R25" i="9"/>
  <c r="J25" i="9"/>
  <c r="Y25" i="9"/>
  <c r="AG25" i="9" s="1"/>
  <c r="Q25" i="9"/>
  <c r="I25" i="9"/>
  <c r="X25" i="9"/>
  <c r="P25" i="9"/>
  <c r="H25" i="9"/>
  <c r="W25" i="9"/>
  <c r="O25" i="9"/>
  <c r="G25" i="9"/>
  <c r="U25" i="9"/>
  <c r="AK27" i="9"/>
  <c r="AE28" i="9"/>
  <c r="AD29" i="9"/>
  <c r="AI29" i="9" s="1"/>
  <c r="P38" i="9"/>
  <c r="AD6" i="9"/>
  <c r="U6" i="9"/>
  <c r="M6" i="9"/>
  <c r="T6" i="9"/>
  <c r="L6" i="9"/>
  <c r="P6" i="9"/>
  <c r="Z6" i="9"/>
  <c r="I6" i="9"/>
  <c r="S6" i="9"/>
  <c r="Y11" i="9"/>
  <c r="AG11" i="9" s="1"/>
  <c r="Q11" i="9"/>
  <c r="I11" i="9"/>
  <c r="X11" i="9"/>
  <c r="P11" i="9"/>
  <c r="H11" i="9"/>
  <c r="W11" i="9"/>
  <c r="O11" i="9"/>
  <c r="G11" i="9"/>
  <c r="S11" i="9"/>
  <c r="S42" i="9" s="1"/>
  <c r="R21" i="9"/>
  <c r="K6" i="9"/>
  <c r="W6" i="9"/>
  <c r="X8" i="9"/>
  <c r="P8" i="9"/>
  <c r="H8" i="9"/>
  <c r="H17" i="9" s="1"/>
  <c r="W8" i="9"/>
  <c r="W17" i="9" s="1"/>
  <c r="O8" i="9"/>
  <c r="G8" i="9"/>
  <c r="V8" i="9"/>
  <c r="N8" i="9"/>
  <c r="R8" i="9"/>
  <c r="AE8" i="9"/>
  <c r="N9" i="9"/>
  <c r="J11" i="9"/>
  <c r="U11" i="9"/>
  <c r="AG13" i="9"/>
  <c r="O16" i="9"/>
  <c r="I21" i="9"/>
  <c r="T21" i="9"/>
  <c r="O22" i="9"/>
  <c r="O44" i="9" s="1"/>
  <c r="AJ31" i="9"/>
  <c r="AK31" i="9" s="1"/>
  <c r="AH31" i="9"/>
  <c r="Z33" i="9"/>
  <c r="R33" i="9"/>
  <c r="J33" i="9"/>
  <c r="Y33" i="9"/>
  <c r="Q33" i="9"/>
  <c r="I33" i="9"/>
  <c r="X33" i="9"/>
  <c r="P33" i="9"/>
  <c r="H33" i="9"/>
  <c r="AD33" i="9"/>
  <c r="AI33" i="9" s="1"/>
  <c r="N33" i="9"/>
  <c r="AA33" i="9"/>
  <c r="M33" i="9"/>
  <c r="W33" i="9"/>
  <c r="W42" i="9" s="1"/>
  <c r="L33" i="9"/>
  <c r="V33" i="9"/>
  <c r="V42" i="9" s="1"/>
  <c r="K33" i="9"/>
  <c r="T33" i="9"/>
  <c r="AD34" i="9"/>
  <c r="AI34" i="9" s="1"/>
  <c r="T34" i="9"/>
  <c r="L34" i="9"/>
  <c r="AA34" i="9"/>
  <c r="S34" i="9"/>
  <c r="K34" i="9"/>
  <c r="Z34" i="9"/>
  <c r="R34" i="9"/>
  <c r="J34" i="9"/>
  <c r="W34" i="9"/>
  <c r="I34" i="9"/>
  <c r="V34" i="9"/>
  <c r="H34" i="9"/>
  <c r="U34" i="9"/>
  <c r="G34" i="9"/>
  <c r="Q34" i="9"/>
  <c r="AE34" i="9"/>
  <c r="O34" i="9"/>
  <c r="AG39" i="9"/>
  <c r="AD39" i="9"/>
  <c r="U17" i="9"/>
  <c r="V16" i="9"/>
  <c r="N16" i="9"/>
  <c r="AE16" i="9"/>
  <c r="U16" i="9"/>
  <c r="M16" i="9"/>
  <c r="AD16" i="9"/>
  <c r="T16" i="9"/>
  <c r="L16" i="9"/>
  <c r="R16" i="9"/>
  <c r="AH21" i="9"/>
  <c r="AD38" i="9"/>
  <c r="AI38" i="9" s="1"/>
  <c r="T38" i="9"/>
  <c r="L38" i="9"/>
  <c r="AA38" i="9"/>
  <c r="S38" i="9"/>
  <c r="K38" i="9"/>
  <c r="Z38" i="9"/>
  <c r="R38" i="9"/>
  <c r="J38" i="9"/>
  <c r="Y38" i="9"/>
  <c r="N38" i="9"/>
  <c r="X38" i="9"/>
  <c r="X42" i="9" s="1"/>
  <c r="M38" i="9"/>
  <c r="W38" i="9"/>
  <c r="I38" i="9"/>
  <c r="V38" i="9"/>
  <c r="H38" i="9"/>
  <c r="Q38" i="9"/>
  <c r="G6" i="9"/>
  <c r="AC6" i="9" s="1"/>
  <c r="H16" i="9"/>
  <c r="S16" i="9"/>
  <c r="U42" i="9"/>
  <c r="AA16" i="9"/>
  <c r="AG24" i="9"/>
  <c r="X28" i="9"/>
  <c r="P28" i="9"/>
  <c r="H28" i="9"/>
  <c r="H44" i="9" s="1"/>
  <c r="W28" i="9"/>
  <c r="O28" i="9"/>
  <c r="O42" i="9" s="1"/>
  <c r="G28" i="9"/>
  <c r="V28" i="9"/>
  <c r="N28" i="9"/>
  <c r="N42" i="9" s="1"/>
  <c r="AD28" i="9"/>
  <c r="AI28" i="9" s="1"/>
  <c r="Q28" i="9"/>
  <c r="AA28" i="9"/>
  <c r="AA40" i="9" s="1"/>
  <c r="AI40" i="9" s="1"/>
  <c r="M28" i="9"/>
  <c r="Z28" i="9"/>
  <c r="L28" i="9"/>
  <c r="Y28" i="9"/>
  <c r="K28" i="9"/>
  <c r="T28" i="9"/>
  <c r="I28" i="9"/>
  <c r="Z29" i="9"/>
  <c r="R29" i="9"/>
  <c r="J29" i="9"/>
  <c r="Y29" i="9"/>
  <c r="AG29" i="9" s="1"/>
  <c r="Q29" i="9"/>
  <c r="I29" i="9"/>
  <c r="X29" i="9"/>
  <c r="P29" i="9"/>
  <c r="H29" i="9"/>
  <c r="W29" i="9"/>
  <c r="L29" i="9"/>
  <c r="V29" i="9"/>
  <c r="K29" i="9"/>
  <c r="U29" i="9"/>
  <c r="G29" i="9"/>
  <c r="T29" i="9"/>
  <c r="AE29" i="9"/>
  <c r="O29" i="9"/>
  <c r="AE38" i="9"/>
  <c r="AD50" i="9"/>
  <c r="T50" i="9"/>
  <c r="L50" i="9"/>
  <c r="AA50" i="9"/>
  <c r="AG50" i="9" s="1"/>
  <c r="S50" i="9"/>
  <c r="K50" i="9"/>
  <c r="K53" i="9" s="1"/>
  <c r="Z50" i="9"/>
  <c r="R50" i="9"/>
  <c r="J50" i="9"/>
  <c r="W50" i="9"/>
  <c r="O50" i="9"/>
  <c r="G50" i="9"/>
  <c r="Q50" i="9"/>
  <c r="P50" i="9"/>
  <c r="N50" i="9"/>
  <c r="AE50" i="9"/>
  <c r="M50" i="9"/>
  <c r="X50" i="9"/>
  <c r="H50" i="9"/>
  <c r="M42" i="9"/>
  <c r="N6" i="9"/>
  <c r="X6" i="9"/>
  <c r="P16" i="9"/>
  <c r="Z22" i="9"/>
  <c r="R22" i="9"/>
  <c r="J22" i="9"/>
  <c r="J44" i="9" s="1"/>
  <c r="Y22" i="9"/>
  <c r="AG22" i="9" s="1"/>
  <c r="Q22" i="9"/>
  <c r="I22" i="9"/>
  <c r="X22" i="9"/>
  <c r="P22" i="9"/>
  <c r="H22" i="9"/>
  <c r="S22" i="9"/>
  <c r="O6" i="9"/>
  <c r="Y6" i="9"/>
  <c r="T17" i="9"/>
  <c r="AA9" i="9"/>
  <c r="AA17" i="9" s="1"/>
  <c r="S9" i="9"/>
  <c r="K9" i="9"/>
  <c r="K17" i="9" s="1"/>
  <c r="Z9" i="9"/>
  <c r="AJ9" i="9" s="1"/>
  <c r="AK9" i="9" s="1"/>
  <c r="R9" i="9"/>
  <c r="J9" i="9"/>
  <c r="J17" i="9" s="1"/>
  <c r="Y9" i="9"/>
  <c r="AG9" i="9" s="1"/>
  <c r="Q9" i="9"/>
  <c r="I9" i="9"/>
  <c r="P9" i="9"/>
  <c r="L11" i="9"/>
  <c r="Z11" i="9"/>
  <c r="AJ11" i="9" s="1"/>
  <c r="AK11" i="9" s="1"/>
  <c r="Q16" i="9"/>
  <c r="K21" i="9"/>
  <c r="Y21" i="9"/>
  <c r="T22" i="9"/>
  <c r="AH24" i="9"/>
  <c r="L53" i="9"/>
  <c r="AG32" i="9"/>
  <c r="M13" i="9"/>
  <c r="U13" i="9"/>
  <c r="AD13" i="9"/>
  <c r="AI13" i="9" s="1"/>
  <c r="AA19" i="9"/>
  <c r="K23" i="9"/>
  <c r="S23" i="9"/>
  <c r="AA23" i="9"/>
  <c r="M24" i="9"/>
  <c r="U24" i="9"/>
  <c r="AE24" i="9"/>
  <c r="M26" i="9"/>
  <c r="X26" i="9"/>
  <c r="AH27" i="9"/>
  <c r="AA32" i="9"/>
  <c r="AH32" i="9" s="1"/>
  <c r="X36" i="9"/>
  <c r="P36" i="9"/>
  <c r="H36" i="9"/>
  <c r="W36" i="9"/>
  <c r="O36" i="9"/>
  <c r="G36" i="9"/>
  <c r="V36" i="9"/>
  <c r="N36" i="9"/>
  <c r="R36" i="9"/>
  <c r="AE36" i="9"/>
  <c r="M37" i="9"/>
  <c r="AA37" i="9"/>
  <c r="O53" i="9"/>
  <c r="M48" i="9"/>
  <c r="M53" i="9" s="1"/>
  <c r="AA48" i="9"/>
  <c r="AE56" i="9" s="1"/>
  <c r="M10" i="9"/>
  <c r="U10" i="9"/>
  <c r="N13" i="9"/>
  <c r="V13" i="9"/>
  <c r="AE13" i="9"/>
  <c r="M15" i="9"/>
  <c r="U15" i="9"/>
  <c r="AE15" i="9"/>
  <c r="L19" i="9"/>
  <c r="T19" i="9"/>
  <c r="AD19" i="9"/>
  <c r="L23" i="9"/>
  <c r="T23" i="9"/>
  <c r="N24" i="9"/>
  <c r="V24" i="9"/>
  <c r="N26" i="9"/>
  <c r="Y26" i="9"/>
  <c r="AD30" i="9"/>
  <c r="AI30" i="9" s="1"/>
  <c r="T30" i="9"/>
  <c r="L30" i="9"/>
  <c r="AA30" i="9"/>
  <c r="AG30" i="9" s="1"/>
  <c r="S30" i="9"/>
  <c r="K30" i="9"/>
  <c r="K42" i="9" s="1"/>
  <c r="Z30" i="9"/>
  <c r="R30" i="9"/>
  <c r="J30" i="9"/>
  <c r="P30" i="9"/>
  <c r="Q32" i="9"/>
  <c r="AG35" i="9"/>
  <c r="S36" i="9"/>
  <c r="N37" i="9"/>
  <c r="AD37" i="9"/>
  <c r="AI37" i="9" s="1"/>
  <c r="Z47" i="9"/>
  <c r="R47" i="9"/>
  <c r="J47" i="9"/>
  <c r="Y47" i="9"/>
  <c r="Q47" i="9"/>
  <c r="Q53" i="9" s="1"/>
  <c r="I47" i="9"/>
  <c r="I53" i="9" s="1"/>
  <c r="X47" i="9"/>
  <c r="P47" i="9"/>
  <c r="H47" i="9"/>
  <c r="S47" i="9"/>
  <c r="S53" i="9" s="1"/>
  <c r="Q48" i="9"/>
  <c r="AG49" i="9"/>
  <c r="G13" i="9"/>
  <c r="O13" i="9"/>
  <c r="N15" i="9"/>
  <c r="M19" i="9"/>
  <c r="U19" i="9"/>
  <c r="M23" i="9"/>
  <c r="U23" i="9"/>
  <c r="U40" i="9" s="1"/>
  <c r="AE23" i="9"/>
  <c r="G24" i="9"/>
  <c r="O24" i="9"/>
  <c r="O26" i="9"/>
  <c r="X32" i="9"/>
  <c r="P32" i="9"/>
  <c r="H32" i="9"/>
  <c r="W32" i="9"/>
  <c r="O32" i="9"/>
  <c r="G32" i="9"/>
  <c r="V32" i="9"/>
  <c r="V44" i="9" s="1"/>
  <c r="V43" i="9" s="1"/>
  <c r="N32" i="9"/>
  <c r="R32" i="9"/>
  <c r="AE32" i="9"/>
  <c r="I36" i="9"/>
  <c r="T36" i="9"/>
  <c r="O37" i="9"/>
  <c r="X48" i="9"/>
  <c r="P48" i="9"/>
  <c r="H48" i="9"/>
  <c r="W48" i="9"/>
  <c r="W53" i="9" s="1"/>
  <c r="O48" i="9"/>
  <c r="G48" i="9"/>
  <c r="V48" i="9"/>
  <c r="V53" i="9" s="1"/>
  <c r="N48" i="9"/>
  <c r="N53" i="9" s="1"/>
  <c r="R48" i="9"/>
  <c r="AE48" i="9"/>
  <c r="N23" i="9"/>
  <c r="AD26" i="9"/>
  <c r="AI26" i="9" s="1"/>
  <c r="T26" i="9"/>
  <c r="L26" i="9"/>
  <c r="AA26" i="9"/>
  <c r="S26" i="9"/>
  <c r="K26" i="9"/>
  <c r="Z26" i="9"/>
  <c r="R26" i="9"/>
  <c r="J26" i="9"/>
  <c r="P26" i="9"/>
  <c r="AG31" i="9"/>
  <c r="Z37" i="9"/>
  <c r="R37" i="9"/>
  <c r="J37" i="9"/>
  <c r="Y37" i="9"/>
  <c r="AG37" i="9" s="1"/>
  <c r="Q37" i="9"/>
  <c r="I37" i="9"/>
  <c r="X37" i="9"/>
  <c r="P37" i="9"/>
  <c r="H37" i="9"/>
  <c r="S37" i="9"/>
  <c r="U53" i="9"/>
  <c r="M51" i="9"/>
  <c r="U51" i="9"/>
  <c r="AE51" i="9"/>
  <c r="L52" i="9"/>
  <c r="T52" i="9"/>
  <c r="AD52" i="9"/>
  <c r="N52" i="9"/>
  <c r="V52" i="9"/>
  <c r="L27" i="9"/>
  <c r="T27" i="9"/>
  <c r="AD27" i="9"/>
  <c r="AI27" i="9" s="1"/>
  <c r="L31" i="9"/>
  <c r="T31" i="9"/>
  <c r="AD31" i="9"/>
  <c r="AI31" i="9" s="1"/>
  <c r="L35" i="9"/>
  <c r="T35" i="9"/>
  <c r="AD35" i="9"/>
  <c r="AI35" i="9" s="1"/>
  <c r="M39" i="9"/>
  <c r="U39" i="9"/>
  <c r="AE39" i="9"/>
  <c r="L49" i="9"/>
  <c r="T49" i="9"/>
  <c r="T53" i="9" s="1"/>
  <c r="AD49" i="9"/>
  <c r="H51" i="9"/>
  <c r="P51" i="9"/>
  <c r="X51" i="9"/>
  <c r="G52" i="9"/>
  <c r="O52" i="9"/>
  <c r="W52" i="9"/>
  <c r="M27" i="9"/>
  <c r="U27" i="9"/>
  <c r="AE27" i="9"/>
  <c r="M31" i="9"/>
  <c r="U31" i="9"/>
  <c r="AE31" i="9"/>
  <c r="M35" i="9"/>
  <c r="U35" i="9"/>
  <c r="AE35" i="9"/>
  <c r="N39" i="9"/>
  <c r="V39" i="9"/>
  <c r="M49" i="9"/>
  <c r="U49" i="9"/>
  <c r="AE49" i="9"/>
  <c r="I51" i="9"/>
  <c r="Q51" i="9"/>
  <c r="Y51" i="9"/>
  <c r="AG51" i="9" s="1"/>
  <c r="H52" i="9"/>
  <c r="P52" i="9"/>
  <c r="X52" i="9"/>
  <c r="N27" i="9"/>
  <c r="N31" i="9"/>
  <c r="N35" i="9"/>
  <c r="G39" i="9"/>
  <c r="O39" i="9"/>
  <c r="N49" i="9"/>
  <c r="J51" i="9"/>
  <c r="R51" i="9"/>
  <c r="I52" i="9"/>
  <c r="Q52" i="9"/>
  <c r="W45" i="9" l="1"/>
  <c r="BF3" i="9"/>
  <c r="V45" i="9"/>
  <c r="BE3" i="9"/>
  <c r="S45" i="9"/>
  <c r="BB3" i="9"/>
  <c r="O43" i="9"/>
  <c r="R45" i="9"/>
  <c r="BA3" i="9"/>
  <c r="AI39" i="9"/>
  <c r="AJ26" i="9"/>
  <c r="AK26" i="9" s="1"/>
  <c r="AH26" i="9"/>
  <c r="I44" i="9"/>
  <c r="I43" i="9" s="1"/>
  <c r="AJ22" i="9"/>
  <c r="AH22" i="9"/>
  <c r="AJ37" i="9"/>
  <c r="AK37" i="9" s="1"/>
  <c r="AH37" i="9"/>
  <c r="J53" i="9"/>
  <c r="S17" i="9"/>
  <c r="AG38" i="9"/>
  <c r="AG33" i="9"/>
  <c r="I40" i="9"/>
  <c r="P17" i="9"/>
  <c r="Y20" i="9"/>
  <c r="P42" i="9"/>
  <c r="V40" i="9"/>
  <c r="Y17" i="9"/>
  <c r="Q40" i="9"/>
  <c r="H42" i="9"/>
  <c r="H43" i="9" s="1"/>
  <c r="AJ29" i="9"/>
  <c r="AK29" i="9" s="1"/>
  <c r="AH29" i="9"/>
  <c r="X40" i="9"/>
  <c r="R53" i="9"/>
  <c r="T44" i="9"/>
  <c r="AG48" i="9"/>
  <c r="AG21" i="9"/>
  <c r="Y40" i="9"/>
  <c r="AD40" i="9" s="1"/>
  <c r="I42" i="9"/>
  <c r="I17" i="9"/>
  <c r="AG28" i="9"/>
  <c r="J40" i="9"/>
  <c r="X44" i="9"/>
  <c r="X43" i="9" s="1"/>
  <c r="R17" i="9"/>
  <c r="X17" i="9"/>
  <c r="T42" i="9"/>
  <c r="G40" i="9"/>
  <c r="G42" i="9"/>
  <c r="AJ8" i="9"/>
  <c r="Z17" i="9"/>
  <c r="AG19" i="9"/>
  <c r="AH19" i="9"/>
  <c r="S40" i="9"/>
  <c r="T40" i="9"/>
  <c r="N40" i="9"/>
  <c r="U44" i="9"/>
  <c r="U43" i="9" s="1"/>
  <c r="H53" i="9"/>
  <c r="Z53" i="9"/>
  <c r="AG53" i="9"/>
  <c r="AG26" i="9"/>
  <c r="L44" i="9"/>
  <c r="L43" i="9" s="1"/>
  <c r="AH23" i="9"/>
  <c r="AK23" i="9"/>
  <c r="AH53" i="9"/>
  <c r="K40" i="9"/>
  <c r="N44" i="9"/>
  <c r="N43" i="9" s="1"/>
  <c r="N17" i="9"/>
  <c r="K44" i="9"/>
  <c r="K43" i="9" s="1"/>
  <c r="AD23" i="9"/>
  <c r="AI23" i="9" s="1"/>
  <c r="O40" i="9"/>
  <c r="G44" i="9"/>
  <c r="L17" i="9"/>
  <c r="AD56" i="9"/>
  <c r="Y53" i="9"/>
  <c r="AD53" i="9" s="1"/>
  <c r="AF53" i="9"/>
  <c r="AG47" i="9"/>
  <c r="M44" i="9"/>
  <c r="M43" i="9" s="1"/>
  <c r="P53" i="9"/>
  <c r="AH30" i="9"/>
  <c r="AJ30" i="9"/>
  <c r="AK30" i="9" s="1"/>
  <c r="AA53" i="9"/>
  <c r="Z44" i="9"/>
  <c r="AH28" i="9"/>
  <c r="AJ28" i="9"/>
  <c r="AK28" i="9" s="1"/>
  <c r="AJ38" i="9"/>
  <c r="AK38" i="9" s="1"/>
  <c r="AH38" i="9"/>
  <c r="Z40" i="9"/>
  <c r="AJ34" i="9"/>
  <c r="AK34" i="9" s="1"/>
  <c r="AH34" i="9"/>
  <c r="AJ33" i="9"/>
  <c r="AK33" i="9" s="1"/>
  <c r="AH33" i="9"/>
  <c r="V17" i="9"/>
  <c r="AJ25" i="9"/>
  <c r="AK25" i="9" s="1"/>
  <c r="AH25" i="9"/>
  <c r="AG16" i="9"/>
  <c r="AG23" i="9"/>
  <c r="W40" i="9"/>
  <c r="O17" i="9"/>
  <c r="Q17" i="9"/>
  <c r="X53" i="9"/>
  <c r="P44" i="9"/>
  <c r="P43" i="9" s="1"/>
  <c r="J42" i="9"/>
  <c r="J43" i="9" s="1"/>
  <c r="AG6" i="9"/>
  <c r="G17" i="9"/>
  <c r="R40" i="9"/>
  <c r="AK12" i="9"/>
  <c r="Q42" i="9"/>
  <c r="Q43" i="9" s="1"/>
  <c r="H40" i="9"/>
  <c r="J45" i="9" l="1"/>
  <c r="AR3" i="9"/>
  <c r="H45" i="9"/>
  <c r="AP3" i="9"/>
  <c r="Q45" i="9"/>
  <c r="AZ3" i="9"/>
  <c r="L45" i="9"/>
  <c r="AU3" i="9"/>
  <c r="P45" i="9"/>
  <c r="AX3" i="9"/>
  <c r="X45" i="9"/>
  <c r="BG3" i="9"/>
  <c r="Z42" i="9"/>
  <c r="AA44" i="9"/>
  <c r="I45" i="9"/>
  <c r="AQ3" i="9"/>
  <c r="K45" i="9"/>
  <c r="AS3" i="9"/>
  <c r="AG17" i="9"/>
  <c r="AD17" i="9"/>
  <c r="T43" i="9"/>
  <c r="N45" i="9"/>
  <c r="AY3" i="9"/>
  <c r="AJ14" i="9"/>
  <c r="AK8" i="9"/>
  <c r="AK14" i="9" s="1"/>
  <c r="AG20" i="9"/>
  <c r="Y44" i="9"/>
  <c r="M45" i="9"/>
  <c r="AV3" i="9"/>
  <c r="Y42" i="9"/>
  <c r="U45" i="9"/>
  <c r="BD3" i="9"/>
  <c r="AG44" i="9"/>
  <c r="G43" i="9"/>
  <c r="AK22" i="9"/>
  <c r="AJ39" i="9"/>
  <c r="O45" i="9"/>
  <c r="AW3" i="9"/>
  <c r="AA42" i="9" l="1"/>
  <c r="AD42" i="9" s="1"/>
  <c r="Y43" i="9"/>
  <c r="AD44" i="9"/>
  <c r="AK39" i="9"/>
  <c r="AJ40" i="9"/>
  <c r="AK40" i="9" s="1"/>
  <c r="G45" i="9"/>
  <c r="AB43" i="9"/>
  <c r="AO3" i="9"/>
  <c r="BC3" i="9"/>
  <c r="T45" i="9"/>
  <c r="AA43" i="9" l="1"/>
  <c r="AA45" i="9" s="1"/>
  <c r="Y45" i="9"/>
  <c r="AD43" i="9" l="1"/>
  <c r="AC53" i="8" l="1"/>
  <c r="AA53" i="8"/>
  <c r="X53" i="8"/>
  <c r="W53" i="8"/>
  <c r="V53" i="8"/>
  <c r="U53" i="8"/>
  <c r="T53" i="8"/>
  <c r="S53" i="8"/>
  <c r="R53" i="8"/>
  <c r="Q53" i="8"/>
  <c r="P53" i="8"/>
  <c r="O53" i="8"/>
  <c r="N53" i="8"/>
  <c r="M53" i="8"/>
  <c r="L53" i="8"/>
  <c r="K53" i="8"/>
  <c r="J53" i="8"/>
  <c r="I53" i="8"/>
  <c r="H53" i="8"/>
  <c r="G53" i="8"/>
  <c r="Y53" i="8" s="1"/>
  <c r="AE52" i="8"/>
  <c r="AC52" i="8"/>
  <c r="AA52" i="8"/>
  <c r="X52" i="8"/>
  <c r="W52" i="8"/>
  <c r="V52" i="8"/>
  <c r="U52" i="8"/>
  <c r="T52" i="8"/>
  <c r="S52" i="8"/>
  <c r="R52" i="8"/>
  <c r="Q52" i="8"/>
  <c r="P52" i="8"/>
  <c r="O52" i="8"/>
  <c r="N52" i="8"/>
  <c r="M52" i="8"/>
  <c r="L52" i="8"/>
  <c r="K52" i="8"/>
  <c r="J52" i="8"/>
  <c r="I52" i="8"/>
  <c r="H52" i="8"/>
  <c r="G52" i="8"/>
  <c r="Y52" i="8" s="1"/>
  <c r="E52" i="8"/>
  <c r="D52" i="8"/>
  <c r="C52" i="8"/>
  <c r="B52" i="8"/>
  <c r="A52" i="8"/>
  <c r="AC51" i="8"/>
  <c r="AA51" i="8"/>
  <c r="X51" i="8"/>
  <c r="W51" i="8"/>
  <c r="V51" i="8"/>
  <c r="U51" i="8"/>
  <c r="T51" i="8"/>
  <c r="S51" i="8"/>
  <c r="R51" i="8"/>
  <c r="Q51" i="8"/>
  <c r="P51" i="8"/>
  <c r="O51" i="8"/>
  <c r="N51" i="8"/>
  <c r="M51" i="8"/>
  <c r="L51" i="8"/>
  <c r="K51" i="8"/>
  <c r="J51" i="8"/>
  <c r="I51" i="8"/>
  <c r="H51" i="8"/>
  <c r="G51" i="8"/>
  <c r="Y51" i="8" s="1"/>
  <c r="F51" i="8"/>
  <c r="E51" i="8"/>
  <c r="D51" i="8"/>
  <c r="C51" i="8"/>
  <c r="B51" i="8"/>
  <c r="A51" i="8"/>
  <c r="AE51" i="8" s="1"/>
  <c r="AC50" i="8"/>
  <c r="AA50" i="8"/>
  <c r="X50" i="8"/>
  <c r="W50" i="8"/>
  <c r="V50" i="8"/>
  <c r="U50" i="8"/>
  <c r="T50" i="8"/>
  <c r="S50" i="8"/>
  <c r="R50" i="8"/>
  <c r="Q50" i="8"/>
  <c r="P50" i="8"/>
  <c r="O50" i="8"/>
  <c r="N50" i="8"/>
  <c r="M50" i="8"/>
  <c r="L50" i="8"/>
  <c r="K50" i="8"/>
  <c r="J50" i="8"/>
  <c r="I50" i="8"/>
  <c r="Y50" i="8" s="1"/>
  <c r="H50" i="8"/>
  <c r="G50" i="8"/>
  <c r="F50" i="8"/>
  <c r="E50" i="8"/>
  <c r="D50" i="8"/>
  <c r="C50" i="8"/>
  <c r="B50" i="8"/>
  <c r="A50" i="8"/>
  <c r="AE50" i="8" s="1"/>
  <c r="AC49" i="8"/>
  <c r="AA49" i="8"/>
  <c r="X49" i="8"/>
  <c r="W49" i="8"/>
  <c r="V49" i="8"/>
  <c r="U49" i="8"/>
  <c r="T49" i="8"/>
  <c r="S49" i="8"/>
  <c r="R49" i="8"/>
  <c r="Q49" i="8"/>
  <c r="P49" i="8"/>
  <c r="O49" i="8"/>
  <c r="N49" i="8"/>
  <c r="M49" i="8"/>
  <c r="L49" i="8"/>
  <c r="K49" i="8"/>
  <c r="J49" i="8"/>
  <c r="I49" i="8"/>
  <c r="H49" i="8"/>
  <c r="G49" i="8"/>
  <c r="Y49" i="8" s="1"/>
  <c r="F49" i="8"/>
  <c r="E49" i="8"/>
  <c r="D49" i="8"/>
  <c r="C49" i="8"/>
  <c r="B49" i="8"/>
  <c r="A49" i="8"/>
  <c r="AE49" i="8" s="1"/>
  <c r="AE48" i="8"/>
  <c r="AC48" i="8"/>
  <c r="AA48" i="8"/>
  <c r="X48" i="8"/>
  <c r="W48" i="8"/>
  <c r="V48" i="8"/>
  <c r="U48" i="8"/>
  <c r="T48" i="8"/>
  <c r="S48" i="8"/>
  <c r="R48" i="8"/>
  <c r="Q48" i="8"/>
  <c r="P48" i="8"/>
  <c r="O48" i="8"/>
  <c r="N48" i="8"/>
  <c r="M48" i="8"/>
  <c r="L48" i="8"/>
  <c r="K48" i="8"/>
  <c r="J48" i="8"/>
  <c r="I48" i="8"/>
  <c r="H48" i="8"/>
  <c r="G48" i="8"/>
  <c r="Y48" i="8" s="1"/>
  <c r="F48" i="8"/>
  <c r="E48" i="8"/>
  <c r="D48" i="8"/>
  <c r="C48" i="8"/>
  <c r="B48" i="8"/>
  <c r="A48" i="8"/>
  <c r="AC47" i="8"/>
  <c r="Y47" i="8" s="1"/>
  <c r="AA47" i="8"/>
  <c r="X47" i="8"/>
  <c r="W47" i="8"/>
  <c r="V47" i="8"/>
  <c r="U47" i="8"/>
  <c r="T47" i="8"/>
  <c r="S47" i="8"/>
  <c r="R47" i="8"/>
  <c r="Q47" i="8"/>
  <c r="P47" i="8"/>
  <c r="O47" i="8"/>
  <c r="N47" i="8"/>
  <c r="M47" i="8"/>
  <c r="L47" i="8"/>
  <c r="K47" i="8"/>
  <c r="J47" i="8"/>
  <c r="I47" i="8"/>
  <c r="H47" i="8"/>
  <c r="G47" i="8"/>
  <c r="F47" i="8"/>
  <c r="E47" i="8"/>
  <c r="D47" i="8"/>
  <c r="C47" i="8"/>
  <c r="B47" i="8"/>
  <c r="A47" i="8"/>
  <c r="AE47" i="8" s="1"/>
  <c r="AC44" i="8"/>
  <c r="AA44" i="8"/>
  <c r="X44" i="8"/>
  <c r="W44" i="8"/>
  <c r="V44" i="8"/>
  <c r="U44" i="8"/>
  <c r="T44" i="8"/>
  <c r="S44" i="8"/>
  <c r="R44" i="8"/>
  <c r="Q44" i="8"/>
  <c r="P44" i="8"/>
  <c r="O44" i="8"/>
  <c r="N44" i="8"/>
  <c r="M44" i="8"/>
  <c r="L44" i="8"/>
  <c r="K44" i="8"/>
  <c r="J44" i="8"/>
  <c r="I44" i="8"/>
  <c r="Y44" i="8" s="1"/>
  <c r="H44" i="8"/>
  <c r="G44" i="8"/>
  <c r="AC43" i="8"/>
  <c r="AA43" i="8"/>
  <c r="X43" i="8"/>
  <c r="W43" i="8"/>
  <c r="V43" i="8"/>
  <c r="U43" i="8"/>
  <c r="T43" i="8"/>
  <c r="S43" i="8"/>
  <c r="R43" i="8"/>
  <c r="Q43" i="8"/>
  <c r="P43" i="8"/>
  <c r="O43" i="8"/>
  <c r="N43" i="8"/>
  <c r="M43" i="8"/>
  <c r="L43" i="8"/>
  <c r="K43" i="8"/>
  <c r="J43" i="8"/>
  <c r="I43" i="8"/>
  <c r="H43" i="8"/>
  <c r="G43" i="8"/>
  <c r="Y43" i="8" s="1"/>
  <c r="AD43" i="8" s="1"/>
  <c r="AC42" i="8"/>
  <c r="AA42" i="8"/>
  <c r="X42" i="8"/>
  <c r="V42" i="8"/>
  <c r="U42" i="8"/>
  <c r="T42" i="8"/>
  <c r="S42" i="8"/>
  <c r="R42" i="8"/>
  <c r="Q42" i="8"/>
  <c r="P42" i="8"/>
  <c r="O42" i="8"/>
  <c r="N42" i="8"/>
  <c r="M42" i="8"/>
  <c r="L42" i="8"/>
  <c r="K42" i="8"/>
  <c r="J42" i="8"/>
  <c r="I42" i="8"/>
  <c r="H42" i="8"/>
  <c r="G42" i="8"/>
  <c r="Y42" i="8" s="1"/>
  <c r="AC40" i="8"/>
  <c r="AA40" i="8"/>
  <c r="X40" i="8"/>
  <c r="W40" i="8"/>
  <c r="V40" i="8"/>
  <c r="U40" i="8"/>
  <c r="T40" i="8"/>
  <c r="S40" i="8"/>
  <c r="R40" i="8"/>
  <c r="Q40" i="8"/>
  <c r="P40" i="8"/>
  <c r="O40" i="8"/>
  <c r="N40" i="8"/>
  <c r="M40" i="8"/>
  <c r="L40" i="8"/>
  <c r="K40" i="8"/>
  <c r="J40" i="8"/>
  <c r="I40" i="8"/>
  <c r="H40" i="8"/>
  <c r="G40" i="8"/>
  <c r="Y40" i="8" s="1"/>
  <c r="AC39" i="8"/>
  <c r="AA39" i="8"/>
  <c r="X39" i="8"/>
  <c r="W39" i="8"/>
  <c r="V39" i="8"/>
  <c r="U39" i="8"/>
  <c r="T39" i="8"/>
  <c r="S39" i="8"/>
  <c r="R39" i="8"/>
  <c r="Q39" i="8"/>
  <c r="P39" i="8"/>
  <c r="O39" i="8"/>
  <c r="N39" i="8"/>
  <c r="M39" i="8"/>
  <c r="L39" i="8"/>
  <c r="K39" i="8"/>
  <c r="J39" i="8"/>
  <c r="I39" i="8"/>
  <c r="H39" i="8"/>
  <c r="G39" i="8"/>
  <c r="Y39" i="8" s="1"/>
  <c r="E39" i="8"/>
  <c r="D39" i="8"/>
  <c r="C39" i="8"/>
  <c r="B39" i="8"/>
  <c r="A39" i="8"/>
  <c r="AE39" i="8" s="1"/>
  <c r="AC38" i="8"/>
  <c r="AA38" i="8"/>
  <c r="X38" i="8"/>
  <c r="W38" i="8"/>
  <c r="V38" i="8"/>
  <c r="U38" i="8"/>
  <c r="T38" i="8"/>
  <c r="S38" i="8"/>
  <c r="R38" i="8"/>
  <c r="Q38" i="8"/>
  <c r="P38" i="8"/>
  <c r="O38" i="8"/>
  <c r="N38" i="8"/>
  <c r="M38" i="8"/>
  <c r="L38" i="8"/>
  <c r="K38" i="8"/>
  <c r="J38" i="8"/>
  <c r="I38" i="8"/>
  <c r="Y38" i="8" s="1"/>
  <c r="H38" i="8"/>
  <c r="G38" i="8"/>
  <c r="F38" i="8"/>
  <c r="E38" i="8"/>
  <c r="D38" i="8"/>
  <c r="C38" i="8"/>
  <c r="B38" i="8"/>
  <c r="A38" i="8"/>
  <c r="AE38" i="8" s="1"/>
  <c r="AE37" i="8"/>
  <c r="AC37" i="8"/>
  <c r="AA37" i="8"/>
  <c r="X37" i="8"/>
  <c r="W37" i="8"/>
  <c r="V37" i="8"/>
  <c r="U37" i="8"/>
  <c r="T37" i="8"/>
  <c r="S37" i="8"/>
  <c r="R37" i="8"/>
  <c r="Q37" i="8"/>
  <c r="P37" i="8"/>
  <c r="O37" i="8"/>
  <c r="N37" i="8"/>
  <c r="M37" i="8"/>
  <c r="L37" i="8"/>
  <c r="K37" i="8"/>
  <c r="J37" i="8"/>
  <c r="I37" i="8"/>
  <c r="H37" i="8"/>
  <c r="G37" i="8"/>
  <c r="Y37" i="8" s="1"/>
  <c r="F37" i="8"/>
  <c r="E37" i="8"/>
  <c r="D37" i="8"/>
  <c r="C37" i="8"/>
  <c r="B37" i="8"/>
  <c r="A37" i="8"/>
  <c r="AC36" i="8"/>
  <c r="AA36" i="8"/>
  <c r="X36" i="8"/>
  <c r="W36" i="8"/>
  <c r="V36" i="8"/>
  <c r="U36" i="8"/>
  <c r="T36" i="8"/>
  <c r="S36" i="8"/>
  <c r="R36" i="8"/>
  <c r="Q36" i="8"/>
  <c r="P36" i="8"/>
  <c r="O36" i="8"/>
  <c r="N36" i="8"/>
  <c r="M36" i="8"/>
  <c r="L36" i="8"/>
  <c r="K36" i="8"/>
  <c r="J36" i="8"/>
  <c r="I36" i="8"/>
  <c r="H36" i="8"/>
  <c r="G36" i="8"/>
  <c r="Y36" i="8" s="1"/>
  <c r="F36" i="8"/>
  <c r="E36" i="8"/>
  <c r="D36" i="8"/>
  <c r="C36" i="8"/>
  <c r="B36" i="8"/>
  <c r="A36" i="8"/>
  <c r="AE36" i="8" s="1"/>
  <c r="AC35" i="8"/>
  <c r="AA35" i="8"/>
  <c r="Z35" i="8"/>
  <c r="Y35" i="8"/>
  <c r="AD35" i="8" s="1"/>
  <c r="X35" i="8"/>
  <c r="W35" i="8"/>
  <c r="V35" i="8"/>
  <c r="U35" i="8"/>
  <c r="T35" i="8"/>
  <c r="S35" i="8"/>
  <c r="R35" i="8"/>
  <c r="Q35" i="8"/>
  <c r="P35" i="8"/>
  <c r="O35" i="8"/>
  <c r="N35" i="8"/>
  <c r="M35" i="8"/>
  <c r="L35" i="8"/>
  <c r="K35" i="8"/>
  <c r="J35" i="8"/>
  <c r="I35" i="8"/>
  <c r="H35" i="8"/>
  <c r="G35" i="8"/>
  <c r="F35" i="8"/>
  <c r="E35" i="8"/>
  <c r="D35" i="8"/>
  <c r="C35" i="8"/>
  <c r="B35" i="8"/>
  <c r="A35" i="8"/>
  <c r="AE35" i="8" s="1"/>
  <c r="AC34" i="8"/>
  <c r="AA34" i="8"/>
  <c r="Y34" i="8"/>
  <c r="AD34" i="8" s="1"/>
  <c r="X34" i="8"/>
  <c r="W34" i="8"/>
  <c r="V34" i="8"/>
  <c r="U34" i="8"/>
  <c r="T34" i="8"/>
  <c r="S34" i="8"/>
  <c r="R34" i="8"/>
  <c r="Q34" i="8"/>
  <c r="P34" i="8"/>
  <c r="O34" i="8"/>
  <c r="N34" i="8"/>
  <c r="M34" i="8"/>
  <c r="L34" i="8"/>
  <c r="K34" i="8"/>
  <c r="J34" i="8"/>
  <c r="I34" i="8"/>
  <c r="H34" i="8"/>
  <c r="G34" i="8"/>
  <c r="F34" i="8"/>
  <c r="E34" i="8"/>
  <c r="D34" i="8"/>
  <c r="C34" i="8"/>
  <c r="B34" i="8"/>
  <c r="A34" i="8"/>
  <c r="AE34" i="8" s="1"/>
  <c r="AE33" i="8"/>
  <c r="AC33" i="8"/>
  <c r="AA33" i="8"/>
  <c r="X33" i="8"/>
  <c r="W33" i="8"/>
  <c r="V33" i="8"/>
  <c r="U33" i="8"/>
  <c r="T33" i="8"/>
  <c r="S33" i="8"/>
  <c r="R33" i="8"/>
  <c r="Q33" i="8"/>
  <c r="P33" i="8"/>
  <c r="O33" i="8"/>
  <c r="N33" i="8"/>
  <c r="M33" i="8"/>
  <c r="L33" i="8"/>
  <c r="K33" i="8"/>
  <c r="J33" i="8"/>
  <c r="I33" i="8"/>
  <c r="H33" i="8"/>
  <c r="G33" i="8"/>
  <c r="Y33" i="8" s="1"/>
  <c r="F33" i="8"/>
  <c r="E33" i="8"/>
  <c r="D33" i="8"/>
  <c r="C33" i="8"/>
  <c r="B33" i="8"/>
  <c r="A33" i="8"/>
  <c r="AC32" i="8"/>
  <c r="AA32" i="8"/>
  <c r="X32" i="8"/>
  <c r="W32" i="8"/>
  <c r="V32" i="8"/>
  <c r="U32" i="8"/>
  <c r="T32" i="8"/>
  <c r="S32" i="8"/>
  <c r="R32" i="8"/>
  <c r="Q32" i="8"/>
  <c r="P32" i="8"/>
  <c r="O32" i="8"/>
  <c r="N32" i="8"/>
  <c r="M32" i="8"/>
  <c r="L32" i="8"/>
  <c r="K32" i="8"/>
  <c r="J32" i="8"/>
  <c r="I32" i="8"/>
  <c r="H32" i="8"/>
  <c r="G32" i="8"/>
  <c r="Y32" i="8" s="1"/>
  <c r="F32" i="8"/>
  <c r="E32" i="8"/>
  <c r="D32" i="8"/>
  <c r="C32" i="8"/>
  <c r="B32" i="8"/>
  <c r="A32" i="8"/>
  <c r="AE32" i="8" s="1"/>
  <c r="AC31" i="8"/>
  <c r="AA31" i="8"/>
  <c r="X31" i="8"/>
  <c r="W31" i="8"/>
  <c r="V31" i="8"/>
  <c r="U31" i="8"/>
  <c r="T31" i="8"/>
  <c r="S31" i="8"/>
  <c r="R31" i="8"/>
  <c r="Q31" i="8"/>
  <c r="P31" i="8"/>
  <c r="O31" i="8"/>
  <c r="N31" i="8"/>
  <c r="M31" i="8"/>
  <c r="L31" i="8"/>
  <c r="K31" i="8"/>
  <c r="J31" i="8"/>
  <c r="I31" i="8"/>
  <c r="Y31" i="8" s="1"/>
  <c r="H31" i="8"/>
  <c r="G31" i="8"/>
  <c r="F31" i="8"/>
  <c r="E31" i="8"/>
  <c r="D31" i="8"/>
  <c r="C31" i="8"/>
  <c r="B31" i="8"/>
  <c r="A31" i="8"/>
  <c r="AE31" i="8" s="1"/>
  <c r="AC30" i="8"/>
  <c r="AA30" i="8"/>
  <c r="Y30" i="8"/>
  <c r="AD30" i="8" s="1"/>
  <c r="X30" i="8"/>
  <c r="W30" i="8"/>
  <c r="V30" i="8"/>
  <c r="U30" i="8"/>
  <c r="T30" i="8"/>
  <c r="S30" i="8"/>
  <c r="R30" i="8"/>
  <c r="Q30" i="8"/>
  <c r="P30" i="8"/>
  <c r="O30" i="8"/>
  <c r="N30" i="8"/>
  <c r="M30" i="8"/>
  <c r="L30" i="8"/>
  <c r="K30" i="8"/>
  <c r="J30" i="8"/>
  <c r="I30" i="8"/>
  <c r="H30" i="8"/>
  <c r="G30" i="8"/>
  <c r="F30" i="8"/>
  <c r="E30" i="8"/>
  <c r="D30" i="8"/>
  <c r="C30" i="8"/>
  <c r="B30" i="8"/>
  <c r="A30" i="8"/>
  <c r="AE30" i="8" s="1"/>
  <c r="AE29" i="8"/>
  <c r="AC29" i="8"/>
  <c r="AA29" i="8"/>
  <c r="X29" i="8"/>
  <c r="W29" i="8"/>
  <c r="V29" i="8"/>
  <c r="U29" i="8"/>
  <c r="T29" i="8"/>
  <c r="S29" i="8"/>
  <c r="R29" i="8"/>
  <c r="Q29" i="8"/>
  <c r="P29" i="8"/>
  <c r="O29" i="8"/>
  <c r="N29" i="8"/>
  <c r="M29" i="8"/>
  <c r="L29" i="8"/>
  <c r="K29" i="8"/>
  <c r="J29" i="8"/>
  <c r="I29" i="8"/>
  <c r="H29" i="8"/>
  <c r="G29" i="8"/>
  <c r="Y29" i="8" s="1"/>
  <c r="F29" i="8"/>
  <c r="E29" i="8"/>
  <c r="D29" i="8"/>
  <c r="C29" i="8"/>
  <c r="B29" i="8"/>
  <c r="A29" i="8"/>
  <c r="AE28" i="8"/>
  <c r="AC28" i="8"/>
  <c r="AA28" i="8"/>
  <c r="X28" i="8"/>
  <c r="W28" i="8"/>
  <c r="V28" i="8"/>
  <c r="U28" i="8"/>
  <c r="T28" i="8"/>
  <c r="S28" i="8"/>
  <c r="R28" i="8"/>
  <c r="Q28" i="8"/>
  <c r="P28" i="8"/>
  <c r="O28" i="8"/>
  <c r="N28" i="8"/>
  <c r="M28" i="8"/>
  <c r="L28" i="8"/>
  <c r="K28" i="8"/>
  <c r="J28" i="8"/>
  <c r="I28" i="8"/>
  <c r="H28" i="8"/>
  <c r="G28" i="8"/>
  <c r="Y28" i="8" s="1"/>
  <c r="F28" i="8"/>
  <c r="E28" i="8"/>
  <c r="D28" i="8"/>
  <c r="C28" i="8"/>
  <c r="B28" i="8"/>
  <c r="A28" i="8"/>
  <c r="AC27" i="8"/>
  <c r="AA27" i="8"/>
  <c r="X27" i="8"/>
  <c r="W27" i="8"/>
  <c r="V27" i="8"/>
  <c r="U27" i="8"/>
  <c r="T27" i="8"/>
  <c r="S27" i="8"/>
  <c r="R27" i="8"/>
  <c r="Q27" i="8"/>
  <c r="P27" i="8"/>
  <c r="O27" i="8"/>
  <c r="N27" i="8"/>
  <c r="M27" i="8"/>
  <c r="L27" i="8"/>
  <c r="K27" i="8"/>
  <c r="J27" i="8"/>
  <c r="I27" i="8"/>
  <c r="Y27" i="8" s="1"/>
  <c r="H27" i="8"/>
  <c r="G27" i="8"/>
  <c r="F27" i="8"/>
  <c r="E27" i="8"/>
  <c r="D27" i="8"/>
  <c r="C27" i="8"/>
  <c r="B27" i="8"/>
  <c r="A27" i="8"/>
  <c r="AE27" i="8" s="1"/>
  <c r="AC26" i="8"/>
  <c r="AA26" i="8"/>
  <c r="Y26" i="8"/>
  <c r="AD26" i="8" s="1"/>
  <c r="X26" i="8"/>
  <c r="W26" i="8"/>
  <c r="V26" i="8"/>
  <c r="U26" i="8"/>
  <c r="T26" i="8"/>
  <c r="S26" i="8"/>
  <c r="R26" i="8"/>
  <c r="Q26" i="8"/>
  <c r="P26" i="8"/>
  <c r="O26" i="8"/>
  <c r="N26" i="8"/>
  <c r="M26" i="8"/>
  <c r="L26" i="8"/>
  <c r="K26" i="8"/>
  <c r="J26" i="8"/>
  <c r="I26" i="8"/>
  <c r="H26" i="8"/>
  <c r="G26" i="8"/>
  <c r="F26" i="8"/>
  <c r="E26" i="8"/>
  <c r="D26" i="8"/>
  <c r="C26" i="8"/>
  <c r="B26" i="8"/>
  <c r="A26" i="8"/>
  <c r="AE26" i="8" s="1"/>
  <c r="AE25" i="8"/>
  <c r="AC25" i="8"/>
  <c r="AA25" i="8"/>
  <c r="X25" i="8"/>
  <c r="W25" i="8"/>
  <c r="V25" i="8"/>
  <c r="U25" i="8"/>
  <c r="T25" i="8"/>
  <c r="S25" i="8"/>
  <c r="R25" i="8"/>
  <c r="Q25" i="8"/>
  <c r="P25" i="8"/>
  <c r="O25" i="8"/>
  <c r="N25" i="8"/>
  <c r="M25" i="8"/>
  <c r="L25" i="8"/>
  <c r="K25" i="8"/>
  <c r="J25" i="8"/>
  <c r="I25" i="8"/>
  <c r="H25" i="8"/>
  <c r="G25" i="8"/>
  <c r="Y25" i="8" s="1"/>
  <c r="AD25" i="8" s="1"/>
  <c r="F25" i="8"/>
  <c r="E25" i="8"/>
  <c r="D25" i="8"/>
  <c r="C25" i="8"/>
  <c r="B25" i="8"/>
  <c r="A25" i="8"/>
  <c r="AC24" i="8"/>
  <c r="AA24" i="8"/>
  <c r="X24" i="8"/>
  <c r="W24" i="8"/>
  <c r="V24" i="8"/>
  <c r="U24" i="8"/>
  <c r="T24" i="8"/>
  <c r="S24" i="8"/>
  <c r="R24" i="8"/>
  <c r="Q24" i="8"/>
  <c r="P24" i="8"/>
  <c r="O24" i="8"/>
  <c r="N24" i="8"/>
  <c r="M24" i="8"/>
  <c r="L24" i="8"/>
  <c r="K24" i="8"/>
  <c r="J24" i="8"/>
  <c r="I24" i="8"/>
  <c r="H24" i="8"/>
  <c r="G24" i="8"/>
  <c r="Y24" i="8" s="1"/>
  <c r="F24" i="8"/>
  <c r="E24" i="8"/>
  <c r="D24" i="8"/>
  <c r="C24" i="8"/>
  <c r="B24" i="8"/>
  <c r="A24" i="8"/>
  <c r="AE24" i="8" s="1"/>
  <c r="AC23" i="8"/>
  <c r="AA23" i="8"/>
  <c r="X23" i="8"/>
  <c r="W23" i="8"/>
  <c r="V23" i="8"/>
  <c r="U23" i="8"/>
  <c r="T23" i="8"/>
  <c r="S23" i="8"/>
  <c r="R23" i="8"/>
  <c r="Q23" i="8"/>
  <c r="P23" i="8"/>
  <c r="O23" i="8"/>
  <c r="N23" i="8"/>
  <c r="M23" i="8"/>
  <c r="L23" i="8"/>
  <c r="K23" i="8"/>
  <c r="J23" i="8"/>
  <c r="I23" i="8"/>
  <c r="Y23" i="8" s="1"/>
  <c r="H23" i="8"/>
  <c r="G23" i="8"/>
  <c r="F23" i="8"/>
  <c r="D23" i="8"/>
  <c r="C23" i="8"/>
  <c r="B23" i="8"/>
  <c r="A23" i="8"/>
  <c r="AE23" i="8" s="1"/>
  <c r="AE22" i="8"/>
  <c r="AC22" i="8"/>
  <c r="AA22" i="8"/>
  <c r="X22" i="8"/>
  <c r="W22" i="8"/>
  <c r="V22" i="8"/>
  <c r="U22" i="8"/>
  <c r="T22" i="8"/>
  <c r="S22" i="8"/>
  <c r="R22" i="8"/>
  <c r="Q22" i="8"/>
  <c r="P22" i="8"/>
  <c r="O22" i="8"/>
  <c r="N22" i="8"/>
  <c r="M22" i="8"/>
  <c r="L22" i="8"/>
  <c r="K22" i="8"/>
  <c r="J22" i="8"/>
  <c r="I22" i="8"/>
  <c r="H22" i="8"/>
  <c r="G22" i="8"/>
  <c r="Y22" i="8" s="1"/>
  <c r="F22" i="8"/>
  <c r="E22" i="8"/>
  <c r="D22" i="8"/>
  <c r="C22" i="8"/>
  <c r="B22" i="8"/>
  <c r="A22" i="8"/>
  <c r="AC21" i="8"/>
  <c r="AA21" i="8"/>
  <c r="X21" i="8"/>
  <c r="W21" i="8"/>
  <c r="V21" i="8"/>
  <c r="U21" i="8"/>
  <c r="T21" i="8"/>
  <c r="S21" i="8"/>
  <c r="R21" i="8"/>
  <c r="Q21" i="8"/>
  <c r="P21" i="8"/>
  <c r="O21" i="8"/>
  <c r="N21" i="8"/>
  <c r="M21" i="8"/>
  <c r="L21" i="8"/>
  <c r="K21" i="8"/>
  <c r="J21" i="8"/>
  <c r="I21" i="8"/>
  <c r="H21" i="8"/>
  <c r="G21" i="8"/>
  <c r="Y21" i="8" s="1"/>
  <c r="F21" i="8"/>
  <c r="E21" i="8"/>
  <c r="D21" i="8"/>
  <c r="C21" i="8"/>
  <c r="B21" i="8"/>
  <c r="A21" i="8"/>
  <c r="AE21" i="8" s="1"/>
  <c r="AC20" i="8"/>
  <c r="AA20" i="8"/>
  <c r="X20" i="8"/>
  <c r="W20" i="8"/>
  <c r="V20" i="8"/>
  <c r="U20" i="8"/>
  <c r="T20" i="8"/>
  <c r="S20" i="8"/>
  <c r="R20" i="8"/>
  <c r="Q20" i="8"/>
  <c r="P20" i="8"/>
  <c r="O20" i="8"/>
  <c r="N20" i="8"/>
  <c r="M20" i="8"/>
  <c r="L20" i="8"/>
  <c r="K20" i="8"/>
  <c r="J20" i="8"/>
  <c r="I20" i="8"/>
  <c r="H20" i="8"/>
  <c r="G20" i="8"/>
  <c r="Y20" i="8" s="1"/>
  <c r="F20" i="8"/>
  <c r="E20" i="8"/>
  <c r="D20" i="8"/>
  <c r="C20" i="8"/>
  <c r="B20" i="8"/>
  <c r="A20" i="8"/>
  <c r="AE20" i="8" s="1"/>
  <c r="AC19" i="8"/>
  <c r="AA19" i="8"/>
  <c r="X19" i="8"/>
  <c r="W19" i="8"/>
  <c r="V19" i="8"/>
  <c r="U19" i="8"/>
  <c r="T19" i="8"/>
  <c r="S19" i="8"/>
  <c r="R19" i="8"/>
  <c r="Q19" i="8"/>
  <c r="P19" i="8"/>
  <c r="O19" i="8"/>
  <c r="N19" i="8"/>
  <c r="M19" i="8"/>
  <c r="L19" i="8"/>
  <c r="K19" i="8"/>
  <c r="J19" i="8"/>
  <c r="I19" i="8"/>
  <c r="Y19" i="8" s="1"/>
  <c r="H19" i="8"/>
  <c r="G19" i="8"/>
  <c r="F19" i="8"/>
  <c r="E19" i="8"/>
  <c r="D19" i="8"/>
  <c r="C19" i="8"/>
  <c r="B19" i="8"/>
  <c r="A19" i="8"/>
  <c r="AE19" i="8" s="1"/>
  <c r="AC17" i="8"/>
  <c r="AA17" i="8"/>
  <c r="Z17" i="8"/>
  <c r="X17" i="8"/>
  <c r="W17" i="8"/>
  <c r="V17" i="8"/>
  <c r="U17" i="8"/>
  <c r="T17" i="8"/>
  <c r="S17" i="8"/>
  <c r="R17" i="8"/>
  <c r="Q17" i="8"/>
  <c r="P17" i="8"/>
  <c r="O17" i="8"/>
  <c r="N17" i="8"/>
  <c r="M17" i="8"/>
  <c r="L17" i="8"/>
  <c r="K17" i="8"/>
  <c r="J17" i="8"/>
  <c r="I17" i="8"/>
  <c r="H17" i="8"/>
  <c r="G17" i="8"/>
  <c r="Y17" i="8" s="1"/>
  <c r="AD17" i="8" s="1"/>
  <c r="AA16" i="8"/>
  <c r="X16" i="8"/>
  <c r="W16" i="8"/>
  <c r="V16" i="8"/>
  <c r="U16" i="8"/>
  <c r="T16" i="8"/>
  <c r="S16" i="8"/>
  <c r="R16" i="8"/>
  <c r="Q16" i="8"/>
  <c r="P16" i="8"/>
  <c r="O16" i="8"/>
  <c r="N16" i="8"/>
  <c r="M16" i="8"/>
  <c r="L16" i="8"/>
  <c r="K16" i="8"/>
  <c r="J16" i="8"/>
  <c r="I16" i="8"/>
  <c r="H16" i="8"/>
  <c r="G16" i="8"/>
  <c r="Y16" i="8" s="1"/>
  <c r="Z16" i="8" s="1"/>
  <c r="E16" i="8"/>
  <c r="D16" i="8"/>
  <c r="C16" i="8"/>
  <c r="B16" i="8"/>
  <c r="AE15" i="8"/>
  <c r="AC15" i="8"/>
  <c r="AA15" i="8"/>
  <c r="X15" i="8"/>
  <c r="W15" i="8"/>
  <c r="V15" i="8"/>
  <c r="U15" i="8"/>
  <c r="T15" i="8"/>
  <c r="S15" i="8"/>
  <c r="R15" i="8"/>
  <c r="Q15" i="8"/>
  <c r="P15" i="8"/>
  <c r="O15" i="8"/>
  <c r="N15" i="8"/>
  <c r="M15" i="8"/>
  <c r="L15" i="8"/>
  <c r="K15" i="8"/>
  <c r="J15" i="8"/>
  <c r="I15" i="8"/>
  <c r="H15" i="8"/>
  <c r="G15" i="8"/>
  <c r="Y15" i="8" s="1"/>
  <c r="E15" i="8"/>
  <c r="D15" i="8"/>
  <c r="C15" i="8"/>
  <c r="B15" i="8"/>
  <c r="A15" i="8"/>
  <c r="AC14" i="8"/>
  <c r="AA14" i="8"/>
  <c r="X14" i="8"/>
  <c r="W14" i="8"/>
  <c r="V14" i="8"/>
  <c r="U14" i="8"/>
  <c r="T14" i="8"/>
  <c r="S14" i="8"/>
  <c r="R14" i="8"/>
  <c r="Q14" i="8"/>
  <c r="P14" i="8"/>
  <c r="O14" i="8"/>
  <c r="N14" i="8"/>
  <c r="M14" i="8"/>
  <c r="L14" i="8"/>
  <c r="K14" i="8"/>
  <c r="J14" i="8"/>
  <c r="I14" i="8"/>
  <c r="H14" i="8"/>
  <c r="G14" i="8"/>
  <c r="Y14" i="8" s="1"/>
  <c r="E14" i="8"/>
  <c r="D14" i="8"/>
  <c r="C14" i="8"/>
  <c r="B14" i="8"/>
  <c r="A14" i="8"/>
  <c r="AE14" i="8" s="1"/>
  <c r="AC13" i="8"/>
  <c r="AA13" i="8"/>
  <c r="X13" i="8"/>
  <c r="W13" i="8"/>
  <c r="V13" i="8"/>
  <c r="U13" i="8"/>
  <c r="T13" i="8"/>
  <c r="S13" i="8"/>
  <c r="R13" i="8"/>
  <c r="Q13" i="8"/>
  <c r="P13" i="8"/>
  <c r="O13" i="8"/>
  <c r="N13" i="8"/>
  <c r="M13" i="8"/>
  <c r="L13" i="8"/>
  <c r="K13" i="8"/>
  <c r="J13" i="8"/>
  <c r="I13" i="8"/>
  <c r="Y13" i="8" s="1"/>
  <c r="H13" i="8"/>
  <c r="G13" i="8"/>
  <c r="F13" i="8"/>
  <c r="E13" i="8"/>
  <c r="D13" i="8"/>
  <c r="C13" i="8"/>
  <c r="B13" i="8"/>
  <c r="A13" i="8"/>
  <c r="AE13" i="8" s="1"/>
  <c r="AE12" i="8"/>
  <c r="AC12" i="8"/>
  <c r="AA12" i="8"/>
  <c r="X12" i="8"/>
  <c r="W12" i="8"/>
  <c r="V12" i="8"/>
  <c r="U12" i="8"/>
  <c r="T12" i="8"/>
  <c r="S12" i="8"/>
  <c r="R12" i="8"/>
  <c r="Q12" i="8"/>
  <c r="P12" i="8"/>
  <c r="O12" i="8"/>
  <c r="N12" i="8"/>
  <c r="M12" i="8"/>
  <c r="L12" i="8"/>
  <c r="K12" i="8"/>
  <c r="J12" i="8"/>
  <c r="I12" i="8"/>
  <c r="H12" i="8"/>
  <c r="G12" i="8"/>
  <c r="Y12" i="8" s="1"/>
  <c r="F12" i="8"/>
  <c r="E12" i="8"/>
  <c r="D12" i="8"/>
  <c r="C12" i="8"/>
  <c r="B12" i="8"/>
  <c r="A12" i="8"/>
  <c r="AC11" i="8"/>
  <c r="AA11" i="8"/>
  <c r="X11" i="8"/>
  <c r="W11" i="8"/>
  <c r="V11" i="8"/>
  <c r="U11" i="8"/>
  <c r="T11" i="8"/>
  <c r="S11" i="8"/>
  <c r="R11" i="8"/>
  <c r="Q11" i="8"/>
  <c r="P11" i="8"/>
  <c r="O11" i="8"/>
  <c r="N11" i="8"/>
  <c r="M11" i="8"/>
  <c r="L11" i="8"/>
  <c r="K11" i="8"/>
  <c r="J11" i="8"/>
  <c r="I11" i="8"/>
  <c r="H11" i="8"/>
  <c r="G11" i="8"/>
  <c r="Y11" i="8" s="1"/>
  <c r="F11" i="8"/>
  <c r="E11" i="8"/>
  <c r="D11" i="8"/>
  <c r="C11" i="8"/>
  <c r="B11" i="8"/>
  <c r="A11" i="8"/>
  <c r="AE11" i="8" s="1"/>
  <c r="AC10" i="8"/>
  <c r="AA10" i="8"/>
  <c r="X10" i="8"/>
  <c r="W10" i="8"/>
  <c r="V10" i="8"/>
  <c r="U10" i="8"/>
  <c r="T10" i="8"/>
  <c r="S10" i="8"/>
  <c r="R10" i="8"/>
  <c r="Q10" i="8"/>
  <c r="P10" i="8"/>
  <c r="O10" i="8"/>
  <c r="N10" i="8"/>
  <c r="M10" i="8"/>
  <c r="L10" i="8"/>
  <c r="K10" i="8"/>
  <c r="J10" i="8"/>
  <c r="I10" i="8"/>
  <c r="H10" i="8"/>
  <c r="G10" i="8"/>
  <c r="Y10" i="8" s="1"/>
  <c r="F10" i="8"/>
  <c r="E10" i="8"/>
  <c r="D10" i="8"/>
  <c r="C10" i="8"/>
  <c r="B10" i="8"/>
  <c r="A10" i="8"/>
  <c r="AE10" i="8" s="1"/>
  <c r="AC9" i="8"/>
  <c r="AA9" i="8"/>
  <c r="X9" i="8"/>
  <c r="W9" i="8"/>
  <c r="V9" i="8"/>
  <c r="U9" i="8"/>
  <c r="T9" i="8"/>
  <c r="S9" i="8"/>
  <c r="R9" i="8"/>
  <c r="Q9" i="8"/>
  <c r="P9" i="8"/>
  <c r="O9" i="8"/>
  <c r="N9" i="8"/>
  <c r="M9" i="8"/>
  <c r="L9" i="8"/>
  <c r="K9" i="8"/>
  <c r="J9" i="8"/>
  <c r="I9" i="8"/>
  <c r="Y9" i="8" s="1"/>
  <c r="H9" i="8"/>
  <c r="G9" i="8"/>
  <c r="F9" i="8"/>
  <c r="E9" i="8"/>
  <c r="D9" i="8"/>
  <c r="C9" i="8"/>
  <c r="B9" i="8"/>
  <c r="A9" i="8"/>
  <c r="AE9" i="8" s="1"/>
  <c r="AE8" i="8"/>
  <c r="AC8" i="8"/>
  <c r="AA8" i="8"/>
  <c r="X8" i="8"/>
  <c r="W8" i="8"/>
  <c r="V8" i="8"/>
  <c r="U8" i="8"/>
  <c r="T8" i="8"/>
  <c r="S8" i="8"/>
  <c r="R8" i="8"/>
  <c r="Q8" i="8"/>
  <c r="P8" i="8"/>
  <c r="O8" i="8"/>
  <c r="N8" i="8"/>
  <c r="M8" i="8"/>
  <c r="L8" i="8"/>
  <c r="K8" i="8"/>
  <c r="J8" i="8"/>
  <c r="I8" i="8"/>
  <c r="H8" i="8"/>
  <c r="G8" i="8"/>
  <c r="Y8" i="8" s="1"/>
  <c r="F8" i="8"/>
  <c r="E8" i="8"/>
  <c r="D8" i="8"/>
  <c r="C8" i="8"/>
  <c r="B8" i="8"/>
  <c r="A8" i="8"/>
  <c r="AC7" i="8"/>
  <c r="AA7" i="8"/>
  <c r="X7" i="8"/>
  <c r="W7" i="8"/>
  <c r="V7" i="8"/>
  <c r="U7" i="8"/>
  <c r="T7" i="8"/>
  <c r="S7" i="8"/>
  <c r="R7" i="8"/>
  <c r="Q7" i="8"/>
  <c r="P7" i="8"/>
  <c r="O7" i="8"/>
  <c r="N7" i="8"/>
  <c r="M7" i="8"/>
  <c r="L7" i="8"/>
  <c r="K7" i="8"/>
  <c r="J7" i="8"/>
  <c r="I7" i="8"/>
  <c r="H7" i="8"/>
  <c r="G7" i="8"/>
  <c r="Y7" i="8" s="1"/>
  <c r="F7" i="8"/>
  <c r="E7" i="8"/>
  <c r="D7" i="8"/>
  <c r="C7" i="8"/>
  <c r="B7" i="8"/>
  <c r="A7" i="8"/>
  <c r="AE7" i="8" s="1"/>
  <c r="AC6" i="8"/>
  <c r="AA6" i="8"/>
  <c r="X6" i="8"/>
  <c r="W6" i="8"/>
  <c r="V6" i="8"/>
  <c r="U6" i="8"/>
  <c r="T6" i="8"/>
  <c r="S6" i="8"/>
  <c r="R6" i="8"/>
  <c r="Q6" i="8"/>
  <c r="P6" i="8"/>
  <c r="O6" i="8"/>
  <c r="N6" i="8"/>
  <c r="M6" i="8"/>
  <c r="L6" i="8"/>
  <c r="K6" i="8"/>
  <c r="J6" i="8"/>
  <c r="I6" i="8"/>
  <c r="H6" i="8"/>
  <c r="G6" i="8"/>
  <c r="Y6" i="8" s="1"/>
  <c r="F6" i="8"/>
  <c r="E6" i="8"/>
  <c r="A6" i="8"/>
  <c r="AE6" i="8" s="1"/>
  <c r="V4" i="8"/>
  <c r="U4" i="8"/>
  <c r="T4" i="8"/>
  <c r="S4" i="8"/>
  <c r="R4" i="8"/>
  <c r="Q4" i="8"/>
  <c r="P4" i="8"/>
  <c r="O4" i="8"/>
  <c r="N4" i="8"/>
  <c r="M4" i="8"/>
  <c r="L4" i="8"/>
  <c r="K4" i="8"/>
  <c r="J4" i="8"/>
  <c r="I4" i="8"/>
  <c r="H4" i="8"/>
  <c r="G4" i="8"/>
  <c r="X3" i="8"/>
  <c r="W3" i="8"/>
  <c r="U3" i="8"/>
  <c r="Q3" i="8"/>
  <c r="O3" i="8"/>
  <c r="K3" i="8"/>
  <c r="H3" i="8"/>
  <c r="AE53" i="7"/>
  <c r="A52" i="7"/>
  <c r="V51" i="7"/>
  <c r="U51" i="7"/>
  <c r="T51" i="7"/>
  <c r="Q51" i="7"/>
  <c r="I51" i="7"/>
  <c r="G51" i="7"/>
  <c r="F51" i="7"/>
  <c r="A51" i="7"/>
  <c r="AA50" i="7"/>
  <c r="Y50" i="7"/>
  <c r="AG50" i="7" s="1"/>
  <c r="X50" i="7"/>
  <c r="W50" i="7"/>
  <c r="V50" i="7"/>
  <c r="S50" i="7"/>
  <c r="Q50" i="7"/>
  <c r="P50" i="7"/>
  <c r="O50" i="7"/>
  <c r="N50" i="7"/>
  <c r="K50" i="7"/>
  <c r="I50" i="7"/>
  <c r="H50" i="7"/>
  <c r="G50" i="7"/>
  <c r="F50" i="7"/>
  <c r="A50" i="7"/>
  <c r="AE50" i="7" s="1"/>
  <c r="Y49" i="7"/>
  <c r="X49" i="7"/>
  <c r="U49" i="7"/>
  <c r="S49" i="7"/>
  <c r="K49" i="7"/>
  <c r="J49" i="7"/>
  <c r="I49" i="7"/>
  <c r="H49" i="7"/>
  <c r="F49" i="7"/>
  <c r="A49" i="7"/>
  <c r="AA49" i="7" s="1"/>
  <c r="AA48" i="7"/>
  <c r="Z48" i="7"/>
  <c r="W48" i="7"/>
  <c r="U48" i="7"/>
  <c r="M48" i="7"/>
  <c r="L48" i="7"/>
  <c r="K48" i="7"/>
  <c r="J48" i="7"/>
  <c r="F48" i="7"/>
  <c r="A48" i="7"/>
  <c r="AD48" i="7" s="1"/>
  <c r="AE47" i="7"/>
  <c r="AD47" i="7"/>
  <c r="Y47" i="7"/>
  <c r="W47" i="7"/>
  <c r="T47" i="7"/>
  <c r="O47" i="7"/>
  <c r="N47" i="7"/>
  <c r="M47" i="7"/>
  <c r="L47" i="7"/>
  <c r="F47" i="7"/>
  <c r="A47" i="7"/>
  <c r="AE39" i="7"/>
  <c r="Z39" i="7"/>
  <c r="X39" i="7"/>
  <c r="W39" i="7"/>
  <c r="V39" i="7"/>
  <c r="U39" i="7"/>
  <c r="P39" i="7"/>
  <c r="O39" i="7"/>
  <c r="N39" i="7"/>
  <c r="M39" i="7"/>
  <c r="J39" i="7"/>
  <c r="H39" i="7"/>
  <c r="G39" i="7"/>
  <c r="A39" i="7"/>
  <c r="AD38" i="7"/>
  <c r="AI38" i="7" s="1"/>
  <c r="AA38" i="7"/>
  <c r="Z38" i="7"/>
  <c r="W38" i="7"/>
  <c r="O38" i="7"/>
  <c r="M38" i="7"/>
  <c r="L38" i="7"/>
  <c r="K38" i="7"/>
  <c r="F38" i="7"/>
  <c r="A38" i="7"/>
  <c r="AE37" i="7"/>
  <c r="F37" i="7"/>
  <c r="A37" i="7"/>
  <c r="AA36" i="7"/>
  <c r="Y36" i="7"/>
  <c r="AG36" i="7" s="1"/>
  <c r="X36" i="7"/>
  <c r="W36" i="7"/>
  <c r="V36" i="7"/>
  <c r="S36" i="7"/>
  <c r="Q36" i="7"/>
  <c r="P36" i="7"/>
  <c r="O36" i="7"/>
  <c r="N36" i="7"/>
  <c r="K36" i="7"/>
  <c r="I36" i="7"/>
  <c r="H36" i="7"/>
  <c r="G36" i="7"/>
  <c r="F36" i="7"/>
  <c r="A36" i="7"/>
  <c r="AE36" i="7" s="1"/>
  <c r="U35" i="7"/>
  <c r="T35" i="7"/>
  <c r="Q35" i="7"/>
  <c r="O35" i="7"/>
  <c r="F35" i="7"/>
  <c r="A35" i="7"/>
  <c r="AE35" i="7" s="1"/>
  <c r="Z34" i="7"/>
  <c r="W34" i="7"/>
  <c r="U34" i="7"/>
  <c r="T34" i="7"/>
  <c r="L34" i="7"/>
  <c r="K34" i="7"/>
  <c r="J34" i="7"/>
  <c r="G34" i="7"/>
  <c r="F34" i="7"/>
  <c r="A34" i="7"/>
  <c r="AD34" i="7" s="1"/>
  <c r="AI34" i="7" s="1"/>
  <c r="AE33" i="7"/>
  <c r="F33" i="7"/>
  <c r="A33" i="7"/>
  <c r="AG32" i="7"/>
  <c r="AA32" i="7"/>
  <c r="Y32" i="7"/>
  <c r="X32" i="7"/>
  <c r="W32" i="7"/>
  <c r="V32" i="7"/>
  <c r="S32" i="7"/>
  <c r="Q32" i="7"/>
  <c r="P32" i="7"/>
  <c r="O32" i="7"/>
  <c r="N32" i="7"/>
  <c r="K32" i="7"/>
  <c r="I32" i="7"/>
  <c r="H32" i="7"/>
  <c r="G32" i="7"/>
  <c r="F32" i="7"/>
  <c r="A32" i="7"/>
  <c r="AE32" i="7" s="1"/>
  <c r="Y31" i="7"/>
  <c r="Q31" i="7"/>
  <c r="F31" i="7"/>
  <c r="A31" i="7"/>
  <c r="AD31" i="7" s="1"/>
  <c r="AI31" i="7" s="1"/>
  <c r="AE30" i="7"/>
  <c r="F30" i="7"/>
  <c r="A30" i="7"/>
  <c r="AA29" i="7"/>
  <c r="Z29" i="7"/>
  <c r="Y29" i="7"/>
  <c r="X29" i="7"/>
  <c r="S29" i="7"/>
  <c r="P29" i="7"/>
  <c r="M29" i="7"/>
  <c r="K29" i="7"/>
  <c r="J29" i="7"/>
  <c r="H29" i="7"/>
  <c r="F29" i="7"/>
  <c r="A29" i="7"/>
  <c r="AG28" i="7"/>
  <c r="AA28" i="7"/>
  <c r="Y28" i="7"/>
  <c r="X28" i="7"/>
  <c r="W28" i="7"/>
  <c r="V28" i="7"/>
  <c r="S28" i="7"/>
  <c r="Q28" i="7"/>
  <c r="P28" i="7"/>
  <c r="O28" i="7"/>
  <c r="N28" i="7"/>
  <c r="K28" i="7"/>
  <c r="I28" i="7"/>
  <c r="H28" i="7"/>
  <c r="G28" i="7"/>
  <c r="F28" i="7"/>
  <c r="A28" i="7"/>
  <c r="AE28" i="7" s="1"/>
  <c r="AE27" i="7"/>
  <c r="AD27" i="7"/>
  <c r="AI27" i="7" s="1"/>
  <c r="Y27" i="7"/>
  <c r="W27" i="7"/>
  <c r="V27" i="7"/>
  <c r="T27" i="7"/>
  <c r="O27" i="7"/>
  <c r="N27" i="7"/>
  <c r="M27" i="7"/>
  <c r="L27" i="7"/>
  <c r="I27" i="7"/>
  <c r="F27" i="7"/>
  <c r="A27" i="7"/>
  <c r="AE26" i="7"/>
  <c r="AD26" i="7"/>
  <c r="AI26" i="7" s="1"/>
  <c r="W26" i="7"/>
  <c r="R26" i="7"/>
  <c r="O26" i="7"/>
  <c r="M26" i="7"/>
  <c r="K26" i="7"/>
  <c r="F26" i="7"/>
  <c r="A26" i="7"/>
  <c r="S26" i="7" s="1"/>
  <c r="AD25" i="7"/>
  <c r="AI25" i="7" s="1"/>
  <c r="AA25" i="7"/>
  <c r="Z25" i="7"/>
  <c r="Y25" i="7"/>
  <c r="W25" i="7"/>
  <c r="T25" i="7"/>
  <c r="S25" i="7"/>
  <c r="R25" i="7"/>
  <c r="Q25" i="7"/>
  <c r="O25" i="7"/>
  <c r="L25" i="7"/>
  <c r="K25" i="7"/>
  <c r="J25" i="7"/>
  <c r="I25" i="7"/>
  <c r="G25" i="7"/>
  <c r="F25" i="7"/>
  <c r="A25" i="7"/>
  <c r="X25" i="7" s="1"/>
  <c r="Y24" i="7"/>
  <c r="X24" i="7"/>
  <c r="W24" i="7"/>
  <c r="U24" i="7"/>
  <c r="R24" i="7"/>
  <c r="M24" i="7"/>
  <c r="J24" i="7"/>
  <c r="I24" i="7"/>
  <c r="H24" i="7"/>
  <c r="G24" i="7"/>
  <c r="F24" i="7"/>
  <c r="A24" i="7"/>
  <c r="Z24" i="7" s="1"/>
  <c r="AE23" i="7"/>
  <c r="AA23" i="7"/>
  <c r="O23" i="7"/>
  <c r="N23" i="7"/>
  <c r="A23" i="7"/>
  <c r="P23" i="7" s="1"/>
  <c r="AE22" i="7"/>
  <c r="R22" i="7"/>
  <c r="F22" i="7"/>
  <c r="A22" i="7"/>
  <c r="AI21" i="7"/>
  <c r="AD21" i="7"/>
  <c r="AA21" i="7"/>
  <c r="Z21" i="7"/>
  <c r="Y21" i="7"/>
  <c r="X21" i="7"/>
  <c r="V21" i="7"/>
  <c r="T21" i="7"/>
  <c r="S21" i="7"/>
  <c r="R21" i="7"/>
  <c r="Q21" i="7"/>
  <c r="P21" i="7"/>
  <c r="N21" i="7"/>
  <c r="L21" i="7"/>
  <c r="K21" i="7"/>
  <c r="J21" i="7"/>
  <c r="I21" i="7"/>
  <c r="H21" i="7"/>
  <c r="F21" i="7"/>
  <c r="A21" i="7"/>
  <c r="W21" i="7" s="1"/>
  <c r="X20" i="7"/>
  <c r="V20" i="7"/>
  <c r="U20" i="7"/>
  <c r="T20" i="7"/>
  <c r="S20" i="7"/>
  <c r="M20" i="7"/>
  <c r="L20" i="7"/>
  <c r="K20" i="7"/>
  <c r="J20" i="7"/>
  <c r="H20" i="7"/>
  <c r="F20" i="7"/>
  <c r="A20" i="7"/>
  <c r="Z20" i="7" s="1"/>
  <c r="AA19" i="7"/>
  <c r="F19" i="7"/>
  <c r="A19" i="7"/>
  <c r="Y16" i="7"/>
  <c r="X16" i="7"/>
  <c r="W16" i="7"/>
  <c r="V16" i="7"/>
  <c r="T16" i="7"/>
  <c r="O16" i="7"/>
  <c r="N16" i="7"/>
  <c r="L16" i="7"/>
  <c r="J16" i="7"/>
  <c r="I16" i="7"/>
  <c r="A16" i="7"/>
  <c r="Z16" i="7" s="1"/>
  <c r="AD15" i="7"/>
  <c r="Y15" i="7"/>
  <c r="X15" i="7"/>
  <c r="Q15" i="7"/>
  <c r="O15" i="7"/>
  <c r="N15" i="7"/>
  <c r="G15" i="7"/>
  <c r="A15" i="7"/>
  <c r="AE14" i="7"/>
  <c r="AA14" i="7"/>
  <c r="X14" i="7"/>
  <c r="V14" i="7"/>
  <c r="U14" i="7"/>
  <c r="T14" i="7"/>
  <c r="S14" i="7"/>
  <c r="P14" i="7"/>
  <c r="M14" i="7"/>
  <c r="L14" i="7"/>
  <c r="K14" i="7"/>
  <c r="J14" i="7"/>
  <c r="H14" i="7"/>
  <c r="A14" i="7"/>
  <c r="Z14" i="7" s="1"/>
  <c r="AD13" i="7"/>
  <c r="AI13" i="7" s="1"/>
  <c r="AA13" i="7"/>
  <c r="Z13" i="7"/>
  <c r="AJ13" i="7" s="1"/>
  <c r="AK13" i="7" s="1"/>
  <c r="X13" i="7"/>
  <c r="U13" i="7"/>
  <c r="S13" i="7"/>
  <c r="R13" i="7"/>
  <c r="Q13" i="7"/>
  <c r="P13" i="7"/>
  <c r="M13" i="7"/>
  <c r="J13" i="7"/>
  <c r="I13" i="7"/>
  <c r="H13" i="7"/>
  <c r="G13" i="7"/>
  <c r="F13" i="7"/>
  <c r="A13" i="7"/>
  <c r="W13" i="7" s="1"/>
  <c r="AB13" i="7" s="1"/>
  <c r="AD12" i="7"/>
  <c r="AI12" i="7" s="1"/>
  <c r="O12" i="7"/>
  <c r="F12" i="7"/>
  <c r="A12" i="7"/>
  <c r="Z12" i="7" s="1"/>
  <c r="AJ12" i="7" s="1"/>
  <c r="AD11" i="7"/>
  <c r="AI11" i="7" s="1"/>
  <c r="AA11" i="7"/>
  <c r="Z11" i="7"/>
  <c r="AJ11" i="7" s="1"/>
  <c r="AK11" i="7" s="1"/>
  <c r="Y11" i="7"/>
  <c r="AG11" i="7" s="1"/>
  <c r="S11" i="7"/>
  <c r="R11" i="7"/>
  <c r="Q11" i="7"/>
  <c r="O11" i="7"/>
  <c r="J11" i="7"/>
  <c r="I11" i="7"/>
  <c r="G11" i="7"/>
  <c r="F11" i="7"/>
  <c r="A11" i="7"/>
  <c r="V11" i="7" s="1"/>
  <c r="AD10" i="7"/>
  <c r="AI10" i="7" s="1"/>
  <c r="AA10" i="7"/>
  <c r="AG10" i="7" s="1"/>
  <c r="Z10" i="7"/>
  <c r="AJ10" i="7" s="1"/>
  <c r="AK10" i="7" s="1"/>
  <c r="Y10" i="7"/>
  <c r="X10" i="7"/>
  <c r="W10" i="7"/>
  <c r="V10" i="7"/>
  <c r="T10" i="7"/>
  <c r="S10" i="7"/>
  <c r="R10" i="7"/>
  <c r="Q10" i="7"/>
  <c r="P10" i="7"/>
  <c r="O10" i="7"/>
  <c r="N10" i="7"/>
  <c r="L10" i="7"/>
  <c r="K10" i="7"/>
  <c r="J10" i="7"/>
  <c r="I10" i="7"/>
  <c r="H10" i="7"/>
  <c r="G10" i="7"/>
  <c r="F10" i="7"/>
  <c r="A10" i="7"/>
  <c r="AE10" i="7" s="1"/>
  <c r="AE9" i="7"/>
  <c r="V9" i="7"/>
  <c r="U9" i="7"/>
  <c r="T9" i="7"/>
  <c r="M9" i="7"/>
  <c r="L9" i="7"/>
  <c r="K9" i="7"/>
  <c r="F9" i="7"/>
  <c r="A9" i="7"/>
  <c r="W9" i="7" s="1"/>
  <c r="V8" i="7"/>
  <c r="U8" i="7"/>
  <c r="M8" i="7"/>
  <c r="L8" i="7"/>
  <c r="F8" i="7"/>
  <c r="A8" i="7"/>
  <c r="AD8" i="7" s="1"/>
  <c r="AI8" i="7" s="1"/>
  <c r="AE7" i="7"/>
  <c r="V7" i="7"/>
  <c r="U7" i="7"/>
  <c r="T7" i="7"/>
  <c r="M7" i="7"/>
  <c r="L7" i="7"/>
  <c r="K7" i="7"/>
  <c r="F7" i="7"/>
  <c r="A7" i="7"/>
  <c r="AA7" i="7" s="1"/>
  <c r="AG6" i="7"/>
  <c r="AE6" i="7"/>
  <c r="AD6" i="7"/>
  <c r="AA6" i="7"/>
  <c r="Z6" i="7"/>
  <c r="Y6" i="7"/>
  <c r="W6" i="7"/>
  <c r="V6" i="7"/>
  <c r="U6" i="7"/>
  <c r="S6" i="7"/>
  <c r="R6" i="7"/>
  <c r="Q6" i="7"/>
  <c r="P6" i="7"/>
  <c r="N6" i="7"/>
  <c r="M6" i="7"/>
  <c r="K6" i="7"/>
  <c r="J6" i="7"/>
  <c r="I6" i="7"/>
  <c r="H6" i="7"/>
  <c r="G6" i="7"/>
  <c r="AC6" i="7" s="1"/>
  <c r="A6" i="7"/>
  <c r="X1" i="7"/>
  <c r="W1" i="7"/>
  <c r="V1" i="7"/>
  <c r="U1" i="7"/>
  <c r="T1" i="7"/>
  <c r="S1" i="7"/>
  <c r="R1" i="7"/>
  <c r="Q1" i="7"/>
  <c r="P1" i="7"/>
  <c r="O1" i="7"/>
  <c r="N1" i="7"/>
  <c r="M1" i="7"/>
  <c r="L1" i="7"/>
  <c r="K1" i="7"/>
  <c r="J1" i="7"/>
  <c r="I1" i="7"/>
  <c r="H1" i="7"/>
  <c r="G1" i="7"/>
  <c r="AD37" i="8" l="1"/>
  <c r="Z37" i="8"/>
  <c r="AD6" i="8"/>
  <c r="Z6" i="8"/>
  <c r="Z14" i="8"/>
  <c r="AD14" i="8"/>
  <c r="AD31" i="8"/>
  <c r="Z31" i="8"/>
  <c r="AD10" i="8"/>
  <c r="Z10" i="8"/>
  <c r="AD7" i="8"/>
  <c r="Z7" i="8"/>
  <c r="AD13" i="8"/>
  <c r="Z13" i="8"/>
  <c r="AD15" i="8"/>
  <c r="Z15" i="8"/>
  <c r="AD33" i="8"/>
  <c r="Z33" i="8"/>
  <c r="Z39" i="8"/>
  <c r="AD39" i="8"/>
  <c r="Z42" i="8"/>
  <c r="AD42" i="8"/>
  <c r="AD53" i="8"/>
  <c r="Z53" i="8"/>
  <c r="Z47" i="8"/>
  <c r="AD47" i="8"/>
  <c r="AD22" i="8"/>
  <c r="Z22" i="8"/>
  <c r="AD9" i="8"/>
  <c r="Z9" i="8"/>
  <c r="AD11" i="8"/>
  <c r="Z11" i="8"/>
  <c r="AD19" i="8"/>
  <c r="Z19" i="8"/>
  <c r="AD20" i="8"/>
  <c r="Z20" i="8"/>
  <c r="AD23" i="8"/>
  <c r="Z23" i="8"/>
  <c r="Z24" i="8"/>
  <c r="AD24" i="8"/>
  <c r="AD38" i="8"/>
  <c r="Z38" i="8"/>
  <c r="AD44" i="8"/>
  <c r="Z44" i="8"/>
  <c r="Z40" i="8"/>
  <c r="AD40" i="8"/>
  <c r="AD29" i="8"/>
  <c r="Z29" i="8"/>
  <c r="AD49" i="8"/>
  <c r="Z49" i="8"/>
  <c r="AD8" i="8"/>
  <c r="Z8" i="8"/>
  <c r="Z36" i="8"/>
  <c r="AD36" i="8"/>
  <c r="Z50" i="8"/>
  <c r="AD50" i="8"/>
  <c r="Z51" i="8"/>
  <c r="AD51" i="8"/>
  <c r="Z32" i="8"/>
  <c r="AD32" i="8"/>
  <c r="AD12" i="8"/>
  <c r="Z12" i="8"/>
  <c r="AD21" i="8"/>
  <c r="Z21" i="8"/>
  <c r="AD27" i="8"/>
  <c r="Z27" i="8"/>
  <c r="Z28" i="8"/>
  <c r="AD28" i="8"/>
  <c r="Z48" i="8"/>
  <c r="AD48" i="8"/>
  <c r="AD52" i="8"/>
  <c r="Z52" i="8"/>
  <c r="Z26" i="8"/>
  <c r="Z30" i="8"/>
  <c r="Z34" i="8"/>
  <c r="AI14" i="7"/>
  <c r="P12" i="7"/>
  <c r="AG15" i="7"/>
  <c r="Y22" i="7"/>
  <c r="Q22" i="7"/>
  <c r="I22" i="7"/>
  <c r="W22" i="7"/>
  <c r="O22" i="7"/>
  <c r="G22" i="7"/>
  <c r="V22" i="7"/>
  <c r="V40" i="7" s="1"/>
  <c r="N22" i="7"/>
  <c r="AD22" i="7"/>
  <c r="AI22" i="7" s="1"/>
  <c r="P22" i="7"/>
  <c r="AA22" i="7"/>
  <c r="M22" i="7"/>
  <c r="U22" i="7"/>
  <c r="J22" i="7"/>
  <c r="J40" i="7" s="1"/>
  <c r="S22" i="7"/>
  <c r="Z22" i="7"/>
  <c r="L22" i="7"/>
  <c r="X22" i="7"/>
  <c r="K22" i="7"/>
  <c r="K40" i="7" s="1"/>
  <c r="T22" i="7"/>
  <c r="H22" i="7"/>
  <c r="AG31" i="7"/>
  <c r="Y30" i="7"/>
  <c r="Q30" i="7"/>
  <c r="I30" i="7"/>
  <c r="X30" i="7"/>
  <c r="P30" i="7"/>
  <c r="H30" i="7"/>
  <c r="V30" i="7"/>
  <c r="N30" i="7"/>
  <c r="AD30" i="7"/>
  <c r="AI30" i="7" s="1"/>
  <c r="O30" i="7"/>
  <c r="AA30" i="7"/>
  <c r="M30" i="7"/>
  <c r="Z30" i="7"/>
  <c r="L30" i="7"/>
  <c r="W30" i="7"/>
  <c r="K30" i="7"/>
  <c r="K42" i="7" s="1"/>
  <c r="U30" i="7"/>
  <c r="T30" i="7"/>
  <c r="J30" i="7"/>
  <c r="S30" i="7"/>
  <c r="R30" i="7"/>
  <c r="G30" i="7"/>
  <c r="W33" i="7"/>
  <c r="O33" i="7"/>
  <c r="G33" i="7"/>
  <c r="V33" i="7"/>
  <c r="N33" i="7"/>
  <c r="AD33" i="7"/>
  <c r="AI33" i="7" s="1"/>
  <c r="T33" i="7"/>
  <c r="L33" i="7"/>
  <c r="Y33" i="7"/>
  <c r="K33" i="7"/>
  <c r="X33" i="7"/>
  <c r="J33" i="7"/>
  <c r="U33" i="7"/>
  <c r="I33" i="7"/>
  <c r="S33" i="7"/>
  <c r="H33" i="7"/>
  <c r="AA33" i="7"/>
  <c r="Z33" i="7"/>
  <c r="R33" i="7"/>
  <c r="Q33" i="7"/>
  <c r="P33" i="7"/>
  <c r="M33" i="7"/>
  <c r="AD19" i="7"/>
  <c r="T19" i="7"/>
  <c r="L19" i="7"/>
  <c r="Z19" i="7"/>
  <c r="R19" i="7"/>
  <c r="J19" i="7"/>
  <c r="X19" i="7"/>
  <c r="N19" i="7"/>
  <c r="W19" i="7"/>
  <c r="M19" i="7"/>
  <c r="V19" i="7"/>
  <c r="K19" i="7"/>
  <c r="U19" i="7"/>
  <c r="I19" i="7"/>
  <c r="S19" i="7"/>
  <c r="H19" i="7"/>
  <c r="AE19" i="7"/>
  <c r="Q19" i="7"/>
  <c r="G19" i="7"/>
  <c r="O19" i="7"/>
  <c r="AG21" i="7"/>
  <c r="Z52" i="7"/>
  <c r="R52" i="7"/>
  <c r="J52" i="7"/>
  <c r="Y52" i="7"/>
  <c r="Q52" i="7"/>
  <c r="I52" i="7"/>
  <c r="W52" i="7"/>
  <c r="O52" i="7"/>
  <c r="G52" i="7"/>
  <c r="AE52" i="7"/>
  <c r="P52" i="7"/>
  <c r="AD52" i="7"/>
  <c r="N52" i="7"/>
  <c r="AA52" i="7"/>
  <c r="M52" i="7"/>
  <c r="X52" i="7"/>
  <c r="L52" i="7"/>
  <c r="V52" i="7"/>
  <c r="U52" i="7"/>
  <c r="H52" i="7"/>
  <c r="T52" i="7"/>
  <c r="S52" i="7"/>
  <c r="K52" i="7"/>
  <c r="V17" i="7"/>
  <c r="AA12" i="7"/>
  <c r="AK12" i="7" s="1"/>
  <c r="S12" i="7"/>
  <c r="S42" i="7" s="1"/>
  <c r="K12" i="7"/>
  <c r="Y12" i="7"/>
  <c r="Q12" i="7"/>
  <c r="Q42" i="7" s="1"/>
  <c r="I12" i="7"/>
  <c r="X12" i="7"/>
  <c r="N12" i="7"/>
  <c r="W12" i="7"/>
  <c r="M12" i="7"/>
  <c r="H12" i="7"/>
  <c r="V12" i="7"/>
  <c r="L12" i="7"/>
  <c r="T12" i="7"/>
  <c r="T42" i="7" s="1"/>
  <c r="U12" i="7"/>
  <c r="J12" i="7"/>
  <c r="AE12" i="7"/>
  <c r="R12" i="7"/>
  <c r="R42" i="7" s="1"/>
  <c r="G12" i="7"/>
  <c r="P19" i="7"/>
  <c r="AH25" i="7"/>
  <c r="AJ25" i="7"/>
  <c r="AK25" i="7" s="1"/>
  <c r="Y19" i="7"/>
  <c r="AJ24" i="7"/>
  <c r="AK24" i="7" s="1"/>
  <c r="W37" i="7"/>
  <c r="O37" i="7"/>
  <c r="G37" i="7"/>
  <c r="V37" i="7"/>
  <c r="N37" i="7"/>
  <c r="AD37" i="7"/>
  <c r="AI37" i="7" s="1"/>
  <c r="T37" i="7"/>
  <c r="L37" i="7"/>
  <c r="AA37" i="7"/>
  <c r="P37" i="7"/>
  <c r="Z37" i="7"/>
  <c r="M37" i="7"/>
  <c r="Y37" i="7"/>
  <c r="K37" i="7"/>
  <c r="X37" i="7"/>
  <c r="J37" i="7"/>
  <c r="U37" i="7"/>
  <c r="S37" i="7"/>
  <c r="I37" i="7"/>
  <c r="R37" i="7"/>
  <c r="Q37" i="7"/>
  <c r="H37" i="7"/>
  <c r="AE15" i="7"/>
  <c r="U15" i="7"/>
  <c r="M15" i="7"/>
  <c r="AA15" i="7"/>
  <c r="S15" i="7"/>
  <c r="K15" i="7"/>
  <c r="P15" i="7"/>
  <c r="Z15" i="7"/>
  <c r="AH21" i="7"/>
  <c r="T23" i="7"/>
  <c r="L23" i="7"/>
  <c r="L40" i="7" s="1"/>
  <c r="Z23" i="7"/>
  <c r="R23" i="7"/>
  <c r="R40" i="7" s="1"/>
  <c r="J23" i="7"/>
  <c r="Y23" i="7"/>
  <c r="Y40" i="7" s="1"/>
  <c r="Q23" i="7"/>
  <c r="Q40" i="7" s="1"/>
  <c r="I23" i="7"/>
  <c r="AA31" i="7"/>
  <c r="S31" i="7"/>
  <c r="K31" i="7"/>
  <c r="Z31" i="7"/>
  <c r="R31" i="7"/>
  <c r="J31" i="7"/>
  <c r="X31" i="7"/>
  <c r="P31" i="7"/>
  <c r="H31" i="7"/>
  <c r="W31" i="7"/>
  <c r="L31" i="7"/>
  <c r="V31" i="7"/>
  <c r="I31" i="7"/>
  <c r="U31" i="7"/>
  <c r="G31" i="7"/>
  <c r="T31" i="7"/>
  <c r="AE31" i="7"/>
  <c r="AJ38" i="7"/>
  <c r="AK38" i="7" s="1"/>
  <c r="AH38" i="7"/>
  <c r="T6" i="7"/>
  <c r="L6" i="7"/>
  <c r="O6" i="7"/>
  <c r="X6" i="7"/>
  <c r="O7" i="7"/>
  <c r="X7" i="7"/>
  <c r="H8" i="7"/>
  <c r="Q8" i="7"/>
  <c r="Q17" i="7" s="1"/>
  <c r="Z8" i="7"/>
  <c r="O9" i="7"/>
  <c r="X9" i="7"/>
  <c r="K11" i="7"/>
  <c r="T11" i="7"/>
  <c r="AE11" i="7"/>
  <c r="K13" i="7"/>
  <c r="N14" i="7"/>
  <c r="H15" i="7"/>
  <c r="R15" i="7"/>
  <c r="P16" i="7"/>
  <c r="N20" i="7"/>
  <c r="G23" i="7"/>
  <c r="U23" i="7"/>
  <c r="O24" i="7"/>
  <c r="AG27" i="7"/>
  <c r="P8" i="7"/>
  <c r="Y8" i="7"/>
  <c r="AJ34" i="7"/>
  <c r="AH34" i="7"/>
  <c r="L11" i="7"/>
  <c r="U11" i="7"/>
  <c r="I15" i="7"/>
  <c r="T15" i="7"/>
  <c r="AE16" i="7"/>
  <c r="U16" i="7"/>
  <c r="M16" i="7"/>
  <c r="AA16" i="7"/>
  <c r="AG16" i="7" s="1"/>
  <c r="S16" i="7"/>
  <c r="K16" i="7"/>
  <c r="Q16" i="7"/>
  <c r="AD16" i="7"/>
  <c r="Q20" i="7"/>
  <c r="I20" i="7"/>
  <c r="W20" i="7"/>
  <c r="O20" i="7"/>
  <c r="G20" i="7"/>
  <c r="P20" i="7"/>
  <c r="AA20" i="7"/>
  <c r="AH20" i="7" s="1"/>
  <c r="H23" i="7"/>
  <c r="H40" i="7" s="1"/>
  <c r="V23" i="7"/>
  <c r="V24" i="7"/>
  <c r="N24" i="7"/>
  <c r="AD24" i="7"/>
  <c r="AI24" i="7" s="1"/>
  <c r="T24" i="7"/>
  <c r="L24" i="7"/>
  <c r="AA24" i="7"/>
  <c r="AH24" i="7" s="1"/>
  <c r="S24" i="7"/>
  <c r="K24" i="7"/>
  <c r="P24" i="7"/>
  <c r="P40" i="7" s="1"/>
  <c r="AE24" i="7"/>
  <c r="AG29" i="7"/>
  <c r="M31" i="7"/>
  <c r="AA35" i="7"/>
  <c r="S35" i="7"/>
  <c r="K35" i="7"/>
  <c r="Z35" i="7"/>
  <c r="R35" i="7"/>
  <c r="J35" i="7"/>
  <c r="X35" i="7"/>
  <c r="P35" i="7"/>
  <c r="H35" i="7"/>
  <c r="AD35" i="7"/>
  <c r="AI35" i="7" s="1"/>
  <c r="N35" i="7"/>
  <c r="Y35" i="7"/>
  <c r="AG35" i="7" s="1"/>
  <c r="M35" i="7"/>
  <c r="W35" i="7"/>
  <c r="L35" i="7"/>
  <c r="V35" i="7"/>
  <c r="I35" i="7"/>
  <c r="N7" i="7"/>
  <c r="Z9" i="7"/>
  <c r="AJ9" i="7" s="1"/>
  <c r="AK9" i="7" s="1"/>
  <c r="R9" i="7"/>
  <c r="J9" i="7"/>
  <c r="N9" i="7"/>
  <c r="S23" i="7"/>
  <c r="G7" i="7"/>
  <c r="P7" i="7"/>
  <c r="Z7" i="7"/>
  <c r="I8" i="7"/>
  <c r="R8" i="7"/>
  <c r="R17" i="7" s="1"/>
  <c r="AA8" i="7"/>
  <c r="AA17" i="7" s="1"/>
  <c r="G9" i="7"/>
  <c r="P9" i="7"/>
  <c r="Y9" i="7"/>
  <c r="H7" i="7"/>
  <c r="R7" i="7"/>
  <c r="J8" i="7"/>
  <c r="S8" i="7"/>
  <c r="S17" i="7" s="1"/>
  <c r="H9" i="7"/>
  <c r="H42" i="7" s="1"/>
  <c r="Q9" i="7"/>
  <c r="AA9" i="7"/>
  <c r="M11" i="7"/>
  <c r="AE13" i="7"/>
  <c r="V13" i="7"/>
  <c r="V42" i="7" s="1"/>
  <c r="N13" i="7"/>
  <c r="T13" i="7"/>
  <c r="L13" i="7"/>
  <c r="L17" i="7" s="1"/>
  <c r="O13" i="7"/>
  <c r="Y13" i="7"/>
  <c r="AG13" i="7" s="1"/>
  <c r="Y14" i="7"/>
  <c r="AG14" i="7" s="1"/>
  <c r="Q14" i="7"/>
  <c r="I14" i="7"/>
  <c r="W14" i="7"/>
  <c r="O14" i="7"/>
  <c r="G14" i="7"/>
  <c r="R14" i="7"/>
  <c r="AD14" i="7"/>
  <c r="J15" i="7"/>
  <c r="V15" i="7"/>
  <c r="H16" i="7"/>
  <c r="R16" i="7"/>
  <c r="R20" i="7"/>
  <c r="AE20" i="7"/>
  <c r="AJ21" i="7"/>
  <c r="K23" i="7"/>
  <c r="W23" i="7"/>
  <c r="Q24" i="7"/>
  <c r="Y26" i="7"/>
  <c r="Q26" i="7"/>
  <c r="I26" i="7"/>
  <c r="I40" i="7" s="1"/>
  <c r="X26" i="7"/>
  <c r="P26" i="7"/>
  <c r="H26" i="7"/>
  <c r="V26" i="7"/>
  <c r="N26" i="7"/>
  <c r="Z26" i="7"/>
  <c r="L26" i="7"/>
  <c r="U26" i="7"/>
  <c r="J26" i="7"/>
  <c r="T26" i="7"/>
  <c r="G26" i="7"/>
  <c r="AA26" i="7"/>
  <c r="AH29" i="7"/>
  <c r="AJ29" i="7"/>
  <c r="AK29" i="7" s="1"/>
  <c r="N31" i="7"/>
  <c r="AG49" i="7"/>
  <c r="W8" i="7"/>
  <c r="O8" i="7"/>
  <c r="O17" i="7" s="1"/>
  <c r="G8" i="7"/>
  <c r="G17" i="7" s="1"/>
  <c r="N8" i="7"/>
  <c r="X8" i="7"/>
  <c r="Y7" i="7"/>
  <c r="AG7" i="7" s="1"/>
  <c r="Q7" i="7"/>
  <c r="I7" i="7"/>
  <c r="W7" i="7"/>
  <c r="W43" i="7" s="1"/>
  <c r="BF3" i="7" s="1"/>
  <c r="J7" i="7"/>
  <c r="S7" i="7"/>
  <c r="AD7" i="7"/>
  <c r="K8" i="7"/>
  <c r="K17" i="7" s="1"/>
  <c r="T8" i="7"/>
  <c r="T17" i="7" s="1"/>
  <c r="AE8" i="7"/>
  <c r="I9" i="7"/>
  <c r="S9" i="7"/>
  <c r="AD9" i="7"/>
  <c r="AI9" i="7" s="1"/>
  <c r="X11" i="7"/>
  <c r="P11" i="7"/>
  <c r="P42" i="7" s="1"/>
  <c r="H11" i="7"/>
  <c r="N11" i="7"/>
  <c r="W11" i="7"/>
  <c r="L15" i="7"/>
  <c r="W15" i="7"/>
  <c r="M23" i="7"/>
  <c r="X23" i="7"/>
  <c r="AG25" i="7"/>
  <c r="O31" i="7"/>
  <c r="O42" i="7" s="1"/>
  <c r="G35" i="7"/>
  <c r="AA51" i="7"/>
  <c r="S51" i="7"/>
  <c r="K51" i="7"/>
  <c r="Z51" i="7"/>
  <c r="R51" i="7"/>
  <c r="J51" i="7"/>
  <c r="X51" i="7"/>
  <c r="P51" i="7"/>
  <c r="H51" i="7"/>
  <c r="AE51" i="7"/>
  <c r="O51" i="7"/>
  <c r="AD51" i="7"/>
  <c r="N51" i="7"/>
  <c r="Y51" i="7"/>
  <c r="AG51" i="7" s="1"/>
  <c r="M51" i="7"/>
  <c r="W51" i="7"/>
  <c r="L51" i="7"/>
  <c r="M25" i="7"/>
  <c r="U25" i="7"/>
  <c r="AE25" i="7"/>
  <c r="W29" i="7"/>
  <c r="W40" i="7" s="1"/>
  <c r="O29" i="7"/>
  <c r="G29" i="7"/>
  <c r="V29" i="7"/>
  <c r="N29" i="7"/>
  <c r="AD29" i="7"/>
  <c r="AI29" i="7" s="1"/>
  <c r="T29" i="7"/>
  <c r="L29" i="7"/>
  <c r="Q29" i="7"/>
  <c r="AE29" i="7"/>
  <c r="M34" i="7"/>
  <c r="AA34" i="7"/>
  <c r="Y38" i="7"/>
  <c r="AG38" i="7" s="1"/>
  <c r="Q38" i="7"/>
  <c r="I38" i="7"/>
  <c r="X38" i="7"/>
  <c r="P38" i="7"/>
  <c r="H38" i="7"/>
  <c r="V38" i="7"/>
  <c r="N38" i="7"/>
  <c r="R38" i="7"/>
  <c r="AE38" i="7"/>
  <c r="AA47" i="7"/>
  <c r="AG47" i="7" s="1"/>
  <c r="S47" i="7"/>
  <c r="K47" i="7"/>
  <c r="K53" i="7" s="1"/>
  <c r="Z47" i="7"/>
  <c r="R47" i="7"/>
  <c r="J47" i="7"/>
  <c r="X47" i="7"/>
  <c r="P47" i="7"/>
  <c r="H47" i="7"/>
  <c r="H53" i="7" s="1"/>
  <c r="Q47" i="7"/>
  <c r="O48" i="7"/>
  <c r="O53" i="7" s="1"/>
  <c r="M49" i="7"/>
  <c r="M53" i="7" s="1"/>
  <c r="Z49" i="7"/>
  <c r="M21" i="7"/>
  <c r="U21" i="7"/>
  <c r="AE21" i="7"/>
  <c r="N25" i="7"/>
  <c r="N40" i="7" s="1"/>
  <c r="V25" i="7"/>
  <c r="AA27" i="7"/>
  <c r="AA40" i="7" s="1"/>
  <c r="AI40" i="7" s="1"/>
  <c r="S27" i="7"/>
  <c r="K27" i="7"/>
  <c r="Z27" i="7"/>
  <c r="R27" i="7"/>
  <c r="J27" i="7"/>
  <c r="X27" i="7"/>
  <c r="X40" i="7" s="1"/>
  <c r="P27" i="7"/>
  <c r="H27" i="7"/>
  <c r="Q27" i="7"/>
  <c r="R29" i="7"/>
  <c r="O34" i="7"/>
  <c r="S38" i="7"/>
  <c r="Y48" i="7"/>
  <c r="AG48" i="7" s="1"/>
  <c r="Q48" i="7"/>
  <c r="I48" i="7"/>
  <c r="X48" i="7"/>
  <c r="P48" i="7"/>
  <c r="H48" i="7"/>
  <c r="V48" i="7"/>
  <c r="N48" i="7"/>
  <c r="N53" i="7" s="1"/>
  <c r="R48" i="7"/>
  <c r="AE48" i="7"/>
  <c r="P49" i="7"/>
  <c r="Y34" i="7"/>
  <c r="AG34" i="7" s="1"/>
  <c r="Q34" i="7"/>
  <c r="I34" i="7"/>
  <c r="X34" i="7"/>
  <c r="P34" i="7"/>
  <c r="H34" i="7"/>
  <c r="V34" i="7"/>
  <c r="N34" i="7"/>
  <c r="R34" i="7"/>
  <c r="AE34" i="7"/>
  <c r="G38" i="7"/>
  <c r="T38" i="7"/>
  <c r="G47" i="7"/>
  <c r="U47" i="7"/>
  <c r="S48" i="7"/>
  <c r="W49" i="7"/>
  <c r="W53" i="7" s="1"/>
  <c r="O49" i="7"/>
  <c r="G49" i="7"/>
  <c r="V49" i="7"/>
  <c r="N49" i="7"/>
  <c r="AD49" i="7"/>
  <c r="T49" i="7"/>
  <c r="L49" i="7"/>
  <c r="L53" i="7" s="1"/>
  <c r="Q49" i="7"/>
  <c r="AE49" i="7"/>
  <c r="M10" i="7"/>
  <c r="M42" i="7" s="1"/>
  <c r="U10" i="7"/>
  <c r="U17" i="7" s="1"/>
  <c r="G21" i="7"/>
  <c r="O21" i="7"/>
  <c r="H25" i="7"/>
  <c r="P25" i="7"/>
  <c r="G27" i="7"/>
  <c r="U27" i="7"/>
  <c r="I29" i="7"/>
  <c r="U29" i="7"/>
  <c r="S34" i="7"/>
  <c r="J38" i="7"/>
  <c r="U38" i="7"/>
  <c r="U42" i="7" s="1"/>
  <c r="T39" i="7"/>
  <c r="L39" i="7"/>
  <c r="AA39" i="7"/>
  <c r="S39" i="7"/>
  <c r="K39" i="7"/>
  <c r="Y39" i="7"/>
  <c r="Q39" i="7"/>
  <c r="I39" i="7"/>
  <c r="R39" i="7"/>
  <c r="I47" i="7"/>
  <c r="I53" i="7" s="1"/>
  <c r="V47" i="7"/>
  <c r="V53" i="7" s="1"/>
  <c r="G48" i="7"/>
  <c r="T48" i="7"/>
  <c r="R49" i="7"/>
  <c r="J28" i="7"/>
  <c r="R28" i="7"/>
  <c r="Z28" i="7"/>
  <c r="J32" i="7"/>
  <c r="R32" i="7"/>
  <c r="Z32" i="7"/>
  <c r="J36" i="7"/>
  <c r="R36" i="7"/>
  <c r="Z36" i="7"/>
  <c r="J50" i="7"/>
  <c r="R50" i="7"/>
  <c r="Z50" i="7"/>
  <c r="L28" i="7"/>
  <c r="L42" i="7" s="1"/>
  <c r="T28" i="7"/>
  <c r="AD28" i="7"/>
  <c r="AI28" i="7" s="1"/>
  <c r="L32" i="7"/>
  <c r="T32" i="7"/>
  <c r="AD32" i="7"/>
  <c r="AI32" i="7" s="1"/>
  <c r="L36" i="7"/>
  <c r="T36" i="7"/>
  <c r="AD36" i="7"/>
  <c r="AI36" i="7" s="1"/>
  <c r="L50" i="7"/>
  <c r="T50" i="7"/>
  <c r="AD50" i="7"/>
  <c r="M28" i="7"/>
  <c r="U28" i="7"/>
  <c r="M32" i="7"/>
  <c r="U32" i="7"/>
  <c r="M36" i="7"/>
  <c r="U36" i="7"/>
  <c r="M50" i="7"/>
  <c r="U50" i="7"/>
  <c r="AH32" i="7" l="1"/>
  <c r="AJ32" i="7"/>
  <c r="AK32" i="7" s="1"/>
  <c r="L44" i="7"/>
  <c r="L43" i="7" s="1"/>
  <c r="M44" i="7"/>
  <c r="M43" i="7" s="1"/>
  <c r="T44" i="7"/>
  <c r="T43" i="7" s="1"/>
  <c r="Q53" i="7"/>
  <c r="S53" i="7"/>
  <c r="X17" i="7"/>
  <c r="AJ26" i="7"/>
  <c r="AK26" i="7" s="1"/>
  <c r="AH26" i="7"/>
  <c r="AG26" i="7"/>
  <c r="J17" i="7"/>
  <c r="I17" i="7"/>
  <c r="H17" i="7"/>
  <c r="AJ23" i="7"/>
  <c r="AK23" i="7" s="1"/>
  <c r="AH23" i="7"/>
  <c r="AG19" i="7"/>
  <c r="W44" i="7"/>
  <c r="AJ30" i="7"/>
  <c r="AK30" i="7" s="1"/>
  <c r="AH30" i="7"/>
  <c r="Z53" i="7"/>
  <c r="AG53" i="7"/>
  <c r="H44" i="7"/>
  <c r="H43" i="7" s="1"/>
  <c r="N44" i="7"/>
  <c r="T40" i="7"/>
  <c r="Z17" i="7"/>
  <c r="AJ8" i="7"/>
  <c r="G42" i="7"/>
  <c r="G44" i="7"/>
  <c r="Y20" i="7"/>
  <c r="AG20" i="7" s="1"/>
  <c r="N17" i="7"/>
  <c r="U53" i="7"/>
  <c r="P53" i="7"/>
  <c r="N42" i="7"/>
  <c r="AJ35" i="7"/>
  <c r="AK35" i="7" s="1"/>
  <c r="AH35" i="7"/>
  <c r="AK34" i="7"/>
  <c r="AG24" i="7"/>
  <c r="AG37" i="7"/>
  <c r="P44" i="7"/>
  <c r="P43" i="7" s="1"/>
  <c r="O44" i="7"/>
  <c r="O43" i="7" s="1"/>
  <c r="S44" i="7"/>
  <c r="S43" i="7" s="1"/>
  <c r="X44" i="7"/>
  <c r="X43" i="7" s="1"/>
  <c r="BG3" i="7" s="1"/>
  <c r="S40" i="7"/>
  <c r="AH28" i="7"/>
  <c r="AJ28" i="7"/>
  <c r="AK28" i="7" s="1"/>
  <c r="AE58" i="7"/>
  <c r="AH53" i="7"/>
  <c r="AA53" i="7"/>
  <c r="AJ36" i="7"/>
  <c r="AK36" i="7" s="1"/>
  <c r="AH36" i="7"/>
  <c r="O40" i="7"/>
  <c r="G53" i="7"/>
  <c r="U40" i="7"/>
  <c r="X53" i="7"/>
  <c r="AG9" i="7"/>
  <c r="Y17" i="7"/>
  <c r="AG8" i="7"/>
  <c r="AF53" i="7"/>
  <c r="AG12" i="7"/>
  <c r="AG52" i="7"/>
  <c r="I44" i="7"/>
  <c r="I43" i="7" s="1"/>
  <c r="J44" i="7"/>
  <c r="AJ31" i="7"/>
  <c r="AK31" i="7" s="1"/>
  <c r="AH31" i="7"/>
  <c r="V44" i="7"/>
  <c r="V43" i="7" s="1"/>
  <c r="AG33" i="7"/>
  <c r="J42" i="7"/>
  <c r="G40" i="7"/>
  <c r="AJ27" i="7"/>
  <c r="AK27" i="7" s="1"/>
  <c r="AH27" i="7"/>
  <c r="M40" i="7"/>
  <c r="J53" i="7"/>
  <c r="W17" i="7"/>
  <c r="AK21" i="7"/>
  <c r="P17" i="7"/>
  <c r="AH37" i="7"/>
  <c r="AJ37" i="7"/>
  <c r="AK37" i="7" s="1"/>
  <c r="Y53" i="7"/>
  <c r="AD53" i="7" s="1"/>
  <c r="M17" i="7"/>
  <c r="U44" i="7"/>
  <c r="U43" i="7" s="1"/>
  <c r="R44" i="7"/>
  <c r="R43" i="7" s="1"/>
  <c r="AG30" i="7"/>
  <c r="AG22" i="7"/>
  <c r="Q44" i="7"/>
  <c r="Q43" i="7" s="1"/>
  <c r="AD39" i="7"/>
  <c r="AG39" i="7"/>
  <c r="T53" i="7"/>
  <c r="R53" i="7"/>
  <c r="I42" i="7"/>
  <c r="AD23" i="7"/>
  <c r="AI23" i="7" s="1"/>
  <c r="AI39" i="7" s="1"/>
  <c r="AG23" i="7"/>
  <c r="Z40" i="7"/>
  <c r="AD40" i="7" s="1"/>
  <c r="AD58" i="7"/>
  <c r="K44" i="7"/>
  <c r="K43" i="7" s="1"/>
  <c r="Z44" i="7"/>
  <c r="AH19" i="7"/>
  <c r="AH33" i="7"/>
  <c r="AJ33" i="7"/>
  <c r="AK33" i="7" s="1"/>
  <c r="AJ22" i="7"/>
  <c r="AK22" i="7" s="1"/>
  <c r="AH22" i="7"/>
  <c r="AG44" i="7" l="1"/>
  <c r="G43" i="7"/>
  <c r="M45" i="7"/>
  <c r="AV3" i="7"/>
  <c r="T45" i="7"/>
  <c r="BC3" i="7"/>
  <c r="V45" i="7"/>
  <c r="BE3" i="7"/>
  <c r="BB3" i="7"/>
  <c r="S45" i="7"/>
  <c r="L45" i="7"/>
  <c r="AU3" i="7"/>
  <c r="AQ3" i="7"/>
  <c r="I45" i="7"/>
  <c r="Y42" i="7"/>
  <c r="AG17" i="7"/>
  <c r="AD17" i="7"/>
  <c r="O45" i="7"/>
  <c r="AW3" i="7"/>
  <c r="BA3" i="7"/>
  <c r="R45" i="7"/>
  <c r="U45" i="7"/>
  <c r="BD3" i="7"/>
  <c r="K45" i="7"/>
  <c r="AS3" i="7"/>
  <c r="AX3" i="7"/>
  <c r="P45" i="7"/>
  <c r="N43" i="7"/>
  <c r="Y44" i="7"/>
  <c r="Q45" i="7"/>
  <c r="AZ3" i="7"/>
  <c r="AJ39" i="7"/>
  <c r="AK8" i="7"/>
  <c r="AK14" i="7" s="1"/>
  <c r="AJ14" i="7"/>
  <c r="Z42" i="7"/>
  <c r="J43" i="7"/>
  <c r="H45" i="7"/>
  <c r="AP3" i="7"/>
  <c r="AJ40" i="7" l="1"/>
  <c r="AK40" i="7" s="1"/>
  <c r="AK39" i="7"/>
  <c r="AR3" i="7"/>
  <c r="J45" i="7"/>
  <c r="N45" i="7"/>
  <c r="AY3" i="7"/>
  <c r="Y43" i="7"/>
  <c r="AA44" i="7"/>
  <c r="AD44" i="7" s="1"/>
  <c r="G45" i="7"/>
  <c r="AB43" i="7"/>
  <c r="AO3" i="7"/>
  <c r="AA42" i="7"/>
  <c r="AD42" i="7" s="1"/>
  <c r="Y45" i="7" l="1"/>
  <c r="AA43" i="7"/>
  <c r="AA45" i="7" s="1"/>
  <c r="AD43" i="7" l="1"/>
  <c r="AE55" i="6" l="1"/>
  <c r="N54" i="6"/>
  <c r="K54" i="6"/>
  <c r="A54" i="6"/>
  <c r="AD53" i="6"/>
  <c r="W53" i="6"/>
  <c r="T53" i="6"/>
  <c r="O53" i="6"/>
  <c r="L53" i="6"/>
  <c r="G53" i="6"/>
  <c r="F53" i="6"/>
  <c r="A53" i="6"/>
  <c r="AA53" i="6" s="1"/>
  <c r="Y52" i="6"/>
  <c r="X52" i="6"/>
  <c r="W52" i="6"/>
  <c r="V52" i="6"/>
  <c r="Q52" i="6"/>
  <c r="P52" i="6"/>
  <c r="O52" i="6"/>
  <c r="N52" i="6"/>
  <c r="I52" i="6"/>
  <c r="H52" i="6"/>
  <c r="G52" i="6"/>
  <c r="F52" i="6"/>
  <c r="A52" i="6"/>
  <c r="AE52" i="6" s="1"/>
  <c r="AA51" i="6"/>
  <c r="Z51" i="6"/>
  <c r="Y51" i="6"/>
  <c r="X51" i="6"/>
  <c r="W51" i="6"/>
  <c r="S51" i="6"/>
  <c r="R51" i="6"/>
  <c r="Q51" i="6"/>
  <c r="P51" i="6"/>
  <c r="O51" i="6"/>
  <c r="K51" i="6"/>
  <c r="J51" i="6"/>
  <c r="I51" i="6"/>
  <c r="H51" i="6"/>
  <c r="G51" i="6"/>
  <c r="F51" i="6"/>
  <c r="A51" i="6"/>
  <c r="V51" i="6" s="1"/>
  <c r="AA50" i="6"/>
  <c r="Y50" i="6"/>
  <c r="T50" i="6"/>
  <c r="S50" i="6"/>
  <c r="M50" i="6"/>
  <c r="K50" i="6"/>
  <c r="I50" i="6"/>
  <c r="F50" i="6"/>
  <c r="A50" i="6"/>
  <c r="AD50" i="6" s="1"/>
  <c r="AE49" i="6"/>
  <c r="AA49" i="6"/>
  <c r="V49" i="6"/>
  <c r="U49" i="6"/>
  <c r="O49" i="6"/>
  <c r="M49" i="6"/>
  <c r="K49" i="6"/>
  <c r="G49" i="6"/>
  <c r="F49" i="6"/>
  <c r="A49" i="6"/>
  <c r="Z41" i="6"/>
  <c r="X41" i="6"/>
  <c r="V41" i="6"/>
  <c r="R41" i="6"/>
  <c r="O41" i="6"/>
  <c r="J41" i="6"/>
  <c r="H41" i="6"/>
  <c r="G41" i="6"/>
  <c r="A41" i="6"/>
  <c r="P41" i="6" s="1"/>
  <c r="W40" i="6"/>
  <c r="V40" i="6"/>
  <c r="S40" i="6"/>
  <c r="K40" i="6"/>
  <c r="F40" i="6"/>
  <c r="A40" i="6"/>
  <c r="AJ39" i="6"/>
  <c r="AK39" i="6" s="1"/>
  <c r="AD39" i="6"/>
  <c r="AI39" i="6" s="1"/>
  <c r="AA39" i="6"/>
  <c r="Z39" i="6"/>
  <c r="Y39" i="6"/>
  <c r="U39" i="6"/>
  <c r="S39" i="6"/>
  <c r="Q39" i="6"/>
  <c r="M39" i="6"/>
  <c r="L39" i="6"/>
  <c r="K39" i="6"/>
  <c r="J39" i="6"/>
  <c r="F39" i="6"/>
  <c r="A39" i="6"/>
  <c r="AK38" i="6"/>
  <c r="AJ38" i="6"/>
  <c r="AA38" i="6"/>
  <c r="AH38" i="6" s="1"/>
  <c r="Z38" i="6"/>
  <c r="Y38" i="6"/>
  <c r="X38" i="6"/>
  <c r="W38" i="6"/>
  <c r="S38" i="6"/>
  <c r="R38" i="6"/>
  <c r="Q38" i="6"/>
  <c r="P38" i="6"/>
  <c r="O38" i="6"/>
  <c r="K38" i="6"/>
  <c r="J38" i="6"/>
  <c r="I38" i="6"/>
  <c r="H38" i="6"/>
  <c r="G38" i="6"/>
  <c r="F38" i="6"/>
  <c r="A38" i="6"/>
  <c r="V38" i="6" s="1"/>
  <c r="U37" i="6"/>
  <c r="P37" i="6"/>
  <c r="I37" i="6"/>
  <c r="G37" i="6"/>
  <c r="F37" i="6"/>
  <c r="A37" i="6"/>
  <c r="W37" i="6" s="1"/>
  <c r="AD36" i="6"/>
  <c r="AI36" i="6" s="1"/>
  <c r="W36" i="6"/>
  <c r="U36" i="6"/>
  <c r="T36" i="6"/>
  <c r="N36" i="6"/>
  <c r="L36" i="6"/>
  <c r="G36" i="6"/>
  <c r="F36" i="6"/>
  <c r="A36" i="6"/>
  <c r="AE36" i="6" s="1"/>
  <c r="AJ35" i="6"/>
  <c r="AK35" i="6" s="1"/>
  <c r="AD35" i="6"/>
  <c r="AI35" i="6" s="1"/>
  <c r="Z35" i="6"/>
  <c r="AH35" i="6" s="1"/>
  <c r="Y35" i="6"/>
  <c r="AG35" i="6" s="1"/>
  <c r="U35" i="6"/>
  <c r="T35" i="6"/>
  <c r="S35" i="6"/>
  <c r="Q35" i="6"/>
  <c r="L35" i="6"/>
  <c r="K35" i="6"/>
  <c r="J35" i="6"/>
  <c r="I35" i="6"/>
  <c r="F35" i="6"/>
  <c r="A35" i="6"/>
  <c r="AA35" i="6" s="1"/>
  <c r="AH34" i="6"/>
  <c r="AA34" i="6"/>
  <c r="Z34" i="6"/>
  <c r="AJ34" i="6" s="1"/>
  <c r="AK34" i="6" s="1"/>
  <c r="Y34" i="6"/>
  <c r="AG34" i="6" s="1"/>
  <c r="X34" i="6"/>
  <c r="W34" i="6"/>
  <c r="S34" i="6"/>
  <c r="R34" i="6"/>
  <c r="Q34" i="6"/>
  <c r="P34" i="6"/>
  <c r="O34" i="6"/>
  <c r="K34" i="6"/>
  <c r="J34" i="6"/>
  <c r="I34" i="6"/>
  <c r="H34" i="6"/>
  <c r="G34" i="6"/>
  <c r="F34" i="6"/>
  <c r="A34" i="6"/>
  <c r="V34" i="6" s="1"/>
  <c r="Y33" i="6"/>
  <c r="X33" i="6"/>
  <c r="U33" i="6"/>
  <c r="P33" i="6"/>
  <c r="N33" i="6"/>
  <c r="M33" i="6"/>
  <c r="I33" i="6"/>
  <c r="G33" i="6"/>
  <c r="F33" i="6"/>
  <c r="A33" i="6"/>
  <c r="AE32" i="6"/>
  <c r="U32" i="6"/>
  <c r="G32" i="6"/>
  <c r="F32" i="6"/>
  <c r="A32" i="6"/>
  <c r="AJ31" i="6"/>
  <c r="AD31" i="6"/>
  <c r="AI31" i="6" s="1"/>
  <c r="Z31" i="6"/>
  <c r="U31" i="6"/>
  <c r="T31" i="6"/>
  <c r="S31" i="6"/>
  <c r="Q31" i="6"/>
  <c r="L31" i="6"/>
  <c r="J31" i="6"/>
  <c r="I31" i="6"/>
  <c r="F31" i="6"/>
  <c r="A31" i="6"/>
  <c r="AA30" i="6"/>
  <c r="Z30" i="6"/>
  <c r="Y30" i="6"/>
  <c r="X30" i="6"/>
  <c r="W30" i="6"/>
  <c r="S30" i="6"/>
  <c r="R30" i="6"/>
  <c r="Q30" i="6"/>
  <c r="P30" i="6"/>
  <c r="O30" i="6"/>
  <c r="K30" i="6"/>
  <c r="J30" i="6"/>
  <c r="I30" i="6"/>
  <c r="H30" i="6"/>
  <c r="G30" i="6"/>
  <c r="F30" i="6"/>
  <c r="A30" i="6"/>
  <c r="V30" i="6" s="1"/>
  <c r="W29" i="6"/>
  <c r="Q29" i="6"/>
  <c r="G29" i="6"/>
  <c r="F29" i="6"/>
  <c r="A29" i="6"/>
  <c r="M28" i="6"/>
  <c r="F28" i="6"/>
  <c r="A28" i="6"/>
  <c r="S28" i="6" s="1"/>
  <c r="X27" i="6"/>
  <c r="V27" i="6"/>
  <c r="U27" i="6"/>
  <c r="N27" i="6"/>
  <c r="K27" i="6"/>
  <c r="I27" i="6"/>
  <c r="F27" i="6"/>
  <c r="A27" i="6"/>
  <c r="W27" i="6" s="1"/>
  <c r="AE26" i="6"/>
  <c r="AD26" i="6"/>
  <c r="AI26" i="6" s="1"/>
  <c r="W26" i="6"/>
  <c r="V26" i="6"/>
  <c r="T26" i="6"/>
  <c r="S26" i="6"/>
  <c r="Q26" i="6"/>
  <c r="M26" i="6"/>
  <c r="L26" i="6"/>
  <c r="I26" i="6"/>
  <c r="G26" i="6"/>
  <c r="F26" i="6"/>
  <c r="A26" i="6"/>
  <c r="Y26" i="6" s="1"/>
  <c r="AJ25" i="6"/>
  <c r="AE25" i="6"/>
  <c r="AA25" i="6"/>
  <c r="Z25" i="6"/>
  <c r="Y25" i="6"/>
  <c r="X25" i="6"/>
  <c r="W25" i="6"/>
  <c r="U25" i="6"/>
  <c r="T25" i="6"/>
  <c r="S25" i="6"/>
  <c r="R25" i="6"/>
  <c r="Q25" i="6"/>
  <c r="P25" i="6"/>
  <c r="O25" i="6"/>
  <c r="M25" i="6"/>
  <c r="L25" i="6"/>
  <c r="K25" i="6"/>
  <c r="J25" i="6"/>
  <c r="I25" i="6"/>
  <c r="H25" i="6"/>
  <c r="G25" i="6"/>
  <c r="A25" i="6"/>
  <c r="V25" i="6" s="1"/>
  <c r="AJ24" i="6"/>
  <c r="AE24" i="6"/>
  <c r="AD24" i="6"/>
  <c r="AI24" i="6" s="1"/>
  <c r="Z24" i="6"/>
  <c r="Y24" i="6"/>
  <c r="X24" i="6"/>
  <c r="V24" i="6"/>
  <c r="U24" i="6"/>
  <c r="T24" i="6"/>
  <c r="R24" i="6"/>
  <c r="Q24" i="6"/>
  <c r="P24" i="6"/>
  <c r="O24" i="6"/>
  <c r="M24" i="6"/>
  <c r="L24" i="6"/>
  <c r="J24" i="6"/>
  <c r="I24" i="6"/>
  <c r="H24" i="6"/>
  <c r="G24" i="6"/>
  <c r="F24" i="6"/>
  <c r="A24" i="6"/>
  <c r="W23" i="6"/>
  <c r="N23" i="6"/>
  <c r="F23" i="6"/>
  <c r="A23" i="6"/>
  <c r="AE22" i="6"/>
  <c r="AD22" i="6"/>
  <c r="Z22" i="6"/>
  <c r="W22" i="6"/>
  <c r="W44" i="6" s="1"/>
  <c r="V22" i="6"/>
  <c r="U22" i="6"/>
  <c r="T22" i="6"/>
  <c r="R22" i="6"/>
  <c r="Q22" i="6"/>
  <c r="P22" i="6"/>
  <c r="N22" i="6"/>
  <c r="M22" i="6"/>
  <c r="L22" i="6"/>
  <c r="J22" i="6"/>
  <c r="I22" i="6"/>
  <c r="H22" i="6"/>
  <c r="G22" i="6"/>
  <c r="A22" i="6"/>
  <c r="U21" i="6"/>
  <c r="S21" i="6"/>
  <c r="K21" i="6"/>
  <c r="J21" i="6"/>
  <c r="F21" i="6"/>
  <c r="A21" i="6"/>
  <c r="V21" i="6" s="1"/>
  <c r="AE20" i="6"/>
  <c r="AD20" i="6"/>
  <c r="V20" i="6"/>
  <c r="T20" i="6"/>
  <c r="S20" i="6"/>
  <c r="M20" i="6"/>
  <c r="K20" i="6"/>
  <c r="J20" i="6"/>
  <c r="F20" i="6"/>
  <c r="A20" i="6"/>
  <c r="Y20" i="6" s="1"/>
  <c r="Z17" i="6"/>
  <c r="W17" i="6"/>
  <c r="N17" i="6"/>
  <c r="A17" i="6"/>
  <c r="AE16" i="6"/>
  <c r="AD16" i="6"/>
  <c r="AA16" i="6"/>
  <c r="W16" i="6"/>
  <c r="V16" i="6"/>
  <c r="T16" i="6"/>
  <c r="S16" i="6"/>
  <c r="R16" i="6"/>
  <c r="N16" i="6"/>
  <c r="M16" i="6"/>
  <c r="K16" i="6"/>
  <c r="J16" i="6"/>
  <c r="I16" i="6"/>
  <c r="A16" i="6"/>
  <c r="U16" i="6" s="1"/>
  <c r="AE15" i="6"/>
  <c r="W15" i="6"/>
  <c r="U15" i="6"/>
  <c r="S15" i="6"/>
  <c r="N15" i="6"/>
  <c r="K15" i="6"/>
  <c r="J15" i="6"/>
  <c r="A15" i="6"/>
  <c r="V15" i="6" s="1"/>
  <c r="AK14" i="6"/>
  <c r="AE14" i="6"/>
  <c r="AD14" i="6"/>
  <c r="AI14" i="6" s="1"/>
  <c r="AA14" i="6"/>
  <c r="Z14" i="6"/>
  <c r="AJ14" i="6" s="1"/>
  <c r="X14" i="6"/>
  <c r="V14" i="6"/>
  <c r="V44" i="6" s="1"/>
  <c r="U14" i="6"/>
  <c r="T14" i="6"/>
  <c r="S14" i="6"/>
  <c r="R14" i="6"/>
  <c r="P14" i="6"/>
  <c r="O14" i="6"/>
  <c r="M14" i="6"/>
  <c r="L14" i="6"/>
  <c r="K14" i="6"/>
  <c r="J14" i="6"/>
  <c r="H14" i="6"/>
  <c r="G14" i="6"/>
  <c r="F14" i="6"/>
  <c r="A14" i="6"/>
  <c r="AA13" i="6"/>
  <c r="Z13" i="6"/>
  <c r="AJ13" i="6" s="1"/>
  <c r="AK13" i="6" s="1"/>
  <c r="X13" i="6"/>
  <c r="W13" i="6"/>
  <c r="R13" i="6"/>
  <c r="Q13" i="6"/>
  <c r="Q44" i="6" s="1"/>
  <c r="O13" i="6"/>
  <c r="N13" i="6"/>
  <c r="J13" i="6"/>
  <c r="I13" i="6"/>
  <c r="G13" i="6"/>
  <c r="F13" i="6"/>
  <c r="A13" i="6"/>
  <c r="V13" i="6" s="1"/>
  <c r="AG12" i="6"/>
  <c r="AD12" i="6"/>
  <c r="AI12" i="6" s="1"/>
  <c r="AA12" i="6"/>
  <c r="Z12" i="6"/>
  <c r="AJ12" i="6" s="1"/>
  <c r="AK12" i="6" s="1"/>
  <c r="Y12" i="6"/>
  <c r="X12" i="6"/>
  <c r="W12" i="6"/>
  <c r="V12" i="6"/>
  <c r="T12" i="6"/>
  <c r="S12" i="6"/>
  <c r="R12" i="6"/>
  <c r="Q12" i="6"/>
  <c r="P12" i="6"/>
  <c r="O12" i="6"/>
  <c r="N12" i="6"/>
  <c r="L12" i="6"/>
  <c r="K12" i="6"/>
  <c r="J12" i="6"/>
  <c r="I12" i="6"/>
  <c r="H12" i="6"/>
  <c r="G12" i="6"/>
  <c r="F12" i="6"/>
  <c r="A12" i="6"/>
  <c r="AE12" i="6" s="1"/>
  <c r="AD11" i="6"/>
  <c r="AI11" i="6" s="1"/>
  <c r="AA11" i="6"/>
  <c r="Y11" i="6"/>
  <c r="AG11" i="6" s="1"/>
  <c r="X11" i="6"/>
  <c r="W11" i="6"/>
  <c r="T11" i="6"/>
  <c r="S11" i="6"/>
  <c r="Q11" i="6"/>
  <c r="P11" i="6"/>
  <c r="O11" i="6"/>
  <c r="L11" i="6"/>
  <c r="K11" i="6"/>
  <c r="I11" i="6"/>
  <c r="H11" i="6"/>
  <c r="G11" i="6"/>
  <c r="F11" i="6"/>
  <c r="A11" i="6"/>
  <c r="V11" i="6" s="1"/>
  <c r="F10" i="6"/>
  <c r="A10" i="6"/>
  <c r="N10" i="6" s="1"/>
  <c r="M9" i="6"/>
  <c r="K9" i="6"/>
  <c r="F9" i="6"/>
  <c r="A9" i="6"/>
  <c r="U9" i="6" s="1"/>
  <c r="U8" i="6"/>
  <c r="T8" i="6"/>
  <c r="L8" i="6"/>
  <c r="F8" i="6"/>
  <c r="A8" i="6"/>
  <c r="A7" i="6"/>
  <c r="O7" i="6" s="1"/>
  <c r="AA6" i="6"/>
  <c r="Z6" i="6"/>
  <c r="X6" i="6"/>
  <c r="W6" i="6"/>
  <c r="S6" i="6"/>
  <c r="R6" i="6"/>
  <c r="P6" i="6"/>
  <c r="O6" i="6"/>
  <c r="K6" i="6"/>
  <c r="J6" i="6"/>
  <c r="H6" i="6"/>
  <c r="G6" i="6"/>
  <c r="A6" i="6"/>
  <c r="V6" i="6" s="1"/>
  <c r="X1" i="6"/>
  <c r="W1" i="6"/>
  <c r="V1" i="6"/>
  <c r="U1" i="6"/>
  <c r="T1" i="6"/>
  <c r="S1" i="6"/>
  <c r="R1" i="6"/>
  <c r="Q1" i="6"/>
  <c r="P1" i="6"/>
  <c r="O1" i="6"/>
  <c r="N1" i="6"/>
  <c r="M1" i="6"/>
  <c r="L1" i="6"/>
  <c r="K1" i="6"/>
  <c r="J1" i="6"/>
  <c r="I1" i="6"/>
  <c r="H1" i="6"/>
  <c r="G1" i="6"/>
  <c r="AC55" i="5"/>
  <c r="AA55" i="5"/>
  <c r="X55" i="5"/>
  <c r="W55" i="5"/>
  <c r="V55" i="5"/>
  <c r="U55" i="5"/>
  <c r="T55" i="5"/>
  <c r="S55" i="5"/>
  <c r="R55" i="5"/>
  <c r="Q55" i="5"/>
  <c r="P55" i="5"/>
  <c r="O55" i="5"/>
  <c r="N55" i="5"/>
  <c r="M55" i="5"/>
  <c r="L55" i="5"/>
  <c r="K55" i="5"/>
  <c r="J55" i="5"/>
  <c r="I55" i="5"/>
  <c r="H55" i="5"/>
  <c r="G55" i="5"/>
  <c r="Y55" i="5" s="1"/>
  <c r="AC54" i="5"/>
  <c r="AA54" i="5"/>
  <c r="X54" i="5"/>
  <c r="W54" i="5"/>
  <c r="V54" i="5"/>
  <c r="U54" i="5"/>
  <c r="T54" i="5"/>
  <c r="S54" i="5"/>
  <c r="R54" i="5"/>
  <c r="Q54" i="5"/>
  <c r="P54" i="5"/>
  <c r="O54" i="5"/>
  <c r="N54" i="5"/>
  <c r="M54" i="5"/>
  <c r="L54" i="5"/>
  <c r="K54" i="5"/>
  <c r="J54" i="5"/>
  <c r="I54" i="5"/>
  <c r="H54" i="5"/>
  <c r="G54" i="5"/>
  <c r="Y54" i="5" s="1"/>
  <c r="E54" i="5"/>
  <c r="D54" i="5"/>
  <c r="C54" i="5"/>
  <c r="B54" i="5"/>
  <c r="A54" i="5"/>
  <c r="AE54" i="5" s="1"/>
  <c r="AC53" i="5"/>
  <c r="AA53" i="5"/>
  <c r="X53" i="5"/>
  <c r="W53" i="5"/>
  <c r="V53" i="5"/>
  <c r="U53" i="5"/>
  <c r="T53" i="5"/>
  <c r="S53" i="5"/>
  <c r="R53" i="5"/>
  <c r="Q53" i="5"/>
  <c r="P53" i="5"/>
  <c r="O53" i="5"/>
  <c r="N53" i="5"/>
  <c r="M53" i="5"/>
  <c r="L53" i="5"/>
  <c r="K53" i="5"/>
  <c r="J53" i="5"/>
  <c r="I53" i="5"/>
  <c r="H53" i="5"/>
  <c r="G53" i="5"/>
  <c r="Y53" i="5" s="1"/>
  <c r="F53" i="5"/>
  <c r="E53" i="5"/>
  <c r="D53" i="5"/>
  <c r="C53" i="5"/>
  <c r="B53" i="5"/>
  <c r="A53" i="5"/>
  <c r="AE53" i="5" s="1"/>
  <c r="AC52" i="5"/>
  <c r="AA52" i="5"/>
  <c r="X52" i="5"/>
  <c r="W52" i="5"/>
  <c r="V52" i="5"/>
  <c r="U52" i="5"/>
  <c r="T52" i="5"/>
  <c r="S52" i="5"/>
  <c r="R52" i="5"/>
  <c r="Q52" i="5"/>
  <c r="P52" i="5"/>
  <c r="O52" i="5"/>
  <c r="N52" i="5"/>
  <c r="M52" i="5"/>
  <c r="L52" i="5"/>
  <c r="K52" i="5"/>
  <c r="J52" i="5"/>
  <c r="I52" i="5"/>
  <c r="Y52" i="5" s="1"/>
  <c r="H52" i="5"/>
  <c r="G52" i="5"/>
  <c r="F52" i="5"/>
  <c r="E52" i="5"/>
  <c r="D52" i="5"/>
  <c r="C52" i="5"/>
  <c r="B52" i="5"/>
  <c r="A52" i="5"/>
  <c r="AE52" i="5" s="1"/>
  <c r="AC51" i="5"/>
  <c r="AA51" i="5"/>
  <c r="X51" i="5"/>
  <c r="W51" i="5"/>
  <c r="V51" i="5"/>
  <c r="U51" i="5"/>
  <c r="T51" i="5"/>
  <c r="S51" i="5"/>
  <c r="R51" i="5"/>
  <c r="Q51" i="5"/>
  <c r="P51" i="5"/>
  <c r="O51" i="5"/>
  <c r="N51" i="5"/>
  <c r="M51" i="5"/>
  <c r="L51" i="5"/>
  <c r="K51" i="5"/>
  <c r="J51" i="5"/>
  <c r="I51" i="5"/>
  <c r="H51" i="5"/>
  <c r="Y51" i="5" s="1"/>
  <c r="G51" i="5"/>
  <c r="F51" i="5"/>
  <c r="E51" i="5"/>
  <c r="D51" i="5"/>
  <c r="C51" i="5"/>
  <c r="B51" i="5"/>
  <c r="A51" i="5"/>
  <c r="AE51" i="5" s="1"/>
  <c r="AE50" i="5"/>
  <c r="AC50" i="5"/>
  <c r="AA50" i="5"/>
  <c r="X50" i="5"/>
  <c r="W50" i="5"/>
  <c r="V50" i="5"/>
  <c r="U50" i="5"/>
  <c r="T50" i="5"/>
  <c r="S50" i="5"/>
  <c r="R50" i="5"/>
  <c r="Q50" i="5"/>
  <c r="P50" i="5"/>
  <c r="O50" i="5"/>
  <c r="N50" i="5"/>
  <c r="M50" i="5"/>
  <c r="L50" i="5"/>
  <c r="K50" i="5"/>
  <c r="J50" i="5"/>
  <c r="I50" i="5"/>
  <c r="H50" i="5"/>
  <c r="G50" i="5"/>
  <c r="Y50" i="5" s="1"/>
  <c r="F50" i="5"/>
  <c r="E50" i="5"/>
  <c r="D50" i="5"/>
  <c r="C50" i="5"/>
  <c r="B50" i="5"/>
  <c r="A50" i="5"/>
  <c r="AC49" i="5"/>
  <c r="Y49" i="5" s="1"/>
  <c r="AA49" i="5"/>
  <c r="X49" i="5"/>
  <c r="W49" i="5"/>
  <c r="V49" i="5"/>
  <c r="U49" i="5"/>
  <c r="T49" i="5"/>
  <c r="S49" i="5"/>
  <c r="R49" i="5"/>
  <c r="Q49" i="5"/>
  <c r="P49" i="5"/>
  <c r="O49" i="5"/>
  <c r="N49" i="5"/>
  <c r="M49" i="5"/>
  <c r="L49" i="5"/>
  <c r="K49" i="5"/>
  <c r="J49" i="5"/>
  <c r="I49" i="5"/>
  <c r="H49" i="5"/>
  <c r="G49" i="5"/>
  <c r="F49" i="5"/>
  <c r="E49" i="5"/>
  <c r="D49" i="5"/>
  <c r="C49" i="5"/>
  <c r="B49" i="5"/>
  <c r="A49" i="5"/>
  <c r="AE49" i="5" s="1"/>
  <c r="AC46" i="5"/>
  <c r="AA46" i="5"/>
  <c r="X46" i="5"/>
  <c r="W46" i="5"/>
  <c r="V46" i="5"/>
  <c r="U46" i="5"/>
  <c r="T46" i="5"/>
  <c r="S46" i="5"/>
  <c r="R46" i="5"/>
  <c r="Q46" i="5"/>
  <c r="P46" i="5"/>
  <c r="O46" i="5"/>
  <c r="N46" i="5"/>
  <c r="M46" i="5"/>
  <c r="L46" i="5"/>
  <c r="K46" i="5"/>
  <c r="J46" i="5"/>
  <c r="I46" i="5"/>
  <c r="Y46" i="5" s="1"/>
  <c r="H46" i="5"/>
  <c r="G46" i="5"/>
  <c r="AC45" i="5"/>
  <c r="AA45" i="5"/>
  <c r="X45" i="5"/>
  <c r="W45" i="5"/>
  <c r="V45" i="5"/>
  <c r="U45" i="5"/>
  <c r="T45" i="5"/>
  <c r="S45" i="5"/>
  <c r="R45" i="5"/>
  <c r="Q45" i="5"/>
  <c r="P45" i="5"/>
  <c r="O45" i="5"/>
  <c r="N45" i="5"/>
  <c r="M45" i="5"/>
  <c r="L45" i="5"/>
  <c r="K45" i="5"/>
  <c r="J45" i="5"/>
  <c r="I45" i="5"/>
  <c r="H45" i="5"/>
  <c r="G45" i="5"/>
  <c r="Y45" i="5" s="1"/>
  <c r="AD45" i="5" s="1"/>
  <c r="AC44" i="5"/>
  <c r="AA44" i="5"/>
  <c r="X44" i="5"/>
  <c r="W44" i="5"/>
  <c r="V44" i="5"/>
  <c r="U44" i="5"/>
  <c r="T44" i="5"/>
  <c r="S44" i="5"/>
  <c r="R44" i="5"/>
  <c r="Q44" i="5"/>
  <c r="P44" i="5"/>
  <c r="O44" i="5"/>
  <c r="N44" i="5"/>
  <c r="M44" i="5"/>
  <c r="L44" i="5"/>
  <c r="K44" i="5"/>
  <c r="J44" i="5"/>
  <c r="I44" i="5"/>
  <c r="H44" i="5"/>
  <c r="G44" i="5"/>
  <c r="Y44" i="5" s="1"/>
  <c r="AC42" i="5"/>
  <c r="AA42" i="5"/>
  <c r="X42" i="5"/>
  <c r="W42" i="5"/>
  <c r="V42" i="5"/>
  <c r="U42" i="5"/>
  <c r="T42" i="5"/>
  <c r="S42" i="5"/>
  <c r="R42" i="5"/>
  <c r="Q42" i="5"/>
  <c r="P42" i="5"/>
  <c r="O42" i="5"/>
  <c r="N42" i="5"/>
  <c r="M42" i="5"/>
  <c r="L42" i="5"/>
  <c r="K42" i="5"/>
  <c r="J42" i="5"/>
  <c r="I42" i="5"/>
  <c r="H42" i="5"/>
  <c r="G42" i="5"/>
  <c r="Y42" i="5" s="1"/>
  <c r="AE41" i="5"/>
  <c r="AC41" i="5"/>
  <c r="AA41" i="5"/>
  <c r="X41" i="5"/>
  <c r="W41" i="5"/>
  <c r="V41" i="5"/>
  <c r="U41" i="5"/>
  <c r="T41" i="5"/>
  <c r="S41" i="5"/>
  <c r="R41" i="5"/>
  <c r="Q41" i="5"/>
  <c r="P41" i="5"/>
  <c r="O41" i="5"/>
  <c r="N41" i="5"/>
  <c r="M41" i="5"/>
  <c r="L41" i="5"/>
  <c r="K41" i="5"/>
  <c r="J41" i="5"/>
  <c r="I41" i="5"/>
  <c r="H41" i="5"/>
  <c r="G41" i="5"/>
  <c r="Y41" i="5" s="1"/>
  <c r="E41" i="5"/>
  <c r="D41" i="5"/>
  <c r="C41" i="5"/>
  <c r="B41" i="5"/>
  <c r="A41" i="5"/>
  <c r="AC40" i="5"/>
  <c r="AA40" i="5"/>
  <c r="X40" i="5"/>
  <c r="W40" i="5"/>
  <c r="V40" i="5"/>
  <c r="U40" i="5"/>
  <c r="T40" i="5"/>
  <c r="S40" i="5"/>
  <c r="R40" i="5"/>
  <c r="Q40" i="5"/>
  <c r="P40" i="5"/>
  <c r="O40" i="5"/>
  <c r="N40" i="5"/>
  <c r="M40" i="5"/>
  <c r="L40" i="5"/>
  <c r="K40" i="5"/>
  <c r="J40" i="5"/>
  <c r="I40" i="5"/>
  <c r="H40" i="5"/>
  <c r="G40" i="5"/>
  <c r="Y40" i="5" s="1"/>
  <c r="F40" i="5"/>
  <c r="E40" i="5"/>
  <c r="D40" i="5"/>
  <c r="C40" i="5"/>
  <c r="B40" i="5"/>
  <c r="A40" i="5"/>
  <c r="AE40" i="5" s="1"/>
  <c r="AC39" i="5"/>
  <c r="AA39" i="5"/>
  <c r="X39" i="5"/>
  <c r="W39" i="5"/>
  <c r="V39" i="5"/>
  <c r="U39" i="5"/>
  <c r="T39" i="5"/>
  <c r="S39" i="5"/>
  <c r="R39" i="5"/>
  <c r="Q39" i="5"/>
  <c r="P39" i="5"/>
  <c r="O39" i="5"/>
  <c r="N39" i="5"/>
  <c r="M39" i="5"/>
  <c r="L39" i="5"/>
  <c r="K39" i="5"/>
  <c r="J39" i="5"/>
  <c r="I39" i="5"/>
  <c r="H39" i="5"/>
  <c r="Y39" i="5" s="1"/>
  <c r="G39" i="5"/>
  <c r="F39" i="5"/>
  <c r="E39" i="5"/>
  <c r="D39" i="5"/>
  <c r="C39" i="5"/>
  <c r="B39" i="5"/>
  <c r="A39" i="5"/>
  <c r="AE39" i="5" s="1"/>
  <c r="AE38" i="5"/>
  <c r="AC38" i="5"/>
  <c r="AA38" i="5"/>
  <c r="X38" i="5"/>
  <c r="W38" i="5"/>
  <c r="V38" i="5"/>
  <c r="U38" i="5"/>
  <c r="T38" i="5"/>
  <c r="S38" i="5"/>
  <c r="R38" i="5"/>
  <c r="Q38" i="5"/>
  <c r="P38" i="5"/>
  <c r="O38" i="5"/>
  <c r="N38" i="5"/>
  <c r="M38" i="5"/>
  <c r="L38" i="5"/>
  <c r="K38" i="5"/>
  <c r="J38" i="5"/>
  <c r="I38" i="5"/>
  <c r="H38" i="5"/>
  <c r="G38" i="5"/>
  <c r="Y38" i="5" s="1"/>
  <c r="F38" i="5"/>
  <c r="E38" i="5"/>
  <c r="D38" i="5"/>
  <c r="C38" i="5"/>
  <c r="B38" i="5"/>
  <c r="A38" i="5"/>
  <c r="AC37" i="5"/>
  <c r="AA37" i="5"/>
  <c r="X37" i="5"/>
  <c r="W37" i="5"/>
  <c r="V37" i="5"/>
  <c r="U37" i="5"/>
  <c r="T37" i="5"/>
  <c r="S37" i="5"/>
  <c r="R37" i="5"/>
  <c r="Q37" i="5"/>
  <c r="P37" i="5"/>
  <c r="O37" i="5"/>
  <c r="N37" i="5"/>
  <c r="M37" i="5"/>
  <c r="L37" i="5"/>
  <c r="K37" i="5"/>
  <c r="J37" i="5"/>
  <c r="I37" i="5"/>
  <c r="H37" i="5"/>
  <c r="G37" i="5"/>
  <c r="Y37" i="5" s="1"/>
  <c r="F37" i="5"/>
  <c r="E37" i="5"/>
  <c r="D37" i="5"/>
  <c r="C37" i="5"/>
  <c r="B37" i="5"/>
  <c r="A37" i="5"/>
  <c r="AE37" i="5" s="1"/>
  <c r="AC36" i="5"/>
  <c r="AA36" i="5"/>
  <c r="X36" i="5"/>
  <c r="W36" i="5"/>
  <c r="V36" i="5"/>
  <c r="U36" i="5"/>
  <c r="T36" i="5"/>
  <c r="S36" i="5"/>
  <c r="R36" i="5"/>
  <c r="Q36" i="5"/>
  <c r="P36" i="5"/>
  <c r="O36" i="5"/>
  <c r="N36" i="5"/>
  <c r="M36" i="5"/>
  <c r="L36" i="5"/>
  <c r="K36" i="5"/>
  <c r="J36" i="5"/>
  <c r="I36" i="5"/>
  <c r="H36" i="5"/>
  <c r="G36" i="5"/>
  <c r="Y36" i="5" s="1"/>
  <c r="F36" i="5"/>
  <c r="E36" i="5"/>
  <c r="D36" i="5"/>
  <c r="C36" i="5"/>
  <c r="B36" i="5"/>
  <c r="A36" i="5"/>
  <c r="AE36" i="5" s="1"/>
  <c r="AC35" i="5"/>
  <c r="AA35" i="5"/>
  <c r="X35" i="5"/>
  <c r="W35" i="5"/>
  <c r="V35" i="5"/>
  <c r="U35" i="5"/>
  <c r="T35" i="5"/>
  <c r="S35" i="5"/>
  <c r="R35" i="5"/>
  <c r="Q35" i="5"/>
  <c r="P35" i="5"/>
  <c r="O35" i="5"/>
  <c r="N35" i="5"/>
  <c r="M35" i="5"/>
  <c r="L35" i="5"/>
  <c r="K35" i="5"/>
  <c r="J35" i="5"/>
  <c r="I35" i="5"/>
  <c r="H35" i="5"/>
  <c r="Y35" i="5" s="1"/>
  <c r="G35" i="5"/>
  <c r="F35" i="5"/>
  <c r="E35" i="5"/>
  <c r="D35" i="5"/>
  <c r="C35" i="5"/>
  <c r="B35" i="5"/>
  <c r="A35" i="5"/>
  <c r="AE35" i="5" s="1"/>
  <c r="AE34" i="5"/>
  <c r="AC34" i="5"/>
  <c r="AA34" i="5"/>
  <c r="X34" i="5"/>
  <c r="W34" i="5"/>
  <c r="V34" i="5"/>
  <c r="U34" i="5"/>
  <c r="T34" i="5"/>
  <c r="S34" i="5"/>
  <c r="R34" i="5"/>
  <c r="Q34" i="5"/>
  <c r="P34" i="5"/>
  <c r="O34" i="5"/>
  <c r="N34" i="5"/>
  <c r="M34" i="5"/>
  <c r="L34" i="5"/>
  <c r="K34" i="5"/>
  <c r="J34" i="5"/>
  <c r="I34" i="5"/>
  <c r="H34" i="5"/>
  <c r="G34" i="5"/>
  <c r="Y34" i="5" s="1"/>
  <c r="F34" i="5"/>
  <c r="E34" i="5"/>
  <c r="D34" i="5"/>
  <c r="C34" i="5"/>
  <c r="B34" i="5"/>
  <c r="A34" i="5"/>
  <c r="AC33" i="5"/>
  <c r="AA33" i="5"/>
  <c r="X33" i="5"/>
  <c r="W33" i="5"/>
  <c r="V33" i="5"/>
  <c r="U33" i="5"/>
  <c r="T33" i="5"/>
  <c r="S33" i="5"/>
  <c r="R33" i="5"/>
  <c r="Q33" i="5"/>
  <c r="P33" i="5"/>
  <c r="O33" i="5"/>
  <c r="N33" i="5"/>
  <c r="M33" i="5"/>
  <c r="L33" i="5"/>
  <c r="K33" i="5"/>
  <c r="J33" i="5"/>
  <c r="I33" i="5"/>
  <c r="H33" i="5"/>
  <c r="G33" i="5"/>
  <c r="Y33" i="5" s="1"/>
  <c r="F33" i="5"/>
  <c r="E33" i="5"/>
  <c r="D33" i="5"/>
  <c r="C33" i="5"/>
  <c r="B33" i="5"/>
  <c r="A33" i="5"/>
  <c r="AE33" i="5" s="1"/>
  <c r="AC32" i="5"/>
  <c r="AA32" i="5"/>
  <c r="X32" i="5"/>
  <c r="W32" i="5"/>
  <c r="V32" i="5"/>
  <c r="U32" i="5"/>
  <c r="T32" i="5"/>
  <c r="S32" i="5"/>
  <c r="R32" i="5"/>
  <c r="Q32" i="5"/>
  <c r="P32" i="5"/>
  <c r="O32" i="5"/>
  <c r="N32" i="5"/>
  <c r="M32" i="5"/>
  <c r="L32" i="5"/>
  <c r="K32" i="5"/>
  <c r="J32" i="5"/>
  <c r="I32" i="5"/>
  <c r="H32" i="5"/>
  <c r="G32" i="5"/>
  <c r="Y32" i="5" s="1"/>
  <c r="F32" i="5"/>
  <c r="D32" i="5"/>
  <c r="C32" i="5"/>
  <c r="B32" i="5"/>
  <c r="A32" i="5"/>
  <c r="AE32" i="5" s="1"/>
  <c r="AC31" i="5"/>
  <c r="AA31" i="5"/>
  <c r="X31" i="5"/>
  <c r="W31" i="5"/>
  <c r="V31" i="5"/>
  <c r="U31" i="5"/>
  <c r="T31" i="5"/>
  <c r="S31" i="5"/>
  <c r="R31" i="5"/>
  <c r="Q31" i="5"/>
  <c r="P31" i="5"/>
  <c r="O31" i="5"/>
  <c r="N31" i="5"/>
  <c r="M31" i="5"/>
  <c r="L31" i="5"/>
  <c r="K31" i="5"/>
  <c r="J31" i="5"/>
  <c r="I31" i="5"/>
  <c r="H31" i="5"/>
  <c r="G31" i="5"/>
  <c r="Y31" i="5" s="1"/>
  <c r="F31" i="5"/>
  <c r="D31" i="5"/>
  <c r="C31" i="5"/>
  <c r="B31" i="5"/>
  <c r="A31" i="5"/>
  <c r="AE31" i="5" s="1"/>
  <c r="AC30" i="5"/>
  <c r="AA30" i="5"/>
  <c r="X30" i="5"/>
  <c r="W30" i="5"/>
  <c r="V30" i="5"/>
  <c r="U30" i="5"/>
  <c r="T30" i="5"/>
  <c r="S30" i="5"/>
  <c r="R30" i="5"/>
  <c r="Q30" i="5"/>
  <c r="P30" i="5"/>
  <c r="O30" i="5"/>
  <c r="N30" i="5"/>
  <c r="M30" i="5"/>
  <c r="L30" i="5"/>
  <c r="K30" i="5"/>
  <c r="J30" i="5"/>
  <c r="I30" i="5"/>
  <c r="H30" i="5"/>
  <c r="G30" i="5"/>
  <c r="Y30" i="5" s="1"/>
  <c r="F30" i="5"/>
  <c r="E30" i="5"/>
  <c r="D30" i="5"/>
  <c r="C30" i="5"/>
  <c r="B30" i="5"/>
  <c r="A30" i="5"/>
  <c r="AE30" i="5" s="1"/>
  <c r="AC29" i="5"/>
  <c r="AA29" i="5"/>
  <c r="X29" i="5"/>
  <c r="W29" i="5"/>
  <c r="V29" i="5"/>
  <c r="U29" i="5"/>
  <c r="T29" i="5"/>
  <c r="S29" i="5"/>
  <c r="R29" i="5"/>
  <c r="Q29" i="5"/>
  <c r="P29" i="5"/>
  <c r="O29" i="5"/>
  <c r="N29" i="5"/>
  <c r="M29" i="5"/>
  <c r="L29" i="5"/>
  <c r="K29" i="5"/>
  <c r="J29" i="5"/>
  <c r="I29" i="5"/>
  <c r="H29" i="5"/>
  <c r="G29" i="5"/>
  <c r="Y29" i="5" s="1"/>
  <c r="F29" i="5"/>
  <c r="E29" i="5"/>
  <c r="D29" i="5"/>
  <c r="C29" i="5"/>
  <c r="B29" i="5"/>
  <c r="A29" i="5"/>
  <c r="AE29" i="5" s="1"/>
  <c r="AC28" i="5"/>
  <c r="AA28" i="5"/>
  <c r="X28" i="5"/>
  <c r="W28" i="5"/>
  <c r="V28" i="5"/>
  <c r="U28" i="5"/>
  <c r="T28" i="5"/>
  <c r="S28" i="5"/>
  <c r="R28" i="5"/>
  <c r="Q28" i="5"/>
  <c r="P28" i="5"/>
  <c r="O28" i="5"/>
  <c r="N28" i="5"/>
  <c r="M28" i="5"/>
  <c r="L28" i="5"/>
  <c r="K28" i="5"/>
  <c r="J28" i="5"/>
  <c r="I28" i="5"/>
  <c r="H28" i="5"/>
  <c r="Y28" i="5" s="1"/>
  <c r="G28" i="5"/>
  <c r="F28" i="5"/>
  <c r="E28" i="5"/>
  <c r="D28" i="5"/>
  <c r="C28" i="5"/>
  <c r="B28" i="5"/>
  <c r="A28" i="5"/>
  <c r="AE28" i="5" s="1"/>
  <c r="AE27" i="5"/>
  <c r="AC27" i="5"/>
  <c r="AA27" i="5"/>
  <c r="X27" i="5"/>
  <c r="W27" i="5"/>
  <c r="V27" i="5"/>
  <c r="U27" i="5"/>
  <c r="T27" i="5"/>
  <c r="S27" i="5"/>
  <c r="R27" i="5"/>
  <c r="Q27" i="5"/>
  <c r="P27" i="5"/>
  <c r="O27" i="5"/>
  <c r="N27" i="5"/>
  <c r="M27" i="5"/>
  <c r="L27" i="5"/>
  <c r="K27" i="5"/>
  <c r="J27" i="5"/>
  <c r="I27" i="5"/>
  <c r="H27" i="5"/>
  <c r="G27" i="5"/>
  <c r="Y27" i="5" s="1"/>
  <c r="F27" i="5"/>
  <c r="E27" i="5"/>
  <c r="D27" i="5"/>
  <c r="C27" i="5"/>
  <c r="B27" i="5"/>
  <c r="A27" i="5"/>
  <c r="AC26" i="5"/>
  <c r="AA26" i="5"/>
  <c r="X26" i="5"/>
  <c r="W26" i="5"/>
  <c r="V26" i="5"/>
  <c r="U26" i="5"/>
  <c r="T26" i="5"/>
  <c r="S26" i="5"/>
  <c r="R26" i="5"/>
  <c r="Q26" i="5"/>
  <c r="P26" i="5"/>
  <c r="O26" i="5"/>
  <c r="N26" i="5"/>
  <c r="M26" i="5"/>
  <c r="L26" i="5"/>
  <c r="K26" i="5"/>
  <c r="J26" i="5"/>
  <c r="I26" i="5"/>
  <c r="H26" i="5"/>
  <c r="G26" i="5"/>
  <c r="Y26" i="5" s="1"/>
  <c r="F26" i="5"/>
  <c r="E26" i="5"/>
  <c r="D26" i="5"/>
  <c r="C26" i="5"/>
  <c r="B26" i="5"/>
  <c r="A26" i="5"/>
  <c r="AE26" i="5" s="1"/>
  <c r="AC25" i="5"/>
  <c r="AA25" i="5"/>
  <c r="X25" i="5"/>
  <c r="W25" i="5"/>
  <c r="V25" i="5"/>
  <c r="U25" i="5"/>
  <c r="T25" i="5"/>
  <c r="S25" i="5"/>
  <c r="R25" i="5"/>
  <c r="Q25" i="5"/>
  <c r="P25" i="5"/>
  <c r="O25" i="5"/>
  <c r="N25" i="5"/>
  <c r="M25" i="5"/>
  <c r="L25" i="5"/>
  <c r="K25" i="5"/>
  <c r="J25" i="5"/>
  <c r="I25" i="5"/>
  <c r="H25" i="5"/>
  <c r="G25" i="5"/>
  <c r="Y25" i="5" s="1"/>
  <c r="F25" i="5"/>
  <c r="D25" i="5"/>
  <c r="C25" i="5"/>
  <c r="B25" i="5"/>
  <c r="A25" i="5"/>
  <c r="AE25" i="5" s="1"/>
  <c r="AC24" i="5"/>
  <c r="AA24" i="5"/>
  <c r="X24" i="5"/>
  <c r="W24" i="5"/>
  <c r="V24" i="5"/>
  <c r="U24" i="5"/>
  <c r="T24" i="5"/>
  <c r="S24" i="5"/>
  <c r="R24" i="5"/>
  <c r="Q24" i="5"/>
  <c r="P24" i="5"/>
  <c r="O24" i="5"/>
  <c r="N24" i="5"/>
  <c r="M24" i="5"/>
  <c r="L24" i="5"/>
  <c r="K24" i="5"/>
  <c r="J24" i="5"/>
  <c r="I24" i="5"/>
  <c r="H24" i="5"/>
  <c r="G24" i="5"/>
  <c r="Y24" i="5" s="1"/>
  <c r="F24" i="5"/>
  <c r="E24" i="5"/>
  <c r="D24" i="5"/>
  <c r="C24" i="5"/>
  <c r="B24" i="5"/>
  <c r="A24" i="5"/>
  <c r="AE24" i="5" s="1"/>
  <c r="AE23" i="5"/>
  <c r="AC23" i="5"/>
  <c r="AA23" i="5"/>
  <c r="X23" i="5"/>
  <c r="W23" i="5"/>
  <c r="V23" i="5"/>
  <c r="U23" i="5"/>
  <c r="T23" i="5"/>
  <c r="S23" i="5"/>
  <c r="R23" i="5"/>
  <c r="Q23" i="5"/>
  <c r="P23" i="5"/>
  <c r="O23" i="5"/>
  <c r="N23" i="5"/>
  <c r="M23" i="5"/>
  <c r="L23" i="5"/>
  <c r="K23" i="5"/>
  <c r="J23" i="5"/>
  <c r="I23" i="5"/>
  <c r="H23" i="5"/>
  <c r="G23" i="5"/>
  <c r="Y23" i="5" s="1"/>
  <c r="F23" i="5"/>
  <c r="E23" i="5"/>
  <c r="D23" i="5"/>
  <c r="C23" i="5"/>
  <c r="B23" i="5"/>
  <c r="A23" i="5"/>
  <c r="AC22" i="5"/>
  <c r="AA22" i="5"/>
  <c r="X22" i="5"/>
  <c r="W22" i="5"/>
  <c r="V22" i="5"/>
  <c r="U22" i="5"/>
  <c r="T22" i="5"/>
  <c r="S22" i="5"/>
  <c r="R22" i="5"/>
  <c r="Q22" i="5"/>
  <c r="P22" i="5"/>
  <c r="O22" i="5"/>
  <c r="N22" i="5"/>
  <c r="M22" i="5"/>
  <c r="L22" i="5"/>
  <c r="K22" i="5"/>
  <c r="J22" i="5"/>
  <c r="I22" i="5"/>
  <c r="H22" i="5"/>
  <c r="G22" i="5"/>
  <c r="Y22" i="5" s="1"/>
  <c r="F22" i="5"/>
  <c r="E22" i="5"/>
  <c r="D22" i="5"/>
  <c r="C22" i="5"/>
  <c r="B22" i="5"/>
  <c r="A22" i="5"/>
  <c r="AE22" i="5" s="1"/>
  <c r="AC21" i="5"/>
  <c r="AA21" i="5"/>
  <c r="X21" i="5"/>
  <c r="W21" i="5"/>
  <c r="V21" i="5"/>
  <c r="U21" i="5"/>
  <c r="T21" i="5"/>
  <c r="S21" i="5"/>
  <c r="R21" i="5"/>
  <c r="Q21" i="5"/>
  <c r="P21" i="5"/>
  <c r="O21" i="5"/>
  <c r="N21" i="5"/>
  <c r="M21" i="5"/>
  <c r="L21" i="5"/>
  <c r="K21" i="5"/>
  <c r="J21" i="5"/>
  <c r="I21" i="5"/>
  <c r="Y21" i="5" s="1"/>
  <c r="H21" i="5"/>
  <c r="G21" i="5"/>
  <c r="F21" i="5"/>
  <c r="E21" i="5"/>
  <c r="D21" i="5"/>
  <c r="C21" i="5"/>
  <c r="B21" i="5"/>
  <c r="A21" i="5"/>
  <c r="AE21" i="5" s="1"/>
  <c r="AC20" i="5"/>
  <c r="AA20" i="5"/>
  <c r="X20" i="5"/>
  <c r="W20" i="5"/>
  <c r="V20" i="5"/>
  <c r="U20" i="5"/>
  <c r="T20" i="5"/>
  <c r="S20" i="5"/>
  <c r="R20" i="5"/>
  <c r="Q20" i="5"/>
  <c r="P20" i="5"/>
  <c r="O20" i="5"/>
  <c r="N20" i="5"/>
  <c r="M20" i="5"/>
  <c r="L20" i="5"/>
  <c r="K20" i="5"/>
  <c r="J20" i="5"/>
  <c r="I20" i="5"/>
  <c r="H20" i="5"/>
  <c r="G20" i="5"/>
  <c r="Y20" i="5" s="1"/>
  <c r="F20" i="5"/>
  <c r="E20" i="5"/>
  <c r="D20" i="5"/>
  <c r="C20" i="5"/>
  <c r="B20" i="5"/>
  <c r="A20" i="5"/>
  <c r="AE20" i="5" s="1"/>
  <c r="AC18" i="5"/>
  <c r="AA18" i="5"/>
  <c r="Z18" i="5"/>
  <c r="X18" i="5"/>
  <c r="W18" i="5"/>
  <c r="V18" i="5"/>
  <c r="U18" i="5"/>
  <c r="T18" i="5"/>
  <c r="S18" i="5"/>
  <c r="R18" i="5"/>
  <c r="Q18" i="5"/>
  <c r="P18" i="5"/>
  <c r="O18" i="5"/>
  <c r="N18" i="5"/>
  <c r="M18" i="5"/>
  <c r="L18" i="5"/>
  <c r="K18" i="5"/>
  <c r="J18" i="5"/>
  <c r="I18" i="5"/>
  <c r="H18" i="5"/>
  <c r="G18" i="5"/>
  <c r="Y18" i="5" s="1"/>
  <c r="AD18" i="5" s="1"/>
  <c r="AE17" i="5"/>
  <c r="AC17" i="5"/>
  <c r="AA17" i="5"/>
  <c r="X17" i="5"/>
  <c r="W17" i="5"/>
  <c r="V17" i="5"/>
  <c r="U17" i="5"/>
  <c r="T17" i="5"/>
  <c r="S17" i="5"/>
  <c r="R17" i="5"/>
  <c r="Q17" i="5"/>
  <c r="P17" i="5"/>
  <c r="O17" i="5"/>
  <c r="N17" i="5"/>
  <c r="M17" i="5"/>
  <c r="L17" i="5"/>
  <c r="K17" i="5"/>
  <c r="J17" i="5"/>
  <c r="I17" i="5"/>
  <c r="H17" i="5"/>
  <c r="G17" i="5"/>
  <c r="Y17" i="5" s="1"/>
  <c r="E17" i="5"/>
  <c r="D17" i="5"/>
  <c r="C17" i="5"/>
  <c r="B17" i="5"/>
  <c r="AC16" i="5"/>
  <c r="AA16" i="5"/>
  <c r="X16" i="5"/>
  <c r="W16" i="5"/>
  <c r="V16" i="5"/>
  <c r="U16" i="5"/>
  <c r="T16" i="5"/>
  <c r="S16" i="5"/>
  <c r="R16" i="5"/>
  <c r="Q16" i="5"/>
  <c r="P16" i="5"/>
  <c r="O16" i="5"/>
  <c r="N16" i="5"/>
  <c r="M16" i="5"/>
  <c r="L16" i="5"/>
  <c r="K16" i="5"/>
  <c r="J16" i="5"/>
  <c r="I16" i="5"/>
  <c r="H16" i="5"/>
  <c r="Y16" i="5" s="1"/>
  <c r="G16" i="5"/>
  <c r="E16" i="5"/>
  <c r="D16" i="5"/>
  <c r="C16" i="5"/>
  <c r="B16" i="5"/>
  <c r="A16" i="5"/>
  <c r="AE16" i="5" s="1"/>
  <c r="AE15" i="5"/>
  <c r="AC15" i="5"/>
  <c r="AA15" i="5"/>
  <c r="X15" i="5"/>
  <c r="W15" i="5"/>
  <c r="V15" i="5"/>
  <c r="U15" i="5"/>
  <c r="T15" i="5"/>
  <c r="S15" i="5"/>
  <c r="R15" i="5"/>
  <c r="Q15" i="5"/>
  <c r="P15" i="5"/>
  <c r="O15" i="5"/>
  <c r="N15" i="5"/>
  <c r="M15" i="5"/>
  <c r="L15" i="5"/>
  <c r="K15" i="5"/>
  <c r="J15" i="5"/>
  <c r="I15" i="5"/>
  <c r="H15" i="5"/>
  <c r="G15" i="5"/>
  <c r="Y15" i="5" s="1"/>
  <c r="E15" i="5"/>
  <c r="D15" i="5"/>
  <c r="C15" i="5"/>
  <c r="B15" i="5"/>
  <c r="A15" i="5"/>
  <c r="AC14" i="5"/>
  <c r="AA14" i="5"/>
  <c r="X14" i="5"/>
  <c r="W14" i="5"/>
  <c r="V14" i="5"/>
  <c r="U14" i="5"/>
  <c r="T14" i="5"/>
  <c r="S14" i="5"/>
  <c r="R14" i="5"/>
  <c r="Q14" i="5"/>
  <c r="P14" i="5"/>
  <c r="O14" i="5"/>
  <c r="N14" i="5"/>
  <c r="M14" i="5"/>
  <c r="L14" i="5"/>
  <c r="K14" i="5"/>
  <c r="J14" i="5"/>
  <c r="I14" i="5"/>
  <c r="H14" i="5"/>
  <c r="G14" i="5"/>
  <c r="Y14" i="5" s="1"/>
  <c r="F14" i="5"/>
  <c r="E14" i="5"/>
  <c r="D14" i="5"/>
  <c r="C14" i="5"/>
  <c r="B14" i="5"/>
  <c r="A14" i="5"/>
  <c r="AE14" i="5" s="1"/>
  <c r="AC13" i="5"/>
  <c r="AA13" i="5"/>
  <c r="X13" i="5"/>
  <c r="W13" i="5"/>
  <c r="V13" i="5"/>
  <c r="U13" i="5"/>
  <c r="T13" i="5"/>
  <c r="S13" i="5"/>
  <c r="R13" i="5"/>
  <c r="Q13" i="5"/>
  <c r="P13" i="5"/>
  <c r="O13" i="5"/>
  <c r="N13" i="5"/>
  <c r="M13" i="5"/>
  <c r="L13" i="5"/>
  <c r="K13" i="5"/>
  <c r="J13" i="5"/>
  <c r="I13" i="5"/>
  <c r="H13" i="5"/>
  <c r="Y13" i="5" s="1"/>
  <c r="G13" i="5"/>
  <c r="F13" i="5"/>
  <c r="E13" i="5"/>
  <c r="D13" i="5"/>
  <c r="C13" i="5"/>
  <c r="B13" i="5"/>
  <c r="A13" i="5"/>
  <c r="AE13" i="5" s="1"/>
  <c r="AE12" i="5"/>
  <c r="AC12" i="5"/>
  <c r="AA12" i="5"/>
  <c r="X12" i="5"/>
  <c r="W12" i="5"/>
  <c r="V12" i="5"/>
  <c r="U12" i="5"/>
  <c r="T12" i="5"/>
  <c r="S12" i="5"/>
  <c r="R12" i="5"/>
  <c r="Q12" i="5"/>
  <c r="P12" i="5"/>
  <c r="O12" i="5"/>
  <c r="N12" i="5"/>
  <c r="M12" i="5"/>
  <c r="L12" i="5"/>
  <c r="K12" i="5"/>
  <c r="J12" i="5"/>
  <c r="I12" i="5"/>
  <c r="H12" i="5"/>
  <c r="G12" i="5"/>
  <c r="Y12" i="5" s="1"/>
  <c r="F12" i="5"/>
  <c r="E12" i="5"/>
  <c r="D12" i="5"/>
  <c r="C12" i="5"/>
  <c r="B12" i="5"/>
  <c r="A12" i="5"/>
  <c r="AC11" i="5"/>
  <c r="AA11" i="5"/>
  <c r="X11" i="5"/>
  <c r="W11" i="5"/>
  <c r="V11" i="5"/>
  <c r="U11" i="5"/>
  <c r="T11" i="5"/>
  <c r="S11" i="5"/>
  <c r="R11" i="5"/>
  <c r="Q11" i="5"/>
  <c r="P11" i="5"/>
  <c r="O11" i="5"/>
  <c r="N11" i="5"/>
  <c r="M11" i="5"/>
  <c r="L11" i="5"/>
  <c r="K11" i="5"/>
  <c r="J11" i="5"/>
  <c r="I11" i="5"/>
  <c r="H11" i="5"/>
  <c r="G11" i="5"/>
  <c r="Y11" i="5" s="1"/>
  <c r="F11" i="5"/>
  <c r="E11" i="5"/>
  <c r="D11" i="5"/>
  <c r="C11" i="5"/>
  <c r="B11" i="5"/>
  <c r="A11" i="5"/>
  <c r="AE11" i="5" s="1"/>
  <c r="AC10" i="5"/>
  <c r="AA10" i="5"/>
  <c r="X10" i="5"/>
  <c r="W10" i="5"/>
  <c r="V10" i="5"/>
  <c r="U10" i="5"/>
  <c r="T10" i="5"/>
  <c r="S10" i="5"/>
  <c r="R10" i="5"/>
  <c r="Q10" i="5"/>
  <c r="P10" i="5"/>
  <c r="O10" i="5"/>
  <c r="N10" i="5"/>
  <c r="M10" i="5"/>
  <c r="L10" i="5"/>
  <c r="K10" i="5"/>
  <c r="J10" i="5"/>
  <c r="I10" i="5"/>
  <c r="H10" i="5"/>
  <c r="G10" i="5"/>
  <c r="Y10" i="5" s="1"/>
  <c r="F10" i="5"/>
  <c r="E10" i="5"/>
  <c r="D10" i="5"/>
  <c r="C10" i="5"/>
  <c r="B10" i="5"/>
  <c r="A10" i="5"/>
  <c r="AE10" i="5" s="1"/>
  <c r="AC9" i="5"/>
  <c r="AA9" i="5"/>
  <c r="Y9" i="5"/>
  <c r="AD9" i="5" s="1"/>
  <c r="X9" i="5"/>
  <c r="W9" i="5"/>
  <c r="V9" i="5"/>
  <c r="U9" i="5"/>
  <c r="T9" i="5"/>
  <c r="S9" i="5"/>
  <c r="R9" i="5"/>
  <c r="Q9" i="5"/>
  <c r="P9" i="5"/>
  <c r="O9" i="5"/>
  <c r="N9" i="5"/>
  <c r="M9" i="5"/>
  <c r="L9" i="5"/>
  <c r="K9" i="5"/>
  <c r="J9" i="5"/>
  <c r="I9" i="5"/>
  <c r="H9" i="5"/>
  <c r="G9" i="5"/>
  <c r="F9" i="5"/>
  <c r="E9" i="5"/>
  <c r="D9" i="5"/>
  <c r="C9" i="5"/>
  <c r="B9" i="5"/>
  <c r="A9" i="5"/>
  <c r="AE9" i="5" s="1"/>
  <c r="AE8" i="5"/>
  <c r="AC8" i="5"/>
  <c r="AA8" i="5"/>
  <c r="X8" i="5"/>
  <c r="W8" i="5"/>
  <c r="V8" i="5"/>
  <c r="U8" i="5"/>
  <c r="T8" i="5"/>
  <c r="S8" i="5"/>
  <c r="R8" i="5"/>
  <c r="Q8" i="5"/>
  <c r="P8" i="5"/>
  <c r="O8" i="5"/>
  <c r="N8" i="5"/>
  <c r="M8" i="5"/>
  <c r="L8" i="5"/>
  <c r="K8" i="5"/>
  <c r="J8" i="5"/>
  <c r="I8" i="5"/>
  <c r="H8" i="5"/>
  <c r="G8" i="5"/>
  <c r="Y8" i="5" s="1"/>
  <c r="F8" i="5"/>
  <c r="E8" i="5"/>
  <c r="D8" i="5"/>
  <c r="C8" i="5"/>
  <c r="B8" i="5"/>
  <c r="A8" i="5"/>
  <c r="AC7" i="5"/>
  <c r="AA7" i="5"/>
  <c r="X7" i="5"/>
  <c r="W7" i="5"/>
  <c r="V7" i="5"/>
  <c r="U7" i="5"/>
  <c r="T7" i="5"/>
  <c r="S7" i="5"/>
  <c r="R7" i="5"/>
  <c r="Q7" i="5"/>
  <c r="P7" i="5"/>
  <c r="O7" i="5"/>
  <c r="N7" i="5"/>
  <c r="M7" i="5"/>
  <c r="L7" i="5"/>
  <c r="K7" i="5"/>
  <c r="J7" i="5"/>
  <c r="I7" i="5"/>
  <c r="H7" i="5"/>
  <c r="G7" i="5"/>
  <c r="Y7" i="5" s="1"/>
  <c r="F7" i="5"/>
  <c r="E7" i="5"/>
  <c r="A7" i="5"/>
  <c r="AE7" i="5" s="1"/>
  <c r="AC6" i="5"/>
  <c r="AA6" i="5"/>
  <c r="Y6" i="5"/>
  <c r="AD6" i="5" s="1"/>
  <c r="X6" i="5"/>
  <c r="W6" i="5"/>
  <c r="V6" i="5"/>
  <c r="U6" i="5"/>
  <c r="T6" i="5"/>
  <c r="S6" i="5"/>
  <c r="R6" i="5"/>
  <c r="Q6" i="5"/>
  <c r="P6" i="5"/>
  <c r="O6" i="5"/>
  <c r="N6" i="5"/>
  <c r="M6" i="5"/>
  <c r="L6" i="5"/>
  <c r="K6" i="5"/>
  <c r="J6" i="5"/>
  <c r="I6" i="5"/>
  <c r="H6" i="5"/>
  <c r="G6" i="5"/>
  <c r="F6" i="5"/>
  <c r="E6" i="5"/>
  <c r="A6" i="5"/>
  <c r="AE6" i="5" s="1"/>
  <c r="W4" i="5"/>
  <c r="V4" i="5"/>
  <c r="U4" i="5"/>
  <c r="T4" i="5"/>
  <c r="S4" i="5"/>
  <c r="R4" i="5"/>
  <c r="Q4" i="5"/>
  <c r="P4" i="5"/>
  <c r="O4" i="5"/>
  <c r="N4" i="5"/>
  <c r="M4" i="5"/>
  <c r="L4" i="5"/>
  <c r="K4" i="5"/>
  <c r="J4" i="5"/>
  <c r="I4" i="5"/>
  <c r="H4" i="5"/>
  <c r="G4" i="5"/>
  <c r="X3" i="5"/>
  <c r="W3" i="5"/>
  <c r="U3" i="5"/>
  <c r="Q3" i="5"/>
  <c r="O3" i="5"/>
  <c r="K3" i="5"/>
  <c r="H3" i="5"/>
  <c r="AE10" i="6" l="1"/>
  <c r="I7" i="6"/>
  <c r="AA8" i="6"/>
  <c r="S8" i="6"/>
  <c r="K8" i="6"/>
  <c r="Z8" i="6"/>
  <c r="R8" i="6"/>
  <c r="J8" i="6"/>
  <c r="Y8" i="6"/>
  <c r="AG8" i="6" s="1"/>
  <c r="Q8" i="6"/>
  <c r="I8" i="6"/>
  <c r="X8" i="6"/>
  <c r="P8" i="6"/>
  <c r="H8" i="6"/>
  <c r="V8" i="6"/>
  <c r="N8" i="6"/>
  <c r="W8" i="6"/>
  <c r="R9" i="6"/>
  <c r="H10" i="6"/>
  <c r="N7" i="6"/>
  <c r="AD8" i="6"/>
  <c r="S9" i="6"/>
  <c r="M10" i="6"/>
  <c r="M18" i="6" s="1"/>
  <c r="X17" i="6"/>
  <c r="P17" i="6"/>
  <c r="H17" i="6"/>
  <c r="U17" i="6"/>
  <c r="L17" i="6"/>
  <c r="AE17" i="6"/>
  <c r="T17" i="6"/>
  <c r="K17" i="6"/>
  <c r="AA17" i="6"/>
  <c r="AD17" i="6"/>
  <c r="S17" i="6"/>
  <c r="J17" i="6"/>
  <c r="R17" i="6"/>
  <c r="I17" i="6"/>
  <c r="Y17" i="6"/>
  <c r="AG17" i="6" s="1"/>
  <c r="O17" i="6"/>
  <c r="G8" i="6"/>
  <c r="AE8" i="6"/>
  <c r="M17" i="6"/>
  <c r="AE7" i="6"/>
  <c r="U7" i="6"/>
  <c r="M7" i="6"/>
  <c r="AD7" i="6"/>
  <c r="T7" i="6"/>
  <c r="L7" i="6"/>
  <c r="R7" i="6"/>
  <c r="AA7" i="6"/>
  <c r="S7" i="6"/>
  <c r="K7" i="6"/>
  <c r="Z7" i="6"/>
  <c r="J7" i="6"/>
  <c r="X7" i="6"/>
  <c r="P7" i="6"/>
  <c r="H7" i="6"/>
  <c r="AD10" i="6"/>
  <c r="AI10" i="6" s="1"/>
  <c r="T10" i="6"/>
  <c r="L10" i="6"/>
  <c r="AA10" i="6"/>
  <c r="S10" i="6"/>
  <c r="K10" i="6"/>
  <c r="K18" i="6" s="1"/>
  <c r="Y10" i="6"/>
  <c r="AG10" i="6" s="1"/>
  <c r="I10" i="6"/>
  <c r="Z10" i="6"/>
  <c r="AJ10" i="6" s="1"/>
  <c r="AK10" i="6" s="1"/>
  <c r="R10" i="6"/>
  <c r="J10" i="6"/>
  <c r="Q10" i="6"/>
  <c r="W10" i="6"/>
  <c r="O10" i="6"/>
  <c r="G10" i="6"/>
  <c r="G7" i="6"/>
  <c r="Q7" i="6"/>
  <c r="Y9" i="6"/>
  <c r="Q9" i="6"/>
  <c r="I9" i="6"/>
  <c r="X9" i="6"/>
  <c r="P9" i="6"/>
  <c r="H9" i="6"/>
  <c r="V9" i="6"/>
  <c r="W9" i="6"/>
  <c r="O9" i="6"/>
  <c r="O18" i="6" s="1"/>
  <c r="G9" i="6"/>
  <c r="N9" i="6"/>
  <c r="AD9" i="6"/>
  <c r="AI9" i="6" s="1"/>
  <c r="T9" i="6"/>
  <c r="L9" i="6"/>
  <c r="Z9" i="6"/>
  <c r="P10" i="6"/>
  <c r="AH25" i="6"/>
  <c r="AD25" i="6"/>
  <c r="AI25" i="6" s="1"/>
  <c r="X10" i="6"/>
  <c r="V7" i="6"/>
  <c r="M8" i="6"/>
  <c r="AA9" i="6"/>
  <c r="AA18" i="6" s="1"/>
  <c r="U10" i="6"/>
  <c r="U18" i="6" s="1"/>
  <c r="Q17" i="6"/>
  <c r="Y7" i="6"/>
  <c r="AG7" i="6" s="1"/>
  <c r="W7" i="6"/>
  <c r="O8" i="6"/>
  <c r="J9" i="6"/>
  <c r="J18" i="6" s="1"/>
  <c r="AE9" i="6"/>
  <c r="V10" i="6"/>
  <c r="V17" i="6"/>
  <c r="Y23" i="6"/>
  <c r="Q23" i="6"/>
  <c r="I23" i="6"/>
  <c r="V23" i="6"/>
  <c r="V42" i="6" s="1"/>
  <c r="M23" i="6"/>
  <c r="U23" i="6"/>
  <c r="L23" i="6"/>
  <c r="AE23" i="6"/>
  <c r="T23" i="6"/>
  <c r="K23" i="6"/>
  <c r="AD23" i="6"/>
  <c r="AI23" i="6" s="1"/>
  <c r="S23" i="6"/>
  <c r="S42" i="6" s="1"/>
  <c r="J23" i="6"/>
  <c r="AA23" i="6"/>
  <c r="R23" i="6"/>
  <c r="H23" i="6"/>
  <c r="Z23" i="6"/>
  <c r="P23" i="6"/>
  <c r="G23" i="6"/>
  <c r="X23" i="6"/>
  <c r="O23" i="6"/>
  <c r="AK25" i="6"/>
  <c r="AJ30" i="6"/>
  <c r="AK30" i="6" s="1"/>
  <c r="AH30" i="6"/>
  <c r="AD29" i="6"/>
  <c r="AI29" i="6" s="1"/>
  <c r="T29" i="6"/>
  <c r="L29" i="6"/>
  <c r="AA29" i="6"/>
  <c r="S29" i="6"/>
  <c r="K29" i="6"/>
  <c r="Z29" i="6"/>
  <c r="R29" i="6"/>
  <c r="J29" i="6"/>
  <c r="AE29" i="6"/>
  <c r="O29" i="6"/>
  <c r="X29" i="6"/>
  <c r="M29" i="6"/>
  <c r="U29" i="6"/>
  <c r="N28" i="6"/>
  <c r="Z32" i="6"/>
  <c r="R32" i="6"/>
  <c r="J32" i="6"/>
  <c r="Y32" i="6"/>
  <c r="AG32" i="6" s="1"/>
  <c r="Q32" i="6"/>
  <c r="I32" i="6"/>
  <c r="X32" i="6"/>
  <c r="P32" i="6"/>
  <c r="H32" i="6"/>
  <c r="V32" i="6"/>
  <c r="K32" i="6"/>
  <c r="T32" i="6"/>
  <c r="AA32" i="6"/>
  <c r="M32" i="6"/>
  <c r="W32" i="6"/>
  <c r="I6" i="6"/>
  <c r="Q6" i="6"/>
  <c r="Y6" i="6"/>
  <c r="AG6" i="6" s="1"/>
  <c r="J11" i="6"/>
  <c r="R11" i="6"/>
  <c r="Z11" i="6"/>
  <c r="AJ11" i="6" s="1"/>
  <c r="AK11" i="6" s="1"/>
  <c r="M12" i="6"/>
  <c r="U12" i="6"/>
  <c r="H13" i="6"/>
  <c r="P13" i="6"/>
  <c r="Y13" i="6"/>
  <c r="AG13" i="6" s="1"/>
  <c r="Y14" i="6"/>
  <c r="AG14" i="6" s="1"/>
  <c r="Q14" i="6"/>
  <c r="I14" i="6"/>
  <c r="N14" i="6"/>
  <c r="W14" i="6"/>
  <c r="AB14" i="6" s="1"/>
  <c r="M15" i="6"/>
  <c r="L16" i="6"/>
  <c r="L20" i="6"/>
  <c r="U20" i="6"/>
  <c r="M21" i="6"/>
  <c r="M46" i="6" s="1"/>
  <c r="AA22" i="6"/>
  <c r="S22" i="6"/>
  <c r="K22" i="6"/>
  <c r="K46" i="6" s="1"/>
  <c r="O22" i="6"/>
  <c r="X22" i="6"/>
  <c r="AA24" i="6"/>
  <c r="AK24" i="6" s="1"/>
  <c r="S24" i="6"/>
  <c r="K24" i="6"/>
  <c r="N24" i="6"/>
  <c r="N42" i="6" s="1"/>
  <c r="W24" i="6"/>
  <c r="W42" i="6" s="1"/>
  <c r="K26" i="6"/>
  <c r="U26" i="6"/>
  <c r="M27" i="6"/>
  <c r="V29" i="6"/>
  <c r="AD32" i="6"/>
  <c r="AI32" i="6" s="1"/>
  <c r="O37" i="6"/>
  <c r="Z40" i="6"/>
  <c r="R40" i="6"/>
  <c r="J40" i="6"/>
  <c r="Y40" i="6"/>
  <c r="Q40" i="6"/>
  <c r="I40" i="6"/>
  <c r="X40" i="6"/>
  <c r="P40" i="6"/>
  <c r="H40" i="6"/>
  <c r="AE40" i="6"/>
  <c r="O40" i="6"/>
  <c r="AA40" i="6"/>
  <c r="M40" i="6"/>
  <c r="U40" i="6"/>
  <c r="U44" i="6" s="1"/>
  <c r="G40" i="6"/>
  <c r="T40" i="6"/>
  <c r="AD40" i="6"/>
  <c r="AI40" i="6" s="1"/>
  <c r="AG50" i="6"/>
  <c r="AE21" i="6"/>
  <c r="T21" i="6"/>
  <c r="T46" i="6" s="1"/>
  <c r="L21" i="6"/>
  <c r="N21" i="6"/>
  <c r="W21" i="6"/>
  <c r="Z28" i="6"/>
  <c r="R28" i="6"/>
  <c r="J28" i="6"/>
  <c r="Y28" i="6"/>
  <c r="Q28" i="6"/>
  <c r="I28" i="6"/>
  <c r="X28" i="6"/>
  <c r="P28" i="6"/>
  <c r="H28" i="6"/>
  <c r="T28" i="6"/>
  <c r="AE28" i="6"/>
  <c r="O28" i="6"/>
  <c r="U28" i="6"/>
  <c r="G55" i="6"/>
  <c r="O21" i="6"/>
  <c r="X21" i="6"/>
  <c r="AD27" i="6"/>
  <c r="AI27" i="6" s="1"/>
  <c r="T27" i="6"/>
  <c r="L27" i="6"/>
  <c r="Z27" i="6"/>
  <c r="R27" i="6"/>
  <c r="J27" i="6"/>
  <c r="O27" i="6"/>
  <c r="Y27" i="6"/>
  <c r="V28" i="6"/>
  <c r="H29" i="6"/>
  <c r="Y29" i="6"/>
  <c r="L32" i="6"/>
  <c r="AD15" i="6"/>
  <c r="T15" i="6"/>
  <c r="L15" i="6"/>
  <c r="O15" i="6"/>
  <c r="X15" i="6"/>
  <c r="L6" i="6"/>
  <c r="T6" i="6"/>
  <c r="AD6" i="6"/>
  <c r="M11" i="6"/>
  <c r="U11" i="6"/>
  <c r="AE11" i="6"/>
  <c r="P44" i="6"/>
  <c r="K13" i="6"/>
  <c r="S13" i="6"/>
  <c r="S44" i="6" s="1"/>
  <c r="AD13" i="6"/>
  <c r="AI13" i="6" s="1"/>
  <c r="G15" i="6"/>
  <c r="P15" i="6"/>
  <c r="Y15" i="6"/>
  <c r="X16" i="6"/>
  <c r="P16" i="6"/>
  <c r="H16" i="6"/>
  <c r="O16" i="6"/>
  <c r="Y16" i="6"/>
  <c r="AG16" i="6" s="1"/>
  <c r="P20" i="6"/>
  <c r="G21" i="6"/>
  <c r="P21" i="6"/>
  <c r="N26" i="6"/>
  <c r="P27" i="6"/>
  <c r="AA27" i="6"/>
  <c r="G28" i="6"/>
  <c r="W28" i="6"/>
  <c r="I29" i="6"/>
  <c r="N32" i="6"/>
  <c r="AD33" i="6"/>
  <c r="AI33" i="6" s="1"/>
  <c r="T33" i="6"/>
  <c r="L33" i="6"/>
  <c r="AA33" i="6"/>
  <c r="AG33" i="6" s="1"/>
  <c r="S33" i="6"/>
  <c r="K33" i="6"/>
  <c r="Z33" i="6"/>
  <c r="R33" i="6"/>
  <c r="J33" i="6"/>
  <c r="Q33" i="6"/>
  <c r="AE33" i="6"/>
  <c r="O33" i="6"/>
  <c r="O44" i="6" s="1"/>
  <c r="V33" i="6"/>
  <c r="H33" i="6"/>
  <c r="W33" i="6"/>
  <c r="L40" i="6"/>
  <c r="W20" i="6"/>
  <c r="O20" i="6"/>
  <c r="G20" i="6"/>
  <c r="N20" i="6"/>
  <c r="X20" i="6"/>
  <c r="M6" i="6"/>
  <c r="U6" i="6"/>
  <c r="AE6" i="6"/>
  <c r="N11" i="6"/>
  <c r="L13" i="6"/>
  <c r="T13" i="6"/>
  <c r="T44" i="6" s="1"/>
  <c r="AE13" i="6"/>
  <c r="H15" i="6"/>
  <c r="Q15" i="6"/>
  <c r="Z15" i="6"/>
  <c r="G16" i="6"/>
  <c r="Q16" i="6"/>
  <c r="Z16" i="6"/>
  <c r="H20" i="6"/>
  <c r="Q20" i="6"/>
  <c r="Z20" i="6"/>
  <c r="H21" i="6"/>
  <c r="Q21" i="6"/>
  <c r="Z21" i="6"/>
  <c r="AG25" i="6"/>
  <c r="Z26" i="6"/>
  <c r="R26" i="6"/>
  <c r="J26" i="6"/>
  <c r="J46" i="6" s="1"/>
  <c r="X26" i="6"/>
  <c r="P26" i="6"/>
  <c r="H26" i="6"/>
  <c r="O26" i="6"/>
  <c r="AA26" i="6"/>
  <c r="AG26" i="6" s="1"/>
  <c r="G27" i="6"/>
  <c r="Q27" i="6"/>
  <c r="AE27" i="6"/>
  <c r="K28" i="6"/>
  <c r="AA28" i="6"/>
  <c r="N29" i="6"/>
  <c r="O32" i="6"/>
  <c r="AD37" i="6"/>
  <c r="AI37" i="6" s="1"/>
  <c r="T37" i="6"/>
  <c r="L37" i="6"/>
  <c r="AA37" i="6"/>
  <c r="S37" i="6"/>
  <c r="K37" i="6"/>
  <c r="Z37" i="6"/>
  <c r="R37" i="6"/>
  <c r="J37" i="6"/>
  <c r="V37" i="6"/>
  <c r="H37" i="6"/>
  <c r="Q37" i="6"/>
  <c r="Y37" i="6"/>
  <c r="N37" i="6"/>
  <c r="X37" i="6"/>
  <c r="M37" i="6"/>
  <c r="AE37" i="6"/>
  <c r="N40" i="6"/>
  <c r="N6" i="6"/>
  <c r="M13" i="6"/>
  <c r="U13" i="6"/>
  <c r="I15" i="6"/>
  <c r="R15" i="6"/>
  <c r="AA15" i="6"/>
  <c r="I20" i="6"/>
  <c r="R20" i="6"/>
  <c r="AA20" i="6"/>
  <c r="AG20" i="6" s="1"/>
  <c r="I21" i="6"/>
  <c r="R21" i="6"/>
  <c r="AA21" i="6"/>
  <c r="H27" i="6"/>
  <c r="S27" i="6"/>
  <c r="L28" i="6"/>
  <c r="AD28" i="6"/>
  <c r="AI28" i="6" s="1"/>
  <c r="P29" i="6"/>
  <c r="AG30" i="6"/>
  <c r="S32" i="6"/>
  <c r="AG38" i="6"/>
  <c r="X31" i="6"/>
  <c r="P31" i="6"/>
  <c r="H31" i="6"/>
  <c r="W31" i="6"/>
  <c r="O31" i="6"/>
  <c r="G31" i="6"/>
  <c r="V31" i="6"/>
  <c r="N31" i="6"/>
  <c r="R31" i="6"/>
  <c r="AE31" i="6"/>
  <c r="O36" i="6"/>
  <c r="AG39" i="6"/>
  <c r="Z49" i="6"/>
  <c r="R49" i="6"/>
  <c r="J49" i="6"/>
  <c r="Y49" i="6"/>
  <c r="Q49" i="6"/>
  <c r="I49" i="6"/>
  <c r="X49" i="6"/>
  <c r="P49" i="6"/>
  <c r="P55" i="6" s="1"/>
  <c r="H49" i="6"/>
  <c r="S49" i="6"/>
  <c r="Q50" i="6"/>
  <c r="AG51" i="6"/>
  <c r="Z36" i="6"/>
  <c r="R36" i="6"/>
  <c r="J36" i="6"/>
  <c r="Y36" i="6"/>
  <c r="AG36" i="6" s="1"/>
  <c r="Q36" i="6"/>
  <c r="I36" i="6"/>
  <c r="X36" i="6"/>
  <c r="P36" i="6"/>
  <c r="H36" i="6"/>
  <c r="S36" i="6"/>
  <c r="AH39" i="6"/>
  <c r="AE41" i="6"/>
  <c r="U41" i="6"/>
  <c r="M41" i="6"/>
  <c r="T41" i="6"/>
  <c r="L41" i="6"/>
  <c r="AA41" i="6"/>
  <c r="S41" i="6"/>
  <c r="K41" i="6"/>
  <c r="Q41" i="6"/>
  <c r="T49" i="6"/>
  <c r="X50" i="6"/>
  <c r="P50" i="6"/>
  <c r="H50" i="6"/>
  <c r="W50" i="6"/>
  <c r="O50" i="6"/>
  <c r="O55" i="6" s="1"/>
  <c r="G50" i="6"/>
  <c r="V50" i="6"/>
  <c r="V55" i="6" s="1"/>
  <c r="N50" i="6"/>
  <c r="R50" i="6"/>
  <c r="AE50" i="6"/>
  <c r="Z54" i="6"/>
  <c r="R54" i="6"/>
  <c r="J54" i="6"/>
  <c r="Y54" i="6"/>
  <c r="AG54" i="6" s="1"/>
  <c r="Q54" i="6"/>
  <c r="I54" i="6"/>
  <c r="X54" i="6"/>
  <c r="P54" i="6"/>
  <c r="H54" i="6"/>
  <c r="W54" i="6"/>
  <c r="O54" i="6"/>
  <c r="G54" i="6"/>
  <c r="AE54" i="6"/>
  <c r="U54" i="6"/>
  <c r="M54" i="6"/>
  <c r="AD54" i="6"/>
  <c r="T54" i="6"/>
  <c r="L54" i="6"/>
  <c r="N25" i="6"/>
  <c r="K31" i="6"/>
  <c r="Y31" i="6"/>
  <c r="AG31" i="6" s="1"/>
  <c r="M35" i="6"/>
  <c r="K36" i="6"/>
  <c r="V36" i="6"/>
  <c r="X39" i="6"/>
  <c r="P39" i="6"/>
  <c r="H39" i="6"/>
  <c r="W39" i="6"/>
  <c r="O39" i="6"/>
  <c r="G39" i="6"/>
  <c r="V39" i="6"/>
  <c r="N39" i="6"/>
  <c r="R39" i="6"/>
  <c r="AE39" i="6"/>
  <c r="I41" i="6"/>
  <c r="W41" i="6"/>
  <c r="L49" i="6"/>
  <c r="L55" i="6" s="1"/>
  <c r="W49" i="6"/>
  <c r="W55" i="6" s="1"/>
  <c r="J50" i="6"/>
  <c r="U50" i="6"/>
  <c r="U55" i="6" s="1"/>
  <c r="S54" i="6"/>
  <c r="V54" i="6"/>
  <c r="M31" i="6"/>
  <c r="AA31" i="6"/>
  <c r="AK31" i="6" s="1"/>
  <c r="X35" i="6"/>
  <c r="P35" i="6"/>
  <c r="H35" i="6"/>
  <c r="W35" i="6"/>
  <c r="O35" i="6"/>
  <c r="G35" i="6"/>
  <c r="V35" i="6"/>
  <c r="N35" i="6"/>
  <c r="R35" i="6"/>
  <c r="R44" i="6" s="1"/>
  <c r="AE35" i="6"/>
  <c r="M36" i="6"/>
  <c r="AA36" i="6"/>
  <c r="I39" i="6"/>
  <c r="T39" i="6"/>
  <c r="N41" i="6"/>
  <c r="Y41" i="6"/>
  <c r="N49" i="6"/>
  <c r="AD49" i="6"/>
  <c r="L50" i="6"/>
  <c r="Z50" i="6"/>
  <c r="AA54" i="6"/>
  <c r="M53" i="6"/>
  <c r="U53" i="6"/>
  <c r="AE53" i="6"/>
  <c r="N53" i="6"/>
  <c r="V53" i="6"/>
  <c r="L30" i="6"/>
  <c r="L44" i="6" s="1"/>
  <c r="T30" i="6"/>
  <c r="AD30" i="6"/>
  <c r="AI30" i="6" s="1"/>
  <c r="L34" i="6"/>
  <c r="T34" i="6"/>
  <c r="AD34" i="6"/>
  <c r="AI34" i="6" s="1"/>
  <c r="L38" i="6"/>
  <c r="T38" i="6"/>
  <c r="AD38" i="6"/>
  <c r="AI38" i="6" s="1"/>
  <c r="L51" i="6"/>
  <c r="T51" i="6"/>
  <c r="AD51" i="6"/>
  <c r="J52" i="6"/>
  <c r="R52" i="6"/>
  <c r="Z52" i="6"/>
  <c r="H53" i="6"/>
  <c r="P53" i="6"/>
  <c r="X53" i="6"/>
  <c r="M30" i="6"/>
  <c r="U30" i="6"/>
  <c r="AE30" i="6"/>
  <c r="M34" i="6"/>
  <c r="U34" i="6"/>
  <c r="AE34" i="6"/>
  <c r="M38" i="6"/>
  <c r="U38" i="6"/>
  <c r="AE38" i="6"/>
  <c r="M51" i="6"/>
  <c r="M55" i="6" s="1"/>
  <c r="U51" i="6"/>
  <c r="AE51" i="6"/>
  <c r="K52" i="6"/>
  <c r="K55" i="6" s="1"/>
  <c r="S52" i="6"/>
  <c r="AA52" i="6"/>
  <c r="AG52" i="6" s="1"/>
  <c r="I53" i="6"/>
  <c r="Q53" i="6"/>
  <c r="Y53" i="6"/>
  <c r="AG53" i="6" s="1"/>
  <c r="N30" i="6"/>
  <c r="N34" i="6"/>
  <c r="N38" i="6"/>
  <c r="N51" i="6"/>
  <c r="L52" i="6"/>
  <c r="T52" i="6"/>
  <c r="AD52" i="6"/>
  <c r="J53" i="6"/>
  <c r="R53" i="6"/>
  <c r="Z53" i="6"/>
  <c r="M52" i="6"/>
  <c r="U52" i="6"/>
  <c r="K53" i="6"/>
  <c r="S53" i="6"/>
  <c r="AD54" i="5"/>
  <c r="Z54" i="5"/>
  <c r="Z36" i="5"/>
  <c r="AD36" i="5"/>
  <c r="AD24" i="5"/>
  <c r="Z24" i="5"/>
  <c r="Z33" i="5"/>
  <c r="AD33" i="5"/>
  <c r="Z40" i="5"/>
  <c r="AD40" i="5"/>
  <c r="Z50" i="5"/>
  <c r="AD50" i="5"/>
  <c r="Z17" i="5"/>
  <c r="AD17" i="5"/>
  <c r="AD39" i="5"/>
  <c r="Z39" i="5"/>
  <c r="Z49" i="5"/>
  <c r="AD49" i="5"/>
  <c r="AD25" i="5"/>
  <c r="Z25" i="5"/>
  <c r="AD28" i="5"/>
  <c r="Z28" i="5"/>
  <c r="Z37" i="5"/>
  <c r="AD37" i="5"/>
  <c r="Z41" i="5"/>
  <c r="AD41" i="5"/>
  <c r="AD35" i="5"/>
  <c r="Z35" i="5"/>
  <c r="AD20" i="5"/>
  <c r="Z20" i="5"/>
  <c r="Z29" i="5"/>
  <c r="AD29" i="5"/>
  <c r="Z34" i="5"/>
  <c r="AD34" i="5"/>
  <c r="Z44" i="5"/>
  <c r="AD44" i="5"/>
  <c r="AD51" i="5"/>
  <c r="Z51" i="5"/>
  <c r="AD55" i="5"/>
  <c r="Z55" i="5"/>
  <c r="Z7" i="5"/>
  <c r="AD7" i="5"/>
  <c r="AD10" i="5"/>
  <c r="Z10" i="5"/>
  <c r="AD13" i="5"/>
  <c r="Z13" i="5"/>
  <c r="AD21" i="5"/>
  <c r="Z21" i="5"/>
  <c r="AD22" i="5"/>
  <c r="Z22" i="5"/>
  <c r="Z26" i="5"/>
  <c r="AD26" i="5"/>
  <c r="Z38" i="5"/>
  <c r="AD38" i="5"/>
  <c r="AD16" i="5"/>
  <c r="Z16" i="5"/>
  <c r="Z14" i="5"/>
  <c r="AD14" i="5"/>
  <c r="Z30" i="5"/>
  <c r="AD30" i="5"/>
  <c r="AD46" i="5"/>
  <c r="Z46" i="5"/>
  <c r="Z32" i="5"/>
  <c r="AD32" i="5"/>
  <c r="Z42" i="5"/>
  <c r="AD42" i="5"/>
  <c r="Z12" i="5"/>
  <c r="AD12" i="5"/>
  <c r="Z8" i="5"/>
  <c r="AD8" i="5"/>
  <c r="Z11" i="5"/>
  <c r="AD11" i="5"/>
  <c r="Z15" i="5"/>
  <c r="AD15" i="5"/>
  <c r="Z23" i="5"/>
  <c r="AD23" i="5"/>
  <c r="Z27" i="5"/>
  <c r="AD27" i="5"/>
  <c r="AD31" i="5"/>
  <c r="Z31" i="5"/>
  <c r="AD52" i="5"/>
  <c r="Z52" i="5"/>
  <c r="Z53" i="5"/>
  <c r="AD53" i="5"/>
  <c r="Z9" i="5"/>
  <c r="Z6" i="5"/>
  <c r="J47" i="6" l="1"/>
  <c r="T45" i="6"/>
  <c r="BC3" i="6" s="1"/>
  <c r="T47" i="6"/>
  <c r="P46" i="6"/>
  <c r="AD41" i="6"/>
  <c r="AG41" i="6"/>
  <c r="X55" i="6"/>
  <c r="R46" i="6"/>
  <c r="H46" i="6"/>
  <c r="G46" i="6"/>
  <c r="AG40" i="6"/>
  <c r="G42" i="6"/>
  <c r="AI41" i="6"/>
  <c r="I42" i="6"/>
  <c r="W18" i="6"/>
  <c r="N44" i="6"/>
  <c r="N46" i="6"/>
  <c r="S46" i="6"/>
  <c r="I55" i="6"/>
  <c r="I46" i="6"/>
  <c r="AJ26" i="6"/>
  <c r="AK26" i="6" s="1"/>
  <c r="AH26" i="6"/>
  <c r="O46" i="6"/>
  <c r="AJ27" i="6"/>
  <c r="AK27" i="6" s="1"/>
  <c r="AH27" i="6"/>
  <c r="AG28" i="6"/>
  <c r="AA55" i="6"/>
  <c r="P42" i="6"/>
  <c r="K42" i="6"/>
  <c r="Q42" i="6"/>
  <c r="M44" i="6"/>
  <c r="M45" i="6" s="1"/>
  <c r="AJ9" i="6"/>
  <c r="Z18" i="6"/>
  <c r="V18" i="6"/>
  <c r="I44" i="6"/>
  <c r="Q46" i="6"/>
  <c r="AJ36" i="6"/>
  <c r="AK36" i="6" s="1"/>
  <c r="AH36" i="6"/>
  <c r="Q55" i="6"/>
  <c r="W46" i="6"/>
  <c r="AG29" i="6"/>
  <c r="AH55" i="6"/>
  <c r="AJ32" i="6"/>
  <c r="AK32" i="6" s="1"/>
  <c r="AH32" i="6"/>
  <c r="Z42" i="6"/>
  <c r="AJ23" i="6"/>
  <c r="AH23" i="6"/>
  <c r="T42" i="6"/>
  <c r="Y42" i="6"/>
  <c r="AD42" i="6" s="1"/>
  <c r="AG23" i="6"/>
  <c r="L18" i="6"/>
  <c r="H18" i="6"/>
  <c r="G44" i="6"/>
  <c r="AD58" i="6"/>
  <c r="Y55" i="6"/>
  <c r="AF55" i="6"/>
  <c r="AG49" i="6"/>
  <c r="AH21" i="6"/>
  <c r="AJ40" i="6"/>
  <c r="AK40" i="6" s="1"/>
  <c r="AH40" i="6"/>
  <c r="AE58" i="6"/>
  <c r="H42" i="6"/>
  <c r="T18" i="6"/>
  <c r="P18" i="6"/>
  <c r="V46" i="6"/>
  <c r="K44" i="6"/>
  <c r="K45" i="6" s="1"/>
  <c r="X42" i="6"/>
  <c r="Y18" i="6"/>
  <c r="AG9" i="6"/>
  <c r="J55" i="6"/>
  <c r="AJ37" i="6"/>
  <c r="AK37" i="6" s="1"/>
  <c r="AH37" i="6"/>
  <c r="AJ28" i="6"/>
  <c r="AK28" i="6" s="1"/>
  <c r="AH28" i="6"/>
  <c r="AH29" i="6"/>
  <c r="AJ29" i="6"/>
  <c r="AK29" i="6" s="1"/>
  <c r="R42" i="6"/>
  <c r="L42" i="6"/>
  <c r="Y22" i="6"/>
  <c r="AG22" i="6" s="1"/>
  <c r="AI15" i="6"/>
  <c r="X18" i="6"/>
  <c r="S55" i="6"/>
  <c r="R55" i="6"/>
  <c r="AG15" i="6"/>
  <c r="AG27" i="6"/>
  <c r="U46" i="6"/>
  <c r="AA42" i="6"/>
  <c r="AI42" i="6" s="1"/>
  <c r="U42" i="6"/>
  <c r="N18" i="6"/>
  <c r="I18" i="6"/>
  <c r="H44" i="6"/>
  <c r="N55" i="6"/>
  <c r="T55" i="6"/>
  <c r="H55" i="6"/>
  <c r="Z55" i="6"/>
  <c r="AG55" i="6"/>
  <c r="AG37" i="6"/>
  <c r="AH20" i="6"/>
  <c r="Z46" i="6"/>
  <c r="X46" i="6"/>
  <c r="X45" i="6" s="1"/>
  <c r="BG3" i="6" s="1"/>
  <c r="AH33" i="6"/>
  <c r="AJ33" i="6"/>
  <c r="AK33" i="6" s="1"/>
  <c r="AH31" i="6"/>
  <c r="Y21" i="6"/>
  <c r="AH24" i="6"/>
  <c r="AG24" i="6"/>
  <c r="L46" i="6"/>
  <c r="O42" i="6"/>
  <c r="J42" i="6"/>
  <c r="M42" i="6"/>
  <c r="G18" i="6"/>
  <c r="Q18" i="6"/>
  <c r="J44" i="6"/>
  <c r="J45" i="6" s="1"/>
  <c r="AR3" i="6" s="1"/>
  <c r="S18" i="6"/>
  <c r="R18" i="6"/>
  <c r="AV3" i="6" l="1"/>
  <c r="M47" i="6"/>
  <c r="AS3" i="6"/>
  <c r="K47" i="6"/>
  <c r="S45" i="6"/>
  <c r="BB3" i="6" s="1"/>
  <c r="S47" i="6"/>
  <c r="G47" i="6"/>
  <c r="AG46" i="6"/>
  <c r="G45" i="6"/>
  <c r="N45" i="6"/>
  <c r="AY3" i="6" s="1"/>
  <c r="H45" i="6"/>
  <c r="AP3" i="6" s="1"/>
  <c r="R45" i="6"/>
  <c r="BA3" i="6" s="1"/>
  <c r="R47" i="6"/>
  <c r="Z44" i="6"/>
  <c r="AA44" i="6" s="1"/>
  <c r="V45" i="6"/>
  <c r="BE3" i="6" s="1"/>
  <c r="W45" i="6"/>
  <c r="BF3" i="6" s="1"/>
  <c r="AD55" i="6"/>
  <c r="O45" i="6"/>
  <c r="AW3" i="6" s="1"/>
  <c r="U45" i="6"/>
  <c r="BD3" i="6" s="1"/>
  <c r="AJ41" i="6"/>
  <c r="AK23" i="6"/>
  <c r="L45" i="6"/>
  <c r="AU3" i="6" s="1"/>
  <c r="L47" i="6"/>
  <c r="AG21" i="6"/>
  <c r="Y46" i="6"/>
  <c r="Y44" i="6"/>
  <c r="AK9" i="6"/>
  <c r="AK15" i="6" s="1"/>
  <c r="AJ15" i="6"/>
  <c r="AD18" i="6"/>
  <c r="AG18" i="6"/>
  <c r="Q45" i="6"/>
  <c r="AZ3" i="6" s="1"/>
  <c r="I45" i="6"/>
  <c r="AQ3" i="6" s="1"/>
  <c r="P45" i="6"/>
  <c r="AX3" i="6" s="1"/>
  <c r="P47" i="6"/>
  <c r="Q47" i="6" l="1"/>
  <c r="H47" i="6"/>
  <c r="AK41" i="6"/>
  <c r="AJ42" i="6"/>
  <c r="AK42" i="6" s="1"/>
  <c r="V47" i="6"/>
  <c r="N47" i="6"/>
  <c r="AD46" i="6"/>
  <c r="Y45" i="6"/>
  <c r="O47" i="6"/>
  <c r="W47" i="6"/>
  <c r="I47" i="6"/>
  <c r="AD44" i="6"/>
  <c r="U47" i="6"/>
  <c r="AA46" i="6"/>
  <c r="AB45" i="6"/>
  <c r="AO3" i="6"/>
  <c r="AA45" i="6" l="1"/>
  <c r="AA47" i="6" s="1"/>
  <c r="Y47" i="6"/>
  <c r="AD45" i="6" l="1"/>
  <c r="AD55" i="4" l="1"/>
  <c r="AD54" i="4"/>
  <c r="Y54" i="4"/>
  <c r="T54" i="4"/>
  <c r="Q54" i="4"/>
  <c r="L54" i="4"/>
  <c r="I54" i="4"/>
  <c r="A54" i="4"/>
  <c r="X54" i="4" s="1"/>
  <c r="AD53" i="4"/>
  <c r="Y53" i="4"/>
  <c r="T53" i="4"/>
  <c r="Q53" i="4"/>
  <c r="L53" i="4"/>
  <c r="I53" i="4"/>
  <c r="F53" i="4"/>
  <c r="A53" i="4"/>
  <c r="X53" i="4" s="1"/>
  <c r="Z52" i="4"/>
  <c r="F52" i="4"/>
  <c r="A52" i="4"/>
  <c r="AC51" i="4"/>
  <c r="X51" i="4"/>
  <c r="AF51" i="4" s="1"/>
  <c r="W51" i="4"/>
  <c r="V51" i="4"/>
  <c r="S51" i="4"/>
  <c r="P51" i="4"/>
  <c r="O51" i="4"/>
  <c r="N51" i="4"/>
  <c r="K51" i="4"/>
  <c r="H51" i="4"/>
  <c r="G51" i="4"/>
  <c r="F51" i="4"/>
  <c r="A51" i="4"/>
  <c r="Z51" i="4" s="1"/>
  <c r="AD50" i="4"/>
  <c r="Y50" i="4"/>
  <c r="X50" i="4"/>
  <c r="W50" i="4"/>
  <c r="V50" i="4"/>
  <c r="T50" i="4"/>
  <c r="Q50" i="4"/>
  <c r="P50" i="4"/>
  <c r="O50" i="4"/>
  <c r="N50" i="4"/>
  <c r="L50" i="4"/>
  <c r="I50" i="4"/>
  <c r="H50" i="4"/>
  <c r="G50" i="4"/>
  <c r="F50" i="4"/>
  <c r="A50" i="4"/>
  <c r="AC50" i="4" s="1"/>
  <c r="Y49" i="4"/>
  <c r="X49" i="4"/>
  <c r="W49" i="4"/>
  <c r="Q49" i="4"/>
  <c r="O49" i="4"/>
  <c r="M49" i="4"/>
  <c r="J49" i="4"/>
  <c r="I49" i="4"/>
  <c r="F49" i="4"/>
  <c r="A49" i="4"/>
  <c r="Z49" i="4" s="1"/>
  <c r="R41" i="4"/>
  <c r="O41" i="4"/>
  <c r="A41" i="4"/>
  <c r="AI40" i="4"/>
  <c r="AJ40" i="4" s="1"/>
  <c r="AC40" i="4"/>
  <c r="AH40" i="4" s="1"/>
  <c r="Z40" i="4"/>
  <c r="Y40" i="4"/>
  <c r="AG40" i="4" s="1"/>
  <c r="X40" i="4"/>
  <c r="W40" i="4"/>
  <c r="V40" i="4"/>
  <c r="S40" i="4"/>
  <c r="R40" i="4"/>
  <c r="Q40" i="4"/>
  <c r="P40" i="4"/>
  <c r="O40" i="4"/>
  <c r="N40" i="4"/>
  <c r="K40" i="4"/>
  <c r="J40" i="4"/>
  <c r="I40" i="4"/>
  <c r="H40" i="4"/>
  <c r="G40" i="4"/>
  <c r="F40" i="4"/>
  <c r="A40" i="4"/>
  <c r="U40" i="4" s="1"/>
  <c r="X39" i="4"/>
  <c r="W39" i="4"/>
  <c r="V39" i="4"/>
  <c r="U39" i="4"/>
  <c r="T39" i="4"/>
  <c r="S39" i="4"/>
  <c r="N39" i="4"/>
  <c r="M39" i="4"/>
  <c r="L39" i="4"/>
  <c r="K39" i="4"/>
  <c r="H39" i="4"/>
  <c r="G39" i="4"/>
  <c r="F39" i="4"/>
  <c r="A39" i="4"/>
  <c r="F38" i="4"/>
  <c r="A38" i="4"/>
  <c r="T38" i="4" s="1"/>
  <c r="X37" i="4"/>
  <c r="N37" i="4"/>
  <c r="F37" i="4"/>
  <c r="A37" i="4"/>
  <c r="Z37" i="4" s="1"/>
  <c r="AD36" i="4"/>
  <c r="W36" i="4"/>
  <c r="V36" i="4"/>
  <c r="U36" i="4"/>
  <c r="R36" i="4"/>
  <c r="M36" i="4"/>
  <c r="L36" i="4"/>
  <c r="K36" i="4"/>
  <c r="F36" i="4"/>
  <c r="A36" i="4"/>
  <c r="Z36" i="4" s="1"/>
  <c r="AH35" i="4"/>
  <c r="AD35" i="4"/>
  <c r="AC35" i="4"/>
  <c r="Z35" i="4"/>
  <c r="Y35" i="4"/>
  <c r="AG35" i="4" s="1"/>
  <c r="X35" i="4"/>
  <c r="AF35" i="4" s="1"/>
  <c r="W35" i="4"/>
  <c r="T35" i="4"/>
  <c r="S35" i="4"/>
  <c r="R35" i="4"/>
  <c r="Q35" i="4"/>
  <c r="P35" i="4"/>
  <c r="O35" i="4"/>
  <c r="L35" i="4"/>
  <c r="K35" i="4"/>
  <c r="J35" i="4"/>
  <c r="I35" i="4"/>
  <c r="H35" i="4"/>
  <c r="G35" i="4"/>
  <c r="F35" i="4"/>
  <c r="A35" i="4"/>
  <c r="V35" i="4" s="1"/>
  <c r="X34" i="4"/>
  <c r="W34" i="4"/>
  <c r="V34" i="4"/>
  <c r="U34" i="4"/>
  <c r="T34" i="4"/>
  <c r="Q34" i="4"/>
  <c r="N34" i="4"/>
  <c r="M34" i="4"/>
  <c r="L34" i="4"/>
  <c r="I34" i="4"/>
  <c r="H34" i="4"/>
  <c r="G34" i="4"/>
  <c r="F34" i="4"/>
  <c r="A34" i="4"/>
  <c r="Z33" i="4"/>
  <c r="N33" i="4"/>
  <c r="F33" i="4"/>
  <c r="A33" i="4"/>
  <c r="AD33" i="4" s="1"/>
  <c r="AG32" i="4"/>
  <c r="AC32" i="4"/>
  <c r="AH32" i="4" s="1"/>
  <c r="Z32" i="4"/>
  <c r="Y32" i="4"/>
  <c r="AI32" i="4" s="1"/>
  <c r="AJ32" i="4" s="1"/>
  <c r="X32" i="4"/>
  <c r="AF32" i="4" s="1"/>
  <c r="W32" i="4"/>
  <c r="V32" i="4"/>
  <c r="S32" i="4"/>
  <c r="R32" i="4"/>
  <c r="Q32" i="4"/>
  <c r="P32" i="4"/>
  <c r="O32" i="4"/>
  <c r="N32" i="4"/>
  <c r="K32" i="4"/>
  <c r="J32" i="4"/>
  <c r="I32" i="4"/>
  <c r="H32" i="4"/>
  <c r="G32" i="4"/>
  <c r="F32" i="4"/>
  <c r="A32" i="4"/>
  <c r="U32" i="4" s="1"/>
  <c r="AD31" i="4"/>
  <c r="W31" i="4"/>
  <c r="V31" i="4"/>
  <c r="U31" i="4"/>
  <c r="P31" i="4"/>
  <c r="M31" i="4"/>
  <c r="L31" i="4"/>
  <c r="K31" i="4"/>
  <c r="F31" i="4"/>
  <c r="A31" i="4"/>
  <c r="X31" i="4" s="1"/>
  <c r="AD30" i="4"/>
  <c r="Y30" i="4"/>
  <c r="AI30" i="4" s="1"/>
  <c r="X30" i="4"/>
  <c r="U30" i="4"/>
  <c r="T30" i="4"/>
  <c r="S30" i="4"/>
  <c r="R30" i="4"/>
  <c r="M30" i="4"/>
  <c r="L30" i="4"/>
  <c r="K30" i="4"/>
  <c r="J30" i="4"/>
  <c r="I30" i="4"/>
  <c r="H30" i="4"/>
  <c r="F30" i="4"/>
  <c r="A30" i="4"/>
  <c r="Z29" i="4"/>
  <c r="W29" i="4"/>
  <c r="V29" i="4"/>
  <c r="U29" i="4"/>
  <c r="R29" i="4"/>
  <c r="Q29" i="4"/>
  <c r="P29" i="4"/>
  <c r="M29" i="4"/>
  <c r="J29" i="4"/>
  <c r="I29" i="4"/>
  <c r="H29" i="4"/>
  <c r="G29" i="4"/>
  <c r="F29" i="4"/>
  <c r="A29" i="4"/>
  <c r="X29" i="4" s="1"/>
  <c r="AF29" i="4" s="1"/>
  <c r="Z28" i="4"/>
  <c r="W28" i="4"/>
  <c r="N28" i="4"/>
  <c r="M28" i="4"/>
  <c r="F28" i="4"/>
  <c r="A28" i="4"/>
  <c r="T27" i="4"/>
  <c r="L27" i="4"/>
  <c r="F27" i="4"/>
  <c r="A27" i="4"/>
  <c r="AC26" i="4"/>
  <c r="AH26" i="4" s="1"/>
  <c r="Z26" i="4"/>
  <c r="Y26" i="4"/>
  <c r="AI26" i="4" s="1"/>
  <c r="AJ26" i="4" s="1"/>
  <c r="V26" i="4"/>
  <c r="S26" i="4"/>
  <c r="R26" i="4"/>
  <c r="Q26" i="4"/>
  <c r="N26" i="4"/>
  <c r="K26" i="4"/>
  <c r="J26" i="4"/>
  <c r="I26" i="4"/>
  <c r="F26" i="4"/>
  <c r="A26" i="4"/>
  <c r="X26" i="4" s="1"/>
  <c r="AF26" i="4" s="1"/>
  <c r="A25" i="4"/>
  <c r="U25" i="4" s="1"/>
  <c r="AD24" i="4"/>
  <c r="AC24" i="4"/>
  <c r="AH24" i="4" s="1"/>
  <c r="Z24" i="4"/>
  <c r="W24" i="4"/>
  <c r="T24" i="4"/>
  <c r="S24" i="4"/>
  <c r="R24" i="4"/>
  <c r="O24" i="4"/>
  <c r="L24" i="4"/>
  <c r="K24" i="4"/>
  <c r="J24" i="4"/>
  <c r="G24" i="4"/>
  <c r="F24" i="4"/>
  <c r="A24" i="4"/>
  <c r="Y24" i="4" s="1"/>
  <c r="AI23" i="4"/>
  <c r="AH23" i="4"/>
  <c r="AD23" i="4"/>
  <c r="AC23" i="4"/>
  <c r="Z23" i="4"/>
  <c r="Y23" i="4"/>
  <c r="X23" i="4"/>
  <c r="AF23" i="4" s="1"/>
  <c r="W23" i="4"/>
  <c r="T23" i="4"/>
  <c r="S23" i="4"/>
  <c r="R23" i="4"/>
  <c r="Q23" i="4"/>
  <c r="P23" i="4"/>
  <c r="O23" i="4"/>
  <c r="L23" i="4"/>
  <c r="K23" i="4"/>
  <c r="J23" i="4"/>
  <c r="I23" i="4"/>
  <c r="H23" i="4"/>
  <c r="G23" i="4"/>
  <c r="F23" i="4"/>
  <c r="A23" i="4"/>
  <c r="V23" i="4" s="1"/>
  <c r="AD22" i="4"/>
  <c r="AC22" i="4"/>
  <c r="Z22" i="4"/>
  <c r="Y22" i="4"/>
  <c r="U22" i="4"/>
  <c r="T22" i="4"/>
  <c r="S22" i="4"/>
  <c r="R22" i="4"/>
  <c r="Q22" i="4"/>
  <c r="P22" i="4"/>
  <c r="M22" i="4"/>
  <c r="L22" i="4"/>
  <c r="K22" i="4"/>
  <c r="J22" i="4"/>
  <c r="I22" i="4"/>
  <c r="H22" i="4"/>
  <c r="A22" i="4"/>
  <c r="W22" i="4" s="1"/>
  <c r="AD21" i="4"/>
  <c r="Z21" i="4"/>
  <c r="Y21" i="4"/>
  <c r="AG21" i="4" s="1"/>
  <c r="T21" i="4"/>
  <c r="S21" i="4"/>
  <c r="R21" i="4"/>
  <c r="Q21" i="4"/>
  <c r="P21" i="4"/>
  <c r="L21" i="4"/>
  <c r="K21" i="4"/>
  <c r="J21" i="4"/>
  <c r="I21" i="4"/>
  <c r="H21" i="4"/>
  <c r="F21" i="4"/>
  <c r="A21" i="4"/>
  <c r="W21" i="4" s="1"/>
  <c r="AD20" i="4"/>
  <c r="AC20" i="4"/>
  <c r="Z20" i="4"/>
  <c r="T20" i="4"/>
  <c r="S20" i="4"/>
  <c r="R20" i="4"/>
  <c r="L20" i="4"/>
  <c r="K20" i="4"/>
  <c r="J20" i="4"/>
  <c r="F20" i="4"/>
  <c r="A20" i="4"/>
  <c r="Y20" i="4" s="1"/>
  <c r="AD17" i="4"/>
  <c r="AC17" i="4"/>
  <c r="Z17" i="4"/>
  <c r="Y17" i="4"/>
  <c r="V17" i="4"/>
  <c r="U17" i="4"/>
  <c r="T17" i="4"/>
  <c r="S17" i="4"/>
  <c r="R17" i="4"/>
  <c r="Q17" i="4"/>
  <c r="N17" i="4"/>
  <c r="M17" i="4"/>
  <c r="L17" i="4"/>
  <c r="K17" i="4"/>
  <c r="J17" i="4"/>
  <c r="I17" i="4"/>
  <c r="A17" i="4"/>
  <c r="X17" i="4" s="1"/>
  <c r="AF17" i="4" s="1"/>
  <c r="AD16" i="4"/>
  <c r="AC16" i="4"/>
  <c r="Z16" i="4"/>
  <c r="Y16" i="4"/>
  <c r="X16" i="4"/>
  <c r="AF16" i="4" s="1"/>
  <c r="U16" i="4"/>
  <c r="T16" i="4"/>
  <c r="S16" i="4"/>
  <c r="R16" i="4"/>
  <c r="Q16" i="4"/>
  <c r="P16" i="4"/>
  <c r="M16" i="4"/>
  <c r="L16" i="4"/>
  <c r="K16" i="4"/>
  <c r="J16" i="4"/>
  <c r="I16" i="4"/>
  <c r="H16" i="4"/>
  <c r="A16" i="4"/>
  <c r="W16" i="4" s="1"/>
  <c r="AD15" i="4"/>
  <c r="AC15" i="4"/>
  <c r="U15" i="4"/>
  <c r="T15" i="4"/>
  <c r="S15" i="4"/>
  <c r="M15" i="4"/>
  <c r="L15" i="4"/>
  <c r="K15" i="4"/>
  <c r="A15" i="4"/>
  <c r="Z15" i="4" s="1"/>
  <c r="AI14" i="4"/>
  <c r="AJ14" i="4" s="1"/>
  <c r="AH14" i="4"/>
  <c r="AC14" i="4"/>
  <c r="Z14" i="4"/>
  <c r="Y14" i="4"/>
  <c r="X14" i="4"/>
  <c r="AF14" i="4" s="1"/>
  <c r="W14" i="4"/>
  <c r="T14" i="4"/>
  <c r="S14" i="4"/>
  <c r="R14" i="4"/>
  <c r="Q14" i="4"/>
  <c r="P14" i="4"/>
  <c r="O14" i="4"/>
  <c r="L14" i="4"/>
  <c r="K14" i="4"/>
  <c r="J14" i="4"/>
  <c r="I14" i="4"/>
  <c r="H14" i="4"/>
  <c r="G14" i="4"/>
  <c r="F14" i="4"/>
  <c r="A14" i="4"/>
  <c r="V14" i="4" s="1"/>
  <c r="AA14" i="4" s="1"/>
  <c r="AD13" i="4"/>
  <c r="AC13" i="4"/>
  <c r="AH13" i="4" s="1"/>
  <c r="T13" i="4"/>
  <c r="S13" i="4"/>
  <c r="S44" i="4" s="1"/>
  <c r="L13" i="4"/>
  <c r="K13" i="4"/>
  <c r="F13" i="4"/>
  <c r="A13" i="4"/>
  <c r="Z13" i="4" s="1"/>
  <c r="AI12" i="4"/>
  <c r="AJ12" i="4" s="1"/>
  <c r="AD12" i="4"/>
  <c r="AC12" i="4"/>
  <c r="AH12" i="4" s="1"/>
  <c r="Z12" i="4"/>
  <c r="Y12" i="4"/>
  <c r="X12" i="4"/>
  <c r="AF12" i="4" s="1"/>
  <c r="W12" i="4"/>
  <c r="T12" i="4"/>
  <c r="S12" i="4"/>
  <c r="R12" i="4"/>
  <c r="Q12" i="4"/>
  <c r="P12" i="4"/>
  <c r="O12" i="4"/>
  <c r="L12" i="4"/>
  <c r="K12" i="4"/>
  <c r="J12" i="4"/>
  <c r="I12" i="4"/>
  <c r="H12" i="4"/>
  <c r="G12" i="4"/>
  <c r="F12" i="4"/>
  <c r="A12" i="4"/>
  <c r="V12" i="4" s="1"/>
  <c r="AD11" i="4"/>
  <c r="AC11" i="4"/>
  <c r="AH11" i="4" s="1"/>
  <c r="T11" i="4"/>
  <c r="S11" i="4"/>
  <c r="L11" i="4"/>
  <c r="K11" i="4"/>
  <c r="F11" i="4"/>
  <c r="A11" i="4"/>
  <c r="Z11" i="4" s="1"/>
  <c r="AI10" i="4"/>
  <c r="AJ10" i="4" s="1"/>
  <c r="AD10" i="4"/>
  <c r="AC10" i="4"/>
  <c r="AH10" i="4" s="1"/>
  <c r="Z10" i="4"/>
  <c r="Y10" i="4"/>
  <c r="X10" i="4"/>
  <c r="AF10" i="4" s="1"/>
  <c r="W10" i="4"/>
  <c r="T10" i="4"/>
  <c r="S10" i="4"/>
  <c r="R10" i="4"/>
  <c r="Q10" i="4"/>
  <c r="P10" i="4"/>
  <c r="O10" i="4"/>
  <c r="L10" i="4"/>
  <c r="K10" i="4"/>
  <c r="J10" i="4"/>
  <c r="I10" i="4"/>
  <c r="H10" i="4"/>
  <c r="G10" i="4"/>
  <c r="F10" i="4"/>
  <c r="A10" i="4"/>
  <c r="V10" i="4" s="1"/>
  <c r="AD9" i="4"/>
  <c r="AC9" i="4"/>
  <c r="AH9" i="4" s="1"/>
  <c r="AH15" i="4" s="1"/>
  <c r="T9" i="4"/>
  <c r="T18" i="4" s="1"/>
  <c r="S9" i="4"/>
  <c r="L9" i="4"/>
  <c r="L18" i="4" s="1"/>
  <c r="K9" i="4"/>
  <c r="F9" i="4"/>
  <c r="A9" i="4"/>
  <c r="Z9" i="4" s="1"/>
  <c r="Z18" i="4" s="1"/>
  <c r="AD8" i="4"/>
  <c r="T8" i="4"/>
  <c r="L8" i="4"/>
  <c r="F8" i="4"/>
  <c r="A8" i="4"/>
  <c r="AC8" i="4" s="1"/>
  <c r="U7" i="4"/>
  <c r="M7" i="4"/>
  <c r="A7" i="4"/>
  <c r="AD7" i="4" s="1"/>
  <c r="U6" i="4"/>
  <c r="M6" i="4"/>
  <c r="A6" i="4"/>
  <c r="AD6" i="4" s="1"/>
  <c r="AQ3" i="4"/>
  <c r="W1" i="4"/>
  <c r="V1" i="4"/>
  <c r="U1" i="4"/>
  <c r="T1" i="4"/>
  <c r="S1" i="4"/>
  <c r="R1" i="4"/>
  <c r="Q1" i="4"/>
  <c r="P1" i="4"/>
  <c r="O1" i="4"/>
  <c r="N1" i="4"/>
  <c r="M1" i="4"/>
  <c r="L1" i="4"/>
  <c r="K1" i="4"/>
  <c r="J1" i="4"/>
  <c r="I1" i="4"/>
  <c r="H1" i="4"/>
  <c r="G1" i="4"/>
  <c r="AB55" i="3"/>
  <c r="Z55" i="3"/>
  <c r="W55" i="3"/>
  <c r="V55" i="3"/>
  <c r="U55" i="3"/>
  <c r="T55" i="3"/>
  <c r="S55" i="3"/>
  <c r="R55" i="3"/>
  <c r="Q55" i="3"/>
  <c r="P55" i="3"/>
  <c r="O55" i="3"/>
  <c r="N55" i="3"/>
  <c r="M55" i="3"/>
  <c r="L55" i="3"/>
  <c r="K55" i="3"/>
  <c r="J55" i="3"/>
  <c r="I55" i="3"/>
  <c r="H55" i="3"/>
  <c r="G55" i="3"/>
  <c r="X55" i="3" s="1"/>
  <c r="AD54" i="3"/>
  <c r="AB54" i="3"/>
  <c r="Z54" i="3"/>
  <c r="W54" i="3"/>
  <c r="V54" i="3"/>
  <c r="U54" i="3"/>
  <c r="T54" i="3"/>
  <c r="S54" i="3"/>
  <c r="R54" i="3"/>
  <c r="Q54" i="3"/>
  <c r="P54" i="3"/>
  <c r="O54" i="3"/>
  <c r="N54" i="3"/>
  <c r="M54" i="3"/>
  <c r="L54" i="3"/>
  <c r="K54" i="3"/>
  <c r="J54" i="3"/>
  <c r="I54" i="3"/>
  <c r="H54" i="3"/>
  <c r="G54" i="3"/>
  <c r="X54" i="3" s="1"/>
  <c r="E54" i="3"/>
  <c r="D54" i="3"/>
  <c r="C54" i="3"/>
  <c r="B54" i="3"/>
  <c r="A54" i="3"/>
  <c r="AB53" i="3"/>
  <c r="Z53" i="3"/>
  <c r="W53" i="3"/>
  <c r="V53" i="3"/>
  <c r="U53" i="3"/>
  <c r="T53" i="3"/>
  <c r="S53" i="3"/>
  <c r="R53" i="3"/>
  <c r="Q53" i="3"/>
  <c r="P53" i="3"/>
  <c r="O53" i="3"/>
  <c r="N53" i="3"/>
  <c r="M53" i="3"/>
  <c r="L53" i="3"/>
  <c r="K53" i="3"/>
  <c r="J53" i="3"/>
  <c r="I53" i="3"/>
  <c r="H53" i="3"/>
  <c r="X53" i="3" s="1"/>
  <c r="G53" i="3"/>
  <c r="F53" i="3"/>
  <c r="E53" i="3"/>
  <c r="D53" i="3"/>
  <c r="C53" i="3"/>
  <c r="B53" i="3"/>
  <c r="A53" i="3"/>
  <c r="AD53" i="3" s="1"/>
  <c r="AD52" i="3"/>
  <c r="AB52" i="3"/>
  <c r="Z52" i="3"/>
  <c r="W52" i="3"/>
  <c r="V52" i="3"/>
  <c r="U52" i="3"/>
  <c r="T52" i="3"/>
  <c r="S52" i="3"/>
  <c r="R52" i="3"/>
  <c r="Q52" i="3"/>
  <c r="P52" i="3"/>
  <c r="O52" i="3"/>
  <c r="N52" i="3"/>
  <c r="M52" i="3"/>
  <c r="L52" i="3"/>
  <c r="K52" i="3"/>
  <c r="J52" i="3"/>
  <c r="I52" i="3"/>
  <c r="H52" i="3"/>
  <c r="G52" i="3"/>
  <c r="X52" i="3" s="1"/>
  <c r="F52" i="3"/>
  <c r="E52" i="3"/>
  <c r="D52" i="3"/>
  <c r="C52" i="3"/>
  <c r="B52" i="3"/>
  <c r="A52" i="3"/>
  <c r="AD51" i="3"/>
  <c r="AB51" i="3"/>
  <c r="Z51" i="3"/>
  <c r="W51" i="3"/>
  <c r="V51" i="3"/>
  <c r="U51" i="3"/>
  <c r="T51" i="3"/>
  <c r="S51" i="3"/>
  <c r="R51" i="3"/>
  <c r="Q51" i="3"/>
  <c r="P51" i="3"/>
  <c r="O51" i="3"/>
  <c r="N51" i="3"/>
  <c r="M51" i="3"/>
  <c r="L51" i="3"/>
  <c r="K51" i="3"/>
  <c r="J51" i="3"/>
  <c r="I51" i="3"/>
  <c r="H51" i="3"/>
  <c r="G51" i="3"/>
  <c r="X51" i="3" s="1"/>
  <c r="F51" i="3"/>
  <c r="E51" i="3"/>
  <c r="D51" i="3"/>
  <c r="C51" i="3"/>
  <c r="B51" i="3"/>
  <c r="A51" i="3"/>
  <c r="AB50" i="3"/>
  <c r="Z50" i="3"/>
  <c r="W50" i="3"/>
  <c r="V50" i="3"/>
  <c r="U50" i="3"/>
  <c r="T50" i="3"/>
  <c r="S50" i="3"/>
  <c r="R50" i="3"/>
  <c r="Q50" i="3"/>
  <c r="P50" i="3"/>
  <c r="O50" i="3"/>
  <c r="N50" i="3"/>
  <c r="M50" i="3"/>
  <c r="L50" i="3"/>
  <c r="K50" i="3"/>
  <c r="J50" i="3"/>
  <c r="I50" i="3"/>
  <c r="H50" i="3"/>
  <c r="G50" i="3"/>
  <c r="X50" i="3" s="1"/>
  <c r="F50" i="3"/>
  <c r="E50" i="3"/>
  <c r="D50" i="3"/>
  <c r="C50" i="3"/>
  <c r="B50" i="3"/>
  <c r="A50" i="3"/>
  <c r="AD50" i="3" s="1"/>
  <c r="AD49" i="3"/>
  <c r="AB49" i="3"/>
  <c r="X49" i="3" s="1"/>
  <c r="Z49" i="3"/>
  <c r="W49" i="3"/>
  <c r="V49" i="3"/>
  <c r="U49" i="3"/>
  <c r="T49" i="3"/>
  <c r="S49" i="3"/>
  <c r="R49" i="3"/>
  <c r="Q49" i="3"/>
  <c r="P49" i="3"/>
  <c r="O49" i="3"/>
  <c r="N49" i="3"/>
  <c r="M49" i="3"/>
  <c r="L49" i="3"/>
  <c r="K49" i="3"/>
  <c r="J49" i="3"/>
  <c r="I49" i="3"/>
  <c r="H49" i="3"/>
  <c r="G49" i="3"/>
  <c r="F49" i="3"/>
  <c r="E49" i="3"/>
  <c r="D49" i="3"/>
  <c r="C49" i="3"/>
  <c r="B49" i="3"/>
  <c r="A49" i="3"/>
  <c r="AB46" i="3"/>
  <c r="Z46" i="3"/>
  <c r="W46" i="3"/>
  <c r="V46" i="3"/>
  <c r="U46" i="3"/>
  <c r="T46" i="3"/>
  <c r="S46" i="3"/>
  <c r="R46" i="3"/>
  <c r="Q46" i="3"/>
  <c r="P46" i="3"/>
  <c r="O46" i="3"/>
  <c r="N46" i="3"/>
  <c r="M46" i="3"/>
  <c r="L46" i="3"/>
  <c r="K46" i="3"/>
  <c r="J46" i="3"/>
  <c r="I46" i="3"/>
  <c r="H46" i="3"/>
  <c r="X46" i="3" s="1"/>
  <c r="G46" i="3"/>
  <c r="AB45" i="3"/>
  <c r="Z45" i="3"/>
  <c r="W45" i="3"/>
  <c r="V45" i="3"/>
  <c r="U45" i="3"/>
  <c r="T45" i="3"/>
  <c r="S45" i="3"/>
  <c r="R45" i="3"/>
  <c r="Q45" i="3"/>
  <c r="P45" i="3"/>
  <c r="O45" i="3"/>
  <c r="N45" i="3"/>
  <c r="M45" i="3"/>
  <c r="L45" i="3"/>
  <c r="K45" i="3"/>
  <c r="J45" i="3"/>
  <c r="I45" i="3"/>
  <c r="H45" i="3"/>
  <c r="G45" i="3"/>
  <c r="X45" i="3" s="1"/>
  <c r="AC45" i="3" s="1"/>
  <c r="AB44" i="3"/>
  <c r="Z44" i="3"/>
  <c r="W44" i="3"/>
  <c r="V44" i="3"/>
  <c r="U44" i="3"/>
  <c r="T44" i="3"/>
  <c r="S44" i="3"/>
  <c r="R44" i="3"/>
  <c r="Q44" i="3"/>
  <c r="P44" i="3"/>
  <c r="O44" i="3"/>
  <c r="N44" i="3"/>
  <c r="M44" i="3"/>
  <c r="L44" i="3"/>
  <c r="K44" i="3"/>
  <c r="J44" i="3"/>
  <c r="I44" i="3"/>
  <c r="H44" i="3"/>
  <c r="G44" i="3"/>
  <c r="X44" i="3" s="1"/>
  <c r="AB42" i="3"/>
  <c r="Z42" i="3"/>
  <c r="W42" i="3"/>
  <c r="V42" i="3"/>
  <c r="U42" i="3"/>
  <c r="T42" i="3"/>
  <c r="S42" i="3"/>
  <c r="R42" i="3"/>
  <c r="Q42" i="3"/>
  <c r="P42" i="3"/>
  <c r="O42" i="3"/>
  <c r="N42" i="3"/>
  <c r="M42" i="3"/>
  <c r="L42" i="3"/>
  <c r="K42" i="3"/>
  <c r="J42" i="3"/>
  <c r="I42" i="3"/>
  <c r="H42" i="3"/>
  <c r="G42" i="3"/>
  <c r="X42" i="3" s="1"/>
  <c r="AB41" i="3"/>
  <c r="Z41" i="3"/>
  <c r="W41" i="3"/>
  <c r="V41" i="3"/>
  <c r="U41" i="3"/>
  <c r="T41" i="3"/>
  <c r="S41" i="3"/>
  <c r="R41" i="3"/>
  <c r="Q41" i="3"/>
  <c r="P41" i="3"/>
  <c r="O41" i="3"/>
  <c r="N41" i="3"/>
  <c r="M41" i="3"/>
  <c r="L41" i="3"/>
  <c r="K41" i="3"/>
  <c r="J41" i="3"/>
  <c r="I41" i="3"/>
  <c r="H41" i="3"/>
  <c r="X41" i="3" s="1"/>
  <c r="G41" i="3"/>
  <c r="E41" i="3"/>
  <c r="D41" i="3"/>
  <c r="C41" i="3"/>
  <c r="B41" i="3"/>
  <c r="A41" i="3"/>
  <c r="AD41" i="3" s="1"/>
  <c r="AD40" i="3"/>
  <c r="AB40" i="3"/>
  <c r="Z40" i="3"/>
  <c r="W40" i="3"/>
  <c r="V40" i="3"/>
  <c r="U40" i="3"/>
  <c r="T40" i="3"/>
  <c r="S40" i="3"/>
  <c r="R40" i="3"/>
  <c r="Q40" i="3"/>
  <c r="P40" i="3"/>
  <c r="O40" i="3"/>
  <c r="N40" i="3"/>
  <c r="M40" i="3"/>
  <c r="L40" i="3"/>
  <c r="K40" i="3"/>
  <c r="J40" i="3"/>
  <c r="I40" i="3"/>
  <c r="H40" i="3"/>
  <c r="G40" i="3"/>
  <c r="X40" i="3" s="1"/>
  <c r="F40" i="3"/>
  <c r="E40" i="3"/>
  <c r="D40" i="3"/>
  <c r="C40" i="3"/>
  <c r="B40" i="3"/>
  <c r="A40" i="3"/>
  <c r="AB39" i="3"/>
  <c r="Z39" i="3"/>
  <c r="W39" i="3"/>
  <c r="V39" i="3"/>
  <c r="U39" i="3"/>
  <c r="T39" i="3"/>
  <c r="S39" i="3"/>
  <c r="R39" i="3"/>
  <c r="Q39" i="3"/>
  <c r="P39" i="3"/>
  <c r="O39" i="3"/>
  <c r="N39" i="3"/>
  <c r="M39" i="3"/>
  <c r="L39" i="3"/>
  <c r="K39" i="3"/>
  <c r="J39" i="3"/>
  <c r="I39" i="3"/>
  <c r="H39" i="3"/>
  <c r="G39" i="3"/>
  <c r="X39" i="3" s="1"/>
  <c r="F39" i="3"/>
  <c r="E39" i="3"/>
  <c r="D39" i="3"/>
  <c r="C39" i="3"/>
  <c r="B39" i="3"/>
  <c r="A39" i="3"/>
  <c r="AD39" i="3" s="1"/>
  <c r="AB38" i="3"/>
  <c r="Z38" i="3"/>
  <c r="W38" i="3"/>
  <c r="V38" i="3"/>
  <c r="U38" i="3"/>
  <c r="T38" i="3"/>
  <c r="S38" i="3"/>
  <c r="R38" i="3"/>
  <c r="Q38" i="3"/>
  <c r="P38" i="3"/>
  <c r="O38" i="3"/>
  <c r="N38" i="3"/>
  <c r="M38" i="3"/>
  <c r="L38" i="3"/>
  <c r="K38" i="3"/>
  <c r="J38" i="3"/>
  <c r="I38" i="3"/>
  <c r="H38" i="3"/>
  <c r="G38" i="3"/>
  <c r="X38" i="3" s="1"/>
  <c r="F38" i="3"/>
  <c r="E38" i="3"/>
  <c r="D38" i="3"/>
  <c r="C38" i="3"/>
  <c r="B38" i="3"/>
  <c r="A38" i="3"/>
  <c r="AD38" i="3" s="1"/>
  <c r="AD37" i="3"/>
  <c r="AB37" i="3"/>
  <c r="Z37" i="3"/>
  <c r="W37" i="3"/>
  <c r="V37" i="3"/>
  <c r="U37" i="3"/>
  <c r="T37" i="3"/>
  <c r="S37" i="3"/>
  <c r="R37" i="3"/>
  <c r="Q37" i="3"/>
  <c r="P37" i="3"/>
  <c r="O37" i="3"/>
  <c r="N37" i="3"/>
  <c r="M37" i="3"/>
  <c r="L37" i="3"/>
  <c r="K37" i="3"/>
  <c r="J37" i="3"/>
  <c r="I37" i="3"/>
  <c r="H37" i="3"/>
  <c r="G37" i="3"/>
  <c r="X37" i="3" s="1"/>
  <c r="F37" i="3"/>
  <c r="E37" i="3"/>
  <c r="D37" i="3"/>
  <c r="C37" i="3"/>
  <c r="B37" i="3"/>
  <c r="A37" i="3"/>
  <c r="AB36" i="3"/>
  <c r="Z36" i="3"/>
  <c r="X36" i="3"/>
  <c r="AC36" i="3" s="1"/>
  <c r="W36" i="3"/>
  <c r="V36" i="3"/>
  <c r="U36" i="3"/>
  <c r="T36" i="3"/>
  <c r="S36" i="3"/>
  <c r="R36" i="3"/>
  <c r="Q36" i="3"/>
  <c r="P36" i="3"/>
  <c r="O36" i="3"/>
  <c r="N36" i="3"/>
  <c r="M36" i="3"/>
  <c r="L36" i="3"/>
  <c r="K36" i="3"/>
  <c r="J36" i="3"/>
  <c r="I36" i="3"/>
  <c r="H36" i="3"/>
  <c r="G36" i="3"/>
  <c r="F36" i="3"/>
  <c r="E36" i="3"/>
  <c r="D36" i="3"/>
  <c r="C36" i="3"/>
  <c r="B36" i="3"/>
  <c r="A36" i="3"/>
  <c r="AD36" i="3" s="1"/>
  <c r="AD35" i="3"/>
  <c r="AB35" i="3"/>
  <c r="Z35" i="3"/>
  <c r="W35" i="3"/>
  <c r="V35" i="3"/>
  <c r="U35" i="3"/>
  <c r="T35" i="3"/>
  <c r="S35" i="3"/>
  <c r="R35" i="3"/>
  <c r="Q35" i="3"/>
  <c r="P35" i="3"/>
  <c r="O35" i="3"/>
  <c r="N35" i="3"/>
  <c r="M35" i="3"/>
  <c r="L35" i="3"/>
  <c r="K35" i="3"/>
  <c r="J35" i="3"/>
  <c r="I35" i="3"/>
  <c r="H35" i="3"/>
  <c r="G35" i="3"/>
  <c r="X35" i="3" s="1"/>
  <c r="F35" i="3"/>
  <c r="E35" i="3"/>
  <c r="D35" i="3"/>
  <c r="C35" i="3"/>
  <c r="B35" i="3"/>
  <c r="A35" i="3"/>
  <c r="AB34" i="3"/>
  <c r="Z34" i="3"/>
  <c r="W34" i="3"/>
  <c r="V34" i="3"/>
  <c r="U34" i="3"/>
  <c r="T34" i="3"/>
  <c r="S34" i="3"/>
  <c r="R34" i="3"/>
  <c r="Q34" i="3"/>
  <c r="P34" i="3"/>
  <c r="O34" i="3"/>
  <c r="N34" i="3"/>
  <c r="M34" i="3"/>
  <c r="L34" i="3"/>
  <c r="K34" i="3"/>
  <c r="J34" i="3"/>
  <c r="I34" i="3"/>
  <c r="H34" i="3"/>
  <c r="G34" i="3"/>
  <c r="X34" i="3" s="1"/>
  <c r="F34" i="3"/>
  <c r="E34" i="3"/>
  <c r="D34" i="3"/>
  <c r="C34" i="3"/>
  <c r="B34" i="3"/>
  <c r="A34" i="3"/>
  <c r="AD34" i="3" s="1"/>
  <c r="AB33" i="3"/>
  <c r="Z33" i="3"/>
  <c r="W33" i="3"/>
  <c r="V33" i="3"/>
  <c r="U33" i="3"/>
  <c r="T33" i="3"/>
  <c r="S33" i="3"/>
  <c r="R33" i="3"/>
  <c r="Q33" i="3"/>
  <c r="P33" i="3"/>
  <c r="O33" i="3"/>
  <c r="N33" i="3"/>
  <c r="M33" i="3"/>
  <c r="L33" i="3"/>
  <c r="K33" i="3"/>
  <c r="J33" i="3"/>
  <c r="I33" i="3"/>
  <c r="H33" i="3"/>
  <c r="G33" i="3"/>
  <c r="X33" i="3" s="1"/>
  <c r="F33" i="3"/>
  <c r="E33" i="3"/>
  <c r="D33" i="3"/>
  <c r="C33" i="3"/>
  <c r="B33" i="3"/>
  <c r="A33" i="3"/>
  <c r="AD33" i="3" s="1"/>
  <c r="AD32" i="3"/>
  <c r="AB32" i="3"/>
  <c r="Z32" i="3"/>
  <c r="W32" i="3"/>
  <c r="V32" i="3"/>
  <c r="U32" i="3"/>
  <c r="T32" i="3"/>
  <c r="S32" i="3"/>
  <c r="R32" i="3"/>
  <c r="Q32" i="3"/>
  <c r="P32" i="3"/>
  <c r="O32" i="3"/>
  <c r="N32" i="3"/>
  <c r="M32" i="3"/>
  <c r="L32" i="3"/>
  <c r="K32" i="3"/>
  <c r="J32" i="3"/>
  <c r="I32" i="3"/>
  <c r="H32" i="3"/>
  <c r="G32" i="3"/>
  <c r="X32" i="3" s="1"/>
  <c r="F32" i="3"/>
  <c r="D32" i="3"/>
  <c r="C32" i="3"/>
  <c r="B32" i="3"/>
  <c r="A32" i="3"/>
  <c r="AB31" i="3"/>
  <c r="Z31" i="3"/>
  <c r="W31" i="3"/>
  <c r="V31" i="3"/>
  <c r="U31" i="3"/>
  <c r="T31" i="3"/>
  <c r="S31" i="3"/>
  <c r="R31" i="3"/>
  <c r="Q31" i="3"/>
  <c r="P31" i="3"/>
  <c r="O31" i="3"/>
  <c r="N31" i="3"/>
  <c r="M31" i="3"/>
  <c r="L31" i="3"/>
  <c r="K31" i="3"/>
  <c r="J31" i="3"/>
  <c r="I31" i="3"/>
  <c r="H31" i="3"/>
  <c r="X31" i="3" s="1"/>
  <c r="G31" i="3"/>
  <c r="F31" i="3"/>
  <c r="D31" i="3"/>
  <c r="C31" i="3"/>
  <c r="B31" i="3"/>
  <c r="A31" i="3"/>
  <c r="AD31" i="3" s="1"/>
  <c r="AD30" i="3"/>
  <c r="AB30" i="3"/>
  <c r="Z30" i="3"/>
  <c r="W30" i="3"/>
  <c r="V30" i="3"/>
  <c r="U30" i="3"/>
  <c r="T30" i="3"/>
  <c r="S30" i="3"/>
  <c r="R30" i="3"/>
  <c r="Q30" i="3"/>
  <c r="P30" i="3"/>
  <c r="O30" i="3"/>
  <c r="N30" i="3"/>
  <c r="M30" i="3"/>
  <c r="L30" i="3"/>
  <c r="K30" i="3"/>
  <c r="J30" i="3"/>
  <c r="I30" i="3"/>
  <c r="H30" i="3"/>
  <c r="G30" i="3"/>
  <c r="X30" i="3" s="1"/>
  <c r="F30" i="3"/>
  <c r="E30" i="3"/>
  <c r="D30" i="3"/>
  <c r="C30" i="3"/>
  <c r="B30" i="3"/>
  <c r="A30" i="3"/>
  <c r="AB29" i="3"/>
  <c r="Z29" i="3"/>
  <c r="W29" i="3"/>
  <c r="V29" i="3"/>
  <c r="U29" i="3"/>
  <c r="T29" i="3"/>
  <c r="S29" i="3"/>
  <c r="R29" i="3"/>
  <c r="Q29" i="3"/>
  <c r="P29" i="3"/>
  <c r="O29" i="3"/>
  <c r="N29" i="3"/>
  <c r="M29" i="3"/>
  <c r="L29" i="3"/>
  <c r="K29" i="3"/>
  <c r="J29" i="3"/>
  <c r="I29" i="3"/>
  <c r="H29" i="3"/>
  <c r="G29" i="3"/>
  <c r="X29" i="3" s="1"/>
  <c r="F29" i="3"/>
  <c r="E29" i="3"/>
  <c r="D29" i="3"/>
  <c r="C29" i="3"/>
  <c r="B29" i="3"/>
  <c r="A29" i="3"/>
  <c r="AD29" i="3" s="1"/>
  <c r="AB28" i="3"/>
  <c r="Z28" i="3"/>
  <c r="W28" i="3"/>
  <c r="V28" i="3"/>
  <c r="U28" i="3"/>
  <c r="T28" i="3"/>
  <c r="S28" i="3"/>
  <c r="R28" i="3"/>
  <c r="Q28" i="3"/>
  <c r="P28" i="3"/>
  <c r="O28" i="3"/>
  <c r="N28" i="3"/>
  <c r="M28" i="3"/>
  <c r="L28" i="3"/>
  <c r="K28" i="3"/>
  <c r="J28" i="3"/>
  <c r="I28" i="3"/>
  <c r="H28" i="3"/>
  <c r="G28" i="3"/>
  <c r="X28" i="3" s="1"/>
  <c r="F28" i="3"/>
  <c r="E28" i="3"/>
  <c r="D28" i="3"/>
  <c r="C28" i="3"/>
  <c r="B28" i="3"/>
  <c r="A28" i="3"/>
  <c r="AD28" i="3" s="1"/>
  <c r="AD27" i="3"/>
  <c r="AB27" i="3"/>
  <c r="Z27" i="3"/>
  <c r="W27" i="3"/>
  <c r="V27" i="3"/>
  <c r="U27" i="3"/>
  <c r="T27" i="3"/>
  <c r="S27" i="3"/>
  <c r="R27" i="3"/>
  <c r="Q27" i="3"/>
  <c r="P27" i="3"/>
  <c r="O27" i="3"/>
  <c r="N27" i="3"/>
  <c r="M27" i="3"/>
  <c r="L27" i="3"/>
  <c r="K27" i="3"/>
  <c r="J27" i="3"/>
  <c r="I27" i="3"/>
  <c r="H27" i="3"/>
  <c r="G27" i="3"/>
  <c r="X27" i="3" s="1"/>
  <c r="F27" i="3"/>
  <c r="E27" i="3"/>
  <c r="D27" i="3"/>
  <c r="C27" i="3"/>
  <c r="B27" i="3"/>
  <c r="A27" i="3"/>
  <c r="AB26" i="3"/>
  <c r="Z26" i="3"/>
  <c r="X26" i="3"/>
  <c r="Y26" i="3" s="1"/>
  <c r="W26" i="3"/>
  <c r="V26" i="3"/>
  <c r="U26" i="3"/>
  <c r="T26" i="3"/>
  <c r="S26" i="3"/>
  <c r="R26" i="3"/>
  <c r="Q26" i="3"/>
  <c r="P26" i="3"/>
  <c r="O26" i="3"/>
  <c r="N26" i="3"/>
  <c r="M26" i="3"/>
  <c r="L26" i="3"/>
  <c r="K26" i="3"/>
  <c r="J26" i="3"/>
  <c r="I26" i="3"/>
  <c r="H26" i="3"/>
  <c r="G26" i="3"/>
  <c r="F26" i="3"/>
  <c r="E26" i="3"/>
  <c r="D26" i="3"/>
  <c r="C26" i="3"/>
  <c r="B26" i="3"/>
  <c r="A26" i="3"/>
  <c r="AD26" i="3" s="1"/>
  <c r="AD25" i="3"/>
  <c r="AB25" i="3"/>
  <c r="Z25" i="3"/>
  <c r="W25" i="3"/>
  <c r="V25" i="3"/>
  <c r="U25" i="3"/>
  <c r="T25" i="3"/>
  <c r="S25" i="3"/>
  <c r="R25" i="3"/>
  <c r="Q25" i="3"/>
  <c r="P25" i="3"/>
  <c r="O25" i="3"/>
  <c r="N25" i="3"/>
  <c r="M25" i="3"/>
  <c r="L25" i="3"/>
  <c r="K25" i="3"/>
  <c r="J25" i="3"/>
  <c r="I25" i="3"/>
  <c r="H25" i="3"/>
  <c r="G25" i="3"/>
  <c r="X25" i="3" s="1"/>
  <c r="F25" i="3"/>
  <c r="D25" i="3"/>
  <c r="C25" i="3"/>
  <c r="B25" i="3"/>
  <c r="A25" i="3"/>
  <c r="AB24" i="3"/>
  <c r="Z24" i="3"/>
  <c r="W24" i="3"/>
  <c r="V24" i="3"/>
  <c r="U24" i="3"/>
  <c r="T24" i="3"/>
  <c r="S24" i="3"/>
  <c r="R24" i="3"/>
  <c r="Q24" i="3"/>
  <c r="P24" i="3"/>
  <c r="O24" i="3"/>
  <c r="N24" i="3"/>
  <c r="M24" i="3"/>
  <c r="L24" i="3"/>
  <c r="K24" i="3"/>
  <c r="J24" i="3"/>
  <c r="I24" i="3"/>
  <c r="H24" i="3"/>
  <c r="G24" i="3"/>
  <c r="X24" i="3" s="1"/>
  <c r="F24" i="3"/>
  <c r="E24" i="3"/>
  <c r="D24" i="3"/>
  <c r="C24" i="3"/>
  <c r="B24" i="3"/>
  <c r="A24" i="3"/>
  <c r="AD24" i="3" s="1"/>
  <c r="AB23" i="3"/>
  <c r="Z23" i="3"/>
  <c r="W23" i="3"/>
  <c r="V23" i="3"/>
  <c r="U23" i="3"/>
  <c r="T23" i="3"/>
  <c r="S23" i="3"/>
  <c r="R23" i="3"/>
  <c r="Q23" i="3"/>
  <c r="P23" i="3"/>
  <c r="O23" i="3"/>
  <c r="N23" i="3"/>
  <c r="M23" i="3"/>
  <c r="L23" i="3"/>
  <c r="K23" i="3"/>
  <c r="J23" i="3"/>
  <c r="I23" i="3"/>
  <c r="H23" i="3"/>
  <c r="G23" i="3"/>
  <c r="X23" i="3" s="1"/>
  <c r="F23" i="3"/>
  <c r="E23" i="3"/>
  <c r="D23" i="3"/>
  <c r="C23" i="3"/>
  <c r="B23" i="3"/>
  <c r="A23" i="3"/>
  <c r="AD23" i="3" s="1"/>
  <c r="AB22" i="3"/>
  <c r="Z22" i="3"/>
  <c r="W22" i="3"/>
  <c r="V22" i="3"/>
  <c r="U22" i="3"/>
  <c r="T22" i="3"/>
  <c r="S22" i="3"/>
  <c r="R22" i="3"/>
  <c r="Q22" i="3"/>
  <c r="P22" i="3"/>
  <c r="O22" i="3"/>
  <c r="N22" i="3"/>
  <c r="M22" i="3"/>
  <c r="L22" i="3"/>
  <c r="K22" i="3"/>
  <c r="J22" i="3"/>
  <c r="I22" i="3"/>
  <c r="H22" i="3"/>
  <c r="G22" i="3"/>
  <c r="X22" i="3" s="1"/>
  <c r="F22" i="3"/>
  <c r="E22" i="3"/>
  <c r="D22" i="3"/>
  <c r="C22" i="3"/>
  <c r="B22" i="3"/>
  <c r="A22" i="3"/>
  <c r="AD22" i="3" s="1"/>
  <c r="AB21" i="3"/>
  <c r="Z21" i="3"/>
  <c r="W21" i="3"/>
  <c r="V21" i="3"/>
  <c r="U21" i="3"/>
  <c r="T21" i="3"/>
  <c r="S21" i="3"/>
  <c r="R21" i="3"/>
  <c r="Q21" i="3"/>
  <c r="P21" i="3"/>
  <c r="O21" i="3"/>
  <c r="N21" i="3"/>
  <c r="M21" i="3"/>
  <c r="L21" i="3"/>
  <c r="K21" i="3"/>
  <c r="J21" i="3"/>
  <c r="I21" i="3"/>
  <c r="H21" i="3"/>
  <c r="X21" i="3" s="1"/>
  <c r="G21" i="3"/>
  <c r="F21" i="3"/>
  <c r="E21" i="3"/>
  <c r="D21" i="3"/>
  <c r="C21" i="3"/>
  <c r="B21" i="3"/>
  <c r="A21" i="3"/>
  <c r="AD21" i="3" s="1"/>
  <c r="AD20" i="3"/>
  <c r="AB20" i="3"/>
  <c r="Z20" i="3"/>
  <c r="W20" i="3"/>
  <c r="V20" i="3"/>
  <c r="U20" i="3"/>
  <c r="T20" i="3"/>
  <c r="S20" i="3"/>
  <c r="R20" i="3"/>
  <c r="Q20" i="3"/>
  <c r="P20" i="3"/>
  <c r="O20" i="3"/>
  <c r="N20" i="3"/>
  <c r="M20" i="3"/>
  <c r="L20" i="3"/>
  <c r="K20" i="3"/>
  <c r="J20" i="3"/>
  <c r="I20" i="3"/>
  <c r="H20" i="3"/>
  <c r="X20" i="3" s="1"/>
  <c r="G20" i="3"/>
  <c r="F20" i="3"/>
  <c r="E20" i="3"/>
  <c r="D20" i="3"/>
  <c r="C20" i="3"/>
  <c r="B20" i="3"/>
  <c r="A20" i="3"/>
  <c r="AB18" i="3"/>
  <c r="Z18" i="3"/>
  <c r="Y18" i="3"/>
  <c r="W18" i="3"/>
  <c r="V18" i="3"/>
  <c r="U18" i="3"/>
  <c r="T18" i="3"/>
  <c r="S18" i="3"/>
  <c r="R18" i="3"/>
  <c r="Q18" i="3"/>
  <c r="P18" i="3"/>
  <c r="O18" i="3"/>
  <c r="N18" i="3"/>
  <c r="M18" i="3"/>
  <c r="L18" i="3"/>
  <c r="K18" i="3"/>
  <c r="J18" i="3"/>
  <c r="I18" i="3"/>
  <c r="H18" i="3"/>
  <c r="G18" i="3"/>
  <c r="X18" i="3" s="1"/>
  <c r="AC18" i="3" s="1"/>
  <c r="AD17" i="3"/>
  <c r="AB17" i="3"/>
  <c r="AC17" i="3" s="1"/>
  <c r="Z17" i="3"/>
  <c r="E17" i="3"/>
  <c r="D17" i="3"/>
  <c r="C17" i="3"/>
  <c r="B17" i="3"/>
  <c r="AB16" i="3"/>
  <c r="Z16" i="3"/>
  <c r="W16" i="3"/>
  <c r="V16" i="3"/>
  <c r="U16" i="3"/>
  <c r="T16" i="3"/>
  <c r="S16" i="3"/>
  <c r="R16" i="3"/>
  <c r="Q16" i="3"/>
  <c r="P16" i="3"/>
  <c r="O16" i="3"/>
  <c r="N16" i="3"/>
  <c r="M16" i="3"/>
  <c r="L16" i="3"/>
  <c r="K16" i="3"/>
  <c r="J16" i="3"/>
  <c r="I16" i="3"/>
  <c r="H16" i="3"/>
  <c r="X16" i="3" s="1"/>
  <c r="G16" i="3"/>
  <c r="E16" i="3"/>
  <c r="D16" i="3"/>
  <c r="C16" i="3"/>
  <c r="B16" i="3"/>
  <c r="A16" i="3"/>
  <c r="AD16" i="3" s="1"/>
  <c r="AD15" i="3"/>
  <c r="AB15" i="3"/>
  <c r="Z15" i="3"/>
  <c r="W15" i="3"/>
  <c r="V15" i="3"/>
  <c r="U15" i="3"/>
  <c r="T15" i="3"/>
  <c r="S15" i="3"/>
  <c r="R15" i="3"/>
  <c r="Q15" i="3"/>
  <c r="P15" i="3"/>
  <c r="O15" i="3"/>
  <c r="N15" i="3"/>
  <c r="M15" i="3"/>
  <c r="L15" i="3"/>
  <c r="K15" i="3"/>
  <c r="J15" i="3"/>
  <c r="I15" i="3"/>
  <c r="H15" i="3"/>
  <c r="G15" i="3"/>
  <c r="X15" i="3" s="1"/>
  <c r="E15" i="3"/>
  <c r="D15" i="3"/>
  <c r="C15" i="3"/>
  <c r="B15" i="3"/>
  <c r="A15" i="3"/>
  <c r="AB14" i="3"/>
  <c r="Z14" i="3"/>
  <c r="W14" i="3"/>
  <c r="V14" i="3"/>
  <c r="U14" i="3"/>
  <c r="T14" i="3"/>
  <c r="S14" i="3"/>
  <c r="R14" i="3"/>
  <c r="Q14" i="3"/>
  <c r="P14" i="3"/>
  <c r="O14" i="3"/>
  <c r="N14" i="3"/>
  <c r="M14" i="3"/>
  <c r="L14" i="3"/>
  <c r="K14" i="3"/>
  <c r="J14" i="3"/>
  <c r="I14" i="3"/>
  <c r="H14" i="3"/>
  <c r="X14" i="3" s="1"/>
  <c r="G14" i="3"/>
  <c r="F14" i="3"/>
  <c r="E14" i="3"/>
  <c r="D14" i="3"/>
  <c r="C14" i="3"/>
  <c r="B14" i="3"/>
  <c r="A14" i="3"/>
  <c r="AD14" i="3" s="1"/>
  <c r="AD13" i="3"/>
  <c r="AB13" i="3"/>
  <c r="Z13" i="3"/>
  <c r="W13" i="3"/>
  <c r="V13" i="3"/>
  <c r="U13" i="3"/>
  <c r="T13" i="3"/>
  <c r="S13" i="3"/>
  <c r="R13" i="3"/>
  <c r="Q13" i="3"/>
  <c r="P13" i="3"/>
  <c r="O13" i="3"/>
  <c r="N13" i="3"/>
  <c r="M13" i="3"/>
  <c r="L13" i="3"/>
  <c r="K13" i="3"/>
  <c r="J13" i="3"/>
  <c r="I13" i="3"/>
  <c r="H13" i="3"/>
  <c r="G13" i="3"/>
  <c r="X13" i="3" s="1"/>
  <c r="F13" i="3"/>
  <c r="E13" i="3"/>
  <c r="D13" i="3"/>
  <c r="C13" i="3"/>
  <c r="B13" i="3"/>
  <c r="A13" i="3"/>
  <c r="AB12" i="3"/>
  <c r="Z12" i="3"/>
  <c r="W12" i="3"/>
  <c r="V12" i="3"/>
  <c r="U12" i="3"/>
  <c r="T12" i="3"/>
  <c r="S12" i="3"/>
  <c r="R12" i="3"/>
  <c r="Q12" i="3"/>
  <c r="P12" i="3"/>
  <c r="O12" i="3"/>
  <c r="N12" i="3"/>
  <c r="M12" i="3"/>
  <c r="L12" i="3"/>
  <c r="K12" i="3"/>
  <c r="J12" i="3"/>
  <c r="I12" i="3"/>
  <c r="H12" i="3"/>
  <c r="X12" i="3" s="1"/>
  <c r="G12" i="3"/>
  <c r="F12" i="3"/>
  <c r="E12" i="3"/>
  <c r="D12" i="3"/>
  <c r="C12" i="3"/>
  <c r="B12" i="3"/>
  <c r="A12" i="3"/>
  <c r="AD12" i="3" s="1"/>
  <c r="AB11" i="3"/>
  <c r="Z11" i="3"/>
  <c r="W11" i="3"/>
  <c r="V11" i="3"/>
  <c r="U11" i="3"/>
  <c r="T11" i="3"/>
  <c r="S11" i="3"/>
  <c r="R11" i="3"/>
  <c r="Q11" i="3"/>
  <c r="P11" i="3"/>
  <c r="O11" i="3"/>
  <c r="N11" i="3"/>
  <c r="M11" i="3"/>
  <c r="L11" i="3"/>
  <c r="K11" i="3"/>
  <c r="J11" i="3"/>
  <c r="I11" i="3"/>
  <c r="H11" i="3"/>
  <c r="G11" i="3"/>
  <c r="X11" i="3" s="1"/>
  <c r="F11" i="3"/>
  <c r="E11" i="3"/>
  <c r="D11" i="3"/>
  <c r="C11" i="3"/>
  <c r="B11" i="3"/>
  <c r="A11" i="3"/>
  <c r="AD11" i="3" s="1"/>
  <c r="AD10" i="3"/>
  <c r="AB10" i="3"/>
  <c r="Z10" i="3"/>
  <c r="W10" i="3"/>
  <c r="V10" i="3"/>
  <c r="U10" i="3"/>
  <c r="T10" i="3"/>
  <c r="S10" i="3"/>
  <c r="R10" i="3"/>
  <c r="Q10" i="3"/>
  <c r="P10" i="3"/>
  <c r="O10" i="3"/>
  <c r="N10" i="3"/>
  <c r="M10" i="3"/>
  <c r="L10" i="3"/>
  <c r="K10" i="3"/>
  <c r="J10" i="3"/>
  <c r="I10" i="3"/>
  <c r="H10" i="3"/>
  <c r="G10" i="3"/>
  <c r="X10" i="3" s="1"/>
  <c r="F10" i="3"/>
  <c r="E10" i="3"/>
  <c r="D10" i="3"/>
  <c r="C10" i="3"/>
  <c r="B10" i="3"/>
  <c r="A10" i="3"/>
  <c r="AB9" i="3"/>
  <c r="Z9" i="3"/>
  <c r="W9" i="3"/>
  <c r="V9" i="3"/>
  <c r="U9" i="3"/>
  <c r="T9" i="3"/>
  <c r="S9" i="3"/>
  <c r="R9" i="3"/>
  <c r="Q9" i="3"/>
  <c r="P9" i="3"/>
  <c r="O9" i="3"/>
  <c r="N9" i="3"/>
  <c r="M9" i="3"/>
  <c r="L9" i="3"/>
  <c r="K9" i="3"/>
  <c r="J9" i="3"/>
  <c r="I9" i="3"/>
  <c r="H9" i="3"/>
  <c r="G9" i="3"/>
  <c r="X9" i="3" s="1"/>
  <c r="F9" i="3"/>
  <c r="E9" i="3"/>
  <c r="D9" i="3"/>
  <c r="C9" i="3"/>
  <c r="B9" i="3"/>
  <c r="A9" i="3"/>
  <c r="AD9" i="3" s="1"/>
  <c r="AB8" i="3"/>
  <c r="Z8" i="3"/>
  <c r="W8" i="3"/>
  <c r="V8" i="3"/>
  <c r="U8" i="3"/>
  <c r="T8" i="3"/>
  <c r="S8" i="3"/>
  <c r="R8" i="3"/>
  <c r="Q8" i="3"/>
  <c r="P8" i="3"/>
  <c r="O8" i="3"/>
  <c r="N8" i="3"/>
  <c r="M8" i="3"/>
  <c r="L8" i="3"/>
  <c r="K8" i="3"/>
  <c r="J8" i="3"/>
  <c r="I8" i="3"/>
  <c r="H8" i="3"/>
  <c r="G8" i="3"/>
  <c r="X8" i="3" s="1"/>
  <c r="F8" i="3"/>
  <c r="E8" i="3"/>
  <c r="D8" i="3"/>
  <c r="C8" i="3"/>
  <c r="B8" i="3"/>
  <c r="A8" i="3"/>
  <c r="AD8" i="3" s="1"/>
  <c r="AB7" i="3"/>
  <c r="Z7" i="3"/>
  <c r="W7" i="3"/>
  <c r="V7" i="3"/>
  <c r="U7" i="3"/>
  <c r="T7" i="3"/>
  <c r="S7" i="3"/>
  <c r="R7" i="3"/>
  <c r="Q7" i="3"/>
  <c r="P7" i="3"/>
  <c r="O7" i="3"/>
  <c r="N7" i="3"/>
  <c r="M7" i="3"/>
  <c r="L7" i="3"/>
  <c r="K7" i="3"/>
  <c r="J7" i="3"/>
  <c r="I7" i="3"/>
  <c r="H7" i="3"/>
  <c r="G7" i="3"/>
  <c r="X7" i="3" s="1"/>
  <c r="F7" i="3"/>
  <c r="E7" i="3"/>
  <c r="A7" i="3"/>
  <c r="AD7" i="3" s="1"/>
  <c r="AD6" i="3"/>
  <c r="AB6" i="3"/>
  <c r="Z6" i="3"/>
  <c r="W6" i="3"/>
  <c r="V6" i="3"/>
  <c r="U6" i="3"/>
  <c r="T6" i="3"/>
  <c r="S6" i="3"/>
  <c r="R6" i="3"/>
  <c r="Q6" i="3"/>
  <c r="P6" i="3"/>
  <c r="O6" i="3"/>
  <c r="N6" i="3"/>
  <c r="M6" i="3"/>
  <c r="L6" i="3"/>
  <c r="K6" i="3"/>
  <c r="J6" i="3"/>
  <c r="I6" i="3"/>
  <c r="H6" i="3"/>
  <c r="G6" i="3"/>
  <c r="X6" i="3" s="1"/>
  <c r="F6" i="3"/>
  <c r="E6" i="3"/>
  <c r="A6" i="3"/>
  <c r="V4" i="3"/>
  <c r="U4" i="3"/>
  <c r="T4" i="3"/>
  <c r="S4" i="3"/>
  <c r="R4" i="3"/>
  <c r="Q4" i="3"/>
  <c r="P4" i="3"/>
  <c r="O4" i="3"/>
  <c r="N4" i="3"/>
  <c r="M4" i="3"/>
  <c r="L4" i="3"/>
  <c r="K4" i="3"/>
  <c r="J4" i="3"/>
  <c r="I4" i="3"/>
  <c r="H4" i="3"/>
  <c r="G4" i="3"/>
  <c r="W3" i="3"/>
  <c r="V3" i="3"/>
  <c r="T3" i="3"/>
  <c r="P3" i="3"/>
  <c r="N3" i="3"/>
  <c r="J3" i="3"/>
  <c r="H3" i="3"/>
  <c r="AI24" i="4" l="1"/>
  <c r="AJ24" i="4" s="1"/>
  <c r="AG24" i="4"/>
  <c r="AG20" i="4"/>
  <c r="K18" i="4"/>
  <c r="AF31" i="4"/>
  <c r="S18" i="4"/>
  <c r="AF37" i="4"/>
  <c r="N7" i="4"/>
  <c r="G25" i="4"/>
  <c r="O25" i="4"/>
  <c r="W25" i="4"/>
  <c r="W42" i="4" s="1"/>
  <c r="V27" i="4"/>
  <c r="U27" i="4"/>
  <c r="W27" i="4"/>
  <c r="AJ23" i="4"/>
  <c r="H25" i="4"/>
  <c r="P25" i="4"/>
  <c r="X25" i="4"/>
  <c r="N27" i="4"/>
  <c r="X27" i="4"/>
  <c r="AF27" i="4" s="1"/>
  <c r="Y28" i="4"/>
  <c r="Q28" i="4"/>
  <c r="I28" i="4"/>
  <c r="X28" i="4"/>
  <c r="AF28" i="4" s="1"/>
  <c r="P28" i="4"/>
  <c r="H28" i="4"/>
  <c r="O28" i="4"/>
  <c r="AC28" i="4"/>
  <c r="AH28" i="4" s="1"/>
  <c r="R33" i="4"/>
  <c r="AI35" i="4"/>
  <c r="AJ35" i="4" s="1"/>
  <c r="P37" i="4"/>
  <c r="H38" i="4"/>
  <c r="R38" i="4"/>
  <c r="AD38" i="4"/>
  <c r="Y41" i="4"/>
  <c r="Q41" i="4"/>
  <c r="I41" i="4"/>
  <c r="X41" i="4"/>
  <c r="P41" i="4"/>
  <c r="H41" i="4"/>
  <c r="S41" i="4"/>
  <c r="K41" i="4"/>
  <c r="T41" i="4"/>
  <c r="Y55" i="4"/>
  <c r="Y52" i="4"/>
  <c r="Q52" i="4"/>
  <c r="I52" i="4"/>
  <c r="X52" i="4"/>
  <c r="AF52" i="4" s="1"/>
  <c r="P52" i="4"/>
  <c r="H52" i="4"/>
  <c r="W52" i="4"/>
  <c r="O52" i="4"/>
  <c r="G52" i="4"/>
  <c r="V52" i="4"/>
  <c r="N52" i="4"/>
  <c r="AD52" i="4"/>
  <c r="T52" i="4"/>
  <c r="L52" i="4"/>
  <c r="AC52" i="4"/>
  <c r="S52" i="4"/>
  <c r="K52" i="4"/>
  <c r="AF54" i="4"/>
  <c r="X33" i="4"/>
  <c r="AF33" i="4" s="1"/>
  <c r="P33" i="4"/>
  <c r="H33" i="4"/>
  <c r="W33" i="4"/>
  <c r="O33" i="4"/>
  <c r="G33" i="4"/>
  <c r="Q33" i="4"/>
  <c r="AC33" i="4"/>
  <c r="AH33" i="4" s="1"/>
  <c r="AD37" i="4"/>
  <c r="T37" i="4"/>
  <c r="L37" i="4"/>
  <c r="AC37" i="4"/>
  <c r="AH37" i="4" s="1"/>
  <c r="S37" i="4"/>
  <c r="K37" i="4"/>
  <c r="O37" i="4"/>
  <c r="Y37" i="4"/>
  <c r="Q38" i="4"/>
  <c r="AC38" i="4"/>
  <c r="AH38" i="4" s="1"/>
  <c r="P6" i="4"/>
  <c r="X6" i="4"/>
  <c r="P7" i="4"/>
  <c r="X7" i="4"/>
  <c r="G8" i="4"/>
  <c r="O8" i="4"/>
  <c r="W8" i="4"/>
  <c r="N9" i="4"/>
  <c r="V9" i="4"/>
  <c r="V18" i="4" s="1"/>
  <c r="N13" i="4"/>
  <c r="N15" i="4"/>
  <c r="V15" i="4"/>
  <c r="M20" i="4"/>
  <c r="U20" i="4"/>
  <c r="M24" i="4"/>
  <c r="U24" i="4"/>
  <c r="I25" i="4"/>
  <c r="I42" i="4" s="1"/>
  <c r="Q25" i="4"/>
  <c r="Y25" i="4"/>
  <c r="Y46" i="4" s="1"/>
  <c r="L26" i="4"/>
  <c r="T26" i="4"/>
  <c r="AD26" i="4"/>
  <c r="G27" i="4"/>
  <c r="O27" i="4"/>
  <c r="Y27" i="4"/>
  <c r="R28" i="4"/>
  <c r="AD28" i="4"/>
  <c r="N31" i="4"/>
  <c r="I33" i="4"/>
  <c r="S33" i="4"/>
  <c r="N36" i="4"/>
  <c r="G37" i="4"/>
  <c r="Q37" i="4"/>
  <c r="I38" i="4"/>
  <c r="S38" i="4"/>
  <c r="AF40" i="4"/>
  <c r="G41" i="4"/>
  <c r="U41" i="4"/>
  <c r="M27" i="4"/>
  <c r="AC58" i="4"/>
  <c r="X55" i="4"/>
  <c r="V8" i="4"/>
  <c r="U9" i="4"/>
  <c r="V13" i="4"/>
  <c r="Q6" i="4"/>
  <c r="G11" i="4"/>
  <c r="O11" i="4"/>
  <c r="W11" i="4"/>
  <c r="O15" i="4"/>
  <c r="N20" i="4"/>
  <c r="V20" i="4"/>
  <c r="N24" i="4"/>
  <c r="V24" i="4"/>
  <c r="J25" i="4"/>
  <c r="J42" i="4" s="1"/>
  <c r="R25" i="4"/>
  <c r="R42" i="4" s="1"/>
  <c r="Z25" i="4"/>
  <c r="Z42" i="4" s="1"/>
  <c r="AH42" i="4" s="1"/>
  <c r="M26" i="4"/>
  <c r="U26" i="4"/>
  <c r="H27" i="4"/>
  <c r="P27" i="4"/>
  <c r="Z27" i="4"/>
  <c r="G28" i="4"/>
  <c r="S28" i="4"/>
  <c r="Z31" i="4"/>
  <c r="R31" i="4"/>
  <c r="J31" i="4"/>
  <c r="Y31" i="4"/>
  <c r="Q31" i="4"/>
  <c r="I31" i="4"/>
  <c r="O31" i="4"/>
  <c r="AC31" i="4"/>
  <c r="AH31" i="4" s="1"/>
  <c r="J33" i="4"/>
  <c r="T33" i="4"/>
  <c r="Y36" i="4"/>
  <c r="Q36" i="4"/>
  <c r="I36" i="4"/>
  <c r="X36" i="4"/>
  <c r="AF36" i="4" s="1"/>
  <c r="P36" i="4"/>
  <c r="H36" i="4"/>
  <c r="O36" i="4"/>
  <c r="AC36" i="4"/>
  <c r="AH36" i="4" s="1"/>
  <c r="H37" i="4"/>
  <c r="R37" i="4"/>
  <c r="J38" i="4"/>
  <c r="J41" i="4"/>
  <c r="V41" i="4"/>
  <c r="AD49" i="4"/>
  <c r="T49" i="4"/>
  <c r="L49" i="4"/>
  <c r="AC49" i="4"/>
  <c r="S49" i="4"/>
  <c r="K49" i="4"/>
  <c r="K55" i="4" s="1"/>
  <c r="V49" i="4"/>
  <c r="N49" i="4"/>
  <c r="P49" i="4"/>
  <c r="P55" i="4" s="1"/>
  <c r="AF49" i="4"/>
  <c r="J52" i="4"/>
  <c r="V25" i="4"/>
  <c r="W38" i="4"/>
  <c r="O38" i="4"/>
  <c r="G38" i="4"/>
  <c r="V38" i="4"/>
  <c r="N38" i="4"/>
  <c r="P38" i="4"/>
  <c r="Z38" i="4"/>
  <c r="N6" i="4"/>
  <c r="V7" i="4"/>
  <c r="G13" i="4"/>
  <c r="O13" i="4"/>
  <c r="W13" i="4"/>
  <c r="W15" i="4"/>
  <c r="J6" i="4"/>
  <c r="R6" i="4"/>
  <c r="Z6" i="4"/>
  <c r="J7" i="4"/>
  <c r="R7" i="4"/>
  <c r="Z7" i="4"/>
  <c r="I8" i="4"/>
  <c r="Q8" i="4"/>
  <c r="Y8" i="4"/>
  <c r="H9" i="4"/>
  <c r="P9" i="4"/>
  <c r="X9" i="4"/>
  <c r="H13" i="4"/>
  <c r="U21" i="4"/>
  <c r="AC27" i="4"/>
  <c r="AH27" i="4" s="1"/>
  <c r="K33" i="4"/>
  <c r="U33" i="4"/>
  <c r="I37" i="4"/>
  <c r="U37" i="4"/>
  <c r="K38" i="4"/>
  <c r="U38" i="4"/>
  <c r="L41" i="4"/>
  <c r="W41" i="4"/>
  <c r="M52" i="4"/>
  <c r="G6" i="4"/>
  <c r="O6" i="4"/>
  <c r="W6" i="4"/>
  <c r="G7" i="4"/>
  <c r="O7" i="4"/>
  <c r="W7" i="4"/>
  <c r="N8" i="4"/>
  <c r="M9" i="4"/>
  <c r="M13" i="4"/>
  <c r="H6" i="4"/>
  <c r="H7" i="4"/>
  <c r="N11" i="4"/>
  <c r="I6" i="4"/>
  <c r="Y6" i="4"/>
  <c r="I7" i="4"/>
  <c r="Q7" i="4"/>
  <c r="Y7" i="4"/>
  <c r="H8" i="4"/>
  <c r="P8" i="4"/>
  <c r="X8" i="4"/>
  <c r="G9" i="4"/>
  <c r="G18" i="4" s="1"/>
  <c r="O9" i="4"/>
  <c r="W9" i="4"/>
  <c r="W18" i="4" s="1"/>
  <c r="G15" i="4"/>
  <c r="H11" i="4"/>
  <c r="P11" i="4"/>
  <c r="X11" i="4"/>
  <c r="AF11" i="4" s="1"/>
  <c r="O20" i="4"/>
  <c r="W20" i="4"/>
  <c r="W46" i="4" s="1"/>
  <c r="W45" i="4" s="1"/>
  <c r="BF3" i="4" s="1"/>
  <c r="M21" i="4"/>
  <c r="I27" i="4"/>
  <c r="Q27" i="4"/>
  <c r="T28" i="4"/>
  <c r="K6" i="4"/>
  <c r="S6" i="4"/>
  <c r="AC6" i="4"/>
  <c r="K7" i="4"/>
  <c r="S7" i="4"/>
  <c r="AC7" i="4"/>
  <c r="J8" i="4"/>
  <c r="R8" i="4"/>
  <c r="Z8" i="4"/>
  <c r="I9" i="4"/>
  <c r="Q9" i="4"/>
  <c r="Q18" i="4" s="1"/>
  <c r="Y9" i="4"/>
  <c r="M10" i="4"/>
  <c r="U10" i="4"/>
  <c r="I11" i="4"/>
  <c r="Q11" i="4"/>
  <c r="Y11" i="4"/>
  <c r="AI11" i="4" s="1"/>
  <c r="AJ11" i="4" s="1"/>
  <c r="M12" i="4"/>
  <c r="U12" i="4"/>
  <c r="I13" i="4"/>
  <c r="Q13" i="4"/>
  <c r="Q44" i="4" s="1"/>
  <c r="Y13" i="4"/>
  <c r="AI13" i="4" s="1"/>
  <c r="AJ13" i="4" s="1"/>
  <c r="M14" i="4"/>
  <c r="U14" i="4"/>
  <c r="U44" i="4" s="1"/>
  <c r="AD14" i="4"/>
  <c r="I15" i="4"/>
  <c r="I44" i="4" s="1"/>
  <c r="Q15" i="4"/>
  <c r="Y15" i="4"/>
  <c r="N16" i="4"/>
  <c r="V16" i="4"/>
  <c r="O17" i="4"/>
  <c r="W17" i="4"/>
  <c r="H20" i="4"/>
  <c r="P20" i="4"/>
  <c r="X20" i="4"/>
  <c r="N21" i="4"/>
  <c r="V21" i="4"/>
  <c r="N22" i="4"/>
  <c r="V22" i="4"/>
  <c r="V44" i="4" s="1"/>
  <c r="M23" i="4"/>
  <c r="U23" i="4"/>
  <c r="U42" i="4" s="1"/>
  <c r="H24" i="4"/>
  <c r="H42" i="4" s="1"/>
  <c r="P24" i="4"/>
  <c r="X24" i="4"/>
  <c r="AF24" i="4" s="1"/>
  <c r="L25" i="4"/>
  <c r="L46" i="4" s="1"/>
  <c r="T25" i="4"/>
  <c r="T46" i="4" s="1"/>
  <c r="AD25" i="4"/>
  <c r="G26" i="4"/>
  <c r="G42" i="4" s="1"/>
  <c r="O26" i="4"/>
  <c r="O42" i="4" s="1"/>
  <c r="W26" i="4"/>
  <c r="J27" i="4"/>
  <c r="R27" i="4"/>
  <c r="AD27" i="4"/>
  <c r="K28" i="4"/>
  <c r="U28" i="4"/>
  <c r="N29" i="4"/>
  <c r="W30" i="4"/>
  <c r="O30" i="4"/>
  <c r="G30" i="4"/>
  <c r="V30" i="4"/>
  <c r="V42" i="4" s="1"/>
  <c r="N30" i="4"/>
  <c r="P30" i="4"/>
  <c r="Z30" i="4"/>
  <c r="AF30" i="4" s="1"/>
  <c r="G31" i="4"/>
  <c r="S31" i="4"/>
  <c r="L33" i="4"/>
  <c r="V33" i="4"/>
  <c r="AC34" i="4"/>
  <c r="AH34" i="4" s="1"/>
  <c r="S34" i="4"/>
  <c r="K34" i="4"/>
  <c r="Z34" i="4"/>
  <c r="AF34" i="4" s="1"/>
  <c r="R34" i="4"/>
  <c r="J34" i="4"/>
  <c r="O34" i="4"/>
  <c r="O44" i="4" s="1"/>
  <c r="Y34" i="4"/>
  <c r="G36" i="4"/>
  <c r="S36" i="4"/>
  <c r="J37" i="4"/>
  <c r="V37" i="4"/>
  <c r="L38" i="4"/>
  <c r="X38" i="4"/>
  <c r="AF38" i="4" s="1"/>
  <c r="Z39" i="4"/>
  <c r="AF39" i="4" s="1"/>
  <c r="R39" i="4"/>
  <c r="J39" i="4"/>
  <c r="Y39" i="4"/>
  <c r="Q39" i="4"/>
  <c r="I39" i="4"/>
  <c r="O39" i="4"/>
  <c r="AC39" i="4"/>
  <c r="AH39" i="4" s="1"/>
  <c r="M41" i="4"/>
  <c r="Z41" i="4"/>
  <c r="G49" i="4"/>
  <c r="G55" i="4" s="1"/>
  <c r="R49" i="4"/>
  <c r="R52" i="4"/>
  <c r="N25" i="4"/>
  <c r="V6" i="4"/>
  <c r="M8" i="4"/>
  <c r="M44" i="4" s="1"/>
  <c r="U8" i="4"/>
  <c r="M11" i="4"/>
  <c r="U11" i="4"/>
  <c r="U13" i="4"/>
  <c r="V11" i="4"/>
  <c r="P13" i="4"/>
  <c r="P44" i="4" s="1"/>
  <c r="X13" i="4"/>
  <c r="AF13" i="4" s="1"/>
  <c r="H15" i="4"/>
  <c r="H44" i="4" s="1"/>
  <c r="P15" i="4"/>
  <c r="X15" i="4"/>
  <c r="AF15" i="4" s="1"/>
  <c r="G20" i="4"/>
  <c r="G46" i="4" s="1"/>
  <c r="K25" i="4"/>
  <c r="K42" i="4" s="1"/>
  <c r="S25" i="4"/>
  <c r="S46" i="4" s="1"/>
  <c r="AG26" i="4"/>
  <c r="J28" i="4"/>
  <c r="AG30" i="4"/>
  <c r="L6" i="4"/>
  <c r="T6" i="4"/>
  <c r="L7" i="4"/>
  <c r="T7" i="4"/>
  <c r="K8" i="4"/>
  <c r="K44" i="4" s="1"/>
  <c r="S8" i="4"/>
  <c r="J9" i="4"/>
  <c r="R9" i="4"/>
  <c r="N10" i="4"/>
  <c r="J11" i="4"/>
  <c r="R11" i="4"/>
  <c r="N12" i="4"/>
  <c r="N44" i="4" s="1"/>
  <c r="J13" i="4"/>
  <c r="R13" i="4"/>
  <c r="R44" i="4" s="1"/>
  <c r="N14" i="4"/>
  <c r="J15" i="4"/>
  <c r="R15" i="4"/>
  <c r="G16" i="4"/>
  <c r="G44" i="4" s="1"/>
  <c r="O16" i="4"/>
  <c r="H17" i="4"/>
  <c r="P17" i="4"/>
  <c r="I20" i="4"/>
  <c r="Q20" i="4"/>
  <c r="G21" i="4"/>
  <c r="O21" i="4"/>
  <c r="G22" i="4"/>
  <c r="O22" i="4"/>
  <c r="N23" i="4"/>
  <c r="AG23" i="4"/>
  <c r="I24" i="4"/>
  <c r="Q24" i="4"/>
  <c r="Q42" i="4" s="1"/>
  <c r="M25" i="4"/>
  <c r="H26" i="4"/>
  <c r="P26" i="4"/>
  <c r="K27" i="4"/>
  <c r="S27" i="4"/>
  <c r="L28" i="4"/>
  <c r="V28" i="4"/>
  <c r="AD29" i="4"/>
  <c r="T29" i="4"/>
  <c r="T42" i="4" s="1"/>
  <c r="L29" i="4"/>
  <c r="AC29" i="4"/>
  <c r="AH29" i="4" s="1"/>
  <c r="S29" i="4"/>
  <c r="K29" i="4"/>
  <c r="O29" i="4"/>
  <c r="Y29" i="4"/>
  <c r="Q30" i="4"/>
  <c r="AC30" i="4"/>
  <c r="AH30" i="4" s="1"/>
  <c r="H31" i="4"/>
  <c r="T31" i="4"/>
  <c r="M33" i="4"/>
  <c r="Y33" i="4"/>
  <c r="P34" i="4"/>
  <c r="AD34" i="4"/>
  <c r="J36" i="4"/>
  <c r="T36" i="4"/>
  <c r="M37" i="4"/>
  <c r="W37" i="4"/>
  <c r="M38" i="4"/>
  <c r="Y38" i="4"/>
  <c r="P39" i="4"/>
  <c r="AD39" i="4"/>
  <c r="N41" i="4"/>
  <c r="AD41" i="4"/>
  <c r="H49" i="4"/>
  <c r="U49" i="4"/>
  <c r="U52" i="4"/>
  <c r="AE55" i="4"/>
  <c r="M50" i="4"/>
  <c r="M55" i="4" s="1"/>
  <c r="U50" i="4"/>
  <c r="L51" i="4"/>
  <c r="T51" i="4"/>
  <c r="AD51" i="4"/>
  <c r="J53" i="4"/>
  <c r="R53" i="4"/>
  <c r="Z53" i="4"/>
  <c r="AF53" i="4" s="1"/>
  <c r="J54" i="4"/>
  <c r="R54" i="4"/>
  <c r="Z54" i="4"/>
  <c r="M51" i="4"/>
  <c r="U51" i="4"/>
  <c r="K53" i="4"/>
  <c r="S53" i="4"/>
  <c r="AC53" i="4"/>
  <c r="K54" i="4"/>
  <c r="S54" i="4"/>
  <c r="AC54" i="4"/>
  <c r="M53" i="4"/>
  <c r="U53" i="4"/>
  <c r="M54" i="4"/>
  <c r="U54" i="4"/>
  <c r="N53" i="4"/>
  <c r="V53" i="4"/>
  <c r="N54" i="4"/>
  <c r="V54" i="4"/>
  <c r="L32" i="4"/>
  <c r="L44" i="4" s="1"/>
  <c r="T32" i="4"/>
  <c r="AD32" i="4"/>
  <c r="M35" i="4"/>
  <c r="U35" i="4"/>
  <c r="L40" i="4"/>
  <c r="T40" i="4"/>
  <c r="T44" i="4" s="1"/>
  <c r="AD40" i="4"/>
  <c r="J50" i="4"/>
  <c r="J55" i="4" s="1"/>
  <c r="R50" i="4"/>
  <c r="Z50" i="4"/>
  <c r="AD58" i="4" s="1"/>
  <c r="I51" i="4"/>
  <c r="I55" i="4" s="1"/>
  <c r="Q51" i="4"/>
  <c r="Q55" i="4" s="1"/>
  <c r="Y51" i="4"/>
  <c r="AF55" i="4" s="1"/>
  <c r="G53" i="4"/>
  <c r="O53" i="4"/>
  <c r="O55" i="4" s="1"/>
  <c r="W53" i="4"/>
  <c r="W55" i="4" s="1"/>
  <c r="G54" i="4"/>
  <c r="O54" i="4"/>
  <c r="W54" i="4"/>
  <c r="M32" i="4"/>
  <c r="N35" i="4"/>
  <c r="M40" i="4"/>
  <c r="K50" i="4"/>
  <c r="S50" i="4"/>
  <c r="J51" i="4"/>
  <c r="R51" i="4"/>
  <c r="H53" i="4"/>
  <c r="P53" i="4"/>
  <c r="H54" i="4"/>
  <c r="P54" i="4"/>
  <c r="AC32" i="3"/>
  <c r="Y32" i="3"/>
  <c r="Y37" i="3"/>
  <c r="AC37" i="3"/>
  <c r="Y42" i="3"/>
  <c r="AC42" i="3"/>
  <c r="AC11" i="3"/>
  <c r="Y11" i="3"/>
  <c r="AC33" i="3"/>
  <c r="Y33" i="3"/>
  <c r="AC38" i="3"/>
  <c r="Y38" i="3"/>
  <c r="Y46" i="3"/>
  <c r="AC46" i="3"/>
  <c r="AC53" i="3"/>
  <c r="Y53" i="3"/>
  <c r="Y12" i="3"/>
  <c r="AC12" i="3"/>
  <c r="AC13" i="3"/>
  <c r="Y13" i="3"/>
  <c r="AC20" i="3"/>
  <c r="Y20" i="3"/>
  <c r="Y27" i="3"/>
  <c r="AC27" i="3"/>
  <c r="Y34" i="3"/>
  <c r="AC34" i="3"/>
  <c r="AC39" i="3"/>
  <c r="Y39" i="3"/>
  <c r="Y44" i="3"/>
  <c r="AC44" i="3"/>
  <c r="AC35" i="3"/>
  <c r="Y35" i="3"/>
  <c r="Y40" i="3"/>
  <c r="AC40" i="3"/>
  <c r="Y49" i="3"/>
  <c r="AC49" i="3"/>
  <c r="AC50" i="3"/>
  <c r="Y50" i="3"/>
  <c r="AC31" i="3"/>
  <c r="Y31" i="3"/>
  <c r="Y7" i="3"/>
  <c r="AC7" i="3"/>
  <c r="AC6" i="3"/>
  <c r="Y6" i="3"/>
  <c r="AC8" i="3"/>
  <c r="Y8" i="3"/>
  <c r="AC15" i="3"/>
  <c r="Y15" i="3"/>
  <c r="AC21" i="3"/>
  <c r="Y21" i="3"/>
  <c r="Y22" i="3"/>
  <c r="AC22" i="3"/>
  <c r="AC28" i="3"/>
  <c r="Y28" i="3"/>
  <c r="Y51" i="3"/>
  <c r="AC51" i="3"/>
  <c r="AC55" i="3"/>
  <c r="Y55" i="3"/>
  <c r="Y14" i="3"/>
  <c r="AC14" i="3"/>
  <c r="AC23" i="3"/>
  <c r="Y23" i="3"/>
  <c r="Y29" i="3"/>
  <c r="AC29" i="3"/>
  <c r="AC41" i="3"/>
  <c r="Y41" i="3"/>
  <c r="AC54" i="3"/>
  <c r="Y54" i="3"/>
  <c r="Y9" i="3"/>
  <c r="AC9" i="3"/>
  <c r="Y10" i="3"/>
  <c r="AC10" i="3"/>
  <c r="Y16" i="3"/>
  <c r="AC16" i="3"/>
  <c r="AC24" i="3"/>
  <c r="Y24" i="3"/>
  <c r="AC25" i="3"/>
  <c r="Y25" i="3"/>
  <c r="AC30" i="3"/>
  <c r="Y30" i="3"/>
  <c r="AC52" i="3"/>
  <c r="Y52" i="3"/>
  <c r="Y36" i="3"/>
  <c r="AC26" i="3"/>
  <c r="T45" i="4" l="1"/>
  <c r="BC3" i="4" s="1"/>
  <c r="T47" i="4"/>
  <c r="L45" i="4"/>
  <c r="AU3" i="4" s="1"/>
  <c r="X44" i="4"/>
  <c r="Y44" i="4"/>
  <c r="S45" i="4"/>
  <c r="BB3" i="4" s="1"/>
  <c r="AG27" i="4"/>
  <c r="AI27" i="4"/>
  <c r="AJ27" i="4" s="1"/>
  <c r="U55" i="4"/>
  <c r="X22" i="4"/>
  <c r="AF22" i="4" s="1"/>
  <c r="AG34" i="4"/>
  <c r="AI34" i="4"/>
  <c r="AJ34" i="4" s="1"/>
  <c r="P42" i="4"/>
  <c r="AF20" i="4"/>
  <c r="O46" i="4"/>
  <c r="AF8" i="4"/>
  <c r="N55" i="4"/>
  <c r="N18" i="4"/>
  <c r="Z55" i="4"/>
  <c r="J46" i="4"/>
  <c r="X42" i="4"/>
  <c r="L42" i="4"/>
  <c r="H55" i="4"/>
  <c r="P46" i="4"/>
  <c r="I18" i="4"/>
  <c r="V55" i="4"/>
  <c r="AF25" i="4"/>
  <c r="AC25" i="4"/>
  <c r="AH25" i="4" s="1"/>
  <c r="AH41" i="4" s="1"/>
  <c r="AG55" i="4"/>
  <c r="R46" i="4"/>
  <c r="G45" i="4"/>
  <c r="Y18" i="4"/>
  <c r="AI9" i="4"/>
  <c r="U46" i="4"/>
  <c r="Q46" i="4"/>
  <c r="J18" i="4"/>
  <c r="M42" i="4"/>
  <c r="X18" i="4"/>
  <c r="AF9" i="4"/>
  <c r="S55" i="4"/>
  <c r="AG31" i="4"/>
  <c r="AI31" i="4"/>
  <c r="AJ31" i="4" s="1"/>
  <c r="V46" i="4"/>
  <c r="U18" i="4"/>
  <c r="M46" i="4"/>
  <c r="S42" i="4"/>
  <c r="K46" i="4"/>
  <c r="X21" i="4"/>
  <c r="AF21" i="4" s="1"/>
  <c r="AI29" i="4"/>
  <c r="AJ29" i="4" s="1"/>
  <c r="AG29" i="4"/>
  <c r="I46" i="4"/>
  <c r="J44" i="4"/>
  <c r="M18" i="4"/>
  <c r="P18" i="4"/>
  <c r="AI36" i="4"/>
  <c r="AJ36" i="4" s="1"/>
  <c r="AG36" i="4"/>
  <c r="N46" i="4"/>
  <c r="AF7" i="4"/>
  <c r="R18" i="4"/>
  <c r="H46" i="4"/>
  <c r="AF46" i="4" s="1"/>
  <c r="AI37" i="4"/>
  <c r="AJ37" i="4" s="1"/>
  <c r="AG37" i="4"/>
  <c r="H18" i="4"/>
  <c r="L55" i="4"/>
  <c r="AC55" i="4"/>
  <c r="AG25" i="4"/>
  <c r="AI25" i="4"/>
  <c r="AF50" i="4"/>
  <c r="AC41" i="4"/>
  <c r="AF41" i="4"/>
  <c r="Y42" i="4"/>
  <c r="AG38" i="4"/>
  <c r="AI38" i="4"/>
  <c r="AJ38" i="4" s="1"/>
  <c r="AI33" i="4"/>
  <c r="AJ33" i="4" s="1"/>
  <c r="AG33" i="4"/>
  <c r="N42" i="4"/>
  <c r="R55" i="4"/>
  <c r="AI39" i="4"/>
  <c r="AJ39" i="4" s="1"/>
  <c r="AG39" i="4"/>
  <c r="O18" i="4"/>
  <c r="T55" i="4"/>
  <c r="AF6" i="4"/>
  <c r="AI28" i="4"/>
  <c r="AJ28" i="4" s="1"/>
  <c r="AG28" i="4"/>
  <c r="AJ30" i="4"/>
  <c r="AI15" i="4" l="1"/>
  <c r="AJ9" i="4"/>
  <c r="AJ15" i="4" s="1"/>
  <c r="Z44" i="4"/>
  <c r="N45" i="4"/>
  <c r="AV3" i="4" s="1"/>
  <c r="AC44" i="4"/>
  <c r="AC18" i="4"/>
  <c r="AF18" i="4"/>
  <c r="P45" i="4"/>
  <c r="AY3" i="4" s="1"/>
  <c r="J45" i="4"/>
  <c r="AR3" i="4" s="1"/>
  <c r="J47" i="4"/>
  <c r="AN3" i="4"/>
  <c r="M45" i="4"/>
  <c r="AX3" i="4" s="1"/>
  <c r="M47" i="4"/>
  <c r="G47" i="4"/>
  <c r="O45" i="4"/>
  <c r="AW3" i="4" s="1"/>
  <c r="L47" i="4"/>
  <c r="U45" i="4"/>
  <c r="BD3" i="4" s="1"/>
  <c r="U47" i="4"/>
  <c r="K45" i="4"/>
  <c r="AT3" i="4" s="1"/>
  <c r="K47" i="4"/>
  <c r="H45" i="4"/>
  <c r="AO3" i="4" s="1"/>
  <c r="R45" i="4"/>
  <c r="BA3" i="4" s="1"/>
  <c r="R47" i="4"/>
  <c r="AJ25" i="4"/>
  <c r="AI41" i="4"/>
  <c r="I45" i="4"/>
  <c r="AP3" i="4" s="1"/>
  <c r="I47" i="4"/>
  <c r="V45" i="4"/>
  <c r="BE3" i="4" s="1"/>
  <c r="V47" i="4"/>
  <c r="Q45" i="4"/>
  <c r="AZ3" i="4" s="1"/>
  <c r="AC42" i="4"/>
  <c r="X46" i="4"/>
  <c r="S47" i="4"/>
  <c r="AJ41" i="4" l="1"/>
  <c r="AI42" i="4"/>
  <c r="AJ42" i="4" s="1"/>
  <c r="N47" i="4"/>
  <c r="AA45" i="4"/>
  <c r="X45" i="4"/>
  <c r="Z46" i="4"/>
  <c r="AC46" i="4" s="1"/>
  <c r="O47" i="4"/>
  <c r="Q47" i="4"/>
  <c r="H47" i="4"/>
  <c r="P47" i="4"/>
  <c r="X47" i="4" l="1"/>
  <c r="Z45" i="4"/>
  <c r="Z47" i="4" s="1"/>
  <c r="AC45" i="4" l="1"/>
  <c r="AC55" i="2" l="1"/>
  <c r="AA55" i="2"/>
  <c r="X55" i="2"/>
  <c r="W55" i="2"/>
  <c r="V55" i="2"/>
  <c r="U55" i="2"/>
  <c r="T55" i="2"/>
  <c r="S55" i="2"/>
  <c r="R55" i="2"/>
  <c r="Q55" i="2"/>
  <c r="P55" i="2"/>
  <c r="O55" i="2"/>
  <c r="N55" i="2"/>
  <c r="M55" i="2"/>
  <c r="L55" i="2"/>
  <c r="K55" i="2"/>
  <c r="J55" i="2"/>
  <c r="I55" i="2"/>
  <c r="H55" i="2"/>
  <c r="G55" i="2"/>
  <c r="Y55" i="2" s="1"/>
  <c r="AC54" i="2"/>
  <c r="AA54" i="2"/>
  <c r="X54" i="2"/>
  <c r="W54" i="2"/>
  <c r="V54" i="2"/>
  <c r="U54" i="2"/>
  <c r="T54" i="2"/>
  <c r="S54" i="2"/>
  <c r="R54" i="2"/>
  <c r="Q54" i="2"/>
  <c r="P54" i="2"/>
  <c r="O54" i="2"/>
  <c r="N54" i="2"/>
  <c r="M54" i="2"/>
  <c r="L54" i="2"/>
  <c r="K54" i="2"/>
  <c r="J54" i="2"/>
  <c r="I54" i="2"/>
  <c r="H54" i="2"/>
  <c r="G54" i="2"/>
  <c r="Y54" i="2" s="1"/>
  <c r="E54" i="2"/>
  <c r="D54" i="2"/>
  <c r="C54" i="2"/>
  <c r="B54" i="2"/>
  <c r="A54" i="2"/>
  <c r="AE54" i="2" s="1"/>
  <c r="AC53" i="2"/>
  <c r="AA53" i="2"/>
  <c r="X53" i="2"/>
  <c r="W53" i="2"/>
  <c r="V53" i="2"/>
  <c r="U53" i="2"/>
  <c r="T53" i="2"/>
  <c r="S53" i="2"/>
  <c r="R53" i="2"/>
  <c r="Q53" i="2"/>
  <c r="P53" i="2"/>
  <c r="O53" i="2"/>
  <c r="N53" i="2"/>
  <c r="M53" i="2"/>
  <c r="L53" i="2"/>
  <c r="K53" i="2"/>
  <c r="J53" i="2"/>
  <c r="I53" i="2"/>
  <c r="H53" i="2"/>
  <c r="G53" i="2"/>
  <c r="Y53" i="2" s="1"/>
  <c r="F53" i="2"/>
  <c r="E53" i="2"/>
  <c r="D53" i="2"/>
  <c r="C53" i="2"/>
  <c r="B53" i="2"/>
  <c r="A53" i="2"/>
  <c r="AE53" i="2" s="1"/>
  <c r="AC52" i="2"/>
  <c r="AA52" i="2"/>
  <c r="X52" i="2"/>
  <c r="W52" i="2"/>
  <c r="V52" i="2"/>
  <c r="U52" i="2"/>
  <c r="T52" i="2"/>
  <c r="S52" i="2"/>
  <c r="R52" i="2"/>
  <c r="Q52" i="2"/>
  <c r="P52" i="2"/>
  <c r="O52" i="2"/>
  <c r="N52" i="2"/>
  <c r="M52" i="2"/>
  <c r="L52" i="2"/>
  <c r="K52" i="2"/>
  <c r="J52" i="2"/>
  <c r="I52" i="2"/>
  <c r="Y52" i="2" s="1"/>
  <c r="H52" i="2"/>
  <c r="G52" i="2"/>
  <c r="F52" i="2"/>
  <c r="E52" i="2"/>
  <c r="D52" i="2"/>
  <c r="C52" i="2"/>
  <c r="B52" i="2"/>
  <c r="A52" i="2"/>
  <c r="AE52" i="2" s="1"/>
  <c r="AC51" i="2"/>
  <c r="AA51" i="2"/>
  <c r="X51" i="2"/>
  <c r="W51" i="2"/>
  <c r="V51" i="2"/>
  <c r="U51" i="2"/>
  <c r="T51" i="2"/>
  <c r="S51" i="2"/>
  <c r="R51" i="2"/>
  <c r="Q51" i="2"/>
  <c r="P51" i="2"/>
  <c r="O51" i="2"/>
  <c r="N51" i="2"/>
  <c r="M51" i="2"/>
  <c r="L51" i="2"/>
  <c r="K51" i="2"/>
  <c r="J51" i="2"/>
  <c r="I51" i="2"/>
  <c r="H51" i="2"/>
  <c r="G51" i="2"/>
  <c r="Y51" i="2" s="1"/>
  <c r="F51" i="2"/>
  <c r="E51" i="2"/>
  <c r="D51" i="2"/>
  <c r="C51" i="2"/>
  <c r="B51" i="2"/>
  <c r="A51" i="2"/>
  <c r="AE51" i="2" s="1"/>
  <c r="AE50" i="2"/>
  <c r="AC50" i="2"/>
  <c r="AA50" i="2"/>
  <c r="X50" i="2"/>
  <c r="W50" i="2"/>
  <c r="V50" i="2"/>
  <c r="U50" i="2"/>
  <c r="T50" i="2"/>
  <c r="S50" i="2"/>
  <c r="R50" i="2"/>
  <c r="Q50" i="2"/>
  <c r="P50" i="2"/>
  <c r="O50" i="2"/>
  <c r="N50" i="2"/>
  <c r="M50" i="2"/>
  <c r="L50" i="2"/>
  <c r="K50" i="2"/>
  <c r="J50" i="2"/>
  <c r="I50" i="2"/>
  <c r="H50" i="2"/>
  <c r="G50" i="2"/>
  <c r="Y50" i="2" s="1"/>
  <c r="F50" i="2"/>
  <c r="E50" i="2"/>
  <c r="D50" i="2"/>
  <c r="C50" i="2"/>
  <c r="B50" i="2"/>
  <c r="A50" i="2"/>
  <c r="AC49" i="2"/>
  <c r="Y49" i="2" s="1"/>
  <c r="AA49" i="2"/>
  <c r="X49" i="2"/>
  <c r="W49" i="2"/>
  <c r="V49" i="2"/>
  <c r="U49" i="2"/>
  <c r="T49" i="2"/>
  <c r="S49" i="2"/>
  <c r="R49" i="2"/>
  <c r="Q49" i="2"/>
  <c r="P49" i="2"/>
  <c r="O49" i="2"/>
  <c r="N49" i="2"/>
  <c r="M49" i="2"/>
  <c r="L49" i="2"/>
  <c r="K49" i="2"/>
  <c r="J49" i="2"/>
  <c r="I49" i="2"/>
  <c r="H49" i="2"/>
  <c r="G49" i="2"/>
  <c r="F49" i="2"/>
  <c r="E49" i="2"/>
  <c r="D49" i="2"/>
  <c r="C49" i="2"/>
  <c r="B49" i="2"/>
  <c r="A49" i="2"/>
  <c r="AE49" i="2" s="1"/>
  <c r="AC46" i="2"/>
  <c r="AA46" i="2"/>
  <c r="X46" i="2"/>
  <c r="W46" i="2"/>
  <c r="V46" i="2"/>
  <c r="U46" i="2"/>
  <c r="T46" i="2"/>
  <c r="S46" i="2"/>
  <c r="R46" i="2"/>
  <c r="Q46" i="2"/>
  <c r="P46" i="2"/>
  <c r="O46" i="2"/>
  <c r="N46" i="2"/>
  <c r="M46" i="2"/>
  <c r="L46" i="2"/>
  <c r="K46" i="2"/>
  <c r="J46" i="2"/>
  <c r="I46" i="2"/>
  <c r="Y46" i="2" s="1"/>
  <c r="H46" i="2"/>
  <c r="G46" i="2"/>
  <c r="AC45" i="2"/>
  <c r="AA45" i="2"/>
  <c r="X45" i="2"/>
  <c r="W45" i="2"/>
  <c r="V45" i="2"/>
  <c r="U45" i="2"/>
  <c r="T45" i="2"/>
  <c r="S45" i="2"/>
  <c r="R45" i="2"/>
  <c r="Q45" i="2"/>
  <c r="P45" i="2"/>
  <c r="O45" i="2"/>
  <c r="N45" i="2"/>
  <c r="M45" i="2"/>
  <c r="L45" i="2"/>
  <c r="K45" i="2"/>
  <c r="J45" i="2"/>
  <c r="I45" i="2"/>
  <c r="H45" i="2"/>
  <c r="G45" i="2"/>
  <c r="Y45" i="2" s="1"/>
  <c r="AD45" i="2" s="1"/>
  <c r="AC44" i="2"/>
  <c r="AA44" i="2"/>
  <c r="X44" i="2"/>
  <c r="W44" i="2"/>
  <c r="V44" i="2"/>
  <c r="U44" i="2"/>
  <c r="T44" i="2"/>
  <c r="S44" i="2"/>
  <c r="R44" i="2"/>
  <c r="Q44" i="2"/>
  <c r="P44" i="2"/>
  <c r="O44" i="2"/>
  <c r="N44" i="2"/>
  <c r="M44" i="2"/>
  <c r="L44" i="2"/>
  <c r="K44" i="2"/>
  <c r="J44" i="2"/>
  <c r="I44" i="2"/>
  <c r="H44" i="2"/>
  <c r="G44" i="2"/>
  <c r="Y44" i="2" s="1"/>
  <c r="AC42" i="2"/>
  <c r="AA42" i="2"/>
  <c r="X42" i="2"/>
  <c r="W42" i="2"/>
  <c r="V42" i="2"/>
  <c r="U42" i="2"/>
  <c r="T42" i="2"/>
  <c r="S42" i="2"/>
  <c r="R42" i="2"/>
  <c r="Q42" i="2"/>
  <c r="P42" i="2"/>
  <c r="O42" i="2"/>
  <c r="N42" i="2"/>
  <c r="M42" i="2"/>
  <c r="L42" i="2"/>
  <c r="K42" i="2"/>
  <c r="J42" i="2"/>
  <c r="I42" i="2"/>
  <c r="H42" i="2"/>
  <c r="G42" i="2"/>
  <c r="Y42" i="2" s="1"/>
  <c r="AC41" i="2"/>
  <c r="AA41" i="2"/>
  <c r="X41" i="2"/>
  <c r="W41" i="2"/>
  <c r="V41" i="2"/>
  <c r="U41" i="2"/>
  <c r="T41" i="2"/>
  <c r="S41" i="2"/>
  <c r="R41" i="2"/>
  <c r="Q41" i="2"/>
  <c r="P41" i="2"/>
  <c r="O41" i="2"/>
  <c r="N41" i="2"/>
  <c r="M41" i="2"/>
  <c r="L41" i="2"/>
  <c r="K41" i="2"/>
  <c r="J41" i="2"/>
  <c r="I41" i="2"/>
  <c r="H41" i="2"/>
  <c r="G41" i="2"/>
  <c r="Y41" i="2" s="1"/>
  <c r="E41" i="2"/>
  <c r="D41" i="2"/>
  <c r="C41" i="2"/>
  <c r="B41" i="2"/>
  <c r="A41" i="2"/>
  <c r="AE41" i="2" s="1"/>
  <c r="AC40" i="2"/>
  <c r="AA40" i="2"/>
  <c r="X40" i="2"/>
  <c r="W40" i="2"/>
  <c r="V40" i="2"/>
  <c r="U40" i="2"/>
  <c r="T40" i="2"/>
  <c r="S40" i="2"/>
  <c r="R40" i="2"/>
  <c r="Q40" i="2"/>
  <c r="P40" i="2"/>
  <c r="O40" i="2"/>
  <c r="N40" i="2"/>
  <c r="M40" i="2"/>
  <c r="L40" i="2"/>
  <c r="K40" i="2"/>
  <c r="J40" i="2"/>
  <c r="I40" i="2"/>
  <c r="H40" i="2"/>
  <c r="G40" i="2"/>
  <c r="Y40" i="2" s="1"/>
  <c r="F40" i="2"/>
  <c r="E40" i="2"/>
  <c r="D40" i="2"/>
  <c r="C40" i="2"/>
  <c r="B40" i="2"/>
  <c r="A40" i="2"/>
  <c r="AE40" i="2" s="1"/>
  <c r="AC39" i="2"/>
  <c r="AA39" i="2"/>
  <c r="X39" i="2"/>
  <c r="W39" i="2"/>
  <c r="V39" i="2"/>
  <c r="U39" i="2"/>
  <c r="T39" i="2"/>
  <c r="S39" i="2"/>
  <c r="R39" i="2"/>
  <c r="Q39" i="2"/>
  <c r="P39" i="2"/>
  <c r="O39" i="2"/>
  <c r="N39" i="2"/>
  <c r="M39" i="2"/>
  <c r="L39" i="2"/>
  <c r="K39" i="2"/>
  <c r="J39" i="2"/>
  <c r="I39" i="2"/>
  <c r="H39" i="2"/>
  <c r="G39" i="2"/>
  <c r="Y39" i="2" s="1"/>
  <c r="F39" i="2"/>
  <c r="E39" i="2"/>
  <c r="D39" i="2"/>
  <c r="C39" i="2"/>
  <c r="B39" i="2"/>
  <c r="A39" i="2"/>
  <c r="AE39" i="2" s="1"/>
  <c r="AE38" i="2"/>
  <c r="AC38" i="2"/>
  <c r="AA38" i="2"/>
  <c r="X38" i="2"/>
  <c r="W38" i="2"/>
  <c r="V38" i="2"/>
  <c r="U38" i="2"/>
  <c r="T38" i="2"/>
  <c r="S38" i="2"/>
  <c r="R38" i="2"/>
  <c r="Q38" i="2"/>
  <c r="P38" i="2"/>
  <c r="O38" i="2"/>
  <c r="N38" i="2"/>
  <c r="M38" i="2"/>
  <c r="L38" i="2"/>
  <c r="K38" i="2"/>
  <c r="J38" i="2"/>
  <c r="I38" i="2"/>
  <c r="H38" i="2"/>
  <c r="G38" i="2"/>
  <c r="Y38" i="2" s="1"/>
  <c r="F38" i="2"/>
  <c r="E38" i="2"/>
  <c r="D38" i="2"/>
  <c r="C38" i="2"/>
  <c r="B38" i="2"/>
  <c r="A38" i="2"/>
  <c r="AC37" i="2"/>
  <c r="AA37" i="2"/>
  <c r="X37" i="2"/>
  <c r="W37" i="2"/>
  <c r="V37" i="2"/>
  <c r="U37" i="2"/>
  <c r="T37" i="2"/>
  <c r="S37" i="2"/>
  <c r="R37" i="2"/>
  <c r="Q37" i="2"/>
  <c r="P37" i="2"/>
  <c r="O37" i="2"/>
  <c r="N37" i="2"/>
  <c r="M37" i="2"/>
  <c r="L37" i="2"/>
  <c r="K37" i="2"/>
  <c r="J37" i="2"/>
  <c r="I37" i="2"/>
  <c r="H37" i="2"/>
  <c r="G37" i="2"/>
  <c r="Y37" i="2" s="1"/>
  <c r="F37" i="2"/>
  <c r="E37" i="2"/>
  <c r="D37" i="2"/>
  <c r="C37" i="2"/>
  <c r="B37" i="2"/>
  <c r="A37" i="2"/>
  <c r="AE37" i="2" s="1"/>
  <c r="AC36" i="2"/>
  <c r="AA36" i="2"/>
  <c r="X36" i="2"/>
  <c r="W36" i="2"/>
  <c r="V36" i="2"/>
  <c r="U36" i="2"/>
  <c r="T36" i="2"/>
  <c r="S36" i="2"/>
  <c r="R36" i="2"/>
  <c r="Q36" i="2"/>
  <c r="P36" i="2"/>
  <c r="O36" i="2"/>
  <c r="N36" i="2"/>
  <c r="M36" i="2"/>
  <c r="L36" i="2"/>
  <c r="K36" i="2"/>
  <c r="J36" i="2"/>
  <c r="I36" i="2"/>
  <c r="H36" i="2"/>
  <c r="G36" i="2"/>
  <c r="Y36" i="2" s="1"/>
  <c r="F36" i="2"/>
  <c r="E36" i="2"/>
  <c r="D36" i="2"/>
  <c r="C36" i="2"/>
  <c r="B36" i="2"/>
  <c r="A36" i="2"/>
  <c r="AE36" i="2" s="1"/>
  <c r="AC35" i="2"/>
  <c r="AA35" i="2"/>
  <c r="X35" i="2"/>
  <c r="W35" i="2"/>
  <c r="V35" i="2"/>
  <c r="U35" i="2"/>
  <c r="T35" i="2"/>
  <c r="S35" i="2"/>
  <c r="R35" i="2"/>
  <c r="Q35" i="2"/>
  <c r="P35" i="2"/>
  <c r="O35" i="2"/>
  <c r="N35" i="2"/>
  <c r="M35" i="2"/>
  <c r="L35" i="2"/>
  <c r="K35" i="2"/>
  <c r="J35" i="2"/>
  <c r="I35" i="2"/>
  <c r="H35" i="2"/>
  <c r="G35" i="2"/>
  <c r="Y35" i="2" s="1"/>
  <c r="F35" i="2"/>
  <c r="E35" i="2"/>
  <c r="D35" i="2"/>
  <c r="C35" i="2"/>
  <c r="B35" i="2"/>
  <c r="A35" i="2"/>
  <c r="AE35" i="2" s="1"/>
  <c r="AE34" i="2"/>
  <c r="AC34" i="2"/>
  <c r="AA34" i="2"/>
  <c r="X34" i="2"/>
  <c r="W34" i="2"/>
  <c r="V34" i="2"/>
  <c r="U34" i="2"/>
  <c r="T34" i="2"/>
  <c r="S34" i="2"/>
  <c r="R34" i="2"/>
  <c r="Q34" i="2"/>
  <c r="P34" i="2"/>
  <c r="O34" i="2"/>
  <c r="N34" i="2"/>
  <c r="M34" i="2"/>
  <c r="L34" i="2"/>
  <c r="K34" i="2"/>
  <c r="J34" i="2"/>
  <c r="I34" i="2"/>
  <c r="H34" i="2"/>
  <c r="G34" i="2"/>
  <c r="Y34" i="2" s="1"/>
  <c r="F34" i="2"/>
  <c r="E34" i="2"/>
  <c r="D34" i="2"/>
  <c r="C34" i="2"/>
  <c r="B34" i="2"/>
  <c r="A34" i="2"/>
  <c r="AC33" i="2"/>
  <c r="AA33" i="2"/>
  <c r="X33" i="2"/>
  <c r="W33" i="2"/>
  <c r="V33" i="2"/>
  <c r="U33" i="2"/>
  <c r="T33" i="2"/>
  <c r="S33" i="2"/>
  <c r="R33" i="2"/>
  <c r="Q33" i="2"/>
  <c r="P33" i="2"/>
  <c r="O33" i="2"/>
  <c r="N33" i="2"/>
  <c r="M33" i="2"/>
  <c r="L33" i="2"/>
  <c r="K33" i="2"/>
  <c r="J33" i="2"/>
  <c r="I33" i="2"/>
  <c r="H33" i="2"/>
  <c r="G33" i="2"/>
  <c r="Y33" i="2" s="1"/>
  <c r="F33" i="2"/>
  <c r="E33" i="2"/>
  <c r="D33" i="2"/>
  <c r="C33" i="2"/>
  <c r="B33" i="2"/>
  <c r="A33" i="2"/>
  <c r="AE33" i="2" s="1"/>
  <c r="AC32" i="2"/>
  <c r="AA32" i="2"/>
  <c r="Z32" i="2"/>
  <c r="Y32" i="2"/>
  <c r="AD32" i="2" s="1"/>
  <c r="X32" i="2"/>
  <c r="W32" i="2"/>
  <c r="V32" i="2"/>
  <c r="U32" i="2"/>
  <c r="T32" i="2"/>
  <c r="S32" i="2"/>
  <c r="R32" i="2"/>
  <c r="Q32" i="2"/>
  <c r="P32" i="2"/>
  <c r="O32" i="2"/>
  <c r="N32" i="2"/>
  <c r="M32" i="2"/>
  <c r="L32" i="2"/>
  <c r="K32" i="2"/>
  <c r="J32" i="2"/>
  <c r="I32" i="2"/>
  <c r="H32" i="2"/>
  <c r="G32" i="2"/>
  <c r="F32" i="2"/>
  <c r="D32" i="2"/>
  <c r="C32" i="2"/>
  <c r="B32" i="2"/>
  <c r="A32" i="2"/>
  <c r="AE32" i="2" s="1"/>
  <c r="AE31" i="2"/>
  <c r="AC31" i="2"/>
  <c r="AA31" i="2"/>
  <c r="X31" i="2"/>
  <c r="W31" i="2"/>
  <c r="V31" i="2"/>
  <c r="U31" i="2"/>
  <c r="T31" i="2"/>
  <c r="S31" i="2"/>
  <c r="R31" i="2"/>
  <c r="Q31" i="2"/>
  <c r="P31" i="2"/>
  <c r="O31" i="2"/>
  <c r="N31" i="2"/>
  <c r="M31" i="2"/>
  <c r="L31" i="2"/>
  <c r="K31" i="2"/>
  <c r="J31" i="2"/>
  <c r="I31" i="2"/>
  <c r="H31" i="2"/>
  <c r="G31" i="2"/>
  <c r="Y31" i="2" s="1"/>
  <c r="F31" i="2"/>
  <c r="D31" i="2"/>
  <c r="C31" i="2"/>
  <c r="B31" i="2"/>
  <c r="A31" i="2"/>
  <c r="AC30" i="2"/>
  <c r="AA30" i="2"/>
  <c r="X30" i="2"/>
  <c r="W30" i="2"/>
  <c r="V30" i="2"/>
  <c r="U30" i="2"/>
  <c r="T30" i="2"/>
  <c r="S30" i="2"/>
  <c r="R30" i="2"/>
  <c r="Q30" i="2"/>
  <c r="P30" i="2"/>
  <c r="O30" i="2"/>
  <c r="N30" i="2"/>
  <c r="M30" i="2"/>
  <c r="L30" i="2"/>
  <c r="K30" i="2"/>
  <c r="J30" i="2"/>
  <c r="I30" i="2"/>
  <c r="H30" i="2"/>
  <c r="G30" i="2"/>
  <c r="Y30" i="2" s="1"/>
  <c r="F30" i="2"/>
  <c r="E30" i="2"/>
  <c r="D30" i="2"/>
  <c r="C30" i="2"/>
  <c r="B30" i="2"/>
  <c r="A30" i="2"/>
  <c r="AE30" i="2" s="1"/>
  <c r="AC29" i="2"/>
  <c r="AA29" i="2"/>
  <c r="Z29" i="2"/>
  <c r="Y29" i="2"/>
  <c r="AD29" i="2" s="1"/>
  <c r="X29" i="2"/>
  <c r="W29" i="2"/>
  <c r="V29" i="2"/>
  <c r="U29" i="2"/>
  <c r="T29" i="2"/>
  <c r="S29" i="2"/>
  <c r="R29" i="2"/>
  <c r="Q29" i="2"/>
  <c r="P29" i="2"/>
  <c r="O29" i="2"/>
  <c r="N29" i="2"/>
  <c r="M29" i="2"/>
  <c r="L29" i="2"/>
  <c r="K29" i="2"/>
  <c r="J29" i="2"/>
  <c r="I29" i="2"/>
  <c r="H29" i="2"/>
  <c r="G29" i="2"/>
  <c r="F29" i="2"/>
  <c r="E29" i="2"/>
  <c r="D29" i="2"/>
  <c r="C29" i="2"/>
  <c r="B29" i="2"/>
  <c r="A29" i="2"/>
  <c r="AE29" i="2" s="1"/>
  <c r="AC28" i="2"/>
  <c r="AA28" i="2"/>
  <c r="X28" i="2"/>
  <c r="W28" i="2"/>
  <c r="V28" i="2"/>
  <c r="U28" i="2"/>
  <c r="T28" i="2"/>
  <c r="S28" i="2"/>
  <c r="R28" i="2"/>
  <c r="Q28" i="2"/>
  <c r="P28" i="2"/>
  <c r="O28" i="2"/>
  <c r="N28" i="2"/>
  <c r="M28" i="2"/>
  <c r="L28" i="2"/>
  <c r="K28" i="2"/>
  <c r="J28" i="2"/>
  <c r="I28" i="2"/>
  <c r="H28" i="2"/>
  <c r="G28" i="2"/>
  <c r="Y28" i="2" s="1"/>
  <c r="F28" i="2"/>
  <c r="E28" i="2"/>
  <c r="D28" i="2"/>
  <c r="C28" i="2"/>
  <c r="B28" i="2"/>
  <c r="A28" i="2"/>
  <c r="AE28" i="2" s="1"/>
  <c r="AE27" i="2"/>
  <c r="AC27" i="2"/>
  <c r="AA27" i="2"/>
  <c r="X27" i="2"/>
  <c r="W27" i="2"/>
  <c r="V27" i="2"/>
  <c r="U27" i="2"/>
  <c r="T27" i="2"/>
  <c r="S27" i="2"/>
  <c r="R27" i="2"/>
  <c r="Q27" i="2"/>
  <c r="P27" i="2"/>
  <c r="O27" i="2"/>
  <c r="N27" i="2"/>
  <c r="M27" i="2"/>
  <c r="L27" i="2"/>
  <c r="K27" i="2"/>
  <c r="J27" i="2"/>
  <c r="I27" i="2"/>
  <c r="H27" i="2"/>
  <c r="G27" i="2"/>
  <c r="Y27" i="2" s="1"/>
  <c r="F27" i="2"/>
  <c r="E27" i="2"/>
  <c r="D27" i="2"/>
  <c r="C27" i="2"/>
  <c r="B27" i="2"/>
  <c r="A27" i="2"/>
  <c r="AC26" i="2"/>
  <c r="AA26" i="2"/>
  <c r="X26" i="2"/>
  <c r="W26" i="2"/>
  <c r="V26" i="2"/>
  <c r="U26" i="2"/>
  <c r="T26" i="2"/>
  <c r="S26" i="2"/>
  <c r="R26" i="2"/>
  <c r="Q26" i="2"/>
  <c r="P26" i="2"/>
  <c r="O26" i="2"/>
  <c r="N26" i="2"/>
  <c r="M26" i="2"/>
  <c r="L26" i="2"/>
  <c r="K26" i="2"/>
  <c r="J26" i="2"/>
  <c r="I26" i="2"/>
  <c r="H26" i="2"/>
  <c r="G26" i="2"/>
  <c r="Y26" i="2" s="1"/>
  <c r="F26" i="2"/>
  <c r="E26" i="2"/>
  <c r="D26" i="2"/>
  <c r="C26" i="2"/>
  <c r="B26" i="2"/>
  <c r="A26" i="2"/>
  <c r="AE26" i="2" s="1"/>
  <c r="AC25" i="2"/>
  <c r="AA25" i="2"/>
  <c r="X25" i="2"/>
  <c r="W25" i="2"/>
  <c r="V25" i="2"/>
  <c r="U25" i="2"/>
  <c r="T25" i="2"/>
  <c r="S25" i="2"/>
  <c r="R25" i="2"/>
  <c r="Q25" i="2"/>
  <c r="P25" i="2"/>
  <c r="O25" i="2"/>
  <c r="N25" i="2"/>
  <c r="M25" i="2"/>
  <c r="L25" i="2"/>
  <c r="K25" i="2"/>
  <c r="J25" i="2"/>
  <c r="I25" i="2"/>
  <c r="Y25" i="2" s="1"/>
  <c r="H25" i="2"/>
  <c r="G25" i="2"/>
  <c r="F25" i="2"/>
  <c r="D25" i="2"/>
  <c r="C25" i="2"/>
  <c r="B25" i="2"/>
  <c r="A25" i="2"/>
  <c r="AE25" i="2" s="1"/>
  <c r="AE24" i="2"/>
  <c r="AC24" i="2"/>
  <c r="AA24" i="2"/>
  <c r="X24" i="2"/>
  <c r="W24" i="2"/>
  <c r="V24" i="2"/>
  <c r="U24" i="2"/>
  <c r="T24" i="2"/>
  <c r="S24" i="2"/>
  <c r="R24" i="2"/>
  <c r="Q24" i="2"/>
  <c r="P24" i="2"/>
  <c r="O24" i="2"/>
  <c r="N24" i="2"/>
  <c r="M24" i="2"/>
  <c r="L24" i="2"/>
  <c r="K24" i="2"/>
  <c r="J24" i="2"/>
  <c r="I24" i="2"/>
  <c r="H24" i="2"/>
  <c r="G24" i="2"/>
  <c r="Y24" i="2" s="1"/>
  <c r="F24" i="2"/>
  <c r="E24" i="2"/>
  <c r="D24" i="2"/>
  <c r="C24" i="2"/>
  <c r="B24" i="2"/>
  <c r="A24" i="2"/>
  <c r="AC23" i="2"/>
  <c r="AA23" i="2"/>
  <c r="X23" i="2"/>
  <c r="W23" i="2"/>
  <c r="V23" i="2"/>
  <c r="U23" i="2"/>
  <c r="T23" i="2"/>
  <c r="S23" i="2"/>
  <c r="R23" i="2"/>
  <c r="Q23" i="2"/>
  <c r="P23" i="2"/>
  <c r="O23" i="2"/>
  <c r="N23" i="2"/>
  <c r="M23" i="2"/>
  <c r="L23" i="2"/>
  <c r="K23" i="2"/>
  <c r="J23" i="2"/>
  <c r="I23" i="2"/>
  <c r="H23" i="2"/>
  <c r="G23" i="2"/>
  <c r="Y23" i="2" s="1"/>
  <c r="F23" i="2"/>
  <c r="E23" i="2"/>
  <c r="D23" i="2"/>
  <c r="C23" i="2"/>
  <c r="B23" i="2"/>
  <c r="A23" i="2"/>
  <c r="AE23" i="2" s="1"/>
  <c r="AC22" i="2"/>
  <c r="AA22" i="2"/>
  <c r="X22" i="2"/>
  <c r="W22" i="2"/>
  <c r="V22" i="2"/>
  <c r="U22" i="2"/>
  <c r="T22" i="2"/>
  <c r="S22" i="2"/>
  <c r="R22" i="2"/>
  <c r="Q22" i="2"/>
  <c r="P22" i="2"/>
  <c r="O22" i="2"/>
  <c r="N22" i="2"/>
  <c r="M22" i="2"/>
  <c r="L22" i="2"/>
  <c r="K22" i="2"/>
  <c r="J22" i="2"/>
  <c r="I22" i="2"/>
  <c r="H22" i="2"/>
  <c r="G22" i="2"/>
  <c r="Y22" i="2" s="1"/>
  <c r="F22" i="2"/>
  <c r="E22" i="2"/>
  <c r="D22" i="2"/>
  <c r="C22" i="2"/>
  <c r="B22" i="2"/>
  <c r="A22" i="2"/>
  <c r="AE22" i="2" s="1"/>
  <c r="AC21" i="2"/>
  <c r="AA21" i="2"/>
  <c r="X21" i="2"/>
  <c r="W21" i="2"/>
  <c r="V21" i="2"/>
  <c r="U21" i="2"/>
  <c r="T21" i="2"/>
  <c r="S21" i="2"/>
  <c r="R21" i="2"/>
  <c r="Q21" i="2"/>
  <c r="P21" i="2"/>
  <c r="O21" i="2"/>
  <c r="N21" i="2"/>
  <c r="M21" i="2"/>
  <c r="L21" i="2"/>
  <c r="K21" i="2"/>
  <c r="J21" i="2"/>
  <c r="I21" i="2"/>
  <c r="Y21" i="2" s="1"/>
  <c r="H21" i="2"/>
  <c r="G21" i="2"/>
  <c r="F21" i="2"/>
  <c r="E21" i="2"/>
  <c r="D21" i="2"/>
  <c r="C21" i="2"/>
  <c r="B21" i="2"/>
  <c r="A21" i="2"/>
  <c r="AE21" i="2" s="1"/>
  <c r="AE20" i="2"/>
  <c r="AC20" i="2"/>
  <c r="AA20" i="2"/>
  <c r="X20" i="2"/>
  <c r="W20" i="2"/>
  <c r="V20" i="2"/>
  <c r="U20" i="2"/>
  <c r="T20" i="2"/>
  <c r="S20" i="2"/>
  <c r="R20" i="2"/>
  <c r="Q20" i="2"/>
  <c r="P20" i="2"/>
  <c r="O20" i="2"/>
  <c r="N20" i="2"/>
  <c r="M20" i="2"/>
  <c r="L20" i="2"/>
  <c r="K20" i="2"/>
  <c r="J20" i="2"/>
  <c r="I20" i="2"/>
  <c r="H20" i="2"/>
  <c r="G20" i="2"/>
  <c r="Y20" i="2" s="1"/>
  <c r="F20" i="2"/>
  <c r="E20" i="2"/>
  <c r="D20" i="2"/>
  <c r="C20" i="2"/>
  <c r="B20" i="2"/>
  <c r="A20" i="2"/>
  <c r="AC18" i="2"/>
  <c r="AA18" i="2"/>
  <c r="Z18" i="2"/>
  <c r="X18" i="2"/>
  <c r="W18" i="2"/>
  <c r="V18" i="2"/>
  <c r="U18" i="2"/>
  <c r="T18" i="2"/>
  <c r="S18" i="2"/>
  <c r="R18" i="2"/>
  <c r="Q18" i="2"/>
  <c r="P18" i="2"/>
  <c r="O18" i="2"/>
  <c r="N18" i="2"/>
  <c r="M18" i="2"/>
  <c r="L18" i="2"/>
  <c r="K18" i="2"/>
  <c r="J18" i="2"/>
  <c r="I18" i="2"/>
  <c r="H18" i="2"/>
  <c r="G18" i="2"/>
  <c r="Y18" i="2" s="1"/>
  <c r="AD18" i="2" s="1"/>
  <c r="AE17" i="2"/>
  <c r="AC17" i="2"/>
  <c r="AA17" i="2"/>
  <c r="X17" i="2"/>
  <c r="W17" i="2"/>
  <c r="V17" i="2"/>
  <c r="U17" i="2"/>
  <c r="T17" i="2"/>
  <c r="S17" i="2"/>
  <c r="R17" i="2"/>
  <c r="Q17" i="2"/>
  <c r="P17" i="2"/>
  <c r="O17" i="2"/>
  <c r="N17" i="2"/>
  <c r="M17" i="2"/>
  <c r="L17" i="2"/>
  <c r="K17" i="2"/>
  <c r="J17" i="2"/>
  <c r="I17" i="2"/>
  <c r="H17" i="2"/>
  <c r="G17" i="2"/>
  <c r="Y17" i="2" s="1"/>
  <c r="E17" i="2"/>
  <c r="D17" i="2"/>
  <c r="C17" i="2"/>
  <c r="B17" i="2"/>
  <c r="AC16" i="2"/>
  <c r="AA16" i="2"/>
  <c r="X16" i="2"/>
  <c r="W16" i="2"/>
  <c r="V16" i="2"/>
  <c r="U16" i="2"/>
  <c r="T16" i="2"/>
  <c r="S16" i="2"/>
  <c r="R16" i="2"/>
  <c r="Q16" i="2"/>
  <c r="P16" i="2"/>
  <c r="O16" i="2"/>
  <c r="N16" i="2"/>
  <c r="M16" i="2"/>
  <c r="L16" i="2"/>
  <c r="K16" i="2"/>
  <c r="J16" i="2"/>
  <c r="I16" i="2"/>
  <c r="H16" i="2"/>
  <c r="G16" i="2"/>
  <c r="Y16" i="2" s="1"/>
  <c r="E16" i="2"/>
  <c r="D16" i="2"/>
  <c r="C16" i="2"/>
  <c r="B16" i="2"/>
  <c r="A16" i="2"/>
  <c r="AE16" i="2" s="1"/>
  <c r="AC15" i="2"/>
  <c r="AA15" i="2"/>
  <c r="X15" i="2"/>
  <c r="W15" i="2"/>
  <c r="V15" i="2"/>
  <c r="U15" i="2"/>
  <c r="T15" i="2"/>
  <c r="S15" i="2"/>
  <c r="R15" i="2"/>
  <c r="Q15" i="2"/>
  <c r="P15" i="2"/>
  <c r="O15" i="2"/>
  <c r="N15" i="2"/>
  <c r="M15" i="2"/>
  <c r="L15" i="2"/>
  <c r="K15" i="2"/>
  <c r="J15" i="2"/>
  <c r="I15" i="2"/>
  <c r="H15" i="2"/>
  <c r="G15" i="2"/>
  <c r="Y15" i="2" s="1"/>
  <c r="E15" i="2"/>
  <c r="D15" i="2"/>
  <c r="C15" i="2"/>
  <c r="B15" i="2"/>
  <c r="A15" i="2"/>
  <c r="AE15" i="2" s="1"/>
  <c r="AC14" i="2"/>
  <c r="AA14" i="2"/>
  <c r="X14" i="2"/>
  <c r="W14" i="2"/>
  <c r="V14" i="2"/>
  <c r="U14" i="2"/>
  <c r="T14" i="2"/>
  <c r="S14" i="2"/>
  <c r="R14" i="2"/>
  <c r="Q14" i="2"/>
  <c r="P14" i="2"/>
  <c r="O14" i="2"/>
  <c r="N14" i="2"/>
  <c r="M14" i="2"/>
  <c r="L14" i="2"/>
  <c r="K14" i="2"/>
  <c r="J14" i="2"/>
  <c r="I14" i="2"/>
  <c r="Y14" i="2" s="1"/>
  <c r="H14" i="2"/>
  <c r="G14" i="2"/>
  <c r="F14" i="2"/>
  <c r="E14" i="2"/>
  <c r="D14" i="2"/>
  <c r="C14" i="2"/>
  <c r="B14" i="2"/>
  <c r="A14" i="2"/>
  <c r="AE14" i="2" s="1"/>
  <c r="AC13" i="2"/>
  <c r="AA13" i="2"/>
  <c r="X13" i="2"/>
  <c r="W13" i="2"/>
  <c r="V13" i="2"/>
  <c r="U13" i="2"/>
  <c r="T13" i="2"/>
  <c r="S13" i="2"/>
  <c r="R13" i="2"/>
  <c r="Q13" i="2"/>
  <c r="P13" i="2"/>
  <c r="O13" i="2"/>
  <c r="N13" i="2"/>
  <c r="M13" i="2"/>
  <c r="L13" i="2"/>
  <c r="K13" i="2"/>
  <c r="J13" i="2"/>
  <c r="I13" i="2"/>
  <c r="H13" i="2"/>
  <c r="G13" i="2"/>
  <c r="Y13" i="2" s="1"/>
  <c r="F13" i="2"/>
  <c r="E13" i="2"/>
  <c r="D13" i="2"/>
  <c r="C13" i="2"/>
  <c r="B13" i="2"/>
  <c r="A13" i="2"/>
  <c r="AE13" i="2" s="1"/>
  <c r="AE12" i="2"/>
  <c r="AC12" i="2"/>
  <c r="AA12" i="2"/>
  <c r="X12" i="2"/>
  <c r="W12" i="2"/>
  <c r="V12" i="2"/>
  <c r="U12" i="2"/>
  <c r="T12" i="2"/>
  <c r="S12" i="2"/>
  <c r="R12" i="2"/>
  <c r="Q12" i="2"/>
  <c r="P12" i="2"/>
  <c r="O12" i="2"/>
  <c r="N12" i="2"/>
  <c r="M12" i="2"/>
  <c r="L12" i="2"/>
  <c r="K12" i="2"/>
  <c r="J12" i="2"/>
  <c r="I12" i="2"/>
  <c r="H12" i="2"/>
  <c r="G12" i="2"/>
  <c r="Y12" i="2" s="1"/>
  <c r="F12" i="2"/>
  <c r="E12" i="2"/>
  <c r="D12" i="2"/>
  <c r="C12" i="2"/>
  <c r="B12" i="2"/>
  <c r="A12" i="2"/>
  <c r="AC11" i="2"/>
  <c r="AA11" i="2"/>
  <c r="X11" i="2"/>
  <c r="W11" i="2"/>
  <c r="V11" i="2"/>
  <c r="U11" i="2"/>
  <c r="T11" i="2"/>
  <c r="S11" i="2"/>
  <c r="R11" i="2"/>
  <c r="Q11" i="2"/>
  <c r="P11" i="2"/>
  <c r="O11" i="2"/>
  <c r="N11" i="2"/>
  <c r="M11" i="2"/>
  <c r="L11" i="2"/>
  <c r="K11" i="2"/>
  <c r="J11" i="2"/>
  <c r="I11" i="2"/>
  <c r="H11" i="2"/>
  <c r="G11" i="2"/>
  <c r="Y11" i="2" s="1"/>
  <c r="F11" i="2"/>
  <c r="E11" i="2"/>
  <c r="D11" i="2"/>
  <c r="C11" i="2"/>
  <c r="B11" i="2"/>
  <c r="A11" i="2"/>
  <c r="AE11" i="2" s="1"/>
  <c r="AC10" i="2"/>
  <c r="AA10" i="2"/>
  <c r="X10" i="2"/>
  <c r="W10" i="2"/>
  <c r="V10" i="2"/>
  <c r="U10" i="2"/>
  <c r="T10" i="2"/>
  <c r="S10" i="2"/>
  <c r="R10" i="2"/>
  <c r="Q10" i="2"/>
  <c r="P10" i="2"/>
  <c r="O10" i="2"/>
  <c r="N10" i="2"/>
  <c r="M10" i="2"/>
  <c r="L10" i="2"/>
  <c r="K10" i="2"/>
  <c r="J10" i="2"/>
  <c r="I10" i="2"/>
  <c r="Y10" i="2" s="1"/>
  <c r="H10" i="2"/>
  <c r="G10" i="2"/>
  <c r="F10" i="2"/>
  <c r="E10" i="2"/>
  <c r="D10" i="2"/>
  <c r="C10" i="2"/>
  <c r="B10" i="2"/>
  <c r="A10" i="2"/>
  <c r="AE10" i="2" s="1"/>
  <c r="AC9" i="2"/>
  <c r="AA9" i="2"/>
  <c r="X9" i="2"/>
  <c r="W9" i="2"/>
  <c r="V9" i="2"/>
  <c r="U9" i="2"/>
  <c r="T9" i="2"/>
  <c r="S9" i="2"/>
  <c r="R9" i="2"/>
  <c r="Q9" i="2"/>
  <c r="P9" i="2"/>
  <c r="O9" i="2"/>
  <c r="N9" i="2"/>
  <c r="M9" i="2"/>
  <c r="L9" i="2"/>
  <c r="K9" i="2"/>
  <c r="J9" i="2"/>
  <c r="I9" i="2"/>
  <c r="H9" i="2"/>
  <c r="G9" i="2"/>
  <c r="Y9" i="2" s="1"/>
  <c r="F9" i="2"/>
  <c r="E9" i="2"/>
  <c r="D9" i="2"/>
  <c r="C9" i="2"/>
  <c r="B9" i="2"/>
  <c r="A9" i="2"/>
  <c r="AE9" i="2" s="1"/>
  <c r="AE8" i="2"/>
  <c r="AC8" i="2"/>
  <c r="AA8" i="2"/>
  <c r="X8" i="2"/>
  <c r="W8" i="2"/>
  <c r="V8" i="2"/>
  <c r="U8" i="2"/>
  <c r="T8" i="2"/>
  <c r="S8" i="2"/>
  <c r="R8" i="2"/>
  <c r="Q8" i="2"/>
  <c r="P8" i="2"/>
  <c r="O8" i="2"/>
  <c r="N8" i="2"/>
  <c r="M8" i="2"/>
  <c r="L8" i="2"/>
  <c r="K8" i="2"/>
  <c r="J8" i="2"/>
  <c r="I8" i="2"/>
  <c r="H8" i="2"/>
  <c r="G8" i="2"/>
  <c r="Y8" i="2" s="1"/>
  <c r="F8" i="2"/>
  <c r="E8" i="2"/>
  <c r="D8" i="2"/>
  <c r="C8" i="2"/>
  <c r="B8" i="2"/>
  <c r="A8" i="2"/>
  <c r="AC7" i="2"/>
  <c r="AA7" i="2"/>
  <c r="X7" i="2"/>
  <c r="W7" i="2"/>
  <c r="V7" i="2"/>
  <c r="U7" i="2"/>
  <c r="T7" i="2"/>
  <c r="S7" i="2"/>
  <c r="R7" i="2"/>
  <c r="Q7" i="2"/>
  <c r="P7" i="2"/>
  <c r="O7" i="2"/>
  <c r="N7" i="2"/>
  <c r="M7" i="2"/>
  <c r="L7" i="2"/>
  <c r="K7" i="2"/>
  <c r="J7" i="2"/>
  <c r="I7" i="2"/>
  <c r="H7" i="2"/>
  <c r="G7" i="2"/>
  <c r="Y7" i="2" s="1"/>
  <c r="F7" i="2"/>
  <c r="E7" i="2"/>
  <c r="A7" i="2"/>
  <c r="AE7" i="2" s="1"/>
  <c r="AE6" i="2"/>
  <c r="AC6" i="2"/>
  <c r="AA6" i="2"/>
  <c r="X6" i="2"/>
  <c r="W6" i="2"/>
  <c r="V6" i="2"/>
  <c r="U6" i="2"/>
  <c r="T6" i="2"/>
  <c r="S6" i="2"/>
  <c r="R6" i="2"/>
  <c r="Q6" i="2"/>
  <c r="P6" i="2"/>
  <c r="O6" i="2"/>
  <c r="N6" i="2"/>
  <c r="M6" i="2"/>
  <c r="L6" i="2"/>
  <c r="K6" i="2"/>
  <c r="J6" i="2"/>
  <c r="I6" i="2"/>
  <c r="H6" i="2"/>
  <c r="G6" i="2"/>
  <c r="Y6" i="2" s="1"/>
  <c r="F6" i="2"/>
  <c r="E6" i="2"/>
  <c r="A6" i="2"/>
  <c r="W4" i="2"/>
  <c r="V4" i="2"/>
  <c r="U4" i="2"/>
  <c r="T4" i="2"/>
  <c r="S4" i="2"/>
  <c r="R4" i="2"/>
  <c r="Q4" i="2"/>
  <c r="P4" i="2"/>
  <c r="O4" i="2"/>
  <c r="N4" i="2"/>
  <c r="M4" i="2"/>
  <c r="L4" i="2"/>
  <c r="K4" i="2"/>
  <c r="J4" i="2"/>
  <c r="I4" i="2"/>
  <c r="H4" i="2"/>
  <c r="G4" i="2"/>
  <c r="X3" i="2"/>
  <c r="W3" i="2"/>
  <c r="U3" i="2"/>
  <c r="Q3" i="2"/>
  <c r="O3" i="2"/>
  <c r="K3" i="2"/>
  <c r="H3" i="2"/>
  <c r="AE55" i="1"/>
  <c r="A54" i="1"/>
  <c r="Z54" i="1" s="1"/>
  <c r="F53" i="1"/>
  <c r="A53" i="1"/>
  <c r="AA53" i="1" s="1"/>
  <c r="X52" i="1"/>
  <c r="W52" i="1"/>
  <c r="P52" i="1"/>
  <c r="O52" i="1"/>
  <c r="H52" i="1"/>
  <c r="G52" i="1"/>
  <c r="F52" i="1"/>
  <c r="A52" i="1"/>
  <c r="AE52" i="1" s="1"/>
  <c r="Z51" i="1"/>
  <c r="Y51" i="1"/>
  <c r="X51" i="1"/>
  <c r="R51" i="1"/>
  <c r="Q51" i="1"/>
  <c r="P51" i="1"/>
  <c r="J51" i="1"/>
  <c r="I51" i="1"/>
  <c r="H51" i="1"/>
  <c r="F51" i="1"/>
  <c r="A51" i="1"/>
  <c r="W51" i="1" s="1"/>
  <c r="AD50" i="1"/>
  <c r="AA50" i="1"/>
  <c r="Z50" i="1"/>
  <c r="X50" i="1"/>
  <c r="W50" i="1"/>
  <c r="T50" i="1"/>
  <c r="S50" i="1"/>
  <c r="R50" i="1"/>
  <c r="P50" i="1"/>
  <c r="O50" i="1"/>
  <c r="L50" i="1"/>
  <c r="K50" i="1"/>
  <c r="J50" i="1"/>
  <c r="H50" i="1"/>
  <c r="G50" i="1"/>
  <c r="F50" i="1"/>
  <c r="A50" i="1"/>
  <c r="Y50" i="1" s="1"/>
  <c r="AG50" i="1" s="1"/>
  <c r="AE49" i="1"/>
  <c r="Y49" i="1"/>
  <c r="V49" i="1"/>
  <c r="U49" i="1"/>
  <c r="T49" i="1"/>
  <c r="R49" i="1"/>
  <c r="N49" i="1"/>
  <c r="L49" i="1"/>
  <c r="J49" i="1"/>
  <c r="I49" i="1"/>
  <c r="H49" i="1"/>
  <c r="F49" i="1"/>
  <c r="A49" i="1"/>
  <c r="X49" i="1" s="1"/>
  <c r="AE41" i="1"/>
  <c r="AA41" i="1"/>
  <c r="Y41" i="1"/>
  <c r="X41" i="1"/>
  <c r="W41" i="1"/>
  <c r="U41" i="1"/>
  <c r="T41" i="1"/>
  <c r="S41" i="1"/>
  <c r="Q41" i="1"/>
  <c r="P41" i="1"/>
  <c r="O41" i="1"/>
  <c r="M41" i="1"/>
  <c r="L41" i="1"/>
  <c r="K41" i="1"/>
  <c r="I41" i="1"/>
  <c r="H41" i="1"/>
  <c r="G41" i="1"/>
  <c r="A41" i="1"/>
  <c r="V41" i="1" s="1"/>
  <c r="AE40" i="1"/>
  <c r="AD40" i="1"/>
  <c r="AI40" i="1" s="1"/>
  <c r="Y40" i="1"/>
  <c r="X40" i="1"/>
  <c r="U40" i="1"/>
  <c r="T40" i="1"/>
  <c r="R40" i="1"/>
  <c r="Q40" i="1"/>
  <c r="N40" i="1"/>
  <c r="M40" i="1"/>
  <c r="J40" i="1"/>
  <c r="I40" i="1"/>
  <c r="H40" i="1"/>
  <c r="F40" i="1"/>
  <c r="A40" i="1"/>
  <c r="V40" i="1" s="1"/>
  <c r="AD39" i="1"/>
  <c r="AI39" i="1" s="1"/>
  <c r="AA39" i="1"/>
  <c r="Z39" i="1"/>
  <c r="AJ39" i="1" s="1"/>
  <c r="AK39" i="1" s="1"/>
  <c r="X39" i="1"/>
  <c r="W39" i="1"/>
  <c r="V39" i="1"/>
  <c r="T39" i="1"/>
  <c r="S39" i="1"/>
  <c r="R39" i="1"/>
  <c r="P39" i="1"/>
  <c r="O39" i="1"/>
  <c r="N39" i="1"/>
  <c r="L39" i="1"/>
  <c r="K39" i="1"/>
  <c r="J39" i="1"/>
  <c r="H39" i="1"/>
  <c r="G39" i="1"/>
  <c r="F39" i="1"/>
  <c r="A39" i="1"/>
  <c r="Y39" i="1" s="1"/>
  <c r="AG39" i="1" s="1"/>
  <c r="AD38" i="1"/>
  <c r="AI38" i="1" s="1"/>
  <c r="Y38" i="1"/>
  <c r="U38" i="1"/>
  <c r="Q38" i="1"/>
  <c r="N38" i="1"/>
  <c r="J38" i="1"/>
  <c r="F38" i="1"/>
  <c r="A38" i="1"/>
  <c r="X38" i="1" s="1"/>
  <c r="AD37" i="1"/>
  <c r="AI37" i="1" s="1"/>
  <c r="AA37" i="1"/>
  <c r="Z37" i="1"/>
  <c r="X37" i="1"/>
  <c r="W37" i="1"/>
  <c r="V37" i="1"/>
  <c r="T37" i="1"/>
  <c r="S37" i="1"/>
  <c r="R37" i="1"/>
  <c r="P37" i="1"/>
  <c r="O37" i="1"/>
  <c r="N37" i="1"/>
  <c r="L37" i="1"/>
  <c r="K37" i="1"/>
  <c r="J37" i="1"/>
  <c r="H37" i="1"/>
  <c r="G37" i="1"/>
  <c r="F37" i="1"/>
  <c r="A37" i="1"/>
  <c r="AE37" i="1" s="1"/>
  <c r="AE36" i="1"/>
  <c r="Y36" i="1"/>
  <c r="X36" i="1"/>
  <c r="V36" i="1"/>
  <c r="R36" i="1"/>
  <c r="N36" i="1"/>
  <c r="M36" i="1"/>
  <c r="L36" i="1"/>
  <c r="H36" i="1"/>
  <c r="F36" i="1"/>
  <c r="A36" i="1"/>
  <c r="AI35" i="1"/>
  <c r="AD35" i="1"/>
  <c r="AA35" i="1"/>
  <c r="AH35" i="1" s="1"/>
  <c r="Z35" i="1"/>
  <c r="AJ35" i="1" s="1"/>
  <c r="X35" i="1"/>
  <c r="W35" i="1"/>
  <c r="V35" i="1"/>
  <c r="T35" i="1"/>
  <c r="S35" i="1"/>
  <c r="R35" i="1"/>
  <c r="P35" i="1"/>
  <c r="O35" i="1"/>
  <c r="N35" i="1"/>
  <c r="L35" i="1"/>
  <c r="K35" i="1"/>
  <c r="J35" i="1"/>
  <c r="H35" i="1"/>
  <c r="G35" i="1"/>
  <c r="F35" i="1"/>
  <c r="A35" i="1"/>
  <c r="Y35" i="1" s="1"/>
  <c r="AG35" i="1" s="1"/>
  <c r="L34" i="1"/>
  <c r="F34" i="1"/>
  <c r="A34" i="1"/>
  <c r="AH33" i="1"/>
  <c r="AD33" i="1"/>
  <c r="AI33" i="1" s="1"/>
  <c r="AA33" i="1"/>
  <c r="Z33" i="1"/>
  <c r="AJ33" i="1" s="1"/>
  <c r="AK33" i="1" s="1"/>
  <c r="X33" i="1"/>
  <c r="W33" i="1"/>
  <c r="V33" i="1"/>
  <c r="T33" i="1"/>
  <c r="S33" i="1"/>
  <c r="R33" i="1"/>
  <c r="P33" i="1"/>
  <c r="O33" i="1"/>
  <c r="N33" i="1"/>
  <c r="L33" i="1"/>
  <c r="K33" i="1"/>
  <c r="J33" i="1"/>
  <c r="H33" i="1"/>
  <c r="G33" i="1"/>
  <c r="F33" i="1"/>
  <c r="A33" i="1"/>
  <c r="AE33" i="1" s="1"/>
  <c r="AE32" i="1"/>
  <c r="AD32" i="1"/>
  <c r="AI32" i="1" s="1"/>
  <c r="Y32" i="1"/>
  <c r="X32" i="1"/>
  <c r="V32" i="1"/>
  <c r="U32" i="1"/>
  <c r="T32" i="1"/>
  <c r="R32" i="1"/>
  <c r="Q32" i="1"/>
  <c r="N32" i="1"/>
  <c r="M32" i="1"/>
  <c r="L32" i="1"/>
  <c r="J32" i="1"/>
  <c r="I32" i="1"/>
  <c r="H32" i="1"/>
  <c r="F32" i="1"/>
  <c r="A32" i="1"/>
  <c r="AI31" i="1"/>
  <c r="AD31" i="1"/>
  <c r="AA31" i="1"/>
  <c r="Z31" i="1"/>
  <c r="X31" i="1"/>
  <c r="W31" i="1"/>
  <c r="V31" i="1"/>
  <c r="T31" i="1"/>
  <c r="S31" i="1"/>
  <c r="R31" i="1"/>
  <c r="P31" i="1"/>
  <c r="O31" i="1"/>
  <c r="N31" i="1"/>
  <c r="L31" i="1"/>
  <c r="K31" i="1"/>
  <c r="J31" i="1"/>
  <c r="H31" i="1"/>
  <c r="G31" i="1"/>
  <c r="F31" i="1"/>
  <c r="A31" i="1"/>
  <c r="Y31" i="1" s="1"/>
  <c r="AG31" i="1" s="1"/>
  <c r="AD30" i="1"/>
  <c r="AI30" i="1" s="1"/>
  <c r="Y30" i="1"/>
  <c r="U30" i="1"/>
  <c r="Q30" i="1"/>
  <c r="N30" i="1"/>
  <c r="J30" i="1"/>
  <c r="F30" i="1"/>
  <c r="A30" i="1"/>
  <c r="X30" i="1" s="1"/>
  <c r="AD29" i="1"/>
  <c r="AI29" i="1" s="1"/>
  <c r="AA29" i="1"/>
  <c r="Z29" i="1"/>
  <c r="X29" i="1"/>
  <c r="W29" i="1"/>
  <c r="V29" i="1"/>
  <c r="T29" i="1"/>
  <c r="S29" i="1"/>
  <c r="R29" i="1"/>
  <c r="P29" i="1"/>
  <c r="O29" i="1"/>
  <c r="N29" i="1"/>
  <c r="L29" i="1"/>
  <c r="K29" i="1"/>
  <c r="J29" i="1"/>
  <c r="H29" i="1"/>
  <c r="G29" i="1"/>
  <c r="F29" i="1"/>
  <c r="A29" i="1"/>
  <c r="AE29" i="1" s="1"/>
  <c r="AE28" i="1"/>
  <c r="Y28" i="1"/>
  <c r="X28" i="1"/>
  <c r="V28" i="1"/>
  <c r="R28" i="1"/>
  <c r="N28" i="1"/>
  <c r="M28" i="1"/>
  <c r="L28" i="1"/>
  <c r="H28" i="1"/>
  <c r="F28" i="1"/>
  <c r="A28" i="1"/>
  <c r="AK27" i="1"/>
  <c r="AI27" i="1"/>
  <c r="AD27" i="1"/>
  <c r="AA27" i="1"/>
  <c r="AH27" i="1" s="1"/>
  <c r="Z27" i="1"/>
  <c r="AJ27" i="1" s="1"/>
  <c r="Y27" i="1"/>
  <c r="X27" i="1"/>
  <c r="W27" i="1"/>
  <c r="V27" i="1"/>
  <c r="T27" i="1"/>
  <c r="S27" i="1"/>
  <c r="R27" i="1"/>
  <c r="Q27" i="1"/>
  <c r="P27" i="1"/>
  <c r="O27" i="1"/>
  <c r="N27" i="1"/>
  <c r="L27" i="1"/>
  <c r="K27" i="1"/>
  <c r="J27" i="1"/>
  <c r="I27" i="1"/>
  <c r="H27" i="1"/>
  <c r="G27" i="1"/>
  <c r="F27" i="1"/>
  <c r="A27" i="1"/>
  <c r="AE27" i="1" s="1"/>
  <c r="N26" i="1"/>
  <c r="F26" i="1"/>
  <c r="A26" i="1"/>
  <c r="AE25" i="1"/>
  <c r="Z25" i="1"/>
  <c r="U25" i="1"/>
  <c r="T25" i="1"/>
  <c r="P25" i="1"/>
  <c r="L25" i="1"/>
  <c r="K25" i="1"/>
  <c r="G25" i="1"/>
  <c r="A25" i="1"/>
  <c r="W25" i="1" s="1"/>
  <c r="AA24" i="1"/>
  <c r="U24" i="1"/>
  <c r="R24" i="1"/>
  <c r="L24" i="1"/>
  <c r="I24" i="1"/>
  <c r="F24" i="1"/>
  <c r="A24" i="1"/>
  <c r="AE24" i="1" s="1"/>
  <c r="Z23" i="1"/>
  <c r="AJ23" i="1" s="1"/>
  <c r="Y23" i="1"/>
  <c r="V23" i="1"/>
  <c r="U23" i="1"/>
  <c r="Q23" i="1"/>
  <c r="P23" i="1"/>
  <c r="M23" i="1"/>
  <c r="K23" i="1"/>
  <c r="H23" i="1"/>
  <c r="G23" i="1"/>
  <c r="F23" i="1"/>
  <c r="A23" i="1"/>
  <c r="AE22" i="1"/>
  <c r="AD22" i="1"/>
  <c r="AA22" i="1"/>
  <c r="Z22" i="1"/>
  <c r="X22" i="1"/>
  <c r="W22" i="1"/>
  <c r="W44" i="1" s="1"/>
  <c r="U22" i="1"/>
  <c r="T22" i="1"/>
  <c r="S22" i="1"/>
  <c r="R22" i="1"/>
  <c r="Q22" i="1"/>
  <c r="P22" i="1"/>
  <c r="O22" i="1"/>
  <c r="M22" i="1"/>
  <c r="L22" i="1"/>
  <c r="K22" i="1"/>
  <c r="J22" i="1"/>
  <c r="I22" i="1"/>
  <c r="H22" i="1"/>
  <c r="G22" i="1"/>
  <c r="A22" i="1"/>
  <c r="V22" i="1" s="1"/>
  <c r="AA21" i="1"/>
  <c r="S21" i="1"/>
  <c r="I21" i="1"/>
  <c r="F21" i="1"/>
  <c r="A21" i="1"/>
  <c r="S20" i="1"/>
  <c r="Q20" i="1"/>
  <c r="N20" i="1"/>
  <c r="M20" i="1"/>
  <c r="F20" i="1"/>
  <c r="A20" i="1"/>
  <c r="Z17" i="1"/>
  <c r="V17" i="1"/>
  <c r="U17" i="1"/>
  <c r="Q17" i="1"/>
  <c r="P17" i="1"/>
  <c r="M17" i="1"/>
  <c r="L17" i="1"/>
  <c r="H17" i="1"/>
  <c r="A17" i="1"/>
  <c r="AE16" i="1"/>
  <c r="AD16" i="1"/>
  <c r="Z16" i="1"/>
  <c r="W16" i="1"/>
  <c r="V16" i="1"/>
  <c r="U16" i="1"/>
  <c r="T16" i="1"/>
  <c r="R16" i="1"/>
  <c r="Q16" i="1"/>
  <c r="N16" i="1"/>
  <c r="M16" i="1"/>
  <c r="L16" i="1"/>
  <c r="J16" i="1"/>
  <c r="I16" i="1"/>
  <c r="H16" i="1"/>
  <c r="A16" i="1"/>
  <c r="O16" i="1" s="1"/>
  <c r="AE15" i="1"/>
  <c r="AD15" i="1"/>
  <c r="AA15" i="1"/>
  <c r="X15" i="1"/>
  <c r="V15" i="1"/>
  <c r="U15" i="1"/>
  <c r="T15" i="1"/>
  <c r="S15" i="1"/>
  <c r="R15" i="1"/>
  <c r="N15" i="1"/>
  <c r="M15" i="1"/>
  <c r="L15" i="1"/>
  <c r="K15" i="1"/>
  <c r="J15" i="1"/>
  <c r="I15" i="1"/>
  <c r="A15" i="1"/>
  <c r="AE14" i="1"/>
  <c r="AD14" i="1"/>
  <c r="AI14" i="1" s="1"/>
  <c r="Y14" i="1"/>
  <c r="X14" i="1"/>
  <c r="V14" i="1"/>
  <c r="V44" i="1" s="1"/>
  <c r="U14" i="1"/>
  <c r="U44" i="1" s="1"/>
  <c r="S14" i="1"/>
  <c r="P14" i="1"/>
  <c r="O14" i="1"/>
  <c r="M14" i="1"/>
  <c r="K14" i="1"/>
  <c r="J14" i="1"/>
  <c r="G14" i="1"/>
  <c r="F14" i="1"/>
  <c r="A14" i="1"/>
  <c r="U13" i="1"/>
  <c r="N13" i="1"/>
  <c r="F13" i="1"/>
  <c r="A13" i="1"/>
  <c r="P13" i="1" s="1"/>
  <c r="AA12" i="1"/>
  <c r="Y12" i="1"/>
  <c r="X12" i="1"/>
  <c r="W12" i="1"/>
  <c r="S12" i="1"/>
  <c r="R12" i="1"/>
  <c r="Q12" i="1"/>
  <c r="O12" i="1"/>
  <c r="M12" i="1"/>
  <c r="J12" i="1"/>
  <c r="I12" i="1"/>
  <c r="H12" i="1"/>
  <c r="G12" i="1"/>
  <c r="F12" i="1"/>
  <c r="A12" i="1"/>
  <c r="V11" i="1"/>
  <c r="L11" i="1"/>
  <c r="F11" i="1"/>
  <c r="A11" i="1"/>
  <c r="Z11" i="1" s="1"/>
  <c r="AJ11" i="1" s="1"/>
  <c r="AI10" i="1"/>
  <c r="AD10" i="1"/>
  <c r="AA10" i="1"/>
  <c r="Z10" i="1"/>
  <c r="AJ10" i="1" s="1"/>
  <c r="AK10" i="1" s="1"/>
  <c r="Y10" i="1"/>
  <c r="AG10" i="1" s="1"/>
  <c r="X10" i="1"/>
  <c r="W10" i="1"/>
  <c r="V10" i="1"/>
  <c r="T10" i="1"/>
  <c r="S10" i="1"/>
  <c r="R10" i="1"/>
  <c r="Q10" i="1"/>
  <c r="P10" i="1"/>
  <c r="O10" i="1"/>
  <c r="N10" i="1"/>
  <c r="L10" i="1"/>
  <c r="K10" i="1"/>
  <c r="J10" i="1"/>
  <c r="I10" i="1"/>
  <c r="H10" i="1"/>
  <c r="G10" i="1"/>
  <c r="F10" i="1"/>
  <c r="A10" i="1"/>
  <c r="AE10" i="1" s="1"/>
  <c r="V9" i="1"/>
  <c r="L9" i="1"/>
  <c r="F9" i="1"/>
  <c r="A9" i="1"/>
  <c r="AD9" i="1" s="1"/>
  <c r="AI9" i="1" s="1"/>
  <c r="AE8" i="1"/>
  <c r="Z8" i="1"/>
  <c r="X8" i="1"/>
  <c r="W8" i="1"/>
  <c r="V8" i="1"/>
  <c r="U8" i="1"/>
  <c r="R8" i="1"/>
  <c r="Q8" i="1"/>
  <c r="P8" i="1"/>
  <c r="N8" i="1"/>
  <c r="M8" i="1"/>
  <c r="J8" i="1"/>
  <c r="I8" i="1"/>
  <c r="H8" i="1"/>
  <c r="G8" i="1"/>
  <c r="F8" i="1"/>
  <c r="A8" i="1"/>
  <c r="AE7" i="1"/>
  <c r="AD7" i="1"/>
  <c r="AA7" i="1"/>
  <c r="Z7" i="1"/>
  <c r="Y7" i="1"/>
  <c r="AG7" i="1" s="1"/>
  <c r="X7" i="1"/>
  <c r="W7" i="1"/>
  <c r="U7" i="1"/>
  <c r="T7" i="1"/>
  <c r="S7" i="1"/>
  <c r="R7" i="1"/>
  <c r="Q7" i="1"/>
  <c r="P7" i="1"/>
  <c r="O7" i="1"/>
  <c r="M7" i="1"/>
  <c r="L7" i="1"/>
  <c r="K7" i="1"/>
  <c r="J7" i="1"/>
  <c r="I7" i="1"/>
  <c r="H7" i="1"/>
  <c r="G7" i="1"/>
  <c r="A7" i="1"/>
  <c r="V7" i="1" s="1"/>
  <c r="AE6" i="1"/>
  <c r="AD6" i="1"/>
  <c r="AA6" i="1"/>
  <c r="Z6" i="1"/>
  <c r="Y6" i="1"/>
  <c r="AG6" i="1" s="1"/>
  <c r="X6" i="1"/>
  <c r="U6" i="1"/>
  <c r="T6" i="1"/>
  <c r="S6" i="1"/>
  <c r="R6" i="1"/>
  <c r="Q6" i="1"/>
  <c r="P6" i="1"/>
  <c r="M6" i="1"/>
  <c r="L6" i="1"/>
  <c r="K6" i="1"/>
  <c r="J6" i="1"/>
  <c r="I6" i="1"/>
  <c r="H6" i="1"/>
  <c r="A6" i="1"/>
  <c r="W6" i="1" s="1"/>
  <c r="X1" i="1"/>
  <c r="W1" i="1"/>
  <c r="V1" i="1"/>
  <c r="U1" i="1"/>
  <c r="T1" i="1"/>
  <c r="S1" i="1"/>
  <c r="R1" i="1"/>
  <c r="Q1" i="1"/>
  <c r="P1" i="1"/>
  <c r="O1" i="1"/>
  <c r="N1" i="1"/>
  <c r="M1" i="1"/>
  <c r="L1" i="1"/>
  <c r="K1" i="1"/>
  <c r="J1" i="1"/>
  <c r="I1" i="1"/>
  <c r="H1" i="1"/>
  <c r="G1" i="1"/>
  <c r="AD10" i="2" l="1"/>
  <c r="Z10" i="2"/>
  <c r="AD51" i="2"/>
  <c r="Z51" i="2"/>
  <c r="Z8" i="2"/>
  <c r="AD8" i="2"/>
  <c r="AD13" i="2"/>
  <c r="Z13" i="2"/>
  <c r="AD42" i="2"/>
  <c r="Z42" i="2"/>
  <c r="AD54" i="2"/>
  <c r="Z54" i="2"/>
  <c r="AD21" i="2"/>
  <c r="Z21" i="2"/>
  <c r="AD22" i="2"/>
  <c r="Z22" i="2"/>
  <c r="AD25" i="2"/>
  <c r="Z25" i="2"/>
  <c r="Z26" i="2"/>
  <c r="AD26" i="2"/>
  <c r="AD39" i="2"/>
  <c r="Z39" i="2"/>
  <c r="Z49" i="2"/>
  <c r="AD49" i="2"/>
  <c r="Z11" i="2"/>
  <c r="AD11" i="2"/>
  <c r="Z23" i="2"/>
  <c r="AD23" i="2"/>
  <c r="Z27" i="2"/>
  <c r="AD27" i="2"/>
  <c r="Z40" i="2"/>
  <c r="AD40" i="2"/>
  <c r="AD35" i="2"/>
  <c r="Z35" i="2"/>
  <c r="Z50" i="2"/>
  <c r="AD50" i="2"/>
  <c r="AD6" i="2"/>
  <c r="Z6" i="2"/>
  <c r="Z7" i="2"/>
  <c r="AD7" i="2"/>
  <c r="Z36" i="2"/>
  <c r="AD36" i="2"/>
  <c r="AD31" i="2"/>
  <c r="Z31" i="2"/>
  <c r="Z34" i="2"/>
  <c r="AD34" i="2"/>
  <c r="AD15" i="2"/>
  <c r="Z15" i="2"/>
  <c r="Z33" i="2"/>
  <c r="AD33" i="2"/>
  <c r="AD20" i="2"/>
  <c r="Z20" i="2"/>
  <c r="AD28" i="2"/>
  <c r="Z28" i="2"/>
  <c r="Z38" i="2"/>
  <c r="AD38" i="2"/>
  <c r="AD46" i="2"/>
  <c r="Z46" i="2"/>
  <c r="AD14" i="2"/>
  <c r="Z14" i="2"/>
  <c r="AD16" i="2"/>
  <c r="Z16" i="2"/>
  <c r="Z17" i="2"/>
  <c r="AD17" i="2"/>
  <c r="Z30" i="2"/>
  <c r="AD30" i="2"/>
  <c r="Z37" i="2"/>
  <c r="AD37" i="2"/>
  <c r="AD41" i="2"/>
  <c r="Z41" i="2"/>
  <c r="Z44" i="2"/>
  <c r="AD44" i="2"/>
  <c r="AD55" i="2"/>
  <c r="Z55" i="2"/>
  <c r="Z12" i="2"/>
  <c r="AD12" i="2"/>
  <c r="AD24" i="2"/>
  <c r="Z24" i="2"/>
  <c r="AD9" i="2"/>
  <c r="Z9" i="2"/>
  <c r="AD52" i="2"/>
  <c r="Z52" i="2"/>
  <c r="Z53" i="2"/>
  <c r="AD53" i="2"/>
  <c r="M9" i="1"/>
  <c r="W9" i="1"/>
  <c r="M11" i="1"/>
  <c r="Y11" i="1"/>
  <c r="W21" i="1"/>
  <c r="O21" i="1"/>
  <c r="G21" i="1"/>
  <c r="Z21" i="1"/>
  <c r="AH21" i="1" s="1"/>
  <c r="Q21" i="1"/>
  <c r="H21" i="1"/>
  <c r="Y21" i="1"/>
  <c r="AG21" i="1" s="1"/>
  <c r="P21" i="1"/>
  <c r="U21" i="1"/>
  <c r="L21" i="1"/>
  <c r="T21" i="1"/>
  <c r="K21" i="1"/>
  <c r="V21" i="1"/>
  <c r="AA26" i="1"/>
  <c r="S26" i="1"/>
  <c r="K26" i="1"/>
  <c r="K42" i="1" s="1"/>
  <c r="V26" i="1"/>
  <c r="M26" i="1"/>
  <c r="U26" i="1"/>
  <c r="L26" i="1"/>
  <c r="AE26" i="1"/>
  <c r="T26" i="1"/>
  <c r="J26" i="1"/>
  <c r="AD26" i="1"/>
  <c r="AI26" i="1" s="1"/>
  <c r="R26" i="1"/>
  <c r="I26" i="1"/>
  <c r="Z26" i="1"/>
  <c r="Q26" i="1"/>
  <c r="H26" i="1"/>
  <c r="Y26" i="1"/>
  <c r="AG26" i="1" s="1"/>
  <c r="P26" i="1"/>
  <c r="G26" i="1"/>
  <c r="X26" i="1"/>
  <c r="O26" i="1"/>
  <c r="N9" i="1"/>
  <c r="X9" i="1"/>
  <c r="N11" i="1"/>
  <c r="Y13" i="1"/>
  <c r="Q13" i="1"/>
  <c r="I13" i="1"/>
  <c r="AE13" i="1"/>
  <c r="T13" i="1"/>
  <c r="T44" i="1" s="1"/>
  <c r="K13" i="1"/>
  <c r="AD13" i="1"/>
  <c r="AI13" i="1" s="1"/>
  <c r="S13" i="1"/>
  <c r="S44" i="1" s="1"/>
  <c r="J13" i="1"/>
  <c r="X13" i="1"/>
  <c r="O13" i="1"/>
  <c r="R13" i="1"/>
  <c r="R44" i="1" s="1"/>
  <c r="X21" i="1"/>
  <c r="AA11" i="1"/>
  <c r="AK11" i="1" s="1"/>
  <c r="X11" i="1"/>
  <c r="P11" i="1"/>
  <c r="H11" i="1"/>
  <c r="W11" i="1"/>
  <c r="G11" i="1"/>
  <c r="O11" i="1"/>
  <c r="Q11" i="1"/>
  <c r="AD11" i="1"/>
  <c r="AI11" i="1" s="1"/>
  <c r="AI15" i="1" s="1"/>
  <c r="V18" i="1"/>
  <c r="P9" i="1"/>
  <c r="R11" i="1"/>
  <c r="AE11" i="1"/>
  <c r="G13" i="1"/>
  <c r="V13" i="1"/>
  <c r="Z20" i="1"/>
  <c r="R20" i="1"/>
  <c r="J20" i="1"/>
  <c r="Y20" i="1"/>
  <c r="P20" i="1"/>
  <c r="G20" i="1"/>
  <c r="X20" i="1"/>
  <c r="O20" i="1"/>
  <c r="U20" i="1"/>
  <c r="L20" i="1"/>
  <c r="L46" i="1" s="1"/>
  <c r="AE20" i="1"/>
  <c r="T20" i="1"/>
  <c r="K20" i="1"/>
  <c r="V20" i="1"/>
  <c r="J21" i="1"/>
  <c r="AE21" i="1"/>
  <c r="W26" i="1"/>
  <c r="Z9" i="1"/>
  <c r="R9" i="1"/>
  <c r="J9" i="1"/>
  <c r="J18" i="1" s="1"/>
  <c r="Y9" i="1"/>
  <c r="Q9" i="1"/>
  <c r="Q18" i="1" s="1"/>
  <c r="I9" i="1"/>
  <c r="G9" i="1"/>
  <c r="G18" i="1" s="1"/>
  <c r="S9" i="1"/>
  <c r="AE9" i="1"/>
  <c r="I11" i="1"/>
  <c r="S11" i="1"/>
  <c r="AG12" i="1"/>
  <c r="H13" i="1"/>
  <c r="W13" i="1"/>
  <c r="W20" i="1"/>
  <c r="M21" i="1"/>
  <c r="M46" i="1" s="1"/>
  <c r="AA9" i="1"/>
  <c r="AA18" i="1" s="1"/>
  <c r="T9" i="1"/>
  <c r="J11" i="1"/>
  <c r="T11" i="1"/>
  <c r="L13" i="1"/>
  <c r="Z13" i="1"/>
  <c r="AJ13" i="1" s="1"/>
  <c r="H20" i="1"/>
  <c r="AA20" i="1"/>
  <c r="N21" i="1"/>
  <c r="O9" i="1"/>
  <c r="N44" i="1"/>
  <c r="H9" i="1"/>
  <c r="AD8" i="1"/>
  <c r="T8" i="1"/>
  <c r="L8" i="1"/>
  <c r="AA8" i="1"/>
  <c r="S8" i="1"/>
  <c r="K8" i="1"/>
  <c r="O8" i="1"/>
  <c r="Y8" i="1"/>
  <c r="AG8" i="1" s="1"/>
  <c r="K9" i="1"/>
  <c r="K18" i="1" s="1"/>
  <c r="U9" i="1"/>
  <c r="K11" i="1"/>
  <c r="U11" i="1"/>
  <c r="V12" i="1"/>
  <c r="N12" i="1"/>
  <c r="U12" i="1"/>
  <c r="L12" i="1"/>
  <c r="L18" i="1" s="1"/>
  <c r="AE12" i="1"/>
  <c r="K12" i="1"/>
  <c r="T12" i="1"/>
  <c r="Z12" i="1"/>
  <c r="AJ12" i="1" s="1"/>
  <c r="AK12" i="1" s="1"/>
  <c r="P12" i="1"/>
  <c r="AD12" i="1"/>
  <c r="AI12" i="1" s="1"/>
  <c r="M13" i="1"/>
  <c r="AA13" i="1"/>
  <c r="AA17" i="1"/>
  <c r="S17" i="1"/>
  <c r="K17" i="1"/>
  <c r="AE17" i="1"/>
  <c r="T17" i="1"/>
  <c r="J17" i="1"/>
  <c r="R17" i="1"/>
  <c r="AD17" i="1"/>
  <c r="I17" i="1"/>
  <c r="X17" i="1"/>
  <c r="O17" i="1"/>
  <c r="W17" i="1"/>
  <c r="N17" i="1"/>
  <c r="Y17" i="1"/>
  <c r="I20" i="1"/>
  <c r="AD20" i="1"/>
  <c r="R21" i="1"/>
  <c r="AJ25" i="1"/>
  <c r="AD23" i="1"/>
  <c r="AI23" i="1" s="1"/>
  <c r="T23" i="1"/>
  <c r="L23" i="1"/>
  <c r="N23" i="1"/>
  <c r="N46" i="1" s="1"/>
  <c r="W23" i="1"/>
  <c r="J24" i="1"/>
  <c r="S24" i="1"/>
  <c r="AD24" i="1"/>
  <c r="AI24" i="1" s="1"/>
  <c r="H25" i="1"/>
  <c r="R25" i="1"/>
  <c r="AA25" i="1"/>
  <c r="AH25" i="1" s="1"/>
  <c r="AJ29" i="1"/>
  <c r="AK29" i="1" s="1"/>
  <c r="AH29" i="1"/>
  <c r="AJ37" i="1"/>
  <c r="AK37" i="1" s="1"/>
  <c r="AH37" i="1"/>
  <c r="T14" i="1"/>
  <c r="L14" i="1"/>
  <c r="N14" i="1"/>
  <c r="W14" i="1"/>
  <c r="O23" i="1"/>
  <c r="X23" i="1"/>
  <c r="K24" i="1"/>
  <c r="T24" i="1"/>
  <c r="J25" i="1"/>
  <c r="S25" i="1"/>
  <c r="W34" i="1"/>
  <c r="O34" i="1"/>
  <c r="O44" i="1" s="1"/>
  <c r="G34" i="1"/>
  <c r="AA34" i="1"/>
  <c r="S34" i="1"/>
  <c r="K34" i="1"/>
  <c r="U34" i="1"/>
  <c r="J34" i="1"/>
  <c r="T34" i="1"/>
  <c r="I34" i="1"/>
  <c r="AE34" i="1"/>
  <c r="R34" i="1"/>
  <c r="H34" i="1"/>
  <c r="AD34" i="1"/>
  <c r="AI34" i="1" s="1"/>
  <c r="Q34" i="1"/>
  <c r="Y34" i="1"/>
  <c r="AG34" i="1" s="1"/>
  <c r="N34" i="1"/>
  <c r="X34" i="1"/>
  <c r="M34" i="1"/>
  <c r="AG41" i="1"/>
  <c r="AD41" i="1"/>
  <c r="V24" i="1"/>
  <c r="V42" i="1" s="1"/>
  <c r="N24" i="1"/>
  <c r="M24" i="1"/>
  <c r="M42" i="1" s="1"/>
  <c r="W24" i="1"/>
  <c r="N6" i="1"/>
  <c r="V6" i="1"/>
  <c r="W15" i="1"/>
  <c r="O15" i="1"/>
  <c r="G15" i="1"/>
  <c r="P15" i="1"/>
  <c r="Y15" i="1"/>
  <c r="AG15" i="1" s="1"/>
  <c r="I23" i="1"/>
  <c r="I44" i="1" s="1"/>
  <c r="R23" i="1"/>
  <c r="AA23" i="1"/>
  <c r="O24" i="1"/>
  <c r="X24" i="1"/>
  <c r="M25" i="1"/>
  <c r="V25" i="1"/>
  <c r="AG27" i="1"/>
  <c r="P34" i="1"/>
  <c r="AK35" i="1"/>
  <c r="H14" i="1"/>
  <c r="Q14" i="1"/>
  <c r="Z14" i="1"/>
  <c r="AJ14" i="1" s="1"/>
  <c r="AA16" i="1"/>
  <c r="S16" i="1"/>
  <c r="K16" i="1"/>
  <c r="X16" i="1"/>
  <c r="G6" i="1"/>
  <c r="O6" i="1"/>
  <c r="N7" i="1"/>
  <c r="M10" i="1"/>
  <c r="U10" i="1"/>
  <c r="I14" i="1"/>
  <c r="R14" i="1"/>
  <c r="AA14" i="1"/>
  <c r="AG14" i="1" s="1"/>
  <c r="H15" i="1"/>
  <c r="H44" i="1" s="1"/>
  <c r="Q15" i="1"/>
  <c r="Z15" i="1"/>
  <c r="G16" i="1"/>
  <c r="G44" i="1" s="1"/>
  <c r="P16" i="1"/>
  <c r="Y16" i="1"/>
  <c r="AG16" i="1" s="1"/>
  <c r="J23" i="1"/>
  <c r="J44" i="1" s="1"/>
  <c r="S23" i="1"/>
  <c r="AE23" i="1"/>
  <c r="G24" i="1"/>
  <c r="G42" i="1" s="1"/>
  <c r="P24" i="1"/>
  <c r="P42" i="1" s="1"/>
  <c r="Y24" i="1"/>
  <c r="AG24" i="1" s="1"/>
  <c r="N25" i="1"/>
  <c r="V34" i="1"/>
  <c r="AG49" i="1"/>
  <c r="H24" i="1"/>
  <c r="H42" i="1" s="1"/>
  <c r="Q24" i="1"/>
  <c r="Q46" i="1" s="1"/>
  <c r="Z24" i="1"/>
  <c r="Y25" i="1"/>
  <c r="Q25" i="1"/>
  <c r="I25" i="1"/>
  <c r="O25" i="1"/>
  <c r="X25" i="1"/>
  <c r="AJ31" i="1"/>
  <c r="AK31" i="1" s="1"/>
  <c r="AH31" i="1"/>
  <c r="Z34" i="1"/>
  <c r="AA28" i="1"/>
  <c r="AG28" i="1" s="1"/>
  <c r="S28" i="1"/>
  <c r="K28" i="1"/>
  <c r="W28" i="1"/>
  <c r="O28" i="1"/>
  <c r="G28" i="1"/>
  <c r="P28" i="1"/>
  <c r="Z28" i="1"/>
  <c r="H30" i="1"/>
  <c r="R30" i="1"/>
  <c r="AE30" i="1"/>
  <c r="AA36" i="1"/>
  <c r="AG36" i="1" s="1"/>
  <c r="S36" i="1"/>
  <c r="K36" i="1"/>
  <c r="W36" i="1"/>
  <c r="O36" i="1"/>
  <c r="G36" i="1"/>
  <c r="P36" i="1"/>
  <c r="Z36" i="1"/>
  <c r="H38" i="1"/>
  <c r="R38" i="1"/>
  <c r="AE38" i="1"/>
  <c r="Q28" i="1"/>
  <c r="AD28" i="1"/>
  <c r="AI28" i="1" s="1"/>
  <c r="I30" i="1"/>
  <c r="T30" i="1"/>
  <c r="Q36" i="1"/>
  <c r="AD36" i="1"/>
  <c r="AI36" i="1" s="1"/>
  <c r="I38" i="1"/>
  <c r="T38" i="1"/>
  <c r="AH39" i="1"/>
  <c r="L40" i="1"/>
  <c r="M49" i="1"/>
  <c r="I28" i="1"/>
  <c r="T28" i="1"/>
  <c r="L30" i="1"/>
  <c r="V30" i="1"/>
  <c r="I36" i="1"/>
  <c r="T36" i="1"/>
  <c r="L38" i="1"/>
  <c r="V38" i="1"/>
  <c r="AA49" i="1"/>
  <c r="S49" i="1"/>
  <c r="K49" i="1"/>
  <c r="W49" i="1"/>
  <c r="O49" i="1"/>
  <c r="O55" i="1" s="1"/>
  <c r="G49" i="1"/>
  <c r="P49" i="1"/>
  <c r="Z49" i="1"/>
  <c r="N22" i="1"/>
  <c r="Y22" i="1" s="1"/>
  <c r="AG22" i="1" s="1"/>
  <c r="M27" i="1"/>
  <c r="U27" i="1"/>
  <c r="U42" i="1" s="1"/>
  <c r="J28" i="1"/>
  <c r="U28" i="1"/>
  <c r="M30" i="1"/>
  <c r="M44" i="1" s="1"/>
  <c r="AA32" i="1"/>
  <c r="AG32" i="1" s="1"/>
  <c r="S32" i="1"/>
  <c r="K32" i="1"/>
  <c r="W32" i="1"/>
  <c r="O32" i="1"/>
  <c r="G32" i="1"/>
  <c r="P32" i="1"/>
  <c r="Z32" i="1"/>
  <c r="J36" i="1"/>
  <c r="U36" i="1"/>
  <c r="M38" i="1"/>
  <c r="AA40" i="1"/>
  <c r="AG40" i="1" s="1"/>
  <c r="S40" i="1"/>
  <c r="K40" i="1"/>
  <c r="W40" i="1"/>
  <c r="O40" i="1"/>
  <c r="G40" i="1"/>
  <c r="P40" i="1"/>
  <c r="Z40" i="1"/>
  <c r="Q49" i="1"/>
  <c r="AD49" i="1"/>
  <c r="R55" i="1"/>
  <c r="W30" i="1"/>
  <c r="O30" i="1"/>
  <c r="G30" i="1"/>
  <c r="AA30" i="1"/>
  <c r="AG30" i="1" s="1"/>
  <c r="S30" i="1"/>
  <c r="K30" i="1"/>
  <c r="P30" i="1"/>
  <c r="Z30" i="1"/>
  <c r="W38" i="1"/>
  <c r="O38" i="1"/>
  <c r="G38" i="1"/>
  <c r="AA38" i="1"/>
  <c r="AG38" i="1" s="1"/>
  <c r="S38" i="1"/>
  <c r="K38" i="1"/>
  <c r="P38" i="1"/>
  <c r="Z38" i="1"/>
  <c r="N52" i="1"/>
  <c r="V52" i="1"/>
  <c r="L53" i="1"/>
  <c r="T53" i="1"/>
  <c r="AD53" i="1"/>
  <c r="K54" i="1"/>
  <c r="S54" i="1"/>
  <c r="AA54" i="1"/>
  <c r="M53" i="1"/>
  <c r="U53" i="1"/>
  <c r="AE53" i="1"/>
  <c r="L54" i="1"/>
  <c r="T54" i="1"/>
  <c r="AD54" i="1"/>
  <c r="N53" i="1"/>
  <c r="V53" i="1"/>
  <c r="M54" i="1"/>
  <c r="U54" i="1"/>
  <c r="AE54" i="1"/>
  <c r="I29" i="1"/>
  <c r="Q29" i="1"/>
  <c r="Y29" i="1"/>
  <c r="AG29" i="1" s="1"/>
  <c r="M31" i="1"/>
  <c r="U31" i="1"/>
  <c r="AE31" i="1"/>
  <c r="I33" i="1"/>
  <c r="Q33" i="1"/>
  <c r="Y33" i="1"/>
  <c r="AG33" i="1" s="1"/>
  <c r="M35" i="1"/>
  <c r="U35" i="1"/>
  <c r="AE35" i="1"/>
  <c r="I37" i="1"/>
  <c r="Q37" i="1"/>
  <c r="Y37" i="1"/>
  <c r="AG37" i="1" s="1"/>
  <c r="M39" i="1"/>
  <c r="U39" i="1"/>
  <c r="AE39" i="1"/>
  <c r="J41" i="1"/>
  <c r="R41" i="1"/>
  <c r="Z41" i="1"/>
  <c r="M50" i="1"/>
  <c r="U50" i="1"/>
  <c r="U55" i="1" s="1"/>
  <c r="AE50" i="1"/>
  <c r="K51" i="1"/>
  <c r="S51" i="1"/>
  <c r="AA51" i="1"/>
  <c r="AG51" i="1" s="1"/>
  <c r="I52" i="1"/>
  <c r="Q52" i="1"/>
  <c r="Y52" i="1"/>
  <c r="AD58" i="1" s="1"/>
  <c r="G53" i="1"/>
  <c r="O53" i="1"/>
  <c r="W53" i="1"/>
  <c r="N54" i="1"/>
  <c r="V54" i="1"/>
  <c r="N50" i="1"/>
  <c r="N55" i="1" s="1"/>
  <c r="V50" i="1"/>
  <c r="V55" i="1" s="1"/>
  <c r="L51" i="1"/>
  <c r="L55" i="1" s="1"/>
  <c r="T51" i="1"/>
  <c r="T55" i="1" s="1"/>
  <c r="AD51" i="1"/>
  <c r="J52" i="1"/>
  <c r="J55" i="1" s="1"/>
  <c r="R52" i="1"/>
  <c r="Z52" i="1"/>
  <c r="H53" i="1"/>
  <c r="H55" i="1" s="1"/>
  <c r="P53" i="1"/>
  <c r="X53" i="1"/>
  <c r="X55" i="1" s="1"/>
  <c r="G54" i="1"/>
  <c r="O54" i="1"/>
  <c r="W54" i="1"/>
  <c r="M51" i="1"/>
  <c r="U51" i="1"/>
  <c r="AE51" i="1"/>
  <c r="K52" i="1"/>
  <c r="S52" i="1"/>
  <c r="AA52" i="1"/>
  <c r="I53" i="1"/>
  <c r="Q53" i="1"/>
  <c r="Y53" i="1"/>
  <c r="AG53" i="1" s="1"/>
  <c r="H54" i="1"/>
  <c r="P54" i="1"/>
  <c r="X54" i="1"/>
  <c r="N51" i="1"/>
  <c r="V51" i="1"/>
  <c r="L52" i="1"/>
  <c r="T52" i="1"/>
  <c r="AD52" i="1"/>
  <c r="J53" i="1"/>
  <c r="R53" i="1"/>
  <c r="Z53" i="1"/>
  <c r="I54" i="1"/>
  <c r="Q54" i="1"/>
  <c r="Y54" i="1"/>
  <c r="AG54" i="1" s="1"/>
  <c r="M29" i="1"/>
  <c r="U29" i="1"/>
  <c r="I31" i="1"/>
  <c r="Q31" i="1"/>
  <c r="M33" i="1"/>
  <c r="U33" i="1"/>
  <c r="I35" i="1"/>
  <c r="Q35" i="1"/>
  <c r="M37" i="1"/>
  <c r="U37" i="1"/>
  <c r="I39" i="1"/>
  <c r="Q39" i="1"/>
  <c r="N41" i="1"/>
  <c r="I50" i="1"/>
  <c r="I55" i="1" s="1"/>
  <c r="Q50" i="1"/>
  <c r="G51" i="1"/>
  <c r="O51" i="1"/>
  <c r="M52" i="1"/>
  <c r="U52" i="1"/>
  <c r="K53" i="1"/>
  <c r="S53" i="1"/>
  <c r="J54" i="1"/>
  <c r="R54" i="1"/>
  <c r="M45" i="1" l="1"/>
  <c r="AV3" i="1" s="1"/>
  <c r="M47" i="1"/>
  <c r="N45" i="1"/>
  <c r="AY3" i="1" s="1"/>
  <c r="N47" i="1"/>
  <c r="AH38" i="1"/>
  <c r="AJ38" i="1"/>
  <c r="AK38" i="1" s="1"/>
  <c r="W55" i="1"/>
  <c r="AH28" i="1"/>
  <c r="AJ28" i="1"/>
  <c r="AK28" i="1" s="1"/>
  <c r="AF55" i="1"/>
  <c r="AA42" i="1"/>
  <c r="AI42" i="1" s="1"/>
  <c r="AH23" i="1"/>
  <c r="L42" i="1"/>
  <c r="H46" i="1"/>
  <c r="AG9" i="1"/>
  <c r="Y18" i="1"/>
  <c r="U46" i="1"/>
  <c r="Z46" i="1"/>
  <c r="AH20" i="1"/>
  <c r="Q44" i="1"/>
  <c r="Q45" i="1" s="1"/>
  <c r="AG11" i="1"/>
  <c r="Y42" i="1"/>
  <c r="K55" i="1"/>
  <c r="AG25" i="1"/>
  <c r="AD25" i="1"/>
  <c r="AI25" i="1" s="1"/>
  <c r="Y55" i="1"/>
  <c r="AD55" i="1" s="1"/>
  <c r="S42" i="1"/>
  <c r="R42" i="1"/>
  <c r="T42" i="1"/>
  <c r="I46" i="1"/>
  <c r="H18" i="1"/>
  <c r="AK13" i="1"/>
  <c r="O46" i="1"/>
  <c r="S46" i="1"/>
  <c r="AG13" i="1"/>
  <c r="AH30" i="1"/>
  <c r="AJ30" i="1"/>
  <c r="AK30" i="1" s="1"/>
  <c r="Q55" i="1"/>
  <c r="S55" i="1"/>
  <c r="AH34" i="1"/>
  <c r="AJ34" i="1"/>
  <c r="AK34" i="1" s="1"/>
  <c r="AJ24" i="1"/>
  <c r="AH24" i="1"/>
  <c r="J42" i="1"/>
  <c r="I42" i="1"/>
  <c r="Q42" i="1"/>
  <c r="AI41" i="1"/>
  <c r="AG17" i="1"/>
  <c r="K44" i="1"/>
  <c r="Y44" i="1" s="1"/>
  <c r="R18" i="1"/>
  <c r="X46" i="1"/>
  <c r="X45" i="1" s="1"/>
  <c r="BG3" i="1" s="1"/>
  <c r="W18" i="1"/>
  <c r="AH40" i="1"/>
  <c r="AJ40" i="1"/>
  <c r="AK40" i="1" s="1"/>
  <c r="AE58" i="1"/>
  <c r="AH55" i="1"/>
  <c r="AA55" i="1"/>
  <c r="Z42" i="1"/>
  <c r="P44" i="1"/>
  <c r="O18" i="1"/>
  <c r="W46" i="1"/>
  <c r="S18" i="1"/>
  <c r="Z18" i="1"/>
  <c r="AJ9" i="1"/>
  <c r="V46" i="1"/>
  <c r="G46" i="1"/>
  <c r="X18" i="1"/>
  <c r="M18" i="1"/>
  <c r="R46" i="1"/>
  <c r="AG52" i="1"/>
  <c r="Z55" i="1"/>
  <c r="AG55" i="1"/>
  <c r="X42" i="1"/>
  <c r="AK25" i="1"/>
  <c r="K46" i="1"/>
  <c r="P46" i="1"/>
  <c r="N18" i="1"/>
  <c r="AH26" i="1"/>
  <c r="AJ26" i="1"/>
  <c r="AK26" i="1" s="1"/>
  <c r="P55" i="1"/>
  <c r="M55" i="1"/>
  <c r="AH36" i="1"/>
  <c r="AJ36" i="1"/>
  <c r="AK36" i="1" s="1"/>
  <c r="AK14" i="1"/>
  <c r="O42" i="1"/>
  <c r="AK23" i="1"/>
  <c r="L44" i="1"/>
  <c r="L45" i="1" s="1"/>
  <c r="T46" i="1"/>
  <c r="Y46" i="1"/>
  <c r="AG20" i="1"/>
  <c r="N42" i="1"/>
  <c r="AH32" i="1"/>
  <c r="AJ32" i="1"/>
  <c r="AK32" i="1" s="1"/>
  <c r="G55" i="1"/>
  <c r="AB14" i="1"/>
  <c r="W42" i="1"/>
  <c r="U18" i="1"/>
  <c r="T18" i="1"/>
  <c r="I18" i="1"/>
  <c r="AG23" i="1"/>
  <c r="J46" i="1"/>
  <c r="P18" i="1"/>
  <c r="AZ3" i="1" l="1"/>
  <c r="Q47" i="1"/>
  <c r="AU3" i="1"/>
  <c r="L47" i="1"/>
  <c r="W45" i="1"/>
  <c r="BF3" i="1" s="1"/>
  <c r="K45" i="1"/>
  <c r="AS3" i="1" s="1"/>
  <c r="J45" i="1"/>
  <c r="AR3" i="1" s="1"/>
  <c r="J47" i="1"/>
  <c r="AK24" i="1"/>
  <c r="AJ41" i="1"/>
  <c r="AA46" i="1"/>
  <c r="AD46" i="1" s="1"/>
  <c r="Z44" i="1"/>
  <c r="AA44" i="1" s="1"/>
  <c r="AD44" i="1" s="1"/>
  <c r="Y45" i="1"/>
  <c r="V45" i="1"/>
  <c r="BE3" i="1" s="1"/>
  <c r="V47" i="1"/>
  <c r="O45" i="1"/>
  <c r="AW3" i="1" s="1"/>
  <c r="U45" i="1"/>
  <c r="BD3" i="1" s="1"/>
  <c r="U47" i="1"/>
  <c r="G47" i="1"/>
  <c r="AG46" i="1"/>
  <c r="G45" i="1"/>
  <c r="S45" i="1"/>
  <c r="BB3" i="1" s="1"/>
  <c r="T45" i="1"/>
  <c r="BC3" i="1" s="1"/>
  <c r="AK9" i="1"/>
  <c r="AK15" i="1" s="1"/>
  <c r="AJ15" i="1"/>
  <c r="AD18" i="1"/>
  <c r="AG18" i="1"/>
  <c r="R45" i="1"/>
  <c r="BA3" i="1" s="1"/>
  <c r="I45" i="1"/>
  <c r="AQ3" i="1" s="1"/>
  <c r="I47" i="1"/>
  <c r="AD42" i="1"/>
  <c r="H47" i="1"/>
  <c r="H45" i="1"/>
  <c r="AP3" i="1" s="1"/>
  <c r="P45" i="1"/>
  <c r="AX3" i="1" s="1"/>
  <c r="Y47" i="1" l="1"/>
  <c r="AA45" i="1"/>
  <c r="AA47" i="1" s="1"/>
  <c r="AK41" i="1"/>
  <c r="AJ42" i="1"/>
  <c r="AK42" i="1" s="1"/>
  <c r="W47" i="1"/>
  <c r="R47" i="1"/>
  <c r="T47" i="1"/>
  <c r="O47" i="1"/>
  <c r="S47" i="1"/>
  <c r="P47" i="1"/>
  <c r="AB45" i="1"/>
  <c r="AO3" i="1"/>
  <c r="K47" i="1"/>
  <c r="AD45" i="1" l="1"/>
</calcChain>
</file>

<file path=xl/sharedStrings.xml><?xml version="1.0" encoding="utf-8"?>
<sst xmlns="http://schemas.openxmlformats.org/spreadsheetml/2006/main" count="2660" uniqueCount="448">
  <si>
    <r>
      <t>Table 10. Total inland CWT</t>
    </r>
    <r>
      <rPr>
        <vertAlign val="subscript"/>
        <sz val="14"/>
        <rFont val="Arial"/>
        <family val="2"/>
      </rPr>
      <t>total</t>
    </r>
    <r>
      <rPr>
        <sz val="14"/>
        <rFont val="Arial"/>
        <family val="2"/>
      </rPr>
      <t xml:space="preserve"> recoveries by location, run, and release type</t>
    </r>
    <r>
      <rPr>
        <vertAlign val="superscript"/>
        <sz val="14"/>
        <rFont val="Arial"/>
        <family val="2"/>
      </rPr>
      <t>a/</t>
    </r>
    <r>
      <rPr>
        <sz val="14"/>
        <rFont val="Arial"/>
        <family val="2"/>
      </rPr>
      <t xml:space="preserve"> in hatchery returns, natural escapement and sport harvest during 2021. </t>
    </r>
  </si>
  <si>
    <t>CFH</t>
  </si>
  <si>
    <t>FRH</t>
  </si>
  <si>
    <t>NIM</t>
  </si>
  <si>
    <t>MOK</t>
  </si>
  <si>
    <t>MER</t>
  </si>
  <si>
    <t>SJO</t>
  </si>
  <si>
    <t>Non-CV</t>
  </si>
  <si>
    <r>
      <t>Total CWT</t>
    </r>
    <r>
      <rPr>
        <b/>
        <vertAlign val="subscript"/>
        <sz val="10"/>
        <rFont val="Arial"/>
        <family val="2"/>
      </rPr>
      <t>total</t>
    </r>
    <r>
      <rPr>
        <b/>
        <sz val="10"/>
        <rFont val="Arial"/>
        <family val="2"/>
      </rPr>
      <t xml:space="preserve"> </t>
    </r>
  </si>
  <si>
    <t>Total</t>
  </si>
  <si>
    <t>%</t>
  </si>
  <si>
    <t>%natural</t>
  </si>
  <si>
    <t>basinwide</t>
  </si>
  <si>
    <t>id_code</t>
  </si>
  <si>
    <t>location</t>
  </si>
  <si>
    <t>fishery</t>
  </si>
  <si>
    <t>assn_run</t>
  </si>
  <si>
    <t>Location</t>
  </si>
  <si>
    <t>Run</t>
  </si>
  <si>
    <t>SacW</t>
  </si>
  <si>
    <t>CFHL</t>
  </si>
  <si>
    <t>CFHF</t>
  </si>
  <si>
    <t>CFHFn</t>
  </si>
  <si>
    <t>FRHS</t>
  </si>
  <si>
    <t>FRHF</t>
  </si>
  <si>
    <t>FRHFn</t>
  </si>
  <si>
    <t>FRHFgg</t>
  </si>
  <si>
    <t>NIMF</t>
  </si>
  <si>
    <t>NIMFn</t>
  </si>
  <si>
    <t>MOKF</t>
  </si>
  <si>
    <t>MOKFn</t>
  </si>
  <si>
    <t>MOKFnc</t>
  </si>
  <si>
    <t>MOKFgg</t>
  </si>
  <si>
    <t>MERF</t>
  </si>
  <si>
    <t>MERFn</t>
  </si>
  <si>
    <t>SJOSx</t>
  </si>
  <si>
    <t>Hatchery</t>
  </si>
  <si>
    <t>Natural</t>
  </si>
  <si>
    <t>hatchery</t>
  </si>
  <si>
    <t>Hatchery Spawners</t>
  </si>
  <si>
    <t>CNFH</t>
  </si>
  <si>
    <t>Coleman National Fish Hatchery</t>
  </si>
  <si>
    <t>Winter</t>
  </si>
  <si>
    <t>KESW</t>
  </si>
  <si>
    <t>Keswick Dam Fish Trap</t>
  </si>
  <si>
    <t>FRFH</t>
  </si>
  <si>
    <t>Feather River Hatchery</t>
  </si>
  <si>
    <t>Spring</t>
  </si>
  <si>
    <t>Fall</t>
  </si>
  <si>
    <t>Late-fall</t>
  </si>
  <si>
    <t>NBFH</t>
  </si>
  <si>
    <t>Nimbus Fish Hatchery</t>
  </si>
  <si>
    <t>MRFI</t>
  </si>
  <si>
    <t>Mokelumne River Hatchery</t>
  </si>
  <si>
    <t>MRFF</t>
  </si>
  <si>
    <t>Merced River Hatchery</t>
  </si>
  <si>
    <t xml:space="preserve">Coleman National Fish Hatchery </t>
  </si>
  <si>
    <r>
      <t>Late-fall</t>
    </r>
    <r>
      <rPr>
        <vertAlign val="superscript"/>
        <sz val="9"/>
        <rFont val="Arial"/>
        <family val="2"/>
      </rPr>
      <t>b/</t>
    </r>
  </si>
  <si>
    <t>avg</t>
  </si>
  <si>
    <t>CNFW</t>
  </si>
  <si>
    <t>Coleman Hatchery Fish Trap</t>
  </si>
  <si>
    <t>Total Hatchery Fall-run</t>
  </si>
  <si>
    <t>Nat Spawners</t>
  </si>
  <si>
    <t>Natural Spawners</t>
  </si>
  <si>
    <t>USAC</t>
  </si>
  <si>
    <t>Upper Sacramento River</t>
  </si>
  <si>
    <t>BUTT</t>
  </si>
  <si>
    <t>Butte Creek</t>
  </si>
  <si>
    <t>UPSJ</t>
  </si>
  <si>
    <t>Upper San Joaquin River</t>
  </si>
  <si>
    <t>CLR</t>
  </si>
  <si>
    <t>Clear Creek</t>
  </si>
  <si>
    <t>BATT</t>
  </si>
  <si>
    <r>
      <t>Battle Creek</t>
    </r>
    <r>
      <rPr>
        <vertAlign val="superscript"/>
        <sz val="10"/>
        <rFont val="Arial"/>
        <family val="2"/>
      </rPr>
      <t>c/</t>
    </r>
  </si>
  <si>
    <t>COT</t>
  </si>
  <si>
    <t>Cottonwood Creek</t>
  </si>
  <si>
    <t>COW</t>
  </si>
  <si>
    <t>Cow Creek</t>
  </si>
  <si>
    <t>MLC</t>
  </si>
  <si>
    <t>Mill Creek</t>
  </si>
  <si>
    <t>FEA</t>
  </si>
  <si>
    <t>Feather River</t>
  </si>
  <si>
    <t>YUBA</t>
  </si>
  <si>
    <r>
      <t>Yuba River</t>
    </r>
    <r>
      <rPr>
        <vertAlign val="superscript"/>
        <sz val="10"/>
        <rFont val="Arial"/>
        <family val="2"/>
      </rPr>
      <t>d/</t>
    </r>
  </si>
  <si>
    <t>YUBB</t>
  </si>
  <si>
    <r>
      <t>Yuba River</t>
    </r>
    <r>
      <rPr>
        <sz val="8"/>
        <rFont val="Arial"/>
        <family val="2"/>
      </rPr>
      <t xml:space="preserve"> below DPD</t>
    </r>
  </si>
  <si>
    <t>LARC</t>
  </si>
  <si>
    <t>American River</t>
  </si>
  <si>
    <t>NIMW</t>
  </si>
  <si>
    <t>Nimbus Fish Hatchery Weir</t>
  </si>
  <si>
    <t>MOKE</t>
  </si>
  <si>
    <t>Mokelumne River</t>
  </si>
  <si>
    <t>COSU</t>
  </si>
  <si>
    <t>Cosumnes River</t>
  </si>
  <si>
    <t>CAL</t>
  </si>
  <si>
    <t>Calaveras River</t>
  </si>
  <si>
    <t>STA</t>
  </si>
  <si>
    <t>Stanislaus River</t>
  </si>
  <si>
    <t>TUO</t>
  </si>
  <si>
    <t>Tuolumne River</t>
  </si>
  <si>
    <t>Merced River</t>
  </si>
  <si>
    <t>Total Natural Area Fall-run</t>
  </si>
  <si>
    <t>w/out battle creek</t>
  </si>
  <si>
    <r>
      <t>In-basin CWT</t>
    </r>
    <r>
      <rPr>
        <vertAlign val="subscript"/>
        <sz val="10"/>
        <rFont val="Arial"/>
        <family val="2"/>
      </rPr>
      <t>total</t>
    </r>
  </si>
  <si>
    <t>All</t>
  </si>
  <si>
    <r>
      <t>Stray CWT</t>
    </r>
    <r>
      <rPr>
        <vertAlign val="subscript"/>
        <sz val="10"/>
        <rFont val="Arial"/>
        <family val="2"/>
      </rPr>
      <t>total</t>
    </r>
  </si>
  <si>
    <t>-</t>
  </si>
  <si>
    <t>Butte fall</t>
  </si>
  <si>
    <t>CV tags only</t>
  </si>
  <si>
    <t>Total CV Spawners</t>
  </si>
  <si>
    <t>Butte spr</t>
  </si>
  <si>
    <t>% stray</t>
  </si>
  <si>
    <t>Sport Harvest</t>
  </si>
  <si>
    <t>CV Sport Harvest</t>
  </si>
  <si>
    <t xml:space="preserve">Upper Sacramento River </t>
  </si>
  <si>
    <t>LSAC</t>
  </si>
  <si>
    <t xml:space="preserve">Lower Sacramento River </t>
  </si>
  <si>
    <t xml:space="preserve">Feather River </t>
  </si>
  <si>
    <t>AMN</t>
  </si>
  <si>
    <t xml:space="preserve">American River </t>
  </si>
  <si>
    <t>Total Sport Harvest</t>
  </si>
  <si>
    <t>a/ Release types defined in Table 3; SacWbat recoveries merged with SacW, barged and trucked releases for MOKFb merged with MOKFgg, coastal trucked releases for MOKFt merged with MOKFnc, bay/delta trucked releases for MOKFt merged with MOKFn.</t>
  </si>
  <si>
    <t>b/ Late-fall-run hatchery returns and natural area escapement occurred during late-fall of 2021 through early 2022 (return year 2022).</t>
  </si>
  <si>
    <t>creel fall-only</t>
  </si>
  <si>
    <r>
      <t>c/ Battle Creek natural area escapement CWT</t>
    </r>
    <r>
      <rPr>
        <vertAlign val="subscript"/>
        <sz val="10"/>
        <rFont val="Arial"/>
        <family val="2"/>
      </rPr>
      <t xml:space="preserve">total </t>
    </r>
    <r>
      <rPr>
        <sz val="10"/>
        <rFont val="Arial"/>
        <family val="2"/>
      </rPr>
      <t xml:space="preserve">based on hatchery proportions at CFH (FWS staff, per. comm). </t>
    </r>
  </si>
  <si>
    <t>d/ Yuba River escapement for above and below the DPD merged for 2021 due to low returns.</t>
  </si>
  <si>
    <t>Text</t>
  </si>
  <si>
    <t>Inland Harvest</t>
  </si>
  <si>
    <t>d/ Total Natural Area Fall-run includes one CWT collected opportunistically in Clear Creek.</t>
  </si>
  <si>
    <t>Table 11</t>
  </si>
  <si>
    <t>natural</t>
  </si>
  <si>
    <r>
      <t>Table 9. Percentage</t>
    </r>
    <r>
      <rPr>
        <vertAlign val="superscript"/>
        <sz val="14"/>
        <rFont val="Arial"/>
        <family val="2"/>
      </rPr>
      <t>a/</t>
    </r>
    <r>
      <rPr>
        <sz val="14"/>
        <rFont val="Arial"/>
        <family val="2"/>
      </rPr>
      <t xml:space="preserve"> of inland CWT</t>
    </r>
    <r>
      <rPr>
        <vertAlign val="subscript"/>
        <sz val="14"/>
        <rFont val="Arial"/>
        <family val="2"/>
      </rPr>
      <t>total</t>
    </r>
    <r>
      <rPr>
        <sz val="14"/>
        <rFont val="Arial"/>
        <family val="2"/>
      </rPr>
      <t xml:space="preserve"> recoveries by location, run, and release type</t>
    </r>
    <r>
      <rPr>
        <vertAlign val="superscript"/>
        <sz val="14"/>
        <rFont val="Arial"/>
        <family val="2"/>
      </rPr>
      <t>b/</t>
    </r>
    <r>
      <rPr>
        <sz val="14"/>
        <rFont val="Arial"/>
        <family val="2"/>
      </rPr>
      <t xml:space="preserve"> in hatchery returns, natural escapement and sport harvest during 2021.</t>
    </r>
  </si>
  <si>
    <t>Total %</t>
  </si>
  <si>
    <r>
      <t>Late-fall</t>
    </r>
    <r>
      <rPr>
        <vertAlign val="superscript"/>
        <sz val="9"/>
        <rFont val="Arial"/>
        <family val="2"/>
      </rPr>
      <t>c/</t>
    </r>
  </si>
  <si>
    <t>KESW507</t>
  </si>
  <si>
    <t xml:space="preserve">Total Hatchery Fall-run  </t>
  </si>
  <si>
    <r>
      <t>Battle Creek</t>
    </r>
    <r>
      <rPr>
        <vertAlign val="superscript"/>
        <sz val="10"/>
        <rFont val="Arial"/>
        <family val="2"/>
      </rPr>
      <t>d/</t>
    </r>
  </si>
  <si>
    <r>
      <t>Yuba River</t>
    </r>
    <r>
      <rPr>
        <vertAlign val="superscript"/>
        <sz val="10"/>
        <rFont val="Arial"/>
        <family val="2"/>
      </rPr>
      <t>e/</t>
    </r>
  </si>
  <si>
    <t>Note: cells E31 and E32 are hardcoded to preserve the smaller font formatting for above/below DPD</t>
  </si>
  <si>
    <r>
      <t>a/ Any non-zero values less than 0.5% of CWT</t>
    </r>
    <r>
      <rPr>
        <vertAlign val="subscript"/>
        <sz val="10"/>
        <rFont val="Arial"/>
        <family val="2"/>
      </rPr>
      <t>total</t>
    </r>
    <r>
      <rPr>
        <sz val="10"/>
        <rFont val="Arial"/>
        <family val="2"/>
      </rPr>
      <t xml:space="preserve"> are displayed as 0%. </t>
    </r>
  </si>
  <si>
    <t>b/ Release types defined in Table 3; SacWbat recoveries merged with SacW, barged and trucked releases for MOKFb merged with MOKFgg, coastal trucked releases for MOKFt merged with MOKFnc, bay/delta trucked releases for MOKFt merged with MOKFn.</t>
  </si>
  <si>
    <t>c/ Late-fall-run hatchery returns and natural area escapement occurred during late-fall of 2021 through early 2022 (return year 2022).</t>
  </si>
  <si>
    <t xml:space="preserve">c/ Surveys without representative sampling of CWTs; proportions shown are based only on CWTs collected opportunistically. </t>
  </si>
  <si>
    <r>
      <t>d/ Battle Creek natural area escapement CWT</t>
    </r>
    <r>
      <rPr>
        <vertAlign val="subscript"/>
        <sz val="10"/>
        <rFont val="Arial"/>
        <family val="2"/>
      </rPr>
      <t xml:space="preserve">total </t>
    </r>
    <r>
      <rPr>
        <sz val="10"/>
        <rFont val="Arial"/>
        <family val="2"/>
      </rPr>
      <t xml:space="preserve">based on hatchery proportions at CFH (FWS staff, per. comm). </t>
    </r>
  </si>
  <si>
    <t>e/ Yuba River escapement for above and below the DPD merged for 2021 due to low returns.</t>
  </si>
  <si>
    <t>e/ Total Natural Area Fall-run percentages include one CWT collected opportunistically in Clear Creek.</t>
  </si>
  <si>
    <r>
      <t>Table 9. Percentage</t>
    </r>
    <r>
      <rPr>
        <vertAlign val="superscript"/>
        <sz val="14"/>
        <rFont val="Arial"/>
        <family val="2"/>
      </rPr>
      <t>a/</t>
    </r>
    <r>
      <rPr>
        <sz val="14"/>
        <rFont val="Arial"/>
        <family val="2"/>
      </rPr>
      <t xml:space="preserve"> of inland CWT</t>
    </r>
    <r>
      <rPr>
        <vertAlign val="subscript"/>
        <sz val="14"/>
        <rFont val="Arial"/>
        <family val="2"/>
      </rPr>
      <t>total</t>
    </r>
    <r>
      <rPr>
        <sz val="14"/>
        <rFont val="Arial"/>
        <family val="2"/>
      </rPr>
      <t xml:space="preserve"> recoveries by location, run, and release type</t>
    </r>
    <r>
      <rPr>
        <vertAlign val="superscript"/>
        <sz val="14"/>
        <rFont val="Arial"/>
        <family val="2"/>
      </rPr>
      <t>b/</t>
    </r>
    <r>
      <rPr>
        <sz val="14"/>
        <rFont val="Arial"/>
        <family val="2"/>
      </rPr>
      <t xml:space="preserve"> in hatchery returns, natural escapement and sport harvest during 2020.</t>
    </r>
  </si>
  <si>
    <r>
      <t>Yuba River</t>
    </r>
    <r>
      <rPr>
        <sz val="8"/>
        <rFont val="Arial"/>
        <family val="2"/>
      </rPr>
      <t xml:space="preserve"> above DPD</t>
    </r>
  </si>
  <si>
    <t>b/ Release types defined in Table 3; SacWbat recoveries merged with SacW, in-river control releases for MOKFb merged with MOKF, barged and trucked releases for MOKFb merged with MOKFgg.</t>
  </si>
  <si>
    <t>c/ Late-fall-run hatchery returns and natural area escapement occurred during late-fall of 2019 through early 2020 (return year 2020).</t>
  </si>
  <si>
    <r>
      <t>Table 10. Total inland CWT</t>
    </r>
    <r>
      <rPr>
        <vertAlign val="subscript"/>
        <sz val="14"/>
        <rFont val="Arial"/>
        <family val="2"/>
      </rPr>
      <t>total</t>
    </r>
    <r>
      <rPr>
        <sz val="14"/>
        <rFont val="Arial"/>
        <family val="2"/>
      </rPr>
      <t xml:space="preserve"> recoveries by location, run, and release type</t>
    </r>
    <r>
      <rPr>
        <vertAlign val="superscript"/>
        <sz val="14"/>
        <rFont val="Arial"/>
        <family val="2"/>
      </rPr>
      <t>a/</t>
    </r>
    <r>
      <rPr>
        <sz val="14"/>
        <rFont val="Arial"/>
        <family val="2"/>
      </rPr>
      <t xml:space="preserve"> in hatchery returns, natural escapement and sport harvest during 2020. </t>
    </r>
  </si>
  <si>
    <t>a/ Release types defined in Table 3; SacWbat recoveries merged with SacW, in-river control releases for MOKFb merged with MOKF, barged and trucked releases for MOKFb merged with MOKFgg.</t>
  </si>
  <si>
    <t>b/ Late-fall-run hatchery returns and natural area escapement occurred during late-fall of 2019 through early 2020 (return year 2020).</t>
  </si>
  <si>
    <r>
      <t>Table 9. Percentage</t>
    </r>
    <r>
      <rPr>
        <vertAlign val="superscript"/>
        <sz val="14"/>
        <rFont val="Arial"/>
        <family val="2"/>
      </rPr>
      <t>a/</t>
    </r>
    <r>
      <rPr>
        <sz val="14"/>
        <rFont val="Arial"/>
        <family val="2"/>
      </rPr>
      <t xml:space="preserve"> of inland CWT</t>
    </r>
    <r>
      <rPr>
        <vertAlign val="subscript"/>
        <sz val="14"/>
        <rFont val="Arial"/>
        <family val="2"/>
      </rPr>
      <t>total</t>
    </r>
    <r>
      <rPr>
        <sz val="14"/>
        <rFont val="Arial"/>
        <family val="2"/>
      </rPr>
      <t xml:space="preserve"> recoveries by location, run, and release type</t>
    </r>
    <r>
      <rPr>
        <vertAlign val="superscript"/>
        <sz val="14"/>
        <rFont val="Arial"/>
        <family val="2"/>
      </rPr>
      <t>b/</t>
    </r>
    <r>
      <rPr>
        <sz val="14"/>
        <rFont val="Arial"/>
        <family val="2"/>
      </rPr>
      <t xml:space="preserve"> in hatchery returns, natural escapement and sport harvest during 2019.</t>
    </r>
  </si>
  <si>
    <t>b/ Release types defined in Table 3; SacWbat recoveries merged with SacW, in-river control releases for MOKFb merged with MOKF, barged and trucked releases for MOKFb merged with MOKFgg, MERFt merged with MERFn.</t>
  </si>
  <si>
    <r>
      <t>Table 10. Total inland CWT</t>
    </r>
    <r>
      <rPr>
        <vertAlign val="subscript"/>
        <sz val="14"/>
        <rFont val="Arial"/>
        <family val="2"/>
      </rPr>
      <t>total</t>
    </r>
    <r>
      <rPr>
        <sz val="14"/>
        <rFont val="Arial"/>
        <family val="2"/>
      </rPr>
      <t xml:space="preserve"> recoveries by location, run, and release type</t>
    </r>
    <r>
      <rPr>
        <vertAlign val="superscript"/>
        <sz val="14"/>
        <rFont val="Arial"/>
        <family val="2"/>
      </rPr>
      <t>a/</t>
    </r>
    <r>
      <rPr>
        <sz val="14"/>
        <rFont val="Arial"/>
        <family val="2"/>
      </rPr>
      <t xml:space="preserve"> in hatchery returns, natural escapement and sport harvest during 2019. </t>
    </r>
  </si>
  <si>
    <t>a/ Release types defined in Table 3; SacWbat recoveries merged with SacW, in-river control releases for MOKFb merged with MOKF, barged and trucked releases for MOKFb merged with MOKFgg, MERFt merged with MERFn.</t>
  </si>
  <si>
    <r>
      <t>Table 10. Total inland CWT</t>
    </r>
    <r>
      <rPr>
        <vertAlign val="subscript"/>
        <sz val="14"/>
        <rFont val="Arial"/>
        <family val="2"/>
      </rPr>
      <t>total</t>
    </r>
    <r>
      <rPr>
        <sz val="14"/>
        <rFont val="Arial"/>
        <family val="2"/>
      </rPr>
      <t xml:space="preserve"> recoveries by location, run, and release type</t>
    </r>
    <r>
      <rPr>
        <vertAlign val="superscript"/>
        <sz val="14"/>
        <rFont val="Arial"/>
        <family val="2"/>
      </rPr>
      <t>a/</t>
    </r>
    <r>
      <rPr>
        <sz val="14"/>
        <rFont val="Arial"/>
        <family val="2"/>
      </rPr>
      <t xml:space="preserve"> in hatchery returns, natural escapement and sport harvest during 2018. </t>
    </r>
  </si>
  <si>
    <t>inbasin</t>
  </si>
  <si>
    <t>CFHLh</t>
  </si>
  <si>
    <t>CFHFh</t>
  </si>
  <si>
    <r>
      <t>SJOSx</t>
    </r>
    <r>
      <rPr>
        <vertAlign val="superscript"/>
        <sz val="9"/>
        <rFont val="Arial"/>
        <family val="2"/>
      </rPr>
      <t>b/</t>
    </r>
  </si>
  <si>
    <t>Cottonwood Creek*</t>
  </si>
  <si>
    <t>Cow Creek*</t>
  </si>
  <si>
    <t>Mill Creek*</t>
  </si>
  <si>
    <t>Yuba River</t>
  </si>
  <si>
    <t>Calaveras River*</t>
  </si>
  <si>
    <t>NA</t>
  </si>
  <si>
    <t>%stray</t>
  </si>
  <si>
    <t xml:space="preserve">a/ Release types defined in Table 3; CFHLe recoveries merged with CFHLh, FRHFk merged with FRHF, FRHFtib merged with FRHFn, FRHFnc merged with FRHFgg, in-river control releases for MOKFb merged with MOKF, barged </t>
  </si>
  <si>
    <t xml:space="preserve">    and trucked releases for MOKFb merged with MOKFgg, MERFt merged with MERFn.</t>
  </si>
  <si>
    <t xml:space="preserve">b/ In-basin CWT recovery data not available for SJOSx releases, therefore only stray SJOSx recoveries are displayed in this table. </t>
  </si>
  <si>
    <t>c/ Late-fall-run hatchery returns and natural area escapement occurred during late-fall of 2018 through early 2019 (return year 2019).</t>
  </si>
  <si>
    <r>
      <t>Table 9. Percentage</t>
    </r>
    <r>
      <rPr>
        <vertAlign val="superscript"/>
        <sz val="14"/>
        <rFont val="Arial"/>
        <family val="2"/>
      </rPr>
      <t>a/</t>
    </r>
    <r>
      <rPr>
        <sz val="14"/>
        <rFont val="Arial"/>
        <family val="2"/>
      </rPr>
      <t xml:space="preserve"> of inland CWT</t>
    </r>
    <r>
      <rPr>
        <vertAlign val="subscript"/>
        <sz val="14"/>
        <rFont val="Arial"/>
        <family val="2"/>
      </rPr>
      <t>total</t>
    </r>
    <r>
      <rPr>
        <sz val="14"/>
        <rFont val="Arial"/>
        <family val="2"/>
      </rPr>
      <t xml:space="preserve"> recoveries by location, run, and release type</t>
    </r>
    <r>
      <rPr>
        <vertAlign val="superscript"/>
        <sz val="14"/>
        <rFont val="Arial"/>
        <family val="2"/>
      </rPr>
      <t>b/</t>
    </r>
    <r>
      <rPr>
        <sz val="14"/>
        <rFont val="Arial"/>
        <family val="2"/>
      </rPr>
      <t xml:space="preserve"> in hatchery returns, natural escapement and sport harvest during 2018.</t>
    </r>
  </si>
  <si>
    <r>
      <t>SJOSx</t>
    </r>
    <r>
      <rPr>
        <vertAlign val="superscript"/>
        <sz val="9"/>
        <rFont val="Arial"/>
        <family val="2"/>
      </rPr>
      <t>c/</t>
    </r>
  </si>
  <si>
    <r>
      <t>Late-fall</t>
    </r>
    <r>
      <rPr>
        <vertAlign val="superscript"/>
        <sz val="9"/>
        <rFont val="Arial"/>
        <family val="2"/>
      </rPr>
      <t>d/</t>
    </r>
  </si>
  <si>
    <r>
      <t>Battle Creek</t>
    </r>
    <r>
      <rPr>
        <vertAlign val="superscript"/>
        <sz val="10"/>
        <rFont val="Arial"/>
        <family val="2"/>
      </rPr>
      <t>e/</t>
    </r>
  </si>
  <si>
    <t xml:space="preserve">b/ Release types defined in Table 3; CFHLe recoveries merged with CFHLh, FRHFk merged with FRHF, FRHFtib merged with FRHFn, FRHFnc merged with FRHFgg, in-river control releases for MOKFb merged with MOKF, barged and </t>
  </si>
  <si>
    <t xml:space="preserve">    trucked releases for MOKFb merged with MOKFgg, MERFt merged with MERFn.</t>
  </si>
  <si>
    <t xml:space="preserve">c/ In-basin CWT recovery data not available for SJOSx releases, therefore only stray SJOSx recoveries are displayed in this table. </t>
  </si>
  <si>
    <t>d/ Late-fall-run hatchery returns and natural area escapement occurred during late-fall of 2018 through early 2019 (return year 2019).</t>
  </si>
  <si>
    <r>
      <t>e/ Battle Creek natural area escapement CWT</t>
    </r>
    <r>
      <rPr>
        <vertAlign val="subscript"/>
        <sz val="10"/>
        <rFont val="Arial"/>
        <family val="2"/>
      </rPr>
      <t xml:space="preserve">total </t>
    </r>
    <r>
      <rPr>
        <sz val="10"/>
        <rFont val="Arial"/>
        <family val="2"/>
      </rPr>
      <t xml:space="preserve">based on hatchery proportions at CFH (FWS staff, per. comm). </t>
    </r>
  </si>
  <si>
    <r>
      <t>Table 10. Total inland CWT</t>
    </r>
    <r>
      <rPr>
        <vertAlign val="subscript"/>
        <sz val="14"/>
        <rFont val="Arial"/>
        <family val="2"/>
      </rPr>
      <t>total</t>
    </r>
    <r>
      <rPr>
        <sz val="14"/>
        <rFont val="Arial"/>
        <family val="2"/>
      </rPr>
      <t xml:space="preserve"> recoveries by location, run, and release type</t>
    </r>
    <r>
      <rPr>
        <vertAlign val="superscript"/>
        <sz val="14"/>
        <rFont val="Arial"/>
        <family val="2"/>
      </rPr>
      <t>a/</t>
    </r>
    <r>
      <rPr>
        <sz val="14"/>
        <rFont val="Arial"/>
        <family val="2"/>
      </rPr>
      <t xml:space="preserve"> in hatchery returns, natural escapement and sport harvest during 2017. </t>
    </r>
  </si>
  <si>
    <t>FRHSn</t>
  </si>
  <si>
    <t>FRHFnc</t>
  </si>
  <si>
    <t>FRHFb</t>
  </si>
  <si>
    <t>FRHFk</t>
  </si>
  <si>
    <t>MOKFb</t>
  </si>
  <si>
    <t>Total Hatchery Fall Run</t>
  </si>
  <si>
    <t>a/ Release types defined in Table 3; CFHLe recoveries merged with CFHLh, FRHFtib merged with FRHFn, MOKFx merged with MOKF, MERFt merged with MERFn.</t>
  </si>
  <si>
    <t>b/ Late-fall hatchery returns, natural escapement, and sport harvest occurred in late fall 2017 (return year 2018).</t>
  </si>
  <si>
    <r>
      <t>c/ Battle Creek natural escapement CWT</t>
    </r>
    <r>
      <rPr>
        <vertAlign val="subscript"/>
        <sz val="10"/>
        <rFont val="Arial"/>
        <family val="2"/>
      </rPr>
      <t xml:space="preserve">total </t>
    </r>
    <r>
      <rPr>
        <sz val="10"/>
        <rFont val="Arial"/>
        <family val="2"/>
      </rPr>
      <t xml:space="preserve">based on hatchery proportions at CFH (FWS staff, per. comm). </t>
    </r>
  </si>
  <si>
    <r>
      <t>Table 9. Percentage</t>
    </r>
    <r>
      <rPr>
        <vertAlign val="superscript"/>
        <sz val="14"/>
        <rFont val="Arial"/>
        <family val="2"/>
      </rPr>
      <t>a/</t>
    </r>
    <r>
      <rPr>
        <sz val="14"/>
        <rFont val="Arial"/>
        <family val="2"/>
      </rPr>
      <t xml:space="preserve"> of inland CWT</t>
    </r>
    <r>
      <rPr>
        <vertAlign val="subscript"/>
        <sz val="14"/>
        <rFont val="Arial"/>
        <family val="2"/>
      </rPr>
      <t>total</t>
    </r>
    <r>
      <rPr>
        <sz val="14"/>
        <rFont val="Arial"/>
        <family val="2"/>
      </rPr>
      <t xml:space="preserve"> recoveries by location, run, and release type</t>
    </r>
    <r>
      <rPr>
        <vertAlign val="superscript"/>
        <sz val="14"/>
        <rFont val="Arial"/>
        <family val="2"/>
      </rPr>
      <t>b/</t>
    </r>
    <r>
      <rPr>
        <sz val="14"/>
        <rFont val="Arial"/>
        <family val="2"/>
      </rPr>
      <t xml:space="preserve"> in hatchery returns, natural escapement and sport harvest during 2017.</t>
    </r>
  </si>
  <si>
    <t xml:space="preserve">Total Hatchery Fall Run  </t>
  </si>
  <si>
    <t>b/ Release types defined in Table 3; CFHLe recoveries merged with CFHLh, FRHFtib merged with FRHFn, MOKFx merged with MOKF, MERFt merged with MERFn.</t>
  </si>
  <si>
    <t>c/ Late-fall hatchery returns, natural escapement, and sport harvest occurred in late fall 2017 (return year 2018).</t>
  </si>
  <si>
    <r>
      <t>d/ Battle Creek natural escapement CWT</t>
    </r>
    <r>
      <rPr>
        <vertAlign val="subscript"/>
        <sz val="10"/>
        <rFont val="Arial"/>
        <family val="2"/>
      </rPr>
      <t xml:space="preserve">total </t>
    </r>
    <r>
      <rPr>
        <sz val="10"/>
        <rFont val="Arial"/>
        <family val="2"/>
      </rPr>
      <t xml:space="preserve">based on hatchery proportions at CFH (FWS staff, per. comm). </t>
    </r>
  </si>
  <si>
    <r>
      <t>Table 9. Percentage of inland CWT</t>
    </r>
    <r>
      <rPr>
        <vertAlign val="subscript"/>
        <sz val="14"/>
        <rFont val="Arial"/>
        <family val="2"/>
      </rPr>
      <t>total</t>
    </r>
    <r>
      <rPr>
        <sz val="14"/>
        <rFont val="Arial"/>
        <family val="2"/>
      </rPr>
      <t xml:space="preserve"> recoveries by location, run, and release type</t>
    </r>
    <r>
      <rPr>
        <vertAlign val="superscript"/>
        <sz val="14"/>
        <rFont val="Arial"/>
        <family val="2"/>
      </rPr>
      <t>a/</t>
    </r>
    <r>
      <rPr>
        <sz val="14"/>
        <rFont val="Arial"/>
        <family val="2"/>
      </rPr>
      <t xml:space="preserve"> in hatchery returns, natural escapement and sport harvest during 2016.</t>
    </r>
  </si>
  <si>
    <t>nonCV</t>
  </si>
  <si>
    <r>
      <t>Mokelumne River</t>
    </r>
    <r>
      <rPr>
        <vertAlign val="superscript"/>
        <sz val="10"/>
        <rFont val="Arial"/>
        <family val="2"/>
      </rPr>
      <t>c/</t>
    </r>
  </si>
  <si>
    <r>
      <t>Total Natural Area Fall-run</t>
    </r>
    <r>
      <rPr>
        <b/>
        <i/>
        <vertAlign val="superscript"/>
        <sz val="9"/>
        <rFont val="Arial"/>
        <family val="2"/>
      </rPr>
      <t>d/</t>
    </r>
  </si>
  <si>
    <t>a/ Release types defined in Table 3. Note: recoveries of FRHFtib merged with FRHFn, MOKFx (age-2 raised at Merced Hatchery) merged into MOKF.</t>
  </si>
  <si>
    <r>
      <t>b/ Late-fall hatchery returns, natural escapement, and sport harvest occurred in late fall 2016</t>
    </r>
    <r>
      <rPr>
        <sz val="9"/>
        <rFont val="Arial"/>
        <family val="2"/>
      </rPr>
      <t xml:space="preserve"> (return year 2017)</t>
    </r>
    <r>
      <rPr>
        <sz val="10"/>
        <rFont val="Arial"/>
        <family val="2"/>
      </rPr>
      <t>.</t>
    </r>
  </si>
  <si>
    <r>
      <t>c/ Battle Creek and Mokelumne River natural escapement CWT</t>
    </r>
    <r>
      <rPr>
        <vertAlign val="subscript"/>
        <sz val="10"/>
        <rFont val="Arial"/>
        <family val="2"/>
      </rPr>
      <t xml:space="preserve">total </t>
    </r>
    <r>
      <rPr>
        <sz val="10"/>
        <rFont val="Arial"/>
        <family val="2"/>
      </rPr>
      <t xml:space="preserve">based on hatchery proportions at CFH and MOK, respectively. </t>
    </r>
  </si>
  <si>
    <t>d/ Total Natural Area Fall-run includes CWTs collected opportunistically in the Cosumnes River (n=6) and Cottonwood (n=2), Cow (n=1) and Mill (n=3) creeks.</t>
  </si>
  <si>
    <t>noncv</t>
  </si>
  <si>
    <r>
      <t>Table 11. Total inland CWT</t>
    </r>
    <r>
      <rPr>
        <vertAlign val="subscript"/>
        <sz val="14"/>
        <rFont val="Arial"/>
        <family val="2"/>
      </rPr>
      <t>total</t>
    </r>
    <r>
      <rPr>
        <sz val="14"/>
        <rFont val="Arial"/>
        <family val="2"/>
      </rPr>
      <t xml:space="preserve"> recoveries by location, run, and release type</t>
    </r>
    <r>
      <rPr>
        <vertAlign val="superscript"/>
        <sz val="14"/>
        <rFont val="Arial"/>
        <family val="2"/>
      </rPr>
      <t>a/</t>
    </r>
    <r>
      <rPr>
        <sz val="14"/>
        <rFont val="Arial"/>
        <family val="2"/>
      </rPr>
      <t xml:space="preserve"> in hatchery returns, natural escapement and sport harvest during 2016. </t>
    </r>
  </si>
  <si>
    <t>MERFt</t>
  </si>
  <si>
    <t>BUT</t>
  </si>
  <si>
    <t>FEAC</t>
  </si>
  <si>
    <t>SAK</t>
  </si>
  <si>
    <t>SBK</t>
  </si>
  <si>
    <t>Total CV</t>
  </si>
  <si>
    <t>Total Escapement</t>
  </si>
  <si>
    <r>
      <t>Table 11. Total inland CWT</t>
    </r>
    <r>
      <rPr>
        <vertAlign val="subscript"/>
        <sz val="14"/>
        <rFont val="Arial"/>
        <family val="2"/>
      </rPr>
      <t>total</t>
    </r>
    <r>
      <rPr>
        <sz val="14"/>
        <rFont val="Arial"/>
        <family val="2"/>
      </rPr>
      <t xml:space="preserve"> recoveries by location, run, and release type</t>
    </r>
    <r>
      <rPr>
        <vertAlign val="superscript"/>
        <sz val="14"/>
        <rFont val="Arial"/>
        <family val="2"/>
      </rPr>
      <t>ᵃ/</t>
    </r>
    <r>
      <rPr>
        <sz val="14"/>
        <rFont val="Arial"/>
        <family val="2"/>
      </rPr>
      <t xml:space="preserve"> in hatchery returns, natural escapement and sport harvest during 2015. </t>
    </r>
  </si>
  <si>
    <t>MOKFe</t>
  </si>
  <si>
    <t>KESW504</t>
  </si>
  <si>
    <r>
      <t xml:space="preserve">Feather River Hatchery </t>
    </r>
    <r>
      <rPr>
        <sz val="8"/>
        <rFont val="Arial"/>
        <family val="2"/>
      </rPr>
      <t>preseason</t>
    </r>
  </si>
  <si>
    <t>Battle Creek</t>
  </si>
  <si>
    <r>
      <t>Fall</t>
    </r>
    <r>
      <rPr>
        <vertAlign val="superscript"/>
        <sz val="9"/>
        <rFont val="Arial"/>
        <family val="2"/>
      </rPr>
      <t>c/</t>
    </r>
  </si>
  <si>
    <t>DEE</t>
  </si>
  <si>
    <t>Deer Creek</t>
  </si>
  <si>
    <t>0%</t>
  </si>
  <si>
    <t>a/ Release types defined in Table 3; recoveries of Mokelumne Hatchery MOKFb (age-2 barge study releases) and MOKFt (age-4 trucked releases) merged into MOKFe.</t>
  </si>
  <si>
    <r>
      <t>b/ Late-fall hatchery returns, natural escapement, and sport harvest occurred in late fall 2015</t>
    </r>
    <r>
      <rPr>
        <sz val="9"/>
        <rFont val="Arial"/>
        <family val="2"/>
      </rPr>
      <t xml:space="preserve"> (return year 2016)</t>
    </r>
    <r>
      <rPr>
        <sz val="10"/>
        <rFont val="Arial"/>
        <family val="2"/>
      </rPr>
      <t>.</t>
    </r>
  </si>
  <si>
    <r>
      <t>c/ Battle Creek natural escapement CWT</t>
    </r>
    <r>
      <rPr>
        <vertAlign val="subscript"/>
        <sz val="10"/>
        <rFont val="Arial"/>
        <family val="2"/>
      </rPr>
      <t xml:space="preserve">total </t>
    </r>
    <r>
      <rPr>
        <sz val="10"/>
        <rFont val="Arial"/>
        <family val="2"/>
      </rPr>
      <t xml:space="preserve">based on hatchery proportions at CFH </t>
    </r>
    <r>
      <rPr>
        <sz val="9"/>
        <rFont val="Arial"/>
        <family val="2"/>
      </rPr>
      <t>(FWS staff, per. comm)</t>
    </r>
    <r>
      <rPr>
        <sz val="10"/>
        <rFont val="Arial"/>
        <family val="2"/>
      </rPr>
      <t xml:space="preserve">. </t>
    </r>
  </si>
  <si>
    <t>d/ Total Natural Area Fall-run does not include unsampled escapement into Cow Creek (n=591) and Butte Creek (n=82).</t>
  </si>
  <si>
    <r>
      <t>Table 9. Percentage of inland CWT</t>
    </r>
    <r>
      <rPr>
        <vertAlign val="subscript"/>
        <sz val="14"/>
        <rFont val="Arial"/>
        <family val="2"/>
      </rPr>
      <t>total</t>
    </r>
    <r>
      <rPr>
        <sz val="14"/>
        <rFont val="Arial"/>
        <family val="2"/>
      </rPr>
      <t xml:space="preserve"> recoveries by location, run, and release type</t>
    </r>
    <r>
      <rPr>
        <vertAlign val="superscript"/>
        <sz val="14"/>
        <rFont val="Arial"/>
        <family val="2"/>
      </rPr>
      <t>ᵃ/</t>
    </r>
    <r>
      <rPr>
        <sz val="14"/>
        <rFont val="Arial"/>
        <family val="2"/>
      </rPr>
      <t xml:space="preserve"> in hatchery returns, natural escapement and sport harvest during 2015.</t>
    </r>
  </si>
  <si>
    <r>
      <t>a/ Any values less than 0.05% of CWT</t>
    </r>
    <r>
      <rPr>
        <vertAlign val="subscript"/>
        <sz val="10"/>
        <rFont val="Arial"/>
        <family val="2"/>
      </rPr>
      <t>total</t>
    </r>
    <r>
      <rPr>
        <sz val="10"/>
        <rFont val="Arial"/>
        <family val="2"/>
      </rPr>
      <t xml:space="preserve"> are displayed as "-"; values equal or greater than 0.05% but less than 0.5% of CWT</t>
    </r>
    <r>
      <rPr>
        <vertAlign val="subscript"/>
        <sz val="10"/>
        <rFont val="Arial"/>
        <family val="2"/>
      </rPr>
      <t>total</t>
    </r>
    <r>
      <rPr>
        <sz val="10"/>
        <rFont val="Arial"/>
        <family val="2"/>
      </rPr>
      <t xml:space="preserve"> are displayed as 0%. </t>
    </r>
  </si>
  <si>
    <t>b/ Late-fall hatchery returns, natural escapement, and sport harvest occurred in late fall 2015 (return year 2016).</t>
  </si>
  <si>
    <t xml:space="preserve">c/ No CWT recovery survey or ad-clip count available for Battle Creek natural escapement. CWT release groups and hatchery proportions assumed to be equivalent to fall return at CFH (FWS staff, per. comm). </t>
  </si>
  <si>
    <t>Note: Recoveries of Mokelumne Hatchery MOKFb (age-2 barge study releases) and MOKFt (age-4 trucked releases) merged into MOKFe.</t>
  </si>
  <si>
    <r>
      <t>Table 11. Total inland CWT</t>
    </r>
    <r>
      <rPr>
        <vertAlign val="subscript"/>
        <sz val="14"/>
        <rFont val="Arial"/>
        <family val="2"/>
      </rPr>
      <t>total</t>
    </r>
    <r>
      <rPr>
        <sz val="14"/>
        <rFont val="Arial"/>
        <family val="2"/>
      </rPr>
      <t xml:space="preserve"> recoveries by location, run, and release type</t>
    </r>
    <r>
      <rPr>
        <vertAlign val="superscript"/>
        <sz val="14"/>
        <rFont val="Arial"/>
        <family val="2"/>
      </rPr>
      <t>ᵃ/</t>
    </r>
    <r>
      <rPr>
        <sz val="14"/>
        <rFont val="Arial"/>
        <family val="2"/>
      </rPr>
      <t xml:space="preserve"> in hatchery returns, natural escapement and sport harvest during 2014. </t>
    </r>
  </si>
  <si>
    <t>FRHFtib</t>
  </si>
  <si>
    <t>MOKFt</t>
  </si>
  <si>
    <t>mpz old</t>
  </si>
  <si>
    <t>dk old</t>
  </si>
  <si>
    <t>PAY</t>
  </si>
  <si>
    <t>Paynes Creek</t>
  </si>
  <si>
    <r>
      <t>Natural Area Fall-run Total</t>
    </r>
    <r>
      <rPr>
        <b/>
        <i/>
        <vertAlign val="superscript"/>
        <sz val="9"/>
        <rFont val="Arial"/>
        <family val="2"/>
      </rPr>
      <t>d/</t>
    </r>
  </si>
  <si>
    <t>a/ Release types defined in Table 3.</t>
  </si>
  <si>
    <r>
      <t>b/ Late-fall hatchery returns, natural escapement, and sport harvest occurred in late fall 2014</t>
    </r>
    <r>
      <rPr>
        <sz val="9"/>
        <rFont val="Arial"/>
        <family val="2"/>
      </rPr>
      <t xml:space="preserve"> (return year 2015)</t>
    </r>
    <r>
      <rPr>
        <sz val="10"/>
        <rFont val="Arial"/>
        <family val="2"/>
      </rPr>
      <t>.</t>
    </r>
  </si>
  <si>
    <t>d/ Natural Area Fall-run total does not include unsampled escapement into Cow Creek (n=3,535) and Deer Creek (n=849).</t>
  </si>
  <si>
    <r>
      <t>Table 9. Percentage of inland CWT</t>
    </r>
    <r>
      <rPr>
        <vertAlign val="subscript"/>
        <sz val="14"/>
        <rFont val="Arial"/>
        <family val="2"/>
      </rPr>
      <t>total</t>
    </r>
    <r>
      <rPr>
        <sz val="14"/>
        <rFont val="Arial"/>
        <family val="2"/>
      </rPr>
      <t xml:space="preserve"> recoveries by location, run, and release type</t>
    </r>
    <r>
      <rPr>
        <vertAlign val="superscript"/>
        <sz val="14"/>
        <rFont val="Arial"/>
        <family val="2"/>
      </rPr>
      <t>ᵃ/</t>
    </r>
    <r>
      <rPr>
        <sz val="14"/>
        <rFont val="Arial"/>
        <family val="2"/>
      </rPr>
      <t xml:space="preserve"> in hatchery returns, natural escapement and sport harvest during 2014. </t>
    </r>
  </si>
  <si>
    <t>b/ Late-fall hatchery returns, natural escapement, and sport harvest occurred in late fall 2014 (return year 2015).</t>
  </si>
  <si>
    <r>
      <t>Table 11. Total inland CWT</t>
    </r>
    <r>
      <rPr>
        <vertAlign val="subscript"/>
        <sz val="14"/>
        <rFont val="Arial"/>
        <family val="2"/>
      </rPr>
      <t>total</t>
    </r>
    <r>
      <rPr>
        <sz val="14"/>
        <rFont val="Arial"/>
        <family val="2"/>
      </rPr>
      <t xml:space="preserve"> recoveries by location, run, and release type</t>
    </r>
    <r>
      <rPr>
        <vertAlign val="superscript"/>
        <sz val="14"/>
        <rFont val="Arial"/>
        <family val="2"/>
      </rPr>
      <t>ᵃ/</t>
    </r>
    <r>
      <rPr>
        <sz val="14"/>
        <rFont val="Arial"/>
        <family val="2"/>
      </rPr>
      <t xml:space="preserve"> in hatchery returns, natural escapement and sport harvest during 2013. </t>
    </r>
  </si>
  <si>
    <t>NFH</t>
  </si>
  <si>
    <t>Yuba - above</t>
  </si>
  <si>
    <t>Yuba - below</t>
  </si>
  <si>
    <t>Total Natural Area Fall Run</t>
  </si>
  <si>
    <r>
      <t>b/ Late-fall hatchery returns, natural escapement, and sport harvest occurred in late fall 2013</t>
    </r>
    <r>
      <rPr>
        <sz val="9"/>
        <rFont val="Arial"/>
        <family val="2"/>
      </rPr>
      <t xml:space="preserve"> (return year 2014)</t>
    </r>
    <r>
      <rPr>
        <sz val="10"/>
        <rFont val="Arial"/>
        <family val="2"/>
      </rPr>
      <t>.</t>
    </r>
  </si>
  <si>
    <t>stray</t>
  </si>
  <si>
    <t>in-basin</t>
  </si>
  <si>
    <t>FRHFe</t>
  </si>
  <si>
    <t>ocean</t>
  </si>
  <si>
    <t>tot %stray</t>
  </si>
  <si>
    <r>
      <t>Table 9. Percentage of inland CWT</t>
    </r>
    <r>
      <rPr>
        <vertAlign val="subscript"/>
        <sz val="14"/>
        <rFont val="Arial"/>
        <family val="2"/>
      </rPr>
      <t>total</t>
    </r>
    <r>
      <rPr>
        <sz val="14"/>
        <rFont val="Arial"/>
        <family val="2"/>
      </rPr>
      <t xml:space="preserve"> recoveries by location, run, and release type</t>
    </r>
    <r>
      <rPr>
        <vertAlign val="superscript"/>
        <sz val="14"/>
        <rFont val="Arial"/>
        <family val="2"/>
      </rPr>
      <t>ᵃ/</t>
    </r>
    <r>
      <rPr>
        <sz val="14"/>
        <rFont val="Arial"/>
        <family val="2"/>
      </rPr>
      <t xml:space="preserve"> in hatchery returns, natural escapement and sport harvest during 2013. </t>
    </r>
  </si>
  <si>
    <t>b/ Late-fall hatchery returns, natural escapement, and sport harvest occurred in late fall 2013 (return year 2014).</t>
  </si>
  <si>
    <t>Total CV CWTs</t>
  </si>
  <si>
    <t>Total CV %</t>
  </si>
  <si>
    <t>Age</t>
  </si>
  <si>
    <t>Raw CWT Recoveries</t>
  </si>
  <si>
    <t>(12%)</t>
  </si>
  <si>
    <t>(86%)</t>
  </si>
  <si>
    <t>(2%)</t>
  </si>
  <si>
    <r>
      <t>Expanded CWT</t>
    </r>
    <r>
      <rPr>
        <sz val="8"/>
        <rFont val="Arial"/>
        <family val="2"/>
      </rPr>
      <t>total</t>
    </r>
  </si>
  <si>
    <t>62%</t>
  </si>
  <si>
    <t>(6%)</t>
  </si>
  <si>
    <t>(1%)</t>
  </si>
  <si>
    <t>Late Fall</t>
  </si>
  <si>
    <t>(33%)</t>
  </si>
  <si>
    <t>(&lt; 1%)</t>
  </si>
  <si>
    <t>(62%)</t>
  </si>
  <si>
    <t>(17%)</t>
  </si>
  <si>
    <t>(50%)</t>
  </si>
  <si>
    <t>(67%)</t>
  </si>
  <si>
    <t>(51%)</t>
  </si>
  <si>
    <t>(49%)</t>
  </si>
  <si>
    <t>All Runs</t>
  </si>
  <si>
    <t>100%</t>
  </si>
  <si>
    <t>(83%)</t>
  </si>
  <si>
    <t>(7%)</t>
  </si>
  <si>
    <t>(8%)</t>
  </si>
  <si>
    <t>(5%)</t>
  </si>
  <si>
    <t>`</t>
  </si>
  <si>
    <t>Table 6. Raw and expanded Central Valley coded-wire-tag (CWT) recoveries by stock and age, brood years 2005-2009</t>
  </si>
  <si>
    <t>(46%)</t>
  </si>
  <si>
    <t>(52%)</t>
  </si>
  <si>
    <t>84%</t>
  </si>
  <si>
    <t>(31%)</t>
  </si>
  <si>
    <t>15%</t>
  </si>
  <si>
    <t>(89%)</t>
  </si>
  <si>
    <t>10%</t>
  </si>
  <si>
    <t>(92%)</t>
  </si>
  <si>
    <t>(3%)</t>
  </si>
  <si>
    <t>23%</t>
  </si>
  <si>
    <t>(14%)</t>
  </si>
  <si>
    <t>(16%)</t>
  </si>
  <si>
    <t>6%</t>
  </si>
  <si>
    <t>(20%)</t>
  </si>
  <si>
    <t>(59%)</t>
  </si>
  <si>
    <t>(30%)</t>
  </si>
  <si>
    <t>(4%)</t>
  </si>
  <si>
    <t>(27%)</t>
  </si>
  <si>
    <t>(66%)</t>
  </si>
  <si>
    <r>
      <t>Table 9.  Percentage of inland CWT</t>
    </r>
    <r>
      <rPr>
        <vertAlign val="subscript"/>
        <sz val="11"/>
        <rFont val="Arial"/>
        <family val="2"/>
      </rPr>
      <t>total</t>
    </r>
    <r>
      <rPr>
        <sz val="11"/>
        <rFont val="Arial"/>
        <family val="2"/>
      </rPr>
      <t xml:space="preserve"> recoveries by location, run, and release typeᵃ in hatchery returns, natural escapement and sport harvest during 2011. </t>
    </r>
  </si>
  <si>
    <r>
      <t>Feather River Hatchery</t>
    </r>
    <r>
      <rPr>
        <b/>
        <u/>
        <sz val="12"/>
        <rFont val="Calibri"/>
        <family val="2"/>
      </rPr>
      <t>ᵇ</t>
    </r>
  </si>
  <si>
    <t>Nimbus Hatchery</t>
  </si>
  <si>
    <r>
      <t>Mokelumne/Merced hatcheries</t>
    </r>
    <r>
      <rPr>
        <b/>
        <u/>
        <sz val="12"/>
        <rFont val="Calibri"/>
        <family val="2"/>
      </rPr>
      <t>ᵇ</t>
    </r>
  </si>
  <si>
    <t>CFHLe</t>
  </si>
  <si>
    <t>CFHFe</t>
  </si>
  <si>
    <t>FRHFt</t>
  </si>
  <si>
    <t>FEAFw</t>
  </si>
  <si>
    <t>NIMFtib</t>
  </si>
  <si>
    <t>MokFw</t>
  </si>
  <si>
    <t>Coleman Hatchery</t>
  </si>
  <si>
    <t>50</t>
  </si>
  <si>
    <t>Late</t>
  </si>
  <si>
    <t>Nimbus Weir</t>
  </si>
  <si>
    <t>Mokelumne Hatchery</t>
  </si>
  <si>
    <t>Merced Hatchery</t>
  </si>
  <si>
    <t>54</t>
  </si>
  <si>
    <r>
      <t>Cottonwood Creek</t>
    </r>
    <r>
      <rPr>
        <sz val="12"/>
        <rFont val="Calibri"/>
        <family val="2"/>
      </rPr>
      <t>ᶜ</t>
    </r>
  </si>
  <si>
    <r>
      <t>Mill Creek</t>
    </r>
    <r>
      <rPr>
        <sz val="12"/>
        <rFont val="Calibri"/>
        <family val="2"/>
      </rPr>
      <t>ᶜ</t>
    </r>
  </si>
  <si>
    <r>
      <t>Battle Creek</t>
    </r>
    <r>
      <rPr>
        <sz val="12"/>
        <rFont val="Calibri"/>
        <family val="2"/>
      </rPr>
      <t>ᵈ</t>
    </r>
  </si>
  <si>
    <t>Upper Sac River</t>
  </si>
  <si>
    <t>Yuba River - Above DPD</t>
  </si>
  <si>
    <t>Yuba River - Below DPD</t>
  </si>
  <si>
    <r>
      <t>Calaveras River</t>
    </r>
    <r>
      <rPr>
        <sz val="12"/>
        <rFont val="Calibri"/>
        <family val="2"/>
      </rPr>
      <t>ᶜ</t>
    </r>
  </si>
  <si>
    <r>
      <t>Total Natural Area Fall Run</t>
    </r>
    <r>
      <rPr>
        <b/>
        <sz val="10"/>
        <rFont val="Calibri"/>
        <family val="2"/>
      </rPr>
      <t>ᵉ</t>
    </r>
  </si>
  <si>
    <t>Inland Creel - Late Fall</t>
  </si>
  <si>
    <t>SAF</t>
  </si>
  <si>
    <t>99</t>
  </si>
  <si>
    <t>Inland Creel - Upper Sac</t>
  </si>
  <si>
    <t>Inland Creel - Lower Sac</t>
  </si>
  <si>
    <t>SBF</t>
  </si>
  <si>
    <t>Inland Creel - Feather</t>
  </si>
  <si>
    <t>Inland Creel - American</t>
  </si>
  <si>
    <t xml:space="preserve">Total Sport Fall Harvest  </t>
  </si>
  <si>
    <t>a/ Any values resulting in less than 0.05% are displayed here as "-".  Note: These values represent a small number of recoveries and are not actual zeros.</t>
  </si>
  <si>
    <t>b/ Natural-origin Feather River (FeaW) and Mokelumne River (Mokw) CWT releases are not included in this table due to minimal recoveries occurring only at the Feather River and Mokelumne hatcheries (contributed 0.02% and 0.01%, respectively).</t>
  </si>
  <si>
    <t xml:space="preserve">d/ No CWT recovery survey or ad-clip count available for Battle Creek natural escapement.  CWT release group and total hatchery proportions assumed to be equivalent to Coleman National Fish Hatchery (FWS staff, per. comm). </t>
  </si>
  <si>
    <t>e/ Total natural area fall run total only includes surveys with representative sampling of CWTs.</t>
  </si>
  <si>
    <r>
      <t>Table 9.  Percentage of inland CWT</t>
    </r>
    <r>
      <rPr>
        <vertAlign val="subscript"/>
        <sz val="14"/>
        <rFont val="Arial"/>
        <family val="2"/>
      </rPr>
      <t>total</t>
    </r>
    <r>
      <rPr>
        <sz val="14"/>
        <rFont val="Arial"/>
        <family val="2"/>
      </rPr>
      <t xml:space="preserve"> recoveries by location, run, and release typeᵃ in hatchery returns, natural escapement and sport harvest during 2012. </t>
    </r>
  </si>
  <si>
    <t>FeaFw</t>
  </si>
  <si>
    <t>Hatcheryᵇ</t>
  </si>
  <si>
    <t>Yuba River above DPD</t>
  </si>
  <si>
    <t>Yuba River below DPD</t>
  </si>
  <si>
    <r>
      <t>Cosumnes River</t>
    </r>
    <r>
      <rPr>
        <vertAlign val="superscript"/>
        <sz val="10"/>
        <rFont val="Arial"/>
        <family val="2"/>
      </rPr>
      <t>c</t>
    </r>
  </si>
  <si>
    <t>Inland Creel - Mokelumne</t>
  </si>
  <si>
    <t>b/ Recovery of natural-origin Feather River (FeaFw) CWT releases are not included in hatchery proportion totals.</t>
  </si>
  <si>
    <t xml:space="preserve">d/ No CWT recovery survey or ad-clip count available for Battle Creek natural escapement. CWT release group and total hatchery proportions assumed to be equivalent to fall return at Coleman National Fish Hatchery (FWS staff, per. comm). </t>
  </si>
  <si>
    <t>e/ Total natural area fall run proportion based only on surveys with representative sampling of CWTs.</t>
  </si>
  <si>
    <t>Table 7. Raw and expanded CV Chinook CWT recoveries by stock and age, brood years 2006-2011.</t>
  </si>
  <si>
    <t>(72%)</t>
  </si>
  <si>
    <t>(24%)</t>
  </si>
  <si>
    <t>(57%)</t>
  </si>
  <si>
    <t>(36%)</t>
  </si>
  <si>
    <t>(54%)</t>
  </si>
  <si>
    <t>(56%)</t>
  </si>
  <si>
    <t>Late-Fall</t>
  </si>
  <si>
    <t>(23%)</t>
  </si>
  <si>
    <t>(64%)</t>
  </si>
  <si>
    <t>(11%)</t>
  </si>
  <si>
    <t>(26%)</t>
  </si>
  <si>
    <t>(37%)</t>
  </si>
  <si>
    <t>Table 7. Raw and expanded CV Chinook CWT recoveries by stock and age, brood years 2007-2011.</t>
  </si>
  <si>
    <t>(13%)</t>
  </si>
  <si>
    <t>(85%)</t>
  </si>
  <si>
    <t>(90%)</t>
  </si>
  <si>
    <t>(91%)</t>
  </si>
  <si>
    <t>(81%)</t>
  </si>
  <si>
    <t>(100%)</t>
  </si>
  <si>
    <r>
      <t>Total CWT</t>
    </r>
    <r>
      <rPr>
        <b/>
        <vertAlign val="subscript"/>
        <sz val="10"/>
        <color theme="0"/>
        <rFont val="Arial"/>
        <family val="2"/>
      </rPr>
      <t>total</t>
    </r>
    <r>
      <rPr>
        <b/>
        <sz val="10"/>
        <color theme="0"/>
        <rFont val="Arial"/>
        <family val="2"/>
      </rPr>
      <t xml:space="preserve"> </t>
    </r>
  </si>
  <si>
    <r>
      <t>Cell W4 (SJOSx</t>
    </r>
    <r>
      <rPr>
        <vertAlign val="superscript"/>
        <sz val="10"/>
        <color theme="0"/>
        <rFont val="Arial"/>
        <family val="2"/>
      </rPr>
      <t>c/</t>
    </r>
    <r>
      <rPr>
        <sz val="10"/>
        <color theme="0"/>
        <rFont val="Arial"/>
        <family val="2"/>
      </rPr>
      <t>) has been hardcoded to keep the footnote formatting correct</t>
    </r>
  </si>
  <si>
    <t>Appendix 1. 2010 Central Valley Chinook hatchery and natural escapement sampling and CWT recovery summary</t>
  </si>
  <si>
    <t xml:space="preserve">CV hatchery - fall </t>
  </si>
  <si>
    <t>year</t>
  </si>
  <si>
    <t>Sample site</t>
  </si>
  <si>
    <t>sample method</t>
  </si>
  <si>
    <t>sampled run</t>
  </si>
  <si>
    <t>total estimate</t>
  </si>
  <si>
    <t>sampled</t>
  </si>
  <si>
    <t>sample rate</t>
  </si>
  <si>
    <t>ad-clips obsvd</t>
  </si>
  <si>
    <t>ad-clip rate</t>
  </si>
  <si>
    <t>valid CWTs</t>
  </si>
  <si>
    <t>hatchery component</t>
  </si>
  <si>
    <t>natural component</t>
  </si>
  <si>
    <t>2010</t>
  </si>
  <si>
    <t>Coleman Hatchery fall</t>
  </si>
  <si>
    <t>actual count</t>
  </si>
  <si>
    <t>fall</t>
  </si>
  <si>
    <t>Feather R Hatchery fall</t>
  </si>
  <si>
    <t>Nimbus Hatchery fall</t>
  </si>
  <si>
    <t>Mokelumne Hatchery fall</t>
  </si>
  <si>
    <t>Merced Hatchery fall</t>
  </si>
  <si>
    <t>CV hatchery fall total</t>
  </si>
  <si>
    <t xml:space="preserve">SR natural - fall </t>
  </si>
  <si>
    <t xml:space="preserve">Upper Sac </t>
  </si>
  <si>
    <t>mark-recapture</t>
  </si>
  <si>
    <t xml:space="preserve">Clear Crk </t>
  </si>
  <si>
    <t xml:space="preserve">Butte Crk </t>
  </si>
  <si>
    <t>Mill Crk</t>
  </si>
  <si>
    <t>redd count</t>
  </si>
  <si>
    <t xml:space="preserve">Deer Crk </t>
  </si>
  <si>
    <t xml:space="preserve">Yuba River </t>
  </si>
  <si>
    <t>59</t>
  </si>
  <si>
    <t>Sacramento River basin natural area fall totals</t>
  </si>
  <si>
    <t xml:space="preserve">SJ natural - fall </t>
  </si>
  <si>
    <t>Mokelume River</t>
  </si>
  <si>
    <t>video weir</t>
  </si>
  <si>
    <t>Mokelumne Weir</t>
  </si>
  <si>
    <t xml:space="preserve">Merced River </t>
  </si>
  <si>
    <t>San Joaquin basin natural area fall totals</t>
  </si>
  <si>
    <t>CV late fall &amp; spring</t>
  </si>
  <si>
    <t>Coleman Hatchery late fall</t>
  </si>
  <si>
    <t>late fall</t>
  </si>
  <si>
    <t>American River late fall count</t>
  </si>
  <si>
    <t>cumulative cnt</t>
  </si>
  <si>
    <t>Upper Sac late fall carcass</t>
  </si>
  <si>
    <t>Butte Crk spring carcass</t>
  </si>
  <si>
    <t>spring</t>
  </si>
  <si>
    <t>Mill Crk spring</t>
  </si>
  <si>
    <t>Deek Crk spring</t>
  </si>
  <si>
    <t>snorkle-max cnt</t>
  </si>
  <si>
    <t>Feather R Hatchery spring</t>
  </si>
  <si>
    <t>Sacramento River basin late fall and spring totals</t>
  </si>
  <si>
    <t>CV creel survey</t>
  </si>
  <si>
    <t>sample site</t>
  </si>
  <si>
    <t>46</t>
  </si>
  <si>
    <t xml:space="preserve">creel </t>
  </si>
  <si>
    <t>creel</t>
  </si>
  <si>
    <t>Sac River above Knights Ldg</t>
  </si>
  <si>
    <t>Sac River Carquinez to Knghts</t>
  </si>
  <si>
    <t>Sac River above Red Bluff</t>
  </si>
  <si>
    <t>CV creel totals</t>
  </si>
  <si>
    <t>Sampling area -run</t>
  </si>
  <si>
    <t>%hatchery</t>
  </si>
  <si>
    <t>Sac basin fall</t>
  </si>
  <si>
    <t>Sac basin spring</t>
  </si>
  <si>
    <t>Sac basin late fall</t>
  </si>
  <si>
    <t>SJ basin fall</t>
  </si>
  <si>
    <t>CV creel fall</t>
  </si>
  <si>
    <t>CV creel late fall</t>
  </si>
  <si>
    <t>TOTAL</t>
  </si>
  <si>
    <t>hat</t>
  </si>
  <si>
    <t>nat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</si>
</sst>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48" x14ac:knownFonts="1">
    <font>
      <sz val="10"/>
      <name val="Arial"/>
    </font>
    <font>
      <sz val="10"/>
      <name val="Arial"/>
    </font>
    <font>
      <sz val="14"/>
      <name val="Arial"/>
      <family val="2"/>
    </font>
    <font>
      <vertAlign val="subscript"/>
      <sz val="14"/>
      <name val="Arial"/>
      <family val="2"/>
    </font>
    <font>
      <vertAlign val="superscript"/>
      <sz val="14"/>
      <name val="Arial"/>
      <family val="2"/>
    </font>
    <font>
      <sz val="10"/>
      <name val="Arial"/>
      <family val="2"/>
    </font>
    <font>
      <sz val="8"/>
      <name val="Arial"/>
      <family val="2"/>
    </font>
    <font>
      <b/>
      <u/>
      <sz val="10"/>
      <name val="Arial"/>
      <family val="2"/>
    </font>
    <font>
      <b/>
      <sz val="10"/>
      <name val="Arial"/>
      <family val="2"/>
    </font>
    <font>
      <b/>
      <vertAlign val="subscript"/>
      <sz val="10"/>
      <name val="Arial"/>
      <family val="2"/>
    </font>
    <font>
      <sz val="9"/>
      <name val="Arial"/>
      <family val="2"/>
    </font>
    <font>
      <b/>
      <sz val="9"/>
      <name val="Arial"/>
      <family val="2"/>
    </font>
    <font>
      <sz val="8"/>
      <color rgb="FFFF0000"/>
      <name val="Arial"/>
      <family val="2"/>
    </font>
    <font>
      <vertAlign val="superscript"/>
      <sz val="9"/>
      <name val="Arial"/>
      <family val="2"/>
    </font>
    <font>
      <b/>
      <sz val="8"/>
      <name val="Arial"/>
      <family val="2"/>
    </font>
    <font>
      <b/>
      <i/>
      <sz val="9"/>
      <name val="Arial"/>
      <family val="2"/>
    </font>
    <font>
      <b/>
      <i/>
      <sz val="10"/>
      <name val="Arial"/>
      <family val="2"/>
    </font>
    <font>
      <vertAlign val="superscript"/>
      <sz val="10"/>
      <name val="Arial"/>
      <family val="2"/>
    </font>
    <font>
      <sz val="10"/>
      <color rgb="FFFF0000"/>
      <name val="Arial"/>
      <family val="2"/>
    </font>
    <font>
      <vertAlign val="subscript"/>
      <sz val="10"/>
      <name val="Arial"/>
      <family val="2"/>
    </font>
    <font>
      <b/>
      <u/>
      <sz val="10"/>
      <color rgb="FFFF0000"/>
      <name val="Arial"/>
      <family val="2"/>
    </font>
    <font>
      <u/>
      <sz val="10"/>
      <color rgb="FFFF0000"/>
      <name val="Arial"/>
      <family val="2"/>
    </font>
    <font>
      <b/>
      <sz val="10"/>
      <color rgb="FFFF0000"/>
      <name val="Arial"/>
      <family val="2"/>
    </font>
    <font>
      <b/>
      <sz val="9"/>
      <color rgb="FFFF0000"/>
      <name val="Arial"/>
      <family val="2"/>
    </font>
    <font>
      <sz val="10"/>
      <color theme="4" tint="-0.249977111117893"/>
      <name val="Arial"/>
      <family val="2"/>
    </font>
    <font>
      <sz val="9"/>
      <color theme="4" tint="-0.249977111117893"/>
      <name val="Arial"/>
      <family val="2"/>
    </font>
    <font>
      <sz val="8"/>
      <color theme="4" tint="-0.249977111117893"/>
      <name val="Arial"/>
      <family val="2"/>
    </font>
    <font>
      <u/>
      <sz val="10"/>
      <name val="Arial"/>
      <family val="2"/>
    </font>
    <font>
      <b/>
      <i/>
      <vertAlign val="superscript"/>
      <sz val="9"/>
      <name val="Arial"/>
      <family val="2"/>
    </font>
    <font>
      <sz val="8"/>
      <name val="Arial"/>
    </font>
    <font>
      <sz val="11"/>
      <name val="Arial"/>
      <family val="2"/>
    </font>
    <font>
      <vertAlign val="subscript"/>
      <sz val="11"/>
      <name val="Arial"/>
      <family val="2"/>
    </font>
    <font>
      <b/>
      <u/>
      <sz val="12"/>
      <name val="Calibri"/>
      <family val="2"/>
    </font>
    <font>
      <sz val="12"/>
      <name val="Calibri"/>
      <family val="2"/>
    </font>
    <font>
      <b/>
      <sz val="10"/>
      <name val="Calibri"/>
      <family val="2"/>
    </font>
    <font>
      <sz val="10"/>
      <color theme="0"/>
      <name val="Arial"/>
      <family val="2"/>
    </font>
    <font>
      <b/>
      <sz val="9"/>
      <color theme="0"/>
      <name val="Arial"/>
      <family val="2"/>
    </font>
    <font>
      <b/>
      <u/>
      <sz val="10"/>
      <color theme="0"/>
      <name val="Arial"/>
      <family val="2"/>
    </font>
    <font>
      <u/>
      <sz val="10"/>
      <color theme="0"/>
      <name val="Arial"/>
      <family val="2"/>
    </font>
    <font>
      <b/>
      <sz val="10"/>
      <color theme="0"/>
      <name val="Arial"/>
      <family val="2"/>
    </font>
    <font>
      <b/>
      <vertAlign val="subscript"/>
      <sz val="10"/>
      <color theme="0"/>
      <name val="Arial"/>
      <family val="2"/>
    </font>
    <font>
      <sz val="8"/>
      <color theme="0"/>
      <name val="Arial"/>
      <family val="2"/>
    </font>
    <font>
      <sz val="9"/>
      <color theme="0"/>
      <name val="Arial"/>
      <family val="2"/>
    </font>
    <font>
      <b/>
      <sz val="8"/>
      <color theme="0"/>
      <name val="Arial"/>
      <family val="2"/>
    </font>
    <font>
      <i/>
      <sz val="10"/>
      <color theme="0"/>
      <name val="Arial"/>
      <family val="2"/>
    </font>
    <font>
      <vertAlign val="superscript"/>
      <sz val="10"/>
      <color theme="0"/>
      <name val="Arial"/>
      <family val="2"/>
    </font>
    <font>
      <b/>
      <sz val="14"/>
      <name val="Arial"/>
      <family val="2"/>
    </font>
    <font>
      <b/>
      <sz val="12"/>
      <name val="Arial"/>
      <family val="2"/>
    </font>
  </fonts>
  <fills count="8">
    <fill>
      <patternFill patternType="none"/>
    </fill>
    <fill>
      <patternFill patternType="gray125"/>
    </fill>
    <fill>
      <patternFill patternType="solid">
        <fgColor theme="0" tint="-0.34998626667073579"/>
        <bgColor indexed="64"/>
      </patternFill>
    </fill>
    <fill>
      <patternFill patternType="solid">
        <fgColor theme="0"/>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rgb="FFFFFF00"/>
        <bgColor indexed="64"/>
      </patternFill>
    </fill>
    <fill>
      <patternFill patternType="solid">
        <fgColor theme="9" tint="0.39997558519241921"/>
        <bgColor indexed="64"/>
      </patternFill>
    </fill>
  </fills>
  <borders count="54">
    <border>
      <left/>
      <right/>
      <top/>
      <bottom/>
      <diagonal/>
    </border>
    <border>
      <left/>
      <right/>
      <top style="thin">
        <color indexed="64"/>
      </top>
      <bottom/>
      <diagonal/>
    </border>
    <border>
      <left/>
      <right style="thin">
        <color theme="0" tint="-0.34998626667073579"/>
      </right>
      <top style="thin">
        <color indexed="64"/>
      </top>
      <bottom/>
      <diagonal/>
    </border>
    <border>
      <left/>
      <right style="thin">
        <color theme="0" tint="-0.499984740745262"/>
      </right>
      <top style="thin">
        <color indexed="64"/>
      </top>
      <bottom/>
      <diagonal/>
    </border>
    <border>
      <left style="thin">
        <color theme="0" tint="-0.499984740745262"/>
      </left>
      <right/>
      <top style="thin">
        <color indexed="64"/>
      </top>
      <bottom/>
      <diagonal/>
    </border>
    <border>
      <left/>
      <right/>
      <top/>
      <bottom style="thin">
        <color indexed="64"/>
      </bottom>
      <diagonal/>
    </border>
    <border>
      <left style="thin">
        <color theme="0" tint="-0.34998626667073579"/>
      </left>
      <right/>
      <top/>
      <bottom style="thin">
        <color indexed="64"/>
      </bottom>
      <diagonal/>
    </border>
    <border>
      <left/>
      <right style="thin">
        <color theme="0" tint="-0.34998626667073579"/>
      </right>
      <top/>
      <bottom style="thin">
        <color indexed="64"/>
      </bottom>
      <diagonal/>
    </border>
    <border>
      <left/>
      <right style="thin">
        <color theme="0" tint="-0.499984740745262"/>
      </right>
      <top/>
      <bottom style="thin">
        <color indexed="64"/>
      </bottom>
      <diagonal/>
    </border>
    <border>
      <left style="thin">
        <color theme="0" tint="-0.499984740745262"/>
      </left>
      <right/>
      <top/>
      <bottom style="thin">
        <color indexed="64"/>
      </bottom>
      <diagonal/>
    </border>
    <border>
      <left style="thin">
        <color theme="0" tint="-0.34998626667073579"/>
      </left>
      <right/>
      <top/>
      <bottom/>
      <diagonal/>
    </border>
    <border>
      <left/>
      <right style="thin">
        <color theme="0" tint="-0.34998626667073579"/>
      </right>
      <top/>
      <bottom/>
      <diagonal/>
    </border>
    <border>
      <left style="thin">
        <color theme="0" tint="-0.499984740745262"/>
      </left>
      <right/>
      <top/>
      <bottom/>
      <diagonal/>
    </border>
    <border>
      <left/>
      <right style="thin">
        <color theme="0" tint="-0.499984740745262"/>
      </right>
      <top/>
      <bottom/>
      <diagonal/>
    </border>
    <border>
      <left/>
      <right/>
      <top style="dotted">
        <color auto="1"/>
      </top>
      <bottom/>
      <diagonal/>
    </border>
    <border>
      <left/>
      <right/>
      <top/>
      <bottom style="thin">
        <color theme="0" tint="-0.24994659260841701"/>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24994659260841701"/>
      </bottom>
      <diagonal/>
    </border>
    <border>
      <left/>
      <right style="thin">
        <color theme="0" tint="-0.34998626667073579"/>
      </right>
      <top/>
      <bottom style="thin">
        <color theme="0" tint="-0.24994659260841701"/>
      </bottom>
      <diagonal/>
    </border>
    <border>
      <left style="thin">
        <color theme="0" tint="-0.499984740745262"/>
      </left>
      <right/>
      <top/>
      <bottom style="thin">
        <color theme="0" tint="-0.24994659260841701"/>
      </bottom>
      <diagonal/>
    </border>
    <border>
      <left/>
      <right style="thin">
        <color theme="0" tint="-0.499984740745262"/>
      </right>
      <top/>
      <bottom style="thin">
        <color theme="0" tint="-0.24994659260841701"/>
      </bottom>
      <diagonal/>
    </border>
    <border>
      <left/>
      <right/>
      <top/>
      <bottom style="dotted">
        <color theme="0" tint="-0.24994659260841701"/>
      </bottom>
      <diagonal/>
    </border>
    <border>
      <left style="thin">
        <color theme="0" tint="-0.34998626667073579"/>
      </left>
      <right/>
      <top/>
      <bottom style="dotted">
        <color theme="0" tint="-0.24994659260841701"/>
      </bottom>
      <diagonal/>
    </border>
    <border>
      <left/>
      <right style="thin">
        <color theme="0" tint="-0.34998626667073579"/>
      </right>
      <top/>
      <bottom style="dotted">
        <color theme="0" tint="-0.24994659260841701"/>
      </bottom>
      <diagonal/>
    </border>
    <border>
      <left style="thin">
        <color theme="0" tint="-0.499984740745262"/>
      </left>
      <right/>
      <top/>
      <bottom style="dotted">
        <color theme="0" tint="-0.24994659260841701"/>
      </bottom>
      <diagonal/>
    </border>
    <border>
      <left/>
      <right style="thin">
        <color theme="0" tint="-0.499984740745262"/>
      </right>
      <top/>
      <bottom style="dotted">
        <color theme="0" tint="-0.24994659260841701"/>
      </bottom>
      <diagonal/>
    </border>
    <border>
      <left/>
      <right/>
      <top style="dotted">
        <color theme="0" tint="-0.24994659260841701"/>
      </top>
      <bottom/>
      <diagonal/>
    </border>
    <border>
      <left style="thin">
        <color theme="0" tint="-0.34998626667073579"/>
      </left>
      <right/>
      <top style="dotted">
        <color theme="0" tint="-0.24994659260841701"/>
      </top>
      <bottom/>
      <diagonal/>
    </border>
    <border>
      <left/>
      <right style="thin">
        <color theme="0" tint="-0.34998626667073579"/>
      </right>
      <top style="dotted">
        <color theme="0" tint="-0.24994659260841701"/>
      </top>
      <bottom/>
      <diagonal/>
    </border>
    <border>
      <left style="thin">
        <color theme="0" tint="-0.499984740745262"/>
      </left>
      <right/>
      <top style="dotted">
        <color theme="0" tint="-0.24994659260841701"/>
      </top>
      <bottom/>
      <diagonal/>
    </border>
    <border>
      <left/>
      <right style="thin">
        <color theme="0" tint="-0.499984740745262"/>
      </right>
      <top style="dotted">
        <color theme="0" tint="-0.24994659260841701"/>
      </top>
      <bottom/>
      <diagonal/>
    </border>
    <border>
      <left style="thin">
        <color theme="0" tint="-0.34998626667073579"/>
      </left>
      <right/>
      <top style="dotted">
        <color auto="1"/>
      </top>
      <bottom/>
      <diagonal/>
    </border>
    <border>
      <left/>
      <right style="thin">
        <color theme="0" tint="-0.34998626667073579"/>
      </right>
      <top style="dotted">
        <color auto="1"/>
      </top>
      <bottom/>
      <diagonal/>
    </border>
    <border>
      <left style="thin">
        <color theme="0" tint="-0.499984740745262"/>
      </left>
      <right/>
      <top style="dotted">
        <color auto="1"/>
      </top>
      <bottom/>
      <diagonal/>
    </border>
    <border>
      <left/>
      <right style="thin">
        <color theme="0" tint="-0.499984740745262"/>
      </right>
      <top style="dotted">
        <color auto="1"/>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dashed">
        <color indexed="64"/>
      </left>
      <right/>
      <top/>
      <bottom style="thin">
        <color indexed="64"/>
      </bottom>
      <diagonal/>
    </border>
    <border>
      <left/>
      <right style="dashed">
        <color indexed="64"/>
      </right>
      <top/>
      <bottom style="thin">
        <color indexed="64"/>
      </bottom>
      <diagonal/>
    </border>
    <border>
      <left style="dashed">
        <color indexed="64"/>
      </left>
      <right style="thin">
        <color indexed="64"/>
      </right>
      <top/>
      <bottom style="thin">
        <color indexed="64"/>
      </bottom>
      <diagonal/>
    </border>
    <border>
      <left style="dashed">
        <color indexed="64"/>
      </left>
      <right/>
      <top style="thin">
        <color indexed="64"/>
      </top>
      <bottom/>
      <diagonal/>
    </border>
    <border>
      <left/>
      <right style="dashed">
        <color indexed="64"/>
      </right>
      <top style="thin">
        <color indexed="64"/>
      </top>
      <bottom/>
      <diagonal/>
    </border>
    <border>
      <left style="dashed">
        <color indexed="64"/>
      </left>
      <right style="thin">
        <color indexed="64"/>
      </right>
      <top style="thin">
        <color indexed="64"/>
      </top>
      <bottom/>
      <diagonal/>
    </border>
    <border>
      <left style="dashed">
        <color indexed="64"/>
      </left>
      <right/>
      <top/>
      <bottom/>
      <diagonal/>
    </border>
    <border>
      <left/>
      <right style="dashed">
        <color indexed="64"/>
      </right>
      <top/>
      <bottom/>
      <diagonal/>
    </border>
    <border>
      <left style="dashed">
        <color indexed="64"/>
      </left>
      <right style="thin">
        <color indexed="64"/>
      </right>
      <top/>
      <bottom/>
      <diagonal/>
    </border>
    <border>
      <left/>
      <right/>
      <top/>
      <bottom style="thin">
        <color theme="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9" fontId="5" fillId="0" borderId="0" applyFont="0" applyFill="0" applyBorder="0" applyAlignment="0" applyProtection="0"/>
    <xf numFmtId="9" fontId="1" fillId="0" borderId="0" applyFont="0" applyFill="0" applyBorder="0" applyAlignment="0" applyProtection="0"/>
    <xf numFmtId="0" fontId="5" fillId="0" borderId="0"/>
  </cellStyleXfs>
  <cellXfs count="752">
    <xf numFmtId="0" fontId="0" fillId="0" borderId="0" xfId="0"/>
    <xf numFmtId="0" fontId="0" fillId="0" borderId="0" xfId="0" applyAlignment="1">
      <alignment horizontal="center"/>
    </xf>
    <xf numFmtId="0" fontId="2" fillId="0" borderId="0" xfId="0" applyFont="1" applyAlignment="1">
      <alignment vertical="top"/>
    </xf>
    <xf numFmtId="0" fontId="5" fillId="0" borderId="0" xfId="0" applyFont="1"/>
    <xf numFmtId="0" fontId="0" fillId="0" borderId="0" xfId="0" applyAlignment="1">
      <alignment horizontal="left"/>
    </xf>
    <xf numFmtId="0" fontId="6" fillId="0" borderId="0" xfId="0" applyFont="1"/>
    <xf numFmtId="0" fontId="0" fillId="0" borderId="1" xfId="0" applyBorder="1"/>
    <xf numFmtId="0" fontId="0" fillId="0" borderId="1" xfId="0" applyBorder="1" applyAlignment="1">
      <alignment horizontal="center"/>
    </xf>
    <xf numFmtId="0" fontId="7" fillId="0" borderId="1" xfId="0" applyFont="1" applyBorder="1" applyAlignment="1">
      <alignment horizontal="center"/>
    </xf>
    <xf numFmtId="0" fontId="7" fillId="0" borderId="2" xfId="0" applyFont="1" applyBorder="1" applyAlignment="1">
      <alignment horizontal="center"/>
    </xf>
    <xf numFmtId="0" fontId="8" fillId="0" borderId="1" xfId="0" applyFont="1" applyBorder="1" applyAlignment="1">
      <alignment horizontal="center"/>
    </xf>
    <xf numFmtId="0" fontId="8" fillId="0" borderId="0" xfId="0" applyFont="1" applyAlignment="1">
      <alignment horizontal="center"/>
    </xf>
    <xf numFmtId="0" fontId="5" fillId="0" borderId="0" xfId="0" applyFont="1" applyAlignment="1">
      <alignment horizontal="center"/>
    </xf>
    <xf numFmtId="0" fontId="6" fillId="0" borderId="0" xfId="0" applyFont="1" applyAlignment="1">
      <alignment horizontal="center"/>
    </xf>
    <xf numFmtId="3" fontId="0" fillId="0" borderId="0" xfId="0" applyNumberFormat="1"/>
    <xf numFmtId="0" fontId="6" fillId="0" borderId="0" xfId="0" applyFont="1" applyAlignment="1">
      <alignment horizontal="left"/>
    </xf>
    <xf numFmtId="0" fontId="6" fillId="0" borderId="5" xfId="0" applyFont="1" applyBorder="1" applyAlignment="1">
      <alignment horizontal="center"/>
    </xf>
    <xf numFmtId="0" fontId="8" fillId="0" borderId="5" xfId="0" applyFont="1" applyBorder="1"/>
    <xf numFmtId="0" fontId="8" fillId="0" borderId="5" xfId="0" applyFont="1" applyBorder="1" applyAlignment="1">
      <alignment horizontal="left"/>
    </xf>
    <xf numFmtId="0" fontId="11" fillId="0" borderId="5" xfId="0" applyFont="1" applyBorder="1" applyAlignment="1">
      <alignment horizontal="center"/>
    </xf>
    <xf numFmtId="0" fontId="11" fillId="0" borderId="6" xfId="0" applyFont="1" applyBorder="1" applyAlignment="1">
      <alignment horizontal="center"/>
    </xf>
    <xf numFmtId="0" fontId="11" fillId="0" borderId="7" xfId="0" applyFont="1" applyBorder="1" applyAlignment="1">
      <alignment horizontal="center"/>
    </xf>
    <xf numFmtId="0" fontId="8" fillId="0" borderId="9" xfId="0" applyFont="1" applyBorder="1" applyAlignment="1">
      <alignment horizontal="center"/>
    </xf>
    <xf numFmtId="0" fontId="8" fillId="0" borderId="8" xfId="0" applyFont="1" applyBorder="1" applyAlignment="1">
      <alignment horizontal="center"/>
    </xf>
    <xf numFmtId="0" fontId="8" fillId="0" borderId="5" xfId="0" applyFont="1" applyBorder="1" applyAlignment="1">
      <alignment horizontal="center"/>
    </xf>
    <xf numFmtId="0" fontId="10" fillId="0" borderId="5" xfId="0" applyFont="1" applyBorder="1" applyAlignment="1">
      <alignment horizontal="center"/>
    </xf>
    <xf numFmtId="0" fontId="7" fillId="0" borderId="0" xfId="0" applyFont="1"/>
    <xf numFmtId="0" fontId="5" fillId="0" borderId="0" xfId="0" applyFont="1" applyAlignment="1">
      <alignment vertical="center"/>
    </xf>
    <xf numFmtId="3" fontId="10" fillId="0" borderId="0" xfId="0" applyNumberFormat="1" applyFont="1" applyAlignment="1">
      <alignment horizontal="left" vertical="center"/>
    </xf>
    <xf numFmtId="3" fontId="10" fillId="0" borderId="10" xfId="0" applyNumberFormat="1" applyFont="1" applyBorder="1" applyAlignment="1">
      <alignment horizontal="right" vertical="center"/>
    </xf>
    <xf numFmtId="3" fontId="10" fillId="0" borderId="0" xfId="0" applyNumberFormat="1" applyFont="1" applyAlignment="1">
      <alignment horizontal="right" vertical="center"/>
    </xf>
    <xf numFmtId="3" fontId="10" fillId="0" borderId="11" xfId="0" applyNumberFormat="1" applyFont="1" applyBorder="1" applyAlignment="1">
      <alignment horizontal="right" vertical="center"/>
    </xf>
    <xf numFmtId="3" fontId="10" fillId="0" borderId="12" xfId="0" applyNumberFormat="1" applyFont="1" applyBorder="1" applyAlignment="1">
      <alignment horizontal="right" vertical="center"/>
    </xf>
    <xf numFmtId="3" fontId="10" fillId="0" borderId="13" xfId="0" applyNumberFormat="1" applyFont="1" applyBorder="1" applyAlignment="1">
      <alignment horizontal="right" vertical="center"/>
    </xf>
    <xf numFmtId="0" fontId="5" fillId="0" borderId="0" xfId="0" applyFont="1" applyAlignment="1">
      <alignment horizontal="center" vertical="center"/>
    </xf>
    <xf numFmtId="0" fontId="6" fillId="0" borderId="0" xfId="0" applyFont="1" applyAlignment="1">
      <alignment horizontal="center" vertical="center"/>
    </xf>
    <xf numFmtId="3" fontId="6" fillId="0" borderId="0" xfId="0" applyNumberFormat="1" applyFont="1" applyAlignment="1">
      <alignment horizontal="left" vertical="center"/>
    </xf>
    <xf numFmtId="0" fontId="10" fillId="0" borderId="0" xfId="0" applyFont="1"/>
    <xf numFmtId="3" fontId="5" fillId="0" borderId="0" xfId="0" applyNumberFormat="1" applyFont="1" applyAlignment="1">
      <alignment horizontal="center"/>
    </xf>
    <xf numFmtId="3" fontId="5" fillId="0" borderId="10" xfId="0" applyNumberFormat="1" applyFont="1" applyBorder="1" applyAlignment="1">
      <alignment horizontal="center"/>
    </xf>
    <xf numFmtId="3" fontId="5" fillId="0" borderId="11" xfId="0" applyNumberFormat="1" applyFont="1" applyBorder="1" applyAlignment="1">
      <alignment horizontal="center"/>
    </xf>
    <xf numFmtId="3" fontId="5" fillId="0" borderId="12" xfId="0" applyNumberFormat="1" applyFont="1" applyBorder="1" applyAlignment="1">
      <alignment horizontal="center"/>
    </xf>
    <xf numFmtId="3" fontId="5" fillId="0" borderId="13" xfId="0" applyNumberFormat="1" applyFont="1" applyBorder="1" applyAlignment="1">
      <alignment horizontal="center"/>
    </xf>
    <xf numFmtId="3" fontId="10" fillId="0" borderId="0" xfId="0" applyNumberFormat="1" applyFont="1" applyAlignment="1">
      <alignment horizontal="left"/>
    </xf>
    <xf numFmtId="3" fontId="5" fillId="0" borderId="0" xfId="0" applyNumberFormat="1" applyFont="1" applyAlignment="1">
      <alignment horizontal="center" vertical="center"/>
    </xf>
    <xf numFmtId="3" fontId="5" fillId="0" borderId="10" xfId="0" applyNumberFormat="1" applyFont="1" applyBorder="1" applyAlignment="1">
      <alignment horizontal="center" vertical="center"/>
    </xf>
    <xf numFmtId="3" fontId="5" fillId="0" borderId="11" xfId="0" applyNumberFormat="1" applyFont="1" applyBorder="1" applyAlignment="1">
      <alignment horizontal="center" vertical="center"/>
    </xf>
    <xf numFmtId="0" fontId="0" fillId="0" borderId="0" xfId="0" applyAlignment="1">
      <alignment vertical="center"/>
    </xf>
    <xf numFmtId="0" fontId="0" fillId="0" borderId="0" xfId="0" applyAlignment="1">
      <alignment horizontal="center" vertical="center"/>
    </xf>
    <xf numFmtId="3" fontId="0" fillId="0" borderId="0" xfId="0" applyNumberFormat="1" applyAlignment="1">
      <alignment vertical="center"/>
    </xf>
    <xf numFmtId="3" fontId="6" fillId="0" borderId="0" xfId="0" applyNumberFormat="1" applyFont="1" applyAlignment="1">
      <alignment horizontal="left"/>
    </xf>
    <xf numFmtId="3" fontId="6" fillId="0" borderId="0" xfId="0" applyNumberFormat="1" applyFont="1" applyAlignment="1">
      <alignment horizontal="center"/>
    </xf>
    <xf numFmtId="9" fontId="6" fillId="0" borderId="0" xfId="1" applyFont="1" applyBorder="1" applyAlignment="1">
      <alignment horizontal="center"/>
    </xf>
    <xf numFmtId="9" fontId="5" fillId="0" borderId="0" xfId="1" applyFont="1" applyBorder="1" applyAlignment="1">
      <alignment horizontal="center"/>
    </xf>
    <xf numFmtId="3" fontId="6" fillId="0" borderId="0" xfId="0" applyNumberFormat="1" applyFont="1"/>
    <xf numFmtId="3" fontId="6" fillId="0" borderId="0" xfId="0" applyNumberFormat="1" applyFont="1" applyAlignment="1">
      <alignment horizontal="right"/>
    </xf>
    <xf numFmtId="0" fontId="14" fillId="0" borderId="0" xfId="0" applyFont="1" applyAlignment="1">
      <alignment horizontal="center"/>
    </xf>
    <xf numFmtId="3" fontId="16" fillId="0" borderId="0" xfId="0" applyNumberFormat="1" applyFont="1" applyAlignment="1">
      <alignment horizontal="center"/>
    </xf>
    <xf numFmtId="3" fontId="15" fillId="0" borderId="10" xfId="0" applyNumberFormat="1" applyFont="1" applyBorder="1" applyAlignment="1">
      <alignment horizontal="center" vertical="center"/>
    </xf>
    <xf numFmtId="3" fontId="15" fillId="0" borderId="0" xfId="0" applyNumberFormat="1" applyFont="1" applyAlignment="1">
      <alignment horizontal="center" vertical="center"/>
    </xf>
    <xf numFmtId="3" fontId="15" fillId="0" borderId="11" xfId="0" applyNumberFormat="1" applyFont="1" applyBorder="1" applyAlignment="1">
      <alignment horizontal="center" vertical="center"/>
    </xf>
    <xf numFmtId="3" fontId="15" fillId="0" borderId="12" xfId="0" applyNumberFormat="1" applyFont="1" applyBorder="1" applyAlignment="1">
      <alignment horizontal="center"/>
    </xf>
    <xf numFmtId="3" fontId="15" fillId="0" borderId="13" xfId="0" applyNumberFormat="1" applyFont="1" applyBorder="1" applyAlignment="1">
      <alignment horizontal="center"/>
    </xf>
    <xf numFmtId="3" fontId="15" fillId="0" borderId="0" xfId="0" applyNumberFormat="1" applyFont="1" applyAlignment="1">
      <alignment horizontal="center"/>
    </xf>
    <xf numFmtId="3" fontId="11" fillId="0" borderId="0" xfId="0" applyNumberFormat="1" applyFont="1" applyAlignment="1">
      <alignment horizontal="center" vertical="center"/>
    </xf>
    <xf numFmtId="0" fontId="0" fillId="0" borderId="0" xfId="0" applyAlignment="1">
      <alignment vertical="top"/>
    </xf>
    <xf numFmtId="0" fontId="6" fillId="0" borderId="0" xfId="0" applyFont="1" applyAlignment="1">
      <alignment vertical="top"/>
    </xf>
    <xf numFmtId="0" fontId="0" fillId="0" borderId="0" xfId="0" applyAlignment="1">
      <alignment horizontal="center" vertical="top"/>
    </xf>
    <xf numFmtId="3" fontId="10" fillId="0" borderId="0" xfId="0" applyNumberFormat="1" applyFont="1" applyAlignment="1">
      <alignment horizontal="center" vertical="center"/>
    </xf>
    <xf numFmtId="3" fontId="10" fillId="0" borderId="10" xfId="0" applyNumberFormat="1" applyFont="1" applyBorder="1" applyAlignment="1">
      <alignment horizontal="center" vertical="center"/>
    </xf>
    <xf numFmtId="3" fontId="10" fillId="0" borderId="11" xfId="0" applyNumberFormat="1" applyFont="1" applyBorder="1" applyAlignment="1">
      <alignment horizontal="center" vertical="center"/>
    </xf>
    <xf numFmtId="3" fontId="10" fillId="0" borderId="12" xfId="0" applyNumberFormat="1" applyFont="1" applyBorder="1" applyAlignment="1">
      <alignment horizontal="center"/>
    </xf>
    <xf numFmtId="3" fontId="10" fillId="0" borderId="13" xfId="0" applyNumberFormat="1" applyFont="1" applyBorder="1" applyAlignment="1">
      <alignment horizontal="center"/>
    </xf>
    <xf numFmtId="3" fontId="10" fillId="0" borderId="0" xfId="0" applyNumberFormat="1" applyFont="1" applyAlignment="1">
      <alignment horizontal="center"/>
    </xf>
    <xf numFmtId="0" fontId="5" fillId="0" borderId="0" xfId="0" applyFont="1" applyAlignment="1">
      <alignment horizontal="right"/>
    </xf>
    <xf numFmtId="0" fontId="5" fillId="0" borderId="0" xfId="0" applyFont="1" applyAlignment="1">
      <alignment horizontal="left"/>
    </xf>
    <xf numFmtId="3" fontId="18" fillId="0" borderId="0" xfId="0" applyNumberFormat="1" applyFont="1" applyAlignment="1">
      <alignment horizontal="center" vertical="center"/>
    </xf>
    <xf numFmtId="3" fontId="12" fillId="0" borderId="0" xfId="0" applyNumberFormat="1" applyFont="1" applyAlignment="1">
      <alignment horizontal="center"/>
    </xf>
    <xf numFmtId="9" fontId="12" fillId="0" borderId="0" xfId="1" applyFont="1" applyBorder="1" applyAlignment="1">
      <alignment horizontal="center"/>
    </xf>
    <xf numFmtId="0" fontId="5" fillId="3" borderId="0" xfId="0" applyFont="1" applyFill="1"/>
    <xf numFmtId="3" fontId="15" fillId="0" borderId="10" xfId="0" applyNumberFormat="1" applyFont="1" applyBorder="1" applyAlignment="1">
      <alignment horizontal="center"/>
    </xf>
    <xf numFmtId="3" fontId="15" fillId="0" borderId="11" xfId="0" applyNumberFormat="1" applyFont="1" applyBorder="1" applyAlignment="1">
      <alignment horizontal="center"/>
    </xf>
    <xf numFmtId="9" fontId="11" fillId="0" borderId="0" xfId="1" applyFont="1" applyFill="1" applyBorder="1" applyAlignment="1">
      <alignment horizontal="center" vertical="center"/>
    </xf>
    <xf numFmtId="0" fontId="7" fillId="0" borderId="0" xfId="0" applyFont="1" applyAlignment="1">
      <alignment horizontal="left"/>
    </xf>
    <xf numFmtId="3" fontId="5" fillId="0" borderId="12" xfId="0" applyNumberFormat="1" applyFont="1" applyBorder="1" applyAlignment="1">
      <alignment horizontal="center" vertical="center"/>
    </xf>
    <xf numFmtId="3" fontId="5" fillId="0" borderId="13" xfId="0" applyNumberFormat="1" applyFont="1" applyBorder="1" applyAlignment="1">
      <alignment horizontal="center" vertical="center"/>
    </xf>
    <xf numFmtId="3" fontId="10" fillId="0" borderId="12" xfId="0" applyNumberFormat="1" applyFont="1" applyBorder="1" applyAlignment="1">
      <alignment horizontal="center" vertical="center"/>
    </xf>
    <xf numFmtId="3" fontId="10" fillId="0" borderId="13" xfId="0" applyNumberFormat="1" applyFont="1" applyBorder="1" applyAlignment="1">
      <alignment horizontal="center" vertical="center"/>
    </xf>
    <xf numFmtId="0" fontId="8" fillId="0" borderId="0" xfId="0" applyFont="1" applyAlignment="1">
      <alignment horizontal="right"/>
    </xf>
    <xf numFmtId="3" fontId="8" fillId="0" borderId="0" xfId="0" applyNumberFormat="1" applyFont="1" applyAlignment="1">
      <alignment horizontal="center"/>
    </xf>
    <xf numFmtId="3" fontId="8" fillId="0" borderId="10" xfId="0" applyNumberFormat="1" applyFont="1" applyBorder="1" applyAlignment="1">
      <alignment horizontal="center"/>
    </xf>
    <xf numFmtId="3" fontId="8" fillId="0" borderId="11" xfId="0" applyNumberFormat="1" applyFont="1" applyBorder="1" applyAlignment="1">
      <alignment horizontal="center"/>
    </xf>
    <xf numFmtId="3" fontId="8" fillId="0" borderId="12" xfId="0" applyNumberFormat="1" applyFont="1" applyBorder="1" applyAlignment="1">
      <alignment horizontal="center"/>
    </xf>
    <xf numFmtId="3" fontId="8" fillId="0" borderId="13" xfId="0" applyNumberFormat="1" applyFont="1" applyBorder="1" applyAlignment="1">
      <alignment horizontal="center" vertical="center"/>
    </xf>
    <xf numFmtId="3" fontId="8" fillId="0" borderId="0" xfId="0" applyNumberFormat="1" applyFont="1" applyAlignment="1">
      <alignment horizontal="center" vertical="center"/>
    </xf>
    <xf numFmtId="9" fontId="6" fillId="0" borderId="0" xfId="1" applyFont="1" applyBorder="1" applyAlignment="1">
      <alignment horizontal="right" vertical="top"/>
    </xf>
    <xf numFmtId="9" fontId="6" fillId="0" borderId="0" xfId="1" quotePrefix="1" applyFont="1" applyAlignment="1">
      <alignment horizontal="center" vertical="top"/>
    </xf>
    <xf numFmtId="164" fontId="6" fillId="0" borderId="10" xfId="1" applyNumberFormat="1" applyFont="1" applyBorder="1" applyAlignment="1">
      <alignment horizontal="center" vertical="top"/>
    </xf>
    <xf numFmtId="9" fontId="6" fillId="0" borderId="0" xfId="1" applyFont="1" applyBorder="1" applyAlignment="1">
      <alignment horizontal="center" vertical="top"/>
    </xf>
    <xf numFmtId="9" fontId="6" fillId="0" borderId="11" xfId="1" applyFont="1" applyBorder="1" applyAlignment="1">
      <alignment horizontal="center" vertical="top"/>
    </xf>
    <xf numFmtId="164" fontId="6" fillId="0" borderId="0" xfId="1" applyNumberFormat="1" applyFont="1" applyBorder="1" applyAlignment="1">
      <alignment horizontal="center" vertical="top"/>
    </xf>
    <xf numFmtId="9" fontId="6" fillId="0" borderId="10" xfId="1" applyFont="1" applyBorder="1" applyAlignment="1">
      <alignment horizontal="center" vertical="top"/>
    </xf>
    <xf numFmtId="9" fontId="6" fillId="0" borderId="13" xfId="1" applyFont="1" applyBorder="1" applyAlignment="1">
      <alignment horizontal="center" vertical="top"/>
    </xf>
    <xf numFmtId="0" fontId="7" fillId="0" borderId="0" xfId="0" applyFont="1" applyAlignment="1">
      <alignment vertical="center"/>
    </xf>
    <xf numFmtId="0" fontId="8" fillId="0" borderId="0" xfId="0" applyFont="1" applyAlignment="1">
      <alignment horizontal="center" vertical="center"/>
    </xf>
    <xf numFmtId="3" fontId="8" fillId="0" borderId="10" xfId="0" applyNumberFormat="1" applyFont="1" applyBorder="1" applyAlignment="1">
      <alignment horizontal="center" vertical="center"/>
    </xf>
    <xf numFmtId="3" fontId="8" fillId="0" borderId="11" xfId="0" applyNumberFormat="1" applyFont="1" applyBorder="1" applyAlignment="1">
      <alignment horizontal="center" vertical="center"/>
    </xf>
    <xf numFmtId="3" fontId="8" fillId="0" borderId="13" xfId="0" applyNumberFormat="1" applyFont="1" applyBorder="1" applyAlignment="1">
      <alignment horizontal="center"/>
    </xf>
    <xf numFmtId="3" fontId="8" fillId="0" borderId="0" xfId="0" applyNumberFormat="1" applyFont="1"/>
    <xf numFmtId="0" fontId="8" fillId="0" borderId="0" xfId="0" applyFont="1"/>
    <xf numFmtId="0" fontId="0" fillId="0" borderId="5" xfId="0" applyBorder="1"/>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9" xfId="0" applyBorder="1" applyAlignment="1">
      <alignment horizontal="center"/>
    </xf>
    <xf numFmtId="0" fontId="0" fillId="0" borderId="8" xfId="0" applyBorder="1" applyAlignment="1">
      <alignment horizontal="center"/>
    </xf>
    <xf numFmtId="0" fontId="6" fillId="0" borderId="0" xfId="0" applyFont="1" applyAlignment="1">
      <alignment horizontal="left" vertical="center"/>
    </xf>
    <xf numFmtId="0" fontId="0" fillId="0" borderId="0" xfId="0" applyAlignment="1">
      <alignment horizontal="left" vertical="center"/>
    </xf>
    <xf numFmtId="3" fontId="5" fillId="0" borderId="0" xfId="0" applyNumberFormat="1" applyFont="1" applyAlignment="1">
      <alignment vertical="center"/>
    </xf>
    <xf numFmtId="0" fontId="18" fillId="0" borderId="0" xfId="0" applyFont="1"/>
    <xf numFmtId="0" fontId="20" fillId="0" borderId="0" xfId="0" applyFont="1" applyAlignment="1">
      <alignment horizontal="center"/>
    </xf>
    <xf numFmtId="0" fontId="21" fillId="0" borderId="0" xfId="0" applyFont="1" applyAlignment="1">
      <alignment horizontal="center"/>
    </xf>
    <xf numFmtId="0" fontId="21" fillId="0" borderId="0" xfId="0" applyFont="1"/>
    <xf numFmtId="0" fontId="20" fillId="0" borderId="0" xfId="0" applyFont="1"/>
    <xf numFmtId="0" fontId="22" fillId="3" borderId="0" xfId="0" applyFont="1" applyFill="1" applyAlignment="1">
      <alignment horizontal="left"/>
    </xf>
    <xf numFmtId="0" fontId="22" fillId="0" borderId="0" xfId="0" applyFont="1" applyAlignment="1">
      <alignment horizontal="center" vertical="center"/>
    </xf>
    <xf numFmtId="0" fontId="22" fillId="0" borderId="0" xfId="0" applyFont="1" applyAlignment="1">
      <alignment horizontal="center"/>
    </xf>
    <xf numFmtId="0" fontId="0" fillId="0" borderId="0" xfId="0" applyAlignment="1">
      <alignment horizontal="right"/>
    </xf>
    <xf numFmtId="0" fontId="5" fillId="4" borderId="0" xfId="0" applyFont="1" applyFill="1" applyAlignment="1">
      <alignment vertical="center"/>
    </xf>
    <xf numFmtId="0" fontId="18" fillId="4" borderId="0" xfId="0" applyFont="1" applyFill="1"/>
    <xf numFmtId="0" fontId="23" fillId="4" borderId="0" xfId="0" applyFont="1" applyFill="1" applyAlignment="1">
      <alignment horizontal="left"/>
    </xf>
    <xf numFmtId="0" fontId="23" fillId="4" borderId="0" xfId="0" applyFont="1" applyFill="1" applyAlignment="1">
      <alignment horizontal="center"/>
    </xf>
    <xf numFmtId="0" fontId="23" fillId="0" borderId="0" xfId="0" applyFont="1" applyAlignment="1">
      <alignment horizontal="center"/>
    </xf>
    <xf numFmtId="0" fontId="23" fillId="3" borderId="0" xfId="0" applyFont="1" applyFill="1" applyAlignment="1">
      <alignment horizontal="center" wrapText="1"/>
    </xf>
    <xf numFmtId="9" fontId="0" fillId="0" borderId="0" xfId="1" applyFont="1" applyBorder="1"/>
    <xf numFmtId="0" fontId="24" fillId="0" borderId="0" xfId="0" applyFont="1" applyAlignment="1">
      <alignment horizontal="right"/>
    </xf>
    <xf numFmtId="3" fontId="25" fillId="0" borderId="0" xfId="0" applyNumberFormat="1" applyFont="1" applyAlignment="1">
      <alignment horizontal="center"/>
    </xf>
    <xf numFmtId="3" fontId="26" fillId="0" borderId="0" xfId="0" applyNumberFormat="1" applyFont="1" applyAlignment="1">
      <alignment horizontal="center"/>
    </xf>
    <xf numFmtId="9" fontId="25" fillId="0" borderId="0" xfId="1" applyFont="1" applyBorder="1" applyAlignment="1">
      <alignment horizontal="center"/>
    </xf>
    <xf numFmtId="0" fontId="0" fillId="0" borderId="10" xfId="0" applyBorder="1"/>
    <xf numFmtId="0" fontId="0" fillId="0" borderId="11" xfId="0" applyBorder="1"/>
    <xf numFmtId="0" fontId="8" fillId="0" borderId="12" xfId="0" applyFont="1" applyBorder="1" applyAlignment="1">
      <alignment horizontal="right"/>
    </xf>
    <xf numFmtId="0" fontId="8" fillId="0" borderId="13" xfId="0" applyFont="1" applyBorder="1" applyAlignment="1">
      <alignment horizontal="right"/>
    </xf>
    <xf numFmtId="3" fontId="10" fillId="0" borderId="0" xfId="0" applyNumberFormat="1" applyFont="1"/>
    <xf numFmtId="9" fontId="5" fillId="0" borderId="0" xfId="0" applyNumberFormat="1" applyFont="1" applyAlignment="1">
      <alignment horizontal="center"/>
    </xf>
    <xf numFmtId="9" fontId="5" fillId="0" borderId="10" xfId="0" applyNumberFormat="1" applyFont="1" applyBorder="1" applyAlignment="1">
      <alignment horizontal="center"/>
    </xf>
    <xf numFmtId="9" fontId="5" fillId="0" borderId="11" xfId="0" applyNumberFormat="1" applyFont="1" applyBorder="1" applyAlignment="1">
      <alignment horizontal="center"/>
    </xf>
    <xf numFmtId="9" fontId="5" fillId="0" borderId="12" xfId="0" applyNumberFormat="1" applyFont="1" applyBorder="1" applyAlignment="1">
      <alignment horizontal="center"/>
    </xf>
    <xf numFmtId="9" fontId="5" fillId="0" borderId="13" xfId="0" applyNumberFormat="1" applyFont="1" applyBorder="1" applyAlignment="1">
      <alignment horizontal="center"/>
    </xf>
    <xf numFmtId="9" fontId="0" fillId="0" borderId="0" xfId="1" applyFont="1"/>
    <xf numFmtId="10" fontId="0" fillId="0" borderId="0" xfId="0" applyNumberFormat="1"/>
    <xf numFmtId="9" fontId="10" fillId="0" borderId="0" xfId="0" applyNumberFormat="1" applyFont="1" applyAlignment="1">
      <alignment horizontal="center"/>
    </xf>
    <xf numFmtId="9" fontId="15" fillId="0" borderId="0" xfId="0" applyNumberFormat="1" applyFont="1" applyAlignment="1">
      <alignment horizontal="center"/>
    </xf>
    <xf numFmtId="9" fontId="15" fillId="0" borderId="10" xfId="0" applyNumberFormat="1" applyFont="1" applyBorder="1" applyAlignment="1">
      <alignment horizontal="center"/>
    </xf>
    <xf numFmtId="9" fontId="15" fillId="0" borderId="11" xfId="0" applyNumberFormat="1" applyFont="1" applyBorder="1" applyAlignment="1">
      <alignment horizontal="center"/>
    </xf>
    <xf numFmtId="9" fontId="15" fillId="0" borderId="12" xfId="0" applyNumberFormat="1" applyFont="1" applyBorder="1" applyAlignment="1">
      <alignment horizontal="center"/>
    </xf>
    <xf numFmtId="9" fontId="15" fillId="0" borderId="13" xfId="0" applyNumberFormat="1" applyFont="1" applyBorder="1" applyAlignment="1">
      <alignment horizontal="center"/>
    </xf>
    <xf numFmtId="9" fontId="10" fillId="0" borderId="10" xfId="0" applyNumberFormat="1" applyFont="1" applyBorder="1" applyAlignment="1">
      <alignment horizontal="center"/>
    </xf>
    <xf numFmtId="9" fontId="10" fillId="0" borderId="11" xfId="0" applyNumberFormat="1" applyFont="1" applyBorder="1" applyAlignment="1">
      <alignment horizontal="center"/>
    </xf>
    <xf numFmtId="0" fontId="10" fillId="0" borderId="0" xfId="0" applyFont="1" applyAlignment="1">
      <alignment vertical="center"/>
    </xf>
    <xf numFmtId="9" fontId="10" fillId="0" borderId="0" xfId="1" applyFont="1"/>
    <xf numFmtId="9" fontId="11" fillId="0" borderId="0" xfId="0" applyNumberFormat="1" applyFont="1" applyAlignment="1">
      <alignment horizontal="center" vertical="center"/>
    </xf>
    <xf numFmtId="9" fontId="11" fillId="0" borderId="10" xfId="0" applyNumberFormat="1" applyFont="1" applyBorder="1" applyAlignment="1">
      <alignment horizontal="center" vertical="center"/>
    </xf>
    <xf numFmtId="9" fontId="11" fillId="0" borderId="11" xfId="0" applyNumberFormat="1" applyFont="1" applyBorder="1" applyAlignment="1">
      <alignment horizontal="center" vertical="center"/>
    </xf>
    <xf numFmtId="9" fontId="11" fillId="0" borderId="12" xfId="0" applyNumberFormat="1" applyFont="1" applyBorder="1" applyAlignment="1">
      <alignment horizontal="center" vertical="center"/>
    </xf>
    <xf numFmtId="9" fontId="11" fillId="0" borderId="13" xfId="0" applyNumberFormat="1" applyFont="1" applyBorder="1" applyAlignment="1">
      <alignment horizontal="center" vertical="center"/>
    </xf>
    <xf numFmtId="9" fontId="10" fillId="0" borderId="12" xfId="0" applyNumberFormat="1" applyFont="1" applyBorder="1" applyAlignment="1">
      <alignment horizontal="center"/>
    </xf>
    <xf numFmtId="9" fontId="10" fillId="0" borderId="13" xfId="0" applyNumberFormat="1" applyFont="1" applyBorder="1" applyAlignment="1">
      <alignment horizontal="center"/>
    </xf>
    <xf numFmtId="9" fontId="8" fillId="0" borderId="0" xfId="0" applyNumberFormat="1" applyFont="1" applyAlignment="1">
      <alignment horizontal="center"/>
    </xf>
    <xf numFmtId="9" fontId="8" fillId="0" borderId="10" xfId="0" applyNumberFormat="1" applyFont="1" applyBorder="1" applyAlignment="1">
      <alignment horizontal="center"/>
    </xf>
    <xf numFmtId="9" fontId="8" fillId="0" borderId="11" xfId="0" applyNumberFormat="1" applyFont="1" applyBorder="1" applyAlignment="1">
      <alignment horizontal="center"/>
    </xf>
    <xf numFmtId="9" fontId="8" fillId="0" borderId="12" xfId="0" applyNumberFormat="1" applyFont="1" applyBorder="1" applyAlignment="1">
      <alignment horizontal="center"/>
    </xf>
    <xf numFmtId="9" fontId="8" fillId="0" borderId="13" xfId="0" applyNumberFormat="1" applyFont="1" applyBorder="1" applyAlignment="1">
      <alignment horizontal="center"/>
    </xf>
    <xf numFmtId="0" fontId="11" fillId="0" borderId="0" xfId="0" applyFont="1" applyAlignment="1">
      <alignment horizontal="right" vertical="center"/>
    </xf>
    <xf numFmtId="164" fontId="10" fillId="0" borderId="6" xfId="0" applyNumberFormat="1" applyFont="1" applyBorder="1" applyAlignment="1">
      <alignment horizontal="center"/>
    </xf>
    <xf numFmtId="164" fontId="10" fillId="0" borderId="5" xfId="0" applyNumberFormat="1" applyFont="1" applyBorder="1" applyAlignment="1">
      <alignment horizontal="center"/>
    </xf>
    <xf numFmtId="164" fontId="10" fillId="0" borderId="7" xfId="0" applyNumberFormat="1" applyFont="1" applyBorder="1" applyAlignment="1">
      <alignment horizontal="center"/>
    </xf>
    <xf numFmtId="9" fontId="5" fillId="0" borderId="9" xfId="0" applyNumberFormat="1" applyFont="1" applyBorder="1" applyAlignment="1">
      <alignment horizontal="center"/>
    </xf>
    <xf numFmtId="9" fontId="5" fillId="0" borderId="8" xfId="0" applyNumberFormat="1" applyFont="1" applyBorder="1" applyAlignment="1">
      <alignment horizontal="center"/>
    </xf>
    <xf numFmtId="0" fontId="5" fillId="0" borderId="5" xfId="0" applyFont="1" applyBorder="1" applyAlignment="1">
      <alignment horizontal="center"/>
    </xf>
    <xf numFmtId="9" fontId="0" fillId="0" borderId="0" xfId="0" applyNumberFormat="1"/>
    <xf numFmtId="0" fontId="5" fillId="3" borderId="1" xfId="0" applyFont="1" applyFill="1" applyBorder="1" applyAlignment="1">
      <alignment vertical="center"/>
    </xf>
    <xf numFmtId="0" fontId="5" fillId="3" borderId="0" xfId="0" applyFont="1" applyFill="1" applyAlignment="1">
      <alignment vertical="center"/>
    </xf>
    <xf numFmtId="0" fontId="5" fillId="5" borderId="0" xfId="0" applyFont="1" applyFill="1" applyAlignment="1">
      <alignment vertical="center"/>
    </xf>
    <xf numFmtId="0" fontId="0" fillId="4" borderId="0" xfId="0" applyFill="1" applyAlignment="1">
      <alignment horizontal="center"/>
    </xf>
    <xf numFmtId="0" fontId="0" fillId="4" borderId="0" xfId="0" applyFill="1"/>
    <xf numFmtId="0" fontId="5" fillId="0" borderId="1" xfId="0" applyFont="1" applyBorder="1" applyAlignment="1">
      <alignment vertical="center"/>
    </xf>
    <xf numFmtId="0" fontId="5" fillId="0" borderId="1" xfId="0" applyFont="1" applyBorder="1" applyAlignment="1">
      <alignment vertical="center" wrapText="1"/>
    </xf>
    <xf numFmtId="3" fontId="15" fillId="0" borderId="12" xfId="0" applyNumberFormat="1" applyFont="1" applyBorder="1" applyAlignment="1">
      <alignment horizontal="center" vertical="center"/>
    </xf>
    <xf numFmtId="3" fontId="15" fillId="0" borderId="13" xfId="0" applyNumberFormat="1" applyFont="1" applyBorder="1" applyAlignment="1">
      <alignment horizontal="center" vertical="center"/>
    </xf>
    <xf numFmtId="10" fontId="6" fillId="0" borderId="0" xfId="1" quotePrefix="1" applyNumberFormat="1" applyFont="1" applyAlignment="1">
      <alignment horizontal="center" vertical="top"/>
    </xf>
    <xf numFmtId="10" fontId="6" fillId="0" borderId="0" xfId="1" applyNumberFormat="1" applyFont="1" applyBorder="1" applyAlignment="1">
      <alignment horizontal="center" vertical="top"/>
    </xf>
    <xf numFmtId="0" fontId="8" fillId="0" borderId="0" xfId="0" applyFont="1" applyAlignment="1">
      <alignment horizontal="right" vertical="center"/>
    </xf>
    <xf numFmtId="3" fontId="8" fillId="0" borderId="12" xfId="0" applyNumberFormat="1" applyFont="1" applyBorder="1" applyAlignment="1">
      <alignment horizontal="center" vertical="center"/>
    </xf>
    <xf numFmtId="0" fontId="5" fillId="0" borderId="0" xfId="0" applyFont="1" applyAlignment="1">
      <alignment vertical="center" wrapText="1"/>
    </xf>
    <xf numFmtId="9" fontId="15" fillId="0" borderId="0" xfId="0" applyNumberFormat="1" applyFont="1" applyAlignment="1">
      <alignment horizontal="center" vertical="center"/>
    </xf>
    <xf numFmtId="9" fontId="15" fillId="0" borderId="10" xfId="0" applyNumberFormat="1" applyFont="1" applyBorder="1" applyAlignment="1">
      <alignment horizontal="center" vertical="center"/>
    </xf>
    <xf numFmtId="9" fontId="15" fillId="0" borderId="11" xfId="0" applyNumberFormat="1" applyFont="1" applyBorder="1" applyAlignment="1">
      <alignment horizontal="center" vertical="center"/>
    </xf>
    <xf numFmtId="9" fontId="15" fillId="0" borderId="12" xfId="0" applyNumberFormat="1" applyFont="1" applyBorder="1" applyAlignment="1">
      <alignment horizontal="center" vertical="center"/>
    </xf>
    <xf numFmtId="9" fontId="15" fillId="0" borderId="13" xfId="0" applyNumberFormat="1" applyFont="1" applyBorder="1" applyAlignment="1">
      <alignment horizontal="center" vertical="center"/>
    </xf>
    <xf numFmtId="0" fontId="11" fillId="3" borderId="5" xfId="0" applyFont="1" applyFill="1" applyBorder="1" applyAlignment="1">
      <alignment horizontal="center" wrapText="1"/>
    </xf>
    <xf numFmtId="0" fontId="5" fillId="0" borderId="1" xfId="0" applyFont="1" applyBorder="1" applyAlignment="1">
      <alignment horizontal="left" vertical="center"/>
    </xf>
    <xf numFmtId="0" fontId="10" fillId="0" borderId="1" xfId="0" applyFont="1" applyBorder="1" applyAlignment="1">
      <alignment vertical="center"/>
    </xf>
    <xf numFmtId="0" fontId="8" fillId="0" borderId="1" xfId="0" applyFont="1" applyBorder="1" applyAlignment="1">
      <alignment horizontal="left"/>
    </xf>
    <xf numFmtId="0" fontId="11" fillId="0" borderId="5" xfId="0" applyFont="1" applyBorder="1" applyAlignment="1">
      <alignment horizontal="left"/>
    </xf>
    <xf numFmtId="0" fontId="11" fillId="0" borderId="5" xfId="0" applyFont="1" applyBorder="1" applyAlignment="1">
      <alignment horizontal="center" wrapText="1"/>
    </xf>
    <xf numFmtId="9" fontId="5" fillId="0" borderId="0" xfId="0" applyNumberFormat="1" applyFont="1" applyAlignment="1">
      <alignment horizontal="right"/>
    </xf>
    <xf numFmtId="0" fontId="0" fillId="0" borderId="14" xfId="0" applyBorder="1"/>
    <xf numFmtId="9" fontId="15" fillId="0" borderId="0" xfId="0" applyNumberFormat="1" applyFont="1" applyAlignment="1">
      <alignment horizontal="right" vertical="center"/>
    </xf>
    <xf numFmtId="9" fontId="11" fillId="0" borderId="0" xfId="0" applyNumberFormat="1" applyFont="1" applyAlignment="1">
      <alignment horizontal="right" vertical="center"/>
    </xf>
    <xf numFmtId="164" fontId="10" fillId="0" borderId="0" xfId="0" applyNumberFormat="1" applyFont="1" applyAlignment="1">
      <alignment horizontal="center"/>
    </xf>
    <xf numFmtId="9" fontId="10" fillId="0" borderId="0" xfId="0" applyNumberFormat="1" applyFont="1" applyAlignment="1">
      <alignment horizontal="right"/>
    </xf>
    <xf numFmtId="9" fontId="8" fillId="0" borderId="0" xfId="0" applyNumberFormat="1" applyFont="1" applyAlignment="1">
      <alignment horizontal="right"/>
    </xf>
    <xf numFmtId="9" fontId="5" fillId="0" borderId="0" xfId="0" applyNumberFormat="1" applyFont="1"/>
    <xf numFmtId="164" fontId="10" fillId="0" borderId="6" xfId="0" applyNumberFormat="1" applyFont="1" applyBorder="1" applyAlignment="1">
      <alignment horizontal="right"/>
    </xf>
    <xf numFmtId="164" fontId="10" fillId="0" borderId="5" xfId="0" applyNumberFormat="1" applyFont="1" applyBorder="1" applyAlignment="1">
      <alignment horizontal="right"/>
    </xf>
    <xf numFmtId="164" fontId="10" fillId="0" borderId="7" xfId="0" applyNumberFormat="1" applyFont="1" applyBorder="1" applyAlignment="1">
      <alignment horizontal="right"/>
    </xf>
    <xf numFmtId="9" fontId="5" fillId="0" borderId="9" xfId="0" applyNumberFormat="1" applyFont="1" applyBorder="1" applyAlignment="1">
      <alignment horizontal="right"/>
    </xf>
    <xf numFmtId="9" fontId="5" fillId="0" borderId="8" xfId="0" applyNumberFormat="1" applyFont="1" applyBorder="1" applyAlignment="1">
      <alignment horizontal="right"/>
    </xf>
    <xf numFmtId="0" fontId="5" fillId="0" borderId="5" xfId="0" applyFont="1" applyBorder="1"/>
    <xf numFmtId="0" fontId="10" fillId="0" borderId="1" xfId="0" applyFont="1" applyBorder="1" applyAlignment="1">
      <alignment horizontal="left" vertical="center"/>
    </xf>
    <xf numFmtId="0" fontId="8" fillId="3" borderId="1" xfId="0" applyFont="1" applyFill="1" applyBorder="1" applyAlignment="1">
      <alignment horizontal="left"/>
    </xf>
    <xf numFmtId="0" fontId="14" fillId="3" borderId="5" xfId="0" applyFont="1" applyFill="1" applyBorder="1" applyAlignment="1">
      <alignment horizontal="center" wrapText="1"/>
    </xf>
    <xf numFmtId="0" fontId="11" fillId="0" borderId="9" xfId="0" applyFont="1" applyBorder="1" applyAlignment="1">
      <alignment horizontal="center"/>
    </xf>
    <xf numFmtId="0" fontId="11" fillId="0" borderId="8" xfId="0" applyFont="1" applyBorder="1" applyAlignment="1">
      <alignment horizontal="center"/>
    </xf>
    <xf numFmtId="3" fontId="6" fillId="0" borderId="15" xfId="0" applyNumberFormat="1" applyFont="1" applyBorder="1" applyAlignment="1">
      <alignment horizontal="left" vertical="center"/>
    </xf>
    <xf numFmtId="0" fontId="6" fillId="0" borderId="15" xfId="0" applyFont="1" applyBorder="1" applyAlignment="1">
      <alignment horizontal="center" vertical="center"/>
    </xf>
    <xf numFmtId="0" fontId="6" fillId="7" borderId="0" xfId="0" applyFont="1" applyFill="1" applyAlignment="1">
      <alignment horizontal="center"/>
    </xf>
    <xf numFmtId="3" fontId="5" fillId="0" borderId="14" xfId="0" applyNumberFormat="1" applyFont="1" applyBorder="1" applyAlignment="1">
      <alignment horizontal="center" vertical="center"/>
    </xf>
    <xf numFmtId="3" fontId="5" fillId="0" borderId="16" xfId="0" applyNumberFormat="1" applyFont="1" applyBorder="1" applyAlignment="1">
      <alignment horizontal="center" vertical="center"/>
    </xf>
    <xf numFmtId="3" fontId="5" fillId="0" borderId="16" xfId="0" applyNumberFormat="1" applyFont="1" applyBorder="1" applyAlignment="1">
      <alignment horizontal="center"/>
    </xf>
    <xf numFmtId="3" fontId="15" fillId="0" borderId="16" xfId="0" applyNumberFormat="1" applyFont="1" applyBorder="1" applyAlignment="1">
      <alignment horizontal="center" vertical="center"/>
    </xf>
    <xf numFmtId="3" fontId="10" fillId="0" borderId="16" xfId="0" applyNumberFormat="1" applyFont="1" applyBorder="1" applyAlignment="1">
      <alignment horizontal="center" vertical="center"/>
    </xf>
    <xf numFmtId="3" fontId="8" fillId="0" borderId="16" xfId="0" applyNumberFormat="1" applyFont="1" applyBorder="1" applyAlignment="1">
      <alignment horizontal="center"/>
    </xf>
    <xf numFmtId="9" fontId="6" fillId="0" borderId="16" xfId="1" applyFont="1" applyBorder="1" applyAlignment="1">
      <alignment horizontal="center" vertical="top"/>
    </xf>
    <xf numFmtId="3" fontId="5" fillId="0" borderId="0" xfId="0" applyNumberFormat="1" applyFont="1" applyAlignment="1">
      <alignment horizontal="left" vertical="center"/>
    </xf>
    <xf numFmtId="1" fontId="11" fillId="0" borderId="0" xfId="0" applyNumberFormat="1" applyFont="1" applyAlignment="1">
      <alignment vertical="center"/>
    </xf>
    <xf numFmtId="3" fontId="11" fillId="0" borderId="10" xfId="0" applyNumberFormat="1" applyFont="1" applyBorder="1" applyAlignment="1">
      <alignment horizontal="center" vertical="center"/>
    </xf>
    <xf numFmtId="3" fontId="11" fillId="0" borderId="11" xfId="0" applyNumberFormat="1" applyFont="1" applyBorder="1" applyAlignment="1">
      <alignment horizontal="center" vertical="center"/>
    </xf>
    <xf numFmtId="3" fontId="11" fillId="0" borderId="12" xfId="0" applyNumberFormat="1" applyFont="1" applyBorder="1" applyAlignment="1">
      <alignment horizontal="center" vertical="center"/>
    </xf>
    <xf numFmtId="3" fontId="11" fillId="0" borderId="13" xfId="0" applyNumberFormat="1" applyFont="1" applyBorder="1" applyAlignment="1">
      <alignment horizontal="center" vertical="center"/>
    </xf>
    <xf numFmtId="0" fontId="0" fillId="0" borderId="5" xfId="0" applyBorder="1" applyAlignment="1">
      <alignment horizontal="left"/>
    </xf>
    <xf numFmtId="0" fontId="23" fillId="0" borderId="0" xfId="0" applyFont="1" applyAlignment="1">
      <alignment horizontal="left"/>
    </xf>
    <xf numFmtId="3" fontId="5" fillId="0" borderId="0" xfId="0" applyNumberFormat="1" applyFont="1" applyAlignment="1">
      <alignment horizontal="left"/>
    </xf>
    <xf numFmtId="0" fontId="5" fillId="0" borderId="15" xfId="0" applyFont="1" applyBorder="1" applyAlignment="1">
      <alignment vertical="center"/>
    </xf>
    <xf numFmtId="3" fontId="10" fillId="0" borderId="15" xfId="0" applyNumberFormat="1" applyFont="1" applyBorder="1" applyAlignment="1">
      <alignment horizontal="left" vertical="center"/>
    </xf>
    <xf numFmtId="3" fontId="5" fillId="0" borderId="15" xfId="0" applyNumberFormat="1" applyFont="1" applyBorder="1" applyAlignment="1">
      <alignment horizontal="left" vertical="center"/>
    </xf>
    <xf numFmtId="3" fontId="5" fillId="0" borderId="17" xfId="0" applyNumberFormat="1" applyFont="1" applyBorder="1" applyAlignment="1">
      <alignment horizontal="center" vertical="center"/>
    </xf>
    <xf numFmtId="3" fontId="5" fillId="0" borderId="15" xfId="0" applyNumberFormat="1" applyFont="1" applyBorder="1" applyAlignment="1">
      <alignment horizontal="center" vertical="center"/>
    </xf>
    <xf numFmtId="3" fontId="5" fillId="0" borderId="18" xfId="0" applyNumberFormat="1" applyFont="1" applyBorder="1" applyAlignment="1">
      <alignment horizontal="center" vertical="center"/>
    </xf>
    <xf numFmtId="3" fontId="5" fillId="0" borderId="19" xfId="0" applyNumberFormat="1" applyFont="1" applyBorder="1" applyAlignment="1">
      <alignment horizontal="center" vertical="center"/>
    </xf>
    <xf numFmtId="3" fontId="5" fillId="0" borderId="20" xfId="0" applyNumberFormat="1" applyFont="1" applyBorder="1" applyAlignment="1">
      <alignment horizontal="center" vertical="center"/>
    </xf>
    <xf numFmtId="0" fontId="5" fillId="0" borderId="21" xfId="0" applyFont="1" applyBorder="1"/>
    <xf numFmtId="3" fontId="10" fillId="0" borderId="21" xfId="0" applyNumberFormat="1" applyFont="1" applyBorder="1" applyAlignment="1">
      <alignment horizontal="left"/>
    </xf>
    <xf numFmtId="3" fontId="5" fillId="0" borderId="21" xfId="0" applyNumberFormat="1" applyFont="1" applyBorder="1" applyAlignment="1">
      <alignment horizontal="left"/>
    </xf>
    <xf numFmtId="3" fontId="5" fillId="0" borderId="22" xfId="0" applyNumberFormat="1" applyFont="1" applyBorder="1" applyAlignment="1">
      <alignment horizontal="center"/>
    </xf>
    <xf numFmtId="3" fontId="5" fillId="0" borderId="21" xfId="0" applyNumberFormat="1" applyFont="1" applyBorder="1" applyAlignment="1">
      <alignment horizontal="center"/>
    </xf>
    <xf numFmtId="3" fontId="5" fillId="0" borderId="23" xfId="0" applyNumberFormat="1" applyFont="1" applyBorder="1" applyAlignment="1">
      <alignment horizontal="center"/>
    </xf>
    <xf numFmtId="3" fontId="5" fillId="0" borderId="24" xfId="0" applyNumberFormat="1" applyFont="1" applyBorder="1" applyAlignment="1">
      <alignment horizontal="center"/>
    </xf>
    <xf numFmtId="3" fontId="5" fillId="0" borderId="25" xfId="0" applyNumberFormat="1" applyFont="1" applyBorder="1" applyAlignment="1">
      <alignment horizontal="center"/>
    </xf>
    <xf numFmtId="0" fontId="5" fillId="0" borderId="26" xfId="0" applyFont="1" applyBorder="1"/>
    <xf numFmtId="3" fontId="10" fillId="0" borderId="26" xfId="0" applyNumberFormat="1" applyFont="1" applyBorder="1" applyAlignment="1">
      <alignment horizontal="left"/>
    </xf>
    <xf numFmtId="3" fontId="5" fillId="0" borderId="26" xfId="0" applyNumberFormat="1" applyFont="1" applyBorder="1" applyAlignment="1">
      <alignment horizontal="left"/>
    </xf>
    <xf numFmtId="3" fontId="5" fillId="0" borderId="27" xfId="0" applyNumberFormat="1" applyFont="1" applyBorder="1" applyAlignment="1">
      <alignment horizontal="center"/>
    </xf>
    <xf numFmtId="3" fontId="5" fillId="0" borderId="26" xfId="0" applyNumberFormat="1" applyFont="1" applyBorder="1" applyAlignment="1">
      <alignment horizontal="center"/>
    </xf>
    <xf numFmtId="3" fontId="5" fillId="0" borderId="28" xfId="0" applyNumberFormat="1" applyFont="1" applyBorder="1" applyAlignment="1">
      <alignment horizontal="center"/>
    </xf>
    <xf numFmtId="3" fontId="5" fillId="0" borderId="29" xfId="0" applyNumberFormat="1" applyFont="1" applyBorder="1" applyAlignment="1">
      <alignment horizontal="center"/>
    </xf>
    <xf numFmtId="3" fontId="5" fillId="0" borderId="30" xfId="0" applyNumberFormat="1" applyFont="1" applyBorder="1" applyAlignment="1">
      <alignment horizontal="center"/>
    </xf>
    <xf numFmtId="0" fontId="5" fillId="0" borderId="15" xfId="0" applyFont="1" applyBorder="1"/>
    <xf numFmtId="3" fontId="10" fillId="0" borderId="15" xfId="0" applyNumberFormat="1" applyFont="1" applyBorder="1" applyAlignment="1">
      <alignment horizontal="left"/>
    </xf>
    <xf numFmtId="3" fontId="5" fillId="0" borderId="15" xfId="0" applyNumberFormat="1" applyFont="1" applyBorder="1" applyAlignment="1">
      <alignment horizontal="left"/>
    </xf>
    <xf numFmtId="3" fontId="5" fillId="0" borderId="17" xfId="0" applyNumberFormat="1" applyFont="1" applyBorder="1" applyAlignment="1">
      <alignment horizontal="center"/>
    </xf>
    <xf numFmtId="3" fontId="5" fillId="0" borderId="15" xfId="0" applyNumberFormat="1" applyFont="1" applyBorder="1" applyAlignment="1">
      <alignment horizontal="center"/>
    </xf>
    <xf numFmtId="3" fontId="5" fillId="0" borderId="18" xfId="0" applyNumberFormat="1" applyFont="1" applyBorder="1" applyAlignment="1">
      <alignment horizontal="center"/>
    </xf>
    <xf numFmtId="3" fontId="5" fillId="0" borderId="19" xfId="0" applyNumberFormat="1" applyFont="1" applyBorder="1" applyAlignment="1">
      <alignment horizontal="center"/>
    </xf>
    <xf numFmtId="3" fontId="5" fillId="0" borderId="20" xfId="0" applyNumberFormat="1" applyFont="1" applyBorder="1" applyAlignment="1">
      <alignment horizontal="center"/>
    </xf>
    <xf numFmtId="3" fontId="16" fillId="0" borderId="0" xfId="0" applyNumberFormat="1" applyFont="1" applyAlignment="1">
      <alignment horizontal="left"/>
    </xf>
    <xf numFmtId="0" fontId="5" fillId="0" borderId="14" xfId="0" applyFont="1" applyBorder="1"/>
    <xf numFmtId="3" fontId="10" fillId="0" borderId="14" xfId="0" applyNumberFormat="1" applyFont="1" applyBorder="1" applyAlignment="1">
      <alignment horizontal="left"/>
    </xf>
    <xf numFmtId="3" fontId="5" fillId="0" borderId="14" xfId="0" applyNumberFormat="1" applyFont="1" applyBorder="1" applyAlignment="1">
      <alignment horizontal="left" vertical="center"/>
    </xf>
    <xf numFmtId="3" fontId="5" fillId="0" borderId="31" xfId="0" applyNumberFormat="1" applyFont="1" applyBorder="1" applyAlignment="1">
      <alignment horizontal="center" vertical="center"/>
    </xf>
    <xf numFmtId="3" fontId="5" fillId="0" borderId="32" xfId="0" applyNumberFormat="1" applyFont="1" applyBorder="1" applyAlignment="1">
      <alignment horizontal="center" vertical="center"/>
    </xf>
    <xf numFmtId="3" fontId="5" fillId="0" borderId="33" xfId="0" applyNumberFormat="1" applyFont="1" applyBorder="1" applyAlignment="1">
      <alignment horizontal="center" vertical="center"/>
    </xf>
    <xf numFmtId="3" fontId="5" fillId="0" borderId="34" xfId="0" applyNumberFormat="1" applyFont="1" applyBorder="1" applyAlignment="1">
      <alignment horizontal="center" vertical="center"/>
    </xf>
    <xf numFmtId="3" fontId="15" fillId="0" borderId="0" xfId="0" applyNumberFormat="1" applyFont="1" applyAlignment="1">
      <alignment horizontal="left" vertical="center"/>
    </xf>
    <xf numFmtId="0" fontId="8" fillId="0" borderId="0" xfId="0" applyFont="1" applyAlignment="1">
      <alignment vertical="center"/>
    </xf>
    <xf numFmtId="0" fontId="0" fillId="0" borderId="0" xfId="0" applyAlignment="1">
      <alignment horizontal="right" vertical="center"/>
    </xf>
    <xf numFmtId="9" fontId="10" fillId="0" borderId="0" xfId="0" applyNumberFormat="1" applyFont="1" applyAlignment="1">
      <alignment horizontal="left"/>
    </xf>
    <xf numFmtId="0" fontId="10" fillId="0" borderId="21" xfId="0" applyFont="1" applyBorder="1"/>
    <xf numFmtId="9" fontId="10" fillId="0" borderId="21" xfId="0" applyNumberFormat="1" applyFont="1" applyBorder="1" applyAlignment="1">
      <alignment horizontal="left"/>
    </xf>
    <xf numFmtId="9" fontId="5" fillId="0" borderId="22" xfId="0" applyNumberFormat="1" applyFont="1" applyBorder="1" applyAlignment="1">
      <alignment horizontal="center"/>
    </xf>
    <xf numFmtId="9" fontId="5" fillId="0" borderId="21" xfId="0" applyNumberFormat="1" applyFont="1" applyBorder="1" applyAlignment="1">
      <alignment horizontal="center"/>
    </xf>
    <xf numFmtId="9" fontId="5" fillId="0" borderId="23" xfId="0" applyNumberFormat="1" applyFont="1" applyBorder="1" applyAlignment="1">
      <alignment horizontal="center"/>
    </xf>
    <xf numFmtId="9" fontId="5" fillId="0" borderId="21" xfId="0" applyNumberFormat="1" applyFont="1" applyBorder="1" applyAlignment="1">
      <alignment horizontal="right"/>
    </xf>
    <xf numFmtId="9" fontId="5" fillId="0" borderId="24" xfId="0" applyNumberFormat="1" applyFont="1" applyBorder="1" applyAlignment="1">
      <alignment horizontal="center"/>
    </xf>
    <xf numFmtId="9" fontId="5" fillId="0" borderId="25" xfId="0" applyNumberFormat="1" applyFont="1" applyBorder="1" applyAlignment="1">
      <alignment horizontal="center"/>
    </xf>
    <xf numFmtId="0" fontId="10" fillId="0" borderId="15" xfId="0" applyFont="1" applyBorder="1"/>
    <xf numFmtId="9" fontId="10" fillId="0" borderId="15" xfId="0" applyNumberFormat="1" applyFont="1" applyBorder="1" applyAlignment="1">
      <alignment horizontal="left"/>
    </xf>
    <xf numFmtId="9" fontId="5" fillId="0" borderId="17" xfId="0" applyNumberFormat="1" applyFont="1" applyBorder="1" applyAlignment="1">
      <alignment horizontal="center"/>
    </xf>
    <xf numFmtId="9" fontId="5" fillId="0" borderId="15" xfId="0" applyNumberFormat="1" applyFont="1" applyBorder="1" applyAlignment="1">
      <alignment horizontal="center"/>
    </xf>
    <xf numFmtId="9" fontId="5" fillId="0" borderId="18" xfId="0" applyNumberFormat="1" applyFont="1" applyBorder="1" applyAlignment="1">
      <alignment horizontal="center"/>
    </xf>
    <xf numFmtId="9" fontId="5" fillId="0" borderId="15" xfId="0" applyNumberFormat="1" applyFont="1" applyBorder="1" applyAlignment="1">
      <alignment horizontal="right"/>
    </xf>
    <xf numFmtId="9" fontId="5" fillId="0" borderId="19" xfId="0" applyNumberFormat="1" applyFont="1" applyBorder="1" applyAlignment="1">
      <alignment horizontal="center"/>
    </xf>
    <xf numFmtId="9" fontId="5" fillId="0" borderId="20" xfId="0" applyNumberFormat="1" applyFont="1" applyBorder="1" applyAlignment="1">
      <alignment horizontal="center"/>
    </xf>
    <xf numFmtId="9" fontId="15" fillId="0" borderId="0" xfId="0" applyNumberFormat="1" applyFont="1" applyAlignment="1">
      <alignment horizontal="left" vertical="center"/>
    </xf>
    <xf numFmtId="0" fontId="0" fillId="0" borderId="15" xfId="0" applyBorder="1"/>
    <xf numFmtId="9" fontId="5" fillId="0" borderId="15" xfId="0" applyNumberFormat="1" applyFont="1" applyBorder="1" applyAlignment="1">
      <alignment horizontal="left"/>
    </xf>
    <xf numFmtId="0" fontId="10" fillId="0" borderId="14" xfId="0" applyFont="1" applyBorder="1"/>
    <xf numFmtId="9" fontId="5" fillId="0" borderId="14" xfId="0" applyNumberFormat="1" applyFont="1" applyBorder="1" applyAlignment="1">
      <alignment horizontal="center"/>
    </xf>
    <xf numFmtId="9" fontId="5" fillId="0" borderId="31" xfId="0" applyNumberFormat="1" applyFont="1" applyBorder="1" applyAlignment="1">
      <alignment horizontal="center"/>
    </xf>
    <xf numFmtId="9" fontId="5" fillId="0" borderId="32" xfId="0" applyNumberFormat="1" applyFont="1" applyBorder="1" applyAlignment="1">
      <alignment horizontal="center"/>
    </xf>
    <xf numFmtId="9" fontId="5" fillId="0" borderId="14" xfId="0" applyNumberFormat="1" applyFont="1" applyBorder="1" applyAlignment="1">
      <alignment horizontal="right"/>
    </xf>
    <xf numFmtId="9" fontId="5" fillId="0" borderId="33" xfId="0" applyNumberFormat="1" applyFont="1" applyBorder="1" applyAlignment="1">
      <alignment horizontal="center"/>
    </xf>
    <xf numFmtId="9" fontId="5" fillId="0" borderId="34" xfId="0" applyNumberFormat="1" applyFont="1" applyBorder="1" applyAlignment="1">
      <alignment horizontal="center"/>
    </xf>
    <xf numFmtId="3" fontId="5" fillId="0" borderId="14" xfId="0" applyNumberFormat="1" applyFont="1" applyBorder="1" applyAlignment="1">
      <alignment horizontal="center"/>
    </xf>
    <xf numFmtId="9" fontId="8" fillId="0" borderId="0" xfId="0" applyNumberFormat="1" applyFont="1" applyAlignment="1">
      <alignment horizontal="center" vertical="top"/>
    </xf>
    <xf numFmtId="9" fontId="8" fillId="0" borderId="10" xfId="0" applyNumberFormat="1" applyFont="1" applyBorder="1" applyAlignment="1">
      <alignment horizontal="center" vertical="top"/>
    </xf>
    <xf numFmtId="9" fontId="8" fillId="0" borderId="11" xfId="0" applyNumberFormat="1" applyFont="1" applyBorder="1" applyAlignment="1">
      <alignment horizontal="center" vertical="top"/>
    </xf>
    <xf numFmtId="9" fontId="8" fillId="0" borderId="0" xfId="0" applyNumberFormat="1" applyFont="1" applyAlignment="1">
      <alignment horizontal="right" vertical="top"/>
    </xf>
    <xf numFmtId="9" fontId="8" fillId="0" borderId="12" xfId="0" applyNumberFormat="1" applyFont="1" applyBorder="1" applyAlignment="1">
      <alignment horizontal="center" vertical="top"/>
    </xf>
    <xf numFmtId="9" fontId="8" fillId="0" borderId="13" xfId="0" applyNumberFormat="1" applyFont="1" applyBorder="1" applyAlignment="1">
      <alignment horizontal="center" vertical="top"/>
    </xf>
    <xf numFmtId="3" fontId="8" fillId="0" borderId="0" xfId="0" applyNumberFormat="1" applyFont="1" applyAlignment="1">
      <alignment horizontal="center" vertical="top"/>
    </xf>
    <xf numFmtId="9" fontId="5" fillId="0" borderId="0" xfId="0" applyNumberFormat="1" applyFont="1" applyAlignment="1">
      <alignment horizontal="left"/>
    </xf>
    <xf numFmtId="0" fontId="0" fillId="0" borderId="21" xfId="0" applyBorder="1"/>
    <xf numFmtId="0" fontId="27" fillId="0" borderId="1" xfId="0" applyFont="1" applyBorder="1"/>
    <xf numFmtId="0" fontId="7" fillId="0" borderId="1" xfId="0" applyFont="1" applyBorder="1"/>
    <xf numFmtId="9" fontId="6" fillId="0" borderId="0" xfId="1" quotePrefix="1" applyFont="1" applyBorder="1" applyAlignment="1">
      <alignment horizontal="center" vertical="top"/>
    </xf>
    <xf numFmtId="164" fontId="0" fillId="0" borderId="0" xfId="0" applyNumberFormat="1"/>
    <xf numFmtId="164" fontId="10" fillId="0" borderId="0" xfId="0" applyNumberFormat="1" applyFont="1" applyAlignment="1">
      <alignment vertical="center"/>
    </xf>
    <xf numFmtId="0" fontId="0" fillId="0" borderId="35" xfId="0" applyBorder="1"/>
    <xf numFmtId="0" fontId="0" fillId="0" borderId="36" xfId="0" applyBorder="1"/>
    <xf numFmtId="0" fontId="0" fillId="0" borderId="37" xfId="0" applyBorder="1" applyAlignment="1">
      <alignment horizontal="right"/>
    </xf>
    <xf numFmtId="0" fontId="7" fillId="0" borderId="0" xfId="0" applyFont="1" applyAlignment="1">
      <alignment horizontal="right"/>
    </xf>
    <xf numFmtId="0" fontId="29" fillId="0" borderId="0" xfId="0" applyFont="1"/>
    <xf numFmtId="0" fontId="0" fillId="0" borderId="38" xfId="0" applyBorder="1"/>
    <xf numFmtId="3" fontId="0" fillId="0" borderId="0" xfId="0" applyNumberFormat="1" applyAlignment="1">
      <alignment horizontal="center"/>
    </xf>
    <xf numFmtId="49" fontId="0" fillId="0" borderId="0" xfId="0" applyNumberFormat="1" applyAlignment="1">
      <alignment horizontal="center"/>
    </xf>
    <xf numFmtId="0" fontId="5" fillId="0" borderId="37" xfId="0" applyFont="1" applyBorder="1" applyAlignment="1">
      <alignment horizontal="right"/>
    </xf>
    <xf numFmtId="49" fontId="10" fillId="0" borderId="0" xfId="2" applyNumberFormat="1" applyFont="1" applyBorder="1" applyAlignment="1">
      <alignment horizontal="right"/>
    </xf>
    <xf numFmtId="9" fontId="0" fillId="0" borderId="0" xfId="0" applyNumberFormat="1" applyAlignment="1">
      <alignment horizontal="center"/>
    </xf>
    <xf numFmtId="9" fontId="0" fillId="0" borderId="38" xfId="0" applyNumberFormat="1" applyBorder="1"/>
    <xf numFmtId="3" fontId="5" fillId="0" borderId="0" xfId="0" applyNumberFormat="1" applyFont="1"/>
    <xf numFmtId="9" fontId="10" fillId="0" borderId="0" xfId="2" applyFont="1" applyBorder="1" applyAlignment="1">
      <alignment horizontal="right"/>
    </xf>
    <xf numFmtId="49" fontId="10" fillId="0" borderId="0" xfId="2" applyNumberFormat="1" applyFont="1" applyBorder="1" applyAlignment="1">
      <alignment horizontal="center"/>
    </xf>
    <xf numFmtId="164" fontId="10" fillId="0" borderId="0" xfId="2" applyNumberFormat="1" applyFont="1" applyBorder="1"/>
    <xf numFmtId="164" fontId="10" fillId="0" borderId="0" xfId="2" applyNumberFormat="1" applyFont="1" applyBorder="1" applyAlignment="1">
      <alignment horizontal="center"/>
    </xf>
    <xf numFmtId="164" fontId="5" fillId="0" borderId="0" xfId="2" applyNumberFormat="1" applyFont="1" applyBorder="1"/>
    <xf numFmtId="0" fontId="5" fillId="0" borderId="39" xfId="0" applyFont="1" applyBorder="1" applyAlignment="1">
      <alignment horizontal="right"/>
    </xf>
    <xf numFmtId="0" fontId="5" fillId="0" borderId="5" xfId="0" applyFont="1" applyBorder="1" applyAlignment="1">
      <alignment horizontal="right"/>
    </xf>
    <xf numFmtId="49" fontId="10" fillId="0" borderId="5" xfId="2" applyNumberFormat="1" applyFont="1" applyBorder="1" applyAlignment="1">
      <alignment horizontal="right"/>
    </xf>
    <xf numFmtId="0" fontId="0" fillId="0" borderId="40" xfId="0" applyBorder="1"/>
    <xf numFmtId="1" fontId="8" fillId="0" borderId="0" xfId="0" applyNumberFormat="1" applyFont="1"/>
    <xf numFmtId="0" fontId="30" fillId="0" borderId="5" xfId="0" applyFont="1" applyBorder="1" applyAlignment="1">
      <alignment vertical="top"/>
    </xf>
    <xf numFmtId="0" fontId="0" fillId="0" borderId="1" xfId="0" applyBorder="1" applyAlignment="1">
      <alignment horizontal="right"/>
    </xf>
    <xf numFmtId="0" fontId="0" fillId="0" borderId="37" xfId="0" applyBorder="1"/>
    <xf numFmtId="0" fontId="8" fillId="3" borderId="0" xfId="0" applyFont="1" applyFill="1" applyAlignment="1">
      <alignment horizontal="left"/>
    </xf>
    <xf numFmtId="0" fontId="8" fillId="0" borderId="38" xfId="0" applyFont="1" applyBorder="1" applyAlignment="1">
      <alignment horizontal="center"/>
    </xf>
    <xf numFmtId="0" fontId="8" fillId="0" borderId="39" xfId="0" applyFont="1" applyBorder="1"/>
    <xf numFmtId="0" fontId="11" fillId="0" borderId="41" xfId="0" applyFont="1" applyBorder="1" applyAlignment="1">
      <alignment horizontal="center"/>
    </xf>
    <xf numFmtId="0" fontId="11" fillId="0" borderId="42" xfId="0" applyFont="1" applyBorder="1" applyAlignment="1">
      <alignment horizontal="center"/>
    </xf>
    <xf numFmtId="0" fontId="8" fillId="0" borderId="39" xfId="0" applyFont="1" applyBorder="1" applyAlignment="1">
      <alignment horizontal="center"/>
    </xf>
    <xf numFmtId="0" fontId="8" fillId="0" borderId="42" xfId="0" applyFont="1" applyBorder="1" applyAlignment="1">
      <alignment horizontal="center"/>
    </xf>
    <xf numFmtId="0" fontId="8" fillId="0" borderId="43" xfId="0" applyFont="1" applyBorder="1" applyAlignment="1">
      <alignment horizontal="center"/>
    </xf>
    <xf numFmtId="0" fontId="8" fillId="0" borderId="37" xfId="0" applyFont="1" applyBorder="1"/>
    <xf numFmtId="0" fontId="8" fillId="0" borderId="44" xfId="0" applyFont="1" applyBorder="1" applyAlignment="1">
      <alignment horizontal="right"/>
    </xf>
    <xf numFmtId="0" fontId="8" fillId="0" borderId="1" xfId="0" applyFont="1" applyBorder="1" applyAlignment="1">
      <alignment horizontal="right"/>
    </xf>
    <xf numFmtId="0" fontId="8" fillId="0" borderId="45" xfId="0" applyFont="1" applyBorder="1" applyAlignment="1">
      <alignment horizontal="right"/>
    </xf>
    <xf numFmtId="0" fontId="8" fillId="3" borderId="1" xfId="0" applyFont="1" applyFill="1" applyBorder="1" applyAlignment="1">
      <alignment horizontal="right"/>
    </xf>
    <xf numFmtId="0" fontId="8" fillId="0" borderId="35" xfId="0" applyFont="1" applyBorder="1" applyAlignment="1">
      <alignment horizontal="right"/>
    </xf>
    <xf numFmtId="0" fontId="8" fillId="0" borderId="46" xfId="0" applyFont="1" applyBorder="1" applyAlignment="1">
      <alignment horizontal="right"/>
    </xf>
    <xf numFmtId="0" fontId="7" fillId="0" borderId="37" xfId="0" applyFont="1" applyBorder="1"/>
    <xf numFmtId="0" fontId="8" fillId="0" borderId="47" xfId="0" applyFont="1" applyBorder="1" applyAlignment="1">
      <alignment horizontal="right"/>
    </xf>
    <xf numFmtId="0" fontId="8" fillId="0" borderId="48" xfId="0" applyFont="1" applyBorder="1" applyAlignment="1">
      <alignment horizontal="right"/>
    </xf>
    <xf numFmtId="0" fontId="8" fillId="3" borderId="0" xfId="0" applyFont="1" applyFill="1" applyAlignment="1">
      <alignment horizontal="right"/>
    </xf>
    <xf numFmtId="0" fontId="8" fillId="0" borderId="37" xfId="0" applyFont="1" applyBorder="1" applyAlignment="1">
      <alignment horizontal="right"/>
    </xf>
    <xf numFmtId="0" fontId="8" fillId="0" borderId="49" xfId="0" applyFont="1" applyBorder="1" applyAlignment="1">
      <alignment horizontal="right"/>
    </xf>
    <xf numFmtId="164" fontId="5" fillId="0" borderId="0" xfId="0" applyNumberFormat="1" applyFont="1" applyAlignment="1">
      <alignment horizontal="center"/>
    </xf>
    <xf numFmtId="164" fontId="5" fillId="0" borderId="47" xfId="0" applyNumberFormat="1" applyFont="1" applyBorder="1" applyAlignment="1">
      <alignment horizontal="center"/>
    </xf>
    <xf numFmtId="164" fontId="5" fillId="0" borderId="48" xfId="0" applyNumberFormat="1" applyFont="1" applyBorder="1" applyAlignment="1">
      <alignment horizontal="center"/>
    </xf>
    <xf numFmtId="164" fontId="5" fillId="3" borderId="0" xfId="0" applyNumberFormat="1" applyFont="1" applyFill="1" applyAlignment="1">
      <alignment horizontal="center"/>
    </xf>
    <xf numFmtId="9" fontId="5" fillId="0" borderId="37" xfId="0" applyNumberFormat="1" applyFont="1" applyBorder="1" applyAlignment="1">
      <alignment horizontal="center"/>
    </xf>
    <xf numFmtId="9" fontId="5" fillId="0" borderId="48" xfId="0" applyNumberFormat="1" applyFont="1" applyBorder="1" applyAlignment="1">
      <alignment horizontal="center"/>
    </xf>
    <xf numFmtId="3" fontId="5" fillId="0" borderId="49" xfId="0" applyNumberFormat="1" applyFont="1" applyBorder="1" applyAlignment="1">
      <alignment horizontal="center"/>
    </xf>
    <xf numFmtId="0" fontId="5" fillId="0" borderId="37" xfId="0" applyFont="1" applyBorder="1"/>
    <xf numFmtId="164" fontId="5" fillId="3" borderId="47" xfId="0" applyNumberFormat="1" applyFont="1" applyFill="1" applyBorder="1" applyAlignment="1">
      <alignment horizontal="center"/>
    </xf>
    <xf numFmtId="9" fontId="5" fillId="0" borderId="47" xfId="0" applyNumberFormat="1" applyFont="1" applyBorder="1" applyAlignment="1">
      <alignment horizontal="center"/>
    </xf>
    <xf numFmtId="164" fontId="8" fillId="0" borderId="0" xfId="0" applyNumberFormat="1" applyFont="1" applyAlignment="1">
      <alignment horizontal="center"/>
    </xf>
    <xf numFmtId="164" fontId="8" fillId="0" borderId="47" xfId="0" applyNumberFormat="1" applyFont="1" applyBorder="1" applyAlignment="1">
      <alignment horizontal="center"/>
    </xf>
    <xf numFmtId="164" fontId="8" fillId="0" borderId="48" xfId="0" applyNumberFormat="1" applyFont="1" applyBorder="1" applyAlignment="1">
      <alignment horizontal="center"/>
    </xf>
    <xf numFmtId="9" fontId="8" fillId="0" borderId="48" xfId="0" applyNumberFormat="1" applyFont="1" applyBorder="1" applyAlignment="1">
      <alignment horizontal="center"/>
    </xf>
    <xf numFmtId="164" fontId="8" fillId="3" borderId="47" xfId="0" applyNumberFormat="1" applyFont="1" applyFill="1" applyBorder="1" applyAlignment="1">
      <alignment horizontal="center"/>
    </xf>
    <xf numFmtId="9" fontId="8" fillId="0" borderId="37" xfId="0" applyNumberFormat="1" applyFont="1" applyBorder="1" applyAlignment="1">
      <alignment horizontal="center"/>
    </xf>
    <xf numFmtId="3" fontId="8" fillId="0" borderId="49" xfId="0" applyNumberFormat="1" applyFont="1" applyBorder="1" applyAlignment="1">
      <alignment horizontal="center"/>
    </xf>
    <xf numFmtId="0" fontId="0" fillId="3" borderId="37" xfId="0" applyFill="1" applyBorder="1"/>
    <xf numFmtId="0" fontId="0" fillId="3" borderId="0" xfId="0" applyFill="1"/>
    <xf numFmtId="9" fontId="5" fillId="3" borderId="37" xfId="0" applyNumberFormat="1" applyFont="1" applyFill="1" applyBorder="1" applyAlignment="1">
      <alignment horizontal="center"/>
    </xf>
    <xf numFmtId="9" fontId="5" fillId="3" borderId="48" xfId="0" applyNumberFormat="1" applyFont="1" applyFill="1" applyBorder="1" applyAlignment="1">
      <alignment horizontal="center"/>
    </xf>
    <xf numFmtId="0" fontId="5" fillId="3" borderId="37" xfId="0" applyFont="1" applyFill="1" applyBorder="1"/>
    <xf numFmtId="9" fontId="8" fillId="0" borderId="47" xfId="0" applyNumberFormat="1" applyFont="1" applyBorder="1" applyAlignment="1">
      <alignment horizontal="center"/>
    </xf>
    <xf numFmtId="9" fontId="8" fillId="3" borderId="47" xfId="0" applyNumberFormat="1" applyFont="1" applyFill="1" applyBorder="1" applyAlignment="1">
      <alignment horizontal="center"/>
    </xf>
    <xf numFmtId="0" fontId="0" fillId="0" borderId="39" xfId="0" applyBorder="1"/>
    <xf numFmtId="164" fontId="10" fillId="0" borderId="41" xfId="0" applyNumberFormat="1" applyFont="1" applyBorder="1" applyAlignment="1">
      <alignment horizontal="right"/>
    </xf>
    <xf numFmtId="164" fontId="10" fillId="0" borderId="42" xfId="0" applyNumberFormat="1" applyFont="1" applyBorder="1" applyAlignment="1">
      <alignment horizontal="right"/>
    </xf>
    <xf numFmtId="164" fontId="10" fillId="3" borderId="41" xfId="0" applyNumberFormat="1" applyFont="1" applyFill="1" applyBorder="1" applyAlignment="1">
      <alignment horizontal="right"/>
    </xf>
    <xf numFmtId="9" fontId="5" fillId="0" borderId="39" xfId="0" applyNumberFormat="1" applyFont="1" applyBorder="1" applyAlignment="1">
      <alignment horizontal="right"/>
    </xf>
    <xf numFmtId="9" fontId="5" fillId="0" borderId="42" xfId="0" applyNumberFormat="1" applyFont="1" applyBorder="1" applyAlignment="1">
      <alignment horizontal="right"/>
    </xf>
    <xf numFmtId="0" fontId="5" fillId="0" borderId="43" xfId="0" applyFont="1" applyBorder="1"/>
    <xf numFmtId="0" fontId="5" fillId="0" borderId="0" xfId="0" applyFont="1" applyAlignment="1">
      <alignment vertical="top"/>
    </xf>
    <xf numFmtId="164" fontId="5" fillId="0" borderId="0" xfId="0" applyNumberFormat="1" applyFont="1"/>
    <xf numFmtId="0" fontId="2" fillId="0" borderId="5" xfId="0" applyFont="1" applyBorder="1" applyAlignment="1">
      <alignment vertical="top"/>
    </xf>
    <xf numFmtId="0" fontId="27" fillId="0" borderId="0" xfId="0" applyFont="1" applyAlignment="1">
      <alignment vertical="center"/>
    </xf>
    <xf numFmtId="0" fontId="11" fillId="3" borderId="43" xfId="0" applyFont="1" applyFill="1" applyBorder="1" applyAlignment="1">
      <alignment horizontal="center" wrapText="1"/>
    </xf>
    <xf numFmtId="0" fontId="8" fillId="3" borderId="46" xfId="0" applyFont="1" applyFill="1" applyBorder="1" applyAlignment="1">
      <alignment horizontal="right"/>
    </xf>
    <xf numFmtId="0" fontId="0" fillId="0" borderId="47" xfId="0" applyBorder="1"/>
    <xf numFmtId="0" fontId="8" fillId="3" borderId="49" xfId="0" applyFont="1" applyFill="1" applyBorder="1" applyAlignment="1">
      <alignment horizontal="right"/>
    </xf>
    <xf numFmtId="164" fontId="10" fillId="0" borderId="47" xfId="0" applyNumberFormat="1" applyFont="1" applyBorder="1" applyAlignment="1">
      <alignment horizontal="center"/>
    </xf>
    <xf numFmtId="164" fontId="10" fillId="0" borderId="48" xfId="0" applyNumberFormat="1" applyFont="1" applyBorder="1" applyAlignment="1">
      <alignment horizontal="center"/>
    </xf>
    <xf numFmtId="164" fontId="5" fillId="3" borderId="49" xfId="0" applyNumberFormat="1" applyFont="1" applyFill="1" applyBorder="1" applyAlignment="1">
      <alignment horizontal="right"/>
    </xf>
    <xf numFmtId="9" fontId="10" fillId="0" borderId="47" xfId="0" applyNumberFormat="1" applyFont="1" applyBorder="1" applyAlignment="1">
      <alignment horizontal="center"/>
    </xf>
    <xf numFmtId="9" fontId="10" fillId="0" borderId="48" xfId="0" applyNumberFormat="1" applyFont="1" applyBorder="1" applyAlignment="1">
      <alignment horizontal="center"/>
    </xf>
    <xf numFmtId="164" fontId="11" fillId="0" borderId="0" xfId="0" applyNumberFormat="1" applyFont="1" applyAlignment="1">
      <alignment horizontal="center"/>
    </xf>
    <xf numFmtId="164" fontId="11" fillId="0" borderId="47" xfId="0" applyNumberFormat="1" applyFont="1" applyBorder="1" applyAlignment="1">
      <alignment horizontal="center"/>
    </xf>
    <xf numFmtId="9" fontId="11" fillId="0" borderId="0" xfId="0" applyNumberFormat="1" applyFont="1" applyAlignment="1">
      <alignment horizontal="center"/>
    </xf>
    <xf numFmtId="164" fontId="11" fillId="0" borderId="48" xfId="0" applyNumberFormat="1" applyFont="1" applyBorder="1" applyAlignment="1">
      <alignment horizontal="center"/>
    </xf>
    <xf numFmtId="9" fontId="11" fillId="0" borderId="47" xfId="0" applyNumberFormat="1" applyFont="1" applyBorder="1" applyAlignment="1">
      <alignment horizontal="center"/>
    </xf>
    <xf numFmtId="164" fontId="8" fillId="3" borderId="49" xfId="0" applyNumberFormat="1" applyFont="1" applyFill="1" applyBorder="1" applyAlignment="1">
      <alignment horizontal="right"/>
    </xf>
    <xf numFmtId="0" fontId="10" fillId="0" borderId="47" xfId="0" applyFont="1" applyBorder="1" applyAlignment="1">
      <alignment horizontal="center"/>
    </xf>
    <xf numFmtId="164" fontId="5" fillId="0" borderId="49" xfId="0" applyNumberFormat="1" applyFont="1" applyBorder="1" applyAlignment="1">
      <alignment horizontal="right"/>
    </xf>
    <xf numFmtId="9" fontId="8" fillId="3" borderId="49" xfId="0" applyNumberFormat="1" applyFont="1" applyFill="1" applyBorder="1" applyAlignment="1">
      <alignment horizontal="right"/>
    </xf>
    <xf numFmtId="0" fontId="11" fillId="0" borderId="0" xfId="0" applyFont="1" applyAlignment="1">
      <alignment horizontal="right"/>
    </xf>
    <xf numFmtId="164" fontId="8" fillId="3" borderId="47" xfId="0" applyNumberFormat="1" applyFont="1" applyFill="1" applyBorder="1" applyAlignment="1">
      <alignment horizontal="right"/>
    </xf>
    <xf numFmtId="0" fontId="8" fillId="0" borderId="37" xfId="0" applyFont="1" applyBorder="1" applyAlignment="1">
      <alignment horizontal="center"/>
    </xf>
    <xf numFmtId="0" fontId="30" fillId="0" borderId="0" xfId="0" applyFont="1" applyAlignment="1">
      <alignment vertical="center"/>
    </xf>
    <xf numFmtId="9" fontId="10" fillId="0" borderId="0" xfId="1" applyFont="1" applyBorder="1" applyAlignment="1">
      <alignment horizontal="right"/>
    </xf>
    <xf numFmtId="49" fontId="10" fillId="0" borderId="0" xfId="1" applyNumberFormat="1" applyFont="1" applyBorder="1" applyAlignment="1">
      <alignment horizontal="right"/>
    </xf>
    <xf numFmtId="165" fontId="0" fillId="0" borderId="0" xfId="0" applyNumberFormat="1"/>
    <xf numFmtId="164" fontId="10" fillId="0" borderId="0" xfId="1" applyNumberFormat="1" applyFont="1" applyBorder="1"/>
    <xf numFmtId="49" fontId="10" fillId="0" borderId="0" xfId="1" applyNumberFormat="1" applyFont="1" applyBorder="1" applyAlignment="1">
      <alignment horizontal="center"/>
    </xf>
    <xf numFmtId="164" fontId="10" fillId="0" borderId="0" xfId="1" applyNumberFormat="1" applyFont="1" applyBorder="1" applyAlignment="1">
      <alignment horizontal="center"/>
    </xf>
    <xf numFmtId="164" fontId="5" fillId="0" borderId="0" xfId="1" applyNumberFormat="1" applyFont="1" applyBorder="1"/>
    <xf numFmtId="49" fontId="10" fillId="0" borderId="5" xfId="1" applyNumberFormat="1" applyFont="1" applyBorder="1" applyAlignment="1">
      <alignment horizontal="right"/>
    </xf>
    <xf numFmtId="164" fontId="0" fillId="0" borderId="0" xfId="0" applyNumberFormat="1" applyAlignment="1">
      <alignment horizontal="center"/>
    </xf>
    <xf numFmtId="0" fontId="35" fillId="0" borderId="0" xfId="0" applyFont="1"/>
    <xf numFmtId="0" fontId="35" fillId="0" borderId="0" xfId="0" applyFont="1" applyAlignment="1">
      <alignment horizontal="left"/>
    </xf>
    <xf numFmtId="3" fontId="35" fillId="0" borderId="0" xfId="0" applyNumberFormat="1" applyFont="1"/>
    <xf numFmtId="9" fontId="36" fillId="0" borderId="0" xfId="1" applyFont="1" applyFill="1" applyBorder="1" applyAlignment="1">
      <alignment horizontal="center" vertical="center"/>
    </xf>
    <xf numFmtId="9" fontId="35" fillId="0" borderId="0" xfId="1" applyFont="1"/>
    <xf numFmtId="3" fontId="41" fillId="0" borderId="0" xfId="0" applyNumberFormat="1" applyFont="1" applyAlignment="1">
      <alignment horizontal="center"/>
    </xf>
    <xf numFmtId="9" fontId="41" fillId="0" borderId="0" xfId="1" applyFont="1" applyBorder="1" applyAlignment="1">
      <alignment horizontal="center"/>
    </xf>
    <xf numFmtId="9" fontId="41" fillId="0" borderId="0" xfId="1" applyFont="1" applyAlignment="1">
      <alignment horizontal="center"/>
    </xf>
    <xf numFmtId="0" fontId="35" fillId="0" borderId="5" xfId="0" applyFont="1" applyBorder="1"/>
    <xf numFmtId="0" fontId="35" fillId="0" borderId="0" xfId="0" applyFont="1" applyAlignment="1">
      <alignment horizontal="center"/>
    </xf>
    <xf numFmtId="164" fontId="35" fillId="0" borderId="0" xfId="0" applyNumberFormat="1" applyFont="1"/>
    <xf numFmtId="9" fontId="35" fillId="0" borderId="0" xfId="0" applyNumberFormat="1" applyFont="1"/>
    <xf numFmtId="10" fontId="35" fillId="0" borderId="0" xfId="0" applyNumberFormat="1" applyFont="1"/>
    <xf numFmtId="0" fontId="5" fillId="0" borderId="0" xfId="3"/>
    <xf numFmtId="0" fontId="5" fillId="0" borderId="0" xfId="3" applyAlignment="1">
      <alignment horizontal="center"/>
    </xf>
    <xf numFmtId="0" fontId="2" fillId="0" borderId="0" xfId="3" applyFont="1" applyAlignment="1">
      <alignment vertical="top"/>
    </xf>
    <xf numFmtId="0" fontId="5" fillId="0" borderId="0" xfId="3" applyAlignment="1">
      <alignment horizontal="left"/>
    </xf>
    <xf numFmtId="0" fontId="5" fillId="0" borderId="1" xfId="3" applyBorder="1"/>
    <xf numFmtId="0" fontId="5" fillId="0" borderId="1" xfId="3" applyBorder="1" applyAlignment="1">
      <alignment horizontal="center"/>
    </xf>
    <xf numFmtId="0" fontId="7" fillId="0" borderId="1" xfId="3" applyFont="1" applyBorder="1" applyAlignment="1">
      <alignment horizontal="center"/>
    </xf>
    <xf numFmtId="0" fontId="27" fillId="0" borderId="1" xfId="3" applyFont="1" applyBorder="1"/>
    <xf numFmtId="0" fontId="7" fillId="0" borderId="1" xfId="3" applyFont="1" applyBorder="1"/>
    <xf numFmtId="0" fontId="8" fillId="3" borderId="1" xfId="3" applyFont="1" applyFill="1" applyBorder="1" applyAlignment="1">
      <alignment horizontal="left"/>
    </xf>
    <xf numFmtId="0" fontId="8" fillId="0" borderId="1" xfId="3" applyFont="1" applyBorder="1" applyAlignment="1">
      <alignment horizontal="center"/>
    </xf>
    <xf numFmtId="0" fontId="8" fillId="0" borderId="0" xfId="3" applyFont="1" applyAlignment="1">
      <alignment horizontal="center"/>
    </xf>
    <xf numFmtId="0" fontId="6" fillId="0" borderId="0" xfId="3" applyFont="1"/>
    <xf numFmtId="0" fontId="6" fillId="0" borderId="0" xfId="3" applyFont="1" applyAlignment="1">
      <alignment horizontal="left"/>
    </xf>
    <xf numFmtId="0" fontId="6" fillId="0" borderId="5" xfId="3" applyFont="1" applyBorder="1" applyAlignment="1">
      <alignment horizontal="center"/>
    </xf>
    <xf numFmtId="0" fontId="8" fillId="0" borderId="5" xfId="3" applyFont="1" applyBorder="1"/>
    <xf numFmtId="0" fontId="8" fillId="0" borderId="5" xfId="3" applyFont="1" applyBorder="1" applyAlignment="1">
      <alignment horizontal="left"/>
    </xf>
    <xf numFmtId="0" fontId="11" fillId="0" borderId="5" xfId="3" applyFont="1" applyBorder="1" applyAlignment="1">
      <alignment horizontal="left"/>
    </xf>
    <xf numFmtId="0" fontId="11" fillId="0" borderId="6" xfId="3" applyFont="1" applyBorder="1" applyAlignment="1">
      <alignment horizontal="center"/>
    </xf>
    <xf numFmtId="0" fontId="11" fillId="0" borderId="5" xfId="3" applyFont="1" applyBorder="1" applyAlignment="1">
      <alignment horizontal="center"/>
    </xf>
    <xf numFmtId="0" fontId="11" fillId="0" borderId="7" xfId="3" applyFont="1" applyBorder="1" applyAlignment="1">
      <alignment horizontal="center"/>
    </xf>
    <xf numFmtId="0" fontId="11" fillId="3" borderId="5" xfId="3" applyFont="1" applyFill="1" applyBorder="1" applyAlignment="1">
      <alignment horizontal="center" wrapText="1"/>
    </xf>
    <xf numFmtId="0" fontId="11" fillId="0" borderId="9" xfId="3" applyFont="1" applyBorder="1" applyAlignment="1">
      <alignment horizontal="center"/>
    </xf>
    <xf numFmtId="0" fontId="11" fillId="0" borderId="8" xfId="3" applyFont="1" applyBorder="1" applyAlignment="1">
      <alignment horizontal="center"/>
    </xf>
    <xf numFmtId="0" fontId="8" fillId="0" borderId="5" xfId="3" applyFont="1" applyBorder="1" applyAlignment="1">
      <alignment horizontal="center"/>
    </xf>
    <xf numFmtId="0" fontId="6" fillId="0" borderId="0" xfId="3" applyFont="1" applyAlignment="1">
      <alignment horizontal="center"/>
    </xf>
    <xf numFmtId="0" fontId="7" fillId="0" borderId="0" xfId="3" applyFont="1"/>
    <xf numFmtId="0" fontId="5" fillId="0" borderId="0" xfId="3" applyAlignment="1">
      <alignment vertical="center"/>
    </xf>
    <xf numFmtId="3" fontId="10" fillId="0" borderId="0" xfId="3" applyNumberFormat="1" applyFont="1" applyAlignment="1">
      <alignment horizontal="left" vertical="center"/>
    </xf>
    <xf numFmtId="3" fontId="10" fillId="0" borderId="10" xfId="3" applyNumberFormat="1" applyFont="1" applyBorder="1" applyAlignment="1">
      <alignment horizontal="right" vertical="center"/>
    </xf>
    <xf numFmtId="3" fontId="10" fillId="0" borderId="0" xfId="3" applyNumberFormat="1" applyFont="1" applyAlignment="1">
      <alignment horizontal="right" vertical="center"/>
    </xf>
    <xf numFmtId="3" fontId="10" fillId="0" borderId="11" xfId="3" applyNumberFormat="1" applyFont="1" applyBorder="1" applyAlignment="1">
      <alignment horizontal="right" vertical="center"/>
    </xf>
    <xf numFmtId="3" fontId="10" fillId="0" borderId="12" xfId="3" applyNumberFormat="1" applyFont="1" applyBorder="1" applyAlignment="1">
      <alignment horizontal="right" vertical="center"/>
    </xf>
    <xf numFmtId="3" fontId="10" fillId="0" borderId="13" xfId="3" applyNumberFormat="1" applyFont="1" applyBorder="1" applyAlignment="1">
      <alignment horizontal="right" vertical="center"/>
    </xf>
    <xf numFmtId="0" fontId="5" fillId="0" borderId="0" xfId="3" applyAlignment="1">
      <alignment horizontal="center" vertical="center"/>
    </xf>
    <xf numFmtId="3" fontId="6" fillId="0" borderId="0" xfId="3" applyNumberFormat="1" applyFont="1" applyAlignment="1">
      <alignment horizontal="left"/>
    </xf>
    <xf numFmtId="3" fontId="10" fillId="0" borderId="0" xfId="3" applyNumberFormat="1" applyFont="1" applyAlignment="1">
      <alignment horizontal="left"/>
    </xf>
    <xf numFmtId="3" fontId="5" fillId="0" borderId="0" xfId="3" applyNumberFormat="1" applyAlignment="1">
      <alignment horizontal="left"/>
    </xf>
    <xf numFmtId="3" fontId="5" fillId="0" borderId="10" xfId="3" applyNumberFormat="1" applyBorder="1" applyAlignment="1">
      <alignment horizontal="center"/>
    </xf>
    <xf numFmtId="3" fontId="5" fillId="0" borderId="0" xfId="3" applyNumberFormat="1" applyAlignment="1">
      <alignment horizontal="center"/>
    </xf>
    <xf numFmtId="3" fontId="5" fillId="0" borderId="11" xfId="3" applyNumberFormat="1" applyBorder="1" applyAlignment="1">
      <alignment horizontal="center"/>
    </xf>
    <xf numFmtId="3" fontId="5" fillId="0" borderId="12" xfId="3" applyNumberFormat="1" applyBorder="1" applyAlignment="1">
      <alignment horizontal="center"/>
    </xf>
    <xf numFmtId="3" fontId="5" fillId="0" borderId="13" xfId="3" applyNumberFormat="1" applyBorder="1" applyAlignment="1">
      <alignment horizontal="center"/>
    </xf>
    <xf numFmtId="0" fontId="10" fillId="0" borderId="0" xfId="3" applyFont="1"/>
    <xf numFmtId="3" fontId="6" fillId="0" borderId="0" xfId="3" applyNumberFormat="1" applyFont="1" applyAlignment="1">
      <alignment horizontal="right"/>
    </xf>
    <xf numFmtId="0" fontId="14" fillId="0" borderId="0" xfId="3" applyFont="1" applyAlignment="1">
      <alignment horizontal="center"/>
    </xf>
    <xf numFmtId="3" fontId="16" fillId="0" borderId="0" xfId="3" applyNumberFormat="1" applyFont="1" applyAlignment="1">
      <alignment horizontal="left"/>
    </xf>
    <xf numFmtId="3" fontId="15" fillId="0" borderId="10" xfId="3" applyNumberFormat="1" applyFont="1" applyBorder="1" applyAlignment="1">
      <alignment horizontal="center" vertical="center"/>
    </xf>
    <xf numFmtId="3" fontId="15" fillId="0" borderId="0" xfId="3" applyNumberFormat="1" applyFont="1" applyAlignment="1">
      <alignment horizontal="center" vertical="center"/>
    </xf>
    <xf numFmtId="3" fontId="15" fillId="0" borderId="11" xfId="3" applyNumberFormat="1" applyFont="1" applyBorder="1" applyAlignment="1">
      <alignment horizontal="center" vertical="center"/>
    </xf>
    <xf numFmtId="3" fontId="15" fillId="0" borderId="12" xfId="3" applyNumberFormat="1" applyFont="1" applyBorder="1" applyAlignment="1">
      <alignment horizontal="center" vertical="center"/>
    </xf>
    <xf numFmtId="3" fontId="15" fillId="0" borderId="13" xfId="3" applyNumberFormat="1" applyFont="1" applyBorder="1" applyAlignment="1">
      <alignment horizontal="center" vertical="center"/>
    </xf>
    <xf numFmtId="3" fontId="11" fillId="0" borderId="0" xfId="3" applyNumberFormat="1" applyFont="1" applyAlignment="1">
      <alignment horizontal="center" vertical="center"/>
    </xf>
    <xf numFmtId="3" fontId="10" fillId="0" borderId="10" xfId="3" applyNumberFormat="1" applyFont="1" applyBorder="1" applyAlignment="1">
      <alignment horizontal="center" vertical="center"/>
    </xf>
    <xf numFmtId="3" fontId="10" fillId="0" borderId="0" xfId="3" applyNumberFormat="1" applyFont="1" applyAlignment="1">
      <alignment horizontal="center" vertical="center"/>
    </xf>
    <xf numFmtId="3" fontId="10" fillId="0" borderId="11" xfId="3" applyNumberFormat="1" applyFont="1" applyBorder="1" applyAlignment="1">
      <alignment horizontal="center" vertical="center"/>
    </xf>
    <xf numFmtId="3" fontId="10" fillId="0" borderId="12" xfId="3" applyNumberFormat="1" applyFont="1" applyBorder="1" applyAlignment="1">
      <alignment horizontal="center" vertical="center"/>
    </xf>
    <xf numFmtId="3" fontId="10" fillId="0" borderId="13" xfId="3" applyNumberFormat="1" applyFont="1" applyBorder="1" applyAlignment="1">
      <alignment horizontal="center" vertical="center"/>
    </xf>
    <xf numFmtId="3" fontId="5" fillId="0" borderId="0" xfId="3" applyNumberFormat="1" applyAlignment="1">
      <alignment horizontal="left" vertical="center"/>
    </xf>
    <xf numFmtId="3" fontId="5" fillId="0" borderId="10" xfId="3" applyNumberFormat="1" applyBorder="1" applyAlignment="1">
      <alignment horizontal="center" vertical="center"/>
    </xf>
    <xf numFmtId="3" fontId="5" fillId="0" borderId="0" xfId="3" applyNumberFormat="1" applyAlignment="1">
      <alignment horizontal="center" vertical="center"/>
    </xf>
    <xf numFmtId="3" fontId="5" fillId="0" borderId="11" xfId="3" applyNumberFormat="1" applyBorder="1" applyAlignment="1">
      <alignment horizontal="center" vertical="center"/>
    </xf>
    <xf numFmtId="3" fontId="5" fillId="0" borderId="12" xfId="3" applyNumberFormat="1" applyBorder="1" applyAlignment="1">
      <alignment horizontal="center" vertical="center"/>
    </xf>
    <xf numFmtId="3" fontId="5" fillId="0" borderId="13" xfId="3" applyNumberFormat="1" applyBorder="1" applyAlignment="1">
      <alignment horizontal="center" vertical="center"/>
    </xf>
    <xf numFmtId="0" fontId="6" fillId="7" borderId="0" xfId="3" applyFont="1" applyFill="1" applyAlignment="1">
      <alignment horizontal="center"/>
    </xf>
    <xf numFmtId="0" fontId="6" fillId="6" borderId="0" xfId="3" applyFont="1" applyFill="1" applyAlignment="1">
      <alignment horizontal="center"/>
    </xf>
    <xf numFmtId="0" fontId="5" fillId="0" borderId="0" xfId="3" applyAlignment="1">
      <alignment horizontal="left" vertical="center"/>
    </xf>
    <xf numFmtId="3" fontId="18" fillId="0" borderId="0" xfId="3" applyNumberFormat="1" applyFont="1" applyAlignment="1">
      <alignment horizontal="center" vertical="center"/>
    </xf>
    <xf numFmtId="3" fontId="15" fillId="0" borderId="0" xfId="3" applyNumberFormat="1" applyFont="1" applyAlignment="1">
      <alignment horizontal="left" vertical="center"/>
    </xf>
    <xf numFmtId="0" fontId="7" fillId="0" borderId="0" xfId="3" applyFont="1" applyAlignment="1">
      <alignment horizontal="left"/>
    </xf>
    <xf numFmtId="0" fontId="8" fillId="0" borderId="0" xfId="3" applyFont="1" applyAlignment="1">
      <alignment horizontal="right"/>
    </xf>
    <xf numFmtId="3" fontId="8" fillId="0" borderId="0" xfId="3" applyNumberFormat="1" applyFont="1" applyAlignment="1">
      <alignment horizontal="center"/>
    </xf>
    <xf numFmtId="3" fontId="8" fillId="0" borderId="10" xfId="3" applyNumberFormat="1" applyFont="1" applyBorder="1" applyAlignment="1">
      <alignment horizontal="center"/>
    </xf>
    <xf numFmtId="3" fontId="8" fillId="0" borderId="11" xfId="3" applyNumberFormat="1" applyFont="1" applyBorder="1" applyAlignment="1">
      <alignment horizontal="center"/>
    </xf>
    <xf numFmtId="3" fontId="8" fillId="0" borderId="12" xfId="3" applyNumberFormat="1" applyFont="1" applyBorder="1" applyAlignment="1">
      <alignment horizontal="center"/>
    </xf>
    <xf numFmtId="3" fontId="8" fillId="0" borderId="13" xfId="3" applyNumberFormat="1" applyFont="1" applyBorder="1" applyAlignment="1">
      <alignment horizontal="center"/>
    </xf>
    <xf numFmtId="0" fontId="8" fillId="0" borderId="0" xfId="3" applyFont="1" applyAlignment="1">
      <alignment horizontal="right" vertical="center"/>
    </xf>
    <xf numFmtId="0" fontId="8" fillId="0" borderId="0" xfId="3" applyFont="1" applyAlignment="1">
      <alignment vertical="center"/>
    </xf>
    <xf numFmtId="3" fontId="11" fillId="0" borderId="10" xfId="3" applyNumberFormat="1" applyFont="1" applyBorder="1" applyAlignment="1">
      <alignment horizontal="center" vertical="center"/>
    </xf>
    <xf numFmtId="3" fontId="11" fillId="0" borderId="11" xfId="3" applyNumberFormat="1" applyFont="1" applyBorder="1" applyAlignment="1">
      <alignment horizontal="center" vertical="center"/>
    </xf>
    <xf numFmtId="3" fontId="11" fillId="0" borderId="12" xfId="3" applyNumberFormat="1" applyFont="1" applyBorder="1" applyAlignment="1">
      <alignment horizontal="center" vertical="center"/>
    </xf>
    <xf numFmtId="3" fontId="11" fillId="0" borderId="13" xfId="3" applyNumberFormat="1" applyFont="1" applyBorder="1" applyAlignment="1">
      <alignment horizontal="center" vertical="center"/>
    </xf>
    <xf numFmtId="0" fontId="5" fillId="0" borderId="5" xfId="3" applyBorder="1"/>
    <xf numFmtId="0" fontId="5" fillId="0" borderId="5" xfId="3" applyBorder="1" applyAlignment="1">
      <alignment horizontal="left"/>
    </xf>
    <xf numFmtId="0" fontId="5" fillId="0" borderId="6" xfId="3" applyBorder="1" applyAlignment="1">
      <alignment horizontal="center"/>
    </xf>
    <xf numFmtId="0" fontId="5" fillId="0" borderId="5" xfId="3" applyBorder="1" applyAlignment="1">
      <alignment horizontal="center"/>
    </xf>
    <xf numFmtId="0" fontId="5" fillId="0" borderId="7" xfId="3" applyBorder="1" applyAlignment="1">
      <alignment horizontal="center"/>
    </xf>
    <xf numFmtId="0" fontId="5" fillId="0" borderId="9" xfId="3" applyBorder="1" applyAlignment="1">
      <alignment horizontal="center"/>
    </xf>
    <xf numFmtId="0" fontId="5" fillId="0" borderId="8" xfId="3" applyBorder="1" applyAlignment="1">
      <alignment horizontal="center"/>
    </xf>
    <xf numFmtId="3" fontId="6" fillId="0" borderId="0" xfId="3" applyNumberFormat="1" applyFont="1" applyAlignment="1">
      <alignment horizontal="left" vertical="center"/>
    </xf>
    <xf numFmtId="0" fontId="5" fillId="0" borderId="1" xfId="3" applyBorder="1" applyAlignment="1">
      <alignment vertical="center"/>
    </xf>
    <xf numFmtId="0" fontId="10" fillId="0" borderId="1" xfId="3" applyFont="1" applyBorder="1" applyAlignment="1">
      <alignment vertical="center"/>
    </xf>
    <xf numFmtId="0" fontId="10" fillId="0" borderId="1" xfId="3" applyFont="1" applyBorder="1" applyAlignment="1">
      <alignment horizontal="left" vertical="center"/>
    </xf>
    <xf numFmtId="0" fontId="10" fillId="0" borderId="0" xfId="3" applyFont="1" applyAlignment="1">
      <alignment vertical="center"/>
    </xf>
    <xf numFmtId="0" fontId="6" fillId="0" borderId="0" xfId="3" applyFont="1" applyAlignment="1">
      <alignment horizontal="left" vertical="center"/>
    </xf>
    <xf numFmtId="0" fontId="5" fillId="5" borderId="0" xfId="3" applyFill="1" applyAlignment="1">
      <alignment vertical="center"/>
    </xf>
    <xf numFmtId="0" fontId="35" fillId="0" borderId="0" xfId="3" applyFont="1"/>
    <xf numFmtId="0" fontId="42" fillId="0" borderId="0" xfId="3" applyFont="1" applyAlignment="1">
      <alignment horizontal="center"/>
    </xf>
    <xf numFmtId="0" fontId="41" fillId="0" borderId="0" xfId="3" applyFont="1"/>
    <xf numFmtId="0" fontId="42" fillId="0" borderId="5" xfId="3" applyFont="1" applyBorder="1" applyAlignment="1">
      <alignment horizontal="center"/>
    </xf>
    <xf numFmtId="0" fontId="41" fillId="0" borderId="0" xfId="3" applyFont="1" applyAlignment="1">
      <alignment horizontal="right"/>
    </xf>
    <xf numFmtId="0" fontId="35" fillId="0" borderId="0" xfId="3" applyFont="1" applyAlignment="1">
      <alignment horizontal="center" vertical="center"/>
    </xf>
    <xf numFmtId="9" fontId="42" fillId="0" borderId="0" xfId="3" applyNumberFormat="1" applyFont="1" applyAlignment="1">
      <alignment horizontal="center" vertical="center"/>
    </xf>
    <xf numFmtId="9" fontId="41" fillId="0" borderId="0" xfId="3" applyNumberFormat="1" applyFont="1" applyAlignment="1">
      <alignment horizontal="right"/>
    </xf>
    <xf numFmtId="3" fontId="41" fillId="0" borderId="0" xfId="3" applyNumberFormat="1" applyFont="1"/>
    <xf numFmtId="9" fontId="41" fillId="0" borderId="0" xfId="1" applyFont="1" applyBorder="1"/>
    <xf numFmtId="3" fontId="35" fillId="0" borderId="0" xfId="3" applyNumberFormat="1" applyFont="1"/>
    <xf numFmtId="9" fontId="36" fillId="0" borderId="0" xfId="1" applyFont="1" applyBorder="1" applyAlignment="1">
      <alignment horizontal="center" vertical="center"/>
    </xf>
    <xf numFmtId="0" fontId="35" fillId="0" borderId="0" xfId="3" applyFont="1" applyAlignment="1">
      <alignment vertical="top"/>
    </xf>
    <xf numFmtId="0" fontId="41" fillId="0" borderId="0" xfId="3" applyFont="1" applyAlignment="1">
      <alignment vertical="top"/>
    </xf>
    <xf numFmtId="3" fontId="42" fillId="0" borderId="0" xfId="3" applyNumberFormat="1" applyFont="1" applyAlignment="1">
      <alignment horizontal="center" vertical="center"/>
    </xf>
    <xf numFmtId="9" fontId="42" fillId="0" borderId="0" xfId="1" applyFont="1" applyBorder="1" applyAlignment="1">
      <alignment horizontal="center" vertical="center"/>
    </xf>
    <xf numFmtId="9" fontId="42" fillId="0" borderId="0" xfId="1" applyFont="1" applyFill="1" applyBorder="1" applyAlignment="1">
      <alignment horizontal="center" vertical="center"/>
    </xf>
    <xf numFmtId="0" fontId="35" fillId="0" borderId="0" xfId="3" applyFont="1" applyAlignment="1">
      <alignment horizontal="right"/>
    </xf>
    <xf numFmtId="0" fontId="35" fillId="0" borderId="0" xfId="3" applyFont="1" applyAlignment="1">
      <alignment vertical="center"/>
    </xf>
    <xf numFmtId="0" fontId="35" fillId="0" borderId="0" xfId="3" applyFont="1" applyAlignment="1">
      <alignment horizontal="right" vertical="center"/>
    </xf>
    <xf numFmtId="3" fontId="35" fillId="0" borderId="0" xfId="3" applyNumberFormat="1" applyFont="1" applyAlignment="1">
      <alignment vertical="center"/>
    </xf>
    <xf numFmtId="1" fontId="35" fillId="0" borderId="0" xfId="3" applyNumberFormat="1" applyFont="1" applyAlignment="1">
      <alignment horizontal="right"/>
    </xf>
    <xf numFmtId="9" fontId="35" fillId="0" borderId="0" xfId="1" applyFont="1" applyAlignment="1">
      <alignment horizontal="right"/>
    </xf>
    <xf numFmtId="0" fontId="35" fillId="0" borderId="0" xfId="3" applyFont="1" applyAlignment="1">
      <alignment horizontal="left"/>
    </xf>
    <xf numFmtId="1" fontId="35" fillId="0" borderId="0" xfId="3" applyNumberFormat="1" applyFont="1"/>
    <xf numFmtId="1" fontId="35" fillId="0" borderId="0" xfId="1" applyNumberFormat="1" applyFont="1" applyAlignment="1">
      <alignment horizontal="right"/>
    </xf>
    <xf numFmtId="3" fontId="42" fillId="0" borderId="0" xfId="3" applyNumberFormat="1" applyFont="1" applyAlignment="1">
      <alignment horizontal="center"/>
    </xf>
    <xf numFmtId="3" fontId="41" fillId="0" borderId="0" xfId="3" applyNumberFormat="1" applyFont="1" applyAlignment="1">
      <alignment horizontal="center"/>
    </xf>
    <xf numFmtId="9" fontId="42" fillId="0" borderId="0" xfId="1" applyFont="1" applyAlignment="1">
      <alignment horizontal="center"/>
    </xf>
    <xf numFmtId="0" fontId="37" fillId="0" borderId="0" xfId="3" applyFont="1" applyAlignment="1">
      <alignment horizontal="center"/>
    </xf>
    <xf numFmtId="0" fontId="38" fillId="0" borderId="0" xfId="3" applyFont="1"/>
    <xf numFmtId="0" fontId="37" fillId="0" borderId="0" xfId="3" applyFont="1"/>
    <xf numFmtId="0" fontId="39" fillId="3" borderId="0" xfId="3" applyFont="1" applyFill="1" applyAlignment="1">
      <alignment horizontal="left"/>
    </xf>
    <xf numFmtId="0" fontId="39" fillId="0" borderId="0" xfId="3" applyFont="1" applyAlignment="1">
      <alignment horizontal="center"/>
    </xf>
    <xf numFmtId="0" fontId="36" fillId="0" borderId="0" xfId="3" applyFont="1" applyAlignment="1">
      <alignment horizontal="center"/>
    </xf>
    <xf numFmtId="0" fontId="36" fillId="3" borderId="0" xfId="3" applyFont="1" applyFill="1" applyAlignment="1">
      <alignment horizontal="center" wrapText="1"/>
    </xf>
    <xf numFmtId="9" fontId="35" fillId="0" borderId="0" xfId="1" applyFont="1" applyBorder="1"/>
    <xf numFmtId="0" fontId="36" fillId="0" borderId="0" xfId="3" applyFont="1" applyAlignment="1">
      <alignment horizontal="left"/>
    </xf>
    <xf numFmtId="0" fontId="35" fillId="0" borderId="0" xfId="3" applyFont="1" applyAlignment="1">
      <alignment horizontal="center"/>
    </xf>
    <xf numFmtId="3" fontId="35" fillId="0" borderId="0" xfId="3" applyNumberFormat="1" applyFont="1" applyAlignment="1">
      <alignment horizontal="right" vertical="center"/>
    </xf>
    <xf numFmtId="9" fontId="41" fillId="0" borderId="0" xfId="3" applyNumberFormat="1" applyFont="1"/>
    <xf numFmtId="9" fontId="41" fillId="0" borderId="0" xfId="0" applyNumberFormat="1" applyFont="1"/>
    <xf numFmtId="3" fontId="41" fillId="0" borderId="0" xfId="0" applyNumberFormat="1" applyFont="1" applyAlignment="1">
      <alignment horizontal="right"/>
    </xf>
    <xf numFmtId="0" fontId="35" fillId="0" borderId="0" xfId="0" applyFont="1" applyAlignment="1">
      <alignment vertical="center"/>
    </xf>
    <xf numFmtId="0" fontId="42" fillId="0" borderId="0" xfId="0" applyFont="1" applyAlignment="1">
      <alignment vertical="center"/>
    </xf>
    <xf numFmtId="0" fontId="42" fillId="0" borderId="0" xfId="0" applyFont="1"/>
    <xf numFmtId="0" fontId="41" fillId="0" borderId="0" xfId="0" applyFont="1"/>
    <xf numFmtId="0" fontId="42" fillId="0" borderId="0" xfId="0" applyFont="1" applyAlignment="1">
      <alignment horizontal="center"/>
    </xf>
    <xf numFmtId="0" fontId="41" fillId="0" borderId="0" xfId="0" applyFont="1" applyAlignment="1">
      <alignment horizontal="center"/>
    </xf>
    <xf numFmtId="0" fontId="41" fillId="0" borderId="0" xfId="0" applyFont="1" applyAlignment="1">
      <alignment horizontal="right"/>
    </xf>
    <xf numFmtId="0" fontId="35" fillId="0" borderId="0" xfId="0" applyFont="1" applyAlignment="1">
      <alignment horizontal="center" vertical="center"/>
    </xf>
    <xf numFmtId="0" fontId="41" fillId="0" borderId="0" xfId="0" applyFont="1" applyAlignment="1">
      <alignment horizontal="center" vertical="center"/>
    </xf>
    <xf numFmtId="9" fontId="42" fillId="0" borderId="0" xfId="0" applyNumberFormat="1" applyFont="1" applyAlignment="1">
      <alignment horizontal="center" vertical="center"/>
    </xf>
    <xf numFmtId="9" fontId="41" fillId="0" borderId="0" xfId="0" applyNumberFormat="1" applyFont="1" applyAlignment="1">
      <alignment horizontal="center" vertical="center"/>
    </xf>
    <xf numFmtId="9" fontId="41" fillId="0" borderId="0" xfId="0" applyNumberFormat="1" applyFont="1" applyAlignment="1">
      <alignment horizontal="right"/>
    </xf>
    <xf numFmtId="3" fontId="41" fillId="0" borderId="0" xfId="0" applyNumberFormat="1" applyFont="1"/>
    <xf numFmtId="0" fontId="35" fillId="0" borderId="0" xfId="0" applyFont="1" applyAlignment="1">
      <alignment vertical="top"/>
    </xf>
    <xf numFmtId="0" fontId="41" fillId="0" borderId="0" xfId="0" applyFont="1" applyAlignment="1">
      <alignment vertical="top"/>
    </xf>
    <xf numFmtId="0" fontId="41" fillId="0" borderId="0" xfId="0" applyFont="1" applyAlignment="1">
      <alignment horizontal="center" vertical="top"/>
    </xf>
    <xf numFmtId="0" fontId="35" fillId="0" borderId="0" xfId="0" applyFont="1" applyAlignment="1">
      <alignment horizontal="center" vertical="top"/>
    </xf>
    <xf numFmtId="3" fontId="42" fillId="0" borderId="0" xfId="0" applyNumberFormat="1" applyFont="1" applyAlignment="1">
      <alignment horizontal="center" vertical="center"/>
    </xf>
    <xf numFmtId="9" fontId="42" fillId="0" borderId="5" xfId="1" applyFont="1" applyFill="1" applyBorder="1" applyAlignment="1">
      <alignment horizontal="center" vertical="center"/>
    </xf>
    <xf numFmtId="0" fontId="35" fillId="0" borderId="0" xfId="0" applyFont="1" applyAlignment="1">
      <alignment horizontal="right"/>
    </xf>
    <xf numFmtId="3" fontId="35" fillId="0" borderId="0" xfId="0" applyNumberFormat="1" applyFont="1" applyAlignment="1">
      <alignment vertical="top"/>
    </xf>
    <xf numFmtId="3" fontId="35" fillId="0" borderId="0" xfId="0" applyNumberFormat="1" applyFont="1" applyAlignment="1">
      <alignment horizontal="right" vertical="center"/>
    </xf>
    <xf numFmtId="0" fontId="41" fillId="0" borderId="0" xfId="0" applyFont="1" applyAlignment="1">
      <alignment vertical="center"/>
    </xf>
    <xf numFmtId="3" fontId="35" fillId="0" borderId="0" xfId="0" applyNumberFormat="1" applyFont="1" applyAlignment="1">
      <alignment vertical="center"/>
    </xf>
    <xf numFmtId="3" fontId="41" fillId="0" borderId="0" xfId="0" applyNumberFormat="1" applyFont="1" applyAlignment="1">
      <alignment vertical="center"/>
    </xf>
    <xf numFmtId="3" fontId="35" fillId="0" borderId="2" xfId="0" applyNumberFormat="1" applyFont="1" applyBorder="1" applyAlignment="1">
      <alignment horizontal="center" vertical="center"/>
    </xf>
    <xf numFmtId="9" fontId="41" fillId="0" borderId="14" xfId="0" applyNumberFormat="1" applyFont="1" applyBorder="1"/>
    <xf numFmtId="3" fontId="41" fillId="0" borderId="14" xfId="0" applyNumberFormat="1" applyFont="1" applyBorder="1" applyAlignment="1">
      <alignment horizontal="right"/>
    </xf>
    <xf numFmtId="9" fontId="42" fillId="0" borderId="0" xfId="0" applyNumberFormat="1" applyFont="1" applyAlignment="1">
      <alignment horizontal="left" vertical="center"/>
    </xf>
    <xf numFmtId="9" fontId="41" fillId="0" borderId="0" xfId="1" applyFont="1"/>
    <xf numFmtId="9" fontId="35" fillId="0" borderId="0" xfId="1" applyFont="1" applyBorder="1" applyAlignment="1">
      <alignment horizontal="center"/>
    </xf>
    <xf numFmtId="1" fontId="42" fillId="0" borderId="0" xfId="0" applyNumberFormat="1" applyFont="1" applyAlignment="1">
      <alignment horizontal="right"/>
    </xf>
    <xf numFmtId="9" fontId="41" fillId="0" borderId="0" xfId="1" applyFont="1" applyFill="1" applyBorder="1" applyAlignment="1">
      <alignment horizontal="left" vertical="center"/>
    </xf>
    <xf numFmtId="1" fontId="42" fillId="0" borderId="0" xfId="1" applyNumberFormat="1" applyFont="1" applyFill="1" applyBorder="1" applyAlignment="1">
      <alignment horizontal="right" vertical="center"/>
    </xf>
    <xf numFmtId="0" fontId="41" fillId="0" borderId="0" xfId="0" applyFont="1" applyAlignment="1">
      <alignment horizontal="left"/>
    </xf>
    <xf numFmtId="0" fontId="35" fillId="0" borderId="0" xfId="0" applyFont="1" applyAlignment="1">
      <alignment horizontal="right" vertical="center"/>
    </xf>
    <xf numFmtId="3" fontId="36" fillId="0" borderId="0" xfId="0" applyNumberFormat="1" applyFont="1" applyAlignment="1">
      <alignment horizontal="center" vertical="center"/>
    </xf>
    <xf numFmtId="0" fontId="0" fillId="0" borderId="50" xfId="0" applyBorder="1"/>
    <xf numFmtId="0" fontId="39" fillId="0" borderId="0" xfId="0" applyFont="1" applyAlignment="1">
      <alignment horizontal="center"/>
    </xf>
    <xf numFmtId="3" fontId="42" fillId="0" borderId="0" xfId="0" applyNumberFormat="1" applyFont="1" applyAlignment="1">
      <alignment horizontal="right" vertical="center"/>
    </xf>
    <xf numFmtId="3" fontId="35" fillId="0" borderId="0" xfId="0" applyNumberFormat="1" applyFont="1" applyAlignment="1">
      <alignment horizontal="center"/>
    </xf>
    <xf numFmtId="9" fontId="35" fillId="0" borderId="0" xfId="1" applyFont="1" applyAlignment="1">
      <alignment horizontal="left"/>
    </xf>
    <xf numFmtId="3" fontId="35" fillId="0" borderId="0" xfId="0" applyNumberFormat="1" applyFont="1" applyAlignment="1">
      <alignment horizontal="center" vertical="center"/>
    </xf>
    <xf numFmtId="9" fontId="41" fillId="2" borderId="0" xfId="0" applyNumberFormat="1" applyFont="1" applyFill="1" applyAlignment="1">
      <alignment horizontal="center" vertical="center"/>
    </xf>
    <xf numFmtId="164" fontId="35" fillId="0" borderId="0" xfId="1" applyNumberFormat="1" applyFont="1" applyAlignment="1">
      <alignment horizontal="left"/>
    </xf>
    <xf numFmtId="9" fontId="39" fillId="0" borderId="0" xfId="1" applyFont="1" applyAlignment="1">
      <alignment horizontal="left"/>
    </xf>
    <xf numFmtId="9" fontId="41" fillId="0" borderId="0" xfId="0" applyNumberFormat="1" applyFont="1" applyAlignment="1">
      <alignment horizontal="center"/>
    </xf>
    <xf numFmtId="9" fontId="42" fillId="2" borderId="0" xfId="1" applyFont="1" applyFill="1" applyBorder="1" applyAlignment="1">
      <alignment horizontal="center" vertical="center"/>
    </xf>
    <xf numFmtId="9" fontId="43" fillId="0" borderId="0" xfId="0" applyNumberFormat="1" applyFont="1" applyAlignment="1">
      <alignment horizontal="center" vertical="center"/>
    </xf>
    <xf numFmtId="3" fontId="39" fillId="0" borderId="0" xfId="0" applyNumberFormat="1" applyFont="1"/>
    <xf numFmtId="3" fontId="43" fillId="0" borderId="0" xfId="0" applyNumberFormat="1" applyFont="1"/>
    <xf numFmtId="0" fontId="39" fillId="0" borderId="0" xfId="0" applyFont="1"/>
    <xf numFmtId="3" fontId="44" fillId="0" borderId="0" xfId="0" applyNumberFormat="1" applyFont="1" applyAlignment="1">
      <alignment horizontal="right" vertical="center"/>
    </xf>
    <xf numFmtId="3" fontId="44" fillId="0" borderId="0" xfId="0" applyNumberFormat="1" applyFont="1" applyAlignment="1">
      <alignment vertical="center"/>
    </xf>
    <xf numFmtId="9" fontId="35" fillId="0" borderId="0" xfId="1" applyFont="1" applyFill="1"/>
    <xf numFmtId="9" fontId="42" fillId="0" borderId="0" xfId="1" applyFont="1" applyFill="1"/>
    <xf numFmtId="9" fontId="41" fillId="0" borderId="0" xfId="1" applyFont="1" applyFill="1" applyBorder="1" applyAlignment="1">
      <alignment horizontal="center"/>
    </xf>
    <xf numFmtId="9" fontId="35" fillId="0" borderId="0" xfId="1" applyFont="1" applyFill="1" applyBorder="1" applyAlignment="1">
      <alignment horizontal="center"/>
    </xf>
    <xf numFmtId="9" fontId="41" fillId="0" borderId="0" xfId="1" applyFont="1" applyFill="1"/>
    <xf numFmtId="0" fontId="46" fillId="0" borderId="0" xfId="0" applyFont="1" applyAlignment="1">
      <alignment vertical="center"/>
    </xf>
    <xf numFmtId="0" fontId="47" fillId="0" borderId="0" xfId="0" applyFont="1" applyAlignment="1">
      <alignment vertical="center"/>
    </xf>
    <xf numFmtId="0" fontId="0" fillId="0" borderId="51" xfId="0" applyBorder="1"/>
    <xf numFmtId="0" fontId="0" fillId="0" borderId="52" xfId="0" applyBorder="1" applyAlignment="1">
      <alignment horizontal="center"/>
    </xf>
    <xf numFmtId="0" fontId="0" fillId="0" borderId="52" xfId="0" applyBorder="1"/>
    <xf numFmtId="0" fontId="0" fillId="0" borderId="52" xfId="0" applyBorder="1" applyAlignment="1">
      <alignment horizontal="center" wrapText="1"/>
    </xf>
    <xf numFmtId="0" fontId="0" fillId="0" borderId="52" xfId="0" applyBorder="1" applyAlignment="1">
      <alignment horizontal="right" wrapText="1"/>
    </xf>
    <xf numFmtId="0" fontId="0" fillId="0" borderId="52" xfId="0" applyBorder="1" applyAlignment="1">
      <alignment horizontal="right"/>
    </xf>
    <xf numFmtId="0" fontId="0" fillId="0" borderId="51" xfId="0" applyBorder="1" applyAlignment="1">
      <alignment horizontal="right" wrapText="1"/>
    </xf>
    <xf numFmtId="0" fontId="0" fillId="0" borderId="53" xfId="0" applyBorder="1" applyAlignment="1">
      <alignment horizontal="right" wrapText="1"/>
    </xf>
    <xf numFmtId="0" fontId="0" fillId="0" borderId="0" xfId="0" applyAlignment="1">
      <alignment wrapText="1"/>
    </xf>
    <xf numFmtId="9" fontId="0" fillId="0" borderId="37" xfId="0" applyNumberFormat="1" applyBorder="1"/>
    <xf numFmtId="3" fontId="0" fillId="0" borderId="38" xfId="0" applyNumberFormat="1" applyBorder="1"/>
    <xf numFmtId="9" fontId="0" fillId="0" borderId="0" xfId="0" applyNumberFormat="1" applyAlignment="1">
      <alignment horizontal="right"/>
    </xf>
    <xf numFmtId="9" fontId="0" fillId="0" borderId="38" xfId="0" applyNumberFormat="1" applyBorder="1" applyAlignment="1">
      <alignment horizontal="right"/>
    </xf>
    <xf numFmtId="3" fontId="0" fillId="0" borderId="5" xfId="0" applyNumberFormat="1" applyBorder="1"/>
    <xf numFmtId="9" fontId="0" fillId="0" borderId="39" xfId="0" applyNumberFormat="1" applyBorder="1"/>
    <xf numFmtId="9" fontId="0" fillId="0" borderId="5" xfId="0" applyNumberFormat="1" applyBorder="1"/>
    <xf numFmtId="3" fontId="0" fillId="0" borderId="40" xfId="0" applyNumberFormat="1" applyBorder="1"/>
    <xf numFmtId="9" fontId="0" fillId="0" borderId="5" xfId="0" applyNumberFormat="1" applyBorder="1" applyAlignment="1">
      <alignment horizontal="right"/>
    </xf>
    <xf numFmtId="9" fontId="0" fillId="0" borderId="40" xfId="0" applyNumberFormat="1" applyBorder="1" applyAlignment="1">
      <alignment horizontal="right"/>
    </xf>
    <xf numFmtId="3" fontId="0" fillId="0" borderId="35" xfId="0" applyNumberFormat="1" applyBorder="1"/>
    <xf numFmtId="3" fontId="0" fillId="0" borderId="52" xfId="0" applyNumberFormat="1" applyBorder="1" applyAlignment="1">
      <alignment horizontal="right" wrapText="1"/>
    </xf>
    <xf numFmtId="3" fontId="0" fillId="0" borderId="52" xfId="0" applyNumberFormat="1" applyBorder="1" applyAlignment="1">
      <alignment horizontal="right"/>
    </xf>
    <xf numFmtId="3" fontId="0" fillId="0" borderId="53" xfId="0" applyNumberFormat="1" applyBorder="1" applyAlignment="1">
      <alignment horizontal="right" wrapText="1"/>
    </xf>
    <xf numFmtId="3" fontId="0" fillId="0" borderId="51" xfId="0" applyNumberFormat="1" applyBorder="1" applyAlignment="1">
      <alignment horizontal="right" wrapText="1"/>
    </xf>
    <xf numFmtId="3" fontId="0" fillId="0" borderId="37" xfId="0" applyNumberFormat="1" applyBorder="1"/>
    <xf numFmtId="9" fontId="0" fillId="0" borderId="37" xfId="0" applyNumberFormat="1" applyBorder="1" applyAlignment="1">
      <alignment horizontal="right"/>
    </xf>
    <xf numFmtId="3" fontId="0" fillId="0" borderId="39" xfId="0" applyNumberFormat="1" applyBorder="1"/>
    <xf numFmtId="9" fontId="0" fillId="0" borderId="39" xfId="0" applyNumberFormat="1" applyBorder="1" applyAlignment="1">
      <alignment horizontal="right"/>
    </xf>
    <xf numFmtId="3" fontId="0" fillId="0" borderId="36" xfId="0" applyNumberFormat="1" applyBorder="1"/>
    <xf numFmtId="0" fontId="47" fillId="0" borderId="0" xfId="0" applyFont="1"/>
    <xf numFmtId="3" fontId="0" fillId="0" borderId="1" xfId="0" applyNumberFormat="1" applyBorder="1" applyAlignment="1">
      <alignment horizontal="right" wrapText="1"/>
    </xf>
    <xf numFmtId="3" fontId="0" fillId="0" borderId="1" xfId="0" applyNumberFormat="1" applyBorder="1" applyAlignment="1">
      <alignment horizontal="right"/>
    </xf>
    <xf numFmtId="9" fontId="0" fillId="0" borderId="35" xfId="0" applyNumberFormat="1" applyBorder="1"/>
    <xf numFmtId="9" fontId="0" fillId="0" borderId="1" xfId="0" applyNumberFormat="1" applyBorder="1"/>
    <xf numFmtId="3" fontId="0" fillId="0" borderId="36" xfId="0" applyNumberFormat="1" applyBorder="1" applyAlignment="1">
      <alignment horizontal="right"/>
    </xf>
    <xf numFmtId="0" fontId="0" fillId="0" borderId="35" xfId="0" applyBorder="1" applyAlignment="1">
      <alignment horizontal="right" wrapText="1"/>
    </xf>
    <xf numFmtId="0" fontId="0" fillId="0" borderId="36" xfId="0" applyBorder="1" applyAlignment="1">
      <alignment horizontal="right" wrapText="1"/>
    </xf>
    <xf numFmtId="164" fontId="0" fillId="0" borderId="37" xfId="0" applyNumberFormat="1" applyBorder="1" applyAlignment="1">
      <alignment horizontal="right"/>
    </xf>
    <xf numFmtId="0" fontId="0" fillId="0" borderId="38" xfId="0" applyBorder="1" applyAlignment="1">
      <alignment horizontal="right"/>
    </xf>
    <xf numFmtId="9" fontId="8" fillId="0" borderId="37" xfId="0" applyNumberFormat="1" applyFont="1" applyBorder="1"/>
    <xf numFmtId="9" fontId="8" fillId="0" borderId="0" xfId="0" applyNumberFormat="1" applyFont="1"/>
    <xf numFmtId="3" fontId="8" fillId="0" borderId="37" xfId="0" applyNumberFormat="1" applyFont="1" applyBorder="1"/>
    <xf numFmtId="3" fontId="8" fillId="0" borderId="38" xfId="0" applyNumberFormat="1" applyFont="1" applyBorder="1"/>
    <xf numFmtId="9" fontId="8" fillId="0" borderId="38" xfId="0" applyNumberFormat="1" applyFont="1" applyBorder="1" applyAlignment="1">
      <alignment horizontal="right"/>
    </xf>
    <xf numFmtId="1" fontId="0" fillId="0" borderId="39" xfId="0" applyNumberFormat="1" applyBorder="1"/>
    <xf numFmtId="1" fontId="0" fillId="0" borderId="40" xfId="0" applyNumberFormat="1" applyBorder="1"/>
    <xf numFmtId="0" fontId="0" fillId="0" borderId="5" xfId="0" applyBorder="1" applyAlignment="1">
      <alignment horizontal="right"/>
    </xf>
    <xf numFmtId="0" fontId="0" fillId="0" borderId="40" xfId="0" applyBorder="1" applyAlignment="1">
      <alignment horizontal="right"/>
    </xf>
    <xf numFmtId="1" fontId="0" fillId="0" borderId="0" xfId="0" applyNumberFormat="1"/>
    <xf numFmtId="9" fontId="35" fillId="0" borderId="37" xfId="0" applyNumberFormat="1" applyFont="1" applyBorder="1"/>
    <xf numFmtId="9" fontId="35" fillId="0" borderId="0" xfId="0" applyNumberFormat="1" applyFont="1" applyAlignment="1">
      <alignment horizontal="right"/>
    </xf>
    <xf numFmtId="9" fontId="35" fillId="0" borderId="38" xfId="0" applyNumberFormat="1" applyFont="1" applyBorder="1" applyAlignment="1">
      <alignment horizontal="right"/>
    </xf>
    <xf numFmtId="0" fontId="5" fillId="0" borderId="37" xfId="0" applyFont="1" applyBorder="1" applyAlignment="1">
      <alignment horizontal="right"/>
    </xf>
    <xf numFmtId="0" fontId="5" fillId="0" borderId="0" xfId="0" applyFont="1" applyAlignment="1">
      <alignment horizontal="right"/>
    </xf>
    <xf numFmtId="0" fontId="0" fillId="0" borderId="0" xfId="0" applyAlignment="1">
      <alignment horizontal="center" wrapText="1"/>
    </xf>
    <xf numFmtId="0" fontId="0" fillId="0" borderId="5" xfId="0" applyBorder="1" applyAlignment="1">
      <alignment horizontal="center" wrapText="1"/>
    </xf>
    <xf numFmtId="0" fontId="0" fillId="0" borderId="37" xfId="0" applyBorder="1" applyAlignment="1">
      <alignment horizontal="right"/>
    </xf>
    <xf numFmtId="0" fontId="0" fillId="0" borderId="0" xfId="0" applyAlignment="1">
      <alignment horizontal="right"/>
    </xf>
    <xf numFmtId="0" fontId="8" fillId="0" borderId="37" xfId="0" applyFont="1" applyBorder="1" applyAlignment="1">
      <alignment horizontal="center"/>
    </xf>
    <xf numFmtId="0" fontId="8" fillId="0" borderId="0" xfId="0" applyFont="1" applyAlignment="1">
      <alignment horizontal="center"/>
    </xf>
    <xf numFmtId="0" fontId="8" fillId="0" borderId="37" xfId="0" applyFont="1" applyBorder="1" applyAlignment="1">
      <alignment horizontal="right"/>
    </xf>
    <xf numFmtId="0" fontId="8" fillId="0" borderId="0" xfId="0" applyFont="1" applyAlignment="1">
      <alignment horizontal="right"/>
    </xf>
    <xf numFmtId="0" fontId="5" fillId="3" borderId="1" xfId="0" applyFont="1" applyFill="1" applyBorder="1" applyAlignment="1">
      <alignment horizontal="left"/>
    </xf>
    <xf numFmtId="0" fontId="5" fillId="3" borderId="1" xfId="0" applyFont="1" applyFill="1" applyBorder="1"/>
    <xf numFmtId="0" fontId="5" fillId="0" borderId="0" xfId="0" applyFont="1"/>
    <xf numFmtId="0" fontId="7" fillId="0" borderId="0" xfId="0" applyFont="1" applyAlignment="1">
      <alignment horizontal="center" vertical="center"/>
    </xf>
    <xf numFmtId="0" fontId="27" fillId="0" borderId="0" xfId="0" applyFont="1" applyAlignment="1">
      <alignment horizontal="center" vertical="center"/>
    </xf>
    <xf numFmtId="0" fontId="7" fillId="0" borderId="0" xfId="0" applyFont="1" applyAlignment="1">
      <alignment horizontal="center"/>
    </xf>
    <xf numFmtId="0" fontId="15" fillId="0" borderId="0" xfId="0" applyFont="1" applyAlignment="1">
      <alignment horizontal="right" vertical="center"/>
    </xf>
    <xf numFmtId="0" fontId="5" fillId="3" borderId="1" xfId="0" applyFont="1" applyFill="1" applyBorder="1" applyAlignment="1">
      <alignment horizontal="left" vertical="center"/>
    </xf>
    <xf numFmtId="0" fontId="5" fillId="3" borderId="1" xfId="0" applyFont="1" applyFill="1" applyBorder="1" applyAlignment="1">
      <alignment vertical="center"/>
    </xf>
    <xf numFmtId="0" fontId="5" fillId="0" borderId="0" xfId="0" applyFont="1" applyAlignment="1">
      <alignment vertical="center"/>
    </xf>
    <xf numFmtId="0" fontId="7" fillId="0" borderId="1" xfId="0" applyFont="1" applyBorder="1" applyAlignment="1">
      <alignment horizontal="center"/>
    </xf>
    <xf numFmtId="0" fontId="27" fillId="0" borderId="1" xfId="0" applyFont="1" applyBorder="1" applyAlignment="1">
      <alignment horizontal="center"/>
    </xf>
    <xf numFmtId="0" fontId="7" fillId="0" borderId="4" xfId="0" applyFont="1" applyBorder="1" applyAlignment="1">
      <alignment horizontal="center"/>
    </xf>
    <xf numFmtId="0" fontId="7" fillId="0" borderId="3" xfId="0" applyFont="1" applyBorder="1" applyAlignment="1">
      <alignment horizontal="center"/>
    </xf>
    <xf numFmtId="0" fontId="8" fillId="0" borderId="4" xfId="3" applyFont="1" applyBorder="1" applyAlignment="1">
      <alignment horizontal="center" vertical="center"/>
    </xf>
    <xf numFmtId="0" fontId="8" fillId="0" borderId="3" xfId="3" applyFont="1" applyBorder="1" applyAlignment="1">
      <alignment horizontal="center" vertical="center"/>
    </xf>
    <xf numFmtId="0" fontId="39" fillId="0" borderId="0" xfId="3" applyFont="1" applyAlignment="1">
      <alignment horizontal="center" vertical="center"/>
    </xf>
    <xf numFmtId="0" fontId="15" fillId="0" borderId="0" xfId="3" applyFont="1" applyAlignment="1">
      <alignment horizontal="right" vertical="center"/>
    </xf>
    <xf numFmtId="0" fontId="5" fillId="0" borderId="0" xfId="3" applyAlignment="1">
      <alignment vertical="center"/>
    </xf>
    <xf numFmtId="0" fontId="37" fillId="0" borderId="0" xfId="3" applyFont="1" applyAlignment="1">
      <alignment horizontal="center"/>
    </xf>
    <xf numFmtId="0" fontId="38" fillId="0" borderId="0" xfId="3" applyFont="1" applyAlignment="1">
      <alignment horizontal="center"/>
    </xf>
    <xf numFmtId="0" fontId="15" fillId="0" borderId="0" xfId="3" applyFont="1" applyAlignment="1">
      <alignment horizontal="right"/>
    </xf>
    <xf numFmtId="0" fontId="7" fillId="0" borderId="1" xfId="3" applyFont="1" applyBorder="1" applyAlignment="1">
      <alignment horizontal="center"/>
    </xf>
    <xf numFmtId="0" fontId="27" fillId="0" borderId="1" xfId="3" applyFont="1" applyBorder="1" applyAlignment="1">
      <alignment horizontal="center"/>
    </xf>
    <xf numFmtId="0" fontId="20" fillId="0" borderId="0" xfId="0" applyFont="1" applyAlignment="1">
      <alignment horizontal="center"/>
    </xf>
    <xf numFmtId="0" fontId="22" fillId="0" borderId="0" xfId="0" applyFont="1" applyAlignment="1">
      <alignment horizontal="center" vertical="center"/>
    </xf>
    <xf numFmtId="0" fontId="15" fillId="0" borderId="0" xfId="0" applyFont="1" applyAlignment="1">
      <alignment horizontal="right"/>
    </xf>
    <xf numFmtId="0" fontId="21" fillId="0" borderId="0" xfId="0" applyFont="1" applyAlignment="1">
      <alignment horizontal="center"/>
    </xf>
    <xf numFmtId="0" fontId="8" fillId="0" borderId="4" xfId="0" applyFont="1" applyBorder="1" applyAlignment="1">
      <alignment horizontal="center" vertical="center"/>
    </xf>
    <xf numFmtId="0" fontId="8" fillId="0" borderId="3" xfId="0" applyFont="1" applyBorder="1" applyAlignment="1">
      <alignment horizontal="center" vertical="center"/>
    </xf>
    <xf numFmtId="0" fontId="8" fillId="0" borderId="3" xfId="0" applyFont="1" applyBorder="1" applyAlignment="1">
      <alignment horizontal="center" wrapText="1"/>
    </xf>
    <xf numFmtId="0" fontId="8" fillId="0" borderId="8" xfId="0" applyFont="1" applyBorder="1" applyAlignment="1">
      <alignment horizontal="center" wrapText="1"/>
    </xf>
    <xf numFmtId="0" fontId="35" fillId="0" borderId="0" xfId="0" applyFont="1" applyAlignment="1">
      <alignment horizontal="left" wrapText="1"/>
    </xf>
    <xf numFmtId="0" fontId="5" fillId="0" borderId="0" xfId="0" applyFont="1" applyAlignment="1">
      <alignment horizontal="left" vertical="center" wrapText="1"/>
    </xf>
    <xf numFmtId="0" fontId="5" fillId="0" borderId="1" xfId="0" applyFont="1" applyBorder="1" applyAlignment="1">
      <alignment horizontal="left" vertical="center" wrapText="1"/>
    </xf>
  </cellXfs>
  <cellStyles count="4">
    <cellStyle name="Normal" xfId="0" builtinId="0"/>
    <cellStyle name="Normal 2" xfId="3" xr:uid="{5536EB64-8286-4D64-A8BF-6877C81E4A90}"/>
    <cellStyle name="Percent" xfId="1" builtinId="5"/>
    <cellStyle name="Percent 2" xfId="2" xr:uid="{E127E965-6192-47D8-A535-1BE4CB132FB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5.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a:t>2010 Central Valley Hatchery Fall Chinook Escapement</a:t>
            </a:r>
          </a:p>
        </c:rich>
      </c:tx>
      <c:layout>
        <c:manualLayout>
          <c:xMode val="edge"/>
          <c:yMode val="edge"/>
          <c:x val="0.15993550580534521"/>
          <c:y val="3.160270880361174E-2"/>
        </c:manualLayout>
      </c:layout>
      <c:overlay val="0"/>
      <c:spPr>
        <a:noFill/>
        <a:ln w="25400">
          <a:noFill/>
        </a:ln>
      </c:spPr>
    </c:title>
    <c:autoTitleDeleted val="0"/>
    <c:plotArea>
      <c:layout>
        <c:manualLayout>
          <c:layoutTarget val="inner"/>
          <c:xMode val="edge"/>
          <c:yMode val="edge"/>
          <c:x val="0.10985469085619672"/>
          <c:y val="0.1309255079006772"/>
          <c:w val="0.88206854716887362"/>
          <c:h val="0.72460496613995484"/>
        </c:manualLayout>
      </c:layout>
      <c:barChart>
        <c:barDir val="col"/>
        <c:grouping val="stacked"/>
        <c:varyColors val="0"/>
        <c:ser>
          <c:idx val="0"/>
          <c:order val="0"/>
          <c:tx>
            <c:strRef>
              <c:f>'cv catch sample 2010'!$L$3</c:f>
              <c:strCache>
                <c:ptCount val="1"/>
                <c:pt idx="0">
                  <c:v>hatchery component</c:v>
                </c:pt>
              </c:strCache>
            </c:strRef>
          </c:tx>
          <c:spPr>
            <a:solidFill>
              <a:srgbClr val="339966"/>
            </a:solidFill>
            <a:ln w="12700">
              <a:solidFill>
                <a:srgbClr val="000000"/>
              </a:solidFill>
              <a:prstDash val="solid"/>
            </a:ln>
          </c:spPr>
          <c:invertIfNegative val="0"/>
          <c:cat>
            <c:strRef>
              <c:f>'cv catch sample 2010'!$C$4:$C$8</c:f>
              <c:strCache>
                <c:ptCount val="5"/>
                <c:pt idx="0">
                  <c:v>Coleman Hatchery fall</c:v>
                </c:pt>
                <c:pt idx="1">
                  <c:v>Feather R Hatchery fall</c:v>
                </c:pt>
                <c:pt idx="2">
                  <c:v>Nimbus Hatchery fall</c:v>
                </c:pt>
                <c:pt idx="3">
                  <c:v>Mokelumne Hatchery fall</c:v>
                </c:pt>
                <c:pt idx="4">
                  <c:v>Merced Hatchery fall</c:v>
                </c:pt>
              </c:strCache>
            </c:strRef>
          </c:cat>
          <c:val>
            <c:numRef>
              <c:f>'cv catch sample 2010'!$L$4:$L$8</c:f>
              <c:numCache>
                <c:formatCode>#,##0</c:formatCode>
                <c:ptCount val="5"/>
                <c:pt idx="0">
                  <c:v>15320.66</c:v>
                </c:pt>
                <c:pt idx="1">
                  <c:v>18902.189999999999</c:v>
                </c:pt>
                <c:pt idx="2">
                  <c:v>7179.34</c:v>
                </c:pt>
                <c:pt idx="3">
                  <c:v>4735.92</c:v>
                </c:pt>
                <c:pt idx="4">
                  <c:v>114.9</c:v>
                </c:pt>
              </c:numCache>
            </c:numRef>
          </c:val>
          <c:extLst>
            <c:ext xmlns:c16="http://schemas.microsoft.com/office/drawing/2014/chart" uri="{C3380CC4-5D6E-409C-BE32-E72D297353CC}">
              <c16:uniqueId val="{00000000-3A52-41F0-B00E-F637203E8607}"/>
            </c:ext>
          </c:extLst>
        </c:ser>
        <c:ser>
          <c:idx val="1"/>
          <c:order val="1"/>
          <c:tx>
            <c:strRef>
              <c:f>'cv catch sample 2010'!$M$3</c:f>
              <c:strCache>
                <c:ptCount val="1"/>
                <c:pt idx="0">
                  <c:v>natural component</c:v>
                </c:pt>
              </c:strCache>
            </c:strRef>
          </c:tx>
          <c:spPr>
            <a:solidFill>
              <a:srgbClr val="FFCC99"/>
            </a:solidFill>
            <a:ln w="12700">
              <a:solidFill>
                <a:srgbClr val="000000"/>
              </a:solidFill>
              <a:prstDash val="solid"/>
            </a:ln>
          </c:spPr>
          <c:invertIfNegative val="0"/>
          <c:cat>
            <c:strRef>
              <c:f>'cv catch sample 2010'!$C$4:$C$8</c:f>
              <c:strCache>
                <c:ptCount val="5"/>
                <c:pt idx="0">
                  <c:v>Coleman Hatchery fall</c:v>
                </c:pt>
                <c:pt idx="1">
                  <c:v>Feather R Hatchery fall</c:v>
                </c:pt>
                <c:pt idx="2">
                  <c:v>Nimbus Hatchery fall</c:v>
                </c:pt>
                <c:pt idx="3">
                  <c:v>Mokelumne Hatchery fall</c:v>
                </c:pt>
                <c:pt idx="4">
                  <c:v>Merced Hatchery fall</c:v>
                </c:pt>
              </c:strCache>
            </c:strRef>
          </c:cat>
          <c:val>
            <c:numRef>
              <c:f>'cv catch sample 2010'!$M$4:$M$8</c:f>
              <c:numCache>
                <c:formatCode>#,##0</c:formatCode>
                <c:ptCount val="5"/>
                <c:pt idx="0">
                  <c:v>1917.34</c:v>
                </c:pt>
                <c:pt idx="1">
                  <c:v>1069.81</c:v>
                </c:pt>
                <c:pt idx="2">
                  <c:v>1915.66</c:v>
                </c:pt>
                <c:pt idx="3">
                  <c:v>540.08000000000004</c:v>
                </c:pt>
                <c:pt idx="4">
                  <c:v>31.1</c:v>
                </c:pt>
              </c:numCache>
            </c:numRef>
          </c:val>
          <c:extLst>
            <c:ext xmlns:c16="http://schemas.microsoft.com/office/drawing/2014/chart" uri="{C3380CC4-5D6E-409C-BE32-E72D297353CC}">
              <c16:uniqueId val="{00000001-3A52-41F0-B00E-F637203E8607}"/>
            </c:ext>
          </c:extLst>
        </c:ser>
        <c:dLbls>
          <c:showLegendKey val="0"/>
          <c:showVal val="0"/>
          <c:showCatName val="0"/>
          <c:showSerName val="0"/>
          <c:showPercent val="0"/>
          <c:showBubbleSize val="0"/>
        </c:dLbls>
        <c:gapWidth val="150"/>
        <c:overlap val="100"/>
        <c:axId val="681009952"/>
        <c:axId val="1"/>
      </c:barChart>
      <c:catAx>
        <c:axId val="68100995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125"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max val="22500"/>
          <c:min val="0"/>
        </c:scaling>
        <c:delete val="0"/>
        <c:axPos val="l"/>
        <c:title>
          <c:tx>
            <c:rich>
              <a:bodyPr/>
              <a:lstStyle/>
              <a:p>
                <a:pPr>
                  <a:defRPr sz="1050" b="1" i="0" u="none" strike="noStrike" baseline="0">
                    <a:solidFill>
                      <a:srgbClr val="000000"/>
                    </a:solidFill>
                    <a:latin typeface="Arial"/>
                    <a:ea typeface="Arial"/>
                    <a:cs typeface="Arial"/>
                  </a:defRPr>
                </a:pPr>
                <a:r>
                  <a:rPr lang="en-US"/>
                  <a:t>Chinook escapement (x1000)</a:t>
                </a:r>
              </a:p>
            </c:rich>
          </c:tx>
          <c:layout>
            <c:manualLayout>
              <c:xMode val="edge"/>
              <c:yMode val="edge"/>
              <c:x val="2.2617142235099325E-2"/>
              <c:y val="0.2595936794582393"/>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1125" b="0" i="0" u="none" strike="noStrike" baseline="0">
                <a:solidFill>
                  <a:srgbClr val="000000"/>
                </a:solidFill>
                <a:latin typeface="Arial"/>
                <a:ea typeface="Arial"/>
                <a:cs typeface="Arial"/>
              </a:defRPr>
            </a:pPr>
            <a:endParaRPr lang="en-US"/>
          </a:p>
        </c:txPr>
        <c:crossAx val="681009952"/>
        <c:crosses val="autoZero"/>
        <c:crossBetween val="between"/>
        <c:majorUnit val="5000"/>
        <c:minorUnit val="1000"/>
        <c:dispUnits>
          <c:builtInUnit val="thousands"/>
        </c:dispUnits>
      </c:valAx>
      <c:spPr>
        <a:solidFill>
          <a:srgbClr val="FFFFFF"/>
        </a:solidFill>
        <a:ln w="12700">
          <a:solidFill>
            <a:srgbClr val="808080"/>
          </a:solidFill>
          <a:prstDash val="solid"/>
        </a:ln>
      </c:spPr>
    </c:plotArea>
    <c:legend>
      <c:legendPos val="r"/>
      <c:layout>
        <c:manualLayout>
          <c:xMode val="edge"/>
          <c:yMode val="edge"/>
          <c:x val="0.75605875471617745"/>
          <c:y val="0.14446952595936793"/>
          <c:w val="0.22294040203169335"/>
          <c:h val="9.7065462753950338E-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a:t>2010 Sacramento Basin fall Chinook Natural Area Spawners</a:t>
            </a:r>
          </a:p>
        </c:rich>
      </c:tx>
      <c:layout>
        <c:manualLayout>
          <c:xMode val="edge"/>
          <c:yMode val="edge"/>
          <c:x val="0.12903225806451613"/>
          <c:y val="3.1674243135608668E-2"/>
        </c:manualLayout>
      </c:layout>
      <c:overlay val="0"/>
      <c:spPr>
        <a:noFill/>
        <a:ln w="25400">
          <a:noFill/>
        </a:ln>
      </c:spPr>
    </c:title>
    <c:autoTitleDeleted val="0"/>
    <c:plotArea>
      <c:layout>
        <c:manualLayout>
          <c:layoutTarget val="inner"/>
          <c:xMode val="edge"/>
          <c:yMode val="edge"/>
          <c:x val="0.10161290322580645"/>
          <c:y val="0.11990963472766139"/>
          <c:w val="0.89193548387096777"/>
          <c:h val="0.73981982181028816"/>
        </c:manualLayout>
      </c:layout>
      <c:barChart>
        <c:barDir val="col"/>
        <c:grouping val="stacked"/>
        <c:varyColors val="0"/>
        <c:ser>
          <c:idx val="0"/>
          <c:order val="0"/>
          <c:tx>
            <c:strRef>
              <c:f>'cv catch sample 2010'!$L$3</c:f>
              <c:strCache>
                <c:ptCount val="1"/>
                <c:pt idx="0">
                  <c:v>hatchery component</c:v>
                </c:pt>
              </c:strCache>
            </c:strRef>
          </c:tx>
          <c:spPr>
            <a:solidFill>
              <a:srgbClr val="339966"/>
            </a:solidFill>
            <a:ln w="12700">
              <a:solidFill>
                <a:srgbClr val="000000"/>
              </a:solidFill>
              <a:prstDash val="solid"/>
            </a:ln>
          </c:spPr>
          <c:invertIfNegative val="0"/>
          <c:cat>
            <c:strRef>
              <c:f>'cv catch sample 2010'!$C$12:$C$20</c:f>
              <c:strCache>
                <c:ptCount val="9"/>
                <c:pt idx="0">
                  <c:v>Upper Sac </c:v>
                </c:pt>
                <c:pt idx="1">
                  <c:v>Clear Crk </c:v>
                </c:pt>
                <c:pt idx="2">
                  <c:v>Butte Crk </c:v>
                </c:pt>
                <c:pt idx="3">
                  <c:v>Mill Crk</c:v>
                </c:pt>
                <c:pt idx="4">
                  <c:v>Deer Crk </c:v>
                </c:pt>
                <c:pt idx="5">
                  <c:v>Feather River </c:v>
                </c:pt>
                <c:pt idx="6">
                  <c:v>Yuba River </c:v>
                </c:pt>
                <c:pt idx="7">
                  <c:v>American River </c:v>
                </c:pt>
                <c:pt idx="8">
                  <c:v>Nimbus Weir</c:v>
                </c:pt>
              </c:strCache>
            </c:strRef>
          </c:cat>
          <c:val>
            <c:numRef>
              <c:f>'cv catch sample 2010'!$L$12:$L$20</c:f>
              <c:numCache>
                <c:formatCode>#,##0</c:formatCode>
                <c:ptCount val="9"/>
                <c:pt idx="0">
                  <c:v>3226.3899999999994</c:v>
                </c:pt>
                <c:pt idx="1">
                  <c:v>301.22999999999956</c:v>
                </c:pt>
                <c:pt idx="2">
                  <c:v>40.180000000000007</c:v>
                </c:pt>
                <c:pt idx="3">
                  <c:v>4.0500000000000114</c:v>
                </c:pt>
                <c:pt idx="4">
                  <c:v>5.1100000000000136</c:v>
                </c:pt>
                <c:pt idx="5">
                  <c:v>34980.6</c:v>
                </c:pt>
                <c:pt idx="6">
                  <c:v>9247.82</c:v>
                </c:pt>
                <c:pt idx="7">
                  <c:v>2438.5100000000002</c:v>
                </c:pt>
                <c:pt idx="8">
                  <c:v>2684.49</c:v>
                </c:pt>
              </c:numCache>
            </c:numRef>
          </c:val>
          <c:extLst>
            <c:ext xmlns:c16="http://schemas.microsoft.com/office/drawing/2014/chart" uri="{C3380CC4-5D6E-409C-BE32-E72D297353CC}">
              <c16:uniqueId val="{00000000-AB25-44E6-B5DD-BB801D159008}"/>
            </c:ext>
          </c:extLst>
        </c:ser>
        <c:ser>
          <c:idx val="1"/>
          <c:order val="1"/>
          <c:tx>
            <c:strRef>
              <c:f>'cv catch sample 2010'!$M$3</c:f>
              <c:strCache>
                <c:ptCount val="1"/>
                <c:pt idx="0">
                  <c:v>natural component</c:v>
                </c:pt>
              </c:strCache>
            </c:strRef>
          </c:tx>
          <c:spPr>
            <a:solidFill>
              <a:srgbClr val="FFCC99"/>
            </a:solidFill>
            <a:ln w="12700">
              <a:solidFill>
                <a:srgbClr val="000000"/>
              </a:solidFill>
              <a:prstDash val="solid"/>
            </a:ln>
          </c:spPr>
          <c:invertIfNegative val="0"/>
          <c:cat>
            <c:strRef>
              <c:f>'cv catch sample 2010'!$C$12:$C$20</c:f>
              <c:strCache>
                <c:ptCount val="9"/>
                <c:pt idx="0">
                  <c:v>Upper Sac </c:v>
                </c:pt>
                <c:pt idx="1">
                  <c:v>Clear Crk </c:v>
                </c:pt>
                <c:pt idx="2">
                  <c:v>Butte Crk </c:v>
                </c:pt>
                <c:pt idx="3">
                  <c:v>Mill Crk</c:v>
                </c:pt>
                <c:pt idx="4">
                  <c:v>Deer Crk </c:v>
                </c:pt>
                <c:pt idx="5">
                  <c:v>Feather River </c:v>
                </c:pt>
                <c:pt idx="6">
                  <c:v>Yuba River </c:v>
                </c:pt>
                <c:pt idx="7">
                  <c:v>American River </c:v>
                </c:pt>
                <c:pt idx="8">
                  <c:v>Nimbus Weir</c:v>
                </c:pt>
              </c:strCache>
            </c:strRef>
          </c:cat>
          <c:val>
            <c:numRef>
              <c:f>'cv catch sample 2010'!$M$12:$M$20</c:f>
              <c:numCache>
                <c:formatCode>#,##0</c:formatCode>
                <c:ptCount val="9"/>
                <c:pt idx="0">
                  <c:v>13145.61</c:v>
                </c:pt>
                <c:pt idx="1">
                  <c:v>6890.77</c:v>
                </c:pt>
                <c:pt idx="2">
                  <c:v>329.82</c:v>
                </c:pt>
                <c:pt idx="3">
                  <c:v>139.94999999999999</c:v>
                </c:pt>
                <c:pt idx="4">
                  <c:v>160.88999999999999</c:v>
                </c:pt>
                <c:pt idx="5">
                  <c:v>9933.4</c:v>
                </c:pt>
                <c:pt idx="6">
                  <c:v>3849.18</c:v>
                </c:pt>
                <c:pt idx="7">
                  <c:v>5134.49</c:v>
                </c:pt>
                <c:pt idx="8">
                  <c:v>4430.51</c:v>
                </c:pt>
              </c:numCache>
            </c:numRef>
          </c:val>
          <c:extLst>
            <c:ext xmlns:c16="http://schemas.microsoft.com/office/drawing/2014/chart" uri="{C3380CC4-5D6E-409C-BE32-E72D297353CC}">
              <c16:uniqueId val="{00000001-AB25-44E6-B5DD-BB801D159008}"/>
            </c:ext>
          </c:extLst>
        </c:ser>
        <c:dLbls>
          <c:showLegendKey val="0"/>
          <c:showVal val="0"/>
          <c:showCatName val="0"/>
          <c:showSerName val="0"/>
          <c:showPercent val="0"/>
          <c:showBubbleSize val="0"/>
        </c:dLbls>
        <c:gapWidth val="150"/>
        <c:overlap val="100"/>
        <c:axId val="681013912"/>
        <c:axId val="1"/>
      </c:barChart>
      <c:catAx>
        <c:axId val="68101391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max val="45000"/>
        </c:scaling>
        <c:delete val="0"/>
        <c:axPos val="l"/>
        <c:title>
          <c:tx>
            <c:rich>
              <a:bodyPr/>
              <a:lstStyle/>
              <a:p>
                <a:pPr>
                  <a:defRPr sz="900" b="1" i="0" u="none" strike="noStrike" baseline="0">
                    <a:solidFill>
                      <a:srgbClr val="000000"/>
                    </a:solidFill>
                    <a:latin typeface="Arial"/>
                    <a:ea typeface="Arial"/>
                    <a:cs typeface="Arial"/>
                  </a:defRPr>
                </a:pPr>
                <a:r>
                  <a:rPr lang="en-US"/>
                  <a:t>Chinook escapement (x1000)</a:t>
                </a:r>
              </a:p>
            </c:rich>
          </c:tx>
          <c:layout>
            <c:manualLayout>
              <c:xMode val="edge"/>
              <c:yMode val="edge"/>
              <c:x val="2.4193548387096774E-2"/>
              <c:y val="0.29638041791176684"/>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81013912"/>
        <c:crosses val="autoZero"/>
        <c:crossBetween val="between"/>
        <c:dispUnits>
          <c:builtInUnit val="thousands"/>
        </c:dispUnits>
      </c:valAx>
      <c:spPr>
        <a:solidFill>
          <a:srgbClr val="FFFFFF"/>
        </a:solidFill>
        <a:ln w="12700">
          <a:solidFill>
            <a:srgbClr val="808080"/>
          </a:solidFill>
          <a:prstDash val="solid"/>
        </a:ln>
      </c:spPr>
    </c:plotArea>
    <c:legend>
      <c:legendPos val="r"/>
      <c:layout>
        <c:manualLayout>
          <c:xMode val="edge"/>
          <c:yMode val="edge"/>
          <c:x val="0.75161290322580643"/>
          <c:y val="0.17647078318410545"/>
          <c:w val="0.22258064516129034"/>
          <c:h val="9.7285175345083769E-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75" b="1" i="0" u="none" strike="noStrike" baseline="0">
                <a:solidFill>
                  <a:srgbClr val="000000"/>
                </a:solidFill>
                <a:latin typeface="Arial"/>
                <a:ea typeface="Arial"/>
                <a:cs typeface="Arial"/>
              </a:defRPr>
            </a:pPr>
            <a:r>
              <a:rPr lang="en-US"/>
              <a:t>2010 San Joaquin Basin fall Chinook Natural Area Spawners</a:t>
            </a:r>
          </a:p>
        </c:rich>
      </c:tx>
      <c:layout>
        <c:manualLayout>
          <c:xMode val="edge"/>
          <c:yMode val="edge"/>
          <c:x val="0.12721437074522371"/>
          <c:y val="3.1784879021908213E-2"/>
        </c:manualLayout>
      </c:layout>
      <c:overlay val="0"/>
      <c:spPr>
        <a:noFill/>
        <a:ln w="25400">
          <a:noFill/>
        </a:ln>
      </c:spPr>
    </c:title>
    <c:autoTitleDeleted val="0"/>
    <c:plotArea>
      <c:layout>
        <c:manualLayout>
          <c:layoutTarget val="inner"/>
          <c:xMode val="edge"/>
          <c:yMode val="edge"/>
          <c:x val="9.0177275464968717E-2"/>
          <c:y val="0.12958450678162581"/>
          <c:w val="0.90338306314013306"/>
          <c:h val="0.76039210583180417"/>
        </c:manualLayout>
      </c:layout>
      <c:barChart>
        <c:barDir val="col"/>
        <c:grouping val="stacked"/>
        <c:varyColors val="0"/>
        <c:ser>
          <c:idx val="0"/>
          <c:order val="0"/>
          <c:tx>
            <c:strRef>
              <c:f>'cv catch sample 2010'!$L$3</c:f>
              <c:strCache>
                <c:ptCount val="1"/>
                <c:pt idx="0">
                  <c:v>hatchery component</c:v>
                </c:pt>
              </c:strCache>
            </c:strRef>
          </c:tx>
          <c:spPr>
            <a:solidFill>
              <a:srgbClr val="339966"/>
            </a:solidFill>
            <a:ln w="12700">
              <a:solidFill>
                <a:srgbClr val="000000"/>
              </a:solidFill>
              <a:prstDash val="solid"/>
            </a:ln>
          </c:spPr>
          <c:invertIfNegative val="0"/>
          <c:cat>
            <c:strRef>
              <c:f>'cv catch sample 2010'!$C$24:$C$28</c:f>
              <c:strCache>
                <c:ptCount val="5"/>
                <c:pt idx="0">
                  <c:v>Mokelume River</c:v>
                </c:pt>
                <c:pt idx="1">
                  <c:v>Mokelumne Weir</c:v>
                </c:pt>
                <c:pt idx="2">
                  <c:v>Merced River </c:v>
                </c:pt>
                <c:pt idx="3">
                  <c:v>Stanislaus River</c:v>
                </c:pt>
                <c:pt idx="4">
                  <c:v>Tuolumne River</c:v>
                </c:pt>
              </c:strCache>
            </c:strRef>
          </c:cat>
          <c:val>
            <c:numRef>
              <c:f>'cv catch sample 2010'!$L$24:$L$28</c:f>
              <c:numCache>
                <c:formatCode>#,##0</c:formatCode>
                <c:ptCount val="5"/>
                <c:pt idx="0">
                  <c:v>1409.05</c:v>
                </c:pt>
                <c:pt idx="1">
                  <c:v>180.52</c:v>
                </c:pt>
                <c:pt idx="2">
                  <c:v>506.93</c:v>
                </c:pt>
                <c:pt idx="3">
                  <c:v>544.17999999999995</c:v>
                </c:pt>
                <c:pt idx="4">
                  <c:v>264.26</c:v>
                </c:pt>
              </c:numCache>
            </c:numRef>
          </c:val>
          <c:extLst>
            <c:ext xmlns:c16="http://schemas.microsoft.com/office/drawing/2014/chart" uri="{C3380CC4-5D6E-409C-BE32-E72D297353CC}">
              <c16:uniqueId val="{00000000-7DF8-45A3-B6F0-ADCFD0B5918A}"/>
            </c:ext>
          </c:extLst>
        </c:ser>
        <c:ser>
          <c:idx val="1"/>
          <c:order val="1"/>
          <c:tx>
            <c:strRef>
              <c:f>'cv catch sample 2010'!$M$3</c:f>
              <c:strCache>
                <c:ptCount val="1"/>
                <c:pt idx="0">
                  <c:v>natural component</c:v>
                </c:pt>
              </c:strCache>
            </c:strRef>
          </c:tx>
          <c:spPr>
            <a:solidFill>
              <a:srgbClr val="FFCC99"/>
            </a:solidFill>
            <a:ln w="12700">
              <a:solidFill>
                <a:srgbClr val="000000"/>
              </a:solidFill>
              <a:prstDash val="solid"/>
            </a:ln>
          </c:spPr>
          <c:invertIfNegative val="0"/>
          <c:cat>
            <c:strRef>
              <c:f>'cv catch sample 2010'!$C$24:$C$28</c:f>
              <c:strCache>
                <c:ptCount val="5"/>
                <c:pt idx="0">
                  <c:v>Mokelume River</c:v>
                </c:pt>
                <c:pt idx="1">
                  <c:v>Mokelumne Weir</c:v>
                </c:pt>
                <c:pt idx="2">
                  <c:v>Merced River </c:v>
                </c:pt>
                <c:pt idx="3">
                  <c:v>Stanislaus River</c:v>
                </c:pt>
                <c:pt idx="4">
                  <c:v>Tuolumne River</c:v>
                </c:pt>
              </c:strCache>
            </c:strRef>
          </c:cat>
          <c:val>
            <c:numRef>
              <c:f>'cv catch sample 2010'!$M$24:$M$28</c:f>
              <c:numCache>
                <c:formatCode>#,##0</c:formatCode>
                <c:ptCount val="5"/>
                <c:pt idx="0">
                  <c:v>510.95</c:v>
                </c:pt>
                <c:pt idx="1">
                  <c:v>63.48</c:v>
                </c:pt>
                <c:pt idx="2">
                  <c:v>144.07</c:v>
                </c:pt>
                <c:pt idx="3">
                  <c:v>541.82000000000005</c:v>
                </c:pt>
                <c:pt idx="4">
                  <c:v>275.74</c:v>
                </c:pt>
              </c:numCache>
            </c:numRef>
          </c:val>
          <c:extLst>
            <c:ext xmlns:c16="http://schemas.microsoft.com/office/drawing/2014/chart" uri="{C3380CC4-5D6E-409C-BE32-E72D297353CC}">
              <c16:uniqueId val="{00000001-7DF8-45A3-B6F0-ADCFD0B5918A}"/>
            </c:ext>
          </c:extLst>
        </c:ser>
        <c:dLbls>
          <c:showLegendKey val="0"/>
          <c:showVal val="0"/>
          <c:showCatName val="0"/>
          <c:showSerName val="0"/>
          <c:showPercent val="0"/>
          <c:showBubbleSize val="0"/>
        </c:dLbls>
        <c:gapWidth val="150"/>
        <c:overlap val="100"/>
        <c:axId val="681015712"/>
        <c:axId val="1"/>
      </c:barChart>
      <c:catAx>
        <c:axId val="68101571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max val="2000"/>
        </c:scaling>
        <c:delete val="0"/>
        <c:axPos val="l"/>
        <c:title>
          <c:tx>
            <c:rich>
              <a:bodyPr/>
              <a:lstStyle/>
              <a:p>
                <a:pPr>
                  <a:defRPr sz="900" b="1" i="0" u="none" strike="noStrike" baseline="0">
                    <a:solidFill>
                      <a:srgbClr val="000000"/>
                    </a:solidFill>
                    <a:latin typeface="Arial"/>
                    <a:ea typeface="Arial"/>
                    <a:cs typeface="Arial"/>
                  </a:defRPr>
                </a:pPr>
                <a:r>
                  <a:rPr lang="en-US"/>
                  <a:t>Chinook escapement (x1000)</a:t>
                </a:r>
              </a:p>
            </c:rich>
          </c:tx>
          <c:layout>
            <c:manualLayout>
              <c:xMode val="edge"/>
              <c:yMode val="edge"/>
              <c:x val="2.4154627356688049E-2"/>
              <c:y val="0.30073385536113156"/>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681015712"/>
        <c:crosses val="autoZero"/>
        <c:crossBetween val="between"/>
        <c:majorUnit val="1000"/>
        <c:dispUnits>
          <c:builtInUnit val="thousands"/>
        </c:dispUnits>
      </c:valAx>
      <c:spPr>
        <a:solidFill>
          <a:srgbClr val="FFFFFF"/>
        </a:solidFill>
        <a:ln w="12700">
          <a:solidFill>
            <a:srgbClr val="808080"/>
          </a:solidFill>
          <a:prstDash val="solid"/>
        </a:ln>
      </c:spPr>
    </c:plotArea>
    <c:legend>
      <c:legendPos val="r"/>
      <c:layout>
        <c:manualLayout>
          <c:xMode val="edge"/>
          <c:yMode val="edge"/>
          <c:x val="0.75040375654777536"/>
          <c:y val="0.13691947886360462"/>
          <c:w val="0.22222257168153003"/>
          <c:h val="0.1051345998416964"/>
        </c:manualLayout>
      </c:layout>
      <c:overlay val="0"/>
      <c:spPr>
        <a:solidFill>
          <a:srgbClr val="FFFFFF"/>
        </a:solidFill>
        <a:ln w="3175">
          <a:solidFill>
            <a:srgbClr val="000000"/>
          </a:solidFill>
          <a:prstDash val="solid"/>
        </a:ln>
      </c:spPr>
      <c:txPr>
        <a:bodyPr/>
        <a:lstStyle/>
        <a:p>
          <a:pPr>
            <a:defRPr sz="89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75" b="1" i="0" u="none" strike="noStrike" baseline="0">
                <a:solidFill>
                  <a:srgbClr val="000000"/>
                </a:solidFill>
                <a:latin typeface="Arial"/>
                <a:ea typeface="Arial"/>
                <a:cs typeface="Arial"/>
              </a:defRPr>
            </a:pPr>
            <a:r>
              <a:rPr lang="en-US"/>
              <a:t>2010 Sacramento Basin non-fall Chinook Natural Area Spawners</a:t>
            </a:r>
          </a:p>
        </c:rich>
      </c:tx>
      <c:layout>
        <c:manualLayout>
          <c:xMode val="edge"/>
          <c:yMode val="edge"/>
          <c:x val="0.16747208300637048"/>
          <c:y val="3.1862821362834526E-2"/>
        </c:manualLayout>
      </c:layout>
      <c:overlay val="0"/>
      <c:spPr>
        <a:noFill/>
        <a:ln w="25400">
          <a:noFill/>
        </a:ln>
      </c:spPr>
    </c:title>
    <c:autoTitleDeleted val="0"/>
    <c:plotArea>
      <c:layout>
        <c:manualLayout>
          <c:layoutTarget val="inner"/>
          <c:xMode val="edge"/>
          <c:yMode val="edge"/>
          <c:x val="9.0177275464968717E-2"/>
          <c:y val="0.16911805184889095"/>
          <c:w val="0.90338306314013306"/>
          <c:h val="0.63725642725669052"/>
        </c:manualLayout>
      </c:layout>
      <c:barChart>
        <c:barDir val="col"/>
        <c:grouping val="stacked"/>
        <c:varyColors val="0"/>
        <c:ser>
          <c:idx val="0"/>
          <c:order val="0"/>
          <c:tx>
            <c:strRef>
              <c:f>'cv catch sample 2010'!$L$3</c:f>
              <c:strCache>
                <c:ptCount val="1"/>
                <c:pt idx="0">
                  <c:v>hatchery component</c:v>
                </c:pt>
              </c:strCache>
            </c:strRef>
          </c:tx>
          <c:spPr>
            <a:solidFill>
              <a:srgbClr val="339966"/>
            </a:solidFill>
            <a:ln w="12700">
              <a:solidFill>
                <a:srgbClr val="000000"/>
              </a:solidFill>
              <a:prstDash val="solid"/>
            </a:ln>
          </c:spPr>
          <c:invertIfNegative val="0"/>
          <c:cat>
            <c:strRef>
              <c:f>'cv catch sample 2010'!$C$32:$C$38</c:f>
              <c:strCache>
                <c:ptCount val="7"/>
                <c:pt idx="0">
                  <c:v>Coleman Hatchery late fall</c:v>
                </c:pt>
                <c:pt idx="1">
                  <c:v>American River late fall count</c:v>
                </c:pt>
                <c:pt idx="2">
                  <c:v>Upper Sac late fall carcass</c:v>
                </c:pt>
                <c:pt idx="3">
                  <c:v>Butte Crk spring carcass</c:v>
                </c:pt>
                <c:pt idx="4">
                  <c:v>Mill Crk spring</c:v>
                </c:pt>
                <c:pt idx="5">
                  <c:v>Deek Crk spring</c:v>
                </c:pt>
                <c:pt idx="6">
                  <c:v>Feather R Hatchery spring</c:v>
                </c:pt>
              </c:strCache>
            </c:strRef>
          </c:cat>
          <c:val>
            <c:numRef>
              <c:f>'cv catch sample 2010'!$L$32:$L$38</c:f>
              <c:numCache>
                <c:formatCode>#,##0</c:formatCode>
                <c:ptCount val="7"/>
                <c:pt idx="0">
                  <c:v>5478.13</c:v>
                </c:pt>
                <c:pt idx="1">
                  <c:v>38.61</c:v>
                </c:pt>
                <c:pt idx="2">
                  <c:v>249.73000000000002</c:v>
                </c:pt>
                <c:pt idx="3">
                  <c:v>29.1400000000001</c:v>
                </c:pt>
                <c:pt idx="4">
                  <c:v>1.0299999999999727</c:v>
                </c:pt>
                <c:pt idx="6">
                  <c:v>1361.01</c:v>
                </c:pt>
              </c:numCache>
            </c:numRef>
          </c:val>
          <c:extLst>
            <c:ext xmlns:c16="http://schemas.microsoft.com/office/drawing/2014/chart" uri="{C3380CC4-5D6E-409C-BE32-E72D297353CC}">
              <c16:uniqueId val="{00000000-1695-4951-A2B6-42827191810A}"/>
            </c:ext>
          </c:extLst>
        </c:ser>
        <c:ser>
          <c:idx val="1"/>
          <c:order val="1"/>
          <c:tx>
            <c:strRef>
              <c:f>'cv catch sample 2010'!$M$3</c:f>
              <c:strCache>
                <c:ptCount val="1"/>
                <c:pt idx="0">
                  <c:v>natural component</c:v>
                </c:pt>
              </c:strCache>
            </c:strRef>
          </c:tx>
          <c:spPr>
            <a:solidFill>
              <a:srgbClr val="FFCC99"/>
            </a:solidFill>
            <a:ln w="12700">
              <a:solidFill>
                <a:srgbClr val="000000"/>
              </a:solidFill>
              <a:prstDash val="solid"/>
            </a:ln>
          </c:spPr>
          <c:invertIfNegative val="0"/>
          <c:cat>
            <c:strRef>
              <c:f>'cv catch sample 2010'!$C$32:$C$38</c:f>
              <c:strCache>
                <c:ptCount val="7"/>
                <c:pt idx="0">
                  <c:v>Coleman Hatchery late fall</c:v>
                </c:pt>
                <c:pt idx="1">
                  <c:v>American River late fall count</c:v>
                </c:pt>
                <c:pt idx="2">
                  <c:v>Upper Sac late fall carcass</c:v>
                </c:pt>
                <c:pt idx="3">
                  <c:v>Butte Crk spring carcass</c:v>
                </c:pt>
                <c:pt idx="4">
                  <c:v>Mill Crk spring</c:v>
                </c:pt>
                <c:pt idx="5">
                  <c:v>Deek Crk spring</c:v>
                </c:pt>
                <c:pt idx="6">
                  <c:v>Feather R Hatchery spring</c:v>
                </c:pt>
              </c:strCache>
            </c:strRef>
          </c:cat>
          <c:val>
            <c:numRef>
              <c:f>'cv catch sample 2010'!$M$32:$M$38</c:f>
              <c:numCache>
                <c:formatCode>#,##0</c:formatCode>
                <c:ptCount val="7"/>
                <c:pt idx="0">
                  <c:v>26.87</c:v>
                </c:pt>
                <c:pt idx="1">
                  <c:v>123.39</c:v>
                </c:pt>
                <c:pt idx="2">
                  <c:v>4032.27</c:v>
                </c:pt>
                <c:pt idx="3">
                  <c:v>1949.86</c:v>
                </c:pt>
                <c:pt idx="4">
                  <c:v>480.97</c:v>
                </c:pt>
                <c:pt idx="5">
                  <c:v>262</c:v>
                </c:pt>
                <c:pt idx="6">
                  <c:v>299.99</c:v>
                </c:pt>
              </c:numCache>
            </c:numRef>
          </c:val>
          <c:extLst>
            <c:ext xmlns:c16="http://schemas.microsoft.com/office/drawing/2014/chart" uri="{C3380CC4-5D6E-409C-BE32-E72D297353CC}">
              <c16:uniqueId val="{00000001-1695-4951-A2B6-42827191810A}"/>
            </c:ext>
          </c:extLst>
        </c:ser>
        <c:dLbls>
          <c:showLegendKey val="0"/>
          <c:showVal val="0"/>
          <c:showCatName val="0"/>
          <c:showSerName val="0"/>
          <c:showPercent val="0"/>
          <c:showBubbleSize val="0"/>
        </c:dLbls>
        <c:gapWidth val="150"/>
        <c:overlap val="100"/>
        <c:axId val="681393752"/>
        <c:axId val="1"/>
      </c:barChart>
      <c:catAx>
        <c:axId val="68139375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max val="6000"/>
          <c:min val="0"/>
        </c:scaling>
        <c:delete val="0"/>
        <c:axPos val="l"/>
        <c:title>
          <c:tx>
            <c:rich>
              <a:bodyPr/>
              <a:lstStyle/>
              <a:p>
                <a:pPr>
                  <a:defRPr sz="900" b="1" i="0" u="none" strike="noStrike" baseline="0">
                    <a:solidFill>
                      <a:srgbClr val="000000"/>
                    </a:solidFill>
                    <a:latin typeface="Arial"/>
                    <a:ea typeface="Arial"/>
                    <a:cs typeface="Arial"/>
                  </a:defRPr>
                </a:pPr>
                <a:r>
                  <a:rPr lang="en-US"/>
                  <a:t>Chinook escapement (x1000)</a:t>
                </a:r>
              </a:p>
            </c:rich>
          </c:tx>
          <c:layout>
            <c:manualLayout>
              <c:xMode val="edge"/>
              <c:yMode val="edge"/>
              <c:x val="2.4154627356688049E-2"/>
              <c:y val="0.27941243348947203"/>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681393752"/>
        <c:crosses val="autoZero"/>
        <c:crossBetween val="between"/>
        <c:majorUnit val="1000"/>
        <c:dispUnits>
          <c:builtInUnit val="thousands"/>
        </c:dispUnits>
      </c:valAx>
      <c:spPr>
        <a:solidFill>
          <a:srgbClr val="FFFFFF"/>
        </a:solidFill>
        <a:ln w="12700">
          <a:solidFill>
            <a:srgbClr val="808080"/>
          </a:solidFill>
          <a:prstDash val="solid"/>
        </a:ln>
      </c:spPr>
    </c:plotArea>
    <c:legend>
      <c:legendPos val="r"/>
      <c:layout>
        <c:manualLayout>
          <c:xMode val="edge"/>
          <c:yMode val="edge"/>
          <c:x val="0.7487934480573295"/>
          <c:y val="0.18627495565964799"/>
          <c:w val="0.22222257168153003"/>
          <c:h val="0.1053924091232219"/>
        </c:manualLayout>
      </c:layout>
      <c:overlay val="0"/>
      <c:spPr>
        <a:solidFill>
          <a:srgbClr val="FFFFFF"/>
        </a:solidFill>
        <a:ln w="3175">
          <a:solidFill>
            <a:srgbClr val="000000"/>
          </a:solidFill>
          <a:prstDash val="solid"/>
        </a:ln>
      </c:spPr>
      <c:txPr>
        <a:bodyPr/>
        <a:lstStyle/>
        <a:p>
          <a:pPr>
            <a:defRPr sz="89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15</xdr:col>
      <xdr:colOff>276225</xdr:colOff>
      <xdr:row>2</xdr:row>
      <xdr:rowOff>85725</xdr:rowOff>
    </xdr:from>
    <xdr:to>
      <xdr:col>23</xdr:col>
      <xdr:colOff>628650</xdr:colOff>
      <xdr:row>23</xdr:row>
      <xdr:rowOff>38100</xdr:rowOff>
    </xdr:to>
    <xdr:graphicFrame macro="">
      <xdr:nvGraphicFramePr>
        <xdr:cNvPr id="2" name="Chart 1">
          <a:extLst>
            <a:ext uri="{FF2B5EF4-FFF2-40B4-BE49-F238E27FC236}">
              <a16:creationId xmlns:a16="http://schemas.microsoft.com/office/drawing/2014/main" id="{4CC0C156-FA55-4C5E-A56C-09E9544878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47625</xdr:colOff>
      <xdr:row>2</xdr:row>
      <xdr:rowOff>76200</xdr:rowOff>
    </xdr:from>
    <xdr:to>
      <xdr:col>33</xdr:col>
      <xdr:colOff>466725</xdr:colOff>
      <xdr:row>23</xdr:row>
      <xdr:rowOff>19050</xdr:rowOff>
    </xdr:to>
    <xdr:graphicFrame macro="">
      <xdr:nvGraphicFramePr>
        <xdr:cNvPr id="3" name="Chart 3">
          <a:extLst>
            <a:ext uri="{FF2B5EF4-FFF2-40B4-BE49-F238E27FC236}">
              <a16:creationId xmlns:a16="http://schemas.microsoft.com/office/drawing/2014/main" id="{B75EB9C5-A7B2-494E-8D83-AAA0AA244E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266700</xdr:colOff>
      <xdr:row>23</xdr:row>
      <xdr:rowOff>114300</xdr:rowOff>
    </xdr:from>
    <xdr:to>
      <xdr:col>23</xdr:col>
      <xdr:colOff>638175</xdr:colOff>
      <xdr:row>43</xdr:row>
      <xdr:rowOff>47625</xdr:rowOff>
    </xdr:to>
    <xdr:graphicFrame macro="">
      <xdr:nvGraphicFramePr>
        <xdr:cNvPr id="4" name="Chart 4">
          <a:extLst>
            <a:ext uri="{FF2B5EF4-FFF2-40B4-BE49-F238E27FC236}">
              <a16:creationId xmlns:a16="http://schemas.microsoft.com/office/drawing/2014/main" id="{0A6A609A-CE49-4031-A559-B287EE4F34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38100</xdr:colOff>
      <xdr:row>23</xdr:row>
      <xdr:rowOff>114300</xdr:rowOff>
    </xdr:from>
    <xdr:to>
      <xdr:col>33</xdr:col>
      <xdr:colOff>466725</xdr:colOff>
      <xdr:row>43</xdr:row>
      <xdr:rowOff>38100</xdr:rowOff>
    </xdr:to>
    <xdr:graphicFrame macro="">
      <xdr:nvGraphicFramePr>
        <xdr:cNvPr id="5" name="Chart 5">
          <a:extLst>
            <a:ext uri="{FF2B5EF4-FFF2-40B4-BE49-F238E27FC236}">
              <a16:creationId xmlns:a16="http://schemas.microsoft.com/office/drawing/2014/main" id="{53A73336-DCFB-44FD-B591-818D30DBA1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U:\OSPData\2011%20CV%20CWT%20inland%20report\Working%20Tables\Table%207%20and%208.%20CWT%20summary%20inland_ocean%202011%20120613.xlsx" TargetMode="External"/><Relationship Id="rId1" Type="http://schemas.openxmlformats.org/officeDocument/2006/relationships/externalLinkPath" Target="file:///U:\OSPData\2011%20CV%20CWT%20inland%20report\Working%20Tables\Table%207%20and%208.%20CWT%20summary%20inland_ocean%202011%20120613.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U:\OSPData\2010%20CV%20CWT%20inland%20report\Final%20Tables%20Graphs\Appendix%201%202010%20CV%20hatchery%20and%20natural%20escapement%20breakout%20by%20sample%20site%20and%20area%20082311.XLS" TargetMode="External"/><Relationship Id="rId1" Type="http://schemas.openxmlformats.org/officeDocument/2006/relationships/externalLinkPath" Target="file:///U:\OSPData\2010%20CV%20CWT%20inland%20report\Final%20Tables%20Graphs\Appendix%201%202010%20CV%20hatchery%20and%20natural%20escapement%20breakout%20by%20sample%20site%20and%20area%20082311.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U:\D-Drive\Alex%20C%20Drive\Reports\CV%20CWT%20inland%20reports\2011%20CV%20CWT%20inland%20report\prel%20tables%20graphs\Table%209.%20Inland_taf_hatchgrp_090413.xlsx" TargetMode="External"/><Relationship Id="rId1" Type="http://schemas.openxmlformats.org/officeDocument/2006/relationships/externalLinkPath" Target="file:///U:\D-Drive\Alex%20C%20Drive\Reports\CV%20CWT%20inland%20reports\2011%20CV%20CWT%20inland%20report\prel%20tables%20graphs\Table%209.%20Inland_taf_hatchgrp_090413.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U:\OSPData\2012%20CV%20CWT%20inland%20report\Working%20Tables\Table%207%20and%208.%20CWT%20summary%20inland_ocean%202012%20060715.xlsx" TargetMode="External"/><Relationship Id="rId1" Type="http://schemas.openxmlformats.org/officeDocument/2006/relationships/externalLinkPath" Target="file:///U:\OSPData\2012%20CV%20CWT%20inland%20report\Working%20Tables\Table%207%20and%208.%20CWT%20summary%20inland_ocean%202012%20060715.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U:\OSPData\2012%20CV%20CWT%20inland%20report\Working%20Tables\Table%209.%20Inland_taf_hatchgrp12_071515.xlsx" TargetMode="External"/><Relationship Id="rId1" Type="http://schemas.openxmlformats.org/officeDocument/2006/relationships/externalLinkPath" Target="file:///U:\OSPData\2012%20CV%20CWT%20inland%20report\Working%20Tables\Table%209.%20Inland_taf_hatchgrp12_071515.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U:\OSPData\CFM%20Report%202013\Working%20Tables\Table%209,%2011%20Inland_taf_hatchgrp13_112818.xlsx" TargetMode="External"/><Relationship Id="rId1" Type="http://schemas.openxmlformats.org/officeDocument/2006/relationships/externalLinkPath" Target="file:///U:\OSPData\CFM%20Report%202013\Working%20Tables\Table%209,%2011%20Inland_taf_hatchgrp13_112818.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U:\OSPData\CFM%20Report%202014\Working%20Tables\Table%209,%2011%20Inland_taf_hatchgrp14_031919.xlsx" TargetMode="External"/><Relationship Id="rId1" Type="http://schemas.openxmlformats.org/officeDocument/2006/relationships/externalLinkPath" Target="file:///U:\OSPData\CFM%20Report%202014\Working%20Tables\Table%209,%2011%20Inland_taf_hatchgrp14_031919.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U:\OSPData\CFM%20Report%202015\Working%20Tables\Table%209,%2011%20Inland_taf_hatchgrp%202015_121219.xlsx" TargetMode="External"/><Relationship Id="rId1" Type="http://schemas.openxmlformats.org/officeDocument/2006/relationships/externalLinkPath" Target="file:///U:\OSPData\CFM%20Report%202015\Working%20Tables\Table%209,%2011%20Inland_taf_hatchgrp%202015_121219.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U:\OSPData\CFM%20Report%202016\Working%20Tables\Table%209,%2011%20Inland_taf_hatchgrp%202016_090420.xlsx" TargetMode="External"/><Relationship Id="rId1" Type="http://schemas.openxmlformats.org/officeDocument/2006/relationships/externalLinkPath" Target="file:///U:\OSPData\CFM%20Report%202016\Working%20Tables\Table%209,%2011%20Inland_taf_hatchgrp%202016_090420.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U:\OSPData\CFM%20Report%202017\Working%20Tables\Table%209-10%20Inland_taf_hatchgrp%202017%20103020.xlsx" TargetMode="External"/><Relationship Id="rId1" Type="http://schemas.openxmlformats.org/officeDocument/2006/relationships/externalLinkPath" Target="file:///U:\OSPData\CFM%20Report%202017\Working%20Tables\Table%209-10%20Inland_taf_hatchgrp%202017%20103020.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U:\OSPData\CFM%20Report%202018\Working%20Tables\Table%209-10%20Inland_taf_hatchgrp%202018%20011121.xlsx" TargetMode="External"/><Relationship Id="rId1" Type="http://schemas.openxmlformats.org/officeDocument/2006/relationships/externalLinkPath" Target="file:///U:\OSPData\CFM%20Report%202018\Working%20Tables\Table%209-10%20Inland_taf_hatchgrp%202018%20011121.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U:\OSPData\CFM%20Report%202019\Working%20Tables\Table%209-10%20Inland_taf_hatchgrp%202019%20071321.xlsx" TargetMode="External"/><Relationship Id="rId1" Type="http://schemas.openxmlformats.org/officeDocument/2006/relationships/externalLinkPath" Target="file:///U:\OSPData\CFM%20Report%202019\Working%20Tables\Table%209-10%20Inland_taf_hatchgrp%202019%20071321.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file:///U:\OSPData\CFM%20Report%202020\Working%20Tables\Table%209-10%20Inland_taf_hatchgrp%20%202020%20230725%20DRAFT.xlsx" TargetMode="External"/><Relationship Id="rId1" Type="http://schemas.openxmlformats.org/officeDocument/2006/relationships/externalLinkPath" Target="file:///U:\OSPData\CFM%20Report%202020\Working%20Tables\Table%209-10%20Inland_taf_hatchgrp%20%202020%20230725%20DRAFT.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U:\OSPData\CFM%20Report%202021\Working%20Tables\Table%209-10%20Inland_taf_hatchgrp%202021_031725%20sw.xlsx" TargetMode="External"/><Relationship Id="rId1" Type="http://schemas.openxmlformats.org/officeDocument/2006/relationships/externalLinkPath" Target="file:///U:\OSPData\CFM%20Report%202021\Working%20Tables\Table%209-10%20Inland_taf_hatchgrp%202021_031725%20s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 7 Inland 2011 Tag Summary"/>
      <sheetName val="Table 8 Ocean 2011 Tag Summary"/>
      <sheetName val="raw inland"/>
      <sheetName val="raw ocean"/>
    </sheetNames>
    <sheetDataSet>
      <sheetData sheetId="0"/>
      <sheetData sheetId="1" refreshError="1"/>
      <sheetData sheetId="2">
        <row r="5">
          <cell r="L5">
            <v>3</v>
          </cell>
          <cell r="M5">
            <v>27506</v>
          </cell>
          <cell r="N5">
            <v>9053</v>
          </cell>
          <cell r="O5">
            <v>1381</v>
          </cell>
          <cell r="P5">
            <v>1</v>
          </cell>
        </row>
        <row r="7">
          <cell r="L7">
            <v>46.56</v>
          </cell>
          <cell r="P7">
            <v>4.29</v>
          </cell>
        </row>
        <row r="12">
          <cell r="M12">
            <v>1317</v>
          </cell>
          <cell r="N12">
            <v>2125</v>
          </cell>
          <cell r="O12">
            <v>540</v>
          </cell>
        </row>
        <row r="14">
          <cell r="M14">
            <v>1880.02</v>
          </cell>
          <cell r="N14">
            <v>4421.4799999999996</v>
          </cell>
          <cell r="O14">
            <v>1541.17</v>
          </cell>
        </row>
        <row r="19">
          <cell r="M19">
            <v>1</v>
          </cell>
          <cell r="N19">
            <v>1</v>
          </cell>
        </row>
        <row r="21">
          <cell r="M21">
            <v>2.08</v>
          </cell>
          <cell r="N21">
            <v>2.12</v>
          </cell>
        </row>
        <row r="26">
          <cell r="M26">
            <v>102</v>
          </cell>
          <cell r="N26">
            <v>1077</v>
          </cell>
          <cell r="O26">
            <v>2974</v>
          </cell>
          <cell r="P26">
            <v>511</v>
          </cell>
          <cell r="Q26">
            <v>4</v>
          </cell>
        </row>
        <row r="28">
          <cell r="M28">
            <v>374.58</v>
          </cell>
          <cell r="N28">
            <v>2273.0500000000002</v>
          </cell>
          <cell r="O28">
            <v>3941.37</v>
          </cell>
          <cell r="P28">
            <v>1104.1600000000001</v>
          </cell>
          <cell r="Q28">
            <v>4.46</v>
          </cell>
        </row>
      </sheetData>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v catch sample 2010"/>
      <sheetName val="raw data"/>
    </sheetNames>
    <sheetDataSet>
      <sheetData sheetId="0" refreshError="1"/>
      <sheetData sheetId="1" refreshError="1">
        <row r="3">
          <cell r="E3">
            <v>1661</v>
          </cell>
          <cell r="F3">
            <v>1661</v>
          </cell>
          <cell r="H3">
            <v>1279</v>
          </cell>
          <cell r="I3">
            <v>1234</v>
          </cell>
          <cell r="K3">
            <v>299.99</v>
          </cell>
        </row>
        <row r="4">
          <cell r="E4">
            <v>1979</v>
          </cell>
          <cell r="F4">
            <v>1113</v>
          </cell>
          <cell r="H4">
            <v>21</v>
          </cell>
          <cell r="I4">
            <v>16</v>
          </cell>
          <cell r="K4">
            <v>1949.86</v>
          </cell>
        </row>
        <row r="5">
          <cell r="E5">
            <v>482</v>
          </cell>
          <cell r="F5">
            <v>482</v>
          </cell>
          <cell r="H5">
            <v>1</v>
          </cell>
          <cell r="I5">
            <v>1</v>
          </cell>
          <cell r="K5">
            <v>480.97</v>
          </cell>
        </row>
        <row r="6">
          <cell r="E6">
            <v>248</v>
          </cell>
          <cell r="F6">
            <v>14</v>
          </cell>
          <cell r="H6">
            <v>7</v>
          </cell>
          <cell r="I6">
            <v>6</v>
          </cell>
          <cell r="K6">
            <v>-126.74</v>
          </cell>
        </row>
        <row r="7">
          <cell r="E7">
            <v>1194</v>
          </cell>
          <cell r="F7">
            <v>111</v>
          </cell>
          <cell r="H7">
            <v>26</v>
          </cell>
          <cell r="I7">
            <v>26</v>
          </cell>
          <cell r="K7">
            <v>326.05</v>
          </cell>
        </row>
        <row r="8">
          <cell r="E8">
            <v>2080</v>
          </cell>
          <cell r="F8">
            <v>187</v>
          </cell>
          <cell r="H8">
            <v>23</v>
          </cell>
          <cell r="I8">
            <v>21</v>
          </cell>
          <cell r="K8">
            <v>1309.8499999999999</v>
          </cell>
        </row>
        <row r="9">
          <cell r="E9">
            <v>2008</v>
          </cell>
          <cell r="F9">
            <v>126</v>
          </cell>
          <cell r="H9">
            <v>45</v>
          </cell>
          <cell r="I9">
            <v>44</v>
          </cell>
          <cell r="K9">
            <v>61.05</v>
          </cell>
        </row>
        <row r="10">
          <cell r="E10">
            <v>9095</v>
          </cell>
          <cell r="F10">
            <v>9095</v>
          </cell>
          <cell r="H10">
            <v>2060</v>
          </cell>
          <cell r="I10">
            <v>2025</v>
          </cell>
          <cell r="K10">
            <v>1915.66</v>
          </cell>
        </row>
        <row r="11">
          <cell r="E11">
            <v>17238</v>
          </cell>
          <cell r="F11">
            <v>17238</v>
          </cell>
          <cell r="H11">
            <v>4140</v>
          </cell>
          <cell r="I11">
            <v>4040</v>
          </cell>
          <cell r="K11">
            <v>1917.34</v>
          </cell>
        </row>
        <row r="12">
          <cell r="E12">
            <v>19972</v>
          </cell>
          <cell r="F12">
            <v>19972</v>
          </cell>
          <cell r="H12">
            <v>6373</v>
          </cell>
          <cell r="I12">
            <v>6049</v>
          </cell>
          <cell r="K12">
            <v>1069.81</v>
          </cell>
        </row>
        <row r="13">
          <cell r="E13">
            <v>146</v>
          </cell>
          <cell r="F13">
            <v>146</v>
          </cell>
          <cell r="H13">
            <v>83</v>
          </cell>
          <cell r="I13">
            <v>81</v>
          </cell>
          <cell r="K13">
            <v>31.1</v>
          </cell>
        </row>
        <row r="14">
          <cell r="E14">
            <v>5276</v>
          </cell>
          <cell r="F14">
            <v>5276</v>
          </cell>
          <cell r="H14">
            <v>2747</v>
          </cell>
          <cell r="I14">
            <v>2707</v>
          </cell>
          <cell r="K14">
            <v>540.08000000000004</v>
          </cell>
        </row>
        <row r="15">
          <cell r="E15">
            <v>7573</v>
          </cell>
          <cell r="F15">
            <v>1435</v>
          </cell>
          <cell r="H15">
            <v>142</v>
          </cell>
          <cell r="I15">
            <v>134</v>
          </cell>
          <cell r="K15">
            <v>5134.49</v>
          </cell>
        </row>
        <row r="16">
          <cell r="E16">
            <v>370</v>
          </cell>
          <cell r="F16">
            <v>83</v>
          </cell>
          <cell r="H16">
            <v>3</v>
          </cell>
          <cell r="I16">
            <v>3</v>
          </cell>
          <cell r="K16">
            <v>329.82</v>
          </cell>
        </row>
        <row r="17">
          <cell r="E17">
            <v>7192</v>
          </cell>
          <cell r="F17">
            <v>1496</v>
          </cell>
          <cell r="H17">
            <v>19</v>
          </cell>
          <cell r="I17">
            <v>19</v>
          </cell>
          <cell r="K17">
            <v>6890.77</v>
          </cell>
        </row>
        <row r="18">
          <cell r="E18">
            <v>166</v>
          </cell>
          <cell r="F18">
            <v>166</v>
          </cell>
          <cell r="H18">
            <v>2</v>
          </cell>
          <cell r="I18">
            <v>2</v>
          </cell>
          <cell r="K18">
            <v>160.88999999999999</v>
          </cell>
        </row>
        <row r="19">
          <cell r="E19">
            <v>44914</v>
          </cell>
          <cell r="F19">
            <v>5077</v>
          </cell>
          <cell r="I19">
            <v>1276</v>
          </cell>
          <cell r="K19">
            <v>9933.4</v>
          </cell>
        </row>
        <row r="20">
          <cell r="E20">
            <v>13097</v>
          </cell>
          <cell r="F20">
            <v>789</v>
          </cell>
          <cell r="H20">
            <v>341</v>
          </cell>
          <cell r="I20">
            <v>330</v>
          </cell>
          <cell r="K20">
            <v>3849.18</v>
          </cell>
        </row>
        <row r="21">
          <cell r="E21">
            <v>144</v>
          </cell>
          <cell r="F21">
            <v>144</v>
          </cell>
          <cell r="H21">
            <v>1</v>
          </cell>
          <cell r="I21">
            <v>1</v>
          </cell>
          <cell r="K21">
            <v>139.94999999999999</v>
          </cell>
        </row>
        <row r="22">
          <cell r="E22">
            <v>16372</v>
          </cell>
          <cell r="F22">
            <v>1415</v>
          </cell>
          <cell r="H22">
            <v>130</v>
          </cell>
          <cell r="I22">
            <v>117</v>
          </cell>
          <cell r="K22">
            <v>13145.61</v>
          </cell>
        </row>
        <row r="23">
          <cell r="E23">
            <v>651</v>
          </cell>
          <cell r="F23">
            <v>132</v>
          </cell>
          <cell r="H23">
            <v>49</v>
          </cell>
          <cell r="I23">
            <v>46</v>
          </cell>
          <cell r="K23">
            <v>144.07</v>
          </cell>
        </row>
        <row r="24">
          <cell r="E24">
            <v>1920</v>
          </cell>
          <cell r="F24">
            <v>1920</v>
          </cell>
          <cell r="H24">
            <v>820</v>
          </cell>
          <cell r="I24">
            <v>808</v>
          </cell>
          <cell r="K24">
            <v>510.95</v>
          </cell>
        </row>
        <row r="25">
          <cell r="E25">
            <v>1086</v>
          </cell>
          <cell r="F25">
            <v>155</v>
          </cell>
          <cell r="H25">
            <v>38</v>
          </cell>
          <cell r="I25">
            <v>36</v>
          </cell>
          <cell r="K25">
            <v>541.82000000000005</v>
          </cell>
        </row>
        <row r="26">
          <cell r="E26">
            <v>540</v>
          </cell>
          <cell r="F26">
            <v>85</v>
          </cell>
          <cell r="H26">
            <v>27</v>
          </cell>
          <cell r="I26">
            <v>24</v>
          </cell>
          <cell r="K26">
            <v>275.74</v>
          </cell>
        </row>
        <row r="27">
          <cell r="E27">
            <v>7115</v>
          </cell>
          <cell r="F27">
            <v>7115</v>
          </cell>
          <cell r="H27">
            <v>999</v>
          </cell>
          <cell r="I27">
            <v>948</v>
          </cell>
          <cell r="K27">
            <v>4430.51</v>
          </cell>
        </row>
        <row r="28">
          <cell r="E28">
            <v>244</v>
          </cell>
          <cell r="F28">
            <v>244</v>
          </cell>
          <cell r="H28">
            <v>119</v>
          </cell>
          <cell r="I28">
            <v>115</v>
          </cell>
          <cell r="K28">
            <v>63.48</v>
          </cell>
        </row>
        <row r="29">
          <cell r="E29">
            <v>1117</v>
          </cell>
          <cell r="F29">
            <v>144</v>
          </cell>
          <cell r="H29">
            <v>87</v>
          </cell>
          <cell r="I29">
            <v>86</v>
          </cell>
          <cell r="K29">
            <v>396.78</v>
          </cell>
        </row>
        <row r="30">
          <cell r="E30">
            <v>5505</v>
          </cell>
          <cell r="F30">
            <v>5505</v>
          </cell>
          <cell r="H30">
            <v>5391</v>
          </cell>
          <cell r="I30">
            <v>5258</v>
          </cell>
          <cell r="K30">
            <v>26.87</v>
          </cell>
        </row>
        <row r="31">
          <cell r="E31">
            <v>162</v>
          </cell>
          <cell r="F31">
            <v>162</v>
          </cell>
          <cell r="H31">
            <v>37</v>
          </cell>
          <cell r="I31">
            <v>37</v>
          </cell>
          <cell r="K31">
            <v>123.39</v>
          </cell>
        </row>
        <row r="32">
          <cell r="E32">
            <v>4282</v>
          </cell>
          <cell r="F32">
            <v>811</v>
          </cell>
          <cell r="H32">
            <v>47</v>
          </cell>
          <cell r="I32">
            <v>43</v>
          </cell>
          <cell r="K32">
            <v>4032.27</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atchery proportion only"/>
      <sheetName val="tot proportion "/>
      <sheetName val="actual CWTs exp"/>
      <sheetName val="inland_taf_hatchgrp_table11_raw"/>
    </sheetNames>
    <sheetDataSet>
      <sheetData sheetId="0" refreshError="1"/>
      <sheetData sheetId="1" refreshError="1"/>
      <sheetData sheetId="2" refreshError="1">
        <row r="4">
          <cell r="E4">
            <v>4463</v>
          </cell>
          <cell r="F4">
            <v>1</v>
          </cell>
          <cell r="G4">
            <v>92</v>
          </cell>
          <cell r="H4">
            <v>4</v>
          </cell>
          <cell r="I4">
            <v>0</v>
          </cell>
          <cell r="J4">
            <v>0</v>
          </cell>
          <cell r="K4">
            <v>0</v>
          </cell>
          <cell r="L4">
            <v>0</v>
          </cell>
          <cell r="M4">
            <v>0</v>
          </cell>
          <cell r="N4">
            <v>0</v>
          </cell>
          <cell r="O4">
            <v>0</v>
          </cell>
          <cell r="P4">
            <v>0</v>
          </cell>
          <cell r="Q4">
            <v>0</v>
          </cell>
          <cell r="R4">
            <v>0</v>
          </cell>
          <cell r="S4">
            <v>0</v>
          </cell>
          <cell r="T4">
            <v>1</v>
          </cell>
          <cell r="U4">
            <v>0</v>
          </cell>
          <cell r="V4">
            <v>0</v>
          </cell>
          <cell r="W4">
            <v>2</v>
          </cell>
          <cell r="X4">
            <v>0</v>
          </cell>
          <cell r="Y4">
            <v>0</v>
          </cell>
          <cell r="Z4">
            <v>0</v>
          </cell>
          <cell r="AC4">
            <v>4534</v>
          </cell>
        </row>
        <row r="5">
          <cell r="E5">
            <v>0</v>
          </cell>
          <cell r="F5">
            <v>0</v>
          </cell>
          <cell r="G5">
            <v>0</v>
          </cell>
          <cell r="H5">
            <v>0</v>
          </cell>
          <cell r="I5">
            <v>0</v>
          </cell>
          <cell r="J5">
            <v>477</v>
          </cell>
          <cell r="K5">
            <v>581</v>
          </cell>
          <cell r="L5">
            <v>127</v>
          </cell>
          <cell r="M5">
            <v>652</v>
          </cell>
          <cell r="N5">
            <v>0</v>
          </cell>
          <cell r="O5">
            <v>0</v>
          </cell>
          <cell r="P5">
            <v>3</v>
          </cell>
          <cell r="Q5">
            <v>0</v>
          </cell>
          <cell r="R5">
            <v>0</v>
          </cell>
          <cell r="S5">
            <v>0</v>
          </cell>
          <cell r="T5">
            <v>0</v>
          </cell>
          <cell r="U5">
            <v>0</v>
          </cell>
          <cell r="V5">
            <v>4</v>
          </cell>
          <cell r="W5">
            <v>0</v>
          </cell>
          <cell r="X5">
            <v>0</v>
          </cell>
          <cell r="Y5">
            <v>0</v>
          </cell>
          <cell r="Z5">
            <v>0</v>
          </cell>
          <cell r="AC5">
            <v>1969</v>
          </cell>
        </row>
        <row r="6">
          <cell r="E6">
            <v>275</v>
          </cell>
          <cell r="F6">
            <v>0</v>
          </cell>
          <cell r="G6">
            <v>36775</v>
          </cell>
          <cell r="H6">
            <v>221</v>
          </cell>
          <cell r="I6">
            <v>12</v>
          </cell>
          <cell r="J6">
            <v>0</v>
          </cell>
          <cell r="K6">
            <v>0</v>
          </cell>
          <cell r="L6">
            <v>2</v>
          </cell>
          <cell r="M6">
            <v>261</v>
          </cell>
          <cell r="N6">
            <v>0</v>
          </cell>
          <cell r="O6">
            <v>0</v>
          </cell>
          <cell r="P6">
            <v>4</v>
          </cell>
          <cell r="Q6">
            <v>0</v>
          </cell>
          <cell r="R6">
            <v>0</v>
          </cell>
          <cell r="S6">
            <v>0</v>
          </cell>
          <cell r="T6">
            <v>0</v>
          </cell>
          <cell r="U6">
            <v>0</v>
          </cell>
          <cell r="V6">
            <v>10</v>
          </cell>
          <cell r="W6">
            <v>0</v>
          </cell>
          <cell r="X6">
            <v>0</v>
          </cell>
          <cell r="Y6">
            <v>2</v>
          </cell>
          <cell r="Z6">
            <v>0</v>
          </cell>
          <cell r="AC6">
            <v>42380</v>
          </cell>
        </row>
        <row r="7">
          <cell r="E7">
            <v>0</v>
          </cell>
          <cell r="F7">
            <v>0</v>
          </cell>
          <cell r="G7">
            <v>4</v>
          </cell>
          <cell r="H7">
            <v>835</v>
          </cell>
          <cell r="I7">
            <v>1</v>
          </cell>
          <cell r="J7">
            <v>1066</v>
          </cell>
          <cell r="K7">
            <v>1306</v>
          </cell>
          <cell r="L7">
            <v>528</v>
          </cell>
          <cell r="M7">
            <v>27263</v>
          </cell>
          <cell r="N7">
            <v>41</v>
          </cell>
          <cell r="O7">
            <v>3</v>
          </cell>
          <cell r="P7">
            <v>116</v>
          </cell>
          <cell r="Q7">
            <v>8</v>
          </cell>
          <cell r="R7">
            <v>24</v>
          </cell>
          <cell r="S7">
            <v>24</v>
          </cell>
          <cell r="T7">
            <v>0</v>
          </cell>
          <cell r="U7">
            <v>0</v>
          </cell>
          <cell r="V7">
            <v>27</v>
          </cell>
          <cell r="W7">
            <v>1</v>
          </cell>
          <cell r="X7">
            <v>0</v>
          </cell>
          <cell r="Y7">
            <v>11</v>
          </cell>
          <cell r="Z7">
            <v>0</v>
          </cell>
          <cell r="AC7">
            <v>32616</v>
          </cell>
        </row>
        <row r="8">
          <cell r="E8">
            <v>0</v>
          </cell>
          <cell r="F8">
            <v>0</v>
          </cell>
          <cell r="G8">
            <v>0</v>
          </cell>
          <cell r="H8">
            <v>250</v>
          </cell>
          <cell r="I8">
            <v>0</v>
          </cell>
          <cell r="J8">
            <v>0</v>
          </cell>
          <cell r="K8">
            <v>0</v>
          </cell>
          <cell r="L8">
            <v>1</v>
          </cell>
          <cell r="M8">
            <v>264</v>
          </cell>
          <cell r="N8">
            <v>1</v>
          </cell>
          <cell r="O8">
            <v>6</v>
          </cell>
          <cell r="P8">
            <v>1</v>
          </cell>
          <cell r="Q8">
            <v>0</v>
          </cell>
          <cell r="R8">
            <v>3286</v>
          </cell>
          <cell r="S8">
            <v>4746</v>
          </cell>
          <cell r="T8">
            <v>15</v>
          </cell>
          <cell r="U8">
            <v>0</v>
          </cell>
          <cell r="V8">
            <v>798</v>
          </cell>
          <cell r="W8">
            <v>72</v>
          </cell>
          <cell r="X8">
            <v>0</v>
          </cell>
          <cell r="Y8">
            <v>318</v>
          </cell>
          <cell r="Z8">
            <v>0</v>
          </cell>
          <cell r="AC8">
            <v>12680</v>
          </cell>
        </row>
        <row r="9">
          <cell r="E9">
            <v>0</v>
          </cell>
          <cell r="F9">
            <v>0</v>
          </cell>
          <cell r="G9">
            <v>0</v>
          </cell>
          <cell r="H9">
            <v>129</v>
          </cell>
          <cell r="I9">
            <v>0</v>
          </cell>
          <cell r="J9">
            <v>0</v>
          </cell>
          <cell r="K9">
            <v>7</v>
          </cell>
          <cell r="L9">
            <v>3</v>
          </cell>
          <cell r="M9">
            <v>133</v>
          </cell>
          <cell r="N9">
            <v>0</v>
          </cell>
          <cell r="O9">
            <v>0</v>
          </cell>
          <cell r="P9">
            <v>11</v>
          </cell>
          <cell r="Q9">
            <v>0</v>
          </cell>
          <cell r="R9">
            <v>443</v>
          </cell>
          <cell r="S9">
            <v>194</v>
          </cell>
          <cell r="T9">
            <v>0</v>
          </cell>
          <cell r="U9">
            <v>0</v>
          </cell>
          <cell r="V9">
            <v>53</v>
          </cell>
          <cell r="W9">
            <v>5</v>
          </cell>
          <cell r="X9">
            <v>0</v>
          </cell>
          <cell r="Y9">
            <v>29</v>
          </cell>
          <cell r="Z9">
            <v>0</v>
          </cell>
          <cell r="AC9">
            <v>3917</v>
          </cell>
        </row>
        <row r="10">
          <cell r="E10">
            <v>1</v>
          </cell>
          <cell r="F10">
            <v>0</v>
          </cell>
          <cell r="G10">
            <v>4</v>
          </cell>
          <cell r="H10">
            <v>401</v>
          </cell>
          <cell r="I10">
            <v>0</v>
          </cell>
          <cell r="J10">
            <v>1</v>
          </cell>
          <cell r="K10">
            <v>13</v>
          </cell>
          <cell r="L10">
            <v>7</v>
          </cell>
          <cell r="M10">
            <v>319</v>
          </cell>
          <cell r="N10">
            <v>2</v>
          </cell>
          <cell r="O10">
            <v>0</v>
          </cell>
          <cell r="P10">
            <v>12</v>
          </cell>
          <cell r="Q10">
            <v>0</v>
          </cell>
          <cell r="R10">
            <v>20</v>
          </cell>
          <cell r="S10">
            <v>554</v>
          </cell>
          <cell r="T10">
            <v>26</v>
          </cell>
          <cell r="U10">
            <v>195</v>
          </cell>
          <cell r="V10">
            <v>12303</v>
          </cell>
          <cell r="W10">
            <v>1135</v>
          </cell>
          <cell r="X10">
            <v>2</v>
          </cell>
          <cell r="Y10">
            <v>575</v>
          </cell>
          <cell r="Z10">
            <v>0</v>
          </cell>
          <cell r="AC10">
            <v>15922</v>
          </cell>
        </row>
        <row r="11">
          <cell r="E11">
            <v>1</v>
          </cell>
          <cell r="F11">
            <v>0</v>
          </cell>
          <cell r="G11">
            <v>0</v>
          </cell>
          <cell r="H11">
            <v>16</v>
          </cell>
          <cell r="I11">
            <v>0</v>
          </cell>
          <cell r="J11">
            <v>0</v>
          </cell>
          <cell r="K11">
            <v>0</v>
          </cell>
          <cell r="L11">
            <v>0</v>
          </cell>
          <cell r="M11">
            <v>28</v>
          </cell>
          <cell r="N11">
            <v>0</v>
          </cell>
          <cell r="O11">
            <v>0</v>
          </cell>
          <cell r="P11">
            <v>1</v>
          </cell>
          <cell r="Q11">
            <v>0</v>
          </cell>
          <cell r="R11">
            <v>0</v>
          </cell>
          <cell r="S11">
            <v>4</v>
          </cell>
          <cell r="T11">
            <v>0</v>
          </cell>
          <cell r="U11">
            <v>0</v>
          </cell>
          <cell r="V11">
            <v>173</v>
          </cell>
          <cell r="W11">
            <v>17</v>
          </cell>
          <cell r="X11">
            <v>0</v>
          </cell>
          <cell r="Y11">
            <v>144</v>
          </cell>
          <cell r="Z11">
            <v>0</v>
          </cell>
          <cell r="AC11">
            <v>437</v>
          </cell>
        </row>
        <row r="12">
          <cell r="E12">
            <v>277</v>
          </cell>
          <cell r="F12">
            <v>0</v>
          </cell>
          <cell r="G12">
            <v>36783</v>
          </cell>
          <cell r="H12">
            <v>1852</v>
          </cell>
          <cell r="I12">
            <v>13</v>
          </cell>
          <cell r="J12">
            <v>1067</v>
          </cell>
          <cell r="K12">
            <v>1326</v>
          </cell>
          <cell r="L12">
            <v>541</v>
          </cell>
          <cell r="M12">
            <v>28268</v>
          </cell>
          <cell r="N12">
            <v>44</v>
          </cell>
          <cell r="O12">
            <v>9</v>
          </cell>
          <cell r="P12">
            <v>145</v>
          </cell>
          <cell r="Q12">
            <v>8</v>
          </cell>
          <cell r="R12">
            <v>3773</v>
          </cell>
          <cell r="S12">
            <v>5522</v>
          </cell>
          <cell r="T12">
            <v>41</v>
          </cell>
          <cell r="U12">
            <v>195</v>
          </cell>
          <cell r="V12">
            <v>13364</v>
          </cell>
          <cell r="W12">
            <v>1230</v>
          </cell>
          <cell r="X12">
            <v>2</v>
          </cell>
          <cell r="Y12">
            <v>1079</v>
          </cell>
          <cell r="Z12">
            <v>0</v>
          </cell>
          <cell r="AA12">
            <v>95546</v>
          </cell>
          <cell r="AB12">
            <v>12406</v>
          </cell>
          <cell r="AC12">
            <v>107952</v>
          </cell>
        </row>
        <row r="14">
          <cell r="E14">
            <v>1384</v>
          </cell>
          <cell r="F14">
            <v>148</v>
          </cell>
          <cell r="G14">
            <v>0</v>
          </cell>
          <cell r="H14">
            <v>0</v>
          </cell>
          <cell r="I14">
            <v>0</v>
          </cell>
          <cell r="J14">
            <v>0</v>
          </cell>
          <cell r="K14">
            <v>0</v>
          </cell>
          <cell r="L14">
            <v>0</v>
          </cell>
          <cell r="M14">
            <v>0</v>
          </cell>
          <cell r="N14">
            <v>0</v>
          </cell>
          <cell r="O14">
            <v>0</v>
          </cell>
          <cell r="P14">
            <v>0</v>
          </cell>
          <cell r="Q14">
            <v>0</v>
          </cell>
          <cell r="R14">
            <v>0</v>
          </cell>
          <cell r="S14">
            <v>81</v>
          </cell>
          <cell r="T14">
            <v>40</v>
          </cell>
          <cell r="U14">
            <v>0</v>
          </cell>
          <cell r="V14">
            <v>0</v>
          </cell>
          <cell r="W14">
            <v>0</v>
          </cell>
          <cell r="X14">
            <v>0</v>
          </cell>
          <cell r="Y14">
            <v>0</v>
          </cell>
          <cell r="Z14">
            <v>0</v>
          </cell>
          <cell r="AC14">
            <v>3725</v>
          </cell>
        </row>
        <row r="15">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C15">
            <v>4497</v>
          </cell>
        </row>
        <row r="16">
          <cell r="E16">
            <v>0</v>
          </cell>
          <cell r="F16">
            <v>0</v>
          </cell>
          <cell r="G16">
            <v>112</v>
          </cell>
          <cell r="H16">
            <v>0</v>
          </cell>
          <cell r="I16">
            <v>4</v>
          </cell>
          <cell r="J16">
            <v>0</v>
          </cell>
          <cell r="K16">
            <v>22</v>
          </cell>
          <cell r="L16">
            <v>4</v>
          </cell>
          <cell r="M16">
            <v>240</v>
          </cell>
          <cell r="N16">
            <v>0</v>
          </cell>
          <cell r="O16">
            <v>0</v>
          </cell>
          <cell r="P16">
            <v>11</v>
          </cell>
          <cell r="Q16">
            <v>0</v>
          </cell>
          <cell r="R16">
            <v>0</v>
          </cell>
          <cell r="S16">
            <v>0</v>
          </cell>
          <cell r="T16">
            <v>0</v>
          </cell>
          <cell r="U16">
            <v>0</v>
          </cell>
          <cell r="V16">
            <v>0</v>
          </cell>
          <cell r="W16">
            <v>0</v>
          </cell>
          <cell r="X16">
            <v>0</v>
          </cell>
          <cell r="Y16">
            <v>0</v>
          </cell>
          <cell r="Z16">
            <v>0</v>
          </cell>
          <cell r="AC16">
            <v>4841</v>
          </cell>
        </row>
        <row r="17">
          <cell r="E17">
            <v>0</v>
          </cell>
          <cell r="F17">
            <v>0</v>
          </cell>
          <cell r="G17">
            <v>152</v>
          </cell>
          <cell r="H17">
            <v>24</v>
          </cell>
          <cell r="I17">
            <v>0</v>
          </cell>
          <cell r="J17">
            <v>0</v>
          </cell>
          <cell r="K17">
            <v>0</v>
          </cell>
          <cell r="L17">
            <v>0</v>
          </cell>
          <cell r="M17">
            <v>29</v>
          </cell>
          <cell r="N17">
            <v>1</v>
          </cell>
          <cell r="O17">
            <v>0</v>
          </cell>
          <cell r="P17">
            <v>1</v>
          </cell>
          <cell r="Q17">
            <v>0</v>
          </cell>
          <cell r="R17">
            <v>0</v>
          </cell>
          <cell r="S17">
            <v>0</v>
          </cell>
          <cell r="T17">
            <v>0</v>
          </cell>
          <cell r="U17">
            <v>0</v>
          </cell>
          <cell r="V17">
            <v>0</v>
          </cell>
          <cell r="W17">
            <v>0</v>
          </cell>
          <cell r="X17">
            <v>0</v>
          </cell>
          <cell r="Y17">
            <v>0</v>
          </cell>
          <cell r="Z17">
            <v>0</v>
          </cell>
          <cell r="AC17">
            <v>2144</v>
          </cell>
        </row>
        <row r="18">
          <cell r="E18">
            <v>0</v>
          </cell>
          <cell r="F18">
            <v>0</v>
          </cell>
          <cell r="G18">
            <v>92</v>
          </cell>
          <cell r="H18">
            <v>12</v>
          </cell>
          <cell r="I18">
            <v>0</v>
          </cell>
          <cell r="J18">
            <v>0</v>
          </cell>
          <cell r="K18">
            <v>0</v>
          </cell>
          <cell r="L18">
            <v>0</v>
          </cell>
          <cell r="M18">
            <v>4</v>
          </cell>
          <cell r="N18">
            <v>0</v>
          </cell>
          <cell r="O18">
            <v>0</v>
          </cell>
          <cell r="P18">
            <v>1</v>
          </cell>
          <cell r="Q18">
            <v>0</v>
          </cell>
          <cell r="R18">
            <v>0</v>
          </cell>
          <cell r="S18">
            <v>0</v>
          </cell>
          <cell r="T18">
            <v>0</v>
          </cell>
          <cell r="U18">
            <v>0</v>
          </cell>
          <cell r="V18">
            <v>0</v>
          </cell>
          <cell r="W18">
            <v>0</v>
          </cell>
          <cell r="X18">
            <v>0</v>
          </cell>
          <cell r="Y18">
            <v>0</v>
          </cell>
          <cell r="Z18">
            <v>0</v>
          </cell>
          <cell r="AC18">
            <v>1485</v>
          </cell>
        </row>
        <row r="19">
          <cell r="E19">
            <v>83.492803209060881</v>
          </cell>
          <cell r="F19">
            <v>0</v>
          </cell>
          <cell r="G19">
            <v>11165.264865502595</v>
          </cell>
          <cell r="H19">
            <v>67.097852760736203</v>
          </cell>
          <cell r="I19">
            <v>3.6433223218499289</v>
          </cell>
          <cell r="J19">
            <v>0</v>
          </cell>
          <cell r="K19">
            <v>0</v>
          </cell>
          <cell r="L19">
            <v>0.60722038697498826</v>
          </cell>
          <cell r="M19">
            <v>79.242260500235957</v>
          </cell>
          <cell r="N19">
            <v>0</v>
          </cell>
          <cell r="O19">
            <v>0</v>
          </cell>
          <cell r="P19">
            <v>1.2144407739499765</v>
          </cell>
          <cell r="Q19">
            <v>0</v>
          </cell>
          <cell r="R19">
            <v>0</v>
          </cell>
          <cell r="S19">
            <v>0</v>
          </cell>
          <cell r="T19">
            <v>0</v>
          </cell>
          <cell r="U19">
            <v>0</v>
          </cell>
          <cell r="V19">
            <v>3.036101934874941</v>
          </cell>
          <cell r="W19">
            <v>0</v>
          </cell>
          <cell r="X19">
            <v>0</v>
          </cell>
          <cell r="Y19">
            <v>0.60722038697498826</v>
          </cell>
          <cell r="Z19">
            <v>0</v>
          </cell>
          <cell r="AC19">
            <v>12867</v>
          </cell>
        </row>
        <row r="20">
          <cell r="E20">
            <v>0</v>
          </cell>
          <cell r="F20">
            <v>0</v>
          </cell>
          <cell r="G20">
            <v>0</v>
          </cell>
          <cell r="H20">
            <v>17</v>
          </cell>
          <cell r="I20">
            <v>0</v>
          </cell>
          <cell r="J20">
            <v>0</v>
          </cell>
          <cell r="K20">
            <v>0</v>
          </cell>
          <cell r="L20">
            <v>0</v>
          </cell>
          <cell r="M20">
            <v>9</v>
          </cell>
          <cell r="N20">
            <v>0</v>
          </cell>
          <cell r="O20">
            <v>0</v>
          </cell>
          <cell r="P20">
            <v>0</v>
          </cell>
          <cell r="Q20">
            <v>0</v>
          </cell>
          <cell r="R20">
            <v>0</v>
          </cell>
          <cell r="S20">
            <v>0</v>
          </cell>
          <cell r="T20">
            <v>0</v>
          </cell>
          <cell r="U20">
            <v>0</v>
          </cell>
          <cell r="V20">
            <v>2</v>
          </cell>
          <cell r="W20">
            <v>0</v>
          </cell>
          <cell r="X20">
            <v>0</v>
          </cell>
          <cell r="Y20">
            <v>0</v>
          </cell>
          <cell r="Z20">
            <v>0</v>
          </cell>
          <cell r="AC20">
            <v>419</v>
          </cell>
        </row>
        <row r="21">
          <cell r="E21">
            <v>0</v>
          </cell>
          <cell r="F21">
            <v>0</v>
          </cell>
          <cell r="G21">
            <v>1311</v>
          </cell>
          <cell r="H21">
            <v>131</v>
          </cell>
          <cell r="I21">
            <v>25</v>
          </cell>
          <cell r="J21">
            <v>0</v>
          </cell>
          <cell r="K21">
            <v>37</v>
          </cell>
          <cell r="L21">
            <v>38</v>
          </cell>
          <cell r="M21">
            <v>1233</v>
          </cell>
          <cell r="N21">
            <v>0</v>
          </cell>
          <cell r="O21">
            <v>0</v>
          </cell>
          <cell r="P21">
            <v>0</v>
          </cell>
          <cell r="Q21">
            <v>0</v>
          </cell>
          <cell r="R21">
            <v>0</v>
          </cell>
          <cell r="S21">
            <v>0</v>
          </cell>
          <cell r="T21">
            <v>12</v>
          </cell>
          <cell r="U21">
            <v>0</v>
          </cell>
          <cell r="V21">
            <v>48</v>
          </cell>
          <cell r="W21">
            <v>0</v>
          </cell>
          <cell r="X21">
            <v>0</v>
          </cell>
          <cell r="Y21">
            <v>13</v>
          </cell>
          <cell r="Z21">
            <v>0</v>
          </cell>
          <cell r="AC21">
            <v>10583</v>
          </cell>
        </row>
        <row r="22">
          <cell r="E22">
            <v>0</v>
          </cell>
          <cell r="F22">
            <v>0</v>
          </cell>
          <cell r="G22">
            <v>0</v>
          </cell>
          <cell r="H22">
            <v>1487</v>
          </cell>
          <cell r="I22">
            <v>0</v>
          </cell>
          <cell r="J22">
            <v>1968</v>
          </cell>
          <cell r="K22">
            <v>2010</v>
          </cell>
          <cell r="L22">
            <v>860</v>
          </cell>
          <cell r="M22">
            <v>35848</v>
          </cell>
          <cell r="N22">
            <v>20</v>
          </cell>
          <cell r="O22">
            <v>10</v>
          </cell>
          <cell r="P22">
            <v>126</v>
          </cell>
          <cell r="Q22">
            <v>0</v>
          </cell>
          <cell r="R22">
            <v>0</v>
          </cell>
          <cell r="S22">
            <v>38</v>
          </cell>
          <cell r="T22">
            <v>9</v>
          </cell>
          <cell r="U22">
            <v>0</v>
          </cell>
          <cell r="V22">
            <v>10</v>
          </cell>
          <cell r="W22">
            <v>0</v>
          </cell>
          <cell r="X22">
            <v>0</v>
          </cell>
          <cell r="Y22">
            <v>20</v>
          </cell>
          <cell r="Z22">
            <v>0</v>
          </cell>
          <cell r="AC22">
            <v>47289</v>
          </cell>
        </row>
        <row r="23">
          <cell r="E23">
            <v>0</v>
          </cell>
          <cell r="F23">
            <v>0</v>
          </cell>
          <cell r="G23">
            <v>0</v>
          </cell>
          <cell r="H23">
            <v>685</v>
          </cell>
          <cell r="I23">
            <v>0</v>
          </cell>
          <cell r="J23">
            <v>33</v>
          </cell>
          <cell r="K23">
            <v>133</v>
          </cell>
          <cell r="L23">
            <v>101</v>
          </cell>
          <cell r="M23">
            <v>3734</v>
          </cell>
          <cell r="N23">
            <v>0</v>
          </cell>
          <cell r="O23">
            <v>0</v>
          </cell>
          <cell r="P23">
            <v>116</v>
          </cell>
          <cell r="Q23">
            <v>0</v>
          </cell>
          <cell r="R23">
            <v>65</v>
          </cell>
          <cell r="S23">
            <v>0</v>
          </cell>
          <cell r="T23">
            <v>0</v>
          </cell>
          <cell r="U23">
            <v>0</v>
          </cell>
          <cell r="V23">
            <v>97</v>
          </cell>
          <cell r="W23">
            <v>0</v>
          </cell>
          <cell r="X23">
            <v>0</v>
          </cell>
          <cell r="Y23">
            <v>18</v>
          </cell>
          <cell r="Z23">
            <v>0</v>
          </cell>
          <cell r="AC23">
            <v>7723</v>
          </cell>
        </row>
        <row r="24">
          <cell r="E24">
            <v>0</v>
          </cell>
          <cell r="F24">
            <v>0</v>
          </cell>
          <cell r="G24">
            <v>0</v>
          </cell>
          <cell r="H24">
            <v>81</v>
          </cell>
          <cell r="I24">
            <v>0</v>
          </cell>
          <cell r="J24">
            <v>7</v>
          </cell>
          <cell r="K24">
            <v>14</v>
          </cell>
          <cell r="L24">
            <v>7</v>
          </cell>
          <cell r="M24">
            <v>243</v>
          </cell>
          <cell r="N24">
            <v>0</v>
          </cell>
          <cell r="O24">
            <v>0</v>
          </cell>
          <cell r="P24">
            <v>7</v>
          </cell>
          <cell r="Q24">
            <v>0</v>
          </cell>
          <cell r="R24">
            <v>54</v>
          </cell>
          <cell r="S24">
            <v>27</v>
          </cell>
          <cell r="T24">
            <v>0</v>
          </cell>
          <cell r="U24">
            <v>0</v>
          </cell>
          <cell r="V24">
            <v>27</v>
          </cell>
          <cell r="W24">
            <v>7</v>
          </cell>
          <cell r="X24">
            <v>0</v>
          </cell>
          <cell r="Y24">
            <v>0</v>
          </cell>
          <cell r="Z24">
            <v>0</v>
          </cell>
          <cell r="AC24">
            <v>1398</v>
          </cell>
        </row>
        <row r="25">
          <cell r="E25">
            <v>0</v>
          </cell>
          <cell r="F25">
            <v>0</v>
          </cell>
          <cell r="G25">
            <v>0</v>
          </cell>
          <cell r="H25">
            <v>2448</v>
          </cell>
          <cell r="I25">
            <v>0</v>
          </cell>
          <cell r="J25">
            <v>0</v>
          </cell>
          <cell r="K25">
            <v>0</v>
          </cell>
          <cell r="L25">
            <v>10</v>
          </cell>
          <cell r="M25">
            <v>974</v>
          </cell>
          <cell r="N25">
            <v>0</v>
          </cell>
          <cell r="O25">
            <v>19</v>
          </cell>
          <cell r="P25">
            <v>0</v>
          </cell>
          <cell r="Q25">
            <v>0</v>
          </cell>
          <cell r="R25">
            <v>3630</v>
          </cell>
          <cell r="S25">
            <v>6528</v>
          </cell>
          <cell r="T25">
            <v>18</v>
          </cell>
          <cell r="U25">
            <v>0</v>
          </cell>
          <cell r="V25">
            <v>340</v>
          </cell>
          <cell r="W25">
            <v>83</v>
          </cell>
          <cell r="X25">
            <v>0</v>
          </cell>
          <cell r="Y25">
            <v>97</v>
          </cell>
          <cell r="Z25">
            <v>23</v>
          </cell>
          <cell r="AC25">
            <v>21320</v>
          </cell>
        </row>
        <row r="26">
          <cell r="E26">
            <v>0</v>
          </cell>
          <cell r="F26">
            <v>0</v>
          </cell>
          <cell r="G26">
            <v>0</v>
          </cell>
          <cell r="H26">
            <v>68</v>
          </cell>
          <cell r="I26">
            <v>0</v>
          </cell>
          <cell r="J26">
            <v>0</v>
          </cell>
          <cell r="K26">
            <v>2</v>
          </cell>
          <cell r="L26">
            <v>1</v>
          </cell>
          <cell r="M26">
            <v>53</v>
          </cell>
          <cell r="N26">
            <v>0</v>
          </cell>
          <cell r="O26">
            <v>0</v>
          </cell>
          <cell r="P26">
            <v>2</v>
          </cell>
          <cell r="Q26">
            <v>0</v>
          </cell>
          <cell r="R26">
            <v>3</v>
          </cell>
          <cell r="S26">
            <v>83</v>
          </cell>
          <cell r="T26">
            <v>4</v>
          </cell>
          <cell r="U26">
            <v>29</v>
          </cell>
          <cell r="V26">
            <v>1840</v>
          </cell>
          <cell r="W26">
            <v>170</v>
          </cell>
          <cell r="X26">
            <v>0</v>
          </cell>
          <cell r="Y26">
            <v>86</v>
          </cell>
          <cell r="Z26">
            <v>0</v>
          </cell>
          <cell r="AC26">
            <v>2660</v>
          </cell>
        </row>
        <row r="27">
          <cell r="E27">
            <v>0</v>
          </cell>
          <cell r="F27">
            <v>0</v>
          </cell>
          <cell r="G27">
            <v>0</v>
          </cell>
          <cell r="H27">
            <v>4</v>
          </cell>
          <cell r="I27">
            <v>0</v>
          </cell>
          <cell r="J27">
            <v>0</v>
          </cell>
          <cell r="K27">
            <v>0</v>
          </cell>
          <cell r="L27">
            <v>0</v>
          </cell>
          <cell r="M27">
            <v>0</v>
          </cell>
          <cell r="N27">
            <v>0</v>
          </cell>
          <cell r="O27">
            <v>0</v>
          </cell>
          <cell r="P27">
            <v>0</v>
          </cell>
          <cell r="Q27">
            <v>0</v>
          </cell>
          <cell r="R27">
            <v>0</v>
          </cell>
          <cell r="S27">
            <v>8</v>
          </cell>
          <cell r="T27">
            <v>1</v>
          </cell>
          <cell r="U27">
            <v>0</v>
          </cell>
          <cell r="V27">
            <v>29</v>
          </cell>
          <cell r="W27">
            <v>9</v>
          </cell>
          <cell r="X27">
            <v>0</v>
          </cell>
          <cell r="Y27">
            <v>12</v>
          </cell>
          <cell r="Z27">
            <v>0</v>
          </cell>
          <cell r="AC27">
            <v>465</v>
          </cell>
        </row>
        <row r="28">
          <cell r="E28">
            <v>0</v>
          </cell>
          <cell r="F28">
            <v>0</v>
          </cell>
          <cell r="G28">
            <v>0</v>
          </cell>
          <cell r="H28">
            <v>227</v>
          </cell>
          <cell r="I28">
            <v>0</v>
          </cell>
          <cell r="J28">
            <v>0</v>
          </cell>
          <cell r="K28">
            <v>0</v>
          </cell>
          <cell r="L28">
            <v>0</v>
          </cell>
          <cell r="M28">
            <v>36</v>
          </cell>
          <cell r="N28">
            <v>0</v>
          </cell>
          <cell r="O28">
            <v>0</v>
          </cell>
          <cell r="P28">
            <v>0</v>
          </cell>
          <cell r="Q28">
            <v>0</v>
          </cell>
          <cell r="R28">
            <v>0</v>
          </cell>
          <cell r="S28">
            <v>35</v>
          </cell>
          <cell r="T28">
            <v>2</v>
          </cell>
          <cell r="U28">
            <v>2</v>
          </cell>
          <cell r="V28">
            <v>273</v>
          </cell>
          <cell r="W28">
            <v>166</v>
          </cell>
          <cell r="X28">
            <v>0</v>
          </cell>
          <cell r="Y28">
            <v>137</v>
          </cell>
          <cell r="Z28">
            <v>0</v>
          </cell>
          <cell r="AC28">
            <v>1063</v>
          </cell>
        </row>
        <row r="29">
          <cell r="E29">
            <v>0</v>
          </cell>
          <cell r="F29">
            <v>0</v>
          </cell>
          <cell r="G29">
            <v>0</v>
          </cell>
          <cell r="H29">
            <v>76</v>
          </cell>
          <cell r="I29">
            <v>0</v>
          </cell>
          <cell r="J29">
            <v>0</v>
          </cell>
          <cell r="K29">
            <v>2</v>
          </cell>
          <cell r="L29">
            <v>4</v>
          </cell>
          <cell r="M29">
            <v>122</v>
          </cell>
          <cell r="N29">
            <v>0</v>
          </cell>
          <cell r="O29">
            <v>0</v>
          </cell>
          <cell r="P29">
            <v>0</v>
          </cell>
          <cell r="Q29">
            <v>0</v>
          </cell>
          <cell r="R29">
            <v>0</v>
          </cell>
          <cell r="S29">
            <v>8</v>
          </cell>
          <cell r="T29">
            <v>2</v>
          </cell>
          <cell r="U29">
            <v>0</v>
          </cell>
          <cell r="V29">
            <v>185</v>
          </cell>
          <cell r="W29">
            <v>46</v>
          </cell>
          <cell r="X29">
            <v>0</v>
          </cell>
          <cell r="Y29">
            <v>192</v>
          </cell>
          <cell r="Z29">
            <v>0</v>
          </cell>
          <cell r="AC29">
            <v>878</v>
          </cell>
        </row>
        <row r="30">
          <cell r="E30">
            <v>0</v>
          </cell>
          <cell r="F30">
            <v>0</v>
          </cell>
          <cell r="G30">
            <v>0</v>
          </cell>
          <cell r="H30">
            <v>253</v>
          </cell>
          <cell r="I30">
            <v>0</v>
          </cell>
          <cell r="J30">
            <v>0</v>
          </cell>
          <cell r="K30">
            <v>0</v>
          </cell>
          <cell r="L30">
            <v>0</v>
          </cell>
          <cell r="M30">
            <v>33</v>
          </cell>
          <cell r="N30">
            <v>8</v>
          </cell>
          <cell r="O30">
            <v>0</v>
          </cell>
          <cell r="P30">
            <v>0</v>
          </cell>
          <cell r="Q30">
            <v>0</v>
          </cell>
          <cell r="R30">
            <v>0</v>
          </cell>
          <cell r="S30">
            <v>82</v>
          </cell>
          <cell r="T30">
            <v>4</v>
          </cell>
          <cell r="U30">
            <v>0</v>
          </cell>
          <cell r="V30">
            <v>411</v>
          </cell>
          <cell r="W30">
            <v>250</v>
          </cell>
          <cell r="X30">
            <v>0</v>
          </cell>
          <cell r="Y30">
            <v>398</v>
          </cell>
          <cell r="Z30">
            <v>0</v>
          </cell>
          <cell r="AC30">
            <v>1615</v>
          </cell>
        </row>
        <row r="31">
          <cell r="E31">
            <v>83.492803209060881</v>
          </cell>
          <cell r="F31">
            <v>0</v>
          </cell>
          <cell r="G31">
            <v>12588.264865502595</v>
          </cell>
          <cell r="H31">
            <v>5540.0978527607367</v>
          </cell>
          <cell r="I31">
            <v>32.643322321849929</v>
          </cell>
          <cell r="J31">
            <v>2008</v>
          </cell>
          <cell r="K31">
            <v>2220</v>
          </cell>
          <cell r="L31">
            <v>1025.6072203869749</v>
          </cell>
          <cell r="M31">
            <v>42604.242260500236</v>
          </cell>
          <cell r="N31">
            <v>28</v>
          </cell>
          <cell r="O31">
            <v>29</v>
          </cell>
          <cell r="P31">
            <v>263.21444077394995</v>
          </cell>
          <cell r="Q31">
            <v>0</v>
          </cell>
          <cell r="R31">
            <v>3752</v>
          </cell>
          <cell r="S31">
            <v>6801</v>
          </cell>
          <cell r="T31">
            <v>51</v>
          </cell>
          <cell r="U31">
            <v>31</v>
          </cell>
          <cell r="V31">
            <v>3236.0361019348748</v>
          </cell>
          <cell r="W31">
            <v>722</v>
          </cell>
          <cell r="X31">
            <v>0</v>
          </cell>
          <cell r="Y31">
            <v>961.60722038697497</v>
          </cell>
          <cell r="Z31">
            <v>23</v>
          </cell>
          <cell r="AA31">
            <v>82000.206087777246</v>
          </cell>
          <cell r="AB31">
            <v>30655.793912222747</v>
          </cell>
          <cell r="AC31">
            <v>112656</v>
          </cell>
        </row>
        <row r="33">
          <cell r="E33">
            <v>1126</v>
          </cell>
          <cell r="F33">
            <v>0</v>
          </cell>
          <cell r="G33">
            <v>38</v>
          </cell>
          <cell r="H33">
            <v>0</v>
          </cell>
          <cell r="I33">
            <v>0</v>
          </cell>
          <cell r="J33">
            <v>0</v>
          </cell>
          <cell r="K33">
            <v>10</v>
          </cell>
          <cell r="L33">
            <v>0</v>
          </cell>
          <cell r="M33">
            <v>0</v>
          </cell>
          <cell r="N33">
            <v>0</v>
          </cell>
          <cell r="O33">
            <v>0</v>
          </cell>
          <cell r="P33">
            <v>0</v>
          </cell>
          <cell r="Q33">
            <v>0</v>
          </cell>
          <cell r="R33">
            <v>0</v>
          </cell>
          <cell r="S33">
            <v>0</v>
          </cell>
          <cell r="T33">
            <v>0</v>
          </cell>
          <cell r="U33">
            <v>0</v>
          </cell>
          <cell r="V33">
            <v>10</v>
          </cell>
          <cell r="W33">
            <v>0</v>
          </cell>
          <cell r="X33">
            <v>0</v>
          </cell>
          <cell r="Y33">
            <v>0</v>
          </cell>
          <cell r="Z33">
            <v>0</v>
          </cell>
          <cell r="AC33">
            <v>1730</v>
          </cell>
        </row>
        <row r="34">
          <cell r="E34">
            <v>62</v>
          </cell>
          <cell r="F34">
            <v>0</v>
          </cell>
          <cell r="G34">
            <v>13905</v>
          </cell>
          <cell r="H34">
            <v>300</v>
          </cell>
          <cell r="I34">
            <v>0</v>
          </cell>
          <cell r="J34">
            <v>0</v>
          </cell>
          <cell r="K34">
            <v>45</v>
          </cell>
          <cell r="L34">
            <v>30</v>
          </cell>
          <cell r="M34">
            <v>555</v>
          </cell>
          <cell r="N34">
            <v>0</v>
          </cell>
          <cell r="O34">
            <v>0</v>
          </cell>
          <cell r="P34">
            <v>0</v>
          </cell>
          <cell r="Q34">
            <v>0</v>
          </cell>
          <cell r="R34">
            <v>0</v>
          </cell>
          <cell r="S34">
            <v>0</v>
          </cell>
          <cell r="T34">
            <v>0</v>
          </cell>
          <cell r="U34">
            <v>0</v>
          </cell>
          <cell r="V34">
            <v>0</v>
          </cell>
          <cell r="W34">
            <v>0</v>
          </cell>
          <cell r="X34">
            <v>0</v>
          </cell>
          <cell r="Y34">
            <v>0</v>
          </cell>
          <cell r="Z34">
            <v>15</v>
          </cell>
          <cell r="AC34">
            <v>19971</v>
          </cell>
        </row>
        <row r="35">
          <cell r="E35">
            <v>233</v>
          </cell>
          <cell r="F35">
            <v>0</v>
          </cell>
          <cell r="G35">
            <v>610</v>
          </cell>
          <cell r="H35">
            <v>1344</v>
          </cell>
          <cell r="I35">
            <v>0</v>
          </cell>
          <cell r="J35">
            <v>0</v>
          </cell>
          <cell r="K35">
            <v>52</v>
          </cell>
          <cell r="L35">
            <v>78</v>
          </cell>
          <cell r="M35">
            <v>5421</v>
          </cell>
          <cell r="N35">
            <v>0</v>
          </cell>
          <cell r="O35">
            <v>0</v>
          </cell>
          <cell r="P35">
            <v>26</v>
          </cell>
          <cell r="Q35">
            <v>0</v>
          </cell>
          <cell r="R35">
            <v>2369</v>
          </cell>
          <cell r="S35">
            <v>914</v>
          </cell>
          <cell r="T35">
            <v>25</v>
          </cell>
          <cell r="U35">
            <v>0</v>
          </cell>
          <cell r="V35">
            <v>658</v>
          </cell>
          <cell r="W35">
            <v>126</v>
          </cell>
          <cell r="X35">
            <v>0</v>
          </cell>
          <cell r="Y35">
            <v>213</v>
          </cell>
          <cell r="Z35">
            <v>26</v>
          </cell>
          <cell r="AC35">
            <v>14900</v>
          </cell>
        </row>
        <row r="36">
          <cell r="E36">
            <v>0</v>
          </cell>
          <cell r="F36">
            <v>0</v>
          </cell>
          <cell r="G36">
            <v>0</v>
          </cell>
          <cell r="H36">
            <v>299</v>
          </cell>
          <cell r="I36">
            <v>0</v>
          </cell>
          <cell r="J36">
            <v>19</v>
          </cell>
          <cell r="K36">
            <v>0</v>
          </cell>
          <cell r="L36">
            <v>40</v>
          </cell>
          <cell r="M36">
            <v>3118</v>
          </cell>
          <cell r="N36">
            <v>0</v>
          </cell>
          <cell r="O36">
            <v>0</v>
          </cell>
          <cell r="P36">
            <v>39</v>
          </cell>
          <cell r="Q36">
            <v>0</v>
          </cell>
          <cell r="R36">
            <v>0</v>
          </cell>
          <cell r="S36">
            <v>0</v>
          </cell>
          <cell r="T36">
            <v>0</v>
          </cell>
          <cell r="U36">
            <v>0</v>
          </cell>
          <cell r="V36">
            <v>0</v>
          </cell>
          <cell r="W36">
            <v>0</v>
          </cell>
          <cell r="X36">
            <v>0</v>
          </cell>
          <cell r="Y36">
            <v>0</v>
          </cell>
          <cell r="Z36">
            <v>0</v>
          </cell>
          <cell r="AC36">
            <v>4218</v>
          </cell>
        </row>
        <row r="37">
          <cell r="E37">
            <v>0</v>
          </cell>
          <cell r="F37">
            <v>0</v>
          </cell>
          <cell r="G37">
            <v>0</v>
          </cell>
          <cell r="H37">
            <v>2252</v>
          </cell>
          <cell r="I37">
            <v>0</v>
          </cell>
          <cell r="J37">
            <v>0</v>
          </cell>
          <cell r="K37">
            <v>38</v>
          </cell>
          <cell r="L37">
            <v>0</v>
          </cell>
          <cell r="M37">
            <v>1663</v>
          </cell>
          <cell r="N37">
            <v>0</v>
          </cell>
          <cell r="O37">
            <v>0</v>
          </cell>
          <cell r="P37">
            <v>77</v>
          </cell>
          <cell r="Q37">
            <v>0</v>
          </cell>
          <cell r="R37">
            <v>9078</v>
          </cell>
          <cell r="S37">
            <v>6318</v>
          </cell>
          <cell r="T37">
            <v>0</v>
          </cell>
          <cell r="U37">
            <v>0</v>
          </cell>
          <cell r="V37">
            <v>752</v>
          </cell>
          <cell r="W37">
            <v>38</v>
          </cell>
          <cell r="X37">
            <v>0</v>
          </cell>
          <cell r="Y37">
            <v>78</v>
          </cell>
          <cell r="Z37">
            <v>0</v>
          </cell>
          <cell r="AC37">
            <v>21411</v>
          </cell>
        </row>
        <row r="38">
          <cell r="E38">
            <v>295</v>
          </cell>
          <cell r="F38">
            <v>0</v>
          </cell>
          <cell r="G38">
            <v>14515</v>
          </cell>
          <cell r="H38">
            <v>4195</v>
          </cell>
          <cell r="I38">
            <v>0</v>
          </cell>
          <cell r="J38">
            <v>19</v>
          </cell>
          <cell r="K38">
            <v>135</v>
          </cell>
          <cell r="L38">
            <v>148</v>
          </cell>
          <cell r="M38">
            <v>10757</v>
          </cell>
          <cell r="N38">
            <v>0</v>
          </cell>
          <cell r="O38">
            <v>0</v>
          </cell>
          <cell r="P38">
            <v>142</v>
          </cell>
          <cell r="Q38">
            <v>0</v>
          </cell>
          <cell r="R38">
            <v>11447</v>
          </cell>
          <cell r="S38">
            <v>7232</v>
          </cell>
          <cell r="T38">
            <v>25</v>
          </cell>
          <cell r="U38">
            <v>0</v>
          </cell>
          <cell r="V38">
            <v>1410</v>
          </cell>
          <cell r="W38">
            <v>164</v>
          </cell>
          <cell r="X38">
            <v>0</v>
          </cell>
          <cell r="Y38">
            <v>291</v>
          </cell>
          <cell r="Z38">
            <v>41</v>
          </cell>
          <cell r="AA38">
            <v>50814</v>
          </cell>
          <cell r="AB38">
            <v>9686</v>
          </cell>
          <cell r="AC38">
            <v>60500</v>
          </cell>
        </row>
        <row r="39">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AC39">
            <v>0</v>
          </cell>
        </row>
      </sheetData>
      <sheetData sheetId="3" refreshError="1">
        <row r="30">
          <cell r="E30">
            <v>99</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 7 Inland 2012 Tag Summary"/>
      <sheetName val="Table 8 Ocean 2012 Tag Summary"/>
      <sheetName val="raw inland"/>
      <sheetName val="raw ocean"/>
    </sheetNames>
    <sheetDataSet>
      <sheetData sheetId="0"/>
      <sheetData sheetId="1" refreshError="1"/>
      <sheetData sheetId="2">
        <row r="4">
          <cell r="P4">
            <v>2007</v>
          </cell>
        </row>
        <row r="5">
          <cell r="L5">
            <v>4</v>
          </cell>
          <cell r="M5">
            <v>3760</v>
          </cell>
          <cell r="N5">
            <v>24383</v>
          </cell>
          <cell r="O5">
            <v>410</v>
          </cell>
          <cell r="P5">
            <v>4</v>
          </cell>
        </row>
        <row r="7">
          <cell r="L7">
            <v>22.9</v>
          </cell>
          <cell r="M7">
            <v>38898.480000000003</v>
          </cell>
          <cell r="N7">
            <v>256673.91</v>
          </cell>
          <cell r="O7">
            <v>5382.81</v>
          </cell>
          <cell r="P7">
            <v>16.260000000000002</v>
          </cell>
        </row>
        <row r="12">
          <cell r="M12">
            <v>611</v>
          </cell>
          <cell r="N12">
            <v>7501</v>
          </cell>
          <cell r="O12">
            <v>178</v>
          </cell>
        </row>
        <row r="14">
          <cell r="M14">
            <v>938.64</v>
          </cell>
          <cell r="N14">
            <v>14732.66</v>
          </cell>
          <cell r="O14">
            <v>512.14</v>
          </cell>
        </row>
        <row r="19">
          <cell r="M19">
            <v>1</v>
          </cell>
          <cell r="N19">
            <v>311</v>
          </cell>
        </row>
        <row r="21">
          <cell r="M21">
            <v>2.66</v>
          </cell>
          <cell r="N21">
            <v>764.79</v>
          </cell>
        </row>
        <row r="26">
          <cell r="M26">
            <v>366</v>
          </cell>
          <cell r="N26">
            <v>2719</v>
          </cell>
          <cell r="O26">
            <v>186</v>
          </cell>
          <cell r="P26">
            <v>2</v>
          </cell>
        </row>
        <row r="28">
          <cell r="M28">
            <v>467.42</v>
          </cell>
          <cell r="N28">
            <v>3432.38</v>
          </cell>
          <cell r="O28">
            <v>323.91000000000003</v>
          </cell>
          <cell r="P28">
            <v>2.0299999999999998</v>
          </cell>
        </row>
      </sheetData>
      <sheetData sheetId="3">
        <row r="16">
          <cell r="O16">
            <v>2008</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atchery proportion only"/>
      <sheetName val="tot proportion "/>
      <sheetName val="actual CWTs exp"/>
      <sheetName val="inland_taf_hatchgrp_table12_raw"/>
    </sheetNames>
    <sheetDataSet>
      <sheetData sheetId="0" refreshError="1"/>
      <sheetData sheetId="1"/>
      <sheetData sheetId="2">
        <row r="4">
          <cell r="E4">
            <v>0</v>
          </cell>
          <cell r="F4">
            <v>3543</v>
          </cell>
          <cell r="G4">
            <v>0</v>
          </cell>
          <cell r="H4">
            <v>0</v>
          </cell>
          <cell r="I4">
            <v>0</v>
          </cell>
          <cell r="J4">
            <v>0</v>
          </cell>
          <cell r="K4">
            <v>0</v>
          </cell>
          <cell r="L4">
            <v>0</v>
          </cell>
          <cell r="M4">
            <v>0</v>
          </cell>
          <cell r="N4">
            <v>0</v>
          </cell>
          <cell r="O4">
            <v>0</v>
          </cell>
          <cell r="P4">
            <v>0</v>
          </cell>
          <cell r="Q4">
            <v>0</v>
          </cell>
          <cell r="R4">
            <v>0</v>
          </cell>
          <cell r="S4">
            <v>1</v>
          </cell>
          <cell r="T4">
            <v>0</v>
          </cell>
          <cell r="U4">
            <v>0</v>
          </cell>
          <cell r="V4">
            <v>0</v>
          </cell>
          <cell r="W4">
            <v>0</v>
          </cell>
          <cell r="Z4">
            <v>3564</v>
          </cell>
        </row>
        <row r="5">
          <cell r="E5">
            <v>0</v>
          </cell>
          <cell r="F5">
            <v>0</v>
          </cell>
          <cell r="G5">
            <v>0</v>
          </cell>
          <cell r="H5">
            <v>4</v>
          </cell>
          <cell r="I5">
            <v>1491</v>
          </cell>
          <cell r="J5">
            <v>1642</v>
          </cell>
          <cell r="K5">
            <v>5</v>
          </cell>
          <cell r="L5">
            <v>538</v>
          </cell>
          <cell r="M5">
            <v>0</v>
          </cell>
          <cell r="N5">
            <v>1</v>
          </cell>
          <cell r="O5">
            <v>0</v>
          </cell>
          <cell r="P5">
            <v>5</v>
          </cell>
          <cell r="Q5">
            <v>0</v>
          </cell>
          <cell r="R5">
            <v>0</v>
          </cell>
          <cell r="S5">
            <v>0</v>
          </cell>
          <cell r="T5">
            <v>0</v>
          </cell>
          <cell r="U5">
            <v>0</v>
          </cell>
          <cell r="V5">
            <v>0</v>
          </cell>
          <cell r="W5">
            <v>0</v>
          </cell>
          <cell r="Z5">
            <v>3738</v>
          </cell>
        </row>
        <row r="6">
          <cell r="E6">
            <v>0</v>
          </cell>
          <cell r="F6">
            <v>0</v>
          </cell>
          <cell r="G6">
            <v>75226</v>
          </cell>
          <cell r="H6">
            <v>1240</v>
          </cell>
          <cell r="I6">
            <v>0</v>
          </cell>
          <cell r="J6">
            <v>17</v>
          </cell>
          <cell r="K6">
            <v>0</v>
          </cell>
          <cell r="L6">
            <v>557</v>
          </cell>
          <cell r="M6">
            <v>0</v>
          </cell>
          <cell r="N6">
            <v>0</v>
          </cell>
          <cell r="O6">
            <v>0</v>
          </cell>
          <cell r="P6">
            <v>0</v>
          </cell>
          <cell r="Q6">
            <v>0</v>
          </cell>
          <cell r="R6">
            <v>0</v>
          </cell>
          <cell r="S6">
            <v>10</v>
          </cell>
          <cell r="T6">
            <v>0</v>
          </cell>
          <cell r="U6">
            <v>0</v>
          </cell>
          <cell r="V6">
            <v>2</v>
          </cell>
          <cell r="W6">
            <v>0</v>
          </cell>
          <cell r="Z6">
            <v>84289</v>
          </cell>
        </row>
        <row r="7">
          <cell r="E7">
            <v>0</v>
          </cell>
          <cell r="F7">
            <v>0</v>
          </cell>
          <cell r="G7">
            <v>0</v>
          </cell>
          <cell r="H7">
            <v>848</v>
          </cell>
          <cell r="I7">
            <v>1868</v>
          </cell>
          <cell r="J7">
            <v>2715</v>
          </cell>
          <cell r="K7">
            <v>26</v>
          </cell>
          <cell r="L7">
            <v>34258</v>
          </cell>
          <cell r="M7">
            <v>32</v>
          </cell>
          <cell r="N7">
            <v>314</v>
          </cell>
          <cell r="O7">
            <v>4</v>
          </cell>
          <cell r="P7">
            <v>47</v>
          </cell>
          <cell r="Q7">
            <v>48</v>
          </cell>
          <cell r="R7">
            <v>0</v>
          </cell>
          <cell r="S7">
            <v>160</v>
          </cell>
          <cell r="T7">
            <v>5</v>
          </cell>
          <cell r="U7">
            <v>0</v>
          </cell>
          <cell r="V7">
            <v>85</v>
          </cell>
          <cell r="W7">
            <v>4</v>
          </cell>
          <cell r="Z7">
            <v>42161</v>
          </cell>
        </row>
        <row r="8">
          <cell r="E8">
            <v>0</v>
          </cell>
          <cell r="F8">
            <v>0</v>
          </cell>
          <cell r="G8">
            <v>0</v>
          </cell>
          <cell r="H8">
            <v>44</v>
          </cell>
          <cell r="I8">
            <v>0</v>
          </cell>
          <cell r="J8">
            <v>0</v>
          </cell>
          <cell r="K8">
            <v>0</v>
          </cell>
          <cell r="L8">
            <v>32</v>
          </cell>
          <cell r="M8">
            <v>0</v>
          </cell>
          <cell r="N8">
            <v>0</v>
          </cell>
          <cell r="O8">
            <v>0</v>
          </cell>
          <cell r="P8">
            <v>3248</v>
          </cell>
          <cell r="Q8">
            <v>3021</v>
          </cell>
          <cell r="R8">
            <v>5</v>
          </cell>
          <cell r="S8">
            <v>1387</v>
          </cell>
          <cell r="T8">
            <v>28</v>
          </cell>
          <cell r="U8">
            <v>0</v>
          </cell>
          <cell r="V8">
            <v>126</v>
          </cell>
          <cell r="W8">
            <v>0</v>
          </cell>
          <cell r="Z8">
            <v>9257</v>
          </cell>
        </row>
        <row r="9">
          <cell r="E9">
            <v>0</v>
          </cell>
          <cell r="F9">
            <v>0</v>
          </cell>
          <cell r="G9">
            <v>0</v>
          </cell>
          <cell r="H9">
            <v>217</v>
          </cell>
          <cell r="I9">
            <v>0</v>
          </cell>
          <cell r="J9">
            <v>37</v>
          </cell>
          <cell r="K9">
            <v>1</v>
          </cell>
          <cell r="L9">
            <v>141</v>
          </cell>
          <cell r="M9">
            <v>0</v>
          </cell>
          <cell r="N9">
            <v>0</v>
          </cell>
          <cell r="O9">
            <v>0</v>
          </cell>
          <cell r="P9">
            <v>1433</v>
          </cell>
          <cell r="Q9">
            <v>309</v>
          </cell>
          <cell r="R9">
            <v>1</v>
          </cell>
          <cell r="S9">
            <v>447</v>
          </cell>
          <cell r="T9">
            <v>13</v>
          </cell>
          <cell r="U9">
            <v>0</v>
          </cell>
          <cell r="V9">
            <v>32</v>
          </cell>
          <cell r="W9">
            <v>0</v>
          </cell>
          <cell r="Z9">
            <v>3923</v>
          </cell>
        </row>
        <row r="10">
          <cell r="E10">
            <v>0</v>
          </cell>
          <cell r="F10">
            <v>0</v>
          </cell>
          <cell r="G10">
            <v>0</v>
          </cell>
          <cell r="H10">
            <v>97</v>
          </cell>
          <cell r="I10">
            <v>0</v>
          </cell>
          <cell r="J10">
            <v>1</v>
          </cell>
          <cell r="K10">
            <v>0</v>
          </cell>
          <cell r="L10">
            <v>33</v>
          </cell>
          <cell r="M10">
            <v>1</v>
          </cell>
          <cell r="N10">
            <v>2</v>
          </cell>
          <cell r="O10">
            <v>0</v>
          </cell>
          <cell r="P10">
            <v>0</v>
          </cell>
          <cell r="Q10">
            <v>98</v>
          </cell>
          <cell r="R10">
            <v>435</v>
          </cell>
          <cell r="S10">
            <v>5374</v>
          </cell>
          <cell r="T10">
            <v>180</v>
          </cell>
          <cell r="U10">
            <v>0</v>
          </cell>
          <cell r="V10">
            <v>124</v>
          </cell>
          <cell r="W10">
            <v>0</v>
          </cell>
          <cell r="Z10">
            <v>6620</v>
          </cell>
        </row>
        <row r="11">
          <cell r="E11">
            <v>0</v>
          </cell>
          <cell r="F11">
            <v>1</v>
          </cell>
          <cell r="G11">
            <v>0</v>
          </cell>
          <cell r="H11">
            <v>16</v>
          </cell>
          <cell r="I11">
            <v>0</v>
          </cell>
          <cell r="J11">
            <v>0</v>
          </cell>
          <cell r="K11">
            <v>0</v>
          </cell>
          <cell r="L11">
            <v>8</v>
          </cell>
          <cell r="M11">
            <v>0</v>
          </cell>
          <cell r="N11">
            <v>1</v>
          </cell>
          <cell r="O11">
            <v>0</v>
          </cell>
          <cell r="P11">
            <v>4</v>
          </cell>
          <cell r="Q11">
            <v>38</v>
          </cell>
          <cell r="R11">
            <v>0</v>
          </cell>
          <cell r="S11">
            <v>580</v>
          </cell>
          <cell r="T11">
            <v>14</v>
          </cell>
          <cell r="U11">
            <v>28</v>
          </cell>
          <cell r="V11">
            <v>99</v>
          </cell>
          <cell r="W11">
            <v>0</v>
          </cell>
          <cell r="Z11">
            <v>1000</v>
          </cell>
        </row>
        <row r="12">
          <cell r="F12">
            <v>1</v>
          </cell>
          <cell r="G12">
            <v>75226</v>
          </cell>
          <cell r="H12">
            <v>2462</v>
          </cell>
          <cell r="I12">
            <v>1868</v>
          </cell>
          <cell r="J12">
            <v>2770</v>
          </cell>
          <cell r="K12">
            <v>27</v>
          </cell>
          <cell r="L12">
            <v>35029</v>
          </cell>
          <cell r="M12">
            <v>33</v>
          </cell>
          <cell r="N12">
            <v>317</v>
          </cell>
          <cell r="O12">
            <v>4</v>
          </cell>
          <cell r="P12">
            <v>4732</v>
          </cell>
          <cell r="Q12">
            <v>3514</v>
          </cell>
          <cell r="R12">
            <v>441</v>
          </cell>
          <cell r="S12">
            <v>7958</v>
          </cell>
          <cell r="T12">
            <v>240</v>
          </cell>
          <cell r="U12">
            <v>28</v>
          </cell>
          <cell r="V12">
            <v>468</v>
          </cell>
          <cell r="W12">
            <v>4</v>
          </cell>
          <cell r="X12">
            <v>135123</v>
          </cell>
          <cell r="Y12">
            <v>12127</v>
          </cell>
          <cell r="Z12">
            <v>147250</v>
          </cell>
        </row>
        <row r="14">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Z14">
            <v>1000</v>
          </cell>
        </row>
        <row r="15">
          <cell r="E15">
            <v>767</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Z15">
            <v>2671</v>
          </cell>
        </row>
        <row r="16">
          <cell r="E16">
            <v>0</v>
          </cell>
          <cell r="F16">
            <v>219</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Z16">
            <v>5227</v>
          </cell>
        </row>
        <row r="17">
          <cell r="E17">
            <v>0</v>
          </cell>
          <cell r="F17">
            <v>0</v>
          </cell>
          <cell r="G17">
            <v>5473</v>
          </cell>
          <cell r="H17">
            <v>1144</v>
          </cell>
          <cell r="I17">
            <v>0</v>
          </cell>
          <cell r="J17">
            <v>895</v>
          </cell>
          <cell r="K17">
            <v>0</v>
          </cell>
          <cell r="L17">
            <v>7416</v>
          </cell>
          <cell r="M17">
            <v>12</v>
          </cell>
          <cell r="N17">
            <v>121</v>
          </cell>
          <cell r="O17">
            <v>0</v>
          </cell>
          <cell r="P17">
            <v>0</v>
          </cell>
          <cell r="Q17">
            <v>0</v>
          </cell>
          <cell r="R17">
            <v>0</v>
          </cell>
          <cell r="S17">
            <v>59</v>
          </cell>
          <cell r="T17">
            <v>0</v>
          </cell>
          <cell r="U17">
            <v>0</v>
          </cell>
          <cell r="V17">
            <v>0</v>
          </cell>
          <cell r="W17">
            <v>0</v>
          </cell>
          <cell r="Z17">
            <v>22435</v>
          </cell>
        </row>
        <row r="18">
          <cell r="E18">
            <v>0</v>
          </cell>
          <cell r="F18">
            <v>0</v>
          </cell>
          <cell r="G18">
            <v>713</v>
          </cell>
          <cell r="H18">
            <v>333</v>
          </cell>
          <cell r="I18">
            <v>0</v>
          </cell>
          <cell r="J18">
            <v>37</v>
          </cell>
          <cell r="K18">
            <v>0</v>
          </cell>
          <cell r="L18">
            <v>1861</v>
          </cell>
          <cell r="M18">
            <v>0</v>
          </cell>
          <cell r="N18">
            <v>48</v>
          </cell>
          <cell r="O18">
            <v>0</v>
          </cell>
          <cell r="P18">
            <v>0</v>
          </cell>
          <cell r="Q18">
            <v>0</v>
          </cell>
          <cell r="R18">
            <v>0</v>
          </cell>
          <cell r="S18">
            <v>18</v>
          </cell>
          <cell r="T18">
            <v>0</v>
          </cell>
          <cell r="U18">
            <v>0</v>
          </cell>
          <cell r="V18">
            <v>12</v>
          </cell>
          <cell r="W18">
            <v>0</v>
          </cell>
          <cell r="Z18">
            <v>7631</v>
          </cell>
        </row>
        <row r="19">
          <cell r="E19">
            <v>0</v>
          </cell>
          <cell r="F19">
            <v>0</v>
          </cell>
          <cell r="G19">
            <v>261</v>
          </cell>
          <cell r="H19">
            <v>179</v>
          </cell>
          <cell r="I19">
            <v>0</v>
          </cell>
          <cell r="J19">
            <v>0</v>
          </cell>
          <cell r="K19">
            <v>0</v>
          </cell>
          <cell r="L19">
            <v>376</v>
          </cell>
          <cell r="M19">
            <v>4</v>
          </cell>
          <cell r="N19">
            <v>0</v>
          </cell>
          <cell r="O19">
            <v>0</v>
          </cell>
          <cell r="P19">
            <v>0</v>
          </cell>
          <cell r="Q19">
            <v>0</v>
          </cell>
          <cell r="R19">
            <v>0</v>
          </cell>
          <cell r="S19">
            <v>0</v>
          </cell>
          <cell r="T19">
            <v>0</v>
          </cell>
          <cell r="U19">
            <v>0</v>
          </cell>
          <cell r="V19">
            <v>0</v>
          </cell>
          <cell r="W19">
            <v>0</v>
          </cell>
          <cell r="Z19">
            <v>2556</v>
          </cell>
        </row>
        <row r="20">
          <cell r="E20">
            <v>0</v>
          </cell>
          <cell r="F20">
            <v>0</v>
          </cell>
          <cell r="G20">
            <v>8</v>
          </cell>
          <cell r="H20">
            <v>4</v>
          </cell>
          <cell r="I20">
            <v>0</v>
          </cell>
          <cell r="J20">
            <v>0</v>
          </cell>
          <cell r="K20">
            <v>0</v>
          </cell>
          <cell r="L20">
            <v>8</v>
          </cell>
          <cell r="M20">
            <v>0</v>
          </cell>
          <cell r="N20">
            <v>1</v>
          </cell>
          <cell r="O20">
            <v>0</v>
          </cell>
          <cell r="P20">
            <v>0</v>
          </cell>
          <cell r="Q20">
            <v>0</v>
          </cell>
          <cell r="R20">
            <v>0</v>
          </cell>
          <cell r="S20">
            <v>3</v>
          </cell>
          <cell r="T20">
            <v>0</v>
          </cell>
          <cell r="U20">
            <v>0</v>
          </cell>
          <cell r="V20">
            <v>0</v>
          </cell>
          <cell r="W20">
            <v>0</v>
          </cell>
          <cell r="Z20">
            <v>890</v>
          </cell>
        </row>
        <row r="21">
          <cell r="E21">
            <v>0</v>
          </cell>
          <cell r="F21">
            <v>0</v>
          </cell>
          <cell r="G21">
            <v>27988.081007011591</v>
          </cell>
          <cell r="H21">
            <v>461.34608311879367</v>
          </cell>
          <cell r="I21">
            <v>0</v>
          </cell>
          <cell r="J21">
            <v>6.3249059782415262</v>
          </cell>
          <cell r="K21">
            <v>0</v>
          </cell>
          <cell r="L21">
            <v>207.23368411061941</v>
          </cell>
          <cell r="M21">
            <v>0</v>
          </cell>
          <cell r="N21">
            <v>0</v>
          </cell>
          <cell r="O21">
            <v>0</v>
          </cell>
          <cell r="P21">
            <v>0</v>
          </cell>
          <cell r="Q21">
            <v>0</v>
          </cell>
          <cell r="R21">
            <v>0</v>
          </cell>
          <cell r="S21">
            <v>3.7205329283773683</v>
          </cell>
          <cell r="T21">
            <v>0</v>
          </cell>
          <cell r="U21">
            <v>0</v>
          </cell>
          <cell r="V21">
            <v>0.74410658567547372</v>
          </cell>
          <cell r="W21">
            <v>0</v>
          </cell>
          <cell r="Z21">
            <v>31360</v>
          </cell>
        </row>
        <row r="22">
          <cell r="E22">
            <v>0</v>
          </cell>
          <cell r="F22">
            <v>0</v>
          </cell>
          <cell r="G22">
            <v>0</v>
          </cell>
          <cell r="H22">
            <v>0</v>
          </cell>
          <cell r="I22">
            <v>0</v>
          </cell>
          <cell r="J22">
            <v>0</v>
          </cell>
          <cell r="K22">
            <v>0</v>
          </cell>
          <cell r="L22">
            <v>27</v>
          </cell>
          <cell r="M22">
            <v>0</v>
          </cell>
          <cell r="N22">
            <v>0</v>
          </cell>
          <cell r="O22">
            <v>0</v>
          </cell>
          <cell r="P22">
            <v>9</v>
          </cell>
          <cell r="Q22">
            <v>0</v>
          </cell>
          <cell r="R22">
            <v>0</v>
          </cell>
          <cell r="S22">
            <v>54</v>
          </cell>
          <cell r="T22">
            <v>2</v>
          </cell>
          <cell r="U22">
            <v>0</v>
          </cell>
          <cell r="V22">
            <v>7</v>
          </cell>
          <cell r="W22">
            <v>0</v>
          </cell>
          <cell r="Z22">
            <v>813</v>
          </cell>
        </row>
        <row r="23">
          <cell r="E23">
            <v>0</v>
          </cell>
          <cell r="F23">
            <v>0</v>
          </cell>
          <cell r="G23">
            <v>36</v>
          </cell>
          <cell r="H23">
            <v>2452</v>
          </cell>
          <cell r="I23">
            <v>2155</v>
          </cell>
          <cell r="J23">
            <v>3776</v>
          </cell>
          <cell r="K23">
            <v>37</v>
          </cell>
          <cell r="L23">
            <v>47919</v>
          </cell>
          <cell r="M23">
            <v>46</v>
          </cell>
          <cell r="N23">
            <v>503</v>
          </cell>
          <cell r="O23">
            <v>81</v>
          </cell>
          <cell r="P23">
            <v>36</v>
          </cell>
          <cell r="Q23">
            <v>0</v>
          </cell>
          <cell r="R23">
            <v>0</v>
          </cell>
          <cell r="S23">
            <v>54</v>
          </cell>
          <cell r="T23">
            <v>9</v>
          </cell>
          <cell r="U23">
            <v>0</v>
          </cell>
          <cell r="V23">
            <v>96</v>
          </cell>
          <cell r="W23">
            <v>0</v>
          </cell>
          <cell r="Z23">
            <v>63649</v>
          </cell>
        </row>
        <row r="24">
          <cell r="E24">
            <v>0</v>
          </cell>
          <cell r="F24">
            <v>0</v>
          </cell>
          <cell r="G24">
            <v>0</v>
          </cell>
          <cell r="H24">
            <v>591</v>
          </cell>
          <cell r="I24">
            <v>576</v>
          </cell>
          <cell r="J24">
            <v>267</v>
          </cell>
          <cell r="K24">
            <v>21</v>
          </cell>
          <cell r="L24">
            <v>819</v>
          </cell>
          <cell r="M24">
            <v>0</v>
          </cell>
          <cell r="N24">
            <v>37</v>
          </cell>
          <cell r="O24">
            <v>0</v>
          </cell>
          <cell r="P24">
            <v>74</v>
          </cell>
          <cell r="Q24">
            <v>147</v>
          </cell>
          <cell r="R24">
            <v>0</v>
          </cell>
          <cell r="S24">
            <v>369</v>
          </cell>
          <cell r="T24">
            <v>0</v>
          </cell>
          <cell r="U24">
            <v>0</v>
          </cell>
          <cell r="V24">
            <v>96</v>
          </cell>
          <cell r="W24">
            <v>0</v>
          </cell>
          <cell r="Z24">
            <v>6649</v>
          </cell>
        </row>
        <row r="25">
          <cell r="E25">
            <v>0</v>
          </cell>
          <cell r="F25">
            <v>0</v>
          </cell>
          <cell r="G25">
            <v>0</v>
          </cell>
          <cell r="H25">
            <v>89</v>
          </cell>
          <cell r="I25">
            <v>0</v>
          </cell>
          <cell r="J25">
            <v>0</v>
          </cell>
          <cell r="K25">
            <v>0</v>
          </cell>
          <cell r="L25">
            <v>89</v>
          </cell>
          <cell r="M25">
            <v>0</v>
          </cell>
          <cell r="N25">
            <v>8</v>
          </cell>
          <cell r="O25">
            <v>0</v>
          </cell>
          <cell r="P25">
            <v>8</v>
          </cell>
          <cell r="Q25">
            <v>30</v>
          </cell>
          <cell r="R25">
            <v>0</v>
          </cell>
          <cell r="S25">
            <v>52</v>
          </cell>
          <cell r="T25">
            <v>0</v>
          </cell>
          <cell r="U25">
            <v>0</v>
          </cell>
          <cell r="V25">
            <v>16</v>
          </cell>
          <cell r="W25">
            <v>0</v>
          </cell>
          <cell r="Z25">
            <v>1082</v>
          </cell>
        </row>
        <row r="26">
          <cell r="E26">
            <v>0</v>
          </cell>
          <cell r="F26">
            <v>0</v>
          </cell>
          <cell r="G26">
            <v>0</v>
          </cell>
          <cell r="H26">
            <v>1959</v>
          </cell>
          <cell r="I26">
            <v>0</v>
          </cell>
          <cell r="J26">
            <v>0</v>
          </cell>
          <cell r="K26">
            <v>0</v>
          </cell>
          <cell r="L26">
            <v>255</v>
          </cell>
          <cell r="M26">
            <v>0</v>
          </cell>
          <cell r="N26">
            <v>0</v>
          </cell>
          <cell r="O26">
            <v>0</v>
          </cell>
          <cell r="P26">
            <v>14369</v>
          </cell>
          <cell r="Q26">
            <v>6849</v>
          </cell>
          <cell r="R26">
            <v>0</v>
          </cell>
          <cell r="S26">
            <v>1878</v>
          </cell>
          <cell r="T26">
            <v>70</v>
          </cell>
          <cell r="U26">
            <v>0</v>
          </cell>
          <cell r="V26">
            <v>174</v>
          </cell>
          <cell r="W26">
            <v>0</v>
          </cell>
          <cell r="Z26">
            <v>34900</v>
          </cell>
        </row>
        <row r="27">
          <cell r="E27">
            <v>0</v>
          </cell>
          <cell r="F27">
            <v>0</v>
          </cell>
          <cell r="G27">
            <v>0</v>
          </cell>
          <cell r="H27">
            <v>0</v>
          </cell>
          <cell r="I27">
            <v>0</v>
          </cell>
          <cell r="J27">
            <v>0</v>
          </cell>
          <cell r="K27">
            <v>0</v>
          </cell>
          <cell r="L27">
            <v>50</v>
          </cell>
          <cell r="M27">
            <v>0</v>
          </cell>
          <cell r="N27">
            <v>0</v>
          </cell>
          <cell r="O27">
            <v>0</v>
          </cell>
          <cell r="P27">
            <v>0</v>
          </cell>
          <cell r="Q27">
            <v>50</v>
          </cell>
          <cell r="R27">
            <v>94</v>
          </cell>
          <cell r="S27">
            <v>3869</v>
          </cell>
          <cell r="T27">
            <v>56</v>
          </cell>
          <cell r="U27">
            <v>0</v>
          </cell>
          <cell r="V27">
            <v>126</v>
          </cell>
          <cell r="W27">
            <v>0</v>
          </cell>
          <cell r="Z27">
            <v>5471</v>
          </cell>
        </row>
        <row r="28">
          <cell r="E28">
            <v>0</v>
          </cell>
          <cell r="F28">
            <v>0</v>
          </cell>
          <cell r="G28">
            <v>0</v>
          </cell>
          <cell r="H28">
            <v>0</v>
          </cell>
          <cell r="I28">
            <v>0</v>
          </cell>
          <cell r="J28">
            <v>0</v>
          </cell>
          <cell r="K28">
            <v>0</v>
          </cell>
          <cell r="L28">
            <v>0</v>
          </cell>
          <cell r="M28">
            <v>0</v>
          </cell>
          <cell r="N28">
            <v>0</v>
          </cell>
          <cell r="O28">
            <v>0</v>
          </cell>
          <cell r="P28">
            <v>0</v>
          </cell>
          <cell r="Q28">
            <v>4</v>
          </cell>
          <cell r="R28">
            <v>0</v>
          </cell>
          <cell r="S28">
            <v>34</v>
          </cell>
          <cell r="T28">
            <v>1</v>
          </cell>
          <cell r="U28">
            <v>0</v>
          </cell>
          <cell r="V28">
            <v>2</v>
          </cell>
          <cell r="W28">
            <v>0</v>
          </cell>
          <cell r="Z28">
            <v>1071</v>
          </cell>
        </row>
        <row r="29">
          <cell r="E29">
            <v>0</v>
          </cell>
          <cell r="F29">
            <v>0</v>
          </cell>
          <cell r="G29">
            <v>0</v>
          </cell>
          <cell r="H29">
            <v>0</v>
          </cell>
          <cell r="I29">
            <v>0</v>
          </cell>
          <cell r="J29">
            <v>0</v>
          </cell>
          <cell r="K29">
            <v>0</v>
          </cell>
          <cell r="L29">
            <v>0</v>
          </cell>
          <cell r="M29">
            <v>0</v>
          </cell>
          <cell r="N29">
            <v>0</v>
          </cell>
          <cell r="O29">
            <v>0</v>
          </cell>
          <cell r="P29">
            <v>0</v>
          </cell>
          <cell r="Q29">
            <v>0</v>
          </cell>
          <cell r="R29">
            <v>0</v>
          </cell>
          <cell r="S29">
            <v>10</v>
          </cell>
          <cell r="T29">
            <v>0</v>
          </cell>
          <cell r="U29">
            <v>0</v>
          </cell>
          <cell r="V29">
            <v>2</v>
          </cell>
          <cell r="W29">
            <v>0</v>
          </cell>
          <cell r="Z29">
            <v>132</v>
          </cell>
        </row>
        <row r="30">
          <cell r="E30">
            <v>0</v>
          </cell>
          <cell r="F30">
            <v>5</v>
          </cell>
          <cell r="G30">
            <v>0</v>
          </cell>
          <cell r="H30">
            <v>106</v>
          </cell>
          <cell r="I30">
            <v>0</v>
          </cell>
          <cell r="J30">
            <v>0</v>
          </cell>
          <cell r="K30">
            <v>0</v>
          </cell>
          <cell r="L30">
            <v>63</v>
          </cell>
          <cell r="M30">
            <v>0</v>
          </cell>
          <cell r="N30">
            <v>0</v>
          </cell>
          <cell r="O30">
            <v>0</v>
          </cell>
          <cell r="P30">
            <v>0</v>
          </cell>
          <cell r="Q30">
            <v>63</v>
          </cell>
          <cell r="R30">
            <v>11</v>
          </cell>
          <cell r="S30">
            <v>2586</v>
          </cell>
          <cell r="T30">
            <v>37</v>
          </cell>
          <cell r="U30">
            <v>0</v>
          </cell>
          <cell r="V30">
            <v>444</v>
          </cell>
          <cell r="W30">
            <v>0</v>
          </cell>
          <cell r="Z30">
            <v>4006</v>
          </cell>
        </row>
        <row r="31">
          <cell r="E31">
            <v>0</v>
          </cell>
          <cell r="F31">
            <v>0</v>
          </cell>
          <cell r="G31">
            <v>0</v>
          </cell>
          <cell r="H31">
            <v>28</v>
          </cell>
          <cell r="I31">
            <v>0</v>
          </cell>
          <cell r="J31">
            <v>0</v>
          </cell>
          <cell r="K31">
            <v>0</v>
          </cell>
          <cell r="L31">
            <v>19</v>
          </cell>
          <cell r="M31">
            <v>0</v>
          </cell>
          <cell r="N31">
            <v>0</v>
          </cell>
          <cell r="O31">
            <v>0</v>
          </cell>
          <cell r="P31">
            <v>0</v>
          </cell>
          <cell r="Q31">
            <v>0</v>
          </cell>
          <cell r="R31">
            <v>0</v>
          </cell>
          <cell r="S31">
            <v>167</v>
          </cell>
          <cell r="T31">
            <v>2</v>
          </cell>
          <cell r="U31">
            <v>0</v>
          </cell>
          <cell r="V31">
            <v>66</v>
          </cell>
          <cell r="W31">
            <v>0</v>
          </cell>
          <cell r="Z31">
            <v>783</v>
          </cell>
        </row>
        <row r="32">
          <cell r="F32">
            <v>0</v>
          </cell>
          <cell r="G32">
            <v>0</v>
          </cell>
          <cell r="H32">
            <v>116</v>
          </cell>
          <cell r="I32">
            <v>0</v>
          </cell>
          <cell r="J32">
            <v>0</v>
          </cell>
          <cell r="K32">
            <v>0</v>
          </cell>
          <cell r="L32">
            <v>39</v>
          </cell>
          <cell r="M32">
            <v>0</v>
          </cell>
          <cell r="N32">
            <v>5</v>
          </cell>
          <cell r="O32">
            <v>0</v>
          </cell>
          <cell r="P32">
            <v>0</v>
          </cell>
          <cell r="Q32">
            <v>58</v>
          </cell>
          <cell r="R32">
            <v>0</v>
          </cell>
          <cell r="S32">
            <v>1408</v>
          </cell>
          <cell r="T32">
            <v>19</v>
          </cell>
          <cell r="U32">
            <v>10</v>
          </cell>
          <cell r="V32">
            <v>314</v>
          </cell>
          <cell r="W32">
            <v>0</v>
          </cell>
          <cell r="Z32">
            <v>2257</v>
          </cell>
        </row>
        <row r="33">
          <cell r="E33">
            <v>0</v>
          </cell>
          <cell r="F33">
            <v>5</v>
          </cell>
          <cell r="G33">
            <v>28998.081007011591</v>
          </cell>
          <cell r="H33">
            <v>6314.3460831187931</v>
          </cell>
          <cell r="I33">
            <v>2731</v>
          </cell>
          <cell r="J33">
            <v>4086.3249059782415</v>
          </cell>
          <cell r="K33">
            <v>58</v>
          </cell>
          <cell r="L33">
            <v>51724.233684110623</v>
          </cell>
          <cell r="M33">
            <v>50</v>
          </cell>
          <cell r="N33">
            <v>601</v>
          </cell>
          <cell r="O33">
            <v>81</v>
          </cell>
          <cell r="P33">
            <v>14496</v>
          </cell>
          <cell r="Q33">
            <v>7197</v>
          </cell>
          <cell r="R33">
            <v>105</v>
          </cell>
          <cell r="S33">
            <v>10458.720532928377</v>
          </cell>
          <cell r="T33">
            <v>195</v>
          </cell>
          <cell r="U33">
            <v>10</v>
          </cell>
          <cell r="V33">
            <v>1351.7441065856756</v>
          </cell>
          <cell r="W33">
            <v>0</v>
          </cell>
          <cell r="X33">
            <v>128380.4503197333</v>
          </cell>
          <cell r="Y33">
            <v>32776.549680266697</v>
          </cell>
          <cell r="Z33">
            <v>161157</v>
          </cell>
        </row>
        <row r="35">
          <cell r="E35">
            <v>0</v>
          </cell>
          <cell r="F35">
            <v>219</v>
          </cell>
          <cell r="G35">
            <v>0</v>
          </cell>
          <cell r="H35">
            <v>45</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Z35">
            <v>720</v>
          </cell>
        </row>
        <row r="36">
          <cell r="E36">
            <v>0</v>
          </cell>
          <cell r="F36">
            <v>14</v>
          </cell>
          <cell r="G36">
            <v>16312</v>
          </cell>
          <cell r="H36">
            <v>379</v>
          </cell>
          <cell r="I36">
            <v>0</v>
          </cell>
          <cell r="J36">
            <v>42</v>
          </cell>
          <cell r="K36">
            <v>0</v>
          </cell>
          <cell r="L36">
            <v>867</v>
          </cell>
          <cell r="M36">
            <v>0</v>
          </cell>
          <cell r="N36">
            <v>14</v>
          </cell>
          <cell r="O36">
            <v>0</v>
          </cell>
          <cell r="P36">
            <v>0</v>
          </cell>
          <cell r="Q36">
            <v>0</v>
          </cell>
          <cell r="R36">
            <v>0</v>
          </cell>
          <cell r="S36">
            <v>14</v>
          </cell>
          <cell r="T36">
            <v>0</v>
          </cell>
          <cell r="U36">
            <v>0</v>
          </cell>
          <cell r="V36">
            <v>0</v>
          </cell>
          <cell r="W36">
            <v>0</v>
          </cell>
          <cell r="Z36">
            <v>25525</v>
          </cell>
        </row>
        <row r="37">
          <cell r="E37">
            <v>0</v>
          </cell>
          <cell r="F37">
            <v>225</v>
          </cell>
          <cell r="G37">
            <v>1014</v>
          </cell>
          <cell r="H37">
            <v>1139</v>
          </cell>
          <cell r="I37">
            <v>0</v>
          </cell>
          <cell r="J37">
            <v>32</v>
          </cell>
          <cell r="K37">
            <v>0</v>
          </cell>
          <cell r="L37">
            <v>4822</v>
          </cell>
          <cell r="M37">
            <v>0</v>
          </cell>
          <cell r="N37">
            <v>32</v>
          </cell>
          <cell r="O37">
            <v>0</v>
          </cell>
          <cell r="P37">
            <v>3711</v>
          </cell>
          <cell r="Q37">
            <v>3211</v>
          </cell>
          <cell r="R37">
            <v>0</v>
          </cell>
          <cell r="S37">
            <v>2088</v>
          </cell>
          <cell r="T37">
            <v>0</v>
          </cell>
          <cell r="U37">
            <v>0</v>
          </cell>
          <cell r="V37">
            <v>401</v>
          </cell>
          <cell r="W37">
            <v>0</v>
          </cell>
          <cell r="Z37">
            <v>19816</v>
          </cell>
        </row>
        <row r="38">
          <cell r="E38">
            <v>0</v>
          </cell>
          <cell r="F38">
            <v>0</v>
          </cell>
          <cell r="G38">
            <v>0</v>
          </cell>
          <cell r="H38">
            <v>538</v>
          </cell>
          <cell r="I38">
            <v>116</v>
          </cell>
          <cell r="J38">
            <v>157</v>
          </cell>
          <cell r="K38">
            <v>0</v>
          </cell>
          <cell r="L38">
            <v>8811</v>
          </cell>
          <cell r="M38">
            <v>0</v>
          </cell>
          <cell r="N38">
            <v>98</v>
          </cell>
          <cell r="O38">
            <v>0</v>
          </cell>
          <cell r="P38">
            <v>0</v>
          </cell>
          <cell r="Q38">
            <v>0</v>
          </cell>
          <cell r="R38">
            <v>0</v>
          </cell>
          <cell r="S38">
            <v>19</v>
          </cell>
          <cell r="T38">
            <v>0</v>
          </cell>
          <cell r="U38">
            <v>0</v>
          </cell>
          <cell r="V38">
            <v>21</v>
          </cell>
          <cell r="W38">
            <v>0</v>
          </cell>
          <cell r="Z38">
            <v>12311</v>
          </cell>
        </row>
        <row r="39">
          <cell r="E39">
            <v>0</v>
          </cell>
          <cell r="F39">
            <v>0</v>
          </cell>
          <cell r="G39">
            <v>0</v>
          </cell>
          <cell r="H39">
            <v>2131</v>
          </cell>
          <cell r="I39">
            <v>36</v>
          </cell>
          <cell r="J39">
            <v>324</v>
          </cell>
          <cell r="K39">
            <v>0</v>
          </cell>
          <cell r="L39">
            <v>854</v>
          </cell>
          <cell r="M39">
            <v>0</v>
          </cell>
          <cell r="N39">
            <v>0</v>
          </cell>
          <cell r="O39">
            <v>0</v>
          </cell>
          <cell r="P39">
            <v>9911</v>
          </cell>
          <cell r="Q39">
            <v>2695</v>
          </cell>
          <cell r="R39">
            <v>0</v>
          </cell>
          <cell r="S39">
            <v>2412</v>
          </cell>
          <cell r="T39">
            <v>0</v>
          </cell>
          <cell r="U39">
            <v>0</v>
          </cell>
          <cell r="V39">
            <v>73</v>
          </cell>
          <cell r="W39">
            <v>0</v>
          </cell>
          <cell r="Z39">
            <v>23563</v>
          </cell>
        </row>
        <row r="40">
          <cell r="E40">
            <v>0</v>
          </cell>
          <cell r="F40">
            <v>0</v>
          </cell>
          <cell r="G40">
            <v>0</v>
          </cell>
          <cell r="H40">
            <v>0</v>
          </cell>
          <cell r="I40">
            <v>0</v>
          </cell>
          <cell r="J40">
            <v>0</v>
          </cell>
          <cell r="K40">
            <v>0</v>
          </cell>
          <cell r="L40">
            <v>41</v>
          </cell>
          <cell r="M40">
            <v>0</v>
          </cell>
          <cell r="N40">
            <v>0</v>
          </cell>
          <cell r="O40">
            <v>0</v>
          </cell>
          <cell r="P40">
            <v>0</v>
          </cell>
          <cell r="Q40">
            <v>0</v>
          </cell>
          <cell r="R40">
            <v>41</v>
          </cell>
          <cell r="S40">
            <v>879</v>
          </cell>
          <cell r="T40">
            <v>0</v>
          </cell>
          <cell r="U40">
            <v>0</v>
          </cell>
          <cell r="V40">
            <v>55</v>
          </cell>
          <cell r="W40">
            <v>0</v>
          </cell>
          <cell r="Z40">
            <v>1210</v>
          </cell>
        </row>
        <row r="41">
          <cell r="F41">
            <v>239</v>
          </cell>
          <cell r="G41">
            <v>17326</v>
          </cell>
          <cell r="H41">
            <v>4187</v>
          </cell>
          <cell r="I41">
            <v>152</v>
          </cell>
          <cell r="J41">
            <v>555</v>
          </cell>
          <cell r="K41">
            <v>0</v>
          </cell>
          <cell r="L41">
            <v>15395</v>
          </cell>
          <cell r="M41">
            <v>0</v>
          </cell>
          <cell r="N41">
            <v>144</v>
          </cell>
          <cell r="O41">
            <v>0</v>
          </cell>
          <cell r="P41">
            <v>13622</v>
          </cell>
          <cell r="Q41">
            <v>5906</v>
          </cell>
          <cell r="R41">
            <v>41</v>
          </cell>
          <cell r="S41">
            <v>5412</v>
          </cell>
          <cell r="T41">
            <v>0</v>
          </cell>
          <cell r="U41">
            <v>0</v>
          </cell>
          <cell r="V41">
            <v>550</v>
          </cell>
          <cell r="W41">
            <v>0</v>
          </cell>
          <cell r="X41">
            <v>63526</v>
          </cell>
          <cell r="Y41">
            <v>18899</v>
          </cell>
          <cell r="Z41">
            <v>82425</v>
          </cell>
        </row>
      </sheetData>
      <sheetData sheetId="3">
        <row r="31">
          <cell r="E31" t="str">
            <v>99</v>
          </cell>
        </row>
        <row r="32">
          <cell r="D32" t="str">
            <v>AMN</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 9 proportion "/>
      <sheetName val="Table 11 CWTs exp"/>
      <sheetName val="hatchery proportion only"/>
      <sheetName val="inland_taf_hatchgrp_tableraw&amp;yy"/>
    </sheetNames>
    <sheetDataSet>
      <sheetData sheetId="0" refreshError="1"/>
      <sheetData sheetId="1">
        <row r="5">
          <cell r="A5" t="str">
            <v>FRFH501</v>
          </cell>
          <cell r="B5" t="str">
            <v>FRFH</v>
          </cell>
          <cell r="C5">
            <v>50</v>
          </cell>
          <cell r="D5">
            <v>1</v>
          </cell>
          <cell r="E5" t="str">
            <v>Feather River Hatchery</v>
          </cell>
          <cell r="F5" t="str">
            <v>Spring</v>
          </cell>
          <cell r="G5">
            <v>0</v>
          </cell>
          <cell r="H5">
            <v>0</v>
          </cell>
          <cell r="I5">
            <v>0</v>
          </cell>
          <cell r="J5">
            <v>0</v>
          </cell>
          <cell r="K5">
            <v>3371</v>
          </cell>
          <cell r="L5">
            <v>668</v>
          </cell>
          <cell r="M5">
            <v>0</v>
          </cell>
          <cell r="N5">
            <v>206</v>
          </cell>
          <cell r="O5">
            <v>0</v>
          </cell>
          <cell r="P5">
            <v>0</v>
          </cell>
          <cell r="Q5">
            <v>0</v>
          </cell>
          <cell r="R5">
            <v>0</v>
          </cell>
          <cell r="S5">
            <v>0</v>
          </cell>
          <cell r="T5">
            <v>0</v>
          </cell>
          <cell r="U5">
            <v>0</v>
          </cell>
          <cell r="V5">
            <v>0</v>
          </cell>
          <cell r="W5">
            <v>0</v>
          </cell>
          <cell r="X5">
            <v>0</v>
          </cell>
          <cell r="AA5">
            <v>4291</v>
          </cell>
        </row>
        <row r="6">
          <cell r="A6" t="str">
            <v>FRFH521</v>
          </cell>
          <cell r="B6" t="str">
            <v>FRFH</v>
          </cell>
          <cell r="C6">
            <v>52</v>
          </cell>
          <cell r="D6">
            <v>1</v>
          </cell>
          <cell r="E6" t="str">
            <v>Feather River Hatchery preseason</v>
          </cell>
          <cell r="F6" t="str">
            <v>Spring</v>
          </cell>
          <cell r="G6">
            <v>0</v>
          </cell>
          <cell r="H6">
            <v>0</v>
          </cell>
          <cell r="I6">
            <v>0</v>
          </cell>
          <cell r="J6">
            <v>0</v>
          </cell>
          <cell r="K6">
            <v>44</v>
          </cell>
          <cell r="L6">
            <v>11</v>
          </cell>
          <cell r="M6">
            <v>0</v>
          </cell>
          <cell r="N6">
            <v>1</v>
          </cell>
          <cell r="O6">
            <v>0</v>
          </cell>
          <cell r="P6">
            <v>0</v>
          </cell>
          <cell r="Q6">
            <v>0</v>
          </cell>
          <cell r="R6">
            <v>0</v>
          </cell>
          <cell r="S6">
            <v>0</v>
          </cell>
          <cell r="T6">
            <v>0</v>
          </cell>
          <cell r="U6">
            <v>0</v>
          </cell>
          <cell r="V6">
            <v>0</v>
          </cell>
          <cell r="W6">
            <v>0</v>
          </cell>
          <cell r="X6">
            <v>0</v>
          </cell>
          <cell r="AA6">
            <v>56</v>
          </cell>
        </row>
        <row r="7">
          <cell r="A7" t="str">
            <v>CNFH503</v>
          </cell>
          <cell r="B7" t="str">
            <v>CNFH</v>
          </cell>
          <cell r="C7">
            <v>50</v>
          </cell>
          <cell r="D7">
            <v>3</v>
          </cell>
          <cell r="E7" t="str">
            <v>Coleman National Fish Hatchery</v>
          </cell>
          <cell r="F7" t="str">
            <v>Fall</v>
          </cell>
          <cell r="G7">
            <v>0</v>
          </cell>
          <cell r="H7">
            <v>0</v>
          </cell>
          <cell r="I7">
            <v>60877</v>
          </cell>
          <cell r="J7">
            <v>1053</v>
          </cell>
          <cell r="K7">
            <v>0</v>
          </cell>
          <cell r="L7">
            <v>4</v>
          </cell>
          <cell r="M7">
            <v>4</v>
          </cell>
          <cell r="N7">
            <v>682</v>
          </cell>
          <cell r="O7">
            <v>15</v>
          </cell>
          <cell r="P7">
            <v>7</v>
          </cell>
          <cell r="Q7">
            <v>0</v>
          </cell>
          <cell r="R7">
            <v>4</v>
          </cell>
          <cell r="S7">
            <v>0</v>
          </cell>
          <cell r="T7">
            <v>15</v>
          </cell>
          <cell r="U7">
            <v>4</v>
          </cell>
          <cell r="V7">
            <v>3</v>
          </cell>
          <cell r="W7">
            <v>0</v>
          </cell>
          <cell r="X7">
            <v>0</v>
          </cell>
          <cell r="AA7">
            <v>69861</v>
          </cell>
        </row>
        <row r="8">
          <cell r="A8" t="str">
            <v>FRFH503</v>
          </cell>
          <cell r="B8" t="str">
            <v>FRFH</v>
          </cell>
          <cell r="C8">
            <v>50</v>
          </cell>
          <cell r="D8">
            <v>3</v>
          </cell>
          <cell r="E8" t="str">
            <v>Feather River Hatchery</v>
          </cell>
          <cell r="F8" t="str">
            <v>Fall</v>
          </cell>
          <cell r="G8">
            <v>0</v>
          </cell>
          <cell r="H8">
            <v>0</v>
          </cell>
          <cell r="I8">
            <v>4</v>
          </cell>
          <cell r="J8">
            <v>267</v>
          </cell>
          <cell r="K8">
            <v>2991</v>
          </cell>
          <cell r="L8">
            <v>855</v>
          </cell>
          <cell r="M8">
            <v>62</v>
          </cell>
          <cell r="N8">
            <v>22234</v>
          </cell>
          <cell r="O8">
            <v>128</v>
          </cell>
          <cell r="P8">
            <v>75</v>
          </cell>
          <cell r="Q8">
            <v>8</v>
          </cell>
          <cell r="R8">
            <v>16</v>
          </cell>
          <cell r="S8">
            <v>1</v>
          </cell>
          <cell r="T8">
            <v>57</v>
          </cell>
          <cell r="U8">
            <v>8</v>
          </cell>
          <cell r="V8">
            <v>4</v>
          </cell>
          <cell r="W8">
            <v>2</v>
          </cell>
          <cell r="X8">
            <v>0</v>
          </cell>
          <cell r="AA8">
            <v>27622</v>
          </cell>
        </row>
        <row r="9">
          <cell r="A9" t="str">
            <v>NBFH503</v>
          </cell>
          <cell r="B9" t="str">
            <v>NBFH</v>
          </cell>
          <cell r="C9">
            <v>50</v>
          </cell>
          <cell r="D9">
            <v>3</v>
          </cell>
          <cell r="E9" t="str">
            <v>Nimbus Fish Hatchery</v>
          </cell>
          <cell r="F9" t="str">
            <v>Fall</v>
          </cell>
          <cell r="G9">
            <v>0</v>
          </cell>
          <cell r="H9">
            <v>0</v>
          </cell>
          <cell r="I9">
            <v>0</v>
          </cell>
          <cell r="J9">
            <v>144</v>
          </cell>
          <cell r="K9">
            <v>0</v>
          </cell>
          <cell r="L9">
            <v>0</v>
          </cell>
          <cell r="M9">
            <v>0</v>
          </cell>
          <cell r="N9">
            <v>137</v>
          </cell>
          <cell r="O9">
            <v>1</v>
          </cell>
          <cell r="P9">
            <v>1</v>
          </cell>
          <cell r="Q9">
            <v>3163</v>
          </cell>
          <cell r="R9">
            <v>2343</v>
          </cell>
          <cell r="S9">
            <v>8</v>
          </cell>
          <cell r="T9">
            <v>1710</v>
          </cell>
          <cell r="U9">
            <v>321</v>
          </cell>
          <cell r="V9">
            <v>0</v>
          </cell>
          <cell r="W9">
            <v>9</v>
          </cell>
          <cell r="X9">
            <v>0</v>
          </cell>
          <cell r="AA9">
            <v>9076</v>
          </cell>
        </row>
        <row r="10">
          <cell r="A10" t="str">
            <v>NIMW593</v>
          </cell>
          <cell r="B10" t="str">
            <v>NIMW</v>
          </cell>
          <cell r="C10">
            <v>59</v>
          </cell>
          <cell r="D10">
            <v>3</v>
          </cell>
          <cell r="E10" t="str">
            <v>Nimbus Fish Hatchery Weir</v>
          </cell>
          <cell r="F10" t="str">
            <v>Fall</v>
          </cell>
          <cell r="G10">
            <v>0</v>
          </cell>
          <cell r="H10">
            <v>0</v>
          </cell>
          <cell r="I10">
            <v>8</v>
          </cell>
          <cell r="J10">
            <v>68</v>
          </cell>
          <cell r="K10">
            <v>0</v>
          </cell>
          <cell r="L10">
            <v>2</v>
          </cell>
          <cell r="M10">
            <v>7</v>
          </cell>
          <cell r="N10">
            <v>257</v>
          </cell>
          <cell r="O10">
            <v>10</v>
          </cell>
          <cell r="P10">
            <v>2</v>
          </cell>
          <cell r="Q10">
            <v>1104</v>
          </cell>
          <cell r="R10">
            <v>432</v>
          </cell>
          <cell r="S10">
            <v>0</v>
          </cell>
          <cell r="T10">
            <v>820</v>
          </cell>
          <cell r="U10">
            <v>96</v>
          </cell>
          <cell r="V10">
            <v>1</v>
          </cell>
          <cell r="W10">
            <v>0</v>
          </cell>
          <cell r="X10">
            <v>0</v>
          </cell>
          <cell r="AA10">
            <v>3969</v>
          </cell>
        </row>
        <row r="11">
          <cell r="A11" t="str">
            <v>MRFI503</v>
          </cell>
          <cell r="B11" t="str">
            <v>MRFI</v>
          </cell>
          <cell r="C11">
            <v>50</v>
          </cell>
          <cell r="D11">
            <v>3</v>
          </cell>
          <cell r="E11" t="str">
            <v>Mokelumne River Hatchery</v>
          </cell>
          <cell r="F11" t="str">
            <v>Fall</v>
          </cell>
          <cell r="G11">
            <v>0</v>
          </cell>
          <cell r="H11">
            <v>1</v>
          </cell>
          <cell r="I11">
            <v>0</v>
          </cell>
          <cell r="J11">
            <v>56</v>
          </cell>
          <cell r="K11">
            <v>0</v>
          </cell>
          <cell r="L11">
            <v>0</v>
          </cell>
          <cell r="M11">
            <v>0</v>
          </cell>
          <cell r="N11">
            <v>193</v>
          </cell>
          <cell r="O11">
            <v>2</v>
          </cell>
          <cell r="P11">
            <v>5</v>
          </cell>
          <cell r="Q11">
            <v>4</v>
          </cell>
          <cell r="R11">
            <v>72</v>
          </cell>
          <cell r="S11">
            <v>241</v>
          </cell>
          <cell r="T11">
            <v>3394</v>
          </cell>
          <cell r="U11">
            <v>647</v>
          </cell>
          <cell r="V11">
            <v>0</v>
          </cell>
          <cell r="W11">
            <v>4</v>
          </cell>
          <cell r="X11">
            <v>4</v>
          </cell>
          <cell r="AA11">
            <v>5181</v>
          </cell>
        </row>
        <row r="12">
          <cell r="A12" t="str">
            <v>MRFF503</v>
          </cell>
          <cell r="B12" t="str">
            <v>MRFF</v>
          </cell>
          <cell r="C12">
            <v>50</v>
          </cell>
          <cell r="D12">
            <v>3</v>
          </cell>
          <cell r="E12" t="str">
            <v>Merced River Hatchery</v>
          </cell>
          <cell r="F12" t="str">
            <v>Fall</v>
          </cell>
          <cell r="G12">
            <v>0</v>
          </cell>
          <cell r="H12">
            <v>3</v>
          </cell>
          <cell r="I12">
            <v>0</v>
          </cell>
          <cell r="J12">
            <v>25</v>
          </cell>
          <cell r="K12">
            <v>0</v>
          </cell>
          <cell r="L12">
            <v>0</v>
          </cell>
          <cell r="M12">
            <v>1</v>
          </cell>
          <cell r="N12">
            <v>46</v>
          </cell>
          <cell r="O12">
            <v>0</v>
          </cell>
          <cell r="P12">
            <v>0</v>
          </cell>
          <cell r="Q12">
            <v>0</v>
          </cell>
          <cell r="R12">
            <v>34</v>
          </cell>
          <cell r="S12">
            <v>0</v>
          </cell>
          <cell r="T12">
            <v>378</v>
          </cell>
          <cell r="U12">
            <v>99</v>
          </cell>
          <cell r="V12">
            <v>96</v>
          </cell>
          <cell r="W12">
            <v>6</v>
          </cell>
          <cell r="X12">
            <v>0</v>
          </cell>
          <cell r="AA12">
            <v>1098</v>
          </cell>
        </row>
        <row r="13">
          <cell r="A13" t="str">
            <v>CNFH507</v>
          </cell>
          <cell r="B13" t="str">
            <v>CNFH</v>
          </cell>
          <cell r="C13">
            <v>50</v>
          </cell>
          <cell r="D13">
            <v>7</v>
          </cell>
          <cell r="E13" t="str">
            <v xml:space="preserve">Coleman National Fish Hatchery </v>
          </cell>
          <cell r="G13">
            <v>0</v>
          </cell>
          <cell r="H13">
            <v>4915</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AA13">
            <v>4950</v>
          </cell>
        </row>
        <row r="14">
          <cell r="A14" t="str">
            <v>CNFW527</v>
          </cell>
          <cell r="B14" t="str">
            <v>CNFW</v>
          </cell>
          <cell r="C14">
            <v>52</v>
          </cell>
          <cell r="D14">
            <v>7</v>
          </cell>
          <cell r="E14" t="str">
            <v>Coleman Hatchery Fish Trap</v>
          </cell>
          <cell r="G14">
            <v>0</v>
          </cell>
          <cell r="H14">
            <v>216</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AA14">
            <v>223</v>
          </cell>
        </row>
        <row r="15">
          <cell r="G15">
            <v>0</v>
          </cell>
          <cell r="H15">
            <v>4</v>
          </cell>
          <cell r="I15">
            <v>60889</v>
          </cell>
          <cell r="J15">
            <v>1613</v>
          </cell>
          <cell r="K15">
            <v>2991</v>
          </cell>
          <cell r="L15">
            <v>861</v>
          </cell>
          <cell r="M15">
            <v>74</v>
          </cell>
          <cell r="N15">
            <v>23549</v>
          </cell>
          <cell r="O15">
            <v>156</v>
          </cell>
          <cell r="P15">
            <v>90</v>
          </cell>
          <cell r="Q15">
            <v>4279</v>
          </cell>
          <cell r="R15">
            <v>2901</v>
          </cell>
          <cell r="S15">
            <v>250</v>
          </cell>
          <cell r="T15">
            <v>6374</v>
          </cell>
          <cell r="U15">
            <v>1175</v>
          </cell>
          <cell r="V15">
            <v>104</v>
          </cell>
          <cell r="W15">
            <v>21</v>
          </cell>
          <cell r="X15">
            <v>4</v>
          </cell>
          <cell r="Y15">
            <v>105335</v>
          </cell>
          <cell r="Z15">
            <v>11472</v>
          </cell>
          <cell r="AA15">
            <v>116807</v>
          </cell>
        </row>
        <row r="17">
          <cell r="A17" t="str">
            <v>USAC544</v>
          </cell>
          <cell r="B17" t="str">
            <v>USAC</v>
          </cell>
          <cell r="C17">
            <v>54</v>
          </cell>
          <cell r="D17">
            <v>4</v>
          </cell>
          <cell r="E17" t="str">
            <v>Upper Sacramento River</v>
          </cell>
          <cell r="F17" t="str">
            <v>Winter</v>
          </cell>
          <cell r="G17">
            <v>367</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AA17">
            <v>5920</v>
          </cell>
        </row>
        <row r="18">
          <cell r="A18" t="str">
            <v>BUTT541</v>
          </cell>
          <cell r="B18" t="str">
            <v>BUTT</v>
          </cell>
          <cell r="C18">
            <v>54</v>
          </cell>
          <cell r="D18">
            <v>1</v>
          </cell>
          <cell r="E18" t="str">
            <v>Butte Creek</v>
          </cell>
          <cell r="F18" t="str">
            <v>Spring</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AA18">
            <v>15887</v>
          </cell>
        </row>
        <row r="19">
          <cell r="A19" t="str">
            <v>USAC543</v>
          </cell>
          <cell r="B19" t="str">
            <v>USAC</v>
          </cell>
          <cell r="C19">
            <v>54</v>
          </cell>
          <cell r="D19">
            <v>3</v>
          </cell>
          <cell r="E19" t="str">
            <v>Upper Sacramento River</v>
          </cell>
          <cell r="F19" t="str">
            <v>Fall</v>
          </cell>
          <cell r="G19">
            <v>0</v>
          </cell>
          <cell r="H19">
            <v>12</v>
          </cell>
          <cell r="I19">
            <v>2727</v>
          </cell>
          <cell r="J19">
            <v>786</v>
          </cell>
          <cell r="K19">
            <v>0</v>
          </cell>
          <cell r="L19">
            <v>998</v>
          </cell>
          <cell r="M19">
            <v>23</v>
          </cell>
          <cell r="N19">
            <v>6362</v>
          </cell>
          <cell r="O19">
            <v>47</v>
          </cell>
          <cell r="P19">
            <v>35</v>
          </cell>
          <cell r="Q19">
            <v>46</v>
          </cell>
          <cell r="R19">
            <v>46</v>
          </cell>
          <cell r="S19">
            <v>0</v>
          </cell>
          <cell r="T19">
            <v>58</v>
          </cell>
          <cell r="U19">
            <v>0</v>
          </cell>
          <cell r="V19">
            <v>0</v>
          </cell>
          <cell r="W19">
            <v>0</v>
          </cell>
          <cell r="X19">
            <v>0</v>
          </cell>
          <cell r="AA19">
            <v>32515</v>
          </cell>
        </row>
        <row r="20">
          <cell r="A20" t="str">
            <v>CLR543</v>
          </cell>
          <cell r="B20" t="str">
            <v>CLR</v>
          </cell>
          <cell r="C20">
            <v>54</v>
          </cell>
          <cell r="D20">
            <v>3</v>
          </cell>
          <cell r="E20" t="str">
            <v>Clear Creek</v>
          </cell>
          <cell r="F20" t="str">
            <v>Fall</v>
          </cell>
          <cell r="G20">
            <v>0</v>
          </cell>
          <cell r="H20">
            <v>0</v>
          </cell>
          <cell r="I20">
            <v>2615</v>
          </cell>
          <cell r="J20">
            <v>259</v>
          </cell>
          <cell r="K20">
            <v>0</v>
          </cell>
          <cell r="L20">
            <v>108</v>
          </cell>
          <cell r="M20">
            <v>0</v>
          </cell>
          <cell r="N20">
            <v>1885</v>
          </cell>
          <cell r="O20">
            <v>25</v>
          </cell>
          <cell r="P20">
            <v>20</v>
          </cell>
          <cell r="Q20">
            <v>0</v>
          </cell>
          <cell r="R20">
            <v>0</v>
          </cell>
          <cell r="S20">
            <v>0</v>
          </cell>
          <cell r="T20">
            <v>5</v>
          </cell>
          <cell r="U20">
            <v>0</v>
          </cell>
          <cell r="V20">
            <v>0</v>
          </cell>
          <cell r="W20">
            <v>0</v>
          </cell>
          <cell r="X20">
            <v>0</v>
          </cell>
          <cell r="AA20">
            <v>13337</v>
          </cell>
        </row>
        <row r="21">
          <cell r="A21" t="str">
            <v>BATT543</v>
          </cell>
          <cell r="B21" t="str">
            <v>BATT</v>
          </cell>
          <cell r="C21">
            <v>54</v>
          </cell>
          <cell r="D21">
            <v>3</v>
          </cell>
          <cell r="E21" t="str">
            <v>Battle Creek</v>
          </cell>
          <cell r="G21">
            <v>0</v>
          </cell>
          <cell r="H21">
            <v>0</v>
          </cell>
          <cell r="I21">
            <v>27509.282904624899</v>
          </cell>
          <cell r="J21">
            <v>475.8328251814317</v>
          </cell>
          <cell r="K21">
            <v>0</v>
          </cell>
          <cell r="L21">
            <v>1.8075320994546313</v>
          </cell>
          <cell r="M21">
            <v>1.8075320994546313</v>
          </cell>
          <cell r="N21">
            <v>308.18422295701464</v>
          </cell>
          <cell r="O21">
            <v>6.778245372954868</v>
          </cell>
          <cell r="P21">
            <v>3.1631811740456048</v>
          </cell>
          <cell r="Q21">
            <v>0</v>
          </cell>
          <cell r="R21">
            <v>1.8075320994546313</v>
          </cell>
          <cell r="S21">
            <v>0</v>
          </cell>
          <cell r="T21">
            <v>6.778245372954868</v>
          </cell>
          <cell r="U21">
            <v>1.8075320994546313</v>
          </cell>
          <cell r="V21">
            <v>1.3556490745909735</v>
          </cell>
          <cell r="W21">
            <v>0</v>
          </cell>
          <cell r="X21">
            <v>0</v>
          </cell>
          <cell r="AA21">
            <v>31569</v>
          </cell>
        </row>
        <row r="22">
          <cell r="A22" t="str">
            <v>COT543</v>
          </cell>
          <cell r="B22" t="str">
            <v>COT</v>
          </cell>
          <cell r="C22">
            <v>54</v>
          </cell>
          <cell r="D22">
            <v>3</v>
          </cell>
          <cell r="E22" t="str">
            <v>Cottonwood Creek</v>
          </cell>
          <cell r="F22" t="str">
            <v>Fall</v>
          </cell>
          <cell r="G22">
            <v>0</v>
          </cell>
          <cell r="H22">
            <v>0</v>
          </cell>
          <cell r="I22">
            <v>533</v>
          </cell>
          <cell r="J22">
            <v>87</v>
          </cell>
          <cell r="K22">
            <v>0</v>
          </cell>
          <cell r="L22">
            <v>0</v>
          </cell>
          <cell r="M22">
            <v>0</v>
          </cell>
          <cell r="N22">
            <v>234</v>
          </cell>
          <cell r="O22">
            <v>0</v>
          </cell>
          <cell r="P22">
            <v>0</v>
          </cell>
          <cell r="Q22">
            <v>0</v>
          </cell>
          <cell r="R22">
            <v>0</v>
          </cell>
          <cell r="S22">
            <v>0</v>
          </cell>
          <cell r="T22">
            <v>0</v>
          </cell>
          <cell r="U22">
            <v>0</v>
          </cell>
          <cell r="V22">
            <v>0</v>
          </cell>
          <cell r="W22">
            <v>0</v>
          </cell>
          <cell r="X22">
            <v>0</v>
          </cell>
          <cell r="AA22">
            <v>2774</v>
          </cell>
        </row>
        <row r="23">
          <cell r="A23" t="str">
            <v>PAY543</v>
          </cell>
          <cell r="B23" t="str">
            <v>PAY</v>
          </cell>
          <cell r="C23">
            <v>54</v>
          </cell>
          <cell r="D23">
            <v>3</v>
          </cell>
          <cell r="E23" t="str">
            <v>Paynes Creek</v>
          </cell>
          <cell r="F23" t="str">
            <v>Fall</v>
          </cell>
          <cell r="G23">
            <v>0</v>
          </cell>
          <cell r="H23">
            <v>0</v>
          </cell>
          <cell r="I23">
            <v>93</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AA23">
            <v>175</v>
          </cell>
        </row>
        <row r="24">
          <cell r="B24" t="str">
            <v>MLC</v>
          </cell>
          <cell r="C24">
            <v>54</v>
          </cell>
          <cell r="D24">
            <v>3</v>
          </cell>
          <cell r="E24" t="str">
            <v>Mill Creek</v>
          </cell>
          <cell r="F24" t="str">
            <v>Fall</v>
          </cell>
          <cell r="G24">
            <v>0</v>
          </cell>
          <cell r="H24">
            <v>0</v>
          </cell>
          <cell r="I24">
            <v>332</v>
          </cell>
          <cell r="J24">
            <v>110</v>
          </cell>
          <cell r="K24">
            <v>0</v>
          </cell>
          <cell r="L24">
            <v>0</v>
          </cell>
          <cell r="M24">
            <v>0</v>
          </cell>
          <cell r="N24">
            <v>222</v>
          </cell>
          <cell r="O24">
            <v>0</v>
          </cell>
          <cell r="P24">
            <v>14</v>
          </cell>
          <cell r="Q24">
            <v>0</v>
          </cell>
          <cell r="R24">
            <v>0</v>
          </cell>
          <cell r="S24">
            <v>0</v>
          </cell>
          <cell r="T24">
            <v>14</v>
          </cell>
          <cell r="U24">
            <v>0</v>
          </cell>
          <cell r="V24">
            <v>0</v>
          </cell>
          <cell r="W24">
            <v>0</v>
          </cell>
          <cell r="X24">
            <v>0</v>
          </cell>
          <cell r="AA24">
            <v>2197</v>
          </cell>
        </row>
        <row r="25">
          <cell r="A25" t="str">
            <v>DEE543</v>
          </cell>
          <cell r="B25" t="str">
            <v>DEE</v>
          </cell>
          <cell r="C25">
            <v>54</v>
          </cell>
          <cell r="D25">
            <v>3</v>
          </cell>
          <cell r="E25" t="str">
            <v>Deer Creek</v>
          </cell>
          <cell r="F25" t="str">
            <v>Fall</v>
          </cell>
          <cell r="G25">
            <v>0</v>
          </cell>
          <cell r="H25">
            <v>0</v>
          </cell>
          <cell r="I25">
            <v>0</v>
          </cell>
          <cell r="J25">
            <v>0</v>
          </cell>
          <cell r="K25">
            <v>0</v>
          </cell>
          <cell r="L25">
            <v>0</v>
          </cell>
          <cell r="M25">
            <v>0</v>
          </cell>
          <cell r="N25">
            <v>37</v>
          </cell>
          <cell r="O25">
            <v>0</v>
          </cell>
          <cell r="P25">
            <v>0</v>
          </cell>
          <cell r="Q25">
            <v>0</v>
          </cell>
          <cell r="R25">
            <v>0</v>
          </cell>
          <cell r="S25">
            <v>0</v>
          </cell>
          <cell r="T25">
            <v>0</v>
          </cell>
          <cell r="U25">
            <v>0</v>
          </cell>
          <cell r="V25">
            <v>0</v>
          </cell>
          <cell r="W25">
            <v>0</v>
          </cell>
          <cell r="X25">
            <v>0</v>
          </cell>
          <cell r="AA25">
            <v>1026</v>
          </cell>
        </row>
        <row r="26">
          <cell r="A26" t="str">
            <v>BUTT543</v>
          </cell>
          <cell r="B26" t="str">
            <v>BUTT</v>
          </cell>
          <cell r="C26">
            <v>54</v>
          </cell>
          <cell r="D26">
            <v>3</v>
          </cell>
          <cell r="E26" t="str">
            <v>Butte Creek</v>
          </cell>
          <cell r="F26" t="str">
            <v>Fall</v>
          </cell>
          <cell r="G26">
            <v>0</v>
          </cell>
          <cell r="H26">
            <v>0</v>
          </cell>
          <cell r="I26">
            <v>0</v>
          </cell>
          <cell r="J26">
            <v>17</v>
          </cell>
          <cell r="K26">
            <v>0</v>
          </cell>
          <cell r="L26">
            <v>0</v>
          </cell>
          <cell r="M26">
            <v>0</v>
          </cell>
          <cell r="N26">
            <v>86</v>
          </cell>
          <cell r="O26">
            <v>0</v>
          </cell>
          <cell r="P26">
            <v>3</v>
          </cell>
          <cell r="Q26">
            <v>0</v>
          </cell>
          <cell r="R26">
            <v>0</v>
          </cell>
          <cell r="S26">
            <v>0</v>
          </cell>
          <cell r="T26">
            <v>36</v>
          </cell>
          <cell r="U26">
            <v>0</v>
          </cell>
          <cell r="V26">
            <v>0</v>
          </cell>
          <cell r="W26">
            <v>2</v>
          </cell>
          <cell r="X26">
            <v>0</v>
          </cell>
          <cell r="AA26">
            <v>2200</v>
          </cell>
        </row>
        <row r="27">
          <cell r="A27" t="str">
            <v>FEA543</v>
          </cell>
          <cell r="B27" t="str">
            <v>FEA</v>
          </cell>
          <cell r="C27">
            <v>54</v>
          </cell>
          <cell r="D27">
            <v>3</v>
          </cell>
          <cell r="E27" t="str">
            <v>Feather River</v>
          </cell>
          <cell r="F27" t="str">
            <v>Fall</v>
          </cell>
          <cell r="G27">
            <v>0</v>
          </cell>
          <cell r="H27">
            <v>0</v>
          </cell>
          <cell r="I27">
            <v>65</v>
          </cell>
          <cell r="J27">
            <v>3676</v>
          </cell>
          <cell r="K27">
            <v>19545</v>
          </cell>
          <cell r="L27">
            <v>7662</v>
          </cell>
          <cell r="M27">
            <v>64</v>
          </cell>
          <cell r="N27">
            <v>95101</v>
          </cell>
          <cell r="O27">
            <v>485</v>
          </cell>
          <cell r="P27">
            <v>523</v>
          </cell>
          <cell r="Q27">
            <v>0</v>
          </cell>
          <cell r="R27">
            <v>79</v>
          </cell>
          <cell r="S27">
            <v>16</v>
          </cell>
          <cell r="T27">
            <v>308</v>
          </cell>
          <cell r="U27">
            <v>65</v>
          </cell>
          <cell r="V27">
            <v>0</v>
          </cell>
          <cell r="W27">
            <v>17</v>
          </cell>
          <cell r="X27">
            <v>0</v>
          </cell>
          <cell r="AA27">
            <v>151209</v>
          </cell>
        </row>
        <row r="28">
          <cell r="A28" t="str">
            <v>YUBA543</v>
          </cell>
          <cell r="B28" t="str">
            <v>YUBA</v>
          </cell>
          <cell r="C28">
            <v>54</v>
          </cell>
          <cell r="D28">
            <v>3</v>
          </cell>
          <cell r="E28" t="str">
            <v>Yuba - above</v>
          </cell>
          <cell r="F28" t="str">
            <v>Fall</v>
          </cell>
          <cell r="G28">
            <v>0</v>
          </cell>
          <cell r="H28">
            <v>0</v>
          </cell>
          <cell r="I28">
            <v>0</v>
          </cell>
          <cell r="J28">
            <v>352</v>
          </cell>
          <cell r="K28">
            <v>39</v>
          </cell>
          <cell r="L28">
            <v>20</v>
          </cell>
          <cell r="M28">
            <v>0</v>
          </cell>
          <cell r="N28">
            <v>2679</v>
          </cell>
          <cell r="O28">
            <v>10</v>
          </cell>
          <cell r="P28">
            <v>10</v>
          </cell>
          <cell r="Q28">
            <v>78</v>
          </cell>
          <cell r="R28">
            <v>117</v>
          </cell>
          <cell r="S28">
            <v>0</v>
          </cell>
          <cell r="T28">
            <v>511</v>
          </cell>
          <cell r="U28">
            <v>0</v>
          </cell>
          <cell r="V28">
            <v>0</v>
          </cell>
          <cell r="W28">
            <v>0</v>
          </cell>
          <cell r="X28">
            <v>0</v>
          </cell>
          <cell r="AA28">
            <v>11380</v>
          </cell>
        </row>
        <row r="29">
          <cell r="A29" t="str">
            <v>YUBB543</v>
          </cell>
          <cell r="B29" t="str">
            <v>YUBB</v>
          </cell>
          <cell r="C29">
            <v>54</v>
          </cell>
          <cell r="D29">
            <v>3</v>
          </cell>
          <cell r="E29" t="str">
            <v>Yuba - below</v>
          </cell>
          <cell r="F29" t="str">
            <v>Fall</v>
          </cell>
          <cell r="G29">
            <v>0</v>
          </cell>
          <cell r="H29">
            <v>0</v>
          </cell>
          <cell r="I29">
            <v>27</v>
          </cell>
          <cell r="J29">
            <v>242</v>
          </cell>
          <cell r="K29">
            <v>61</v>
          </cell>
          <cell r="L29">
            <v>7</v>
          </cell>
          <cell r="M29">
            <v>7</v>
          </cell>
          <cell r="N29">
            <v>1030</v>
          </cell>
          <cell r="O29">
            <v>7</v>
          </cell>
          <cell r="P29">
            <v>7</v>
          </cell>
          <cell r="Q29">
            <v>54</v>
          </cell>
          <cell r="R29">
            <v>27</v>
          </cell>
          <cell r="S29">
            <v>0</v>
          </cell>
          <cell r="T29">
            <v>108</v>
          </cell>
          <cell r="U29">
            <v>27</v>
          </cell>
          <cell r="V29">
            <v>0</v>
          </cell>
          <cell r="W29">
            <v>0</v>
          </cell>
          <cell r="X29">
            <v>0</v>
          </cell>
          <cell r="AA29">
            <v>3500</v>
          </cell>
        </row>
        <row r="30">
          <cell r="A30" t="str">
            <v>LARC543</v>
          </cell>
          <cell r="B30" t="str">
            <v>LARC</v>
          </cell>
          <cell r="C30">
            <v>54</v>
          </cell>
          <cell r="D30">
            <v>3</v>
          </cell>
          <cell r="E30" t="str">
            <v>American River</v>
          </cell>
          <cell r="F30" t="str">
            <v>Fall</v>
          </cell>
          <cell r="G30">
            <v>0</v>
          </cell>
          <cell r="H30">
            <v>0</v>
          </cell>
          <cell r="I30">
            <v>81</v>
          </cell>
          <cell r="J30">
            <v>2419</v>
          </cell>
          <cell r="K30">
            <v>0</v>
          </cell>
          <cell r="L30">
            <v>0</v>
          </cell>
          <cell r="M30">
            <v>0</v>
          </cell>
          <cell r="N30">
            <v>1046</v>
          </cell>
          <cell r="O30">
            <v>15</v>
          </cell>
          <cell r="P30">
            <v>0</v>
          </cell>
          <cell r="Q30">
            <v>18268</v>
          </cell>
          <cell r="R30">
            <v>8983</v>
          </cell>
          <cell r="S30">
            <v>10</v>
          </cell>
          <cell r="T30">
            <v>3839</v>
          </cell>
          <cell r="U30">
            <v>469</v>
          </cell>
          <cell r="V30">
            <v>0</v>
          </cell>
          <cell r="W30">
            <v>32</v>
          </cell>
          <cell r="X30">
            <v>0</v>
          </cell>
          <cell r="AA30">
            <v>54259</v>
          </cell>
        </row>
        <row r="31">
          <cell r="A31" t="str">
            <v>MOKE543</v>
          </cell>
          <cell r="B31" t="str">
            <v>MOKE</v>
          </cell>
          <cell r="C31">
            <v>54</v>
          </cell>
          <cell r="D31">
            <v>3</v>
          </cell>
          <cell r="E31" t="str">
            <v>Mokelumne River</v>
          </cell>
          <cell r="F31" t="str">
            <v>Fall</v>
          </cell>
          <cell r="G31">
            <v>0</v>
          </cell>
          <cell r="H31">
            <v>0</v>
          </cell>
          <cell r="I31">
            <v>0</v>
          </cell>
          <cell r="J31">
            <v>87</v>
          </cell>
          <cell r="K31">
            <v>0</v>
          </cell>
          <cell r="L31">
            <v>0</v>
          </cell>
          <cell r="M31">
            <v>0</v>
          </cell>
          <cell r="N31">
            <v>141</v>
          </cell>
          <cell r="O31">
            <v>0</v>
          </cell>
          <cell r="P31">
            <v>0</v>
          </cell>
          <cell r="Q31">
            <v>0</v>
          </cell>
          <cell r="R31">
            <v>91</v>
          </cell>
          <cell r="S31">
            <v>66</v>
          </cell>
          <cell r="T31">
            <v>3784</v>
          </cell>
          <cell r="U31">
            <v>351</v>
          </cell>
          <cell r="V31">
            <v>0</v>
          </cell>
          <cell r="W31">
            <v>9</v>
          </cell>
          <cell r="X31">
            <v>0</v>
          </cell>
          <cell r="AA31">
            <v>7071</v>
          </cell>
        </row>
        <row r="32">
          <cell r="A32" t="str">
            <v>COSU543</v>
          </cell>
          <cell r="B32" t="str">
            <v>COSU</v>
          </cell>
          <cell r="C32">
            <v>54</v>
          </cell>
          <cell r="D32">
            <v>3</v>
          </cell>
          <cell r="E32" t="str">
            <v>Cosumnes River</v>
          </cell>
          <cell r="F32" t="str">
            <v>Fall</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AA32">
            <v>0</v>
          </cell>
        </row>
        <row r="33">
          <cell r="A33" t="str">
            <v>CAL543</v>
          </cell>
          <cell r="B33" t="str">
            <v>CAL</v>
          </cell>
          <cell r="C33">
            <v>54</v>
          </cell>
          <cell r="D33">
            <v>3</v>
          </cell>
          <cell r="E33" t="str">
            <v>Calaveras River*</v>
          </cell>
          <cell r="F33" t="str">
            <v>Fall</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AA33">
            <v>0</v>
          </cell>
        </row>
        <row r="34">
          <cell r="A34" t="str">
            <v>STA543</v>
          </cell>
          <cell r="B34" t="str">
            <v>STA</v>
          </cell>
          <cell r="C34">
            <v>54</v>
          </cell>
          <cell r="D34">
            <v>3</v>
          </cell>
          <cell r="E34" t="str">
            <v>Stanislaus River</v>
          </cell>
          <cell r="F34" t="str">
            <v>Fall</v>
          </cell>
          <cell r="G34">
            <v>0</v>
          </cell>
          <cell r="H34">
            <v>0</v>
          </cell>
          <cell r="I34">
            <v>0</v>
          </cell>
          <cell r="J34">
            <v>131</v>
          </cell>
          <cell r="K34">
            <v>0</v>
          </cell>
          <cell r="L34">
            <v>0</v>
          </cell>
          <cell r="M34">
            <v>3</v>
          </cell>
          <cell r="N34">
            <v>158</v>
          </cell>
          <cell r="O34">
            <v>0</v>
          </cell>
          <cell r="P34">
            <v>3</v>
          </cell>
          <cell r="Q34">
            <v>0</v>
          </cell>
          <cell r="R34">
            <v>13</v>
          </cell>
          <cell r="S34">
            <v>0</v>
          </cell>
          <cell r="T34">
            <v>1394</v>
          </cell>
          <cell r="U34">
            <v>145</v>
          </cell>
          <cell r="V34">
            <v>0</v>
          </cell>
          <cell r="W34">
            <v>21</v>
          </cell>
          <cell r="X34">
            <v>0</v>
          </cell>
          <cell r="AA34">
            <v>2845</v>
          </cell>
        </row>
        <row r="35">
          <cell r="A35" t="str">
            <v>TUO543</v>
          </cell>
          <cell r="B35" t="str">
            <v>TUO</v>
          </cell>
          <cell r="C35">
            <v>54</v>
          </cell>
          <cell r="D35">
            <v>3</v>
          </cell>
          <cell r="E35" t="str">
            <v>Tuolumne River</v>
          </cell>
          <cell r="F35" t="str">
            <v>Fall</v>
          </cell>
          <cell r="G35">
            <v>0</v>
          </cell>
          <cell r="H35">
            <v>0</v>
          </cell>
          <cell r="I35">
            <v>0</v>
          </cell>
          <cell r="J35">
            <v>73</v>
          </cell>
          <cell r="K35">
            <v>0</v>
          </cell>
          <cell r="L35">
            <v>0</v>
          </cell>
          <cell r="M35">
            <v>0</v>
          </cell>
          <cell r="N35">
            <v>73</v>
          </cell>
          <cell r="O35">
            <v>0</v>
          </cell>
          <cell r="P35">
            <v>0</v>
          </cell>
          <cell r="Q35">
            <v>0</v>
          </cell>
          <cell r="R35">
            <v>6</v>
          </cell>
          <cell r="S35">
            <v>0</v>
          </cell>
          <cell r="T35">
            <v>342</v>
          </cell>
          <cell r="U35">
            <v>36</v>
          </cell>
          <cell r="V35">
            <v>2</v>
          </cell>
          <cell r="W35">
            <v>5</v>
          </cell>
          <cell r="X35">
            <v>0</v>
          </cell>
          <cell r="AA35">
            <v>1926</v>
          </cell>
        </row>
        <row r="36">
          <cell r="A36" t="str">
            <v>MER543</v>
          </cell>
          <cell r="B36" t="str">
            <v>MER</v>
          </cell>
          <cell r="C36">
            <v>54</v>
          </cell>
          <cell r="D36">
            <v>3</v>
          </cell>
          <cell r="E36" t="str">
            <v>Merced River</v>
          </cell>
          <cell r="F36" t="str">
            <v>Fall</v>
          </cell>
          <cell r="G36">
            <v>0</v>
          </cell>
          <cell r="H36">
            <v>0</v>
          </cell>
          <cell r="I36">
            <v>0</v>
          </cell>
          <cell r="J36">
            <v>234</v>
          </cell>
          <cell r="K36">
            <v>0</v>
          </cell>
          <cell r="L36">
            <v>0</v>
          </cell>
          <cell r="M36">
            <v>0</v>
          </cell>
          <cell r="N36">
            <v>26</v>
          </cell>
          <cell r="O36">
            <v>0</v>
          </cell>
          <cell r="P36">
            <v>0</v>
          </cell>
          <cell r="Q36">
            <v>0</v>
          </cell>
          <cell r="R36">
            <v>52</v>
          </cell>
          <cell r="S36">
            <v>0</v>
          </cell>
          <cell r="T36">
            <v>698</v>
          </cell>
          <cell r="U36">
            <v>156</v>
          </cell>
          <cell r="V36">
            <v>61</v>
          </cell>
          <cell r="W36">
            <v>21</v>
          </cell>
          <cell r="X36">
            <v>0</v>
          </cell>
          <cell r="AA36">
            <v>2826</v>
          </cell>
        </row>
        <row r="37">
          <cell r="A37" t="str">
            <v>USAC547</v>
          </cell>
          <cell r="B37" t="str">
            <v>USAC</v>
          </cell>
          <cell r="C37">
            <v>54</v>
          </cell>
          <cell r="D37">
            <v>7</v>
          </cell>
          <cell r="E37" t="str">
            <v>Upper Sacramento River</v>
          </cell>
          <cell r="G37">
            <v>0</v>
          </cell>
          <cell r="H37">
            <v>1302</v>
          </cell>
          <cell r="I37">
            <v>0</v>
          </cell>
          <cell r="J37">
            <v>0</v>
          </cell>
          <cell r="K37">
            <v>0</v>
          </cell>
          <cell r="L37">
            <v>12</v>
          </cell>
          <cell r="M37">
            <v>0</v>
          </cell>
          <cell r="N37">
            <v>0</v>
          </cell>
          <cell r="O37">
            <v>0</v>
          </cell>
          <cell r="P37">
            <v>0</v>
          </cell>
          <cell r="Q37">
            <v>0</v>
          </cell>
          <cell r="R37">
            <v>45</v>
          </cell>
          <cell r="S37">
            <v>0</v>
          </cell>
          <cell r="T37">
            <v>0</v>
          </cell>
          <cell r="U37">
            <v>0</v>
          </cell>
          <cell r="V37">
            <v>0</v>
          </cell>
          <cell r="W37">
            <v>0</v>
          </cell>
          <cell r="X37">
            <v>0</v>
          </cell>
          <cell r="AA37">
            <v>7950</v>
          </cell>
        </row>
        <row r="38">
          <cell r="G38">
            <v>0</v>
          </cell>
          <cell r="H38">
            <v>12</v>
          </cell>
          <cell r="I38">
            <v>33982.282904624895</v>
          </cell>
          <cell r="J38">
            <v>8948.832825181431</v>
          </cell>
          <cell r="K38">
            <v>19645</v>
          </cell>
          <cell r="L38">
            <v>8796.807532099454</v>
          </cell>
          <cell r="M38">
            <v>98.807532099454633</v>
          </cell>
          <cell r="N38">
            <v>109388.18422295702</v>
          </cell>
          <cell r="O38">
            <v>595.77824537295487</v>
          </cell>
          <cell r="P38">
            <v>618.16318117404558</v>
          </cell>
          <cell r="Q38">
            <v>18446</v>
          </cell>
          <cell r="R38">
            <v>9415.807532099454</v>
          </cell>
          <cell r="S38">
            <v>92</v>
          </cell>
          <cell r="T38">
            <v>11103.778245372956</v>
          </cell>
          <cell r="U38">
            <v>1250.8075320994546</v>
          </cell>
          <cell r="V38">
            <v>64.355649074590971</v>
          </cell>
          <cell r="W38">
            <v>107</v>
          </cell>
          <cell r="X38">
            <v>0</v>
          </cell>
          <cell r="Y38">
            <v>222568.60540215572</v>
          </cell>
          <cell r="Z38">
            <v>98240.394597844293</v>
          </cell>
          <cell r="AA38">
            <v>320809</v>
          </cell>
        </row>
        <row r="40">
          <cell r="G40">
            <v>367</v>
          </cell>
          <cell r="H40">
            <v>6445</v>
          </cell>
          <cell r="I40">
            <v>91113.282904624895</v>
          </cell>
          <cell r="J40">
            <v>2314.8328251814319</v>
          </cell>
          <cell r="K40">
            <v>26051</v>
          </cell>
          <cell r="L40">
            <v>9223</v>
          </cell>
          <cell r="M40">
            <v>133</v>
          </cell>
          <cell r="N40">
            <v>121251</v>
          </cell>
          <cell r="O40">
            <v>630</v>
          </cell>
          <cell r="P40">
            <v>615</v>
          </cell>
          <cell r="Q40">
            <v>22535</v>
          </cell>
          <cell r="R40">
            <v>11758</v>
          </cell>
          <cell r="S40">
            <v>307</v>
          </cell>
          <cell r="T40">
            <v>7178</v>
          </cell>
          <cell r="U40">
            <v>998</v>
          </cell>
          <cell r="V40">
            <v>157</v>
          </cell>
          <cell r="W40">
            <v>27</v>
          </cell>
          <cell r="AA40">
            <v>438934.51032765064</v>
          </cell>
        </row>
        <row r="41">
          <cell r="G41">
            <v>0</v>
          </cell>
          <cell r="H41">
            <v>4</v>
          </cell>
          <cell r="I41">
            <v>3758</v>
          </cell>
          <cell r="J41">
            <v>8247</v>
          </cell>
          <cell r="K41">
            <v>0</v>
          </cell>
          <cell r="L41">
            <v>1125.807532099454</v>
          </cell>
          <cell r="M41">
            <v>39.807532099454647</v>
          </cell>
          <cell r="N41">
            <v>11893.184222957003</v>
          </cell>
          <cell r="O41">
            <v>121.77824537295487</v>
          </cell>
          <cell r="P41">
            <v>93.163181174045576</v>
          </cell>
          <cell r="Q41">
            <v>190</v>
          </cell>
          <cell r="R41">
            <v>603.80753209945397</v>
          </cell>
          <cell r="S41">
            <v>35</v>
          </cell>
          <cell r="T41">
            <v>10299.778245372956</v>
          </cell>
          <cell r="U41">
            <v>1427.8075320994549</v>
          </cell>
          <cell r="V41">
            <v>11.355649074590985</v>
          </cell>
          <cell r="W41">
            <v>101</v>
          </cell>
          <cell r="X41">
            <v>4</v>
          </cell>
          <cell r="AA41">
            <v>37958.489672349358</v>
          </cell>
        </row>
        <row r="42">
          <cell r="G42">
            <v>367</v>
          </cell>
          <cell r="H42">
            <v>6449</v>
          </cell>
          <cell r="I42">
            <v>94871.282904624895</v>
          </cell>
          <cell r="J42">
            <v>10561.832825181431</v>
          </cell>
          <cell r="K42">
            <v>26051</v>
          </cell>
          <cell r="L42">
            <v>10348.807532099454</v>
          </cell>
          <cell r="M42">
            <v>172.80753209945465</v>
          </cell>
          <cell r="N42">
            <v>133144.184222957</v>
          </cell>
          <cell r="O42">
            <v>751.77824537295487</v>
          </cell>
          <cell r="P42">
            <v>708.16318117404558</v>
          </cell>
          <cell r="Q42">
            <v>22725</v>
          </cell>
          <cell r="R42">
            <v>12361.807532099454</v>
          </cell>
          <cell r="S42">
            <v>342</v>
          </cell>
          <cell r="T42">
            <v>17477.778245372956</v>
          </cell>
          <cell r="U42">
            <v>2425.8075320994549</v>
          </cell>
          <cell r="V42">
            <v>168.35564907459099</v>
          </cell>
          <cell r="W42">
            <v>128</v>
          </cell>
          <cell r="X42">
            <v>4</v>
          </cell>
          <cell r="AA42">
            <v>476893</v>
          </cell>
        </row>
        <row r="45">
          <cell r="A45" t="str">
            <v>USAC463</v>
          </cell>
          <cell r="B45" t="str">
            <v>USAC</v>
          </cell>
          <cell r="C45">
            <v>46</v>
          </cell>
          <cell r="D45">
            <v>3</v>
          </cell>
          <cell r="E45" t="str">
            <v xml:space="preserve">Upper Sacramento River </v>
          </cell>
          <cell r="F45" t="str">
            <v>Fall</v>
          </cell>
          <cell r="G45">
            <v>0</v>
          </cell>
          <cell r="H45">
            <v>0</v>
          </cell>
          <cell r="I45">
            <v>12298</v>
          </cell>
          <cell r="J45">
            <v>139</v>
          </cell>
          <cell r="K45">
            <v>0</v>
          </cell>
          <cell r="L45">
            <v>107</v>
          </cell>
          <cell r="M45">
            <v>0</v>
          </cell>
          <cell r="N45">
            <v>1350</v>
          </cell>
          <cell r="O45">
            <v>12</v>
          </cell>
          <cell r="P45">
            <v>12</v>
          </cell>
          <cell r="Q45">
            <v>12</v>
          </cell>
          <cell r="R45">
            <v>0</v>
          </cell>
          <cell r="S45">
            <v>0</v>
          </cell>
          <cell r="T45">
            <v>0</v>
          </cell>
          <cell r="U45">
            <v>0</v>
          </cell>
          <cell r="V45">
            <v>0</v>
          </cell>
          <cell r="W45">
            <v>0</v>
          </cell>
          <cell r="X45">
            <v>0</v>
          </cell>
          <cell r="AA45">
            <v>20947</v>
          </cell>
        </row>
        <row r="46">
          <cell r="A46" t="str">
            <v>LSAC463</v>
          </cell>
          <cell r="B46" t="str">
            <v>LSAC</v>
          </cell>
          <cell r="C46">
            <v>46</v>
          </cell>
          <cell r="D46">
            <v>3</v>
          </cell>
          <cell r="E46" t="str">
            <v xml:space="preserve">Lower Sacramento River </v>
          </cell>
          <cell r="F46" t="str">
            <v>Fall</v>
          </cell>
          <cell r="G46">
            <v>0</v>
          </cell>
          <cell r="H46">
            <v>799</v>
          </cell>
          <cell r="I46">
            <v>1043</v>
          </cell>
          <cell r="J46">
            <v>925</v>
          </cell>
          <cell r="K46">
            <v>0</v>
          </cell>
          <cell r="L46">
            <v>0</v>
          </cell>
          <cell r="M46">
            <v>0</v>
          </cell>
          <cell r="N46">
            <v>5700</v>
          </cell>
          <cell r="O46">
            <v>87</v>
          </cell>
          <cell r="P46">
            <v>29</v>
          </cell>
          <cell r="Q46">
            <v>1943</v>
          </cell>
          <cell r="R46">
            <v>1068</v>
          </cell>
          <cell r="S46">
            <v>0</v>
          </cell>
          <cell r="T46">
            <v>987</v>
          </cell>
          <cell r="U46">
            <v>231</v>
          </cell>
          <cell r="V46">
            <v>0</v>
          </cell>
          <cell r="W46">
            <v>62</v>
          </cell>
          <cell r="X46">
            <v>0</v>
          </cell>
          <cell r="AA46">
            <v>20489</v>
          </cell>
        </row>
        <row r="47">
          <cell r="A47" t="str">
            <v>FEA463</v>
          </cell>
          <cell r="B47" t="str">
            <v>FEA</v>
          </cell>
          <cell r="C47">
            <v>46</v>
          </cell>
          <cell r="D47">
            <v>3</v>
          </cell>
          <cell r="E47" t="str">
            <v xml:space="preserve">Feather River </v>
          </cell>
          <cell r="F47" t="str">
            <v>Fall</v>
          </cell>
          <cell r="G47">
            <v>0</v>
          </cell>
          <cell r="H47">
            <v>0</v>
          </cell>
          <cell r="I47">
            <v>72</v>
          </cell>
          <cell r="J47">
            <v>648</v>
          </cell>
          <cell r="K47">
            <v>291</v>
          </cell>
          <cell r="L47">
            <v>129</v>
          </cell>
          <cell r="M47">
            <v>54</v>
          </cell>
          <cell r="N47">
            <v>7538</v>
          </cell>
          <cell r="O47">
            <v>90</v>
          </cell>
          <cell r="P47">
            <v>164</v>
          </cell>
          <cell r="Q47">
            <v>0</v>
          </cell>
          <cell r="R47">
            <v>0</v>
          </cell>
          <cell r="S47">
            <v>0</v>
          </cell>
          <cell r="T47">
            <v>72</v>
          </cell>
          <cell r="U47">
            <v>0</v>
          </cell>
          <cell r="V47">
            <v>0</v>
          </cell>
          <cell r="W47">
            <v>0</v>
          </cell>
          <cell r="X47">
            <v>0</v>
          </cell>
          <cell r="AA47">
            <v>12649</v>
          </cell>
        </row>
        <row r="48">
          <cell r="A48" t="str">
            <v>AMN463</v>
          </cell>
          <cell r="B48" t="str">
            <v>AMN</v>
          </cell>
          <cell r="C48">
            <v>46</v>
          </cell>
          <cell r="D48">
            <v>3</v>
          </cell>
          <cell r="E48" t="str">
            <v xml:space="preserve">American River </v>
          </cell>
          <cell r="F48" t="str">
            <v>Fall</v>
          </cell>
          <cell r="G48">
            <v>0</v>
          </cell>
          <cell r="H48">
            <v>0</v>
          </cell>
          <cell r="I48">
            <v>0</v>
          </cell>
          <cell r="J48">
            <v>944</v>
          </cell>
          <cell r="K48">
            <v>0</v>
          </cell>
          <cell r="L48">
            <v>0</v>
          </cell>
          <cell r="M48">
            <v>0</v>
          </cell>
          <cell r="N48">
            <v>238</v>
          </cell>
          <cell r="O48">
            <v>88</v>
          </cell>
          <cell r="P48">
            <v>0</v>
          </cell>
          <cell r="Q48">
            <v>2784</v>
          </cell>
          <cell r="R48">
            <v>1089</v>
          </cell>
          <cell r="S48">
            <v>0</v>
          </cell>
          <cell r="T48">
            <v>982</v>
          </cell>
          <cell r="U48">
            <v>118</v>
          </cell>
          <cell r="V48">
            <v>0</v>
          </cell>
          <cell r="W48">
            <v>62</v>
          </cell>
          <cell r="X48">
            <v>0</v>
          </cell>
          <cell r="AA48">
            <v>9967</v>
          </cell>
        </row>
        <row r="49">
          <cell r="A49" t="str">
            <v>MOKE463</v>
          </cell>
          <cell r="B49" t="str">
            <v>MOKE</v>
          </cell>
          <cell r="C49">
            <v>46</v>
          </cell>
          <cell r="D49">
            <v>3</v>
          </cell>
          <cell r="E49" t="str">
            <v>Mokelumne River</v>
          </cell>
          <cell r="F49" t="str">
            <v>Fall</v>
          </cell>
          <cell r="G49">
            <v>0</v>
          </cell>
          <cell r="H49">
            <v>11</v>
          </cell>
          <cell r="I49">
            <v>0</v>
          </cell>
          <cell r="J49">
            <v>0</v>
          </cell>
          <cell r="K49">
            <v>0</v>
          </cell>
          <cell r="L49">
            <v>0</v>
          </cell>
          <cell r="M49">
            <v>0</v>
          </cell>
          <cell r="N49">
            <v>87</v>
          </cell>
          <cell r="O49">
            <v>0</v>
          </cell>
          <cell r="P49">
            <v>0</v>
          </cell>
          <cell r="Q49">
            <v>0</v>
          </cell>
          <cell r="R49">
            <v>43</v>
          </cell>
          <cell r="S49">
            <v>22</v>
          </cell>
          <cell r="T49">
            <v>757</v>
          </cell>
          <cell r="U49">
            <v>129</v>
          </cell>
          <cell r="V49">
            <v>0</v>
          </cell>
          <cell r="W49">
            <v>0</v>
          </cell>
          <cell r="X49">
            <v>0</v>
          </cell>
          <cell r="AA49">
            <v>1239</v>
          </cell>
        </row>
        <row r="50">
          <cell r="A50" t="str">
            <v>USAC467</v>
          </cell>
          <cell r="B50" t="str">
            <v>USAC</v>
          </cell>
          <cell r="C50">
            <v>46</v>
          </cell>
          <cell r="D50">
            <v>7</v>
          </cell>
          <cell r="E50" t="str">
            <v xml:space="preserve">Upper Sacramento River </v>
          </cell>
          <cell r="G50">
            <v>0</v>
          </cell>
          <cell r="H50">
            <v>737</v>
          </cell>
          <cell r="I50">
            <v>0</v>
          </cell>
          <cell r="J50">
            <v>0</v>
          </cell>
          <cell r="K50">
            <v>0</v>
          </cell>
          <cell r="L50">
            <v>0</v>
          </cell>
          <cell r="M50">
            <v>0</v>
          </cell>
          <cell r="N50">
            <v>0</v>
          </cell>
          <cell r="O50">
            <v>0</v>
          </cell>
          <cell r="P50">
            <v>0</v>
          </cell>
          <cell r="Q50">
            <v>0</v>
          </cell>
          <cell r="R50">
            <v>0</v>
          </cell>
          <cell r="S50">
            <v>0</v>
          </cell>
          <cell r="T50">
            <v>11</v>
          </cell>
          <cell r="U50">
            <v>0</v>
          </cell>
          <cell r="V50">
            <v>0</v>
          </cell>
          <cell r="W50">
            <v>0</v>
          </cell>
          <cell r="X50">
            <v>0</v>
          </cell>
          <cell r="AA50">
            <v>1265</v>
          </cell>
        </row>
        <row r="51">
          <cell r="H51">
            <v>1547</v>
          </cell>
          <cell r="I51">
            <v>13413</v>
          </cell>
          <cell r="J51">
            <v>2656</v>
          </cell>
          <cell r="K51">
            <v>291</v>
          </cell>
          <cell r="L51">
            <v>236</v>
          </cell>
          <cell r="M51">
            <v>54</v>
          </cell>
          <cell r="N51">
            <v>14913</v>
          </cell>
          <cell r="O51">
            <v>277</v>
          </cell>
          <cell r="P51">
            <v>205</v>
          </cell>
          <cell r="Q51">
            <v>4739</v>
          </cell>
          <cell r="R51">
            <v>2200</v>
          </cell>
          <cell r="S51">
            <v>22</v>
          </cell>
          <cell r="T51">
            <v>2809</v>
          </cell>
          <cell r="U51">
            <v>478</v>
          </cell>
          <cell r="V51">
            <v>0</v>
          </cell>
          <cell r="W51">
            <v>124</v>
          </cell>
          <cell r="X51">
            <v>0</v>
          </cell>
          <cell r="AA51">
            <v>66556</v>
          </cell>
        </row>
      </sheetData>
      <sheetData sheetId="2" refreshError="1"/>
      <sheetData sheetId="3">
        <row r="3">
          <cell r="G3">
            <v>0</v>
          </cell>
          <cell r="H3">
            <v>0</v>
          </cell>
          <cell r="I3">
            <v>60877</v>
          </cell>
          <cell r="J3">
            <v>1053</v>
          </cell>
          <cell r="K3">
            <v>0</v>
          </cell>
          <cell r="L3">
            <v>4</v>
          </cell>
          <cell r="M3">
            <v>4</v>
          </cell>
          <cell r="N3">
            <v>682</v>
          </cell>
          <cell r="O3">
            <v>15</v>
          </cell>
          <cell r="P3">
            <v>7</v>
          </cell>
          <cell r="Q3">
            <v>0</v>
          </cell>
          <cell r="R3">
            <v>4</v>
          </cell>
          <cell r="S3">
            <v>0</v>
          </cell>
          <cell r="T3">
            <v>15</v>
          </cell>
          <cell r="U3">
            <v>4</v>
          </cell>
          <cell r="V3">
            <v>3</v>
          </cell>
          <cell r="W3">
            <v>0</v>
          </cell>
          <cell r="X3">
            <v>0</v>
          </cell>
          <cell r="Y3">
            <v>62669</v>
          </cell>
          <cell r="Z3">
            <v>7192</v>
          </cell>
          <cell r="AA3">
            <v>69861</v>
          </cell>
          <cell r="AB3">
            <v>0.89700000000000002</v>
          </cell>
          <cell r="AC3" t="str">
            <v>CNFH503</v>
          </cell>
        </row>
        <row r="4">
          <cell r="G4">
            <v>0</v>
          </cell>
          <cell r="H4">
            <v>4915</v>
          </cell>
          <cell r="I4">
            <v>0</v>
          </cell>
          <cell r="J4">
            <v>0</v>
          </cell>
          <cell r="K4">
            <v>0</v>
          </cell>
          <cell r="L4">
            <v>0</v>
          </cell>
          <cell r="M4">
            <v>0</v>
          </cell>
          <cell r="N4">
            <v>0</v>
          </cell>
          <cell r="O4">
            <v>0</v>
          </cell>
          <cell r="P4">
            <v>0</v>
          </cell>
          <cell r="Q4">
            <v>0</v>
          </cell>
          <cell r="R4">
            <v>0</v>
          </cell>
          <cell r="S4">
            <v>0</v>
          </cell>
          <cell r="T4">
            <v>0</v>
          </cell>
          <cell r="U4">
            <v>0</v>
          </cell>
          <cell r="V4">
            <v>0</v>
          </cell>
          <cell r="W4">
            <v>0</v>
          </cell>
          <cell r="X4">
            <v>0</v>
          </cell>
          <cell r="Y4">
            <v>4915</v>
          </cell>
          <cell r="Z4">
            <v>35</v>
          </cell>
          <cell r="AA4">
            <v>4950</v>
          </cell>
          <cell r="AB4">
            <v>0.99299999999999999</v>
          </cell>
          <cell r="AC4" t="str">
            <v>CNFH507</v>
          </cell>
        </row>
        <row r="5">
          <cell r="G5">
            <v>0</v>
          </cell>
          <cell r="H5">
            <v>0</v>
          </cell>
          <cell r="I5">
            <v>0</v>
          </cell>
          <cell r="J5">
            <v>0</v>
          </cell>
          <cell r="K5">
            <v>3371</v>
          </cell>
          <cell r="L5">
            <v>668</v>
          </cell>
          <cell r="M5">
            <v>0</v>
          </cell>
          <cell r="N5">
            <v>206</v>
          </cell>
          <cell r="O5">
            <v>0</v>
          </cell>
          <cell r="P5">
            <v>0</v>
          </cell>
          <cell r="Q5">
            <v>0</v>
          </cell>
          <cell r="R5">
            <v>0</v>
          </cell>
          <cell r="S5">
            <v>0</v>
          </cell>
          <cell r="T5">
            <v>0</v>
          </cell>
          <cell r="U5">
            <v>0</v>
          </cell>
          <cell r="V5">
            <v>0</v>
          </cell>
          <cell r="W5">
            <v>0</v>
          </cell>
          <cell r="X5">
            <v>0</v>
          </cell>
          <cell r="Y5">
            <v>4246</v>
          </cell>
          <cell r="Z5">
            <v>45</v>
          </cell>
          <cell r="AA5">
            <v>4291</v>
          </cell>
          <cell r="AB5">
            <v>0.99</v>
          </cell>
          <cell r="AC5" t="str">
            <v>FRFH501</v>
          </cell>
        </row>
        <row r="6">
          <cell r="G6">
            <v>0</v>
          </cell>
          <cell r="H6">
            <v>0</v>
          </cell>
          <cell r="I6">
            <v>4</v>
          </cell>
          <cell r="J6">
            <v>267</v>
          </cell>
          <cell r="K6">
            <v>2991</v>
          </cell>
          <cell r="L6">
            <v>855</v>
          </cell>
          <cell r="M6">
            <v>62</v>
          </cell>
          <cell r="N6">
            <v>22234</v>
          </cell>
          <cell r="O6">
            <v>128</v>
          </cell>
          <cell r="P6">
            <v>75</v>
          </cell>
          <cell r="Q6">
            <v>8</v>
          </cell>
          <cell r="R6">
            <v>16</v>
          </cell>
          <cell r="S6">
            <v>1</v>
          </cell>
          <cell r="T6">
            <v>57</v>
          </cell>
          <cell r="U6">
            <v>8</v>
          </cell>
          <cell r="V6">
            <v>4</v>
          </cell>
          <cell r="W6">
            <v>2</v>
          </cell>
          <cell r="X6">
            <v>0</v>
          </cell>
          <cell r="Y6">
            <v>26712</v>
          </cell>
          <cell r="Z6">
            <v>910</v>
          </cell>
          <cell r="AA6">
            <v>27622</v>
          </cell>
          <cell r="AB6">
            <v>0.96699999999999997</v>
          </cell>
          <cell r="AC6" t="str">
            <v>FRFH503</v>
          </cell>
        </row>
        <row r="7">
          <cell r="G7">
            <v>0</v>
          </cell>
          <cell r="H7">
            <v>0</v>
          </cell>
          <cell r="I7">
            <v>0</v>
          </cell>
          <cell r="J7">
            <v>144</v>
          </cell>
          <cell r="K7">
            <v>0</v>
          </cell>
          <cell r="L7">
            <v>0</v>
          </cell>
          <cell r="M7">
            <v>0</v>
          </cell>
          <cell r="N7">
            <v>137</v>
          </cell>
          <cell r="O7">
            <v>1</v>
          </cell>
          <cell r="P7">
            <v>1</v>
          </cell>
          <cell r="Q7">
            <v>3163</v>
          </cell>
          <cell r="R7">
            <v>2343</v>
          </cell>
          <cell r="S7">
            <v>8</v>
          </cell>
          <cell r="T7">
            <v>1710</v>
          </cell>
          <cell r="U7">
            <v>321</v>
          </cell>
          <cell r="V7">
            <v>0</v>
          </cell>
          <cell r="W7">
            <v>9</v>
          </cell>
          <cell r="X7">
            <v>0</v>
          </cell>
          <cell r="Y7">
            <v>7837</v>
          </cell>
          <cell r="Z7">
            <v>1239</v>
          </cell>
          <cell r="AA7">
            <v>9076</v>
          </cell>
          <cell r="AB7">
            <v>0.86299999999999999</v>
          </cell>
          <cell r="AC7" t="str">
            <v>NBFH503</v>
          </cell>
        </row>
        <row r="8">
          <cell r="G8">
            <v>0</v>
          </cell>
          <cell r="H8">
            <v>0</v>
          </cell>
          <cell r="I8">
            <v>8</v>
          </cell>
          <cell r="J8">
            <v>68</v>
          </cell>
          <cell r="K8">
            <v>0</v>
          </cell>
          <cell r="L8">
            <v>2</v>
          </cell>
          <cell r="M8">
            <v>7</v>
          </cell>
          <cell r="N8">
            <v>257</v>
          </cell>
          <cell r="O8">
            <v>10</v>
          </cell>
          <cell r="P8">
            <v>2</v>
          </cell>
          <cell r="Q8">
            <v>1104</v>
          </cell>
          <cell r="R8">
            <v>432</v>
          </cell>
          <cell r="S8">
            <v>0</v>
          </cell>
          <cell r="T8">
            <v>820</v>
          </cell>
          <cell r="U8">
            <v>96</v>
          </cell>
          <cell r="V8">
            <v>1</v>
          </cell>
          <cell r="W8">
            <v>0</v>
          </cell>
          <cell r="X8">
            <v>0</v>
          </cell>
          <cell r="Y8">
            <v>2808</v>
          </cell>
          <cell r="Z8">
            <v>1161</v>
          </cell>
          <cell r="AA8">
            <v>3969</v>
          </cell>
          <cell r="AB8">
            <v>0.70699999999999996</v>
          </cell>
          <cell r="AC8" t="str">
            <v>NIMW593</v>
          </cell>
        </row>
        <row r="9">
          <cell r="G9">
            <v>0</v>
          </cell>
          <cell r="H9">
            <v>1</v>
          </cell>
          <cell r="I9">
            <v>0</v>
          </cell>
          <cell r="J9">
            <v>56</v>
          </cell>
          <cell r="K9">
            <v>0</v>
          </cell>
          <cell r="L9">
            <v>0</v>
          </cell>
          <cell r="M9">
            <v>0</v>
          </cell>
          <cell r="N9">
            <v>193</v>
          </cell>
          <cell r="O9">
            <v>2</v>
          </cell>
          <cell r="P9">
            <v>5</v>
          </cell>
          <cell r="Q9">
            <v>4</v>
          </cell>
          <cell r="R9">
            <v>72</v>
          </cell>
          <cell r="S9">
            <v>241</v>
          </cell>
          <cell r="T9">
            <v>3394</v>
          </cell>
          <cell r="U9">
            <v>647</v>
          </cell>
          <cell r="V9">
            <v>0</v>
          </cell>
          <cell r="W9">
            <v>4</v>
          </cell>
          <cell r="X9">
            <v>4</v>
          </cell>
          <cell r="Y9">
            <v>4623</v>
          </cell>
          <cell r="Z9">
            <v>558</v>
          </cell>
          <cell r="AA9">
            <v>5181</v>
          </cell>
          <cell r="AB9">
            <v>0.89200000000000002</v>
          </cell>
          <cell r="AC9" t="str">
            <v>MRFI503</v>
          </cell>
        </row>
        <row r="10">
          <cell r="G10">
            <v>0</v>
          </cell>
          <cell r="H10">
            <v>3</v>
          </cell>
          <cell r="I10">
            <v>0</v>
          </cell>
          <cell r="J10">
            <v>25</v>
          </cell>
          <cell r="K10">
            <v>0</v>
          </cell>
          <cell r="L10">
            <v>0</v>
          </cell>
          <cell r="M10">
            <v>1</v>
          </cell>
          <cell r="N10">
            <v>46</v>
          </cell>
          <cell r="O10">
            <v>0</v>
          </cell>
          <cell r="P10">
            <v>0</v>
          </cell>
          <cell r="Q10">
            <v>0</v>
          </cell>
          <cell r="R10">
            <v>34</v>
          </cell>
          <cell r="S10">
            <v>0</v>
          </cell>
          <cell r="T10">
            <v>378</v>
          </cell>
          <cell r="U10">
            <v>99</v>
          </cell>
          <cell r="V10">
            <v>96</v>
          </cell>
          <cell r="W10">
            <v>6</v>
          </cell>
          <cell r="X10">
            <v>0</v>
          </cell>
          <cell r="Y10">
            <v>688</v>
          </cell>
          <cell r="Z10">
            <v>410</v>
          </cell>
          <cell r="AA10">
            <v>1098</v>
          </cell>
          <cell r="AB10">
            <v>0.627</v>
          </cell>
          <cell r="AC10" t="str">
            <v>MRFF503</v>
          </cell>
        </row>
        <row r="11">
          <cell r="G11">
            <v>0</v>
          </cell>
          <cell r="H11">
            <v>216</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216</v>
          </cell>
          <cell r="Z11">
            <v>7</v>
          </cell>
          <cell r="AA11">
            <v>223</v>
          </cell>
          <cell r="AB11">
            <v>0.96899999999999997</v>
          </cell>
          <cell r="AC11" t="str">
            <v>CNFW527</v>
          </cell>
        </row>
        <row r="12">
          <cell r="G12">
            <v>0</v>
          </cell>
          <cell r="H12">
            <v>0</v>
          </cell>
          <cell r="I12">
            <v>0</v>
          </cell>
          <cell r="J12">
            <v>0</v>
          </cell>
          <cell r="K12">
            <v>44</v>
          </cell>
          <cell r="L12">
            <v>11</v>
          </cell>
          <cell r="M12">
            <v>0</v>
          </cell>
          <cell r="N12">
            <v>1</v>
          </cell>
          <cell r="O12">
            <v>0</v>
          </cell>
          <cell r="P12">
            <v>0</v>
          </cell>
          <cell r="Q12">
            <v>0</v>
          </cell>
          <cell r="R12">
            <v>0</v>
          </cell>
          <cell r="S12">
            <v>0</v>
          </cell>
          <cell r="T12">
            <v>0</v>
          </cell>
          <cell r="U12">
            <v>0</v>
          </cell>
          <cell r="V12">
            <v>0</v>
          </cell>
          <cell r="W12">
            <v>0</v>
          </cell>
          <cell r="X12">
            <v>0</v>
          </cell>
          <cell r="Y12">
            <v>56</v>
          </cell>
          <cell r="Z12">
            <v>0</v>
          </cell>
          <cell r="AA12">
            <v>56</v>
          </cell>
          <cell r="AB12">
            <v>1</v>
          </cell>
          <cell r="AC12" t="str">
            <v>FRFH521</v>
          </cell>
        </row>
        <row r="13">
          <cell r="G13">
            <v>0</v>
          </cell>
          <cell r="H13">
            <v>0</v>
          </cell>
          <cell r="I13">
            <v>2615</v>
          </cell>
          <cell r="J13">
            <v>259</v>
          </cell>
          <cell r="K13">
            <v>0</v>
          </cell>
          <cell r="L13">
            <v>108</v>
          </cell>
          <cell r="M13">
            <v>0</v>
          </cell>
          <cell r="N13">
            <v>1885</v>
          </cell>
          <cell r="O13">
            <v>25</v>
          </cell>
          <cell r="P13">
            <v>20</v>
          </cell>
          <cell r="Q13">
            <v>0</v>
          </cell>
          <cell r="R13">
            <v>0</v>
          </cell>
          <cell r="S13">
            <v>0</v>
          </cell>
          <cell r="T13">
            <v>5</v>
          </cell>
          <cell r="U13">
            <v>0</v>
          </cell>
          <cell r="V13">
            <v>0</v>
          </cell>
          <cell r="W13">
            <v>0</v>
          </cell>
          <cell r="X13">
            <v>0</v>
          </cell>
          <cell r="Y13">
            <v>4918</v>
          </cell>
          <cell r="Z13">
            <v>8419</v>
          </cell>
          <cell r="AA13">
            <v>13337</v>
          </cell>
          <cell r="AB13">
            <v>0.36899999999999999</v>
          </cell>
          <cell r="AC13" t="str">
            <v>CLR543</v>
          </cell>
        </row>
        <row r="14">
          <cell r="G14">
            <v>0</v>
          </cell>
          <cell r="H14">
            <v>0</v>
          </cell>
          <cell r="I14">
            <v>533</v>
          </cell>
          <cell r="J14">
            <v>87</v>
          </cell>
          <cell r="K14">
            <v>0</v>
          </cell>
          <cell r="L14">
            <v>0</v>
          </cell>
          <cell r="M14">
            <v>0</v>
          </cell>
          <cell r="N14">
            <v>234</v>
          </cell>
          <cell r="O14">
            <v>0</v>
          </cell>
          <cell r="P14">
            <v>0</v>
          </cell>
          <cell r="Q14">
            <v>0</v>
          </cell>
          <cell r="R14">
            <v>0</v>
          </cell>
          <cell r="S14">
            <v>0</v>
          </cell>
          <cell r="T14">
            <v>0</v>
          </cell>
          <cell r="U14">
            <v>0</v>
          </cell>
          <cell r="V14">
            <v>0</v>
          </cell>
          <cell r="W14">
            <v>0</v>
          </cell>
          <cell r="X14">
            <v>0</v>
          </cell>
          <cell r="Y14">
            <v>855</v>
          </cell>
          <cell r="Z14">
            <v>1919</v>
          </cell>
          <cell r="AA14">
            <v>2774</v>
          </cell>
          <cell r="AB14">
            <v>0.308</v>
          </cell>
          <cell r="AC14" t="str">
            <v>COT543</v>
          </cell>
        </row>
        <row r="15">
          <cell r="G15">
            <v>0</v>
          </cell>
          <cell r="H15">
            <v>0</v>
          </cell>
          <cell r="I15">
            <v>0</v>
          </cell>
          <cell r="J15">
            <v>0</v>
          </cell>
          <cell r="K15">
            <v>0</v>
          </cell>
          <cell r="L15">
            <v>0</v>
          </cell>
          <cell r="M15">
            <v>0</v>
          </cell>
          <cell r="N15">
            <v>37</v>
          </cell>
          <cell r="O15">
            <v>0</v>
          </cell>
          <cell r="P15">
            <v>0</v>
          </cell>
          <cell r="Q15">
            <v>0</v>
          </cell>
          <cell r="R15">
            <v>0</v>
          </cell>
          <cell r="S15">
            <v>0</v>
          </cell>
          <cell r="T15">
            <v>0</v>
          </cell>
          <cell r="U15">
            <v>0</v>
          </cell>
          <cell r="V15">
            <v>0</v>
          </cell>
          <cell r="W15">
            <v>0</v>
          </cell>
          <cell r="X15">
            <v>0</v>
          </cell>
          <cell r="Y15">
            <v>37</v>
          </cell>
          <cell r="Z15">
            <v>989</v>
          </cell>
          <cell r="AA15">
            <v>1026</v>
          </cell>
          <cell r="AB15">
            <v>3.5999999999999997E-2</v>
          </cell>
          <cell r="AC15" t="str">
            <v>DEE543</v>
          </cell>
        </row>
        <row r="16">
          <cell r="G16">
            <v>0</v>
          </cell>
          <cell r="H16">
            <v>0</v>
          </cell>
          <cell r="I16">
            <v>332</v>
          </cell>
          <cell r="J16">
            <v>110</v>
          </cell>
          <cell r="K16">
            <v>0</v>
          </cell>
          <cell r="L16">
            <v>0</v>
          </cell>
          <cell r="M16">
            <v>0</v>
          </cell>
          <cell r="N16">
            <v>222</v>
          </cell>
          <cell r="O16">
            <v>0</v>
          </cell>
          <cell r="P16">
            <v>14</v>
          </cell>
          <cell r="Q16">
            <v>0</v>
          </cell>
          <cell r="R16">
            <v>0</v>
          </cell>
          <cell r="S16">
            <v>0</v>
          </cell>
          <cell r="T16">
            <v>14</v>
          </cell>
          <cell r="U16">
            <v>0</v>
          </cell>
          <cell r="V16">
            <v>0</v>
          </cell>
          <cell r="W16">
            <v>0</v>
          </cell>
          <cell r="X16">
            <v>0</v>
          </cell>
          <cell r="Y16">
            <v>692</v>
          </cell>
          <cell r="Z16">
            <v>1505</v>
          </cell>
          <cell r="AA16">
            <v>2197</v>
          </cell>
          <cell r="AB16">
            <v>0.315</v>
          </cell>
          <cell r="AC16" t="str">
            <v>MLC543</v>
          </cell>
        </row>
        <row r="17">
          <cell r="G17">
            <v>0</v>
          </cell>
          <cell r="H17">
            <v>0</v>
          </cell>
          <cell r="I17">
            <v>93</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93</v>
          </cell>
          <cell r="Z17">
            <v>82</v>
          </cell>
          <cell r="AA17">
            <v>175</v>
          </cell>
          <cell r="AB17">
            <v>0.53100000000000003</v>
          </cell>
          <cell r="AC17" t="str">
            <v>PAY543</v>
          </cell>
        </row>
        <row r="18">
          <cell r="G18">
            <v>0</v>
          </cell>
          <cell r="H18">
            <v>0</v>
          </cell>
          <cell r="I18">
            <v>0</v>
          </cell>
          <cell r="J18">
            <v>17</v>
          </cell>
          <cell r="K18">
            <v>0</v>
          </cell>
          <cell r="L18">
            <v>0</v>
          </cell>
          <cell r="M18">
            <v>0</v>
          </cell>
          <cell r="N18">
            <v>86</v>
          </cell>
          <cell r="O18">
            <v>0</v>
          </cell>
          <cell r="P18">
            <v>3</v>
          </cell>
          <cell r="Q18">
            <v>0</v>
          </cell>
          <cell r="R18">
            <v>0</v>
          </cell>
          <cell r="S18">
            <v>0</v>
          </cell>
          <cell r="T18">
            <v>36</v>
          </cell>
          <cell r="U18">
            <v>0</v>
          </cell>
          <cell r="V18">
            <v>0</v>
          </cell>
          <cell r="W18">
            <v>2</v>
          </cell>
          <cell r="X18">
            <v>0</v>
          </cell>
          <cell r="Y18">
            <v>143</v>
          </cell>
          <cell r="Z18">
            <v>2057</v>
          </cell>
          <cell r="AA18">
            <v>2200</v>
          </cell>
          <cell r="AB18">
            <v>6.5000000000000002E-2</v>
          </cell>
          <cell r="AC18" t="str">
            <v>BUTT543</v>
          </cell>
        </row>
        <row r="19">
          <cell r="G19">
            <v>0</v>
          </cell>
          <cell r="H19">
            <v>12</v>
          </cell>
          <cell r="I19">
            <v>2727</v>
          </cell>
          <cell r="J19">
            <v>786</v>
          </cell>
          <cell r="K19">
            <v>0</v>
          </cell>
          <cell r="L19">
            <v>998</v>
          </cell>
          <cell r="M19">
            <v>23</v>
          </cell>
          <cell r="N19">
            <v>6362</v>
          </cell>
          <cell r="O19">
            <v>47</v>
          </cell>
          <cell r="P19">
            <v>35</v>
          </cell>
          <cell r="Q19">
            <v>46</v>
          </cell>
          <cell r="R19">
            <v>46</v>
          </cell>
          <cell r="S19">
            <v>0</v>
          </cell>
          <cell r="T19">
            <v>58</v>
          </cell>
          <cell r="U19">
            <v>0</v>
          </cell>
          <cell r="V19">
            <v>0</v>
          </cell>
          <cell r="W19">
            <v>0</v>
          </cell>
          <cell r="X19">
            <v>0</v>
          </cell>
          <cell r="Y19">
            <v>11140</v>
          </cell>
          <cell r="Z19">
            <v>21375</v>
          </cell>
          <cell r="AA19">
            <v>32515</v>
          </cell>
          <cell r="AB19">
            <v>0.34300000000000003</v>
          </cell>
          <cell r="AC19" t="str">
            <v>USAC543</v>
          </cell>
        </row>
        <row r="20">
          <cell r="G20">
            <v>367</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367</v>
          </cell>
          <cell r="Z20">
            <v>5553</v>
          </cell>
          <cell r="AA20">
            <v>5920</v>
          </cell>
          <cell r="AB20">
            <v>6.2E-2</v>
          </cell>
          <cell r="AC20" t="str">
            <v>USAC544</v>
          </cell>
        </row>
        <row r="21">
          <cell r="G21">
            <v>0</v>
          </cell>
          <cell r="H21">
            <v>1302</v>
          </cell>
          <cell r="I21">
            <v>0</v>
          </cell>
          <cell r="J21">
            <v>0</v>
          </cell>
          <cell r="K21">
            <v>0</v>
          </cell>
          <cell r="L21">
            <v>12</v>
          </cell>
          <cell r="M21">
            <v>0</v>
          </cell>
          <cell r="N21">
            <v>0</v>
          </cell>
          <cell r="O21">
            <v>0</v>
          </cell>
          <cell r="P21">
            <v>0</v>
          </cell>
          <cell r="Q21">
            <v>0</v>
          </cell>
          <cell r="R21">
            <v>45</v>
          </cell>
          <cell r="S21">
            <v>0</v>
          </cell>
          <cell r="T21">
            <v>0</v>
          </cell>
          <cell r="U21">
            <v>0</v>
          </cell>
          <cell r="V21">
            <v>0</v>
          </cell>
          <cell r="W21">
            <v>0</v>
          </cell>
          <cell r="X21">
            <v>0</v>
          </cell>
          <cell r="Y21">
            <v>1359</v>
          </cell>
          <cell r="Z21">
            <v>6591</v>
          </cell>
          <cell r="AA21">
            <v>7950</v>
          </cell>
          <cell r="AB21">
            <v>0.17100000000000001</v>
          </cell>
          <cell r="AC21" t="str">
            <v>USAC547</v>
          </cell>
        </row>
        <row r="22">
          <cell r="G22">
            <v>0</v>
          </cell>
          <cell r="H22">
            <v>0</v>
          </cell>
          <cell r="I22">
            <v>65</v>
          </cell>
          <cell r="J22">
            <v>3676</v>
          </cell>
          <cell r="K22">
            <v>19545</v>
          </cell>
          <cell r="L22">
            <v>7662</v>
          </cell>
          <cell r="M22">
            <v>64</v>
          </cell>
          <cell r="N22">
            <v>95101</v>
          </cell>
          <cell r="O22">
            <v>485</v>
          </cell>
          <cell r="P22">
            <v>523</v>
          </cell>
          <cell r="Q22">
            <v>0</v>
          </cell>
          <cell r="R22">
            <v>79</v>
          </cell>
          <cell r="S22">
            <v>16</v>
          </cell>
          <cell r="T22">
            <v>308</v>
          </cell>
          <cell r="U22">
            <v>65</v>
          </cell>
          <cell r="V22">
            <v>0</v>
          </cell>
          <cell r="W22">
            <v>17</v>
          </cell>
          <cell r="X22">
            <v>0</v>
          </cell>
          <cell r="Y22">
            <v>127606</v>
          </cell>
          <cell r="Z22">
            <v>23603</v>
          </cell>
          <cell r="AA22">
            <v>151209</v>
          </cell>
          <cell r="AB22">
            <v>0.84399999999999997</v>
          </cell>
          <cell r="AC22" t="str">
            <v>FEA543</v>
          </cell>
        </row>
        <row r="23">
          <cell r="G23">
            <v>0</v>
          </cell>
          <cell r="H23">
            <v>0</v>
          </cell>
          <cell r="I23">
            <v>0</v>
          </cell>
          <cell r="J23">
            <v>352</v>
          </cell>
          <cell r="K23">
            <v>39</v>
          </cell>
          <cell r="L23">
            <v>20</v>
          </cell>
          <cell r="M23">
            <v>0</v>
          </cell>
          <cell r="N23">
            <v>2679</v>
          </cell>
          <cell r="O23">
            <v>10</v>
          </cell>
          <cell r="P23">
            <v>10</v>
          </cell>
          <cell r="Q23">
            <v>78</v>
          </cell>
          <cell r="R23">
            <v>117</v>
          </cell>
          <cell r="S23">
            <v>0</v>
          </cell>
          <cell r="T23">
            <v>511</v>
          </cell>
          <cell r="U23">
            <v>0</v>
          </cell>
          <cell r="V23">
            <v>0</v>
          </cell>
          <cell r="W23">
            <v>0</v>
          </cell>
          <cell r="X23">
            <v>0</v>
          </cell>
          <cell r="Y23">
            <v>3817</v>
          </cell>
          <cell r="Z23">
            <v>7563</v>
          </cell>
          <cell r="AA23">
            <v>11380</v>
          </cell>
          <cell r="AB23">
            <v>0.33500000000000002</v>
          </cell>
          <cell r="AC23" t="str">
            <v>YUBA543</v>
          </cell>
        </row>
        <row r="24">
          <cell r="G24">
            <v>0</v>
          </cell>
          <cell r="H24">
            <v>0</v>
          </cell>
          <cell r="I24">
            <v>27</v>
          </cell>
          <cell r="J24">
            <v>242</v>
          </cell>
          <cell r="K24">
            <v>61</v>
          </cell>
          <cell r="L24">
            <v>7</v>
          </cell>
          <cell r="M24">
            <v>7</v>
          </cell>
          <cell r="N24">
            <v>1030</v>
          </cell>
          <cell r="O24">
            <v>7</v>
          </cell>
          <cell r="P24">
            <v>7</v>
          </cell>
          <cell r="Q24">
            <v>54</v>
          </cell>
          <cell r="R24">
            <v>27</v>
          </cell>
          <cell r="S24">
            <v>0</v>
          </cell>
          <cell r="T24">
            <v>108</v>
          </cell>
          <cell r="U24">
            <v>27</v>
          </cell>
          <cell r="V24">
            <v>0</v>
          </cell>
          <cell r="W24">
            <v>0</v>
          </cell>
          <cell r="X24">
            <v>0</v>
          </cell>
          <cell r="Y24">
            <v>1603</v>
          </cell>
          <cell r="Z24">
            <v>1897</v>
          </cell>
          <cell r="AA24">
            <v>3500</v>
          </cell>
          <cell r="AB24">
            <v>0.45800000000000002</v>
          </cell>
          <cell r="AC24" t="str">
            <v>YUBB543</v>
          </cell>
        </row>
        <row r="25">
          <cell r="G25">
            <v>0</v>
          </cell>
          <cell r="H25">
            <v>0</v>
          </cell>
          <cell r="I25">
            <v>81</v>
          </cell>
          <cell r="J25">
            <v>2419</v>
          </cell>
          <cell r="K25">
            <v>0</v>
          </cell>
          <cell r="L25">
            <v>0</v>
          </cell>
          <cell r="M25">
            <v>0</v>
          </cell>
          <cell r="N25">
            <v>1046</v>
          </cell>
          <cell r="O25">
            <v>15</v>
          </cell>
          <cell r="P25">
            <v>0</v>
          </cell>
          <cell r="Q25">
            <v>18268</v>
          </cell>
          <cell r="R25">
            <v>8983</v>
          </cell>
          <cell r="S25">
            <v>10</v>
          </cell>
          <cell r="T25">
            <v>3839</v>
          </cell>
          <cell r="U25">
            <v>469</v>
          </cell>
          <cell r="V25">
            <v>0</v>
          </cell>
          <cell r="W25">
            <v>32</v>
          </cell>
          <cell r="X25">
            <v>0</v>
          </cell>
          <cell r="Y25">
            <v>35163</v>
          </cell>
          <cell r="Z25">
            <v>19096</v>
          </cell>
          <cell r="AA25">
            <v>54259</v>
          </cell>
          <cell r="AB25">
            <v>0.64800000000000002</v>
          </cell>
          <cell r="AC25" t="str">
            <v>LARC543</v>
          </cell>
        </row>
        <row r="26">
          <cell r="G26">
            <v>0</v>
          </cell>
          <cell r="H26">
            <v>0</v>
          </cell>
          <cell r="I26">
            <v>0</v>
          </cell>
          <cell r="J26">
            <v>87</v>
          </cell>
          <cell r="K26">
            <v>0</v>
          </cell>
          <cell r="L26">
            <v>0</v>
          </cell>
          <cell r="M26">
            <v>0</v>
          </cell>
          <cell r="N26">
            <v>141</v>
          </cell>
          <cell r="O26">
            <v>0</v>
          </cell>
          <cell r="P26">
            <v>0</v>
          </cell>
          <cell r="Q26">
            <v>0</v>
          </cell>
          <cell r="R26">
            <v>91</v>
          </cell>
          <cell r="S26">
            <v>66</v>
          </cell>
          <cell r="T26">
            <v>3784</v>
          </cell>
          <cell r="U26">
            <v>351</v>
          </cell>
          <cell r="V26">
            <v>0</v>
          </cell>
          <cell r="W26">
            <v>9</v>
          </cell>
          <cell r="X26">
            <v>0</v>
          </cell>
          <cell r="Y26">
            <v>4529</v>
          </cell>
          <cell r="Z26">
            <v>2542</v>
          </cell>
          <cell r="AA26">
            <v>7071</v>
          </cell>
          <cell r="AB26">
            <v>0.64100000000000001</v>
          </cell>
          <cell r="AC26" t="str">
            <v>MOKE543</v>
          </cell>
        </row>
        <row r="27">
          <cell r="G27">
            <v>0</v>
          </cell>
          <cell r="H27">
            <v>0</v>
          </cell>
          <cell r="I27">
            <v>0</v>
          </cell>
          <cell r="J27">
            <v>131</v>
          </cell>
          <cell r="K27">
            <v>0</v>
          </cell>
          <cell r="L27">
            <v>0</v>
          </cell>
          <cell r="M27">
            <v>3</v>
          </cell>
          <cell r="N27">
            <v>158</v>
          </cell>
          <cell r="O27">
            <v>0</v>
          </cell>
          <cell r="P27">
            <v>3</v>
          </cell>
          <cell r="Q27">
            <v>0</v>
          </cell>
          <cell r="R27">
            <v>13</v>
          </cell>
          <cell r="S27">
            <v>0</v>
          </cell>
          <cell r="T27">
            <v>1394</v>
          </cell>
          <cell r="U27">
            <v>145</v>
          </cell>
          <cell r="V27">
            <v>0</v>
          </cell>
          <cell r="W27">
            <v>21</v>
          </cell>
          <cell r="X27">
            <v>0</v>
          </cell>
          <cell r="Y27">
            <v>1870</v>
          </cell>
          <cell r="Z27">
            <v>975</v>
          </cell>
          <cell r="AA27">
            <v>2845</v>
          </cell>
          <cell r="AB27">
            <v>0.65700000000000003</v>
          </cell>
          <cell r="AC27" t="str">
            <v>STA543</v>
          </cell>
        </row>
        <row r="28">
          <cell r="G28">
            <v>0</v>
          </cell>
          <cell r="H28">
            <v>0</v>
          </cell>
          <cell r="I28">
            <v>0</v>
          </cell>
          <cell r="J28">
            <v>73</v>
          </cell>
          <cell r="K28">
            <v>0</v>
          </cell>
          <cell r="L28">
            <v>0</v>
          </cell>
          <cell r="M28">
            <v>0</v>
          </cell>
          <cell r="N28">
            <v>73</v>
          </cell>
          <cell r="O28">
            <v>0</v>
          </cell>
          <cell r="P28">
            <v>0</v>
          </cell>
          <cell r="Q28">
            <v>0</v>
          </cell>
          <cell r="R28">
            <v>6</v>
          </cell>
          <cell r="S28">
            <v>0</v>
          </cell>
          <cell r="T28">
            <v>342</v>
          </cell>
          <cell r="U28">
            <v>36</v>
          </cell>
          <cell r="V28">
            <v>2</v>
          </cell>
          <cell r="W28">
            <v>5</v>
          </cell>
          <cell r="X28">
            <v>0</v>
          </cell>
          <cell r="Y28">
            <v>536</v>
          </cell>
          <cell r="Z28">
            <v>1390</v>
          </cell>
          <cell r="AA28">
            <v>1926</v>
          </cell>
          <cell r="AB28">
            <v>0.27800000000000002</v>
          </cell>
          <cell r="AC28" t="str">
            <v>TUO543</v>
          </cell>
        </row>
        <row r="29">
          <cell r="G29">
            <v>0</v>
          </cell>
          <cell r="H29">
            <v>0</v>
          </cell>
          <cell r="I29">
            <v>0</v>
          </cell>
          <cell r="J29">
            <v>234</v>
          </cell>
          <cell r="K29">
            <v>0</v>
          </cell>
          <cell r="L29">
            <v>0</v>
          </cell>
          <cell r="M29">
            <v>0</v>
          </cell>
          <cell r="N29">
            <v>26</v>
          </cell>
          <cell r="O29">
            <v>0</v>
          </cell>
          <cell r="P29">
            <v>0</v>
          </cell>
          <cell r="Q29">
            <v>0</v>
          </cell>
          <cell r="R29">
            <v>52</v>
          </cell>
          <cell r="S29">
            <v>0</v>
          </cell>
          <cell r="T29">
            <v>698</v>
          </cell>
          <cell r="U29">
            <v>156</v>
          </cell>
          <cell r="V29">
            <v>61</v>
          </cell>
          <cell r="W29">
            <v>21</v>
          </cell>
          <cell r="X29">
            <v>0</v>
          </cell>
          <cell r="Y29">
            <v>1248</v>
          </cell>
          <cell r="Z29">
            <v>1578</v>
          </cell>
          <cell r="AA29">
            <v>2826</v>
          </cell>
          <cell r="AB29">
            <v>0.442</v>
          </cell>
          <cell r="AC29" t="str">
            <v>MER543</v>
          </cell>
        </row>
        <row r="30">
          <cell r="G30">
            <v>0</v>
          </cell>
          <cell r="H30">
            <v>799</v>
          </cell>
          <cell r="I30">
            <v>1043</v>
          </cell>
          <cell r="J30">
            <v>925</v>
          </cell>
          <cell r="K30">
            <v>0</v>
          </cell>
          <cell r="L30">
            <v>0</v>
          </cell>
          <cell r="M30">
            <v>0</v>
          </cell>
          <cell r="N30">
            <v>5700</v>
          </cell>
          <cell r="O30">
            <v>87</v>
          </cell>
          <cell r="P30">
            <v>29</v>
          </cell>
          <cell r="Q30">
            <v>1943</v>
          </cell>
          <cell r="R30">
            <v>1068</v>
          </cell>
          <cell r="S30">
            <v>0</v>
          </cell>
          <cell r="T30">
            <v>987</v>
          </cell>
          <cell r="U30">
            <v>231</v>
          </cell>
          <cell r="V30">
            <v>0</v>
          </cell>
          <cell r="W30">
            <v>62</v>
          </cell>
          <cell r="X30">
            <v>0</v>
          </cell>
          <cell r="Y30">
            <v>12874</v>
          </cell>
          <cell r="Z30">
            <v>7615</v>
          </cell>
          <cell r="AA30">
            <v>20489</v>
          </cell>
          <cell r="AB30">
            <v>0.628</v>
          </cell>
          <cell r="AC30" t="str">
            <v>LSAC463</v>
          </cell>
        </row>
        <row r="31">
          <cell r="G31">
            <v>0</v>
          </cell>
          <cell r="H31">
            <v>0</v>
          </cell>
          <cell r="I31">
            <v>12298</v>
          </cell>
          <cell r="J31">
            <v>139</v>
          </cell>
          <cell r="K31">
            <v>0</v>
          </cell>
          <cell r="L31">
            <v>107</v>
          </cell>
          <cell r="M31">
            <v>0</v>
          </cell>
          <cell r="N31">
            <v>1350</v>
          </cell>
          <cell r="O31">
            <v>12</v>
          </cell>
          <cell r="P31">
            <v>12</v>
          </cell>
          <cell r="Q31">
            <v>12</v>
          </cell>
          <cell r="R31">
            <v>0</v>
          </cell>
          <cell r="S31">
            <v>0</v>
          </cell>
          <cell r="T31">
            <v>0</v>
          </cell>
          <cell r="U31">
            <v>0</v>
          </cell>
          <cell r="V31">
            <v>0</v>
          </cell>
          <cell r="W31">
            <v>0</v>
          </cell>
          <cell r="X31">
            <v>0</v>
          </cell>
          <cell r="Y31">
            <v>13929</v>
          </cell>
          <cell r="Z31">
            <v>7018</v>
          </cell>
          <cell r="AA31">
            <v>20947</v>
          </cell>
          <cell r="AB31">
            <v>0.66500000000000004</v>
          </cell>
          <cell r="AC31" t="str">
            <v>USAC463</v>
          </cell>
        </row>
        <row r="32">
          <cell r="G32">
            <v>0</v>
          </cell>
          <cell r="H32">
            <v>737</v>
          </cell>
          <cell r="I32">
            <v>0</v>
          </cell>
          <cell r="J32">
            <v>0</v>
          </cell>
          <cell r="K32">
            <v>0</v>
          </cell>
          <cell r="L32">
            <v>0</v>
          </cell>
          <cell r="M32">
            <v>0</v>
          </cell>
          <cell r="N32">
            <v>0</v>
          </cell>
          <cell r="O32">
            <v>0</v>
          </cell>
          <cell r="P32">
            <v>0</v>
          </cell>
          <cell r="Q32">
            <v>0</v>
          </cell>
          <cell r="R32">
            <v>0</v>
          </cell>
          <cell r="S32">
            <v>0</v>
          </cell>
          <cell r="T32">
            <v>11</v>
          </cell>
          <cell r="U32">
            <v>0</v>
          </cell>
          <cell r="V32">
            <v>0</v>
          </cell>
          <cell r="W32">
            <v>0</v>
          </cell>
          <cell r="X32">
            <v>0</v>
          </cell>
          <cell r="Y32">
            <v>748</v>
          </cell>
          <cell r="Z32">
            <v>517</v>
          </cell>
          <cell r="AA32">
            <v>1265</v>
          </cell>
          <cell r="AB32">
            <v>0.59099999999999997</v>
          </cell>
          <cell r="AC32" t="str">
            <v>USAC467</v>
          </cell>
        </row>
        <row r="33">
          <cell r="G33">
            <v>0</v>
          </cell>
          <cell r="H33">
            <v>0</v>
          </cell>
          <cell r="I33">
            <v>72</v>
          </cell>
          <cell r="J33">
            <v>648</v>
          </cell>
          <cell r="K33">
            <v>291</v>
          </cell>
          <cell r="L33">
            <v>129</v>
          </cell>
          <cell r="M33">
            <v>54</v>
          </cell>
          <cell r="N33">
            <v>7538</v>
          </cell>
          <cell r="O33">
            <v>90</v>
          </cell>
          <cell r="P33">
            <v>164</v>
          </cell>
          <cell r="Q33">
            <v>0</v>
          </cell>
          <cell r="R33">
            <v>0</v>
          </cell>
          <cell r="S33">
            <v>0</v>
          </cell>
          <cell r="T33">
            <v>72</v>
          </cell>
          <cell r="U33">
            <v>0</v>
          </cell>
          <cell r="V33">
            <v>0</v>
          </cell>
          <cell r="W33">
            <v>0</v>
          </cell>
          <cell r="X33">
            <v>0</v>
          </cell>
          <cell r="Y33">
            <v>9058</v>
          </cell>
          <cell r="Z33">
            <v>3591</v>
          </cell>
          <cell r="AA33">
            <v>12649</v>
          </cell>
          <cell r="AB33">
            <v>0.71599999999999997</v>
          </cell>
          <cell r="AC33" t="str">
            <v>FEA463</v>
          </cell>
        </row>
        <row r="34">
          <cell r="G34">
            <v>0</v>
          </cell>
          <cell r="H34">
            <v>0</v>
          </cell>
          <cell r="I34">
            <v>0</v>
          </cell>
          <cell r="J34">
            <v>944</v>
          </cell>
          <cell r="K34">
            <v>0</v>
          </cell>
          <cell r="L34">
            <v>0</v>
          </cell>
          <cell r="M34">
            <v>0</v>
          </cell>
          <cell r="N34">
            <v>238</v>
          </cell>
          <cell r="O34">
            <v>88</v>
          </cell>
          <cell r="P34">
            <v>0</v>
          </cell>
          <cell r="Q34">
            <v>2784</v>
          </cell>
          <cell r="R34">
            <v>1089</v>
          </cell>
          <cell r="S34">
            <v>0</v>
          </cell>
          <cell r="T34">
            <v>982</v>
          </cell>
          <cell r="U34">
            <v>118</v>
          </cell>
          <cell r="V34">
            <v>0</v>
          </cell>
          <cell r="W34">
            <v>62</v>
          </cell>
          <cell r="X34">
            <v>0</v>
          </cell>
          <cell r="Y34">
            <v>6304</v>
          </cell>
          <cell r="Z34">
            <v>3663</v>
          </cell>
          <cell r="AA34">
            <v>9967</v>
          </cell>
          <cell r="AB34">
            <v>0.63200000000000001</v>
          </cell>
          <cell r="AC34" t="str">
            <v>AMN463</v>
          </cell>
        </row>
        <row r="35">
          <cell r="G35">
            <v>0</v>
          </cell>
          <cell r="H35">
            <v>11</v>
          </cell>
          <cell r="I35">
            <v>0</v>
          </cell>
          <cell r="J35">
            <v>0</v>
          </cell>
          <cell r="K35">
            <v>0</v>
          </cell>
          <cell r="L35">
            <v>0</v>
          </cell>
          <cell r="M35">
            <v>0</v>
          </cell>
          <cell r="N35">
            <v>87</v>
          </cell>
          <cell r="O35">
            <v>0</v>
          </cell>
          <cell r="P35">
            <v>0</v>
          </cell>
          <cell r="Q35">
            <v>0</v>
          </cell>
          <cell r="R35">
            <v>43</v>
          </cell>
          <cell r="S35">
            <v>22</v>
          </cell>
          <cell r="T35">
            <v>757</v>
          </cell>
          <cell r="U35">
            <v>129</v>
          </cell>
          <cell r="V35">
            <v>0</v>
          </cell>
          <cell r="W35">
            <v>0</v>
          </cell>
          <cell r="X35">
            <v>0</v>
          </cell>
          <cell r="Y35">
            <v>1049</v>
          </cell>
          <cell r="Z35">
            <v>190</v>
          </cell>
          <cell r="AA35">
            <v>1239</v>
          </cell>
          <cell r="AB35">
            <v>0.84699999999999998</v>
          </cell>
          <cell r="AC35" t="str">
            <v>MOKE463</v>
          </cell>
        </row>
        <row r="58">
          <cell r="G58">
            <v>494.28999999999996</v>
          </cell>
          <cell r="H58">
            <v>8979.84</v>
          </cell>
          <cell r="I58">
            <v>127223.68999999999</v>
          </cell>
          <cell r="J58">
            <v>29999.899999999998</v>
          </cell>
          <cell r="K58">
            <v>31595</v>
          </cell>
          <cell r="L58">
            <v>11729.800000000001</v>
          </cell>
          <cell r="M58">
            <v>230.36</v>
          </cell>
          <cell r="N58">
            <v>224489.9</v>
          </cell>
          <cell r="O58">
            <v>8155.1500000000005</v>
          </cell>
          <cell r="P58">
            <v>1549.2</v>
          </cell>
          <cell r="Q58">
            <v>47833.13</v>
          </cell>
          <cell r="R58">
            <v>26545.190000000002</v>
          </cell>
          <cell r="S58">
            <v>557.1099999999999</v>
          </cell>
          <cell r="T58">
            <v>34729.160000000003</v>
          </cell>
          <cell r="U58">
            <v>5097.18</v>
          </cell>
          <cell r="V58">
            <v>313.98</v>
          </cell>
          <cell r="W58">
            <v>244.82</v>
          </cell>
          <cell r="X58">
            <v>38272.989999999991</v>
          </cell>
          <cell r="Y58">
            <v>598046.80999999994</v>
          </cell>
          <cell r="Z58">
            <v>384219.19</v>
          </cell>
          <cell r="AA58">
            <v>982266</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 9 proportion "/>
      <sheetName val="Table 11 CWTs exp"/>
      <sheetName val="Table text"/>
      <sheetName val="inland_taf_hatchgrp_tableraw&amp;yy"/>
      <sheetName val="hatchery proportion only"/>
    </sheetNames>
    <sheetDataSet>
      <sheetData sheetId="0"/>
      <sheetData sheetId="1">
        <row r="2">
          <cell r="H2" t="str">
            <v>CFH</v>
          </cell>
          <cell r="K2" t="str">
            <v>FRH</v>
          </cell>
          <cell r="Q2" t="str">
            <v>NIM</v>
          </cell>
          <cell r="S2" t="str">
            <v>MOK</v>
          </cell>
          <cell r="V2" t="str">
            <v>MER</v>
          </cell>
        </row>
        <row r="3">
          <cell r="G3" t="str">
            <v>SacW</v>
          </cell>
          <cell r="H3" t="str">
            <v>CFHLh</v>
          </cell>
          <cell r="I3" t="str">
            <v>CFHFh</v>
          </cell>
          <cell r="J3" t="str">
            <v>CFHFn</v>
          </cell>
          <cell r="K3" t="str">
            <v>FRHS</v>
          </cell>
          <cell r="L3" t="str">
            <v>FRHSn</v>
          </cell>
          <cell r="M3" t="str">
            <v>FRHFb</v>
          </cell>
          <cell r="N3" t="str">
            <v>FRHFn</v>
          </cell>
          <cell r="O3" t="str">
            <v>FRHFnc</v>
          </cell>
          <cell r="P3" t="str">
            <v>FRHFtib</v>
          </cell>
          <cell r="Q3" t="str">
            <v>NIMF</v>
          </cell>
          <cell r="R3" t="str">
            <v>NIMFn</v>
          </cell>
          <cell r="S3" t="str">
            <v>MOKF</v>
          </cell>
          <cell r="T3" t="str">
            <v>MOKFn</v>
          </cell>
          <cell r="U3" t="str">
            <v>MOKFt</v>
          </cell>
          <cell r="V3" t="str">
            <v>MERF</v>
          </cell>
          <cell r="W3" t="str">
            <v>MERFt</v>
          </cell>
        </row>
        <row r="5">
          <cell r="A5" t="str">
            <v>FRFH501</v>
          </cell>
          <cell r="B5" t="str">
            <v>FRFH</v>
          </cell>
          <cell r="C5">
            <v>50</v>
          </cell>
          <cell r="D5">
            <v>1</v>
          </cell>
          <cell r="E5" t="str">
            <v>Feather River Hatchery</v>
          </cell>
          <cell r="F5" t="str">
            <v>Spring</v>
          </cell>
          <cell r="G5">
            <v>0</v>
          </cell>
          <cell r="H5">
            <v>0</v>
          </cell>
          <cell r="I5">
            <v>0</v>
          </cell>
          <cell r="J5">
            <v>0</v>
          </cell>
          <cell r="K5">
            <v>2251</v>
          </cell>
          <cell r="L5">
            <v>334</v>
          </cell>
          <cell r="M5">
            <v>1</v>
          </cell>
          <cell r="N5">
            <v>182</v>
          </cell>
          <cell r="O5">
            <v>0</v>
          </cell>
          <cell r="P5">
            <v>0</v>
          </cell>
          <cell r="Q5">
            <v>0</v>
          </cell>
          <cell r="R5">
            <v>0</v>
          </cell>
          <cell r="S5">
            <v>0</v>
          </cell>
          <cell r="T5">
            <v>0</v>
          </cell>
          <cell r="U5">
            <v>0</v>
          </cell>
          <cell r="V5">
            <v>0</v>
          </cell>
          <cell r="W5">
            <v>0</v>
          </cell>
          <cell r="X5">
            <v>0</v>
          </cell>
          <cell r="AA5">
            <v>2776</v>
          </cell>
          <cell r="AC5">
            <v>0.997</v>
          </cell>
        </row>
        <row r="6">
          <cell r="A6" t="str">
            <v>FRFH521</v>
          </cell>
          <cell r="B6" t="str">
            <v>FRFH</v>
          </cell>
          <cell r="C6">
            <v>52</v>
          </cell>
          <cell r="D6">
            <v>1</v>
          </cell>
          <cell r="F6" t="str">
            <v>Spring</v>
          </cell>
          <cell r="G6">
            <v>0</v>
          </cell>
          <cell r="H6">
            <v>0</v>
          </cell>
          <cell r="I6">
            <v>0</v>
          </cell>
          <cell r="J6">
            <v>0</v>
          </cell>
          <cell r="K6">
            <v>10</v>
          </cell>
          <cell r="L6">
            <v>5</v>
          </cell>
          <cell r="M6">
            <v>0</v>
          </cell>
          <cell r="N6">
            <v>1</v>
          </cell>
          <cell r="O6">
            <v>0</v>
          </cell>
          <cell r="P6">
            <v>0</v>
          </cell>
          <cell r="Q6">
            <v>0</v>
          </cell>
          <cell r="R6">
            <v>0</v>
          </cell>
          <cell r="S6">
            <v>0</v>
          </cell>
          <cell r="T6">
            <v>0</v>
          </cell>
          <cell r="U6">
            <v>0</v>
          </cell>
          <cell r="V6">
            <v>0</v>
          </cell>
          <cell r="W6">
            <v>0</v>
          </cell>
          <cell r="X6">
            <v>0</v>
          </cell>
          <cell r="AA6">
            <v>23</v>
          </cell>
          <cell r="AC6">
            <v>0.69599999999999995</v>
          </cell>
        </row>
        <row r="7">
          <cell r="A7" t="str">
            <v>CNFH503</v>
          </cell>
          <cell r="B7" t="str">
            <v>CNFH</v>
          </cell>
          <cell r="C7">
            <v>50</v>
          </cell>
          <cell r="D7">
            <v>3</v>
          </cell>
          <cell r="E7" t="str">
            <v>Coleman National Fish Hatchery</v>
          </cell>
          <cell r="F7" t="str">
            <v>Fall</v>
          </cell>
          <cell r="G7">
            <v>0</v>
          </cell>
          <cell r="H7">
            <v>0</v>
          </cell>
          <cell r="I7">
            <v>15961</v>
          </cell>
          <cell r="J7">
            <v>153</v>
          </cell>
          <cell r="K7">
            <v>1</v>
          </cell>
          <cell r="L7">
            <v>2</v>
          </cell>
          <cell r="M7">
            <v>12</v>
          </cell>
          <cell r="N7">
            <v>579</v>
          </cell>
          <cell r="O7">
            <v>58</v>
          </cell>
          <cell r="P7">
            <v>4</v>
          </cell>
          <cell r="Q7">
            <v>0</v>
          </cell>
          <cell r="R7">
            <v>4</v>
          </cell>
          <cell r="S7">
            <v>0</v>
          </cell>
          <cell r="T7">
            <v>8</v>
          </cell>
          <cell r="U7">
            <v>0</v>
          </cell>
          <cell r="V7">
            <v>0</v>
          </cell>
          <cell r="W7">
            <v>35</v>
          </cell>
          <cell r="X7">
            <v>0</v>
          </cell>
          <cell r="AA7">
            <v>18840</v>
          </cell>
          <cell r="AC7">
            <v>0.89300000000000002</v>
          </cell>
        </row>
        <row r="8">
          <cell r="A8" t="str">
            <v>FRFH503</v>
          </cell>
          <cell r="B8" t="str">
            <v>FRFH</v>
          </cell>
          <cell r="C8">
            <v>50</v>
          </cell>
          <cell r="D8">
            <v>3</v>
          </cell>
          <cell r="E8" t="str">
            <v>Feather River Hatchery</v>
          </cell>
          <cell r="F8" t="str">
            <v>Fall</v>
          </cell>
          <cell r="G8">
            <v>0</v>
          </cell>
          <cell r="H8">
            <v>0</v>
          </cell>
          <cell r="I8">
            <v>4</v>
          </cell>
          <cell r="J8">
            <v>76</v>
          </cell>
          <cell r="K8">
            <v>2360</v>
          </cell>
          <cell r="L8">
            <v>930</v>
          </cell>
          <cell r="M8">
            <v>660</v>
          </cell>
          <cell r="N8">
            <v>17288</v>
          </cell>
          <cell r="O8">
            <v>723</v>
          </cell>
          <cell r="P8">
            <v>30</v>
          </cell>
          <cell r="Q8">
            <v>4</v>
          </cell>
          <cell r="R8">
            <v>10</v>
          </cell>
          <cell r="S8">
            <v>1</v>
          </cell>
          <cell r="T8">
            <v>40</v>
          </cell>
          <cell r="U8">
            <v>4</v>
          </cell>
          <cell r="V8">
            <v>1</v>
          </cell>
          <cell r="W8">
            <v>42</v>
          </cell>
          <cell r="X8">
            <v>0</v>
          </cell>
          <cell r="AA8">
            <v>23420</v>
          </cell>
          <cell r="AC8">
            <v>0.94699999999999995</v>
          </cell>
        </row>
        <row r="9">
          <cell r="A9" t="str">
            <v>NBFH503</v>
          </cell>
          <cell r="B9" t="str">
            <v>NBFH</v>
          </cell>
          <cell r="C9">
            <v>50</v>
          </cell>
          <cell r="D9">
            <v>3</v>
          </cell>
          <cell r="E9" t="str">
            <v>Nimbus Fish Hatchery</v>
          </cell>
          <cell r="F9" t="str">
            <v>Fall</v>
          </cell>
          <cell r="G9">
            <v>0</v>
          </cell>
          <cell r="H9">
            <v>0</v>
          </cell>
          <cell r="I9">
            <v>0</v>
          </cell>
          <cell r="J9">
            <v>45</v>
          </cell>
          <cell r="K9">
            <v>0</v>
          </cell>
          <cell r="L9">
            <v>0</v>
          </cell>
          <cell r="M9">
            <v>17</v>
          </cell>
          <cell r="N9">
            <v>217</v>
          </cell>
          <cell r="O9">
            <v>14</v>
          </cell>
          <cell r="P9">
            <v>0</v>
          </cell>
          <cell r="Q9">
            <v>2794</v>
          </cell>
          <cell r="R9">
            <v>1996</v>
          </cell>
          <cell r="S9">
            <v>5</v>
          </cell>
          <cell r="T9">
            <v>1769</v>
          </cell>
          <cell r="U9">
            <v>259</v>
          </cell>
          <cell r="V9">
            <v>0</v>
          </cell>
          <cell r="W9">
            <v>111</v>
          </cell>
          <cell r="X9">
            <v>0</v>
          </cell>
          <cell r="AA9">
            <v>8343</v>
          </cell>
          <cell r="AC9">
            <v>0.86599999999999999</v>
          </cell>
        </row>
        <row r="10">
          <cell r="A10" t="str">
            <v>MRFI503</v>
          </cell>
          <cell r="B10" t="str">
            <v>MRFI</v>
          </cell>
          <cell r="C10">
            <v>50</v>
          </cell>
          <cell r="D10">
            <v>3</v>
          </cell>
          <cell r="E10" t="str">
            <v>Mokelumne River Hatchery</v>
          </cell>
          <cell r="F10" t="str">
            <v>Fall</v>
          </cell>
          <cell r="G10">
            <v>0</v>
          </cell>
          <cell r="H10">
            <v>6</v>
          </cell>
          <cell r="I10">
            <v>8</v>
          </cell>
          <cell r="J10">
            <v>16</v>
          </cell>
          <cell r="K10">
            <v>0</v>
          </cell>
          <cell r="L10">
            <v>0</v>
          </cell>
          <cell r="M10">
            <v>10</v>
          </cell>
          <cell r="N10">
            <v>245</v>
          </cell>
          <cell r="O10">
            <v>48</v>
          </cell>
          <cell r="P10">
            <v>0</v>
          </cell>
          <cell r="Q10">
            <v>4</v>
          </cell>
          <cell r="R10">
            <v>92</v>
          </cell>
          <cell r="S10">
            <v>240</v>
          </cell>
          <cell r="T10">
            <v>5907</v>
          </cell>
          <cell r="U10">
            <v>658</v>
          </cell>
          <cell r="V10">
            <v>2</v>
          </cell>
          <cell r="W10">
            <v>357</v>
          </cell>
          <cell r="X10">
            <v>0</v>
          </cell>
          <cell r="AA10">
            <v>8820</v>
          </cell>
          <cell r="AC10">
            <v>0.86099999999999999</v>
          </cell>
        </row>
        <row r="11">
          <cell r="A11" t="str">
            <v>MRFF503</v>
          </cell>
          <cell r="B11" t="str">
            <v>MRFF</v>
          </cell>
          <cell r="C11">
            <v>50</v>
          </cell>
          <cell r="D11">
            <v>3</v>
          </cell>
          <cell r="E11" t="str">
            <v>Merced River Hatchery</v>
          </cell>
          <cell r="F11" t="str">
            <v>Fall</v>
          </cell>
          <cell r="G11">
            <v>0</v>
          </cell>
          <cell r="H11">
            <v>1</v>
          </cell>
          <cell r="I11">
            <v>0</v>
          </cell>
          <cell r="J11">
            <v>4</v>
          </cell>
          <cell r="K11">
            <v>0</v>
          </cell>
          <cell r="L11">
            <v>0</v>
          </cell>
          <cell r="M11">
            <v>0</v>
          </cell>
          <cell r="N11">
            <v>45</v>
          </cell>
          <cell r="O11">
            <v>14</v>
          </cell>
          <cell r="P11">
            <v>0</v>
          </cell>
          <cell r="Q11">
            <v>0</v>
          </cell>
          <cell r="R11">
            <v>12</v>
          </cell>
          <cell r="S11">
            <v>0</v>
          </cell>
          <cell r="T11">
            <v>447</v>
          </cell>
          <cell r="U11">
            <v>65</v>
          </cell>
          <cell r="V11">
            <v>14</v>
          </cell>
          <cell r="W11">
            <v>178</v>
          </cell>
          <cell r="X11">
            <v>0</v>
          </cell>
          <cell r="AA11">
            <v>811</v>
          </cell>
          <cell r="AC11">
            <v>0.96299999999999997</v>
          </cell>
        </row>
        <row r="12">
          <cell r="A12" t="str">
            <v>CNFH507</v>
          </cell>
          <cell r="B12" t="str">
            <v>CNFH</v>
          </cell>
          <cell r="C12">
            <v>50</v>
          </cell>
          <cell r="D12">
            <v>7</v>
          </cell>
          <cell r="E12" t="str">
            <v xml:space="preserve">Coleman National Fish Hatchery </v>
          </cell>
          <cell r="G12">
            <v>0</v>
          </cell>
          <cell r="H12">
            <v>6707</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AA12">
            <v>6814</v>
          </cell>
          <cell r="AC12">
            <v>0.98399999999999999</v>
          </cell>
        </row>
        <row r="13">
          <cell r="A13" t="str">
            <v>CNFW527</v>
          </cell>
          <cell r="B13" t="str">
            <v>CNFW</v>
          </cell>
          <cell r="C13">
            <v>52</v>
          </cell>
          <cell r="D13">
            <v>7</v>
          </cell>
          <cell r="E13" t="str">
            <v>Coleman Hatchery Fish Trap</v>
          </cell>
          <cell r="G13">
            <v>0</v>
          </cell>
          <cell r="H13">
            <v>116</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AA13">
            <v>137</v>
          </cell>
          <cell r="AC13">
            <v>0.84699999999999998</v>
          </cell>
        </row>
        <row r="14">
          <cell r="G14">
            <v>0</v>
          </cell>
          <cell r="H14">
            <v>7</v>
          </cell>
          <cell r="I14">
            <v>15973</v>
          </cell>
          <cell r="J14">
            <v>294</v>
          </cell>
          <cell r="K14">
            <v>2361</v>
          </cell>
          <cell r="L14">
            <v>932</v>
          </cell>
          <cell r="M14">
            <v>699</v>
          </cell>
          <cell r="N14">
            <v>18374</v>
          </cell>
          <cell r="O14">
            <v>857</v>
          </cell>
          <cell r="P14">
            <v>34</v>
          </cell>
          <cell r="Q14">
            <v>2802</v>
          </cell>
          <cell r="R14">
            <v>2114</v>
          </cell>
          <cell r="S14">
            <v>246</v>
          </cell>
          <cell r="T14">
            <v>8171</v>
          </cell>
          <cell r="U14">
            <v>986</v>
          </cell>
          <cell r="V14">
            <v>17</v>
          </cell>
          <cell r="W14">
            <v>723</v>
          </cell>
          <cell r="X14">
            <v>0</v>
          </cell>
          <cell r="Y14">
            <v>54595</v>
          </cell>
          <cell r="Z14">
            <v>5639</v>
          </cell>
          <cell r="AA14">
            <v>60234</v>
          </cell>
          <cell r="AC14">
            <v>0.90638177773350603</v>
          </cell>
        </row>
        <row r="16">
          <cell r="A16" t="str">
            <v>USAC544</v>
          </cell>
          <cell r="B16" t="str">
            <v>USAC</v>
          </cell>
          <cell r="C16">
            <v>54</v>
          </cell>
          <cell r="D16">
            <v>4</v>
          </cell>
          <cell r="E16" t="str">
            <v>Upper Sacramento River</v>
          </cell>
          <cell r="F16" t="str">
            <v>Winter</v>
          </cell>
          <cell r="G16">
            <v>430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AA16">
            <v>2627</v>
          </cell>
          <cell r="AC16">
            <v>0.16400000000000001</v>
          </cell>
        </row>
        <row r="17">
          <cell r="A17" t="str">
            <v>BUT541</v>
          </cell>
          <cell r="B17" t="str">
            <v>BUT</v>
          </cell>
          <cell r="C17">
            <v>54</v>
          </cell>
          <cell r="D17">
            <v>1</v>
          </cell>
          <cell r="E17" t="str">
            <v>Butte Creek</v>
          </cell>
          <cell r="F17" t="str">
            <v>Spring</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AA17">
            <v>5083</v>
          </cell>
          <cell r="AC17">
            <v>0</v>
          </cell>
        </row>
        <row r="18">
          <cell r="A18" t="str">
            <v>USAC543</v>
          </cell>
          <cell r="B18" t="str">
            <v>USAC</v>
          </cell>
          <cell r="C18">
            <v>54</v>
          </cell>
          <cell r="D18">
            <v>3</v>
          </cell>
          <cell r="E18" t="str">
            <v>Upper Sacramento River</v>
          </cell>
          <cell r="F18" t="str">
            <v>Fall</v>
          </cell>
          <cell r="G18">
            <v>0</v>
          </cell>
          <cell r="H18">
            <v>0</v>
          </cell>
          <cell r="I18">
            <v>4608</v>
          </cell>
          <cell r="J18">
            <v>1060</v>
          </cell>
          <cell r="K18">
            <v>112</v>
          </cell>
          <cell r="L18">
            <v>269</v>
          </cell>
          <cell r="M18">
            <v>245</v>
          </cell>
          <cell r="N18">
            <v>9064</v>
          </cell>
          <cell r="O18">
            <v>576</v>
          </cell>
          <cell r="P18">
            <v>89</v>
          </cell>
          <cell r="Q18">
            <v>0</v>
          </cell>
          <cell r="R18">
            <v>0</v>
          </cell>
          <cell r="S18">
            <v>0</v>
          </cell>
          <cell r="T18">
            <v>0</v>
          </cell>
          <cell r="U18">
            <v>0</v>
          </cell>
          <cell r="V18">
            <v>0</v>
          </cell>
          <cell r="W18">
            <v>0</v>
          </cell>
          <cell r="X18">
            <v>99</v>
          </cell>
          <cell r="AA18">
            <v>29885</v>
          </cell>
          <cell r="AC18">
            <v>0.54</v>
          </cell>
        </row>
        <row r="19">
          <cell r="A19" t="str">
            <v>CLR543</v>
          </cell>
          <cell r="B19" t="str">
            <v>CLR</v>
          </cell>
          <cell r="C19">
            <v>54</v>
          </cell>
          <cell r="D19">
            <v>3</v>
          </cell>
          <cell r="E19" t="str">
            <v>Clear Creek</v>
          </cell>
          <cell r="F19" t="str">
            <v>Fall</v>
          </cell>
          <cell r="G19">
            <v>0</v>
          </cell>
          <cell r="H19">
            <v>0</v>
          </cell>
          <cell r="I19">
            <v>3334</v>
          </cell>
          <cell r="J19">
            <v>188</v>
          </cell>
          <cell r="K19">
            <v>0</v>
          </cell>
          <cell r="L19">
            <v>175</v>
          </cell>
          <cell r="M19">
            <v>127</v>
          </cell>
          <cell r="N19">
            <v>4799</v>
          </cell>
          <cell r="O19">
            <v>189</v>
          </cell>
          <cell r="P19">
            <v>0</v>
          </cell>
          <cell r="Q19">
            <v>63</v>
          </cell>
          <cell r="R19">
            <v>0</v>
          </cell>
          <cell r="S19">
            <v>0</v>
          </cell>
          <cell r="T19">
            <v>63</v>
          </cell>
          <cell r="U19">
            <v>0</v>
          </cell>
          <cell r="V19">
            <v>0</v>
          </cell>
          <cell r="W19">
            <v>0</v>
          </cell>
          <cell r="X19">
            <v>0</v>
          </cell>
          <cell r="AA19">
            <v>15794</v>
          </cell>
          <cell r="AC19">
            <v>0.56599999999999995</v>
          </cell>
        </row>
        <row r="20">
          <cell r="A20" t="str">
            <v>BATT543</v>
          </cell>
          <cell r="B20" t="str">
            <v>BATT</v>
          </cell>
          <cell r="C20">
            <v>54</v>
          </cell>
          <cell r="D20">
            <v>3</v>
          </cell>
          <cell r="E20" t="str">
            <v>Battle Creek</v>
          </cell>
          <cell r="G20">
            <v>0</v>
          </cell>
          <cell r="H20">
            <v>0</v>
          </cell>
          <cell r="I20">
            <v>22515</v>
          </cell>
          <cell r="J20">
            <v>216</v>
          </cell>
          <cell r="K20">
            <v>1</v>
          </cell>
          <cell r="L20">
            <v>3</v>
          </cell>
          <cell r="M20">
            <v>17</v>
          </cell>
          <cell r="N20">
            <v>817</v>
          </cell>
          <cell r="O20">
            <v>82</v>
          </cell>
          <cell r="P20">
            <v>6</v>
          </cell>
          <cell r="Q20">
            <v>0</v>
          </cell>
          <cell r="R20">
            <v>6</v>
          </cell>
          <cell r="S20">
            <v>0</v>
          </cell>
          <cell r="T20">
            <v>11</v>
          </cell>
          <cell r="U20">
            <v>0</v>
          </cell>
          <cell r="V20">
            <v>0</v>
          </cell>
          <cell r="W20">
            <v>50</v>
          </cell>
          <cell r="X20">
            <v>0</v>
          </cell>
          <cell r="AA20">
            <v>26575</v>
          </cell>
          <cell r="AC20">
            <v>0.89271872060206958</v>
          </cell>
        </row>
        <row r="21">
          <cell r="A21" t="str">
            <v>COT543</v>
          </cell>
          <cell r="B21" t="str">
            <v>COT</v>
          </cell>
          <cell r="C21">
            <v>54</v>
          </cell>
          <cell r="D21">
            <v>3</v>
          </cell>
          <cell r="E21" t="str">
            <v>Cottonwood Creek</v>
          </cell>
          <cell r="F21" t="str">
            <v>Fall</v>
          </cell>
          <cell r="G21">
            <v>0</v>
          </cell>
          <cell r="H21">
            <v>0</v>
          </cell>
          <cell r="I21">
            <v>720</v>
          </cell>
          <cell r="J21">
            <v>0</v>
          </cell>
          <cell r="K21">
            <v>0</v>
          </cell>
          <cell r="L21">
            <v>0</v>
          </cell>
          <cell r="M21">
            <v>0</v>
          </cell>
          <cell r="N21">
            <v>72</v>
          </cell>
          <cell r="O21">
            <v>0</v>
          </cell>
          <cell r="P21">
            <v>0</v>
          </cell>
          <cell r="Q21">
            <v>0</v>
          </cell>
          <cell r="R21">
            <v>0</v>
          </cell>
          <cell r="S21">
            <v>0</v>
          </cell>
          <cell r="T21">
            <v>0</v>
          </cell>
          <cell r="U21">
            <v>0</v>
          </cell>
          <cell r="V21">
            <v>0</v>
          </cell>
          <cell r="W21">
            <v>0</v>
          </cell>
          <cell r="X21">
            <v>0</v>
          </cell>
          <cell r="AA21">
            <v>1940</v>
          </cell>
          <cell r="AC21">
            <v>0.40799999999999997</v>
          </cell>
        </row>
        <row r="22">
          <cell r="A22" t="str">
            <v>PAY543</v>
          </cell>
          <cell r="B22" t="str">
            <v>PAY</v>
          </cell>
          <cell r="C22">
            <v>54</v>
          </cell>
          <cell r="D22">
            <v>3</v>
          </cell>
          <cell r="E22" t="str">
            <v>Paynes Creek</v>
          </cell>
          <cell r="F22" t="str">
            <v>Fall</v>
          </cell>
          <cell r="G22">
            <v>0</v>
          </cell>
          <cell r="H22">
            <v>0</v>
          </cell>
          <cell r="I22">
            <v>39</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AA22">
            <v>72</v>
          </cell>
          <cell r="AC22">
            <v>0.54200000000000004</v>
          </cell>
        </row>
        <row r="23">
          <cell r="A23" t="str">
            <v>MLC543</v>
          </cell>
          <cell r="B23" t="str">
            <v>MLC</v>
          </cell>
          <cell r="C23">
            <v>54</v>
          </cell>
          <cell r="D23">
            <v>3</v>
          </cell>
          <cell r="E23" t="str">
            <v>Mill Creek</v>
          </cell>
          <cell r="F23" t="str">
            <v>Fall</v>
          </cell>
          <cell r="G23">
            <v>0</v>
          </cell>
          <cell r="H23">
            <v>0</v>
          </cell>
          <cell r="I23">
            <v>483</v>
          </cell>
          <cell r="J23">
            <v>107</v>
          </cell>
          <cell r="K23">
            <v>0</v>
          </cell>
          <cell r="L23">
            <v>0</v>
          </cell>
          <cell r="M23">
            <v>0</v>
          </cell>
          <cell r="N23">
            <v>483</v>
          </cell>
          <cell r="O23">
            <v>41</v>
          </cell>
          <cell r="P23">
            <v>0</v>
          </cell>
          <cell r="Q23">
            <v>0</v>
          </cell>
          <cell r="R23">
            <v>0</v>
          </cell>
          <cell r="S23">
            <v>0</v>
          </cell>
          <cell r="T23">
            <v>0</v>
          </cell>
          <cell r="U23">
            <v>0</v>
          </cell>
          <cell r="V23">
            <v>0</v>
          </cell>
          <cell r="W23">
            <v>0</v>
          </cell>
          <cell r="X23">
            <v>0</v>
          </cell>
          <cell r="AA23">
            <v>2488</v>
          </cell>
          <cell r="AC23">
            <v>0.44700000000000001</v>
          </cell>
        </row>
        <row r="24">
          <cell r="A24" t="str">
            <v>BUT543</v>
          </cell>
          <cell r="B24" t="str">
            <v>BUT</v>
          </cell>
          <cell r="C24">
            <v>54</v>
          </cell>
          <cell r="D24">
            <v>3</v>
          </cell>
          <cell r="E24" t="str">
            <v>Butte Creek</v>
          </cell>
          <cell r="F24" t="str">
            <v>Fall</v>
          </cell>
          <cell r="G24">
            <v>0</v>
          </cell>
          <cell r="H24">
            <v>0</v>
          </cell>
          <cell r="I24">
            <v>0</v>
          </cell>
          <cell r="J24">
            <v>16</v>
          </cell>
          <cell r="K24">
            <v>0</v>
          </cell>
          <cell r="L24">
            <v>0</v>
          </cell>
          <cell r="M24">
            <v>2</v>
          </cell>
          <cell r="N24">
            <v>214</v>
          </cell>
          <cell r="O24">
            <v>6</v>
          </cell>
          <cell r="P24">
            <v>0</v>
          </cell>
          <cell r="Q24">
            <v>0</v>
          </cell>
          <cell r="R24">
            <v>0</v>
          </cell>
          <cell r="S24">
            <v>0</v>
          </cell>
          <cell r="T24">
            <v>40</v>
          </cell>
          <cell r="U24">
            <v>8</v>
          </cell>
          <cell r="V24">
            <v>0</v>
          </cell>
          <cell r="W24">
            <v>9</v>
          </cell>
          <cell r="X24">
            <v>0</v>
          </cell>
          <cell r="AA24">
            <v>1412</v>
          </cell>
          <cell r="AC24">
            <v>0.20799999999999999</v>
          </cell>
        </row>
        <row r="25">
          <cell r="A25" t="str">
            <v>FEA543</v>
          </cell>
          <cell r="B25" t="str">
            <v>FEA</v>
          </cell>
          <cell r="C25">
            <v>54</v>
          </cell>
          <cell r="D25">
            <v>3</v>
          </cell>
          <cell r="E25" t="str">
            <v>Feather River</v>
          </cell>
          <cell r="F25" t="str">
            <v>Fall</v>
          </cell>
          <cell r="G25">
            <v>0</v>
          </cell>
          <cell r="H25">
            <v>0</v>
          </cell>
          <cell r="I25">
            <v>149</v>
          </cell>
          <cell r="J25">
            <v>644</v>
          </cell>
          <cell r="K25">
            <v>6245</v>
          </cell>
          <cell r="L25">
            <v>1934</v>
          </cell>
          <cell r="M25">
            <v>895</v>
          </cell>
          <cell r="N25">
            <v>38925</v>
          </cell>
          <cell r="O25">
            <v>1266</v>
          </cell>
          <cell r="P25">
            <v>62</v>
          </cell>
          <cell r="Q25">
            <v>99</v>
          </cell>
          <cell r="R25">
            <v>50</v>
          </cell>
          <cell r="S25">
            <v>0</v>
          </cell>
          <cell r="T25">
            <v>99</v>
          </cell>
          <cell r="U25">
            <v>0</v>
          </cell>
          <cell r="V25">
            <v>0</v>
          </cell>
          <cell r="W25">
            <v>0</v>
          </cell>
          <cell r="X25">
            <v>52</v>
          </cell>
          <cell r="AA25">
            <v>60721</v>
          </cell>
          <cell r="AC25">
            <v>0.83</v>
          </cell>
        </row>
        <row r="26">
          <cell r="A26" t="str">
            <v>YUBA543</v>
          </cell>
          <cell r="B26" t="str">
            <v>YUBA</v>
          </cell>
          <cell r="C26">
            <v>54</v>
          </cell>
          <cell r="D26">
            <v>3</v>
          </cell>
          <cell r="F26" t="str">
            <v>Fall</v>
          </cell>
          <cell r="G26">
            <v>0</v>
          </cell>
          <cell r="H26">
            <v>0</v>
          </cell>
          <cell r="I26">
            <v>0</v>
          </cell>
          <cell r="J26">
            <v>494</v>
          </cell>
          <cell r="K26">
            <v>25</v>
          </cell>
          <cell r="L26">
            <v>0</v>
          </cell>
          <cell r="M26">
            <v>50</v>
          </cell>
          <cell r="N26">
            <v>3287</v>
          </cell>
          <cell r="O26">
            <v>200</v>
          </cell>
          <cell r="P26">
            <v>0</v>
          </cell>
          <cell r="Q26">
            <v>0</v>
          </cell>
          <cell r="R26">
            <v>99</v>
          </cell>
          <cell r="S26">
            <v>0</v>
          </cell>
          <cell r="T26">
            <v>198</v>
          </cell>
          <cell r="U26">
            <v>100</v>
          </cell>
          <cell r="V26">
            <v>0</v>
          </cell>
          <cell r="W26">
            <v>0</v>
          </cell>
          <cell r="X26">
            <v>0</v>
          </cell>
          <cell r="AA26">
            <v>9135</v>
          </cell>
          <cell r="AC26">
            <v>0.48699999999999999</v>
          </cell>
        </row>
        <row r="27">
          <cell r="A27" t="str">
            <v>YUBB543</v>
          </cell>
          <cell r="B27" t="str">
            <v>YUBB</v>
          </cell>
          <cell r="C27">
            <v>54</v>
          </cell>
          <cell r="D27">
            <v>3</v>
          </cell>
          <cell r="F27" t="str">
            <v>Fall</v>
          </cell>
          <cell r="G27">
            <v>0</v>
          </cell>
          <cell r="H27">
            <v>0</v>
          </cell>
          <cell r="I27">
            <v>0</v>
          </cell>
          <cell r="J27">
            <v>135</v>
          </cell>
          <cell r="K27">
            <v>0</v>
          </cell>
          <cell r="L27">
            <v>0</v>
          </cell>
          <cell r="M27">
            <v>20</v>
          </cell>
          <cell r="N27">
            <v>868</v>
          </cell>
          <cell r="O27">
            <v>68</v>
          </cell>
          <cell r="P27">
            <v>7</v>
          </cell>
          <cell r="Q27">
            <v>0</v>
          </cell>
          <cell r="R27">
            <v>0</v>
          </cell>
          <cell r="S27">
            <v>0</v>
          </cell>
          <cell r="T27">
            <v>61</v>
          </cell>
          <cell r="U27">
            <v>0</v>
          </cell>
          <cell r="V27">
            <v>0</v>
          </cell>
          <cell r="W27">
            <v>0</v>
          </cell>
          <cell r="X27">
            <v>0</v>
          </cell>
          <cell r="AA27">
            <v>2569</v>
          </cell>
          <cell r="AC27">
            <v>0.45100000000000001</v>
          </cell>
        </row>
        <row r="28">
          <cell r="A28" t="str">
            <v>LARC543</v>
          </cell>
          <cell r="B28" t="str">
            <v>LARC</v>
          </cell>
          <cell r="C28">
            <v>54</v>
          </cell>
          <cell r="D28">
            <v>3</v>
          </cell>
          <cell r="E28" t="str">
            <v>American River</v>
          </cell>
          <cell r="F28" t="str">
            <v>Fall</v>
          </cell>
          <cell r="G28">
            <v>0</v>
          </cell>
          <cell r="H28">
            <v>0</v>
          </cell>
          <cell r="I28">
            <v>27</v>
          </cell>
          <cell r="J28">
            <v>206</v>
          </cell>
          <cell r="K28">
            <v>0</v>
          </cell>
          <cell r="L28">
            <v>2</v>
          </cell>
          <cell r="M28">
            <v>9</v>
          </cell>
          <cell r="N28">
            <v>324</v>
          </cell>
          <cell r="O28">
            <v>36</v>
          </cell>
          <cell r="P28">
            <v>0</v>
          </cell>
          <cell r="Q28">
            <v>8048</v>
          </cell>
          <cell r="R28">
            <v>4350</v>
          </cell>
          <cell r="S28">
            <v>5</v>
          </cell>
          <cell r="T28">
            <v>2297</v>
          </cell>
          <cell r="U28">
            <v>397</v>
          </cell>
          <cell r="V28">
            <v>0</v>
          </cell>
          <cell r="W28">
            <v>89</v>
          </cell>
          <cell r="X28">
            <v>0</v>
          </cell>
          <cell r="AA28">
            <v>24503</v>
          </cell>
          <cell r="AC28">
            <v>0.64400000000000002</v>
          </cell>
        </row>
        <row r="29">
          <cell r="A29" t="str">
            <v>NIMW593</v>
          </cell>
          <cell r="B29" t="str">
            <v>NIMW</v>
          </cell>
          <cell r="C29">
            <v>59</v>
          </cell>
          <cell r="D29">
            <v>3</v>
          </cell>
          <cell r="E29" t="str">
            <v>Nimbus Fish Hatchery Weir</v>
          </cell>
          <cell r="F29" t="str">
            <v>Fall</v>
          </cell>
          <cell r="G29">
            <v>0</v>
          </cell>
          <cell r="H29">
            <v>0</v>
          </cell>
          <cell r="I29">
            <v>0</v>
          </cell>
          <cell r="J29">
            <v>12</v>
          </cell>
          <cell r="K29">
            <v>3</v>
          </cell>
          <cell r="L29">
            <v>8</v>
          </cell>
          <cell r="M29">
            <v>8</v>
          </cell>
          <cell r="N29">
            <v>70</v>
          </cell>
          <cell r="O29">
            <v>5</v>
          </cell>
          <cell r="P29">
            <v>0</v>
          </cell>
          <cell r="Q29">
            <v>149</v>
          </cell>
          <cell r="R29">
            <v>45</v>
          </cell>
          <cell r="S29">
            <v>0</v>
          </cell>
          <cell r="T29">
            <v>160</v>
          </cell>
          <cell r="U29">
            <v>8</v>
          </cell>
          <cell r="V29">
            <v>0</v>
          </cell>
          <cell r="W29">
            <v>85</v>
          </cell>
          <cell r="X29">
            <v>0</v>
          </cell>
          <cell r="AA29">
            <v>1972</v>
          </cell>
          <cell r="AC29">
            <v>0.28100000000000003</v>
          </cell>
        </row>
        <row r="30">
          <cell r="A30" t="str">
            <v>MOKE543</v>
          </cell>
          <cell r="B30" t="str">
            <v>MOKE</v>
          </cell>
          <cell r="C30">
            <v>54</v>
          </cell>
          <cell r="D30">
            <v>3</v>
          </cell>
          <cell r="E30" t="str">
            <v>Mokelumne River</v>
          </cell>
          <cell r="F30" t="str">
            <v>Fall</v>
          </cell>
          <cell r="G30">
            <v>0</v>
          </cell>
          <cell r="H30">
            <v>0</v>
          </cell>
          <cell r="I30">
            <v>0</v>
          </cell>
          <cell r="J30">
            <v>0</v>
          </cell>
          <cell r="K30">
            <v>0</v>
          </cell>
          <cell r="L30">
            <v>0</v>
          </cell>
          <cell r="M30">
            <v>0</v>
          </cell>
          <cell r="N30">
            <v>189</v>
          </cell>
          <cell r="O30">
            <v>0</v>
          </cell>
          <cell r="P30">
            <v>0</v>
          </cell>
          <cell r="Q30">
            <v>0</v>
          </cell>
          <cell r="R30">
            <v>0</v>
          </cell>
          <cell r="S30">
            <v>24</v>
          </cell>
          <cell r="T30">
            <v>1945</v>
          </cell>
          <cell r="U30">
            <v>189</v>
          </cell>
          <cell r="V30">
            <v>0</v>
          </cell>
          <cell r="W30">
            <v>165</v>
          </cell>
          <cell r="X30">
            <v>0</v>
          </cell>
          <cell r="AA30">
            <v>3297</v>
          </cell>
          <cell r="AC30">
            <v>0.76200000000000001</v>
          </cell>
        </row>
        <row r="31">
          <cell r="A31" t="str">
            <v>COSU543</v>
          </cell>
          <cell r="B31" t="str">
            <v>COSU</v>
          </cell>
          <cell r="C31">
            <v>54</v>
          </cell>
          <cell r="D31">
            <v>3</v>
          </cell>
          <cell r="E31" t="str">
            <v>Cosumnes River</v>
          </cell>
          <cell r="F31" t="str">
            <v>Fall</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AA31">
            <v>0</v>
          </cell>
          <cell r="AC31">
            <v>0</v>
          </cell>
        </row>
        <row r="32">
          <cell r="A32" t="str">
            <v>CAL543</v>
          </cell>
          <cell r="B32" t="str">
            <v>CAL</v>
          </cell>
          <cell r="C32">
            <v>54</v>
          </cell>
          <cell r="D32">
            <v>3</v>
          </cell>
          <cell r="E32" t="str">
            <v>Calaveras River*</v>
          </cell>
          <cell r="F32" t="str">
            <v>Fall</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AA32">
            <v>0</v>
          </cell>
          <cell r="AC32">
            <v>0</v>
          </cell>
        </row>
        <row r="33">
          <cell r="A33" t="str">
            <v>STA543</v>
          </cell>
          <cell r="B33" t="str">
            <v>STA</v>
          </cell>
          <cell r="C33">
            <v>54</v>
          </cell>
          <cell r="D33">
            <v>3</v>
          </cell>
          <cell r="E33" t="str">
            <v>Stanislaus River</v>
          </cell>
          <cell r="F33" t="str">
            <v>Fall</v>
          </cell>
          <cell r="G33">
            <v>0</v>
          </cell>
          <cell r="H33">
            <v>0</v>
          </cell>
          <cell r="I33">
            <v>0</v>
          </cell>
          <cell r="J33">
            <v>22</v>
          </cell>
          <cell r="K33">
            <v>0</v>
          </cell>
          <cell r="L33">
            <v>0</v>
          </cell>
          <cell r="M33">
            <v>0</v>
          </cell>
          <cell r="N33">
            <v>198</v>
          </cell>
          <cell r="O33">
            <v>50</v>
          </cell>
          <cell r="P33">
            <v>0</v>
          </cell>
          <cell r="Q33">
            <v>0</v>
          </cell>
          <cell r="R33">
            <v>0</v>
          </cell>
          <cell r="S33">
            <v>13</v>
          </cell>
          <cell r="T33">
            <v>1280</v>
          </cell>
          <cell r="U33">
            <v>155</v>
          </cell>
          <cell r="V33">
            <v>6</v>
          </cell>
          <cell r="W33">
            <v>256</v>
          </cell>
          <cell r="X33">
            <v>0</v>
          </cell>
          <cell r="AA33">
            <v>3064</v>
          </cell>
          <cell r="AC33">
            <v>0.64700000000000002</v>
          </cell>
        </row>
        <row r="34">
          <cell r="A34" t="str">
            <v>TUO543</v>
          </cell>
          <cell r="B34" t="str">
            <v>TUO</v>
          </cell>
          <cell r="C34">
            <v>54</v>
          </cell>
          <cell r="D34">
            <v>3</v>
          </cell>
          <cell r="E34" t="str">
            <v>Tuolumne River</v>
          </cell>
          <cell r="F34" t="str">
            <v>Fall</v>
          </cell>
          <cell r="G34">
            <v>0</v>
          </cell>
          <cell r="H34">
            <v>0</v>
          </cell>
          <cell r="I34">
            <v>0</v>
          </cell>
          <cell r="J34">
            <v>0</v>
          </cell>
          <cell r="K34">
            <v>0</v>
          </cell>
          <cell r="L34">
            <v>0</v>
          </cell>
          <cell r="M34">
            <v>0</v>
          </cell>
          <cell r="N34">
            <v>0</v>
          </cell>
          <cell r="O34">
            <v>0</v>
          </cell>
          <cell r="P34">
            <v>0</v>
          </cell>
          <cell r="Q34">
            <v>0</v>
          </cell>
          <cell r="R34">
            <v>43</v>
          </cell>
          <cell r="S34">
            <v>0</v>
          </cell>
          <cell r="T34">
            <v>86</v>
          </cell>
          <cell r="U34">
            <v>0</v>
          </cell>
          <cell r="V34">
            <v>6</v>
          </cell>
          <cell r="W34">
            <v>0</v>
          </cell>
          <cell r="X34">
            <v>0</v>
          </cell>
          <cell r="AA34">
            <v>206</v>
          </cell>
          <cell r="AC34">
            <v>0.65</v>
          </cell>
        </row>
        <row r="35">
          <cell r="A35" t="str">
            <v>MER543</v>
          </cell>
          <cell r="B35" t="str">
            <v>MER</v>
          </cell>
          <cell r="C35">
            <v>54</v>
          </cell>
          <cell r="D35">
            <v>3</v>
          </cell>
          <cell r="E35" t="str">
            <v>Merced River</v>
          </cell>
          <cell r="F35" t="str">
            <v>Fall</v>
          </cell>
          <cell r="G35">
            <v>0</v>
          </cell>
          <cell r="H35">
            <v>0</v>
          </cell>
          <cell r="I35">
            <v>0</v>
          </cell>
          <cell r="J35">
            <v>0</v>
          </cell>
          <cell r="K35">
            <v>0</v>
          </cell>
          <cell r="L35">
            <v>0</v>
          </cell>
          <cell r="M35">
            <v>0</v>
          </cell>
          <cell r="N35">
            <v>75</v>
          </cell>
          <cell r="O35">
            <v>9</v>
          </cell>
          <cell r="P35">
            <v>0</v>
          </cell>
          <cell r="Q35">
            <v>0</v>
          </cell>
          <cell r="R35">
            <v>0</v>
          </cell>
          <cell r="S35">
            <v>0</v>
          </cell>
          <cell r="T35">
            <v>263</v>
          </cell>
          <cell r="U35">
            <v>76</v>
          </cell>
          <cell r="V35">
            <v>29</v>
          </cell>
          <cell r="W35">
            <v>44</v>
          </cell>
          <cell r="X35">
            <v>0</v>
          </cell>
          <cell r="AA35">
            <v>860</v>
          </cell>
          <cell r="AC35">
            <v>0.57699999999999996</v>
          </cell>
        </row>
        <row r="36">
          <cell r="A36" t="str">
            <v>USAC547</v>
          </cell>
          <cell r="B36" t="str">
            <v>USAC</v>
          </cell>
          <cell r="C36">
            <v>54</v>
          </cell>
          <cell r="D36">
            <v>7</v>
          </cell>
          <cell r="E36" t="str">
            <v>Upper Sacramento River</v>
          </cell>
          <cell r="G36">
            <v>0</v>
          </cell>
          <cell r="H36">
            <v>10</v>
          </cell>
          <cell r="I36">
            <v>0</v>
          </cell>
          <cell r="J36">
            <v>0</v>
          </cell>
          <cell r="K36">
            <v>0</v>
          </cell>
          <cell r="L36">
            <v>0</v>
          </cell>
          <cell r="M36">
            <v>0</v>
          </cell>
          <cell r="N36">
            <v>0</v>
          </cell>
          <cell r="O36">
            <v>0</v>
          </cell>
          <cell r="P36">
            <v>0</v>
          </cell>
          <cell r="Q36">
            <v>0</v>
          </cell>
          <cell r="R36">
            <v>41</v>
          </cell>
          <cell r="S36">
            <v>0</v>
          </cell>
          <cell r="T36">
            <v>0</v>
          </cell>
          <cell r="U36">
            <v>0</v>
          </cell>
          <cell r="V36">
            <v>0</v>
          </cell>
          <cell r="W36">
            <v>0</v>
          </cell>
          <cell r="X36">
            <v>0</v>
          </cell>
          <cell r="AA36">
            <v>2033</v>
          </cell>
          <cell r="AC36">
            <v>2.5000000000000001E-2</v>
          </cell>
        </row>
        <row r="37">
          <cell r="G37">
            <v>0</v>
          </cell>
          <cell r="H37">
            <v>0</v>
          </cell>
          <cell r="I37">
            <v>31875</v>
          </cell>
          <cell r="J37">
            <v>3100</v>
          </cell>
          <cell r="K37">
            <v>6386</v>
          </cell>
          <cell r="L37">
            <v>2391</v>
          </cell>
          <cell r="M37">
            <v>1373</v>
          </cell>
          <cell r="N37">
            <v>59385</v>
          </cell>
          <cell r="O37">
            <v>2528</v>
          </cell>
          <cell r="P37">
            <v>164</v>
          </cell>
          <cell r="Q37">
            <v>8359</v>
          </cell>
          <cell r="R37">
            <v>4593</v>
          </cell>
          <cell r="S37">
            <v>42</v>
          </cell>
          <cell r="T37">
            <v>6503</v>
          </cell>
          <cell r="U37">
            <v>933</v>
          </cell>
          <cell r="V37">
            <v>41</v>
          </cell>
          <cell r="W37">
            <v>698</v>
          </cell>
          <cell r="X37">
            <v>151</v>
          </cell>
          <cell r="AA37">
            <v>184493</v>
          </cell>
          <cell r="AC37">
            <v>0.69661179556947961</v>
          </cell>
        </row>
        <row r="39">
          <cell r="G39">
            <v>430</v>
          </cell>
          <cell r="H39">
            <v>6833</v>
          </cell>
          <cell r="I39">
            <v>43084</v>
          </cell>
          <cell r="J39">
            <v>1429</v>
          </cell>
          <cell r="K39">
            <v>10891</v>
          </cell>
          <cell r="L39">
            <v>3203</v>
          </cell>
          <cell r="M39">
            <v>1626</v>
          </cell>
          <cell r="N39">
            <v>60551</v>
          </cell>
          <cell r="O39">
            <v>2257</v>
          </cell>
          <cell r="P39">
            <v>99</v>
          </cell>
          <cell r="Q39">
            <v>10991</v>
          </cell>
          <cell r="R39">
            <v>6391</v>
          </cell>
          <cell r="S39">
            <v>264</v>
          </cell>
          <cell r="T39">
            <v>7852</v>
          </cell>
          <cell r="U39">
            <v>847</v>
          </cell>
          <cell r="V39">
            <v>43</v>
          </cell>
          <cell r="W39">
            <v>222</v>
          </cell>
          <cell r="AA39">
            <v>228030</v>
          </cell>
        </row>
        <row r="40">
          <cell r="G40">
            <v>0</v>
          </cell>
          <cell r="H40">
            <v>7</v>
          </cell>
          <cell r="I40">
            <v>4764</v>
          </cell>
          <cell r="J40">
            <v>1965</v>
          </cell>
          <cell r="K40">
            <v>117</v>
          </cell>
          <cell r="L40">
            <v>459</v>
          </cell>
          <cell r="M40">
            <v>447</v>
          </cell>
          <cell r="N40">
            <v>17391</v>
          </cell>
          <cell r="O40">
            <v>1128</v>
          </cell>
          <cell r="P40">
            <v>99</v>
          </cell>
          <cell r="Q40">
            <v>170</v>
          </cell>
          <cell r="R40">
            <v>357</v>
          </cell>
          <cell r="S40">
            <v>24</v>
          </cell>
          <cell r="T40">
            <v>6822</v>
          </cell>
          <cell r="U40">
            <v>1072</v>
          </cell>
          <cell r="V40">
            <v>15</v>
          </cell>
          <cell r="W40">
            <v>1199</v>
          </cell>
          <cell r="X40">
            <v>151</v>
          </cell>
          <cell r="AA40">
            <v>36190</v>
          </cell>
        </row>
        <row r="41">
          <cell r="G41">
            <v>430</v>
          </cell>
          <cell r="H41">
            <v>6840</v>
          </cell>
          <cell r="I41">
            <v>47848</v>
          </cell>
          <cell r="J41">
            <v>3394</v>
          </cell>
          <cell r="K41">
            <v>11008</v>
          </cell>
          <cell r="L41">
            <v>3662</v>
          </cell>
          <cell r="M41">
            <v>2073</v>
          </cell>
          <cell r="N41">
            <v>77942</v>
          </cell>
          <cell r="O41">
            <v>3385</v>
          </cell>
          <cell r="P41">
            <v>198</v>
          </cell>
          <cell r="Q41">
            <v>11161</v>
          </cell>
          <cell r="R41">
            <v>6748</v>
          </cell>
          <cell r="S41">
            <v>288</v>
          </cell>
          <cell r="T41">
            <v>14674</v>
          </cell>
          <cell r="U41">
            <v>1919</v>
          </cell>
          <cell r="V41">
            <v>58</v>
          </cell>
          <cell r="W41">
            <v>1421</v>
          </cell>
          <cell r="X41">
            <v>151</v>
          </cell>
          <cell r="AA41">
            <v>264220</v>
          </cell>
          <cell r="AC41">
            <v>0.73122019529180227</v>
          </cell>
        </row>
        <row r="44">
          <cell r="A44" t="str">
            <v>USAC463</v>
          </cell>
          <cell r="B44" t="str">
            <v>USAC</v>
          </cell>
          <cell r="C44">
            <v>46</v>
          </cell>
          <cell r="D44">
            <v>3</v>
          </cell>
          <cell r="E44" t="str">
            <v xml:space="preserve">Upper Sacramento River </v>
          </cell>
          <cell r="F44" t="str">
            <v>Fall</v>
          </cell>
          <cell r="G44">
            <v>0</v>
          </cell>
          <cell r="H44">
            <v>0</v>
          </cell>
          <cell r="I44">
            <v>6697</v>
          </cell>
          <cell r="J44">
            <v>362</v>
          </cell>
          <cell r="K44">
            <v>0</v>
          </cell>
          <cell r="L44">
            <v>118</v>
          </cell>
          <cell r="M44">
            <v>92</v>
          </cell>
          <cell r="N44">
            <v>2085</v>
          </cell>
          <cell r="O44">
            <v>117</v>
          </cell>
          <cell r="P44">
            <v>0</v>
          </cell>
          <cell r="Q44">
            <v>0</v>
          </cell>
          <cell r="R44">
            <v>0</v>
          </cell>
          <cell r="S44">
            <v>0</v>
          </cell>
          <cell r="T44">
            <v>0</v>
          </cell>
          <cell r="U44">
            <v>0</v>
          </cell>
          <cell r="V44">
            <v>0</v>
          </cell>
          <cell r="W44">
            <v>0</v>
          </cell>
          <cell r="X44">
            <v>0</v>
          </cell>
          <cell r="AA44">
            <v>13322</v>
          </cell>
          <cell r="AC44">
            <v>0.71099999999999997</v>
          </cell>
        </row>
        <row r="45">
          <cell r="A45" t="str">
            <v>LSAC463</v>
          </cell>
          <cell r="B45" t="str">
            <v>LSAC</v>
          </cell>
          <cell r="C45">
            <v>46</v>
          </cell>
          <cell r="D45">
            <v>3</v>
          </cell>
          <cell r="E45" t="str">
            <v xml:space="preserve">Lower Sacramento River </v>
          </cell>
          <cell r="F45" t="str">
            <v>Fall</v>
          </cell>
          <cell r="G45">
            <v>0</v>
          </cell>
          <cell r="H45">
            <v>156</v>
          </cell>
          <cell r="I45">
            <v>99</v>
          </cell>
          <cell r="J45">
            <v>296</v>
          </cell>
          <cell r="K45">
            <v>0</v>
          </cell>
          <cell r="L45">
            <v>0</v>
          </cell>
          <cell r="M45">
            <v>75</v>
          </cell>
          <cell r="N45">
            <v>1985</v>
          </cell>
          <cell r="O45">
            <v>99</v>
          </cell>
          <cell r="P45">
            <v>0</v>
          </cell>
          <cell r="Q45">
            <v>223</v>
          </cell>
          <cell r="R45">
            <v>493</v>
          </cell>
          <cell r="S45">
            <v>0</v>
          </cell>
          <cell r="T45">
            <v>595</v>
          </cell>
          <cell r="U45">
            <v>100</v>
          </cell>
          <cell r="V45">
            <v>0</v>
          </cell>
          <cell r="W45">
            <v>0</v>
          </cell>
          <cell r="X45">
            <v>0</v>
          </cell>
          <cell r="AA45">
            <v>6506</v>
          </cell>
          <cell r="AC45">
            <v>0.63300000000000001</v>
          </cell>
        </row>
        <row r="46">
          <cell r="A46" t="str">
            <v>FEA463</v>
          </cell>
          <cell r="B46" t="str">
            <v>FEA</v>
          </cell>
          <cell r="C46">
            <v>46</v>
          </cell>
          <cell r="D46">
            <v>3</v>
          </cell>
          <cell r="E46" t="str">
            <v xml:space="preserve">Feather River </v>
          </cell>
          <cell r="F46" t="str">
            <v>Fall</v>
          </cell>
          <cell r="G46">
            <v>0</v>
          </cell>
          <cell r="H46">
            <v>0</v>
          </cell>
          <cell r="I46">
            <v>0</v>
          </cell>
          <cell r="J46">
            <v>145</v>
          </cell>
          <cell r="K46">
            <v>295</v>
          </cell>
          <cell r="L46">
            <v>184</v>
          </cell>
          <cell r="M46">
            <v>218</v>
          </cell>
          <cell r="N46">
            <v>4663</v>
          </cell>
          <cell r="O46">
            <v>255</v>
          </cell>
          <cell r="P46">
            <v>37</v>
          </cell>
          <cell r="Q46">
            <v>0</v>
          </cell>
          <cell r="R46">
            <v>0</v>
          </cell>
          <cell r="S46">
            <v>0</v>
          </cell>
          <cell r="T46">
            <v>291</v>
          </cell>
          <cell r="U46">
            <v>0</v>
          </cell>
          <cell r="V46">
            <v>0</v>
          </cell>
          <cell r="W46">
            <v>0</v>
          </cell>
          <cell r="X46">
            <v>0</v>
          </cell>
          <cell r="AA46">
            <v>8404</v>
          </cell>
          <cell r="AC46">
            <v>0.72399999999999998</v>
          </cell>
        </row>
        <row r="47">
          <cell r="A47" t="str">
            <v>AMN463</v>
          </cell>
          <cell r="B47" t="str">
            <v>AMN</v>
          </cell>
          <cell r="C47">
            <v>46</v>
          </cell>
          <cell r="D47">
            <v>3</v>
          </cell>
          <cell r="E47" t="str">
            <v xml:space="preserve">American River </v>
          </cell>
          <cell r="F47" t="str">
            <v>Fall</v>
          </cell>
          <cell r="G47">
            <v>0</v>
          </cell>
          <cell r="H47">
            <v>0</v>
          </cell>
          <cell r="I47">
            <v>0</v>
          </cell>
          <cell r="J47">
            <v>208</v>
          </cell>
          <cell r="K47">
            <v>53</v>
          </cell>
          <cell r="L47">
            <v>79</v>
          </cell>
          <cell r="M47">
            <v>131</v>
          </cell>
          <cell r="N47">
            <v>1358</v>
          </cell>
          <cell r="O47">
            <v>52</v>
          </cell>
          <cell r="P47">
            <v>0</v>
          </cell>
          <cell r="Q47">
            <v>4220</v>
          </cell>
          <cell r="R47">
            <v>1192</v>
          </cell>
          <cell r="S47">
            <v>0</v>
          </cell>
          <cell r="T47">
            <v>2721</v>
          </cell>
          <cell r="U47">
            <v>210</v>
          </cell>
          <cell r="V47">
            <v>0</v>
          </cell>
          <cell r="W47">
            <v>163</v>
          </cell>
          <cell r="X47">
            <v>0</v>
          </cell>
          <cell r="AA47">
            <v>12520</v>
          </cell>
          <cell r="AC47">
            <v>0.83</v>
          </cell>
        </row>
        <row r="48">
          <cell r="A48" t="str">
            <v>MOKE463</v>
          </cell>
          <cell r="B48" t="str">
            <v>MOKE</v>
          </cell>
          <cell r="C48">
            <v>46</v>
          </cell>
          <cell r="D48">
            <v>3</v>
          </cell>
          <cell r="E48" t="str">
            <v>Mokelumne River</v>
          </cell>
          <cell r="F48" t="str">
            <v>Fall</v>
          </cell>
          <cell r="G48">
            <v>0</v>
          </cell>
          <cell r="H48">
            <v>0</v>
          </cell>
          <cell r="I48">
            <v>0</v>
          </cell>
          <cell r="J48">
            <v>0</v>
          </cell>
          <cell r="K48">
            <v>0</v>
          </cell>
          <cell r="L48">
            <v>0</v>
          </cell>
          <cell r="M48">
            <v>0</v>
          </cell>
          <cell r="N48">
            <v>60</v>
          </cell>
          <cell r="O48">
            <v>0</v>
          </cell>
          <cell r="P48">
            <v>0</v>
          </cell>
          <cell r="Q48">
            <v>60</v>
          </cell>
          <cell r="R48">
            <v>0</v>
          </cell>
          <cell r="S48">
            <v>15</v>
          </cell>
          <cell r="T48">
            <v>1025</v>
          </cell>
          <cell r="U48">
            <v>122</v>
          </cell>
          <cell r="V48">
            <v>0</v>
          </cell>
          <cell r="W48">
            <v>70</v>
          </cell>
          <cell r="X48">
            <v>0</v>
          </cell>
          <cell r="AA48">
            <v>1380</v>
          </cell>
          <cell r="AC48">
            <v>0.98</v>
          </cell>
        </row>
        <row r="49">
          <cell r="A49" t="str">
            <v>USAC467</v>
          </cell>
          <cell r="B49" t="str">
            <v>USAC</v>
          </cell>
          <cell r="C49">
            <v>46</v>
          </cell>
          <cell r="D49">
            <v>7</v>
          </cell>
          <cell r="E49" t="str">
            <v xml:space="preserve">Upper Sacramento River </v>
          </cell>
          <cell r="G49">
            <v>0</v>
          </cell>
          <cell r="H49">
            <v>110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AA49">
            <v>281</v>
          </cell>
          <cell r="AC49">
            <v>0.39100000000000001</v>
          </cell>
        </row>
        <row r="50">
          <cell r="H50">
            <v>266</v>
          </cell>
          <cell r="I50">
            <v>6796</v>
          </cell>
          <cell r="J50">
            <v>1011</v>
          </cell>
          <cell r="K50">
            <v>348</v>
          </cell>
          <cell r="L50">
            <v>381</v>
          </cell>
          <cell r="M50">
            <v>516</v>
          </cell>
          <cell r="N50">
            <v>10151</v>
          </cell>
          <cell r="O50">
            <v>523</v>
          </cell>
          <cell r="P50">
            <v>37</v>
          </cell>
          <cell r="Q50">
            <v>4503</v>
          </cell>
          <cell r="R50">
            <v>1685</v>
          </cell>
          <cell r="S50">
            <v>15</v>
          </cell>
          <cell r="T50">
            <v>4632</v>
          </cell>
          <cell r="U50">
            <v>432</v>
          </cell>
          <cell r="V50">
            <v>0</v>
          </cell>
          <cell r="W50">
            <v>233</v>
          </cell>
          <cell r="X50">
            <v>0</v>
          </cell>
          <cell r="AA50">
            <v>42413</v>
          </cell>
          <cell r="AC50">
            <v>0.74333341192558888</v>
          </cell>
        </row>
      </sheetData>
      <sheetData sheetId="2" refreshError="1"/>
      <sheetData sheetId="3">
        <row r="3">
          <cell r="G3">
            <v>0</v>
          </cell>
          <cell r="H3">
            <v>0</v>
          </cell>
          <cell r="I3">
            <v>15961</v>
          </cell>
          <cell r="J3">
            <v>153</v>
          </cell>
          <cell r="K3">
            <v>1</v>
          </cell>
          <cell r="L3">
            <v>2</v>
          </cell>
          <cell r="M3">
            <v>12</v>
          </cell>
          <cell r="N3">
            <v>579</v>
          </cell>
          <cell r="O3">
            <v>58</v>
          </cell>
          <cell r="P3">
            <v>4</v>
          </cell>
          <cell r="Q3">
            <v>0</v>
          </cell>
          <cell r="R3">
            <v>4</v>
          </cell>
          <cell r="S3">
            <v>0</v>
          </cell>
          <cell r="T3">
            <v>8</v>
          </cell>
          <cell r="U3">
            <v>0</v>
          </cell>
          <cell r="V3">
            <v>0</v>
          </cell>
          <cell r="W3">
            <v>35</v>
          </cell>
          <cell r="X3">
            <v>0</v>
          </cell>
          <cell r="Y3">
            <v>16818</v>
          </cell>
          <cell r="Z3">
            <v>2022</v>
          </cell>
          <cell r="AA3">
            <v>18840</v>
          </cell>
          <cell r="AB3">
            <v>0.89300000000000002</v>
          </cell>
          <cell r="AC3" t="str">
            <v>CNFH503</v>
          </cell>
        </row>
        <row r="4">
          <cell r="G4">
            <v>0</v>
          </cell>
          <cell r="H4">
            <v>6707</v>
          </cell>
          <cell r="I4">
            <v>0</v>
          </cell>
          <cell r="J4">
            <v>0</v>
          </cell>
          <cell r="K4">
            <v>0</v>
          </cell>
          <cell r="L4">
            <v>0</v>
          </cell>
          <cell r="M4">
            <v>0</v>
          </cell>
          <cell r="N4">
            <v>0</v>
          </cell>
          <cell r="O4">
            <v>0</v>
          </cell>
          <cell r="P4">
            <v>0</v>
          </cell>
          <cell r="Q4">
            <v>0</v>
          </cell>
          <cell r="R4">
            <v>0</v>
          </cell>
          <cell r="S4">
            <v>0</v>
          </cell>
          <cell r="T4">
            <v>0</v>
          </cell>
          <cell r="U4">
            <v>0</v>
          </cell>
          <cell r="V4">
            <v>0</v>
          </cell>
          <cell r="W4">
            <v>0</v>
          </cell>
          <cell r="X4">
            <v>0</v>
          </cell>
          <cell r="Y4">
            <v>6707</v>
          </cell>
          <cell r="Z4">
            <v>107</v>
          </cell>
          <cell r="AA4">
            <v>6814</v>
          </cell>
          <cell r="AB4">
            <v>0.98399999999999999</v>
          </cell>
          <cell r="AC4" t="str">
            <v>CNFH507</v>
          </cell>
        </row>
        <row r="5">
          <cell r="G5">
            <v>0</v>
          </cell>
          <cell r="H5">
            <v>0</v>
          </cell>
          <cell r="I5">
            <v>0</v>
          </cell>
          <cell r="J5">
            <v>0</v>
          </cell>
          <cell r="K5">
            <v>2251</v>
          </cell>
          <cell r="L5">
            <v>334</v>
          </cell>
          <cell r="M5">
            <v>1</v>
          </cell>
          <cell r="N5">
            <v>182</v>
          </cell>
          <cell r="O5">
            <v>0</v>
          </cell>
          <cell r="P5">
            <v>0</v>
          </cell>
          <cell r="Q5">
            <v>0</v>
          </cell>
          <cell r="R5">
            <v>0</v>
          </cell>
          <cell r="S5">
            <v>0</v>
          </cell>
          <cell r="T5">
            <v>0</v>
          </cell>
          <cell r="U5">
            <v>0</v>
          </cell>
          <cell r="V5">
            <v>0</v>
          </cell>
          <cell r="W5">
            <v>0</v>
          </cell>
          <cell r="X5">
            <v>0</v>
          </cell>
          <cell r="Y5">
            <v>2768</v>
          </cell>
          <cell r="Z5">
            <v>8</v>
          </cell>
          <cell r="AA5">
            <v>2776</v>
          </cell>
          <cell r="AB5">
            <v>0.997</v>
          </cell>
          <cell r="AC5" t="str">
            <v>FRFH501</v>
          </cell>
        </row>
        <row r="6">
          <cell r="G6">
            <v>0</v>
          </cell>
          <cell r="H6">
            <v>0</v>
          </cell>
          <cell r="I6">
            <v>4</v>
          </cell>
          <cell r="J6">
            <v>76</v>
          </cell>
          <cell r="K6">
            <v>2360</v>
          </cell>
          <cell r="L6">
            <v>930</v>
          </cell>
          <cell r="M6">
            <v>660</v>
          </cell>
          <cell r="N6">
            <v>17288</v>
          </cell>
          <cell r="O6">
            <v>723</v>
          </cell>
          <cell r="P6">
            <v>30</v>
          </cell>
          <cell r="Q6">
            <v>4</v>
          </cell>
          <cell r="R6">
            <v>10</v>
          </cell>
          <cell r="S6">
            <v>1</v>
          </cell>
          <cell r="T6">
            <v>40</v>
          </cell>
          <cell r="U6">
            <v>4</v>
          </cell>
          <cell r="V6">
            <v>1</v>
          </cell>
          <cell r="W6">
            <v>42</v>
          </cell>
          <cell r="X6">
            <v>0</v>
          </cell>
          <cell r="Y6">
            <v>22174</v>
          </cell>
          <cell r="Z6">
            <v>1246</v>
          </cell>
          <cell r="AA6">
            <v>23420</v>
          </cell>
          <cell r="AB6">
            <v>0.94699999999999995</v>
          </cell>
          <cell r="AC6" t="str">
            <v>FRFH503</v>
          </cell>
        </row>
        <row r="7">
          <cell r="G7">
            <v>0</v>
          </cell>
          <cell r="H7">
            <v>0</v>
          </cell>
          <cell r="I7">
            <v>0</v>
          </cell>
          <cell r="J7">
            <v>45</v>
          </cell>
          <cell r="K7">
            <v>0</v>
          </cell>
          <cell r="L7">
            <v>0</v>
          </cell>
          <cell r="M7">
            <v>17</v>
          </cell>
          <cell r="N7">
            <v>217</v>
          </cell>
          <cell r="O7">
            <v>14</v>
          </cell>
          <cell r="P7">
            <v>0</v>
          </cell>
          <cell r="Q7">
            <v>2794</v>
          </cell>
          <cell r="R7">
            <v>1996</v>
          </cell>
          <cell r="S7">
            <v>5</v>
          </cell>
          <cell r="T7">
            <v>1769</v>
          </cell>
          <cell r="U7">
            <v>259</v>
          </cell>
          <cell r="V7">
            <v>0</v>
          </cell>
          <cell r="W7">
            <v>111</v>
          </cell>
          <cell r="X7">
            <v>0</v>
          </cell>
          <cell r="Y7">
            <v>7227</v>
          </cell>
          <cell r="Z7">
            <v>1116</v>
          </cell>
          <cell r="AA7">
            <v>8343</v>
          </cell>
          <cell r="AB7">
            <v>0.86599999999999999</v>
          </cell>
          <cell r="AC7" t="str">
            <v>NBFH503</v>
          </cell>
        </row>
        <row r="8">
          <cell r="G8">
            <v>0</v>
          </cell>
          <cell r="H8">
            <v>6</v>
          </cell>
          <cell r="I8">
            <v>8</v>
          </cell>
          <cell r="J8">
            <v>16</v>
          </cell>
          <cell r="K8">
            <v>0</v>
          </cell>
          <cell r="L8">
            <v>0</v>
          </cell>
          <cell r="M8">
            <v>10</v>
          </cell>
          <cell r="N8">
            <v>245</v>
          </cell>
          <cell r="O8">
            <v>48</v>
          </cell>
          <cell r="P8">
            <v>0</v>
          </cell>
          <cell r="Q8">
            <v>4</v>
          </cell>
          <cell r="R8">
            <v>92</v>
          </cell>
          <cell r="S8">
            <v>240</v>
          </cell>
          <cell r="T8">
            <v>5907</v>
          </cell>
          <cell r="U8">
            <v>658</v>
          </cell>
          <cell r="V8">
            <v>2</v>
          </cell>
          <cell r="W8">
            <v>357</v>
          </cell>
          <cell r="X8">
            <v>0</v>
          </cell>
          <cell r="Y8">
            <v>7595</v>
          </cell>
          <cell r="Z8">
            <v>1225</v>
          </cell>
          <cell r="AA8">
            <v>8820</v>
          </cell>
          <cell r="AB8">
            <v>0.86099999999999999</v>
          </cell>
          <cell r="AC8" t="str">
            <v>MRFI503</v>
          </cell>
        </row>
        <row r="9">
          <cell r="G9">
            <v>0</v>
          </cell>
          <cell r="H9">
            <v>1</v>
          </cell>
          <cell r="I9">
            <v>0</v>
          </cell>
          <cell r="J9">
            <v>4</v>
          </cell>
          <cell r="K9">
            <v>0</v>
          </cell>
          <cell r="L9">
            <v>0</v>
          </cell>
          <cell r="M9">
            <v>0</v>
          </cell>
          <cell r="N9">
            <v>45</v>
          </cell>
          <cell r="O9">
            <v>14</v>
          </cell>
          <cell r="P9">
            <v>0</v>
          </cell>
          <cell r="Q9">
            <v>0</v>
          </cell>
          <cell r="R9">
            <v>12</v>
          </cell>
          <cell r="S9">
            <v>0</v>
          </cell>
          <cell r="T9">
            <v>447</v>
          </cell>
          <cell r="U9">
            <v>65</v>
          </cell>
          <cell r="V9">
            <v>14</v>
          </cell>
          <cell r="W9">
            <v>178</v>
          </cell>
          <cell r="X9">
            <v>0</v>
          </cell>
          <cell r="Y9">
            <v>781</v>
          </cell>
          <cell r="Z9">
            <v>30</v>
          </cell>
          <cell r="AA9">
            <v>811</v>
          </cell>
          <cell r="AB9">
            <v>0.96299999999999997</v>
          </cell>
          <cell r="AC9" t="str">
            <v>MRFF503</v>
          </cell>
        </row>
        <row r="10">
          <cell r="G10">
            <v>0</v>
          </cell>
          <cell r="H10">
            <v>116</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116</v>
          </cell>
          <cell r="Z10">
            <v>21</v>
          </cell>
          <cell r="AA10">
            <v>137</v>
          </cell>
          <cell r="AB10">
            <v>0.84699999999999998</v>
          </cell>
          <cell r="AC10" t="str">
            <v>CNFW527</v>
          </cell>
        </row>
        <row r="11">
          <cell r="G11">
            <v>0</v>
          </cell>
          <cell r="H11">
            <v>0</v>
          </cell>
          <cell r="I11">
            <v>0</v>
          </cell>
          <cell r="J11">
            <v>0</v>
          </cell>
          <cell r="K11">
            <v>10</v>
          </cell>
          <cell r="L11">
            <v>5</v>
          </cell>
          <cell r="M11">
            <v>0</v>
          </cell>
          <cell r="N11">
            <v>1</v>
          </cell>
          <cell r="O11">
            <v>0</v>
          </cell>
          <cell r="P11">
            <v>0</v>
          </cell>
          <cell r="Q11">
            <v>0</v>
          </cell>
          <cell r="R11">
            <v>0</v>
          </cell>
          <cell r="S11">
            <v>0</v>
          </cell>
          <cell r="T11">
            <v>0</v>
          </cell>
          <cell r="U11">
            <v>0</v>
          </cell>
          <cell r="V11">
            <v>0</v>
          </cell>
          <cell r="W11">
            <v>0</v>
          </cell>
          <cell r="X11">
            <v>0</v>
          </cell>
          <cell r="Y11">
            <v>16</v>
          </cell>
          <cell r="Z11">
            <v>7</v>
          </cell>
          <cell r="AA11">
            <v>23</v>
          </cell>
          <cell r="AB11">
            <v>0.69599999999999995</v>
          </cell>
          <cell r="AC11" t="str">
            <v>FRFH521</v>
          </cell>
        </row>
        <row r="12">
          <cell r="G12">
            <v>0</v>
          </cell>
          <cell r="H12">
            <v>0</v>
          </cell>
          <cell r="I12">
            <v>22515</v>
          </cell>
          <cell r="J12">
            <v>216</v>
          </cell>
          <cell r="K12">
            <v>1</v>
          </cell>
          <cell r="L12">
            <v>3</v>
          </cell>
          <cell r="M12">
            <v>17</v>
          </cell>
          <cell r="N12">
            <v>817</v>
          </cell>
          <cell r="O12">
            <v>82</v>
          </cell>
          <cell r="P12">
            <v>6</v>
          </cell>
          <cell r="Q12">
            <v>0</v>
          </cell>
          <cell r="R12">
            <v>6</v>
          </cell>
          <cell r="S12">
            <v>0</v>
          </cell>
          <cell r="T12">
            <v>11</v>
          </cell>
          <cell r="U12">
            <v>0</v>
          </cell>
          <cell r="V12">
            <v>0</v>
          </cell>
          <cell r="W12">
            <v>50</v>
          </cell>
          <cell r="X12">
            <v>0</v>
          </cell>
          <cell r="Y12">
            <v>23724</v>
          </cell>
          <cell r="Z12">
            <v>2851</v>
          </cell>
          <cell r="AA12">
            <v>26575</v>
          </cell>
          <cell r="AB12">
            <v>0.89300000000000002</v>
          </cell>
          <cell r="AC12" t="str">
            <v>BATT543</v>
          </cell>
        </row>
        <row r="13">
          <cell r="G13">
            <v>0</v>
          </cell>
          <cell r="H13">
            <v>0</v>
          </cell>
          <cell r="I13">
            <v>3334</v>
          </cell>
          <cell r="J13">
            <v>188</v>
          </cell>
          <cell r="K13">
            <v>0</v>
          </cell>
          <cell r="L13">
            <v>175</v>
          </cell>
          <cell r="M13">
            <v>127</v>
          </cell>
          <cell r="N13">
            <v>4799</v>
          </cell>
          <cell r="O13">
            <v>189</v>
          </cell>
          <cell r="P13">
            <v>0</v>
          </cell>
          <cell r="Q13">
            <v>63</v>
          </cell>
          <cell r="R13">
            <v>0</v>
          </cell>
          <cell r="S13">
            <v>0</v>
          </cell>
          <cell r="T13">
            <v>63</v>
          </cell>
          <cell r="U13">
            <v>0</v>
          </cell>
          <cell r="V13">
            <v>0</v>
          </cell>
          <cell r="W13">
            <v>0</v>
          </cell>
          <cell r="X13">
            <v>0</v>
          </cell>
          <cell r="Y13">
            <v>8938</v>
          </cell>
          <cell r="Z13">
            <v>6856</v>
          </cell>
          <cell r="AA13">
            <v>15794</v>
          </cell>
          <cell r="AB13">
            <v>0.56599999999999995</v>
          </cell>
          <cell r="AC13" t="str">
            <v>CLR543</v>
          </cell>
        </row>
        <row r="14">
          <cell r="G14">
            <v>0</v>
          </cell>
          <cell r="H14">
            <v>0</v>
          </cell>
          <cell r="I14">
            <v>720</v>
          </cell>
          <cell r="J14">
            <v>0</v>
          </cell>
          <cell r="K14">
            <v>0</v>
          </cell>
          <cell r="L14">
            <v>0</v>
          </cell>
          <cell r="M14">
            <v>0</v>
          </cell>
          <cell r="N14">
            <v>72</v>
          </cell>
          <cell r="O14">
            <v>0</v>
          </cell>
          <cell r="P14">
            <v>0</v>
          </cell>
          <cell r="Q14">
            <v>0</v>
          </cell>
          <cell r="R14">
            <v>0</v>
          </cell>
          <cell r="S14">
            <v>0</v>
          </cell>
          <cell r="T14">
            <v>0</v>
          </cell>
          <cell r="U14">
            <v>0</v>
          </cell>
          <cell r="V14">
            <v>0</v>
          </cell>
          <cell r="W14">
            <v>0</v>
          </cell>
          <cell r="X14">
            <v>0</v>
          </cell>
          <cell r="Y14">
            <v>792</v>
          </cell>
          <cell r="Z14">
            <v>1148</v>
          </cell>
          <cell r="AA14">
            <v>1940</v>
          </cell>
          <cell r="AB14">
            <v>0.40799999999999997</v>
          </cell>
          <cell r="AC14" t="str">
            <v>COT543</v>
          </cell>
        </row>
        <row r="15">
          <cell r="G15">
            <v>0</v>
          </cell>
          <cell r="H15">
            <v>0</v>
          </cell>
          <cell r="I15">
            <v>483</v>
          </cell>
          <cell r="J15">
            <v>107</v>
          </cell>
          <cell r="K15">
            <v>0</v>
          </cell>
          <cell r="L15">
            <v>0</v>
          </cell>
          <cell r="M15">
            <v>0</v>
          </cell>
          <cell r="N15">
            <v>483</v>
          </cell>
          <cell r="O15">
            <v>41</v>
          </cell>
          <cell r="P15">
            <v>0</v>
          </cell>
          <cell r="Q15">
            <v>0</v>
          </cell>
          <cell r="R15">
            <v>0</v>
          </cell>
          <cell r="S15">
            <v>0</v>
          </cell>
          <cell r="T15">
            <v>0</v>
          </cell>
          <cell r="U15">
            <v>0</v>
          </cell>
          <cell r="V15">
            <v>0</v>
          </cell>
          <cell r="W15">
            <v>0</v>
          </cell>
          <cell r="X15">
            <v>0</v>
          </cell>
          <cell r="Y15">
            <v>1113</v>
          </cell>
          <cell r="Z15">
            <v>1375</v>
          </cell>
          <cell r="AA15">
            <v>2488</v>
          </cell>
          <cell r="AB15">
            <v>0.44700000000000001</v>
          </cell>
          <cell r="AC15" t="str">
            <v>MLC543</v>
          </cell>
        </row>
        <row r="16">
          <cell r="G16">
            <v>0</v>
          </cell>
          <cell r="H16">
            <v>0</v>
          </cell>
          <cell r="I16">
            <v>39</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39</v>
          </cell>
          <cell r="Z16">
            <v>33</v>
          </cell>
          <cell r="AA16">
            <v>72</v>
          </cell>
          <cell r="AB16">
            <v>0.54200000000000004</v>
          </cell>
          <cell r="AC16" t="str">
            <v>PAY543</v>
          </cell>
        </row>
        <row r="17">
          <cell r="G17">
            <v>0</v>
          </cell>
          <cell r="H17">
            <v>0</v>
          </cell>
          <cell r="I17">
            <v>0</v>
          </cell>
          <cell r="J17">
            <v>16</v>
          </cell>
          <cell r="K17">
            <v>0</v>
          </cell>
          <cell r="L17">
            <v>0</v>
          </cell>
          <cell r="M17">
            <v>2</v>
          </cell>
          <cell r="N17">
            <v>214</v>
          </cell>
          <cell r="O17">
            <v>6</v>
          </cell>
          <cell r="P17">
            <v>0</v>
          </cell>
          <cell r="Q17">
            <v>0</v>
          </cell>
          <cell r="R17">
            <v>0</v>
          </cell>
          <cell r="S17">
            <v>0</v>
          </cell>
          <cell r="T17">
            <v>40</v>
          </cell>
          <cell r="U17">
            <v>8</v>
          </cell>
          <cell r="V17">
            <v>0</v>
          </cell>
          <cell r="W17">
            <v>9</v>
          </cell>
          <cell r="X17">
            <v>0</v>
          </cell>
          <cell r="Y17">
            <v>294</v>
          </cell>
          <cell r="Z17">
            <v>1118</v>
          </cell>
          <cell r="AA17">
            <v>1412</v>
          </cell>
          <cell r="AB17">
            <v>0.20799999999999999</v>
          </cell>
          <cell r="AC17" t="str">
            <v>BUT543</v>
          </cell>
        </row>
        <row r="18">
          <cell r="G18">
            <v>0</v>
          </cell>
          <cell r="H18">
            <v>0</v>
          </cell>
          <cell r="I18">
            <v>4608</v>
          </cell>
          <cell r="J18">
            <v>1060</v>
          </cell>
          <cell r="K18">
            <v>112</v>
          </cell>
          <cell r="L18">
            <v>269</v>
          </cell>
          <cell r="M18">
            <v>245</v>
          </cell>
          <cell r="N18">
            <v>9064</v>
          </cell>
          <cell r="O18">
            <v>576</v>
          </cell>
          <cell r="P18">
            <v>89</v>
          </cell>
          <cell r="Q18">
            <v>0</v>
          </cell>
          <cell r="R18">
            <v>0</v>
          </cell>
          <cell r="S18">
            <v>0</v>
          </cell>
          <cell r="T18">
            <v>0</v>
          </cell>
          <cell r="U18">
            <v>0</v>
          </cell>
          <cell r="V18">
            <v>0</v>
          </cell>
          <cell r="W18">
            <v>0</v>
          </cell>
          <cell r="X18">
            <v>99</v>
          </cell>
          <cell r="Y18">
            <v>16123</v>
          </cell>
          <cell r="Z18">
            <v>13762</v>
          </cell>
          <cell r="AA18">
            <v>29885</v>
          </cell>
          <cell r="AB18">
            <v>0.54</v>
          </cell>
          <cell r="AC18" t="str">
            <v>USAC543</v>
          </cell>
        </row>
        <row r="19">
          <cell r="G19">
            <v>430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430</v>
          </cell>
          <cell r="Z19">
            <v>2197</v>
          </cell>
          <cell r="AA19">
            <v>2627</v>
          </cell>
          <cell r="AB19">
            <v>0.16400000000000001</v>
          </cell>
          <cell r="AC19" t="str">
            <v>USAC544</v>
          </cell>
        </row>
        <row r="20">
          <cell r="G20">
            <v>0</v>
          </cell>
          <cell r="H20">
            <v>10</v>
          </cell>
          <cell r="I20">
            <v>0</v>
          </cell>
          <cell r="J20">
            <v>0</v>
          </cell>
          <cell r="K20">
            <v>0</v>
          </cell>
          <cell r="L20">
            <v>0</v>
          </cell>
          <cell r="M20">
            <v>0</v>
          </cell>
          <cell r="N20">
            <v>0</v>
          </cell>
          <cell r="O20">
            <v>0</v>
          </cell>
          <cell r="P20">
            <v>0</v>
          </cell>
          <cell r="Q20">
            <v>0</v>
          </cell>
          <cell r="R20">
            <v>41</v>
          </cell>
          <cell r="S20">
            <v>0</v>
          </cell>
          <cell r="T20">
            <v>0</v>
          </cell>
          <cell r="U20">
            <v>0</v>
          </cell>
          <cell r="V20">
            <v>0</v>
          </cell>
          <cell r="W20">
            <v>0</v>
          </cell>
          <cell r="X20">
            <v>0</v>
          </cell>
          <cell r="Y20">
            <v>51</v>
          </cell>
          <cell r="Z20">
            <v>1982</v>
          </cell>
          <cell r="AA20">
            <v>2033</v>
          </cell>
          <cell r="AB20">
            <v>2.5000000000000001E-2</v>
          </cell>
          <cell r="AC20" t="str">
            <v>USAC547</v>
          </cell>
        </row>
        <row r="21">
          <cell r="G21">
            <v>0</v>
          </cell>
          <cell r="H21">
            <v>0</v>
          </cell>
          <cell r="I21">
            <v>149</v>
          </cell>
          <cell r="J21">
            <v>644</v>
          </cell>
          <cell r="K21">
            <v>6245</v>
          </cell>
          <cell r="L21">
            <v>1934</v>
          </cell>
          <cell r="M21">
            <v>895</v>
          </cell>
          <cell r="N21">
            <v>38925</v>
          </cell>
          <cell r="O21">
            <v>1266</v>
          </cell>
          <cell r="P21">
            <v>62</v>
          </cell>
          <cell r="Q21">
            <v>99</v>
          </cell>
          <cell r="R21">
            <v>50</v>
          </cell>
          <cell r="S21">
            <v>0</v>
          </cell>
          <cell r="T21">
            <v>99</v>
          </cell>
          <cell r="U21">
            <v>0</v>
          </cell>
          <cell r="V21">
            <v>0</v>
          </cell>
          <cell r="W21">
            <v>0</v>
          </cell>
          <cell r="X21">
            <v>52</v>
          </cell>
          <cell r="Y21">
            <v>50420</v>
          </cell>
          <cell r="Z21">
            <v>10301</v>
          </cell>
          <cell r="AA21">
            <v>60721</v>
          </cell>
          <cell r="AB21">
            <v>0.83</v>
          </cell>
          <cell r="AC21" t="str">
            <v>FEA543</v>
          </cell>
        </row>
        <row r="22">
          <cell r="G22">
            <v>0</v>
          </cell>
          <cell r="H22">
            <v>0</v>
          </cell>
          <cell r="I22">
            <v>0</v>
          </cell>
          <cell r="J22">
            <v>494</v>
          </cell>
          <cell r="K22">
            <v>25</v>
          </cell>
          <cell r="L22">
            <v>0</v>
          </cell>
          <cell r="M22">
            <v>50</v>
          </cell>
          <cell r="N22">
            <v>3287</v>
          </cell>
          <cell r="O22">
            <v>200</v>
          </cell>
          <cell r="P22">
            <v>0</v>
          </cell>
          <cell r="Q22">
            <v>0</v>
          </cell>
          <cell r="R22">
            <v>99</v>
          </cell>
          <cell r="S22">
            <v>0</v>
          </cell>
          <cell r="T22">
            <v>198</v>
          </cell>
          <cell r="U22">
            <v>100</v>
          </cell>
          <cell r="V22">
            <v>0</v>
          </cell>
          <cell r="W22">
            <v>0</v>
          </cell>
          <cell r="X22">
            <v>0</v>
          </cell>
          <cell r="Y22">
            <v>4452</v>
          </cell>
          <cell r="Z22">
            <v>4683</v>
          </cell>
          <cell r="AA22">
            <v>9135</v>
          </cell>
          <cell r="AB22">
            <v>0.48699999999999999</v>
          </cell>
          <cell r="AC22" t="str">
            <v>YUBA543</v>
          </cell>
        </row>
        <row r="23">
          <cell r="G23">
            <v>0</v>
          </cell>
          <cell r="H23">
            <v>0</v>
          </cell>
          <cell r="I23">
            <v>0</v>
          </cell>
          <cell r="J23">
            <v>135</v>
          </cell>
          <cell r="K23">
            <v>0</v>
          </cell>
          <cell r="L23">
            <v>0</v>
          </cell>
          <cell r="M23">
            <v>20</v>
          </cell>
          <cell r="N23">
            <v>868</v>
          </cell>
          <cell r="O23">
            <v>68</v>
          </cell>
          <cell r="P23">
            <v>7</v>
          </cell>
          <cell r="Q23">
            <v>0</v>
          </cell>
          <cell r="R23">
            <v>0</v>
          </cell>
          <cell r="S23">
            <v>0</v>
          </cell>
          <cell r="T23">
            <v>61</v>
          </cell>
          <cell r="U23">
            <v>0</v>
          </cell>
          <cell r="V23">
            <v>0</v>
          </cell>
          <cell r="W23">
            <v>0</v>
          </cell>
          <cell r="X23">
            <v>0</v>
          </cell>
          <cell r="Y23">
            <v>1159</v>
          </cell>
          <cell r="Z23">
            <v>1410</v>
          </cell>
          <cell r="AA23">
            <v>2569</v>
          </cell>
          <cell r="AB23">
            <v>0.45100000000000001</v>
          </cell>
          <cell r="AC23" t="str">
            <v>YUBB543</v>
          </cell>
        </row>
        <row r="24">
          <cell r="G24">
            <v>0</v>
          </cell>
          <cell r="H24">
            <v>0</v>
          </cell>
          <cell r="I24">
            <v>27</v>
          </cell>
          <cell r="J24">
            <v>206</v>
          </cell>
          <cell r="K24">
            <v>0</v>
          </cell>
          <cell r="L24">
            <v>2</v>
          </cell>
          <cell r="M24">
            <v>9</v>
          </cell>
          <cell r="N24">
            <v>324</v>
          </cell>
          <cell r="O24">
            <v>36</v>
          </cell>
          <cell r="P24">
            <v>0</v>
          </cell>
          <cell r="Q24">
            <v>8048</v>
          </cell>
          <cell r="R24">
            <v>4350</v>
          </cell>
          <cell r="S24">
            <v>5</v>
          </cell>
          <cell r="T24">
            <v>2297</v>
          </cell>
          <cell r="U24">
            <v>397</v>
          </cell>
          <cell r="V24">
            <v>0</v>
          </cell>
          <cell r="W24">
            <v>89</v>
          </cell>
          <cell r="X24">
            <v>0</v>
          </cell>
          <cell r="Y24">
            <v>15790</v>
          </cell>
          <cell r="Z24">
            <v>8713</v>
          </cell>
          <cell r="AA24">
            <v>24503</v>
          </cell>
          <cell r="AB24">
            <v>0.64400000000000002</v>
          </cell>
          <cell r="AC24" t="str">
            <v>LARC543</v>
          </cell>
        </row>
        <row r="25">
          <cell r="G25">
            <v>0</v>
          </cell>
          <cell r="H25">
            <v>0</v>
          </cell>
          <cell r="I25">
            <v>0</v>
          </cell>
          <cell r="J25">
            <v>12</v>
          </cell>
          <cell r="K25">
            <v>3</v>
          </cell>
          <cell r="L25">
            <v>8</v>
          </cell>
          <cell r="M25">
            <v>8</v>
          </cell>
          <cell r="N25">
            <v>70</v>
          </cell>
          <cell r="O25">
            <v>5</v>
          </cell>
          <cell r="P25">
            <v>0</v>
          </cell>
          <cell r="Q25">
            <v>149</v>
          </cell>
          <cell r="R25">
            <v>45</v>
          </cell>
          <cell r="S25">
            <v>0</v>
          </cell>
          <cell r="T25">
            <v>160</v>
          </cell>
          <cell r="U25">
            <v>8</v>
          </cell>
          <cell r="V25">
            <v>0</v>
          </cell>
          <cell r="W25">
            <v>85</v>
          </cell>
          <cell r="X25">
            <v>0</v>
          </cell>
          <cell r="Y25">
            <v>554</v>
          </cell>
          <cell r="Z25">
            <v>1418</v>
          </cell>
          <cell r="AA25">
            <v>1972</v>
          </cell>
          <cell r="AB25">
            <v>0.28100000000000003</v>
          </cell>
          <cell r="AC25" t="str">
            <v>NIMW593</v>
          </cell>
        </row>
        <row r="26">
          <cell r="G26">
            <v>0</v>
          </cell>
          <cell r="H26">
            <v>0</v>
          </cell>
          <cell r="I26">
            <v>0</v>
          </cell>
          <cell r="J26">
            <v>0</v>
          </cell>
          <cell r="K26">
            <v>0</v>
          </cell>
          <cell r="L26">
            <v>0</v>
          </cell>
          <cell r="M26">
            <v>0</v>
          </cell>
          <cell r="N26">
            <v>189</v>
          </cell>
          <cell r="O26">
            <v>0</v>
          </cell>
          <cell r="P26">
            <v>0</v>
          </cell>
          <cell r="Q26">
            <v>0</v>
          </cell>
          <cell r="R26">
            <v>0</v>
          </cell>
          <cell r="S26">
            <v>24</v>
          </cell>
          <cell r="T26">
            <v>1945</v>
          </cell>
          <cell r="U26">
            <v>189</v>
          </cell>
          <cell r="V26">
            <v>0</v>
          </cell>
          <cell r="W26">
            <v>165</v>
          </cell>
          <cell r="X26">
            <v>0</v>
          </cell>
          <cell r="Y26">
            <v>2511</v>
          </cell>
          <cell r="Z26">
            <v>786</v>
          </cell>
          <cell r="AA26">
            <v>3297</v>
          </cell>
          <cell r="AB26">
            <v>0.76200000000000001</v>
          </cell>
          <cell r="AC26" t="str">
            <v>MOKE543</v>
          </cell>
        </row>
        <row r="27">
          <cell r="G27">
            <v>0</v>
          </cell>
          <cell r="H27">
            <v>0</v>
          </cell>
          <cell r="I27">
            <v>0</v>
          </cell>
          <cell r="J27">
            <v>22</v>
          </cell>
          <cell r="K27">
            <v>0</v>
          </cell>
          <cell r="L27">
            <v>0</v>
          </cell>
          <cell r="M27">
            <v>0</v>
          </cell>
          <cell r="N27">
            <v>198</v>
          </cell>
          <cell r="O27">
            <v>50</v>
          </cell>
          <cell r="P27">
            <v>0</v>
          </cell>
          <cell r="Q27">
            <v>0</v>
          </cell>
          <cell r="R27">
            <v>0</v>
          </cell>
          <cell r="S27">
            <v>13</v>
          </cell>
          <cell r="T27">
            <v>1280</v>
          </cell>
          <cell r="U27">
            <v>155</v>
          </cell>
          <cell r="V27">
            <v>6</v>
          </cell>
          <cell r="W27">
            <v>256</v>
          </cell>
          <cell r="X27">
            <v>0</v>
          </cell>
          <cell r="Y27">
            <v>1981</v>
          </cell>
          <cell r="Z27">
            <v>1083</v>
          </cell>
          <cell r="AA27">
            <v>3064</v>
          </cell>
          <cell r="AB27">
            <v>0.64700000000000002</v>
          </cell>
          <cell r="AC27" t="str">
            <v>STA543</v>
          </cell>
        </row>
        <row r="28">
          <cell r="G28">
            <v>0</v>
          </cell>
          <cell r="H28">
            <v>0</v>
          </cell>
          <cell r="I28">
            <v>0</v>
          </cell>
          <cell r="J28">
            <v>0</v>
          </cell>
          <cell r="K28">
            <v>0</v>
          </cell>
          <cell r="L28">
            <v>0</v>
          </cell>
          <cell r="M28">
            <v>0</v>
          </cell>
          <cell r="N28">
            <v>0</v>
          </cell>
          <cell r="O28">
            <v>0</v>
          </cell>
          <cell r="P28">
            <v>0</v>
          </cell>
          <cell r="Q28">
            <v>0</v>
          </cell>
          <cell r="R28">
            <v>43</v>
          </cell>
          <cell r="S28">
            <v>0</v>
          </cell>
          <cell r="T28">
            <v>86</v>
          </cell>
          <cell r="U28">
            <v>0</v>
          </cell>
          <cell r="V28">
            <v>6</v>
          </cell>
          <cell r="W28">
            <v>0</v>
          </cell>
          <cell r="X28">
            <v>0</v>
          </cell>
          <cell r="Y28">
            <v>134</v>
          </cell>
          <cell r="Z28">
            <v>72</v>
          </cell>
          <cell r="AA28">
            <v>206</v>
          </cell>
          <cell r="AB28">
            <v>0.65</v>
          </cell>
          <cell r="AC28" t="str">
            <v>TUO543</v>
          </cell>
        </row>
        <row r="29">
          <cell r="G29">
            <v>0</v>
          </cell>
          <cell r="H29">
            <v>0</v>
          </cell>
          <cell r="I29">
            <v>0</v>
          </cell>
          <cell r="J29">
            <v>0</v>
          </cell>
          <cell r="K29">
            <v>0</v>
          </cell>
          <cell r="L29">
            <v>0</v>
          </cell>
          <cell r="M29">
            <v>0</v>
          </cell>
          <cell r="N29">
            <v>75</v>
          </cell>
          <cell r="O29">
            <v>9</v>
          </cell>
          <cell r="P29">
            <v>0</v>
          </cell>
          <cell r="Q29">
            <v>0</v>
          </cell>
          <cell r="R29">
            <v>0</v>
          </cell>
          <cell r="S29">
            <v>0</v>
          </cell>
          <cell r="T29">
            <v>263</v>
          </cell>
          <cell r="U29">
            <v>76</v>
          </cell>
          <cell r="V29">
            <v>29</v>
          </cell>
          <cell r="W29">
            <v>44</v>
          </cell>
          <cell r="X29">
            <v>0</v>
          </cell>
          <cell r="Y29">
            <v>496</v>
          </cell>
          <cell r="Z29">
            <v>364</v>
          </cell>
          <cell r="AA29">
            <v>860</v>
          </cell>
          <cell r="AB29">
            <v>0.57699999999999996</v>
          </cell>
          <cell r="AC29" t="str">
            <v>MER543</v>
          </cell>
        </row>
        <row r="30">
          <cell r="G30">
            <v>0</v>
          </cell>
          <cell r="H30">
            <v>156</v>
          </cell>
          <cell r="I30">
            <v>99</v>
          </cell>
          <cell r="J30">
            <v>296</v>
          </cell>
          <cell r="K30">
            <v>0</v>
          </cell>
          <cell r="L30">
            <v>0</v>
          </cell>
          <cell r="M30">
            <v>75</v>
          </cell>
          <cell r="N30">
            <v>1985</v>
          </cell>
          <cell r="O30">
            <v>99</v>
          </cell>
          <cell r="P30">
            <v>0</v>
          </cell>
          <cell r="Q30">
            <v>223</v>
          </cell>
          <cell r="R30">
            <v>493</v>
          </cell>
          <cell r="S30">
            <v>0</v>
          </cell>
          <cell r="T30">
            <v>595</v>
          </cell>
          <cell r="U30">
            <v>100</v>
          </cell>
          <cell r="V30">
            <v>0</v>
          </cell>
          <cell r="W30">
            <v>0</v>
          </cell>
          <cell r="X30">
            <v>0</v>
          </cell>
          <cell r="Y30">
            <v>4120</v>
          </cell>
          <cell r="Z30">
            <v>2386</v>
          </cell>
          <cell r="AA30">
            <v>6506</v>
          </cell>
          <cell r="AB30">
            <v>0.63300000000000001</v>
          </cell>
          <cell r="AC30" t="str">
            <v>LSAC463</v>
          </cell>
        </row>
        <row r="31">
          <cell r="G31">
            <v>0</v>
          </cell>
          <cell r="H31">
            <v>0</v>
          </cell>
          <cell r="I31">
            <v>6697</v>
          </cell>
          <cell r="J31">
            <v>362</v>
          </cell>
          <cell r="K31">
            <v>0</v>
          </cell>
          <cell r="L31">
            <v>118</v>
          </cell>
          <cell r="M31">
            <v>92</v>
          </cell>
          <cell r="N31">
            <v>2085</v>
          </cell>
          <cell r="O31">
            <v>117</v>
          </cell>
          <cell r="P31">
            <v>0</v>
          </cell>
          <cell r="Q31">
            <v>0</v>
          </cell>
          <cell r="R31">
            <v>0</v>
          </cell>
          <cell r="S31">
            <v>0</v>
          </cell>
          <cell r="T31">
            <v>0</v>
          </cell>
          <cell r="U31">
            <v>0</v>
          </cell>
          <cell r="V31">
            <v>0</v>
          </cell>
          <cell r="W31">
            <v>0</v>
          </cell>
          <cell r="X31">
            <v>0</v>
          </cell>
          <cell r="Y31">
            <v>9471</v>
          </cell>
          <cell r="Z31">
            <v>3851</v>
          </cell>
          <cell r="AA31">
            <v>13322</v>
          </cell>
          <cell r="AB31">
            <v>0.71099999999999997</v>
          </cell>
          <cell r="AC31" t="str">
            <v>USAC463</v>
          </cell>
        </row>
        <row r="32">
          <cell r="G32">
            <v>0</v>
          </cell>
          <cell r="H32">
            <v>110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110</v>
          </cell>
          <cell r="Z32">
            <v>171</v>
          </cell>
          <cell r="AA32">
            <v>281</v>
          </cell>
          <cell r="AB32">
            <v>0.39100000000000001</v>
          </cell>
          <cell r="AC32" t="str">
            <v>USAC467</v>
          </cell>
        </row>
        <row r="33">
          <cell r="G33">
            <v>0</v>
          </cell>
          <cell r="H33">
            <v>0</v>
          </cell>
          <cell r="I33">
            <v>0</v>
          </cell>
          <cell r="J33">
            <v>145</v>
          </cell>
          <cell r="K33">
            <v>295</v>
          </cell>
          <cell r="L33">
            <v>184</v>
          </cell>
          <cell r="M33">
            <v>218</v>
          </cell>
          <cell r="N33">
            <v>4663</v>
          </cell>
          <cell r="O33">
            <v>255</v>
          </cell>
          <cell r="P33">
            <v>37</v>
          </cell>
          <cell r="Q33">
            <v>0</v>
          </cell>
          <cell r="R33">
            <v>0</v>
          </cell>
          <cell r="S33">
            <v>0</v>
          </cell>
          <cell r="T33">
            <v>291</v>
          </cell>
          <cell r="U33">
            <v>0</v>
          </cell>
          <cell r="V33">
            <v>0</v>
          </cell>
          <cell r="W33">
            <v>0</v>
          </cell>
          <cell r="X33">
            <v>0</v>
          </cell>
          <cell r="Y33">
            <v>6088</v>
          </cell>
          <cell r="Z33">
            <v>2316</v>
          </cell>
          <cell r="AA33">
            <v>8404</v>
          </cell>
          <cell r="AB33">
            <v>0.72399999999999998</v>
          </cell>
          <cell r="AC33" t="str">
            <v>FEA463</v>
          </cell>
        </row>
        <row r="34">
          <cell r="G34">
            <v>0</v>
          </cell>
          <cell r="H34">
            <v>0</v>
          </cell>
          <cell r="I34">
            <v>0</v>
          </cell>
          <cell r="J34">
            <v>208</v>
          </cell>
          <cell r="K34">
            <v>53</v>
          </cell>
          <cell r="L34">
            <v>79</v>
          </cell>
          <cell r="M34">
            <v>131</v>
          </cell>
          <cell r="N34">
            <v>1358</v>
          </cell>
          <cell r="O34">
            <v>52</v>
          </cell>
          <cell r="P34">
            <v>0</v>
          </cell>
          <cell r="Q34">
            <v>4220</v>
          </cell>
          <cell r="R34">
            <v>1192</v>
          </cell>
          <cell r="S34">
            <v>0</v>
          </cell>
          <cell r="T34">
            <v>2721</v>
          </cell>
          <cell r="U34">
            <v>210</v>
          </cell>
          <cell r="V34">
            <v>0</v>
          </cell>
          <cell r="W34">
            <v>163</v>
          </cell>
          <cell r="X34">
            <v>0</v>
          </cell>
          <cell r="Y34">
            <v>10386</v>
          </cell>
          <cell r="Z34">
            <v>2134</v>
          </cell>
          <cell r="AA34">
            <v>12520</v>
          </cell>
          <cell r="AB34">
            <v>0.83</v>
          </cell>
          <cell r="AC34" t="str">
            <v>AMN463</v>
          </cell>
        </row>
        <row r="35">
          <cell r="G35">
            <v>0</v>
          </cell>
          <cell r="H35">
            <v>0</v>
          </cell>
          <cell r="I35">
            <v>0</v>
          </cell>
          <cell r="J35">
            <v>0</v>
          </cell>
          <cell r="K35">
            <v>0</v>
          </cell>
          <cell r="L35">
            <v>0</v>
          </cell>
          <cell r="M35">
            <v>0</v>
          </cell>
          <cell r="N35">
            <v>60</v>
          </cell>
          <cell r="O35">
            <v>0</v>
          </cell>
          <cell r="P35">
            <v>0</v>
          </cell>
          <cell r="Q35">
            <v>60</v>
          </cell>
          <cell r="R35">
            <v>0</v>
          </cell>
          <cell r="S35">
            <v>15</v>
          </cell>
          <cell r="T35">
            <v>1025</v>
          </cell>
          <cell r="U35">
            <v>122</v>
          </cell>
          <cell r="V35">
            <v>0</v>
          </cell>
          <cell r="W35">
            <v>70</v>
          </cell>
          <cell r="X35">
            <v>0</v>
          </cell>
          <cell r="Y35">
            <v>1352</v>
          </cell>
          <cell r="Z35">
            <v>28</v>
          </cell>
          <cell r="AA35">
            <v>1380</v>
          </cell>
          <cell r="AB35">
            <v>0.98</v>
          </cell>
          <cell r="AC35" t="str">
            <v>MOKE463</v>
          </cell>
        </row>
      </sheetData>
      <sheetData sheetId="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 9 proportion "/>
      <sheetName val="Table 11 CWTs exp"/>
      <sheetName val="Table text"/>
      <sheetName val="inland_taf_hatchgrp_tableraw&amp;yy"/>
      <sheetName val="hatchery proportion only"/>
    </sheetNames>
    <sheetDataSet>
      <sheetData sheetId="0"/>
      <sheetData sheetId="1">
        <row r="3">
          <cell r="H3" t="str">
            <v>CFH</v>
          </cell>
          <cell r="K3" t="str">
            <v>FRH</v>
          </cell>
          <cell r="Q3" t="str">
            <v>NIM</v>
          </cell>
          <cell r="S3" t="str">
            <v>MOK</v>
          </cell>
          <cell r="V3" t="str">
            <v>MER</v>
          </cell>
        </row>
        <row r="4">
          <cell r="G4" t="str">
            <v>SacW</v>
          </cell>
          <cell r="H4" t="str">
            <v>CFHLh</v>
          </cell>
          <cell r="I4" t="str">
            <v>CFHFh</v>
          </cell>
          <cell r="J4" t="str">
            <v>CFHFn</v>
          </cell>
          <cell r="K4" t="str">
            <v>FRHS</v>
          </cell>
          <cell r="L4" t="str">
            <v>FRHSn</v>
          </cell>
          <cell r="M4" t="str">
            <v>FRHFk</v>
          </cell>
          <cell r="N4" t="str">
            <v>FRHFb</v>
          </cell>
          <cell r="O4" t="str">
            <v>FRHFn</v>
          </cell>
          <cell r="P4" t="str">
            <v>FRHFnc</v>
          </cell>
          <cell r="Q4" t="str">
            <v>NIMF</v>
          </cell>
          <cell r="R4" t="str">
            <v>NIMFn</v>
          </cell>
          <cell r="S4" t="str">
            <v>MOKF</v>
          </cell>
          <cell r="T4" t="str">
            <v>MOKFn</v>
          </cell>
          <cell r="U4" t="str">
            <v>MOKFe</v>
          </cell>
          <cell r="V4" t="str">
            <v>MERF</v>
          </cell>
          <cell r="W4" t="str">
            <v>MERFt</v>
          </cell>
        </row>
        <row r="6">
          <cell r="A6" t="str">
            <v>KESW504</v>
          </cell>
          <cell r="E6" t="str">
            <v>Keswick Dam Fish Trap</v>
          </cell>
          <cell r="F6" t="str">
            <v>Winter</v>
          </cell>
          <cell r="G6">
            <v>136</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AA6">
            <v>257</v>
          </cell>
          <cell r="AC6">
            <v>0.52900000000000003</v>
          </cell>
        </row>
        <row r="7">
          <cell r="A7" t="str">
            <v>FRFH501</v>
          </cell>
          <cell r="B7" t="str">
            <v>FRFH</v>
          </cell>
          <cell r="C7">
            <v>50</v>
          </cell>
          <cell r="D7">
            <v>1</v>
          </cell>
          <cell r="E7" t="str">
            <v>Feather River Hatchery</v>
          </cell>
          <cell r="F7" t="str">
            <v>Spring</v>
          </cell>
          <cell r="G7">
            <v>0</v>
          </cell>
          <cell r="H7">
            <v>0</v>
          </cell>
          <cell r="I7">
            <v>0</v>
          </cell>
          <cell r="J7">
            <v>0</v>
          </cell>
          <cell r="K7">
            <v>2023</v>
          </cell>
          <cell r="L7">
            <v>1256</v>
          </cell>
          <cell r="M7">
            <v>0</v>
          </cell>
          <cell r="N7">
            <v>4</v>
          </cell>
          <cell r="O7">
            <v>24</v>
          </cell>
          <cell r="P7">
            <v>0</v>
          </cell>
          <cell r="Q7">
            <v>0</v>
          </cell>
          <cell r="R7">
            <v>0</v>
          </cell>
          <cell r="S7">
            <v>0</v>
          </cell>
          <cell r="T7">
            <v>0</v>
          </cell>
          <cell r="U7">
            <v>0</v>
          </cell>
          <cell r="V7">
            <v>0</v>
          </cell>
          <cell r="W7">
            <v>0</v>
          </cell>
          <cell r="X7">
            <v>0</v>
          </cell>
          <cell r="AA7">
            <v>3386</v>
          </cell>
          <cell r="AC7">
            <v>0.97699999999999998</v>
          </cell>
        </row>
        <row r="8">
          <cell r="A8" t="str">
            <v>FRFH521</v>
          </cell>
          <cell r="B8" t="str">
            <v>FRFH</v>
          </cell>
          <cell r="C8">
            <v>52</v>
          </cell>
          <cell r="D8">
            <v>1</v>
          </cell>
          <cell r="F8" t="str">
            <v>Spring</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AA8">
            <v>0</v>
          </cell>
          <cell r="AC8">
            <v>0</v>
          </cell>
        </row>
        <row r="9">
          <cell r="A9" t="str">
            <v>CNFH503</v>
          </cell>
          <cell r="B9" t="str">
            <v>CNFH</v>
          </cell>
          <cell r="C9">
            <v>50</v>
          </cell>
          <cell r="D9">
            <v>3</v>
          </cell>
          <cell r="E9" t="str">
            <v>Coleman National Fish Hatchery</v>
          </cell>
          <cell r="F9" t="str">
            <v>Fall</v>
          </cell>
          <cell r="G9">
            <v>0</v>
          </cell>
          <cell r="H9">
            <v>0</v>
          </cell>
          <cell r="I9">
            <v>9500</v>
          </cell>
          <cell r="J9">
            <v>483</v>
          </cell>
          <cell r="K9">
            <v>0</v>
          </cell>
          <cell r="L9">
            <v>2</v>
          </cell>
          <cell r="M9">
            <v>0</v>
          </cell>
          <cell r="N9">
            <v>88</v>
          </cell>
          <cell r="O9">
            <v>1489</v>
          </cell>
          <cell r="P9">
            <v>105</v>
          </cell>
          <cell r="Q9">
            <v>8</v>
          </cell>
          <cell r="R9">
            <v>4</v>
          </cell>
          <cell r="S9">
            <v>0</v>
          </cell>
          <cell r="T9">
            <v>12</v>
          </cell>
          <cell r="U9">
            <v>1</v>
          </cell>
          <cell r="V9">
            <v>0</v>
          </cell>
          <cell r="W9">
            <v>19</v>
          </cell>
          <cell r="X9">
            <v>0</v>
          </cell>
          <cell r="AA9">
            <v>15724</v>
          </cell>
          <cell r="AC9">
            <v>0.745</v>
          </cell>
        </row>
        <row r="10">
          <cell r="A10" t="str">
            <v>FRFH503</v>
          </cell>
          <cell r="B10" t="str">
            <v>FRFH</v>
          </cell>
          <cell r="C10">
            <v>50</v>
          </cell>
          <cell r="D10">
            <v>3</v>
          </cell>
          <cell r="E10" t="str">
            <v>Feather River Hatchery</v>
          </cell>
          <cell r="F10" t="str">
            <v>Fall</v>
          </cell>
          <cell r="G10">
            <v>0</v>
          </cell>
          <cell r="H10">
            <v>0</v>
          </cell>
          <cell r="I10">
            <v>20</v>
          </cell>
          <cell r="J10">
            <v>462</v>
          </cell>
          <cell r="K10">
            <v>2080</v>
          </cell>
          <cell r="L10">
            <v>1992</v>
          </cell>
          <cell r="M10">
            <v>18</v>
          </cell>
          <cell r="N10">
            <v>863</v>
          </cell>
          <cell r="O10">
            <v>12043</v>
          </cell>
          <cell r="P10">
            <v>794</v>
          </cell>
          <cell r="Q10">
            <v>51</v>
          </cell>
          <cell r="R10">
            <v>172</v>
          </cell>
          <cell r="S10">
            <v>1</v>
          </cell>
          <cell r="T10">
            <v>139</v>
          </cell>
          <cell r="U10">
            <v>11</v>
          </cell>
          <cell r="V10">
            <v>0</v>
          </cell>
          <cell r="W10">
            <v>153</v>
          </cell>
          <cell r="X10">
            <v>0</v>
          </cell>
          <cell r="AA10">
            <v>20816</v>
          </cell>
          <cell r="AC10">
            <v>0.90300000000000002</v>
          </cell>
        </row>
        <row r="11">
          <cell r="A11" t="str">
            <v>NBFH503</v>
          </cell>
          <cell r="B11" t="str">
            <v>NBFH</v>
          </cell>
          <cell r="C11">
            <v>50</v>
          </cell>
          <cell r="D11">
            <v>3</v>
          </cell>
          <cell r="E11" t="str">
            <v>Nimbus Fish Hatchery</v>
          </cell>
          <cell r="F11" t="str">
            <v>Fall</v>
          </cell>
          <cell r="G11">
            <v>0</v>
          </cell>
          <cell r="H11">
            <v>1</v>
          </cell>
          <cell r="I11">
            <v>0</v>
          </cell>
          <cell r="J11">
            <v>217</v>
          </cell>
          <cell r="K11">
            <v>0</v>
          </cell>
          <cell r="L11">
            <v>0</v>
          </cell>
          <cell r="M11">
            <v>0</v>
          </cell>
          <cell r="N11">
            <v>4</v>
          </cell>
          <cell r="O11">
            <v>251</v>
          </cell>
          <cell r="P11">
            <v>25</v>
          </cell>
          <cell r="Q11">
            <v>2324</v>
          </cell>
          <cell r="R11">
            <v>2392</v>
          </cell>
          <cell r="S11">
            <v>9</v>
          </cell>
          <cell r="T11">
            <v>2378</v>
          </cell>
          <cell r="U11">
            <v>183</v>
          </cell>
          <cell r="V11">
            <v>0</v>
          </cell>
          <cell r="W11">
            <v>339</v>
          </cell>
          <cell r="X11">
            <v>5</v>
          </cell>
          <cell r="AA11">
            <v>9822</v>
          </cell>
          <cell r="AC11">
            <v>0.82799999999999996</v>
          </cell>
        </row>
        <row r="12">
          <cell r="A12" t="str">
            <v>MRFI503</v>
          </cell>
          <cell r="B12" t="str">
            <v>MRFI</v>
          </cell>
          <cell r="C12">
            <v>50</v>
          </cell>
          <cell r="D12">
            <v>3</v>
          </cell>
          <cell r="E12" t="str">
            <v>Mokelumne River Hatchery</v>
          </cell>
          <cell r="F12" t="str">
            <v>Fall</v>
          </cell>
          <cell r="G12">
            <v>0</v>
          </cell>
          <cell r="H12">
            <v>1</v>
          </cell>
          <cell r="I12">
            <v>0</v>
          </cell>
          <cell r="J12">
            <v>265</v>
          </cell>
          <cell r="K12">
            <v>0</v>
          </cell>
          <cell r="L12">
            <v>2</v>
          </cell>
          <cell r="M12">
            <v>0</v>
          </cell>
          <cell r="N12">
            <v>5</v>
          </cell>
          <cell r="O12">
            <v>282</v>
          </cell>
          <cell r="P12">
            <v>31</v>
          </cell>
          <cell r="Q12">
            <v>0</v>
          </cell>
          <cell r="R12">
            <v>833</v>
          </cell>
          <cell r="S12">
            <v>107</v>
          </cell>
          <cell r="T12">
            <v>5757</v>
          </cell>
          <cell r="U12">
            <v>212</v>
          </cell>
          <cell r="V12">
            <v>0</v>
          </cell>
          <cell r="W12">
            <v>456</v>
          </cell>
          <cell r="X12">
            <v>0</v>
          </cell>
          <cell r="AA12">
            <v>8298</v>
          </cell>
          <cell r="AC12">
            <v>0.95799999999999996</v>
          </cell>
        </row>
        <row r="13">
          <cell r="A13" t="str">
            <v>MRFF503</v>
          </cell>
          <cell r="B13" t="str">
            <v>MRFF</v>
          </cell>
          <cell r="C13">
            <v>50</v>
          </cell>
          <cell r="D13">
            <v>3</v>
          </cell>
          <cell r="E13" t="str">
            <v>Merced River Hatchery</v>
          </cell>
          <cell r="F13" t="str">
            <v>Fall</v>
          </cell>
          <cell r="G13">
            <v>0</v>
          </cell>
          <cell r="H13">
            <v>0</v>
          </cell>
          <cell r="I13">
            <v>0</v>
          </cell>
          <cell r="J13">
            <v>43</v>
          </cell>
          <cell r="K13">
            <v>0</v>
          </cell>
          <cell r="L13">
            <v>0</v>
          </cell>
          <cell r="M13">
            <v>0</v>
          </cell>
          <cell r="N13">
            <v>0</v>
          </cell>
          <cell r="O13">
            <v>69</v>
          </cell>
          <cell r="P13">
            <v>6</v>
          </cell>
          <cell r="Q13">
            <v>0</v>
          </cell>
          <cell r="R13">
            <v>34</v>
          </cell>
          <cell r="S13">
            <v>0</v>
          </cell>
          <cell r="T13">
            <v>741</v>
          </cell>
          <cell r="U13">
            <v>24</v>
          </cell>
          <cell r="V13">
            <v>0</v>
          </cell>
          <cell r="W13">
            <v>142</v>
          </cell>
          <cell r="X13">
            <v>0</v>
          </cell>
          <cell r="AA13">
            <v>1198</v>
          </cell>
          <cell r="AC13">
            <v>0.88300000000000001</v>
          </cell>
        </row>
        <row r="14">
          <cell r="A14" t="str">
            <v>CNFH507</v>
          </cell>
          <cell r="B14" t="str">
            <v>CNFH</v>
          </cell>
          <cell r="C14">
            <v>50</v>
          </cell>
          <cell r="D14">
            <v>7</v>
          </cell>
          <cell r="E14" t="str">
            <v xml:space="preserve">Coleman National Fish Hatchery </v>
          </cell>
          <cell r="G14">
            <v>0</v>
          </cell>
          <cell r="H14">
            <v>2348</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AA14">
            <v>2348</v>
          </cell>
          <cell r="AC14">
            <v>1</v>
          </cell>
        </row>
        <row r="15">
          <cell r="A15" t="str">
            <v>CNFW527</v>
          </cell>
          <cell r="B15" t="str">
            <v>CNFW</v>
          </cell>
          <cell r="C15">
            <v>52</v>
          </cell>
          <cell r="D15">
            <v>7</v>
          </cell>
          <cell r="E15" t="str">
            <v>Coleman Hatchery Fish Trap</v>
          </cell>
          <cell r="G15">
            <v>0</v>
          </cell>
          <cell r="H15">
            <v>104</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AA15">
            <v>104</v>
          </cell>
          <cell r="AC15">
            <v>1</v>
          </cell>
        </row>
        <row r="16">
          <cell r="B16" t="str">
            <v>KESW</v>
          </cell>
          <cell r="E16" t="str">
            <v>Keswick Dam Fish Trap</v>
          </cell>
          <cell r="H16">
            <v>4</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AA16">
            <v>65</v>
          </cell>
        </row>
        <row r="17">
          <cell r="G17">
            <v>0</v>
          </cell>
          <cell r="H17">
            <v>2</v>
          </cell>
          <cell r="I17">
            <v>9520</v>
          </cell>
          <cell r="J17">
            <v>1470</v>
          </cell>
          <cell r="K17">
            <v>2080</v>
          </cell>
          <cell r="L17">
            <v>1996</v>
          </cell>
          <cell r="M17">
            <v>18</v>
          </cell>
          <cell r="N17">
            <v>960</v>
          </cell>
          <cell r="O17">
            <v>14134</v>
          </cell>
          <cell r="P17">
            <v>961</v>
          </cell>
          <cell r="Q17">
            <v>2383</v>
          </cell>
          <cell r="R17">
            <v>3435</v>
          </cell>
          <cell r="S17">
            <v>117</v>
          </cell>
          <cell r="T17">
            <v>9027</v>
          </cell>
          <cell r="U17">
            <v>431</v>
          </cell>
          <cell r="V17">
            <v>0</v>
          </cell>
          <cell r="W17">
            <v>1109</v>
          </cell>
          <cell r="X17">
            <v>5</v>
          </cell>
          <cell r="Z17">
            <v>8210</v>
          </cell>
          <cell r="AA17">
            <v>55858</v>
          </cell>
          <cell r="AC17">
            <v>0.85302015825844102</v>
          </cell>
        </row>
        <row r="19">
          <cell r="A19" t="str">
            <v>USAC544</v>
          </cell>
          <cell r="B19" t="str">
            <v>USAC</v>
          </cell>
          <cell r="C19">
            <v>54</v>
          </cell>
          <cell r="D19">
            <v>4</v>
          </cell>
          <cell r="E19" t="str">
            <v>Upper Sacramento River</v>
          </cell>
          <cell r="F19" t="str">
            <v>Winter</v>
          </cell>
          <cell r="G19">
            <v>558</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AA19">
            <v>3182</v>
          </cell>
          <cell r="AC19">
            <v>0.17499999999999999</v>
          </cell>
        </row>
        <row r="20">
          <cell r="A20" t="str">
            <v>BUT541</v>
          </cell>
          <cell r="B20" t="str">
            <v>BUT</v>
          </cell>
          <cell r="C20">
            <v>54</v>
          </cell>
          <cell r="D20">
            <v>1</v>
          </cell>
          <cell r="E20" t="str">
            <v>Butte Creek</v>
          </cell>
          <cell r="F20" t="str">
            <v>Spring</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AA20">
            <v>413</v>
          </cell>
          <cell r="AC20">
            <v>0</v>
          </cell>
        </row>
        <row r="21">
          <cell r="A21" t="str">
            <v>USAC543</v>
          </cell>
          <cell r="B21" t="str">
            <v>USAC</v>
          </cell>
          <cell r="C21">
            <v>54</v>
          </cell>
          <cell r="D21">
            <v>3</v>
          </cell>
          <cell r="E21" t="str">
            <v>Upper Sacramento River</v>
          </cell>
          <cell r="F21" t="str">
            <v>Fall</v>
          </cell>
          <cell r="G21">
            <v>0</v>
          </cell>
          <cell r="H21">
            <v>0</v>
          </cell>
          <cell r="I21">
            <v>2382</v>
          </cell>
          <cell r="J21">
            <v>453</v>
          </cell>
          <cell r="K21">
            <v>0</v>
          </cell>
          <cell r="L21">
            <v>392</v>
          </cell>
          <cell r="M21">
            <v>0</v>
          </cell>
          <cell r="N21">
            <v>602</v>
          </cell>
          <cell r="O21">
            <v>14784</v>
          </cell>
          <cell r="P21">
            <v>760</v>
          </cell>
          <cell r="Q21">
            <v>0</v>
          </cell>
          <cell r="R21">
            <v>0</v>
          </cell>
          <cell r="S21">
            <v>0</v>
          </cell>
          <cell r="T21">
            <v>0</v>
          </cell>
          <cell r="U21">
            <v>0</v>
          </cell>
          <cell r="V21">
            <v>0</v>
          </cell>
          <cell r="W21">
            <v>0</v>
          </cell>
          <cell r="X21">
            <v>0</v>
          </cell>
          <cell r="AA21">
            <v>28668</v>
          </cell>
          <cell r="AC21">
            <v>0.67600000000000005</v>
          </cell>
        </row>
        <row r="22">
          <cell r="A22" t="str">
            <v>CLR543</v>
          </cell>
          <cell r="B22" t="str">
            <v>CLR</v>
          </cell>
          <cell r="C22">
            <v>54</v>
          </cell>
          <cell r="D22">
            <v>3</v>
          </cell>
          <cell r="E22" t="str">
            <v>Clear Creek</v>
          </cell>
          <cell r="F22" t="str">
            <v>Fall</v>
          </cell>
          <cell r="G22">
            <v>0</v>
          </cell>
          <cell r="H22">
            <v>0</v>
          </cell>
          <cell r="I22">
            <v>666</v>
          </cell>
          <cell r="J22">
            <v>368</v>
          </cell>
          <cell r="K22">
            <v>0</v>
          </cell>
          <cell r="L22">
            <v>85</v>
          </cell>
          <cell r="M22">
            <v>0</v>
          </cell>
          <cell r="N22">
            <v>235</v>
          </cell>
          <cell r="O22">
            <v>4875</v>
          </cell>
          <cell r="P22">
            <v>259</v>
          </cell>
          <cell r="Q22">
            <v>0</v>
          </cell>
          <cell r="R22">
            <v>0</v>
          </cell>
          <cell r="S22">
            <v>0</v>
          </cell>
          <cell r="T22">
            <v>0</v>
          </cell>
          <cell r="U22">
            <v>0</v>
          </cell>
          <cell r="V22">
            <v>0</v>
          </cell>
          <cell r="W22">
            <v>0</v>
          </cell>
          <cell r="X22">
            <v>0</v>
          </cell>
          <cell r="AA22">
            <v>8809</v>
          </cell>
          <cell r="AC22">
            <v>0.73699999999999999</v>
          </cell>
        </row>
        <row r="23">
          <cell r="A23" t="str">
            <v>BATT543</v>
          </cell>
          <cell r="B23" t="str">
            <v>BATT</v>
          </cell>
          <cell r="C23">
            <v>54</v>
          </cell>
          <cell r="D23">
            <v>3</v>
          </cell>
          <cell r="E23" t="str">
            <v>Battle Creek</v>
          </cell>
          <cell r="G23">
            <v>0</v>
          </cell>
          <cell r="H23">
            <v>0</v>
          </cell>
          <cell r="I23">
            <v>2191</v>
          </cell>
          <cell r="J23">
            <v>111</v>
          </cell>
          <cell r="K23">
            <v>0</v>
          </cell>
          <cell r="L23">
            <v>0</v>
          </cell>
          <cell r="M23">
            <v>0</v>
          </cell>
          <cell r="N23">
            <v>21</v>
          </cell>
          <cell r="O23">
            <v>343</v>
          </cell>
          <cell r="P23">
            <v>25</v>
          </cell>
          <cell r="Q23">
            <v>2</v>
          </cell>
          <cell r="R23">
            <v>1</v>
          </cell>
          <cell r="S23">
            <v>0</v>
          </cell>
          <cell r="T23">
            <v>3</v>
          </cell>
          <cell r="U23">
            <v>0</v>
          </cell>
          <cell r="V23">
            <v>0</v>
          </cell>
          <cell r="W23">
            <v>4</v>
          </cell>
          <cell r="X23">
            <v>0</v>
          </cell>
          <cell r="AA23">
            <v>3631</v>
          </cell>
          <cell r="AC23">
            <v>0.74387221151198013</v>
          </cell>
        </row>
        <row r="24">
          <cell r="A24" t="str">
            <v>COT543</v>
          </cell>
          <cell r="B24" t="str">
            <v>COT</v>
          </cell>
          <cell r="C24">
            <v>54</v>
          </cell>
          <cell r="D24">
            <v>3</v>
          </cell>
          <cell r="E24" t="str">
            <v>Cottonwood Creek</v>
          </cell>
          <cell r="F24" t="str">
            <v>Fall</v>
          </cell>
          <cell r="G24">
            <v>0</v>
          </cell>
          <cell r="H24">
            <v>0</v>
          </cell>
          <cell r="I24">
            <v>0</v>
          </cell>
          <cell r="J24">
            <v>73</v>
          </cell>
          <cell r="K24">
            <v>0</v>
          </cell>
          <cell r="L24">
            <v>0</v>
          </cell>
          <cell r="M24">
            <v>0</v>
          </cell>
          <cell r="N24">
            <v>0</v>
          </cell>
          <cell r="O24">
            <v>0</v>
          </cell>
          <cell r="P24">
            <v>18</v>
          </cell>
          <cell r="Q24">
            <v>0</v>
          </cell>
          <cell r="R24">
            <v>0</v>
          </cell>
          <cell r="S24">
            <v>0</v>
          </cell>
          <cell r="T24">
            <v>0</v>
          </cell>
          <cell r="U24">
            <v>0</v>
          </cell>
          <cell r="V24">
            <v>0</v>
          </cell>
          <cell r="W24">
            <v>0</v>
          </cell>
          <cell r="X24">
            <v>0</v>
          </cell>
          <cell r="AA24">
            <v>604</v>
          </cell>
          <cell r="AC24">
            <v>0.152</v>
          </cell>
        </row>
        <row r="25">
          <cell r="A25" t="str">
            <v>DEE543</v>
          </cell>
          <cell r="B25" t="str">
            <v>DEE</v>
          </cell>
          <cell r="C25">
            <v>54</v>
          </cell>
          <cell r="D25">
            <v>3</v>
          </cell>
          <cell r="E25" t="str">
            <v>Deer Creek</v>
          </cell>
          <cell r="F25" t="str">
            <v>Fall</v>
          </cell>
          <cell r="G25">
            <v>0</v>
          </cell>
          <cell r="H25">
            <v>0</v>
          </cell>
          <cell r="I25">
            <v>0</v>
          </cell>
          <cell r="J25">
            <v>86</v>
          </cell>
          <cell r="K25">
            <v>0</v>
          </cell>
          <cell r="L25">
            <v>0</v>
          </cell>
          <cell r="M25">
            <v>0</v>
          </cell>
          <cell r="N25">
            <v>0</v>
          </cell>
          <cell r="O25">
            <v>472</v>
          </cell>
          <cell r="P25">
            <v>11</v>
          </cell>
          <cell r="Q25">
            <v>0</v>
          </cell>
          <cell r="R25">
            <v>0</v>
          </cell>
          <cell r="S25">
            <v>0</v>
          </cell>
          <cell r="T25">
            <v>43</v>
          </cell>
          <cell r="U25">
            <v>0</v>
          </cell>
          <cell r="V25">
            <v>0</v>
          </cell>
          <cell r="W25">
            <v>0</v>
          </cell>
          <cell r="X25">
            <v>0</v>
          </cell>
          <cell r="AA25">
            <v>612</v>
          </cell>
          <cell r="AC25">
            <v>1</v>
          </cell>
        </row>
        <row r="26">
          <cell r="A26" t="str">
            <v>MLC543</v>
          </cell>
          <cell r="B26" t="str">
            <v>MLC</v>
          </cell>
          <cell r="C26">
            <v>54</v>
          </cell>
          <cell r="D26">
            <v>3</v>
          </cell>
          <cell r="E26" t="str">
            <v>Mill Creek</v>
          </cell>
          <cell r="F26" t="str">
            <v>Fall</v>
          </cell>
          <cell r="G26">
            <v>0</v>
          </cell>
          <cell r="H26">
            <v>0</v>
          </cell>
          <cell r="I26">
            <v>63</v>
          </cell>
          <cell r="J26">
            <v>63</v>
          </cell>
          <cell r="K26">
            <v>0</v>
          </cell>
          <cell r="L26">
            <v>0</v>
          </cell>
          <cell r="M26">
            <v>0</v>
          </cell>
          <cell r="N26">
            <v>0</v>
          </cell>
          <cell r="O26">
            <v>314</v>
          </cell>
          <cell r="P26">
            <v>16</v>
          </cell>
          <cell r="Q26">
            <v>0</v>
          </cell>
          <cell r="R26">
            <v>0</v>
          </cell>
          <cell r="S26">
            <v>0</v>
          </cell>
          <cell r="T26">
            <v>0</v>
          </cell>
          <cell r="U26">
            <v>0</v>
          </cell>
          <cell r="V26">
            <v>0</v>
          </cell>
          <cell r="W26">
            <v>0</v>
          </cell>
          <cell r="X26">
            <v>0</v>
          </cell>
          <cell r="AA26">
            <v>1033</v>
          </cell>
          <cell r="AC26">
            <v>0.44</v>
          </cell>
        </row>
        <row r="27">
          <cell r="A27" t="str">
            <v>BUT543</v>
          </cell>
          <cell r="B27" t="str">
            <v>BUT</v>
          </cell>
          <cell r="C27">
            <v>54</v>
          </cell>
          <cell r="D27">
            <v>3</v>
          </cell>
          <cell r="E27" t="str">
            <v>Butte Creek</v>
          </cell>
          <cell r="F27" t="str">
            <v>Fall</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AA27">
            <v>0</v>
          </cell>
          <cell r="AC27">
            <v>0</v>
          </cell>
        </row>
        <row r="28">
          <cell r="A28" t="str">
            <v>FEA543</v>
          </cell>
          <cell r="B28" t="str">
            <v>FEA</v>
          </cell>
          <cell r="C28">
            <v>54</v>
          </cell>
          <cell r="D28">
            <v>3</v>
          </cell>
          <cell r="E28" t="str">
            <v>Feather River</v>
          </cell>
          <cell r="F28" t="str">
            <v>Fall</v>
          </cell>
          <cell r="G28">
            <v>0</v>
          </cell>
          <cell r="H28">
            <v>0</v>
          </cell>
          <cell r="I28">
            <v>24</v>
          </cell>
          <cell r="J28">
            <v>453</v>
          </cell>
          <cell r="K28">
            <v>1599</v>
          </cell>
          <cell r="L28">
            <v>1603</v>
          </cell>
          <cell r="M28">
            <v>0</v>
          </cell>
          <cell r="N28">
            <v>523</v>
          </cell>
          <cell r="O28">
            <v>11762</v>
          </cell>
          <cell r="P28">
            <v>527</v>
          </cell>
          <cell r="Q28">
            <v>131</v>
          </cell>
          <cell r="R28">
            <v>71</v>
          </cell>
          <cell r="S28">
            <v>0</v>
          </cell>
          <cell r="T28">
            <v>119</v>
          </cell>
          <cell r="U28">
            <v>6</v>
          </cell>
          <cell r="V28">
            <v>0</v>
          </cell>
          <cell r="W28">
            <v>137</v>
          </cell>
          <cell r="X28">
            <v>24</v>
          </cell>
          <cell r="AA28">
            <v>20566</v>
          </cell>
          <cell r="AC28">
            <v>0.82599999999999996</v>
          </cell>
        </row>
        <row r="29">
          <cell r="A29" t="str">
            <v>YUBA543</v>
          </cell>
          <cell r="B29" t="str">
            <v>YUBA</v>
          </cell>
          <cell r="C29">
            <v>54</v>
          </cell>
          <cell r="D29">
            <v>3</v>
          </cell>
          <cell r="F29" t="str">
            <v>Fall</v>
          </cell>
          <cell r="G29">
            <v>0</v>
          </cell>
          <cell r="H29">
            <v>0</v>
          </cell>
          <cell r="I29">
            <v>0</v>
          </cell>
          <cell r="J29">
            <v>945</v>
          </cell>
          <cell r="K29">
            <v>0</v>
          </cell>
          <cell r="L29">
            <v>34</v>
          </cell>
          <cell r="M29">
            <v>0</v>
          </cell>
          <cell r="N29">
            <v>68</v>
          </cell>
          <cell r="O29">
            <v>544</v>
          </cell>
          <cell r="P29">
            <v>103</v>
          </cell>
          <cell r="Q29">
            <v>439</v>
          </cell>
          <cell r="R29">
            <v>135</v>
          </cell>
          <cell r="S29">
            <v>0</v>
          </cell>
          <cell r="T29">
            <v>575</v>
          </cell>
          <cell r="U29">
            <v>136</v>
          </cell>
          <cell r="V29">
            <v>0</v>
          </cell>
          <cell r="W29">
            <v>0</v>
          </cell>
          <cell r="X29">
            <v>0</v>
          </cell>
          <cell r="AA29">
            <v>4981</v>
          </cell>
          <cell r="AC29">
            <v>0.59799999999999998</v>
          </cell>
        </row>
        <row r="30">
          <cell r="A30" t="str">
            <v>YUBB543</v>
          </cell>
          <cell r="B30" t="str">
            <v>YUBB</v>
          </cell>
          <cell r="C30">
            <v>54</v>
          </cell>
          <cell r="D30">
            <v>3</v>
          </cell>
          <cell r="F30" t="str">
            <v>Fall</v>
          </cell>
          <cell r="G30">
            <v>0</v>
          </cell>
          <cell r="H30">
            <v>0</v>
          </cell>
          <cell r="I30">
            <v>0</v>
          </cell>
          <cell r="J30">
            <v>295</v>
          </cell>
          <cell r="K30">
            <v>0</v>
          </cell>
          <cell r="L30">
            <v>0</v>
          </cell>
          <cell r="M30">
            <v>0</v>
          </cell>
          <cell r="N30">
            <v>11</v>
          </cell>
          <cell r="O30">
            <v>380</v>
          </cell>
          <cell r="P30">
            <v>32</v>
          </cell>
          <cell r="Q30">
            <v>0</v>
          </cell>
          <cell r="R30">
            <v>84</v>
          </cell>
          <cell r="S30">
            <v>0</v>
          </cell>
          <cell r="T30">
            <v>253</v>
          </cell>
          <cell r="U30">
            <v>21</v>
          </cell>
          <cell r="V30">
            <v>0</v>
          </cell>
          <cell r="W30">
            <v>93</v>
          </cell>
          <cell r="X30">
            <v>0</v>
          </cell>
          <cell r="AA30">
            <v>2569</v>
          </cell>
          <cell r="AC30">
            <v>0.45500000000000002</v>
          </cell>
        </row>
        <row r="31">
          <cell r="A31" t="str">
            <v>LARC543</v>
          </cell>
          <cell r="B31" t="str">
            <v>LARC</v>
          </cell>
          <cell r="C31">
            <v>54</v>
          </cell>
          <cell r="D31">
            <v>3</v>
          </cell>
          <cell r="E31" t="str">
            <v>American River</v>
          </cell>
          <cell r="F31" t="str">
            <v>Fall</v>
          </cell>
          <cell r="G31">
            <v>0</v>
          </cell>
          <cell r="H31">
            <v>2</v>
          </cell>
          <cell r="I31">
            <v>0</v>
          </cell>
          <cell r="J31">
            <v>215</v>
          </cell>
          <cell r="K31">
            <v>0</v>
          </cell>
          <cell r="L31">
            <v>0</v>
          </cell>
          <cell r="M31">
            <v>0</v>
          </cell>
          <cell r="N31">
            <v>4</v>
          </cell>
          <cell r="O31">
            <v>179</v>
          </cell>
          <cell r="P31">
            <v>9</v>
          </cell>
          <cell r="Q31">
            <v>3209</v>
          </cell>
          <cell r="R31">
            <v>2926</v>
          </cell>
          <cell r="S31">
            <v>5</v>
          </cell>
          <cell r="T31">
            <v>2049</v>
          </cell>
          <cell r="U31">
            <v>162</v>
          </cell>
          <cell r="V31">
            <v>0</v>
          </cell>
          <cell r="W31">
            <v>176</v>
          </cell>
          <cell r="X31">
            <v>3</v>
          </cell>
          <cell r="AA31">
            <v>13793</v>
          </cell>
          <cell r="AC31">
            <v>0.64800000000000002</v>
          </cell>
        </row>
        <row r="32">
          <cell r="A32" t="str">
            <v>NIMW593</v>
          </cell>
          <cell r="B32" t="str">
            <v>NIMW</v>
          </cell>
          <cell r="C32">
            <v>59</v>
          </cell>
          <cell r="D32">
            <v>3</v>
          </cell>
          <cell r="E32" t="str">
            <v>Nimbus Fish Hatchery Weir</v>
          </cell>
          <cell r="F32" t="str">
            <v>Fall</v>
          </cell>
          <cell r="G32">
            <v>0</v>
          </cell>
          <cell r="H32">
            <v>0</v>
          </cell>
          <cell r="I32">
            <v>0</v>
          </cell>
          <cell r="J32">
            <v>104</v>
          </cell>
          <cell r="K32">
            <v>4</v>
          </cell>
          <cell r="L32">
            <v>25</v>
          </cell>
          <cell r="M32">
            <v>0</v>
          </cell>
          <cell r="N32">
            <v>7</v>
          </cell>
          <cell r="O32">
            <v>50</v>
          </cell>
          <cell r="P32">
            <v>6</v>
          </cell>
          <cell r="Q32">
            <v>13</v>
          </cell>
          <cell r="R32">
            <v>449</v>
          </cell>
          <cell r="S32">
            <v>1</v>
          </cell>
          <cell r="T32">
            <v>147</v>
          </cell>
          <cell r="U32">
            <v>16</v>
          </cell>
          <cell r="V32">
            <v>0</v>
          </cell>
          <cell r="W32">
            <v>14</v>
          </cell>
          <cell r="X32">
            <v>0</v>
          </cell>
          <cell r="AA32">
            <v>1946</v>
          </cell>
          <cell r="AC32">
            <v>0.43099999999999999</v>
          </cell>
        </row>
        <row r="33">
          <cell r="A33" t="str">
            <v>MOKE543</v>
          </cell>
          <cell r="B33" t="str">
            <v>MOKE</v>
          </cell>
          <cell r="C33">
            <v>54</v>
          </cell>
          <cell r="D33">
            <v>3</v>
          </cell>
          <cell r="E33" t="str">
            <v>Mokelumne River</v>
          </cell>
          <cell r="F33" t="str">
            <v>Fall</v>
          </cell>
          <cell r="G33">
            <v>0</v>
          </cell>
          <cell r="H33">
            <v>0</v>
          </cell>
          <cell r="I33">
            <v>0</v>
          </cell>
          <cell r="J33">
            <v>103</v>
          </cell>
          <cell r="K33">
            <v>0</v>
          </cell>
          <cell r="L33">
            <v>0</v>
          </cell>
          <cell r="M33">
            <v>0</v>
          </cell>
          <cell r="N33">
            <v>0</v>
          </cell>
          <cell r="O33">
            <v>77</v>
          </cell>
          <cell r="P33">
            <v>6</v>
          </cell>
          <cell r="Q33">
            <v>0</v>
          </cell>
          <cell r="R33">
            <v>460</v>
          </cell>
          <cell r="S33">
            <v>50</v>
          </cell>
          <cell r="T33">
            <v>3102</v>
          </cell>
          <cell r="U33">
            <v>284</v>
          </cell>
          <cell r="V33">
            <v>0</v>
          </cell>
          <cell r="W33">
            <v>247</v>
          </cell>
          <cell r="X33">
            <v>0</v>
          </cell>
          <cell r="AA33">
            <v>4581</v>
          </cell>
          <cell r="AC33">
            <v>0.94499999999999995</v>
          </cell>
        </row>
        <row r="34">
          <cell r="A34" t="str">
            <v>COSU543</v>
          </cell>
          <cell r="B34" t="str">
            <v>COSU</v>
          </cell>
          <cell r="C34">
            <v>54</v>
          </cell>
          <cell r="D34">
            <v>3</v>
          </cell>
          <cell r="E34" t="str">
            <v>Cosumnes River</v>
          </cell>
          <cell r="F34" t="str">
            <v>Fall</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AA34">
            <v>0</v>
          </cell>
          <cell r="AC34">
            <v>0</v>
          </cell>
        </row>
        <row r="35">
          <cell r="A35" t="str">
            <v>CAL543</v>
          </cell>
          <cell r="B35" t="str">
            <v>CAL</v>
          </cell>
          <cell r="C35">
            <v>54</v>
          </cell>
          <cell r="D35">
            <v>3</v>
          </cell>
          <cell r="E35" t="str">
            <v>Calaveras River*</v>
          </cell>
          <cell r="F35" t="str">
            <v>Fall</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AA35">
            <v>0</v>
          </cell>
          <cell r="AC35">
            <v>0</v>
          </cell>
        </row>
        <row r="36">
          <cell r="A36" t="str">
            <v>STA543</v>
          </cell>
          <cell r="B36" t="str">
            <v>STA</v>
          </cell>
          <cell r="C36">
            <v>54</v>
          </cell>
          <cell r="D36">
            <v>3</v>
          </cell>
          <cell r="E36" t="str">
            <v>Stanislaus River</v>
          </cell>
          <cell r="F36" t="str">
            <v>Fall</v>
          </cell>
          <cell r="G36">
            <v>0</v>
          </cell>
          <cell r="H36">
            <v>0</v>
          </cell>
          <cell r="I36">
            <v>0</v>
          </cell>
          <cell r="J36">
            <v>184</v>
          </cell>
          <cell r="K36">
            <v>0</v>
          </cell>
          <cell r="L36">
            <v>0</v>
          </cell>
          <cell r="M36">
            <v>0</v>
          </cell>
          <cell r="N36">
            <v>0</v>
          </cell>
          <cell r="O36">
            <v>106</v>
          </cell>
          <cell r="P36">
            <v>20</v>
          </cell>
          <cell r="Q36">
            <v>0</v>
          </cell>
          <cell r="R36">
            <v>53</v>
          </cell>
          <cell r="S36">
            <v>0</v>
          </cell>
          <cell r="T36">
            <v>4057</v>
          </cell>
          <cell r="U36">
            <v>198</v>
          </cell>
          <cell r="V36">
            <v>0</v>
          </cell>
          <cell r="W36">
            <v>180</v>
          </cell>
          <cell r="X36">
            <v>0</v>
          </cell>
          <cell r="AA36">
            <v>6136</v>
          </cell>
          <cell r="AC36">
            <v>0.78200000000000003</v>
          </cell>
        </row>
        <row r="37">
          <cell r="A37" t="str">
            <v>TUO543</v>
          </cell>
          <cell r="B37" t="str">
            <v>TUO</v>
          </cell>
          <cell r="C37">
            <v>54</v>
          </cell>
          <cell r="D37">
            <v>3</v>
          </cell>
          <cell r="E37" t="str">
            <v>Tuolumne River</v>
          </cell>
          <cell r="F37" t="str">
            <v>Fall</v>
          </cell>
          <cell r="G37">
            <v>0</v>
          </cell>
          <cell r="H37">
            <v>0</v>
          </cell>
          <cell r="I37">
            <v>0</v>
          </cell>
          <cell r="J37">
            <v>0</v>
          </cell>
          <cell r="K37">
            <v>0</v>
          </cell>
          <cell r="L37">
            <v>0</v>
          </cell>
          <cell r="M37">
            <v>0</v>
          </cell>
          <cell r="N37">
            <v>0</v>
          </cell>
          <cell r="O37">
            <v>0</v>
          </cell>
          <cell r="P37">
            <v>0</v>
          </cell>
          <cell r="Q37">
            <v>0</v>
          </cell>
          <cell r="R37">
            <v>10</v>
          </cell>
          <cell r="S37">
            <v>0</v>
          </cell>
          <cell r="T37">
            <v>53</v>
          </cell>
          <cell r="U37">
            <v>0</v>
          </cell>
          <cell r="V37">
            <v>0</v>
          </cell>
          <cell r="W37">
            <v>11</v>
          </cell>
          <cell r="X37">
            <v>0</v>
          </cell>
          <cell r="AA37">
            <v>113</v>
          </cell>
          <cell r="AC37">
            <v>0.65500000000000003</v>
          </cell>
        </row>
        <row r="38">
          <cell r="A38" t="str">
            <v>MER543</v>
          </cell>
          <cell r="B38" t="str">
            <v>MER</v>
          </cell>
          <cell r="C38">
            <v>54</v>
          </cell>
          <cell r="D38">
            <v>3</v>
          </cell>
          <cell r="E38" t="str">
            <v>Merced River</v>
          </cell>
          <cell r="F38" t="str">
            <v>Fall</v>
          </cell>
          <cell r="G38">
            <v>0</v>
          </cell>
          <cell r="H38">
            <v>0</v>
          </cell>
          <cell r="I38">
            <v>0</v>
          </cell>
          <cell r="J38">
            <v>15</v>
          </cell>
          <cell r="K38">
            <v>0</v>
          </cell>
          <cell r="L38">
            <v>0</v>
          </cell>
          <cell r="M38">
            <v>0</v>
          </cell>
          <cell r="N38">
            <v>0</v>
          </cell>
          <cell r="O38">
            <v>46</v>
          </cell>
          <cell r="P38">
            <v>4</v>
          </cell>
          <cell r="Q38">
            <v>0</v>
          </cell>
          <cell r="R38">
            <v>15</v>
          </cell>
          <cell r="S38">
            <v>0</v>
          </cell>
          <cell r="T38">
            <v>774</v>
          </cell>
          <cell r="U38">
            <v>50</v>
          </cell>
          <cell r="V38">
            <v>4</v>
          </cell>
          <cell r="W38">
            <v>107</v>
          </cell>
          <cell r="X38">
            <v>0</v>
          </cell>
          <cell r="AA38">
            <v>1247</v>
          </cell>
          <cell r="AC38">
            <v>0.81299999999999994</v>
          </cell>
        </row>
        <row r="39">
          <cell r="A39" t="str">
            <v>USAC547</v>
          </cell>
          <cell r="B39" t="str">
            <v>USAC</v>
          </cell>
          <cell r="C39">
            <v>54</v>
          </cell>
          <cell r="D39">
            <v>7</v>
          </cell>
          <cell r="E39" t="str">
            <v>Upper Sacramento River</v>
          </cell>
          <cell r="G39">
            <v>0</v>
          </cell>
          <cell r="H39">
            <v>186</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65</v>
          </cell>
          <cell r="X39">
            <v>0</v>
          </cell>
          <cell r="AA39">
            <v>3085</v>
          </cell>
          <cell r="AC39">
            <v>8.1000000000000003E-2</v>
          </cell>
        </row>
        <row r="40">
          <cell r="G40">
            <v>0</v>
          </cell>
          <cell r="H40">
            <v>2</v>
          </cell>
          <cell r="I40">
            <v>5326</v>
          </cell>
          <cell r="J40">
            <v>3468</v>
          </cell>
          <cell r="K40">
            <v>1603</v>
          </cell>
          <cell r="L40">
            <v>2139</v>
          </cell>
          <cell r="M40">
            <v>0</v>
          </cell>
          <cell r="N40">
            <v>1471</v>
          </cell>
          <cell r="O40">
            <v>33932</v>
          </cell>
          <cell r="P40">
            <v>1796</v>
          </cell>
          <cell r="Q40">
            <v>3794</v>
          </cell>
          <cell r="R40">
            <v>4204</v>
          </cell>
          <cell r="S40">
            <v>56</v>
          </cell>
          <cell r="T40">
            <v>11175</v>
          </cell>
          <cell r="U40">
            <v>873</v>
          </cell>
          <cell r="V40">
            <v>4</v>
          </cell>
          <cell r="W40">
            <v>969</v>
          </cell>
          <cell r="X40">
            <v>27</v>
          </cell>
          <cell r="AA40">
            <v>99289</v>
          </cell>
          <cell r="AC40">
            <v>0.71345264832962363</v>
          </cell>
        </row>
        <row r="42">
          <cell r="G42">
            <v>558</v>
          </cell>
          <cell r="H42">
            <v>2642</v>
          </cell>
          <cell r="I42">
            <v>14073</v>
          </cell>
          <cell r="J42">
            <v>1047</v>
          </cell>
          <cell r="K42">
            <v>5702</v>
          </cell>
          <cell r="L42">
            <v>4885</v>
          </cell>
          <cell r="M42">
            <v>18</v>
          </cell>
          <cell r="N42">
            <v>1469</v>
          </cell>
          <cell r="O42">
            <v>24753</v>
          </cell>
          <cell r="P42">
            <v>1456</v>
          </cell>
          <cell r="Q42">
            <v>5546</v>
          </cell>
          <cell r="R42">
            <v>5767</v>
          </cell>
          <cell r="S42">
            <v>157</v>
          </cell>
          <cell r="T42">
            <v>8859</v>
          </cell>
          <cell r="U42">
            <v>496</v>
          </cell>
          <cell r="V42">
            <v>4</v>
          </cell>
          <cell r="W42">
            <v>249</v>
          </cell>
          <cell r="AA42">
            <v>120292</v>
          </cell>
        </row>
        <row r="43">
          <cell r="G43">
            <v>0</v>
          </cell>
          <cell r="H43">
            <v>4</v>
          </cell>
          <cell r="I43">
            <v>773</v>
          </cell>
          <cell r="J43">
            <v>3891</v>
          </cell>
          <cell r="K43">
            <v>4</v>
          </cell>
          <cell r="L43">
            <v>506</v>
          </cell>
          <cell r="M43">
            <v>0</v>
          </cell>
          <cell r="N43">
            <v>966</v>
          </cell>
          <cell r="O43">
            <v>23337</v>
          </cell>
          <cell r="P43">
            <v>1301</v>
          </cell>
          <cell r="Q43">
            <v>631</v>
          </cell>
          <cell r="R43">
            <v>1872</v>
          </cell>
          <cell r="S43">
            <v>16</v>
          </cell>
          <cell r="T43">
            <v>11343</v>
          </cell>
          <cell r="U43">
            <v>808</v>
          </cell>
          <cell r="V43">
            <v>0</v>
          </cell>
          <cell r="W43">
            <v>1894</v>
          </cell>
          <cell r="X43">
            <v>32</v>
          </cell>
          <cell r="AA43">
            <v>47373</v>
          </cell>
        </row>
        <row r="44">
          <cell r="G44">
            <v>558</v>
          </cell>
          <cell r="H44">
            <v>2646</v>
          </cell>
          <cell r="I44">
            <v>14846</v>
          </cell>
          <cell r="J44">
            <v>4938</v>
          </cell>
          <cell r="K44">
            <v>5706</v>
          </cell>
          <cell r="L44">
            <v>5391</v>
          </cell>
          <cell r="M44">
            <v>18</v>
          </cell>
          <cell r="N44">
            <v>2435</v>
          </cell>
          <cell r="O44">
            <v>48090</v>
          </cell>
          <cell r="P44">
            <v>2757</v>
          </cell>
          <cell r="Q44">
            <v>6177</v>
          </cell>
          <cell r="R44">
            <v>7639</v>
          </cell>
          <cell r="S44">
            <v>173</v>
          </cell>
          <cell r="T44">
            <v>20202</v>
          </cell>
          <cell r="U44">
            <v>1304</v>
          </cell>
          <cell r="V44">
            <v>4</v>
          </cell>
          <cell r="W44">
            <v>2143</v>
          </cell>
          <cell r="X44">
            <v>32</v>
          </cell>
          <cell r="AA44">
            <v>167665</v>
          </cell>
          <cell r="AC44">
            <v>0.74585632063937013</v>
          </cell>
        </row>
        <row r="47">
          <cell r="A47" t="str">
            <v>USAC463</v>
          </cell>
          <cell r="B47" t="str">
            <v>USAC</v>
          </cell>
          <cell r="C47">
            <v>46</v>
          </cell>
          <cell r="D47">
            <v>3</v>
          </cell>
          <cell r="E47" t="str">
            <v xml:space="preserve">Upper Sacramento River </v>
          </cell>
          <cell r="F47" t="str">
            <v>Fall</v>
          </cell>
          <cell r="G47">
            <v>0</v>
          </cell>
          <cell r="H47">
            <v>0</v>
          </cell>
          <cell r="I47">
            <v>3256</v>
          </cell>
          <cell r="J47">
            <v>50</v>
          </cell>
          <cell r="K47">
            <v>0</v>
          </cell>
          <cell r="L47">
            <v>89</v>
          </cell>
          <cell r="M47">
            <v>0</v>
          </cell>
          <cell r="N47">
            <v>152</v>
          </cell>
          <cell r="O47">
            <v>2263</v>
          </cell>
          <cell r="P47">
            <v>50</v>
          </cell>
          <cell r="Q47">
            <v>0</v>
          </cell>
          <cell r="R47">
            <v>0</v>
          </cell>
          <cell r="S47">
            <v>0</v>
          </cell>
          <cell r="T47">
            <v>0</v>
          </cell>
          <cell r="U47">
            <v>0</v>
          </cell>
          <cell r="V47">
            <v>0</v>
          </cell>
          <cell r="W47">
            <v>0</v>
          </cell>
          <cell r="X47">
            <v>0</v>
          </cell>
          <cell r="AA47">
            <v>8088</v>
          </cell>
          <cell r="AC47">
            <v>0.72499999999999998</v>
          </cell>
        </row>
        <row r="48">
          <cell r="A48" t="str">
            <v>LSAC463</v>
          </cell>
          <cell r="B48" t="str">
            <v>LSAC</v>
          </cell>
          <cell r="C48">
            <v>46</v>
          </cell>
          <cell r="D48">
            <v>3</v>
          </cell>
          <cell r="E48" t="str">
            <v xml:space="preserve">Lower Sacramento River </v>
          </cell>
          <cell r="F48" t="str">
            <v>Fall</v>
          </cell>
          <cell r="G48">
            <v>0</v>
          </cell>
          <cell r="H48">
            <v>169</v>
          </cell>
          <cell r="I48">
            <v>0</v>
          </cell>
          <cell r="J48">
            <v>545</v>
          </cell>
          <cell r="K48">
            <v>0</v>
          </cell>
          <cell r="L48">
            <v>0</v>
          </cell>
          <cell r="M48">
            <v>0</v>
          </cell>
          <cell r="N48">
            <v>82</v>
          </cell>
          <cell r="O48">
            <v>1753</v>
          </cell>
          <cell r="P48">
            <v>165</v>
          </cell>
          <cell r="Q48">
            <v>0</v>
          </cell>
          <cell r="R48">
            <v>1308</v>
          </cell>
          <cell r="S48">
            <v>0</v>
          </cell>
          <cell r="T48">
            <v>547</v>
          </cell>
          <cell r="U48">
            <v>82</v>
          </cell>
          <cell r="V48">
            <v>0</v>
          </cell>
          <cell r="W48">
            <v>130</v>
          </cell>
          <cell r="X48">
            <v>0</v>
          </cell>
          <cell r="AA48">
            <v>6205</v>
          </cell>
          <cell r="AC48">
            <v>0.77100000000000002</v>
          </cell>
        </row>
        <row r="49">
          <cell r="A49" t="str">
            <v>FEA463</v>
          </cell>
          <cell r="B49" t="str">
            <v>FEA</v>
          </cell>
          <cell r="C49">
            <v>46</v>
          </cell>
          <cell r="D49">
            <v>3</v>
          </cell>
          <cell r="E49" t="str">
            <v xml:space="preserve">Feather River </v>
          </cell>
          <cell r="F49" t="str">
            <v>Fall</v>
          </cell>
          <cell r="G49">
            <v>0</v>
          </cell>
          <cell r="H49">
            <v>0</v>
          </cell>
          <cell r="I49">
            <v>0</v>
          </cell>
          <cell r="J49">
            <v>87</v>
          </cell>
          <cell r="K49">
            <v>67</v>
          </cell>
          <cell r="L49">
            <v>111</v>
          </cell>
          <cell r="M49">
            <v>0</v>
          </cell>
          <cell r="N49">
            <v>110</v>
          </cell>
          <cell r="O49">
            <v>1405</v>
          </cell>
          <cell r="P49">
            <v>22</v>
          </cell>
          <cell r="Q49">
            <v>0</v>
          </cell>
          <cell r="R49">
            <v>0</v>
          </cell>
          <cell r="S49">
            <v>0</v>
          </cell>
          <cell r="T49">
            <v>0</v>
          </cell>
          <cell r="U49">
            <v>0</v>
          </cell>
          <cell r="V49">
            <v>0</v>
          </cell>
          <cell r="W49">
            <v>104</v>
          </cell>
          <cell r="X49">
            <v>0</v>
          </cell>
          <cell r="AA49">
            <v>1906</v>
          </cell>
          <cell r="AC49">
            <v>1</v>
          </cell>
        </row>
        <row r="50">
          <cell r="A50" t="str">
            <v>AMN463</v>
          </cell>
          <cell r="B50" t="str">
            <v>AMN</v>
          </cell>
          <cell r="C50">
            <v>46</v>
          </cell>
          <cell r="D50">
            <v>3</v>
          </cell>
          <cell r="E50" t="str">
            <v xml:space="preserve">American River </v>
          </cell>
          <cell r="F50" t="str">
            <v>Fall</v>
          </cell>
          <cell r="G50">
            <v>0</v>
          </cell>
          <cell r="H50">
            <v>0</v>
          </cell>
          <cell r="I50">
            <v>0</v>
          </cell>
          <cell r="J50">
            <v>168</v>
          </cell>
          <cell r="K50">
            <v>85</v>
          </cell>
          <cell r="L50">
            <v>234</v>
          </cell>
          <cell r="M50">
            <v>0</v>
          </cell>
          <cell r="N50">
            <v>63</v>
          </cell>
          <cell r="O50">
            <v>337</v>
          </cell>
          <cell r="P50">
            <v>21</v>
          </cell>
          <cell r="Q50">
            <v>796</v>
          </cell>
          <cell r="R50">
            <v>1672</v>
          </cell>
          <cell r="S50">
            <v>0</v>
          </cell>
          <cell r="T50">
            <v>1507</v>
          </cell>
          <cell r="U50">
            <v>0</v>
          </cell>
          <cell r="V50">
            <v>0</v>
          </cell>
          <cell r="W50">
            <v>92</v>
          </cell>
          <cell r="X50">
            <v>0</v>
          </cell>
          <cell r="AA50">
            <v>6630</v>
          </cell>
          <cell r="AC50">
            <v>0.75</v>
          </cell>
        </row>
        <row r="51">
          <cell r="A51" t="str">
            <v>MOKE463</v>
          </cell>
          <cell r="B51" t="str">
            <v>MOKE</v>
          </cell>
          <cell r="C51">
            <v>46</v>
          </cell>
          <cell r="D51">
            <v>3</v>
          </cell>
          <cell r="E51" t="str">
            <v>Mokelumne River</v>
          </cell>
          <cell r="F51" t="str">
            <v>Fall</v>
          </cell>
          <cell r="G51">
            <v>0</v>
          </cell>
          <cell r="H51">
            <v>14</v>
          </cell>
          <cell r="I51">
            <v>0</v>
          </cell>
          <cell r="J51">
            <v>0</v>
          </cell>
          <cell r="K51">
            <v>0</v>
          </cell>
          <cell r="L51">
            <v>0</v>
          </cell>
          <cell r="M51">
            <v>0</v>
          </cell>
          <cell r="N51">
            <v>0</v>
          </cell>
          <cell r="O51">
            <v>102</v>
          </cell>
          <cell r="P51">
            <v>0</v>
          </cell>
          <cell r="Q51">
            <v>0</v>
          </cell>
          <cell r="R51">
            <v>152</v>
          </cell>
          <cell r="S51">
            <v>0</v>
          </cell>
          <cell r="T51">
            <v>917</v>
          </cell>
          <cell r="U51">
            <v>13</v>
          </cell>
          <cell r="V51">
            <v>0</v>
          </cell>
          <cell r="W51">
            <v>56</v>
          </cell>
          <cell r="X51">
            <v>0</v>
          </cell>
          <cell r="AA51">
            <v>1281</v>
          </cell>
          <cell r="AC51">
            <v>0.97799999999999998</v>
          </cell>
        </row>
        <row r="52">
          <cell r="A52" t="str">
            <v>USAC467</v>
          </cell>
          <cell r="B52" t="str">
            <v>USAC</v>
          </cell>
          <cell r="C52">
            <v>46</v>
          </cell>
          <cell r="D52">
            <v>7</v>
          </cell>
          <cell r="E52" t="str">
            <v xml:space="preserve">Upper Sacramento River </v>
          </cell>
          <cell r="G52">
            <v>0</v>
          </cell>
          <cell r="H52">
            <v>93</v>
          </cell>
          <cell r="I52">
            <v>0</v>
          </cell>
          <cell r="J52">
            <v>0</v>
          </cell>
          <cell r="K52">
            <v>0</v>
          </cell>
          <cell r="L52">
            <v>0</v>
          </cell>
          <cell r="M52">
            <v>0</v>
          </cell>
          <cell r="N52">
            <v>0</v>
          </cell>
          <cell r="O52">
            <v>36</v>
          </cell>
          <cell r="P52">
            <v>0</v>
          </cell>
          <cell r="Q52">
            <v>0</v>
          </cell>
          <cell r="R52">
            <v>0</v>
          </cell>
          <cell r="S52">
            <v>0</v>
          </cell>
          <cell r="T52">
            <v>0</v>
          </cell>
          <cell r="U52">
            <v>0</v>
          </cell>
          <cell r="V52">
            <v>0</v>
          </cell>
          <cell r="W52">
            <v>0</v>
          </cell>
          <cell r="X52">
            <v>0</v>
          </cell>
          <cell r="AA52">
            <v>252</v>
          </cell>
          <cell r="AC52">
            <v>0.51200000000000001</v>
          </cell>
        </row>
        <row r="53">
          <cell r="H53">
            <v>276</v>
          </cell>
          <cell r="I53">
            <v>3256</v>
          </cell>
          <cell r="J53">
            <v>850</v>
          </cell>
          <cell r="K53">
            <v>152</v>
          </cell>
          <cell r="L53">
            <v>434</v>
          </cell>
          <cell r="M53">
            <v>0</v>
          </cell>
          <cell r="N53">
            <v>407</v>
          </cell>
          <cell r="O53">
            <v>5896</v>
          </cell>
          <cell r="P53">
            <v>258</v>
          </cell>
          <cell r="Q53">
            <v>796</v>
          </cell>
          <cell r="R53">
            <v>3132</v>
          </cell>
          <cell r="S53">
            <v>0</v>
          </cell>
          <cell r="T53">
            <v>2971</v>
          </cell>
          <cell r="U53">
            <v>95</v>
          </cell>
          <cell r="V53">
            <v>0</v>
          </cell>
          <cell r="W53">
            <v>382</v>
          </cell>
          <cell r="X53">
            <v>0</v>
          </cell>
          <cell r="AA53">
            <v>24362</v>
          </cell>
          <cell r="AC53">
            <v>0.77592151711682122</v>
          </cell>
        </row>
      </sheetData>
      <sheetData sheetId="2" refreshError="1"/>
      <sheetData sheetId="3">
        <row r="2">
          <cell r="G2" t="str">
            <v>sacw</v>
          </cell>
          <cell r="H2" t="str">
            <v>cfhlh</v>
          </cell>
          <cell r="I2" t="str">
            <v>cfhfh</v>
          </cell>
          <cell r="J2" t="str">
            <v>cfhfn</v>
          </cell>
          <cell r="K2" t="str">
            <v>frhs</v>
          </cell>
          <cell r="L2" t="str">
            <v>frhsn</v>
          </cell>
          <cell r="M2" t="str">
            <v>frhfe</v>
          </cell>
          <cell r="N2" t="str">
            <v>frhfn</v>
          </cell>
          <cell r="O2" t="str">
            <v>frhfnc</v>
          </cell>
          <cell r="P2" t="str">
            <v>frhftn</v>
          </cell>
          <cell r="Q2" t="str">
            <v>nimf</v>
          </cell>
          <cell r="R2" t="str">
            <v>nimfn</v>
          </cell>
          <cell r="S2" t="str">
            <v>mokf</v>
          </cell>
          <cell r="T2" t="str">
            <v>mokfn</v>
          </cell>
          <cell r="U2" t="str">
            <v>mokft</v>
          </cell>
          <cell r="V2" t="str">
            <v>merf</v>
          </cell>
          <cell r="W2" t="str">
            <v>merft</v>
          </cell>
          <cell r="X2" t="str">
            <v>noncv</v>
          </cell>
        </row>
        <row r="3">
          <cell r="G3">
            <v>0</v>
          </cell>
          <cell r="H3">
            <v>0</v>
          </cell>
          <cell r="I3">
            <v>9500</v>
          </cell>
          <cell r="J3">
            <v>483</v>
          </cell>
          <cell r="K3">
            <v>0</v>
          </cell>
          <cell r="L3">
            <v>2</v>
          </cell>
          <cell r="M3">
            <v>0</v>
          </cell>
          <cell r="N3">
            <v>1489</v>
          </cell>
          <cell r="O3">
            <v>105</v>
          </cell>
          <cell r="P3">
            <v>88</v>
          </cell>
          <cell r="Q3">
            <v>8</v>
          </cell>
          <cell r="R3">
            <v>4</v>
          </cell>
          <cell r="S3">
            <v>0</v>
          </cell>
          <cell r="T3">
            <v>12</v>
          </cell>
          <cell r="U3">
            <v>1</v>
          </cell>
          <cell r="V3">
            <v>0</v>
          </cell>
          <cell r="W3">
            <v>19</v>
          </cell>
          <cell r="X3">
            <v>0</v>
          </cell>
          <cell r="Y3">
            <v>11711</v>
          </cell>
          <cell r="Z3">
            <v>4013</v>
          </cell>
          <cell r="AA3">
            <v>15724</v>
          </cell>
          <cell r="AB3">
            <v>0.745</v>
          </cell>
          <cell r="AC3" t="str">
            <v>CNFH503</v>
          </cell>
        </row>
        <row r="4">
          <cell r="G4">
            <v>0</v>
          </cell>
          <cell r="H4">
            <v>2348</v>
          </cell>
          <cell r="I4">
            <v>0</v>
          </cell>
          <cell r="J4">
            <v>0</v>
          </cell>
          <cell r="K4">
            <v>0</v>
          </cell>
          <cell r="L4">
            <v>0</v>
          </cell>
          <cell r="M4">
            <v>0</v>
          </cell>
          <cell r="N4">
            <v>0</v>
          </cell>
          <cell r="O4">
            <v>0</v>
          </cell>
          <cell r="P4">
            <v>0</v>
          </cell>
          <cell r="Q4">
            <v>0</v>
          </cell>
          <cell r="R4">
            <v>0</v>
          </cell>
          <cell r="S4">
            <v>0</v>
          </cell>
          <cell r="T4">
            <v>0</v>
          </cell>
          <cell r="U4">
            <v>0</v>
          </cell>
          <cell r="V4">
            <v>0</v>
          </cell>
          <cell r="W4">
            <v>0</v>
          </cell>
          <cell r="X4">
            <v>0</v>
          </cell>
          <cell r="Y4">
            <v>2348</v>
          </cell>
          <cell r="Z4">
            <v>0</v>
          </cell>
          <cell r="AA4">
            <v>2348</v>
          </cell>
          <cell r="AB4">
            <v>1</v>
          </cell>
          <cell r="AC4" t="str">
            <v>CNFH507</v>
          </cell>
        </row>
        <row r="5">
          <cell r="G5">
            <v>136</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136</v>
          </cell>
          <cell r="Z5">
            <v>121</v>
          </cell>
          <cell r="AA5">
            <v>257</v>
          </cell>
          <cell r="AB5">
            <v>0.52900000000000003</v>
          </cell>
          <cell r="AC5" t="str">
            <v>KESW504</v>
          </cell>
        </row>
        <row r="6">
          <cell r="G6">
            <v>0</v>
          </cell>
          <cell r="H6">
            <v>4</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4</v>
          </cell>
          <cell r="Z6">
            <v>61</v>
          </cell>
          <cell r="AA6">
            <v>65</v>
          </cell>
          <cell r="AB6">
            <v>6.2E-2</v>
          </cell>
          <cell r="AC6" t="str">
            <v>KESW507</v>
          </cell>
        </row>
        <row r="7">
          <cell r="G7">
            <v>0</v>
          </cell>
          <cell r="H7">
            <v>0</v>
          </cell>
          <cell r="I7">
            <v>0</v>
          </cell>
          <cell r="J7">
            <v>0</v>
          </cell>
          <cell r="K7">
            <v>2023</v>
          </cell>
          <cell r="L7">
            <v>1256</v>
          </cell>
          <cell r="M7">
            <v>0</v>
          </cell>
          <cell r="N7">
            <v>24</v>
          </cell>
          <cell r="O7">
            <v>0</v>
          </cell>
          <cell r="P7">
            <v>4</v>
          </cell>
          <cell r="Q7">
            <v>0</v>
          </cell>
          <cell r="R7">
            <v>0</v>
          </cell>
          <cell r="S7">
            <v>0</v>
          </cell>
          <cell r="T7">
            <v>0</v>
          </cell>
          <cell r="U7">
            <v>0</v>
          </cell>
          <cell r="V7">
            <v>0</v>
          </cell>
          <cell r="W7">
            <v>0</v>
          </cell>
          <cell r="X7">
            <v>0</v>
          </cell>
          <cell r="Y7">
            <v>3307</v>
          </cell>
          <cell r="Z7">
            <v>79</v>
          </cell>
          <cell r="AA7">
            <v>3386</v>
          </cell>
          <cell r="AB7">
            <v>0.97699999999999998</v>
          </cell>
          <cell r="AC7" t="str">
            <v>FRFH501</v>
          </cell>
        </row>
        <row r="8">
          <cell r="G8">
            <v>0</v>
          </cell>
          <cell r="H8">
            <v>0</v>
          </cell>
          <cell r="I8">
            <v>20</v>
          </cell>
          <cell r="J8">
            <v>462</v>
          </cell>
          <cell r="K8">
            <v>2080</v>
          </cell>
          <cell r="L8">
            <v>1992</v>
          </cell>
          <cell r="M8">
            <v>18</v>
          </cell>
          <cell r="N8">
            <v>12043</v>
          </cell>
          <cell r="O8">
            <v>794</v>
          </cell>
          <cell r="P8">
            <v>863</v>
          </cell>
          <cell r="Q8">
            <v>51</v>
          </cell>
          <cell r="R8">
            <v>172</v>
          </cell>
          <cell r="S8">
            <v>1</v>
          </cell>
          <cell r="T8">
            <v>139</v>
          </cell>
          <cell r="U8">
            <v>11</v>
          </cell>
          <cell r="V8">
            <v>0</v>
          </cell>
          <cell r="W8">
            <v>153</v>
          </cell>
          <cell r="X8">
            <v>0</v>
          </cell>
          <cell r="Y8">
            <v>18799</v>
          </cell>
          <cell r="Z8">
            <v>2017</v>
          </cell>
          <cell r="AA8">
            <v>20816</v>
          </cell>
          <cell r="AB8">
            <v>0.90300000000000002</v>
          </cell>
          <cell r="AC8" t="str">
            <v>FRFH503</v>
          </cell>
        </row>
        <row r="9">
          <cell r="G9">
            <v>0</v>
          </cell>
          <cell r="H9">
            <v>1</v>
          </cell>
          <cell r="I9">
            <v>0</v>
          </cell>
          <cell r="J9">
            <v>217</v>
          </cell>
          <cell r="K9">
            <v>0</v>
          </cell>
          <cell r="L9">
            <v>0</v>
          </cell>
          <cell r="M9">
            <v>0</v>
          </cell>
          <cell r="N9">
            <v>251</v>
          </cell>
          <cell r="O9">
            <v>25</v>
          </cell>
          <cell r="P9">
            <v>4</v>
          </cell>
          <cell r="Q9">
            <v>2324</v>
          </cell>
          <cell r="R9">
            <v>2392</v>
          </cell>
          <cell r="S9">
            <v>9</v>
          </cell>
          <cell r="T9">
            <v>2378</v>
          </cell>
          <cell r="U9">
            <v>183</v>
          </cell>
          <cell r="V9">
            <v>0</v>
          </cell>
          <cell r="W9">
            <v>339</v>
          </cell>
          <cell r="X9">
            <v>5</v>
          </cell>
          <cell r="Y9">
            <v>8129</v>
          </cell>
          <cell r="Z9">
            <v>1693</v>
          </cell>
          <cell r="AA9">
            <v>9822</v>
          </cell>
          <cell r="AB9">
            <v>0.82799999999999996</v>
          </cell>
          <cell r="AC9" t="str">
            <v>NBFH503</v>
          </cell>
        </row>
        <row r="10">
          <cell r="G10">
            <v>0</v>
          </cell>
          <cell r="H10">
            <v>1</v>
          </cell>
          <cell r="I10">
            <v>0</v>
          </cell>
          <cell r="J10">
            <v>265</v>
          </cell>
          <cell r="K10">
            <v>0</v>
          </cell>
          <cell r="L10">
            <v>2</v>
          </cell>
          <cell r="M10">
            <v>0</v>
          </cell>
          <cell r="N10">
            <v>282</v>
          </cell>
          <cell r="O10">
            <v>31</v>
          </cell>
          <cell r="P10">
            <v>5</v>
          </cell>
          <cell r="Q10">
            <v>0</v>
          </cell>
          <cell r="R10">
            <v>833</v>
          </cell>
          <cell r="S10">
            <v>107</v>
          </cell>
          <cell r="T10">
            <v>5757</v>
          </cell>
          <cell r="U10">
            <v>212</v>
          </cell>
          <cell r="V10">
            <v>0</v>
          </cell>
          <cell r="W10">
            <v>456</v>
          </cell>
          <cell r="X10">
            <v>0</v>
          </cell>
          <cell r="Y10">
            <v>7951</v>
          </cell>
          <cell r="Z10">
            <v>347</v>
          </cell>
          <cell r="AA10">
            <v>8298</v>
          </cell>
          <cell r="AB10">
            <v>0.95799999999999996</v>
          </cell>
          <cell r="AC10" t="str">
            <v>MRFI503</v>
          </cell>
        </row>
        <row r="11">
          <cell r="G11">
            <v>0</v>
          </cell>
          <cell r="H11">
            <v>0</v>
          </cell>
          <cell r="I11">
            <v>0</v>
          </cell>
          <cell r="J11">
            <v>43</v>
          </cell>
          <cell r="K11">
            <v>0</v>
          </cell>
          <cell r="L11">
            <v>0</v>
          </cell>
          <cell r="M11">
            <v>0</v>
          </cell>
          <cell r="N11">
            <v>69</v>
          </cell>
          <cell r="O11">
            <v>6</v>
          </cell>
          <cell r="P11">
            <v>0</v>
          </cell>
          <cell r="Q11">
            <v>0</v>
          </cell>
          <cell r="R11">
            <v>34</v>
          </cell>
          <cell r="S11">
            <v>0</v>
          </cell>
          <cell r="T11">
            <v>741</v>
          </cell>
          <cell r="U11">
            <v>24</v>
          </cell>
          <cell r="V11">
            <v>0</v>
          </cell>
          <cell r="W11">
            <v>142</v>
          </cell>
          <cell r="X11">
            <v>0</v>
          </cell>
          <cell r="Y11">
            <v>1058</v>
          </cell>
          <cell r="Z11">
            <v>140</v>
          </cell>
          <cell r="AA11">
            <v>1198</v>
          </cell>
          <cell r="AB11">
            <v>0.88300000000000001</v>
          </cell>
          <cell r="AC11" t="str">
            <v>MRFF503</v>
          </cell>
        </row>
        <row r="12">
          <cell r="G12">
            <v>0</v>
          </cell>
          <cell r="H12">
            <v>104</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104</v>
          </cell>
          <cell r="Z12">
            <v>0</v>
          </cell>
          <cell r="AA12">
            <v>104</v>
          </cell>
          <cell r="AB12">
            <v>1</v>
          </cell>
          <cell r="AC12" t="str">
            <v>CNFW527</v>
          </cell>
        </row>
        <row r="13">
          <cell r="G13">
            <v>0</v>
          </cell>
          <cell r="H13">
            <v>0</v>
          </cell>
          <cell r="I13">
            <v>2191</v>
          </cell>
          <cell r="J13">
            <v>111</v>
          </cell>
          <cell r="K13">
            <v>0</v>
          </cell>
          <cell r="L13">
            <v>0</v>
          </cell>
          <cell r="M13">
            <v>0</v>
          </cell>
          <cell r="N13">
            <v>343</v>
          </cell>
          <cell r="O13">
            <v>25</v>
          </cell>
          <cell r="P13">
            <v>21</v>
          </cell>
          <cell r="Q13">
            <v>2</v>
          </cell>
          <cell r="R13">
            <v>1</v>
          </cell>
          <cell r="S13">
            <v>0</v>
          </cell>
          <cell r="T13">
            <v>3</v>
          </cell>
          <cell r="U13">
            <v>0</v>
          </cell>
          <cell r="V13">
            <v>0</v>
          </cell>
          <cell r="W13">
            <v>4</v>
          </cell>
          <cell r="X13">
            <v>0</v>
          </cell>
          <cell r="Y13">
            <v>2701</v>
          </cell>
          <cell r="Z13">
            <v>930</v>
          </cell>
          <cell r="AA13">
            <v>3631</v>
          </cell>
          <cell r="AB13">
            <v>0.74399999999999999</v>
          </cell>
          <cell r="AC13" t="str">
            <v>BATT543</v>
          </cell>
        </row>
        <row r="14">
          <cell r="G14">
            <v>0</v>
          </cell>
          <cell r="H14">
            <v>0</v>
          </cell>
          <cell r="I14">
            <v>666</v>
          </cell>
          <cell r="J14">
            <v>368</v>
          </cell>
          <cell r="K14">
            <v>0</v>
          </cell>
          <cell r="L14">
            <v>85</v>
          </cell>
          <cell r="M14">
            <v>0</v>
          </cell>
          <cell r="N14">
            <v>4875</v>
          </cell>
          <cell r="O14">
            <v>259</v>
          </cell>
          <cell r="P14">
            <v>235</v>
          </cell>
          <cell r="Q14">
            <v>0</v>
          </cell>
          <cell r="R14">
            <v>0</v>
          </cell>
          <cell r="S14">
            <v>0</v>
          </cell>
          <cell r="T14">
            <v>0</v>
          </cell>
          <cell r="U14">
            <v>0</v>
          </cell>
          <cell r="V14">
            <v>0</v>
          </cell>
          <cell r="W14">
            <v>0</v>
          </cell>
          <cell r="X14">
            <v>0</v>
          </cell>
          <cell r="Y14">
            <v>6488</v>
          </cell>
          <cell r="Z14">
            <v>2321</v>
          </cell>
          <cell r="AA14">
            <v>8809</v>
          </cell>
          <cell r="AB14">
            <v>0.73699999999999999</v>
          </cell>
          <cell r="AC14" t="str">
            <v>CLR543</v>
          </cell>
        </row>
        <row r="15">
          <cell r="G15">
            <v>0</v>
          </cell>
          <cell r="H15">
            <v>0</v>
          </cell>
          <cell r="I15">
            <v>0</v>
          </cell>
          <cell r="J15">
            <v>73</v>
          </cell>
          <cell r="K15">
            <v>0</v>
          </cell>
          <cell r="L15">
            <v>0</v>
          </cell>
          <cell r="M15">
            <v>0</v>
          </cell>
          <cell r="N15">
            <v>0</v>
          </cell>
          <cell r="O15">
            <v>18</v>
          </cell>
          <cell r="P15">
            <v>0</v>
          </cell>
          <cell r="Q15">
            <v>0</v>
          </cell>
          <cell r="R15">
            <v>0</v>
          </cell>
          <cell r="S15">
            <v>0</v>
          </cell>
          <cell r="T15">
            <v>0</v>
          </cell>
          <cell r="U15">
            <v>0</v>
          </cell>
          <cell r="V15">
            <v>0</v>
          </cell>
          <cell r="W15">
            <v>0</v>
          </cell>
          <cell r="X15">
            <v>0</v>
          </cell>
          <cell r="Y15">
            <v>92</v>
          </cell>
          <cell r="Z15">
            <v>512</v>
          </cell>
          <cell r="AA15">
            <v>604</v>
          </cell>
          <cell r="AB15">
            <v>0.152</v>
          </cell>
          <cell r="AC15" t="str">
            <v>COT543</v>
          </cell>
        </row>
        <row r="16">
          <cell r="G16">
            <v>0</v>
          </cell>
          <cell r="H16">
            <v>0</v>
          </cell>
          <cell r="I16">
            <v>0</v>
          </cell>
          <cell r="J16">
            <v>86</v>
          </cell>
          <cell r="K16">
            <v>0</v>
          </cell>
          <cell r="L16">
            <v>0</v>
          </cell>
          <cell r="M16">
            <v>0</v>
          </cell>
          <cell r="N16">
            <v>472</v>
          </cell>
          <cell r="O16">
            <v>11</v>
          </cell>
          <cell r="P16">
            <v>0</v>
          </cell>
          <cell r="Q16">
            <v>0</v>
          </cell>
          <cell r="R16">
            <v>0</v>
          </cell>
          <cell r="S16">
            <v>0</v>
          </cell>
          <cell r="T16">
            <v>43</v>
          </cell>
          <cell r="U16">
            <v>0</v>
          </cell>
          <cell r="V16">
            <v>0</v>
          </cell>
          <cell r="W16">
            <v>0</v>
          </cell>
          <cell r="X16">
            <v>0</v>
          </cell>
          <cell r="Y16">
            <v>612</v>
          </cell>
          <cell r="Z16">
            <v>0</v>
          </cell>
          <cell r="AA16">
            <v>612</v>
          </cell>
          <cell r="AB16">
            <v>1</v>
          </cell>
          <cell r="AC16" t="str">
            <v>DEE543</v>
          </cell>
        </row>
        <row r="17">
          <cell r="G17">
            <v>0</v>
          </cell>
          <cell r="H17">
            <v>0</v>
          </cell>
          <cell r="I17">
            <v>63</v>
          </cell>
          <cell r="J17">
            <v>63</v>
          </cell>
          <cell r="K17">
            <v>0</v>
          </cell>
          <cell r="L17">
            <v>0</v>
          </cell>
          <cell r="M17">
            <v>0</v>
          </cell>
          <cell r="N17">
            <v>314</v>
          </cell>
          <cell r="O17">
            <v>16</v>
          </cell>
          <cell r="P17">
            <v>0</v>
          </cell>
          <cell r="Q17">
            <v>0</v>
          </cell>
          <cell r="R17">
            <v>0</v>
          </cell>
          <cell r="S17">
            <v>0</v>
          </cell>
          <cell r="T17">
            <v>0</v>
          </cell>
          <cell r="U17">
            <v>0</v>
          </cell>
          <cell r="V17">
            <v>0</v>
          </cell>
          <cell r="W17">
            <v>0</v>
          </cell>
          <cell r="X17">
            <v>0</v>
          </cell>
          <cell r="Y17">
            <v>455</v>
          </cell>
          <cell r="Z17">
            <v>578</v>
          </cell>
          <cell r="AA17">
            <v>1033</v>
          </cell>
          <cell r="AB17">
            <v>0.44</v>
          </cell>
          <cell r="AC17" t="str">
            <v>MLC543</v>
          </cell>
        </row>
        <row r="18">
          <cell r="G18">
            <v>0</v>
          </cell>
          <cell r="H18">
            <v>0</v>
          </cell>
          <cell r="I18">
            <v>2382</v>
          </cell>
          <cell r="J18">
            <v>453</v>
          </cell>
          <cell r="K18">
            <v>0</v>
          </cell>
          <cell r="L18">
            <v>392</v>
          </cell>
          <cell r="M18">
            <v>0</v>
          </cell>
          <cell r="N18">
            <v>14784</v>
          </cell>
          <cell r="O18">
            <v>760</v>
          </cell>
          <cell r="P18">
            <v>602</v>
          </cell>
          <cell r="Q18">
            <v>0</v>
          </cell>
          <cell r="R18">
            <v>0</v>
          </cell>
          <cell r="S18">
            <v>0</v>
          </cell>
          <cell r="T18">
            <v>0</v>
          </cell>
          <cell r="U18">
            <v>0</v>
          </cell>
          <cell r="V18">
            <v>0</v>
          </cell>
          <cell r="W18">
            <v>0</v>
          </cell>
          <cell r="X18">
            <v>0</v>
          </cell>
          <cell r="Y18">
            <v>19373</v>
          </cell>
          <cell r="Z18">
            <v>9295</v>
          </cell>
          <cell r="AA18">
            <v>28668</v>
          </cell>
          <cell r="AB18">
            <v>0.67600000000000005</v>
          </cell>
          <cell r="AC18" t="str">
            <v>USAC543</v>
          </cell>
        </row>
        <row r="19">
          <cell r="G19">
            <v>558</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558</v>
          </cell>
          <cell r="Z19">
            <v>2624</v>
          </cell>
          <cell r="AA19">
            <v>3182</v>
          </cell>
          <cell r="AB19">
            <v>0.17499999999999999</v>
          </cell>
          <cell r="AC19" t="str">
            <v>USAC544</v>
          </cell>
        </row>
        <row r="20">
          <cell r="G20">
            <v>0</v>
          </cell>
          <cell r="H20">
            <v>186</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65</v>
          </cell>
          <cell r="X20">
            <v>0</v>
          </cell>
          <cell r="Y20">
            <v>251</v>
          </cell>
          <cell r="Z20">
            <v>2834</v>
          </cell>
          <cell r="AA20">
            <v>3085</v>
          </cell>
          <cell r="AB20">
            <v>8.1000000000000003E-2</v>
          </cell>
          <cell r="AC20" t="str">
            <v>USAC547</v>
          </cell>
        </row>
        <row r="21">
          <cell r="G21">
            <v>0</v>
          </cell>
          <cell r="H21">
            <v>0</v>
          </cell>
          <cell r="I21">
            <v>24</v>
          </cell>
          <cell r="J21">
            <v>453</v>
          </cell>
          <cell r="K21">
            <v>1599</v>
          </cell>
          <cell r="L21">
            <v>1603</v>
          </cell>
          <cell r="M21">
            <v>0</v>
          </cell>
          <cell r="N21">
            <v>11762</v>
          </cell>
          <cell r="O21">
            <v>527</v>
          </cell>
          <cell r="P21">
            <v>523</v>
          </cell>
          <cell r="Q21">
            <v>131</v>
          </cell>
          <cell r="R21">
            <v>71</v>
          </cell>
          <cell r="S21">
            <v>0</v>
          </cell>
          <cell r="T21">
            <v>119</v>
          </cell>
          <cell r="U21">
            <v>6</v>
          </cell>
          <cell r="V21">
            <v>0</v>
          </cell>
          <cell r="W21">
            <v>137</v>
          </cell>
          <cell r="X21">
            <v>24</v>
          </cell>
          <cell r="Y21">
            <v>16979</v>
          </cell>
          <cell r="Z21">
            <v>3587</v>
          </cell>
          <cell r="AA21">
            <v>20566</v>
          </cell>
          <cell r="AB21">
            <v>0.82599999999999996</v>
          </cell>
          <cell r="AC21" t="str">
            <v>FEA543</v>
          </cell>
        </row>
        <row r="22">
          <cell r="G22">
            <v>0</v>
          </cell>
          <cell r="H22">
            <v>0</v>
          </cell>
          <cell r="I22">
            <v>0</v>
          </cell>
          <cell r="J22">
            <v>945</v>
          </cell>
          <cell r="K22">
            <v>0</v>
          </cell>
          <cell r="L22">
            <v>34</v>
          </cell>
          <cell r="M22">
            <v>0</v>
          </cell>
          <cell r="N22">
            <v>544</v>
          </cell>
          <cell r="O22">
            <v>103</v>
          </cell>
          <cell r="P22">
            <v>68</v>
          </cell>
          <cell r="Q22">
            <v>439</v>
          </cell>
          <cell r="R22">
            <v>135</v>
          </cell>
          <cell r="S22">
            <v>0</v>
          </cell>
          <cell r="T22">
            <v>575</v>
          </cell>
          <cell r="U22">
            <v>136</v>
          </cell>
          <cell r="V22">
            <v>0</v>
          </cell>
          <cell r="W22">
            <v>0</v>
          </cell>
          <cell r="X22">
            <v>0</v>
          </cell>
          <cell r="Y22">
            <v>2978</v>
          </cell>
          <cell r="Z22">
            <v>2003</v>
          </cell>
          <cell r="AA22">
            <v>4981</v>
          </cell>
          <cell r="AB22">
            <v>0.59799999999999998</v>
          </cell>
          <cell r="AC22" t="str">
            <v>YUBA543</v>
          </cell>
        </row>
        <row r="23">
          <cell r="G23">
            <v>0</v>
          </cell>
          <cell r="H23">
            <v>0</v>
          </cell>
          <cell r="I23">
            <v>0</v>
          </cell>
          <cell r="J23">
            <v>295</v>
          </cell>
          <cell r="K23">
            <v>0</v>
          </cell>
          <cell r="L23">
            <v>0</v>
          </cell>
          <cell r="M23">
            <v>0</v>
          </cell>
          <cell r="N23">
            <v>380</v>
          </cell>
          <cell r="O23">
            <v>32</v>
          </cell>
          <cell r="P23">
            <v>11</v>
          </cell>
          <cell r="Q23">
            <v>0</v>
          </cell>
          <cell r="R23">
            <v>84</v>
          </cell>
          <cell r="S23">
            <v>0</v>
          </cell>
          <cell r="T23">
            <v>253</v>
          </cell>
          <cell r="U23">
            <v>21</v>
          </cell>
          <cell r="V23">
            <v>0</v>
          </cell>
          <cell r="W23">
            <v>93</v>
          </cell>
          <cell r="X23">
            <v>0</v>
          </cell>
          <cell r="Y23">
            <v>1168</v>
          </cell>
          <cell r="Z23">
            <v>1401</v>
          </cell>
          <cell r="AA23">
            <v>2569</v>
          </cell>
          <cell r="AB23">
            <v>0.45500000000000002</v>
          </cell>
          <cell r="AC23" t="str">
            <v>YUBB543</v>
          </cell>
        </row>
        <row r="24">
          <cell r="G24">
            <v>0</v>
          </cell>
          <cell r="H24">
            <v>2</v>
          </cell>
          <cell r="I24">
            <v>0</v>
          </cell>
          <cell r="J24">
            <v>215</v>
          </cell>
          <cell r="K24">
            <v>0</v>
          </cell>
          <cell r="L24">
            <v>0</v>
          </cell>
          <cell r="M24">
            <v>0</v>
          </cell>
          <cell r="N24">
            <v>179</v>
          </cell>
          <cell r="O24">
            <v>9</v>
          </cell>
          <cell r="P24">
            <v>4</v>
          </cell>
          <cell r="Q24">
            <v>3209</v>
          </cell>
          <cell r="R24">
            <v>2926</v>
          </cell>
          <cell r="S24">
            <v>5</v>
          </cell>
          <cell r="T24">
            <v>2049</v>
          </cell>
          <cell r="U24">
            <v>162</v>
          </cell>
          <cell r="V24">
            <v>0</v>
          </cell>
          <cell r="W24">
            <v>176</v>
          </cell>
          <cell r="X24">
            <v>3</v>
          </cell>
          <cell r="Y24">
            <v>8939</v>
          </cell>
          <cell r="Z24">
            <v>4854</v>
          </cell>
          <cell r="AA24">
            <v>13793</v>
          </cell>
          <cell r="AB24">
            <v>0.64800000000000002</v>
          </cell>
          <cell r="AC24" t="str">
            <v>LARC543</v>
          </cell>
        </row>
        <row r="25">
          <cell r="G25">
            <v>0</v>
          </cell>
          <cell r="H25">
            <v>0</v>
          </cell>
          <cell r="I25">
            <v>0</v>
          </cell>
          <cell r="J25">
            <v>104</v>
          </cell>
          <cell r="K25">
            <v>4</v>
          </cell>
          <cell r="L25">
            <v>25</v>
          </cell>
          <cell r="M25">
            <v>0</v>
          </cell>
          <cell r="N25">
            <v>50</v>
          </cell>
          <cell r="O25">
            <v>6</v>
          </cell>
          <cell r="P25">
            <v>7</v>
          </cell>
          <cell r="Q25">
            <v>13</v>
          </cell>
          <cell r="R25">
            <v>449</v>
          </cell>
          <cell r="S25">
            <v>1</v>
          </cell>
          <cell r="T25">
            <v>147</v>
          </cell>
          <cell r="U25">
            <v>16</v>
          </cell>
          <cell r="V25">
            <v>0</v>
          </cell>
          <cell r="W25">
            <v>14</v>
          </cell>
          <cell r="X25">
            <v>0</v>
          </cell>
          <cell r="Y25">
            <v>838</v>
          </cell>
          <cell r="Z25">
            <v>1108</v>
          </cell>
          <cell r="AA25">
            <v>1946</v>
          </cell>
          <cell r="AB25">
            <v>0.43099999999999999</v>
          </cell>
          <cell r="AC25" t="str">
            <v>NIMW593</v>
          </cell>
        </row>
        <row r="26">
          <cell r="G26">
            <v>0</v>
          </cell>
          <cell r="H26">
            <v>0</v>
          </cell>
          <cell r="I26">
            <v>0</v>
          </cell>
          <cell r="J26">
            <v>103</v>
          </cell>
          <cell r="K26">
            <v>0</v>
          </cell>
          <cell r="L26">
            <v>0</v>
          </cell>
          <cell r="M26">
            <v>0</v>
          </cell>
          <cell r="N26">
            <v>77</v>
          </cell>
          <cell r="O26">
            <v>6</v>
          </cell>
          <cell r="P26">
            <v>0</v>
          </cell>
          <cell r="Q26">
            <v>0</v>
          </cell>
          <cell r="R26">
            <v>460</v>
          </cell>
          <cell r="S26">
            <v>50</v>
          </cell>
          <cell r="T26">
            <v>3102</v>
          </cell>
          <cell r="U26">
            <v>284</v>
          </cell>
          <cell r="V26">
            <v>0</v>
          </cell>
          <cell r="W26">
            <v>247</v>
          </cell>
          <cell r="X26">
            <v>0</v>
          </cell>
          <cell r="Y26">
            <v>4329</v>
          </cell>
          <cell r="Z26">
            <v>252</v>
          </cell>
          <cell r="AA26">
            <v>4581</v>
          </cell>
          <cell r="AB26">
            <v>0.94499999999999995</v>
          </cell>
          <cell r="AC26" t="str">
            <v>MOKE543</v>
          </cell>
        </row>
        <row r="27">
          <cell r="G27">
            <v>0</v>
          </cell>
          <cell r="H27">
            <v>0</v>
          </cell>
          <cell r="I27">
            <v>0</v>
          </cell>
          <cell r="J27">
            <v>184</v>
          </cell>
          <cell r="K27">
            <v>0</v>
          </cell>
          <cell r="L27">
            <v>0</v>
          </cell>
          <cell r="M27">
            <v>0</v>
          </cell>
          <cell r="N27">
            <v>106</v>
          </cell>
          <cell r="O27">
            <v>20</v>
          </cell>
          <cell r="P27">
            <v>0</v>
          </cell>
          <cell r="Q27">
            <v>0</v>
          </cell>
          <cell r="R27">
            <v>53</v>
          </cell>
          <cell r="S27">
            <v>0</v>
          </cell>
          <cell r="T27">
            <v>4057</v>
          </cell>
          <cell r="U27">
            <v>198</v>
          </cell>
          <cell r="V27">
            <v>0</v>
          </cell>
          <cell r="W27">
            <v>180</v>
          </cell>
          <cell r="X27">
            <v>0</v>
          </cell>
          <cell r="Y27">
            <v>4798</v>
          </cell>
          <cell r="Z27">
            <v>1338</v>
          </cell>
          <cell r="AA27">
            <v>6136</v>
          </cell>
          <cell r="AB27">
            <v>0.78200000000000003</v>
          </cell>
          <cell r="AC27" t="str">
            <v>STA543</v>
          </cell>
        </row>
        <row r="28">
          <cell r="G28">
            <v>0</v>
          </cell>
          <cell r="H28">
            <v>0</v>
          </cell>
          <cell r="I28">
            <v>0</v>
          </cell>
          <cell r="J28">
            <v>0</v>
          </cell>
          <cell r="K28">
            <v>0</v>
          </cell>
          <cell r="L28">
            <v>0</v>
          </cell>
          <cell r="M28">
            <v>0</v>
          </cell>
          <cell r="N28">
            <v>0</v>
          </cell>
          <cell r="O28">
            <v>0</v>
          </cell>
          <cell r="P28">
            <v>0</v>
          </cell>
          <cell r="Q28">
            <v>0</v>
          </cell>
          <cell r="R28">
            <v>10</v>
          </cell>
          <cell r="S28">
            <v>0</v>
          </cell>
          <cell r="T28">
            <v>53</v>
          </cell>
          <cell r="U28">
            <v>0</v>
          </cell>
          <cell r="V28">
            <v>0</v>
          </cell>
          <cell r="W28">
            <v>11</v>
          </cell>
          <cell r="X28">
            <v>0</v>
          </cell>
          <cell r="Y28">
            <v>74</v>
          </cell>
          <cell r="Z28">
            <v>39</v>
          </cell>
          <cell r="AA28">
            <v>113</v>
          </cell>
          <cell r="AB28">
            <v>0.65500000000000003</v>
          </cell>
          <cell r="AC28" t="str">
            <v>TUO543</v>
          </cell>
        </row>
        <row r="29">
          <cell r="G29">
            <v>0</v>
          </cell>
          <cell r="H29">
            <v>0</v>
          </cell>
          <cell r="I29">
            <v>0</v>
          </cell>
          <cell r="J29">
            <v>15</v>
          </cell>
          <cell r="K29">
            <v>0</v>
          </cell>
          <cell r="L29">
            <v>0</v>
          </cell>
          <cell r="M29">
            <v>0</v>
          </cell>
          <cell r="N29">
            <v>46</v>
          </cell>
          <cell r="O29">
            <v>4</v>
          </cell>
          <cell r="P29">
            <v>0</v>
          </cell>
          <cell r="Q29">
            <v>0</v>
          </cell>
          <cell r="R29">
            <v>15</v>
          </cell>
          <cell r="S29">
            <v>0</v>
          </cell>
          <cell r="T29">
            <v>774</v>
          </cell>
          <cell r="U29">
            <v>50</v>
          </cell>
          <cell r="V29">
            <v>4</v>
          </cell>
          <cell r="W29">
            <v>107</v>
          </cell>
          <cell r="X29">
            <v>0</v>
          </cell>
          <cell r="Y29">
            <v>1014</v>
          </cell>
          <cell r="Z29">
            <v>233</v>
          </cell>
          <cell r="AA29">
            <v>1247</v>
          </cell>
          <cell r="AB29">
            <v>0.81299999999999994</v>
          </cell>
          <cell r="AC29" t="str">
            <v>MER543</v>
          </cell>
        </row>
        <row r="30">
          <cell r="G30">
            <v>0</v>
          </cell>
          <cell r="H30">
            <v>169</v>
          </cell>
          <cell r="I30">
            <v>0</v>
          </cell>
          <cell r="J30">
            <v>545</v>
          </cell>
          <cell r="K30">
            <v>0</v>
          </cell>
          <cell r="L30">
            <v>0</v>
          </cell>
          <cell r="M30">
            <v>0</v>
          </cell>
          <cell r="N30">
            <v>1753</v>
          </cell>
          <cell r="O30">
            <v>165</v>
          </cell>
          <cell r="P30">
            <v>82</v>
          </cell>
          <cell r="Q30">
            <v>0</v>
          </cell>
          <cell r="R30">
            <v>1308</v>
          </cell>
          <cell r="S30">
            <v>0</v>
          </cell>
          <cell r="T30">
            <v>547</v>
          </cell>
          <cell r="U30">
            <v>82</v>
          </cell>
          <cell r="V30">
            <v>0</v>
          </cell>
          <cell r="W30">
            <v>130</v>
          </cell>
          <cell r="X30">
            <v>0</v>
          </cell>
          <cell r="Y30">
            <v>4781</v>
          </cell>
          <cell r="Z30">
            <v>1424</v>
          </cell>
          <cell r="AA30">
            <v>6205</v>
          </cell>
          <cell r="AB30">
            <v>0.77100000000000002</v>
          </cell>
          <cell r="AC30" t="str">
            <v>LSAC463</v>
          </cell>
        </row>
        <row r="31">
          <cell r="G31">
            <v>0</v>
          </cell>
          <cell r="H31">
            <v>0</v>
          </cell>
          <cell r="I31">
            <v>3256</v>
          </cell>
          <cell r="J31">
            <v>50</v>
          </cell>
          <cell r="K31">
            <v>0</v>
          </cell>
          <cell r="L31">
            <v>89</v>
          </cell>
          <cell r="M31">
            <v>0</v>
          </cell>
          <cell r="N31">
            <v>2263</v>
          </cell>
          <cell r="O31">
            <v>50</v>
          </cell>
          <cell r="P31">
            <v>152</v>
          </cell>
          <cell r="Q31">
            <v>0</v>
          </cell>
          <cell r="R31">
            <v>0</v>
          </cell>
          <cell r="S31">
            <v>0</v>
          </cell>
          <cell r="T31">
            <v>0</v>
          </cell>
          <cell r="U31">
            <v>0</v>
          </cell>
          <cell r="V31">
            <v>0</v>
          </cell>
          <cell r="W31">
            <v>0</v>
          </cell>
          <cell r="X31">
            <v>0</v>
          </cell>
          <cell r="Y31">
            <v>5860</v>
          </cell>
          <cell r="Z31">
            <v>2228</v>
          </cell>
          <cell r="AA31">
            <v>8088</v>
          </cell>
          <cell r="AB31">
            <v>0.72499999999999998</v>
          </cell>
          <cell r="AC31" t="str">
            <v>USAC463</v>
          </cell>
        </row>
        <row r="32">
          <cell r="G32">
            <v>0</v>
          </cell>
          <cell r="H32">
            <v>93</v>
          </cell>
          <cell r="I32">
            <v>0</v>
          </cell>
          <cell r="J32">
            <v>0</v>
          </cell>
          <cell r="K32">
            <v>0</v>
          </cell>
          <cell r="L32">
            <v>0</v>
          </cell>
          <cell r="M32">
            <v>0</v>
          </cell>
          <cell r="N32">
            <v>36</v>
          </cell>
          <cell r="O32">
            <v>0</v>
          </cell>
          <cell r="P32">
            <v>0</v>
          </cell>
          <cell r="Q32">
            <v>0</v>
          </cell>
          <cell r="R32">
            <v>0</v>
          </cell>
          <cell r="S32">
            <v>0</v>
          </cell>
          <cell r="T32">
            <v>0</v>
          </cell>
          <cell r="U32">
            <v>0</v>
          </cell>
          <cell r="V32">
            <v>0</v>
          </cell>
          <cell r="W32">
            <v>0</v>
          </cell>
          <cell r="X32">
            <v>0</v>
          </cell>
          <cell r="Y32">
            <v>129</v>
          </cell>
          <cell r="Z32">
            <v>123</v>
          </cell>
          <cell r="AA32">
            <v>252</v>
          </cell>
          <cell r="AB32">
            <v>0.51200000000000001</v>
          </cell>
          <cell r="AC32" t="str">
            <v>USAC467</v>
          </cell>
        </row>
        <row r="33">
          <cell r="G33">
            <v>0</v>
          </cell>
          <cell r="H33">
            <v>0</v>
          </cell>
          <cell r="I33">
            <v>0</v>
          </cell>
          <cell r="J33">
            <v>87</v>
          </cell>
          <cell r="K33">
            <v>67</v>
          </cell>
          <cell r="L33">
            <v>111</v>
          </cell>
          <cell r="M33">
            <v>0</v>
          </cell>
          <cell r="N33">
            <v>1405</v>
          </cell>
          <cell r="O33">
            <v>22</v>
          </cell>
          <cell r="P33">
            <v>110</v>
          </cell>
          <cell r="Q33">
            <v>0</v>
          </cell>
          <cell r="R33">
            <v>0</v>
          </cell>
          <cell r="S33">
            <v>0</v>
          </cell>
          <cell r="T33">
            <v>0</v>
          </cell>
          <cell r="U33">
            <v>0</v>
          </cell>
          <cell r="V33">
            <v>0</v>
          </cell>
          <cell r="W33">
            <v>104</v>
          </cell>
          <cell r="X33">
            <v>0</v>
          </cell>
          <cell r="Y33">
            <v>1906</v>
          </cell>
          <cell r="Z33">
            <v>0</v>
          </cell>
          <cell r="AA33">
            <v>1906</v>
          </cell>
          <cell r="AB33">
            <v>1</v>
          </cell>
          <cell r="AC33" t="str">
            <v>FEA463</v>
          </cell>
        </row>
        <row r="34">
          <cell r="G34">
            <v>0</v>
          </cell>
          <cell r="H34">
            <v>0</v>
          </cell>
          <cell r="I34">
            <v>0</v>
          </cell>
          <cell r="J34">
            <v>168</v>
          </cell>
          <cell r="K34">
            <v>85</v>
          </cell>
          <cell r="L34">
            <v>234</v>
          </cell>
          <cell r="M34">
            <v>0</v>
          </cell>
          <cell r="N34">
            <v>337</v>
          </cell>
          <cell r="O34">
            <v>21</v>
          </cell>
          <cell r="P34">
            <v>63</v>
          </cell>
          <cell r="Q34">
            <v>796</v>
          </cell>
          <cell r="R34">
            <v>1672</v>
          </cell>
          <cell r="S34">
            <v>0</v>
          </cell>
          <cell r="T34">
            <v>1507</v>
          </cell>
          <cell r="U34">
            <v>0</v>
          </cell>
          <cell r="V34">
            <v>0</v>
          </cell>
          <cell r="W34">
            <v>92</v>
          </cell>
          <cell r="X34">
            <v>0</v>
          </cell>
          <cell r="Y34">
            <v>4974</v>
          </cell>
          <cell r="Z34">
            <v>1656</v>
          </cell>
          <cell r="AA34">
            <v>6630</v>
          </cell>
          <cell r="AB34">
            <v>0.75</v>
          </cell>
          <cell r="AC34" t="str">
            <v>AMN463</v>
          </cell>
        </row>
        <row r="35">
          <cell r="G35">
            <v>0</v>
          </cell>
          <cell r="H35">
            <v>14</v>
          </cell>
          <cell r="I35">
            <v>0</v>
          </cell>
          <cell r="J35">
            <v>0</v>
          </cell>
          <cell r="K35">
            <v>0</v>
          </cell>
          <cell r="L35">
            <v>0</v>
          </cell>
          <cell r="M35">
            <v>0</v>
          </cell>
          <cell r="N35">
            <v>102</v>
          </cell>
          <cell r="O35">
            <v>0</v>
          </cell>
          <cell r="P35">
            <v>0</v>
          </cell>
          <cell r="Q35">
            <v>0</v>
          </cell>
          <cell r="R35">
            <v>152</v>
          </cell>
          <cell r="S35">
            <v>0</v>
          </cell>
          <cell r="T35">
            <v>917</v>
          </cell>
          <cell r="U35">
            <v>13</v>
          </cell>
          <cell r="V35">
            <v>0</v>
          </cell>
          <cell r="W35">
            <v>56</v>
          </cell>
          <cell r="X35">
            <v>0</v>
          </cell>
          <cell r="Y35">
            <v>1253</v>
          </cell>
          <cell r="Z35">
            <v>28</v>
          </cell>
          <cell r="AA35">
            <v>1281</v>
          </cell>
          <cell r="AB35">
            <v>0.97799999999999998</v>
          </cell>
          <cell r="AC35" t="str">
            <v>MOKE463</v>
          </cell>
        </row>
      </sheetData>
      <sheetData sheetId="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 9 proportion "/>
      <sheetName val="Table 11 CWTs exp"/>
      <sheetName val="Table text"/>
      <sheetName val="Tab 11 xtra stray calculation"/>
      <sheetName val="inland_taf_hatchgrp_tableraw&amp;yy"/>
      <sheetName val="hatchery proportion only"/>
    </sheetNames>
    <sheetDataSet>
      <sheetData sheetId="0" refreshError="1"/>
      <sheetData sheetId="1">
        <row r="3">
          <cell r="H3" t="str">
            <v>CFH</v>
          </cell>
          <cell r="K3" t="str">
            <v>FRH</v>
          </cell>
          <cell r="Q3" t="str">
            <v>NIM</v>
          </cell>
          <cell r="S3" t="str">
            <v>MOK</v>
          </cell>
          <cell r="W3" t="str">
            <v>MER</v>
          </cell>
        </row>
        <row r="4">
          <cell r="G4" t="str">
            <v>SacW</v>
          </cell>
          <cell r="H4" t="str">
            <v>CFHLh</v>
          </cell>
          <cell r="I4" t="str">
            <v>CFHFh</v>
          </cell>
          <cell r="J4" t="str">
            <v>CFHFn</v>
          </cell>
          <cell r="K4" t="str">
            <v>FRHS</v>
          </cell>
          <cell r="L4" t="str">
            <v>FRHSn</v>
          </cell>
          <cell r="M4" t="str">
            <v>FRHFk</v>
          </cell>
          <cell r="N4" t="str">
            <v>FRHFb</v>
          </cell>
          <cell r="O4" t="str">
            <v>FRHFn</v>
          </cell>
          <cell r="P4" t="str">
            <v>FRHFnc</v>
          </cell>
          <cell r="Q4" t="str">
            <v>NIMF</v>
          </cell>
          <cell r="R4" t="str">
            <v>NIMFn</v>
          </cell>
          <cell r="S4" t="str">
            <v>MOKF</v>
          </cell>
          <cell r="T4" t="str">
            <v>MOKFb</v>
          </cell>
          <cell r="U4" t="str">
            <v>MOKFn</v>
          </cell>
          <cell r="V4" t="str">
            <v>MOKFnc</v>
          </cell>
          <cell r="W4" t="str">
            <v>MERFt</v>
          </cell>
        </row>
        <row r="6">
          <cell r="A6" t="str">
            <v>KESW504</v>
          </cell>
          <cell r="E6" t="str">
            <v>Keswick Dam Fish Trap</v>
          </cell>
          <cell r="F6" t="str">
            <v>Winter</v>
          </cell>
          <cell r="G6">
            <v>110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AA6">
            <v>137</v>
          </cell>
          <cell r="AG6">
            <v>0.80300000000000005</v>
          </cell>
        </row>
        <row r="7">
          <cell r="A7" t="str">
            <v>FRFH501</v>
          </cell>
          <cell r="B7" t="str">
            <v>FRFH</v>
          </cell>
          <cell r="C7">
            <v>50</v>
          </cell>
          <cell r="D7">
            <v>1</v>
          </cell>
          <cell r="E7" t="str">
            <v>Feather River Hatchery</v>
          </cell>
          <cell r="F7" t="str">
            <v>Spring</v>
          </cell>
          <cell r="G7">
            <v>0</v>
          </cell>
          <cell r="H7">
            <v>0</v>
          </cell>
          <cell r="I7">
            <v>0</v>
          </cell>
          <cell r="J7">
            <v>0</v>
          </cell>
          <cell r="K7">
            <v>773</v>
          </cell>
          <cell r="L7">
            <v>766</v>
          </cell>
          <cell r="M7">
            <v>0</v>
          </cell>
          <cell r="N7">
            <v>4</v>
          </cell>
          <cell r="O7">
            <v>24</v>
          </cell>
          <cell r="P7">
            <v>0</v>
          </cell>
          <cell r="Q7">
            <v>0</v>
          </cell>
          <cell r="R7">
            <v>0</v>
          </cell>
          <cell r="S7">
            <v>0</v>
          </cell>
          <cell r="T7">
            <v>0</v>
          </cell>
          <cell r="U7">
            <v>0</v>
          </cell>
          <cell r="V7">
            <v>0</v>
          </cell>
          <cell r="W7">
            <v>0</v>
          </cell>
          <cell r="X7">
            <v>0</v>
          </cell>
          <cell r="AA7">
            <v>1650</v>
          </cell>
          <cell r="AD7">
            <v>0.94969696969696971</v>
          </cell>
        </row>
        <row r="8">
          <cell r="A8" t="str">
            <v>KESW503</v>
          </cell>
          <cell r="B8" t="str">
            <v>KESW</v>
          </cell>
          <cell r="C8">
            <v>50</v>
          </cell>
          <cell r="D8">
            <v>3</v>
          </cell>
          <cell r="E8" t="str">
            <v>Keswick Dam Fish Trap</v>
          </cell>
          <cell r="F8" t="str">
            <v>Fall</v>
          </cell>
          <cell r="G8">
            <v>0</v>
          </cell>
          <cell r="H8">
            <v>0</v>
          </cell>
          <cell r="I8">
            <v>72</v>
          </cell>
          <cell r="J8">
            <v>48</v>
          </cell>
          <cell r="K8">
            <v>0</v>
          </cell>
          <cell r="L8">
            <v>0</v>
          </cell>
          <cell r="M8">
            <v>0</v>
          </cell>
          <cell r="N8">
            <v>0</v>
          </cell>
          <cell r="O8">
            <v>58</v>
          </cell>
          <cell r="P8">
            <v>33</v>
          </cell>
          <cell r="Q8">
            <v>0</v>
          </cell>
          <cell r="R8">
            <v>4</v>
          </cell>
          <cell r="S8">
            <v>0</v>
          </cell>
          <cell r="T8">
            <v>0</v>
          </cell>
          <cell r="U8">
            <v>8</v>
          </cell>
          <cell r="V8">
            <v>0</v>
          </cell>
          <cell r="W8">
            <v>0</v>
          </cell>
          <cell r="X8">
            <v>0</v>
          </cell>
          <cell r="AA8">
            <v>282</v>
          </cell>
          <cell r="AD8">
            <v>0.79078014184397161</v>
          </cell>
        </row>
        <row r="9">
          <cell r="A9" t="str">
            <v>CNFH503</v>
          </cell>
          <cell r="B9" t="str">
            <v>CNFH</v>
          </cell>
          <cell r="C9">
            <v>50</v>
          </cell>
          <cell r="D9">
            <v>3</v>
          </cell>
          <cell r="E9" t="str">
            <v>Coleman National Fish Hatchery</v>
          </cell>
          <cell r="F9" t="str">
            <v>Fall</v>
          </cell>
          <cell r="G9">
            <v>0</v>
          </cell>
          <cell r="H9">
            <v>0</v>
          </cell>
          <cell r="I9">
            <v>6322</v>
          </cell>
          <cell r="J9">
            <v>659</v>
          </cell>
          <cell r="K9">
            <v>0</v>
          </cell>
          <cell r="L9">
            <v>0</v>
          </cell>
          <cell r="M9">
            <v>0</v>
          </cell>
          <cell r="N9">
            <v>0</v>
          </cell>
          <cell r="O9">
            <v>12</v>
          </cell>
          <cell r="P9">
            <v>44</v>
          </cell>
          <cell r="Q9">
            <v>0</v>
          </cell>
          <cell r="R9">
            <v>0</v>
          </cell>
          <cell r="S9">
            <v>3</v>
          </cell>
          <cell r="T9">
            <v>1</v>
          </cell>
          <cell r="U9">
            <v>24</v>
          </cell>
          <cell r="V9">
            <v>3</v>
          </cell>
          <cell r="W9">
            <v>4</v>
          </cell>
          <cell r="X9">
            <v>0</v>
          </cell>
          <cell r="AA9">
            <v>8528</v>
          </cell>
          <cell r="AD9">
            <v>0.82926829268292679</v>
          </cell>
        </row>
        <row r="10">
          <cell r="A10" t="str">
            <v>FRFH503</v>
          </cell>
          <cell r="B10" t="str">
            <v>FRFH</v>
          </cell>
          <cell r="C10">
            <v>50</v>
          </cell>
          <cell r="D10">
            <v>3</v>
          </cell>
          <cell r="E10" t="str">
            <v>Feather River Hatchery</v>
          </cell>
          <cell r="F10" t="str">
            <v>Fall</v>
          </cell>
          <cell r="G10">
            <v>0</v>
          </cell>
          <cell r="H10">
            <v>0</v>
          </cell>
          <cell r="I10">
            <v>24</v>
          </cell>
          <cell r="J10">
            <v>1417</v>
          </cell>
          <cell r="K10">
            <v>722</v>
          </cell>
          <cell r="L10">
            <v>919</v>
          </cell>
          <cell r="M10">
            <v>9</v>
          </cell>
          <cell r="N10">
            <v>616</v>
          </cell>
          <cell r="O10">
            <v>13066</v>
          </cell>
          <cell r="P10">
            <v>2613</v>
          </cell>
          <cell r="Q10">
            <v>0</v>
          </cell>
          <cell r="R10">
            <v>204</v>
          </cell>
          <cell r="S10">
            <v>23</v>
          </cell>
          <cell r="T10">
            <v>5</v>
          </cell>
          <cell r="U10">
            <v>80</v>
          </cell>
          <cell r="V10">
            <v>14</v>
          </cell>
          <cell r="W10">
            <v>25</v>
          </cell>
          <cell r="X10">
            <v>0</v>
          </cell>
          <cell r="AA10">
            <v>20556</v>
          </cell>
          <cell r="AD10">
            <v>0.96020626581046897</v>
          </cell>
        </row>
        <row r="11">
          <cell r="A11" t="str">
            <v>NBFH503</v>
          </cell>
          <cell r="B11" t="str">
            <v>NBFH</v>
          </cell>
          <cell r="C11">
            <v>50</v>
          </cell>
          <cell r="D11">
            <v>3</v>
          </cell>
          <cell r="E11" t="str">
            <v>Nimbus Fish Hatchery</v>
          </cell>
          <cell r="F11" t="str">
            <v>Fall</v>
          </cell>
          <cell r="G11">
            <v>0</v>
          </cell>
          <cell r="H11">
            <v>0</v>
          </cell>
          <cell r="I11">
            <v>0</v>
          </cell>
          <cell r="J11">
            <v>1307</v>
          </cell>
          <cell r="K11">
            <v>0</v>
          </cell>
          <cell r="L11">
            <v>0</v>
          </cell>
          <cell r="M11">
            <v>0</v>
          </cell>
          <cell r="N11">
            <v>0</v>
          </cell>
          <cell r="O11">
            <v>150</v>
          </cell>
          <cell r="P11">
            <v>87</v>
          </cell>
          <cell r="Q11">
            <v>497</v>
          </cell>
          <cell r="R11">
            <v>5525</v>
          </cell>
          <cell r="S11">
            <v>7</v>
          </cell>
          <cell r="T11">
            <v>39</v>
          </cell>
          <cell r="U11">
            <v>558</v>
          </cell>
          <cell r="V11">
            <v>40</v>
          </cell>
          <cell r="W11">
            <v>117</v>
          </cell>
          <cell r="X11">
            <v>0</v>
          </cell>
          <cell r="AA11">
            <v>9424</v>
          </cell>
          <cell r="AD11">
            <v>0.88370118845500845</v>
          </cell>
        </row>
        <row r="12">
          <cell r="A12" t="str">
            <v>MRFI503</v>
          </cell>
          <cell r="B12" t="str">
            <v>MRFI</v>
          </cell>
          <cell r="C12">
            <v>50</v>
          </cell>
          <cell r="D12">
            <v>3</v>
          </cell>
          <cell r="E12" t="str">
            <v>Mokelumne River Hatchery</v>
          </cell>
          <cell r="F12" t="str">
            <v>Fall</v>
          </cell>
          <cell r="G12">
            <v>0</v>
          </cell>
          <cell r="H12">
            <v>0</v>
          </cell>
          <cell r="I12">
            <v>0</v>
          </cell>
          <cell r="J12">
            <v>676</v>
          </cell>
          <cell r="K12">
            <v>0</v>
          </cell>
          <cell r="L12">
            <v>0</v>
          </cell>
          <cell r="M12">
            <v>1</v>
          </cell>
          <cell r="N12">
            <v>0</v>
          </cell>
          <cell r="O12">
            <v>108</v>
          </cell>
          <cell r="P12">
            <v>29</v>
          </cell>
          <cell r="Q12">
            <v>0</v>
          </cell>
          <cell r="R12">
            <v>2628</v>
          </cell>
          <cell r="S12">
            <v>62</v>
          </cell>
          <cell r="T12">
            <v>92</v>
          </cell>
          <cell r="U12">
            <v>2417</v>
          </cell>
          <cell r="V12">
            <v>70</v>
          </cell>
          <cell r="W12">
            <v>136</v>
          </cell>
          <cell r="X12">
            <v>0</v>
          </cell>
          <cell r="AA12">
            <v>6887</v>
          </cell>
          <cell r="AD12">
            <v>0.90286046173950918</v>
          </cell>
        </row>
        <row r="13">
          <cell r="A13" t="str">
            <v>MRFF503</v>
          </cell>
          <cell r="B13" t="str">
            <v>MRFF</v>
          </cell>
          <cell r="C13">
            <v>50</v>
          </cell>
          <cell r="D13">
            <v>3</v>
          </cell>
          <cell r="E13" t="str">
            <v>Merced River Hatchery</v>
          </cell>
          <cell r="F13" t="str">
            <v>Fall</v>
          </cell>
          <cell r="G13">
            <v>0</v>
          </cell>
          <cell r="H13">
            <v>0</v>
          </cell>
          <cell r="I13">
            <v>0</v>
          </cell>
          <cell r="J13">
            <v>318</v>
          </cell>
          <cell r="K13">
            <v>0</v>
          </cell>
          <cell r="L13">
            <v>0</v>
          </cell>
          <cell r="M13">
            <v>0</v>
          </cell>
          <cell r="N13">
            <v>0</v>
          </cell>
          <cell r="O13">
            <v>36</v>
          </cell>
          <cell r="P13">
            <v>8</v>
          </cell>
          <cell r="Q13">
            <v>0</v>
          </cell>
          <cell r="R13">
            <v>128</v>
          </cell>
          <cell r="S13">
            <v>30</v>
          </cell>
          <cell r="T13">
            <v>16</v>
          </cell>
          <cell r="U13">
            <v>1999</v>
          </cell>
          <cell r="V13">
            <v>17</v>
          </cell>
          <cell r="W13">
            <v>102</v>
          </cell>
          <cell r="X13">
            <v>0</v>
          </cell>
          <cell r="AA13">
            <v>2965</v>
          </cell>
          <cell r="AD13">
            <v>0.89477234401349071</v>
          </cell>
        </row>
        <row r="14">
          <cell r="A14" t="str">
            <v>CNFH507</v>
          </cell>
          <cell r="B14" t="str">
            <v>CNFH</v>
          </cell>
          <cell r="C14">
            <v>50</v>
          </cell>
          <cell r="D14">
            <v>7</v>
          </cell>
          <cell r="E14" t="str">
            <v xml:space="preserve">Coleman National Fish Hatchery </v>
          </cell>
          <cell r="G14">
            <v>0</v>
          </cell>
          <cell r="H14">
            <v>1657</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AA14">
            <v>1661</v>
          </cell>
          <cell r="AD14">
            <v>0.99759181216134862</v>
          </cell>
        </row>
        <row r="15">
          <cell r="A15" t="str">
            <v>CNFW527</v>
          </cell>
          <cell r="B15" t="str">
            <v>CNFW</v>
          </cell>
          <cell r="C15">
            <v>52</v>
          </cell>
          <cell r="D15">
            <v>7</v>
          </cell>
          <cell r="E15" t="str">
            <v>Coleman Hatchery Fish Trap</v>
          </cell>
          <cell r="G15">
            <v>0</v>
          </cell>
          <cell r="H15">
            <v>48</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AA15">
            <v>48</v>
          </cell>
          <cell r="AD15">
            <v>1</v>
          </cell>
        </row>
        <row r="16">
          <cell r="B16" t="str">
            <v>KESW</v>
          </cell>
          <cell r="C16">
            <v>50</v>
          </cell>
          <cell r="D16">
            <v>7</v>
          </cell>
          <cell r="E16" t="str">
            <v>Keswick Dam Fish Trap</v>
          </cell>
          <cell r="H16">
            <v>2</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AA16">
            <v>13</v>
          </cell>
        </row>
        <row r="17">
          <cell r="G17">
            <v>0</v>
          </cell>
          <cell r="H17">
            <v>0</v>
          </cell>
          <cell r="I17">
            <v>6418</v>
          </cell>
          <cell r="J17">
            <v>4425</v>
          </cell>
          <cell r="K17">
            <v>722</v>
          </cell>
          <cell r="L17">
            <v>919</v>
          </cell>
          <cell r="M17">
            <v>10</v>
          </cell>
          <cell r="N17">
            <v>616</v>
          </cell>
          <cell r="O17">
            <v>13430</v>
          </cell>
          <cell r="P17">
            <v>2814</v>
          </cell>
          <cell r="Q17">
            <v>497</v>
          </cell>
          <cell r="R17">
            <v>8489</v>
          </cell>
          <cell r="S17">
            <v>125</v>
          </cell>
          <cell r="T17">
            <v>153</v>
          </cell>
          <cell r="U17">
            <v>5086</v>
          </cell>
          <cell r="V17">
            <v>144</v>
          </cell>
          <cell r="W17">
            <v>384</v>
          </cell>
          <cell r="X17">
            <v>0</v>
          </cell>
          <cell r="Z17">
            <v>4410</v>
          </cell>
          <cell r="AA17">
            <v>48642</v>
          </cell>
          <cell r="AD17">
            <v>0.90933760947329467</v>
          </cell>
        </row>
        <row r="19">
          <cell r="A19" t="str">
            <v>USAC544</v>
          </cell>
          <cell r="B19" t="str">
            <v>USAC</v>
          </cell>
          <cell r="C19">
            <v>54</v>
          </cell>
          <cell r="D19">
            <v>4</v>
          </cell>
          <cell r="E19" t="str">
            <v>Upper Sacramento River</v>
          </cell>
          <cell r="F19" t="str">
            <v>Winter</v>
          </cell>
          <cell r="G19">
            <v>362</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AA19">
            <v>1409</v>
          </cell>
          <cell r="AD19">
            <v>0.25691980127750175</v>
          </cell>
        </row>
        <row r="20">
          <cell r="A20" t="str">
            <v>BUT541</v>
          </cell>
          <cell r="B20" t="str">
            <v>BUT</v>
          </cell>
          <cell r="C20">
            <v>54</v>
          </cell>
          <cell r="D20">
            <v>1</v>
          </cell>
          <cell r="E20" t="str">
            <v>Butte Creek</v>
          </cell>
          <cell r="F20" t="str">
            <v>Spring</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AD20" t="e">
            <v>#DIV/0!</v>
          </cell>
        </row>
        <row r="21">
          <cell r="A21" t="str">
            <v>USAC543</v>
          </cell>
          <cell r="B21" t="str">
            <v>USAC</v>
          </cell>
          <cell r="C21">
            <v>54</v>
          </cell>
          <cell r="D21">
            <v>3</v>
          </cell>
          <cell r="E21" t="str">
            <v>Upper Sacramento River</v>
          </cell>
          <cell r="F21" t="str">
            <v>Fall</v>
          </cell>
          <cell r="G21">
            <v>0</v>
          </cell>
          <cell r="H21">
            <v>0</v>
          </cell>
          <cell r="I21">
            <v>638</v>
          </cell>
          <cell r="J21">
            <v>339</v>
          </cell>
          <cell r="K21">
            <v>0</v>
          </cell>
          <cell r="L21">
            <v>10</v>
          </cell>
          <cell r="M21">
            <v>0</v>
          </cell>
          <cell r="N21">
            <v>10</v>
          </cell>
          <cell r="O21">
            <v>302</v>
          </cell>
          <cell r="P21">
            <v>142</v>
          </cell>
          <cell r="Q21">
            <v>0</v>
          </cell>
          <cell r="R21">
            <v>75</v>
          </cell>
          <cell r="S21">
            <v>0</v>
          </cell>
          <cell r="T21">
            <v>19</v>
          </cell>
          <cell r="U21">
            <v>75</v>
          </cell>
          <cell r="V21">
            <v>9</v>
          </cell>
          <cell r="W21">
            <v>41</v>
          </cell>
          <cell r="X21">
            <v>0</v>
          </cell>
          <cell r="AA21">
            <v>4289</v>
          </cell>
          <cell r="AD21">
            <v>0.38703660526929357</v>
          </cell>
        </row>
        <row r="22">
          <cell r="A22" t="str">
            <v>CLR543</v>
          </cell>
          <cell r="B22" t="str">
            <v>CLR</v>
          </cell>
          <cell r="C22">
            <v>54</v>
          </cell>
          <cell r="D22">
            <v>3</v>
          </cell>
          <cell r="E22" t="str">
            <v>Clear Creek</v>
          </cell>
          <cell r="F22" t="str">
            <v>Fall</v>
          </cell>
          <cell r="G22">
            <v>0</v>
          </cell>
          <cell r="H22">
            <v>20</v>
          </cell>
          <cell r="I22">
            <v>77</v>
          </cell>
          <cell r="J22">
            <v>233</v>
          </cell>
          <cell r="K22">
            <v>0</v>
          </cell>
          <cell r="L22">
            <v>0</v>
          </cell>
          <cell r="M22">
            <v>0</v>
          </cell>
          <cell r="N22">
            <v>0</v>
          </cell>
          <cell r="O22">
            <v>233</v>
          </cell>
          <cell r="P22">
            <v>79</v>
          </cell>
          <cell r="Q22">
            <v>0</v>
          </cell>
          <cell r="R22">
            <v>0</v>
          </cell>
          <cell r="S22">
            <v>0</v>
          </cell>
          <cell r="T22">
            <v>0</v>
          </cell>
          <cell r="U22">
            <v>0</v>
          </cell>
          <cell r="V22">
            <v>0</v>
          </cell>
          <cell r="W22">
            <v>0</v>
          </cell>
          <cell r="X22">
            <v>0</v>
          </cell>
          <cell r="AA22">
            <v>2481</v>
          </cell>
          <cell r="AD22">
            <v>0.25876662636033859</v>
          </cell>
        </row>
        <row r="23">
          <cell r="A23" t="str">
            <v>BATT543</v>
          </cell>
          <cell r="B23" t="str">
            <v>BATT</v>
          </cell>
          <cell r="C23">
            <v>54</v>
          </cell>
          <cell r="D23">
            <v>3</v>
          </cell>
          <cell r="F23" t="str">
            <v>Fall</v>
          </cell>
          <cell r="G23">
            <v>0</v>
          </cell>
          <cell r="H23">
            <v>0</v>
          </cell>
          <cell r="I23">
            <v>758</v>
          </cell>
          <cell r="J23">
            <v>79</v>
          </cell>
          <cell r="K23">
            <v>0</v>
          </cell>
          <cell r="L23">
            <v>0</v>
          </cell>
          <cell r="M23">
            <v>0</v>
          </cell>
          <cell r="N23">
            <v>0</v>
          </cell>
          <cell r="O23">
            <v>1</v>
          </cell>
          <cell r="P23">
            <v>5</v>
          </cell>
          <cell r="Q23">
            <v>0</v>
          </cell>
          <cell r="R23">
            <v>0</v>
          </cell>
          <cell r="S23">
            <v>0</v>
          </cell>
          <cell r="T23">
            <v>0</v>
          </cell>
          <cell r="U23">
            <v>3</v>
          </cell>
          <cell r="V23">
            <v>0</v>
          </cell>
          <cell r="W23">
            <v>0</v>
          </cell>
          <cell r="X23">
            <v>0</v>
          </cell>
          <cell r="AA23">
            <v>1021</v>
          </cell>
          <cell r="AD23">
            <v>0.83055827619980416</v>
          </cell>
        </row>
        <row r="24">
          <cell r="A24" t="str">
            <v>COT543</v>
          </cell>
          <cell r="B24" t="str">
            <v>COT</v>
          </cell>
          <cell r="C24">
            <v>54</v>
          </cell>
          <cell r="D24">
            <v>3</v>
          </cell>
          <cell r="E24" t="str">
            <v>Cottonwood Creek*</v>
          </cell>
          <cell r="F24" t="str">
            <v>Fall</v>
          </cell>
          <cell r="G24">
            <v>0</v>
          </cell>
          <cell r="H24">
            <v>0</v>
          </cell>
          <cell r="I24">
            <v>0</v>
          </cell>
          <cell r="J24">
            <v>8</v>
          </cell>
          <cell r="K24">
            <v>0</v>
          </cell>
          <cell r="L24">
            <v>0</v>
          </cell>
          <cell r="M24">
            <v>0</v>
          </cell>
          <cell r="N24">
            <v>0</v>
          </cell>
          <cell r="O24">
            <v>0</v>
          </cell>
          <cell r="P24">
            <v>0</v>
          </cell>
          <cell r="Q24">
            <v>0</v>
          </cell>
          <cell r="R24">
            <v>0</v>
          </cell>
          <cell r="S24">
            <v>0</v>
          </cell>
          <cell r="T24">
            <v>0</v>
          </cell>
          <cell r="U24">
            <v>0</v>
          </cell>
          <cell r="V24">
            <v>0</v>
          </cell>
          <cell r="W24">
            <v>0</v>
          </cell>
          <cell r="X24">
            <v>0</v>
          </cell>
          <cell r="AA24">
            <v>813</v>
          </cell>
          <cell r="AD24">
            <v>9.8400984009840101E-3</v>
          </cell>
        </row>
        <row r="25">
          <cell r="A25" t="str">
            <v>COW543</v>
          </cell>
          <cell r="B25" t="str">
            <v>COW</v>
          </cell>
          <cell r="C25">
            <v>54</v>
          </cell>
          <cell r="D25">
            <v>3</v>
          </cell>
          <cell r="E25" t="str">
            <v>Cow Creek*</v>
          </cell>
          <cell r="F25" t="str">
            <v>Fall</v>
          </cell>
          <cell r="G25">
            <v>0</v>
          </cell>
          <cell r="H25">
            <v>0</v>
          </cell>
          <cell r="I25">
            <v>0</v>
          </cell>
          <cell r="J25">
            <v>0</v>
          </cell>
          <cell r="K25">
            <v>0</v>
          </cell>
          <cell r="L25">
            <v>0</v>
          </cell>
          <cell r="M25">
            <v>0</v>
          </cell>
          <cell r="N25">
            <v>0</v>
          </cell>
          <cell r="O25">
            <v>0</v>
          </cell>
          <cell r="P25">
            <v>1</v>
          </cell>
          <cell r="Q25">
            <v>0</v>
          </cell>
          <cell r="R25">
            <v>0</v>
          </cell>
          <cell r="S25">
            <v>0</v>
          </cell>
          <cell r="T25">
            <v>0</v>
          </cell>
          <cell r="U25">
            <v>0</v>
          </cell>
          <cell r="V25">
            <v>0</v>
          </cell>
          <cell r="W25">
            <v>0</v>
          </cell>
          <cell r="X25">
            <v>0</v>
          </cell>
          <cell r="AA25">
            <v>821</v>
          </cell>
          <cell r="AD25">
            <v>1.2180267965895249E-3</v>
          </cell>
        </row>
        <row r="26">
          <cell r="A26" t="str">
            <v>MLC543</v>
          </cell>
          <cell r="B26" t="str">
            <v>MLC</v>
          </cell>
          <cell r="C26">
            <v>54</v>
          </cell>
          <cell r="D26">
            <v>3</v>
          </cell>
          <cell r="E26" t="str">
            <v>Mill Creek*</v>
          </cell>
          <cell r="F26" t="str">
            <v>Fall</v>
          </cell>
          <cell r="G26">
            <v>0</v>
          </cell>
          <cell r="H26">
            <v>0</v>
          </cell>
          <cell r="I26">
            <v>8</v>
          </cell>
          <cell r="J26">
            <v>0</v>
          </cell>
          <cell r="K26">
            <v>0</v>
          </cell>
          <cell r="L26">
            <v>0</v>
          </cell>
          <cell r="M26">
            <v>0</v>
          </cell>
          <cell r="N26">
            <v>0</v>
          </cell>
          <cell r="O26">
            <v>4</v>
          </cell>
          <cell r="P26">
            <v>0</v>
          </cell>
          <cell r="Q26">
            <v>0</v>
          </cell>
          <cell r="R26">
            <v>0</v>
          </cell>
          <cell r="S26">
            <v>0</v>
          </cell>
          <cell r="T26">
            <v>0</v>
          </cell>
          <cell r="U26">
            <v>0</v>
          </cell>
          <cell r="V26">
            <v>0</v>
          </cell>
          <cell r="W26">
            <v>0</v>
          </cell>
          <cell r="X26">
            <v>0</v>
          </cell>
          <cell r="AA26">
            <v>602</v>
          </cell>
          <cell r="AD26">
            <v>1.9933554817275746E-2</v>
          </cell>
        </row>
        <row r="27">
          <cell r="A27" t="str">
            <v>BUTT543</v>
          </cell>
          <cell r="B27" t="str">
            <v>BUTT</v>
          </cell>
          <cell r="C27">
            <v>54</v>
          </cell>
          <cell r="D27">
            <v>3</v>
          </cell>
          <cell r="E27" t="str">
            <v>Butte Creek</v>
          </cell>
          <cell r="F27" t="str">
            <v>Fall</v>
          </cell>
          <cell r="G27">
            <v>0</v>
          </cell>
          <cell r="H27">
            <v>0</v>
          </cell>
          <cell r="I27">
            <v>0</v>
          </cell>
          <cell r="J27">
            <v>0</v>
          </cell>
          <cell r="K27">
            <v>0</v>
          </cell>
          <cell r="L27">
            <v>0</v>
          </cell>
          <cell r="M27">
            <v>0</v>
          </cell>
          <cell r="N27">
            <v>0</v>
          </cell>
          <cell r="O27">
            <v>46</v>
          </cell>
          <cell r="P27">
            <v>12</v>
          </cell>
          <cell r="Q27">
            <v>0</v>
          </cell>
          <cell r="R27">
            <v>0</v>
          </cell>
          <cell r="S27">
            <v>0</v>
          </cell>
          <cell r="T27">
            <v>6</v>
          </cell>
          <cell r="U27">
            <v>23</v>
          </cell>
          <cell r="V27">
            <v>0</v>
          </cell>
          <cell r="W27">
            <v>0</v>
          </cell>
          <cell r="X27">
            <v>0</v>
          </cell>
          <cell r="AA27">
            <v>626</v>
          </cell>
          <cell r="AD27">
            <v>0.1389776357827476</v>
          </cell>
        </row>
        <row r="28">
          <cell r="A28" t="str">
            <v>FEAC543</v>
          </cell>
          <cell r="B28" t="str">
            <v>FEAC</v>
          </cell>
          <cell r="C28">
            <v>54</v>
          </cell>
          <cell r="D28">
            <v>3</v>
          </cell>
          <cell r="E28" t="str">
            <v>Feather River</v>
          </cell>
          <cell r="F28" t="str">
            <v>Fall</v>
          </cell>
          <cell r="G28">
            <v>0</v>
          </cell>
          <cell r="H28">
            <v>0</v>
          </cell>
          <cell r="I28">
            <v>0</v>
          </cell>
          <cell r="J28">
            <v>4550</v>
          </cell>
          <cell r="K28">
            <v>1067</v>
          </cell>
          <cell r="L28">
            <v>1717</v>
          </cell>
          <cell r="M28">
            <v>10</v>
          </cell>
          <cell r="N28">
            <v>931</v>
          </cell>
          <cell r="O28">
            <v>21741</v>
          </cell>
          <cell r="P28">
            <v>2966</v>
          </cell>
          <cell r="Q28">
            <v>0</v>
          </cell>
          <cell r="R28">
            <v>162</v>
          </cell>
          <cell r="S28">
            <v>63</v>
          </cell>
          <cell r="T28">
            <v>30</v>
          </cell>
          <cell r="U28">
            <v>162</v>
          </cell>
          <cell r="V28">
            <v>10</v>
          </cell>
          <cell r="W28">
            <v>94</v>
          </cell>
          <cell r="X28">
            <v>0</v>
          </cell>
          <cell r="AA28">
            <v>38742</v>
          </cell>
          <cell r="AD28">
            <v>0.86484951731970472</v>
          </cell>
        </row>
        <row r="29">
          <cell r="A29" t="str">
            <v>YUBA543</v>
          </cell>
          <cell r="B29" t="str">
            <v>YUBA</v>
          </cell>
          <cell r="C29">
            <v>54</v>
          </cell>
          <cell r="D29">
            <v>3</v>
          </cell>
          <cell r="E29" t="str">
            <v>Yuba River</v>
          </cell>
          <cell r="F29" t="str">
            <v>Fall</v>
          </cell>
          <cell r="G29">
            <v>0</v>
          </cell>
          <cell r="H29">
            <v>0</v>
          </cell>
          <cell r="I29">
            <v>0</v>
          </cell>
          <cell r="J29">
            <v>817</v>
          </cell>
          <cell r="K29">
            <v>33</v>
          </cell>
          <cell r="L29">
            <v>49</v>
          </cell>
          <cell r="M29">
            <v>0</v>
          </cell>
          <cell r="N29">
            <v>5</v>
          </cell>
          <cell r="O29">
            <v>286</v>
          </cell>
          <cell r="P29">
            <v>49</v>
          </cell>
          <cell r="Q29">
            <v>0</v>
          </cell>
          <cell r="R29">
            <v>43</v>
          </cell>
          <cell r="S29">
            <v>0</v>
          </cell>
          <cell r="T29">
            <v>5</v>
          </cell>
          <cell r="U29">
            <v>64</v>
          </cell>
          <cell r="V29">
            <v>5</v>
          </cell>
          <cell r="W29">
            <v>51</v>
          </cell>
          <cell r="X29">
            <v>0</v>
          </cell>
          <cell r="AA29">
            <v>3565</v>
          </cell>
          <cell r="AD29">
            <v>0.39495091164095369</v>
          </cell>
        </row>
        <row r="30">
          <cell r="A30" t="str">
            <v>YUBB543</v>
          </cell>
          <cell r="B30" t="str">
            <v>YUBB</v>
          </cell>
          <cell r="C30">
            <v>54</v>
          </cell>
          <cell r="D30">
            <v>3</v>
          </cell>
          <cell r="E30" t="str">
            <v>Yuba River below DPD</v>
          </cell>
          <cell r="F30" t="str">
            <v>Fall</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AA30">
            <v>0</v>
          </cell>
          <cell r="AD30" t="e">
            <v>#DIV/0!</v>
          </cell>
        </row>
        <row r="31">
          <cell r="A31" t="str">
            <v>LARC543</v>
          </cell>
          <cell r="B31" t="str">
            <v>LARC</v>
          </cell>
          <cell r="C31">
            <v>54</v>
          </cell>
          <cell r="D31">
            <v>3</v>
          </cell>
          <cell r="E31" t="str">
            <v>American River</v>
          </cell>
          <cell r="F31" t="str">
            <v>Fall</v>
          </cell>
          <cell r="G31">
            <v>0</v>
          </cell>
          <cell r="H31">
            <v>0</v>
          </cell>
          <cell r="I31">
            <v>0</v>
          </cell>
          <cell r="J31">
            <v>4372</v>
          </cell>
          <cell r="K31">
            <v>0</v>
          </cell>
          <cell r="L31">
            <v>3</v>
          </cell>
          <cell r="M31">
            <v>0</v>
          </cell>
          <cell r="N31">
            <v>0</v>
          </cell>
          <cell r="O31">
            <v>258</v>
          </cell>
          <cell r="P31">
            <v>42</v>
          </cell>
          <cell r="Q31">
            <v>397</v>
          </cell>
          <cell r="R31">
            <v>3331</v>
          </cell>
          <cell r="S31">
            <v>11</v>
          </cell>
          <cell r="T31">
            <v>14</v>
          </cell>
          <cell r="U31">
            <v>312</v>
          </cell>
          <cell r="V31">
            <v>10</v>
          </cell>
          <cell r="W31">
            <v>78</v>
          </cell>
          <cell r="X31">
            <v>0</v>
          </cell>
          <cell r="AA31">
            <v>10484</v>
          </cell>
          <cell r="AD31">
            <v>0.84185425410148795</v>
          </cell>
        </row>
        <row r="32">
          <cell r="A32" t="str">
            <v>NIMW593</v>
          </cell>
          <cell r="B32" t="str">
            <v>NIMW</v>
          </cell>
          <cell r="C32">
            <v>59</v>
          </cell>
          <cell r="D32">
            <v>3</v>
          </cell>
          <cell r="E32" t="str">
            <v>Nimbus Fish Hatchery Weir</v>
          </cell>
          <cell r="F32" t="str">
            <v>Fall</v>
          </cell>
          <cell r="G32">
            <v>0</v>
          </cell>
          <cell r="H32">
            <v>0</v>
          </cell>
          <cell r="I32">
            <v>0</v>
          </cell>
          <cell r="J32">
            <v>442</v>
          </cell>
          <cell r="K32">
            <v>0</v>
          </cell>
          <cell r="L32">
            <v>6</v>
          </cell>
          <cell r="M32">
            <v>0</v>
          </cell>
          <cell r="N32">
            <v>3</v>
          </cell>
          <cell r="O32">
            <v>61</v>
          </cell>
          <cell r="P32">
            <v>13</v>
          </cell>
          <cell r="Q32">
            <v>10</v>
          </cell>
          <cell r="R32">
            <v>417</v>
          </cell>
          <cell r="S32">
            <v>7</v>
          </cell>
          <cell r="T32">
            <v>4</v>
          </cell>
          <cell r="U32">
            <v>84</v>
          </cell>
          <cell r="V32">
            <v>5</v>
          </cell>
          <cell r="W32">
            <v>16</v>
          </cell>
          <cell r="X32">
            <v>0</v>
          </cell>
          <cell r="AA32">
            <v>3989</v>
          </cell>
          <cell r="AD32">
            <v>0.26773627475557782</v>
          </cell>
        </row>
        <row r="33">
          <cell r="A33" t="str">
            <v>MOKE543</v>
          </cell>
          <cell r="B33" t="str">
            <v>MOKE</v>
          </cell>
          <cell r="C33">
            <v>54</v>
          </cell>
          <cell r="D33">
            <v>3</v>
          </cell>
          <cell r="F33" t="str">
            <v>Fall</v>
          </cell>
          <cell r="G33">
            <v>0</v>
          </cell>
          <cell r="H33">
            <v>0</v>
          </cell>
          <cell r="I33">
            <v>0</v>
          </cell>
          <cell r="J33">
            <v>157</v>
          </cell>
          <cell r="K33">
            <v>0</v>
          </cell>
          <cell r="L33">
            <v>0</v>
          </cell>
          <cell r="M33">
            <v>0</v>
          </cell>
          <cell r="N33">
            <v>0</v>
          </cell>
          <cell r="O33">
            <v>38</v>
          </cell>
          <cell r="P33">
            <v>7</v>
          </cell>
          <cell r="Q33">
            <v>0</v>
          </cell>
          <cell r="R33">
            <v>678</v>
          </cell>
          <cell r="S33">
            <v>16</v>
          </cell>
          <cell r="T33">
            <v>24</v>
          </cell>
          <cell r="U33">
            <v>628</v>
          </cell>
          <cell r="V33">
            <v>18</v>
          </cell>
          <cell r="W33">
            <v>38</v>
          </cell>
          <cell r="X33">
            <v>0</v>
          </cell>
          <cell r="AA33">
            <v>1984</v>
          </cell>
          <cell r="AD33">
            <v>0.80846774193548387</v>
          </cell>
        </row>
        <row r="34">
          <cell r="A34" t="str">
            <v>COSU543</v>
          </cell>
          <cell r="B34" t="str">
            <v>COSU</v>
          </cell>
          <cell r="C34">
            <v>54</v>
          </cell>
          <cell r="D34">
            <v>3</v>
          </cell>
          <cell r="E34" t="str">
            <v>Cosumnes River</v>
          </cell>
          <cell r="F34" t="str">
            <v>Fall</v>
          </cell>
          <cell r="G34">
            <v>0</v>
          </cell>
          <cell r="H34">
            <v>0</v>
          </cell>
          <cell r="I34">
            <v>0</v>
          </cell>
          <cell r="J34">
            <v>8</v>
          </cell>
          <cell r="K34">
            <v>0</v>
          </cell>
          <cell r="L34">
            <v>0</v>
          </cell>
          <cell r="M34">
            <v>0</v>
          </cell>
          <cell r="N34">
            <v>0</v>
          </cell>
          <cell r="O34">
            <v>0</v>
          </cell>
          <cell r="P34">
            <v>1</v>
          </cell>
          <cell r="Q34">
            <v>0</v>
          </cell>
          <cell r="R34">
            <v>4</v>
          </cell>
          <cell r="S34">
            <v>0</v>
          </cell>
          <cell r="T34">
            <v>0</v>
          </cell>
          <cell r="U34">
            <v>8</v>
          </cell>
          <cell r="V34">
            <v>0</v>
          </cell>
          <cell r="W34">
            <v>0</v>
          </cell>
          <cell r="X34">
            <v>0</v>
          </cell>
          <cell r="AA34">
            <v>1248</v>
          </cell>
          <cell r="AD34">
            <v>1.6826923076923076E-2</v>
          </cell>
        </row>
        <row r="35">
          <cell r="A35" t="str">
            <v>CAL543</v>
          </cell>
          <cell r="B35" t="str">
            <v>CAL</v>
          </cell>
          <cell r="C35">
            <v>54</v>
          </cell>
          <cell r="D35">
            <v>3</v>
          </cell>
          <cell r="E35" t="str">
            <v>Calaveras River*</v>
          </cell>
          <cell r="F35" t="str">
            <v>Fall</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AA35">
            <v>0</v>
          </cell>
          <cell r="AD35" t="e">
            <v>#DIV/0!</v>
          </cell>
        </row>
        <row r="36">
          <cell r="A36" t="str">
            <v>STA543</v>
          </cell>
          <cell r="B36" t="str">
            <v>STA</v>
          </cell>
          <cell r="C36">
            <v>54</v>
          </cell>
          <cell r="D36">
            <v>3</v>
          </cell>
          <cell r="E36" t="str">
            <v>Stanislaus River</v>
          </cell>
          <cell r="F36" t="str">
            <v>Fall</v>
          </cell>
          <cell r="G36">
            <v>0</v>
          </cell>
          <cell r="H36">
            <v>0</v>
          </cell>
          <cell r="I36">
            <v>0</v>
          </cell>
          <cell r="J36">
            <v>661</v>
          </cell>
          <cell r="K36">
            <v>0</v>
          </cell>
          <cell r="L36">
            <v>0</v>
          </cell>
          <cell r="M36">
            <v>0</v>
          </cell>
          <cell r="N36">
            <v>0</v>
          </cell>
          <cell r="O36">
            <v>116</v>
          </cell>
          <cell r="P36">
            <v>0</v>
          </cell>
          <cell r="Q36">
            <v>0</v>
          </cell>
          <cell r="R36">
            <v>156</v>
          </cell>
          <cell r="S36">
            <v>38</v>
          </cell>
          <cell r="T36">
            <v>68</v>
          </cell>
          <cell r="U36">
            <v>5716</v>
          </cell>
          <cell r="V36">
            <v>0</v>
          </cell>
          <cell r="W36">
            <v>131</v>
          </cell>
          <cell r="X36">
            <v>0</v>
          </cell>
          <cell r="AA36">
            <v>9192</v>
          </cell>
          <cell r="AD36">
            <v>0.74912967798085295</v>
          </cell>
        </row>
        <row r="37">
          <cell r="A37" t="str">
            <v>TUO543</v>
          </cell>
          <cell r="B37" t="str">
            <v>TUO</v>
          </cell>
          <cell r="C37">
            <v>54</v>
          </cell>
          <cell r="D37">
            <v>3</v>
          </cell>
          <cell r="E37" t="str">
            <v>Tuolumne River</v>
          </cell>
          <cell r="F37" t="str">
            <v>Fall</v>
          </cell>
          <cell r="G37">
            <v>0</v>
          </cell>
          <cell r="H37">
            <v>0</v>
          </cell>
          <cell r="I37">
            <v>0</v>
          </cell>
          <cell r="J37">
            <v>297</v>
          </cell>
          <cell r="K37">
            <v>0</v>
          </cell>
          <cell r="L37">
            <v>0</v>
          </cell>
          <cell r="M37">
            <v>0</v>
          </cell>
          <cell r="N37">
            <v>0</v>
          </cell>
          <cell r="O37">
            <v>19</v>
          </cell>
          <cell r="P37">
            <v>5</v>
          </cell>
          <cell r="Q37">
            <v>0</v>
          </cell>
          <cell r="R37">
            <v>45</v>
          </cell>
          <cell r="S37">
            <v>5</v>
          </cell>
          <cell r="T37">
            <v>18</v>
          </cell>
          <cell r="U37">
            <v>769</v>
          </cell>
          <cell r="V37">
            <v>3</v>
          </cell>
          <cell r="W37">
            <v>39</v>
          </cell>
          <cell r="X37">
            <v>0</v>
          </cell>
          <cell r="AA37">
            <v>1357</v>
          </cell>
          <cell r="AD37">
            <v>0.88430361090641119</v>
          </cell>
        </row>
        <row r="38">
          <cell r="A38" t="str">
            <v>MER543</v>
          </cell>
          <cell r="B38" t="str">
            <v>MER</v>
          </cell>
          <cell r="C38">
            <v>54</v>
          </cell>
          <cell r="D38">
            <v>3</v>
          </cell>
          <cell r="E38" t="str">
            <v>Merced River</v>
          </cell>
          <cell r="F38" t="str">
            <v>Fall</v>
          </cell>
          <cell r="G38">
            <v>0</v>
          </cell>
          <cell r="H38">
            <v>0</v>
          </cell>
          <cell r="I38">
            <v>0</v>
          </cell>
          <cell r="J38">
            <v>337</v>
          </cell>
          <cell r="K38">
            <v>0</v>
          </cell>
          <cell r="L38">
            <v>0</v>
          </cell>
          <cell r="M38">
            <v>0</v>
          </cell>
          <cell r="N38">
            <v>0</v>
          </cell>
          <cell r="O38">
            <v>28</v>
          </cell>
          <cell r="P38">
            <v>17</v>
          </cell>
          <cell r="Q38">
            <v>0</v>
          </cell>
          <cell r="R38">
            <v>67</v>
          </cell>
          <cell r="S38">
            <v>0</v>
          </cell>
          <cell r="T38">
            <v>17</v>
          </cell>
          <cell r="U38">
            <v>2018</v>
          </cell>
          <cell r="V38">
            <v>28</v>
          </cell>
          <cell r="W38">
            <v>48</v>
          </cell>
          <cell r="X38">
            <v>0</v>
          </cell>
          <cell r="AA38">
            <v>3331</v>
          </cell>
          <cell r="AD38">
            <v>0.76853797658360856</v>
          </cell>
        </row>
        <row r="39">
          <cell r="A39" t="str">
            <v>USAC547</v>
          </cell>
          <cell r="B39" t="str">
            <v>USAC</v>
          </cell>
          <cell r="C39">
            <v>54</v>
          </cell>
          <cell r="D39">
            <v>7</v>
          </cell>
          <cell r="E39" t="str">
            <v>Upper Sacramento River</v>
          </cell>
          <cell r="G39">
            <v>0</v>
          </cell>
          <cell r="H39">
            <v>1</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AA39">
            <v>3069</v>
          </cell>
          <cell r="AD39">
            <v>3.2583903551645487E-4</v>
          </cell>
        </row>
        <row r="40">
          <cell r="G40">
            <v>0</v>
          </cell>
          <cell r="H40">
            <v>20</v>
          </cell>
          <cell r="I40">
            <v>1481</v>
          </cell>
          <cell r="J40">
            <v>12300</v>
          </cell>
          <cell r="K40">
            <v>1100</v>
          </cell>
          <cell r="L40">
            <v>1785</v>
          </cell>
          <cell r="M40">
            <v>10</v>
          </cell>
          <cell r="N40">
            <v>949</v>
          </cell>
          <cell r="O40">
            <v>23133</v>
          </cell>
          <cell r="P40">
            <v>3339</v>
          </cell>
          <cell r="Q40">
            <v>407</v>
          </cell>
          <cell r="R40">
            <v>4978</v>
          </cell>
          <cell r="S40">
            <v>140</v>
          </cell>
          <cell r="T40">
            <v>205</v>
          </cell>
          <cell r="U40">
            <v>9862</v>
          </cell>
          <cell r="V40">
            <v>88</v>
          </cell>
          <cell r="W40">
            <v>536</v>
          </cell>
          <cell r="X40">
            <v>0</v>
          </cell>
          <cell r="AA40">
            <v>84545</v>
          </cell>
          <cell r="AD40">
            <v>0.71366727778106331</v>
          </cell>
        </row>
        <row r="42">
          <cell r="G42">
            <v>472</v>
          </cell>
          <cell r="H42">
            <v>1708</v>
          </cell>
          <cell r="I42">
            <v>7790</v>
          </cell>
          <cell r="J42">
            <v>1125</v>
          </cell>
          <cell r="K42">
            <v>2595</v>
          </cell>
          <cell r="L42">
            <v>3451</v>
          </cell>
          <cell r="M42">
            <v>19</v>
          </cell>
          <cell r="N42">
            <v>1556</v>
          </cell>
          <cell r="O42">
            <v>35117</v>
          </cell>
          <cell r="P42">
            <v>5628</v>
          </cell>
          <cell r="Q42">
            <v>904</v>
          </cell>
          <cell r="R42">
            <v>9273</v>
          </cell>
          <cell r="S42">
            <v>78</v>
          </cell>
          <cell r="T42">
            <v>116</v>
          </cell>
          <cell r="U42">
            <v>3045</v>
          </cell>
          <cell r="V42">
            <v>88</v>
          </cell>
          <cell r="W42">
            <v>150</v>
          </cell>
          <cell r="AA42">
            <v>105973</v>
          </cell>
          <cell r="AD42">
            <v>0.6899398903494286</v>
          </cell>
        </row>
        <row r="43">
          <cell r="G43">
            <v>1E-3</v>
          </cell>
          <cell r="H43">
            <v>20</v>
          </cell>
          <cell r="I43">
            <v>109</v>
          </cell>
          <cell r="J43">
            <v>15600</v>
          </cell>
          <cell r="K43">
            <v>1E-3</v>
          </cell>
          <cell r="L43">
            <v>19</v>
          </cell>
          <cell r="M43">
            <v>1</v>
          </cell>
          <cell r="N43">
            <v>13</v>
          </cell>
          <cell r="O43">
            <v>1470</v>
          </cell>
          <cell r="P43">
            <v>525</v>
          </cell>
          <cell r="Q43">
            <v>1E-3</v>
          </cell>
          <cell r="R43">
            <v>4194</v>
          </cell>
          <cell r="S43">
            <v>187</v>
          </cell>
          <cell r="T43">
            <v>242</v>
          </cell>
          <cell r="U43">
            <v>11903</v>
          </cell>
          <cell r="V43">
            <v>144</v>
          </cell>
          <cell r="W43">
            <v>770</v>
          </cell>
          <cell r="X43">
            <v>0</v>
          </cell>
          <cell r="AA43">
            <v>35201.000999999997</v>
          </cell>
          <cell r="AD43">
            <v>0.99999997159171705</v>
          </cell>
        </row>
        <row r="44">
          <cell r="G44">
            <v>472</v>
          </cell>
          <cell r="H44">
            <v>1728</v>
          </cell>
          <cell r="I44">
            <v>7899</v>
          </cell>
          <cell r="J44">
            <v>16725</v>
          </cell>
          <cell r="K44">
            <v>2595</v>
          </cell>
          <cell r="L44">
            <v>3470</v>
          </cell>
          <cell r="M44">
            <v>20</v>
          </cell>
          <cell r="N44">
            <v>1569</v>
          </cell>
          <cell r="O44">
            <v>36587</v>
          </cell>
          <cell r="P44">
            <v>6153</v>
          </cell>
          <cell r="Q44">
            <v>904</v>
          </cell>
          <cell r="R44">
            <v>13467</v>
          </cell>
          <cell r="S44">
            <v>265</v>
          </cell>
          <cell r="T44">
            <v>358</v>
          </cell>
          <cell r="U44">
            <v>14948</v>
          </cell>
          <cell r="V44">
            <v>232</v>
          </cell>
          <cell r="W44">
            <v>920</v>
          </cell>
          <cell r="X44">
            <v>0</v>
          </cell>
          <cell r="AA44">
            <v>141174</v>
          </cell>
          <cell r="AD44">
            <v>0.76725176023913755</v>
          </cell>
        </row>
        <row r="47">
          <cell r="A47" t="str">
            <v>SAK463</v>
          </cell>
          <cell r="B47" t="str">
            <v>SAK</v>
          </cell>
          <cell r="C47">
            <v>46</v>
          </cell>
          <cell r="D47">
            <v>3</v>
          </cell>
          <cell r="E47" t="str">
            <v xml:space="preserve">Upper Sacramento River </v>
          </cell>
          <cell r="F47" t="str">
            <v>Fall</v>
          </cell>
          <cell r="G47">
            <v>0</v>
          </cell>
          <cell r="H47">
            <v>0</v>
          </cell>
          <cell r="I47">
            <v>1608</v>
          </cell>
          <cell r="J47">
            <v>70</v>
          </cell>
          <cell r="K47">
            <v>0</v>
          </cell>
          <cell r="L47">
            <v>18</v>
          </cell>
          <cell r="M47">
            <v>0</v>
          </cell>
          <cell r="N47">
            <v>0</v>
          </cell>
          <cell r="O47">
            <v>70</v>
          </cell>
          <cell r="P47">
            <v>18</v>
          </cell>
          <cell r="Q47">
            <v>0</v>
          </cell>
          <cell r="R47">
            <v>0</v>
          </cell>
          <cell r="S47">
            <v>0</v>
          </cell>
          <cell r="T47">
            <v>0</v>
          </cell>
          <cell r="U47">
            <v>0</v>
          </cell>
          <cell r="V47">
            <v>0</v>
          </cell>
          <cell r="W47">
            <v>0</v>
          </cell>
          <cell r="X47">
            <v>0</v>
          </cell>
          <cell r="AA47">
            <v>2883</v>
          </cell>
          <cell r="AD47">
            <v>0.61799999999999999</v>
          </cell>
        </row>
        <row r="48">
          <cell r="A48" t="str">
            <v>SBK463</v>
          </cell>
          <cell r="B48" t="str">
            <v>SBK</v>
          </cell>
          <cell r="C48">
            <v>46</v>
          </cell>
          <cell r="D48">
            <v>3</v>
          </cell>
          <cell r="E48" t="str">
            <v xml:space="preserve">Lower Sacramento River </v>
          </cell>
          <cell r="F48" t="str">
            <v>Fall</v>
          </cell>
          <cell r="G48">
            <v>0</v>
          </cell>
          <cell r="H48">
            <v>0</v>
          </cell>
          <cell r="I48">
            <v>260</v>
          </cell>
          <cell r="J48">
            <v>2741</v>
          </cell>
          <cell r="K48">
            <v>0</v>
          </cell>
          <cell r="L48">
            <v>0</v>
          </cell>
          <cell r="M48">
            <v>0</v>
          </cell>
          <cell r="N48">
            <v>0</v>
          </cell>
          <cell r="O48">
            <v>1182</v>
          </cell>
          <cell r="P48">
            <v>67</v>
          </cell>
          <cell r="Q48">
            <v>0</v>
          </cell>
          <cell r="R48">
            <v>1822</v>
          </cell>
          <cell r="S48">
            <v>0</v>
          </cell>
          <cell r="T48">
            <v>33</v>
          </cell>
          <cell r="U48">
            <v>391</v>
          </cell>
          <cell r="V48">
            <v>131</v>
          </cell>
          <cell r="W48">
            <v>0</v>
          </cell>
          <cell r="X48">
            <v>0</v>
          </cell>
          <cell r="AA48">
            <v>8410</v>
          </cell>
          <cell r="AD48">
            <v>0.78800000000000003</v>
          </cell>
        </row>
        <row r="49">
          <cell r="A49" t="str">
            <v>FEA463</v>
          </cell>
          <cell r="B49" t="str">
            <v>FEA</v>
          </cell>
          <cell r="C49">
            <v>46</v>
          </cell>
          <cell r="D49">
            <v>3</v>
          </cell>
          <cell r="E49" t="str">
            <v xml:space="preserve">Feather River </v>
          </cell>
          <cell r="F49" t="str">
            <v>Fall</v>
          </cell>
          <cell r="G49">
            <v>0</v>
          </cell>
          <cell r="H49">
            <v>0</v>
          </cell>
          <cell r="I49">
            <v>63</v>
          </cell>
          <cell r="J49">
            <v>1079</v>
          </cell>
          <cell r="K49">
            <v>16</v>
          </cell>
          <cell r="L49">
            <v>32</v>
          </cell>
          <cell r="M49">
            <v>0</v>
          </cell>
          <cell r="N49">
            <v>96</v>
          </cell>
          <cell r="O49">
            <v>3356</v>
          </cell>
          <cell r="P49">
            <v>677</v>
          </cell>
          <cell r="Q49">
            <v>0</v>
          </cell>
          <cell r="R49">
            <v>0</v>
          </cell>
          <cell r="S49">
            <v>0</v>
          </cell>
          <cell r="T49">
            <v>0</v>
          </cell>
          <cell r="U49">
            <v>0</v>
          </cell>
          <cell r="V49">
            <v>0</v>
          </cell>
          <cell r="W49">
            <v>0</v>
          </cell>
          <cell r="X49">
            <v>0</v>
          </cell>
          <cell r="AA49">
            <v>6368</v>
          </cell>
          <cell r="AD49">
            <v>0.83499999999999996</v>
          </cell>
        </row>
        <row r="50">
          <cell r="A50" t="str">
            <v>AMN463</v>
          </cell>
          <cell r="B50" t="str">
            <v>AMN</v>
          </cell>
          <cell r="C50">
            <v>46</v>
          </cell>
          <cell r="D50">
            <v>3</v>
          </cell>
          <cell r="E50" t="str">
            <v xml:space="preserve">American River </v>
          </cell>
          <cell r="F50" t="str">
            <v>Fall</v>
          </cell>
          <cell r="G50">
            <v>0</v>
          </cell>
          <cell r="H50">
            <v>0</v>
          </cell>
          <cell r="I50">
            <v>0</v>
          </cell>
          <cell r="J50">
            <v>8900</v>
          </cell>
          <cell r="K50">
            <v>0</v>
          </cell>
          <cell r="L50">
            <v>64</v>
          </cell>
          <cell r="M50">
            <v>0</v>
          </cell>
          <cell r="N50">
            <v>128</v>
          </cell>
          <cell r="O50">
            <v>1664</v>
          </cell>
          <cell r="P50">
            <v>257</v>
          </cell>
          <cell r="Q50">
            <v>127</v>
          </cell>
          <cell r="R50">
            <v>3676</v>
          </cell>
          <cell r="S50">
            <v>0</v>
          </cell>
          <cell r="T50">
            <v>32</v>
          </cell>
          <cell r="U50">
            <v>636</v>
          </cell>
          <cell r="V50">
            <v>0</v>
          </cell>
          <cell r="W50">
            <v>140</v>
          </cell>
          <cell r="X50">
            <v>0</v>
          </cell>
          <cell r="AA50">
            <v>17859</v>
          </cell>
          <cell r="AD50">
            <v>0.875</v>
          </cell>
        </row>
        <row r="51">
          <cell r="A51" t="str">
            <v>MOK463</v>
          </cell>
          <cell r="B51" t="str">
            <v>MOK</v>
          </cell>
          <cell r="C51">
            <v>46</v>
          </cell>
          <cell r="D51">
            <v>3</v>
          </cell>
          <cell r="E51" t="str">
            <v>Mokelumne River</v>
          </cell>
          <cell r="F51" t="str">
            <v>Fall</v>
          </cell>
          <cell r="G51">
            <v>0</v>
          </cell>
          <cell r="H51">
            <v>0</v>
          </cell>
          <cell r="I51">
            <v>0</v>
          </cell>
          <cell r="J51">
            <v>212</v>
          </cell>
          <cell r="K51">
            <v>0</v>
          </cell>
          <cell r="L51">
            <v>0</v>
          </cell>
          <cell r="M51">
            <v>0</v>
          </cell>
          <cell r="N51">
            <v>0</v>
          </cell>
          <cell r="O51">
            <v>71</v>
          </cell>
          <cell r="P51">
            <v>18</v>
          </cell>
          <cell r="Q51">
            <v>0</v>
          </cell>
          <cell r="R51">
            <v>281</v>
          </cell>
          <cell r="S51">
            <v>0</v>
          </cell>
          <cell r="T51">
            <v>0</v>
          </cell>
          <cell r="U51">
            <v>423</v>
          </cell>
          <cell r="V51">
            <v>0</v>
          </cell>
          <cell r="W51">
            <v>0</v>
          </cell>
          <cell r="X51">
            <v>0</v>
          </cell>
          <cell r="AA51">
            <v>1006</v>
          </cell>
          <cell r="AD51">
            <v>1</v>
          </cell>
        </row>
        <row r="52">
          <cell r="A52" t="str">
            <v>SAK467</v>
          </cell>
          <cell r="B52" t="str">
            <v>SAK</v>
          </cell>
          <cell r="C52">
            <v>46</v>
          </cell>
          <cell r="D52">
            <v>7</v>
          </cell>
          <cell r="E52" t="str">
            <v xml:space="preserve">Upper Sacramento River </v>
          </cell>
          <cell r="G52">
            <v>0</v>
          </cell>
          <cell r="H52">
            <v>73</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AA52">
            <v>130</v>
          </cell>
          <cell r="AD52">
            <v>0.56200000000000006</v>
          </cell>
        </row>
        <row r="53">
          <cell r="G53">
            <v>1E-3</v>
          </cell>
          <cell r="H53">
            <v>73</v>
          </cell>
          <cell r="I53">
            <v>1931</v>
          </cell>
          <cell r="J53">
            <v>13002</v>
          </cell>
          <cell r="K53">
            <v>16</v>
          </cell>
          <cell r="L53">
            <v>114</v>
          </cell>
          <cell r="M53">
            <v>1E-3</v>
          </cell>
          <cell r="N53">
            <v>224</v>
          </cell>
          <cell r="O53">
            <v>6343</v>
          </cell>
          <cell r="P53">
            <v>1037</v>
          </cell>
          <cell r="Q53">
            <v>127</v>
          </cell>
          <cell r="R53">
            <v>5779</v>
          </cell>
          <cell r="S53">
            <v>1E-3</v>
          </cell>
          <cell r="T53">
            <v>65</v>
          </cell>
          <cell r="U53">
            <v>1450</v>
          </cell>
          <cell r="V53">
            <v>131</v>
          </cell>
          <cell r="W53">
            <v>140</v>
          </cell>
          <cell r="X53">
            <v>1E-3</v>
          </cell>
          <cell r="AA53">
            <v>36656</v>
          </cell>
          <cell r="AD53">
            <v>0.83015058926233087</v>
          </cell>
        </row>
      </sheetData>
      <sheetData sheetId="2" refreshError="1"/>
      <sheetData sheetId="3" refreshError="1"/>
      <sheetData sheetId="4">
        <row r="2">
          <cell r="G2" t="str">
            <v>sacw</v>
          </cell>
          <cell r="H2" t="str">
            <v>cfhlh</v>
          </cell>
          <cell r="I2" t="str">
            <v>cfhfh</v>
          </cell>
          <cell r="J2" t="str">
            <v>cfhfn</v>
          </cell>
          <cell r="K2" t="str">
            <v>frhs</v>
          </cell>
          <cell r="L2" t="str">
            <v>frhsn</v>
          </cell>
          <cell r="M2" t="str">
            <v>frhfk</v>
          </cell>
          <cell r="N2" t="str">
            <v>frhfb</v>
          </cell>
          <cell r="O2" t="str">
            <v>frhfn</v>
          </cell>
          <cell r="P2" t="str">
            <v>frhfnc</v>
          </cell>
          <cell r="Q2" t="str">
            <v>nimf</v>
          </cell>
          <cell r="R2" t="str">
            <v>nimfn</v>
          </cell>
          <cell r="S2" t="str">
            <v>mokf</v>
          </cell>
          <cell r="T2" t="str">
            <v>mokfb</v>
          </cell>
          <cell r="U2" t="str">
            <v>mokfn</v>
          </cell>
          <cell r="V2" t="str">
            <v>mokfnc</v>
          </cell>
          <cell r="W2" t="str">
            <v>merft</v>
          </cell>
        </row>
        <row r="3">
          <cell r="G3">
            <v>0</v>
          </cell>
          <cell r="H3">
            <v>0</v>
          </cell>
          <cell r="I3">
            <v>6322</v>
          </cell>
          <cell r="J3">
            <v>659</v>
          </cell>
          <cell r="K3">
            <v>0</v>
          </cell>
          <cell r="L3">
            <v>0</v>
          </cell>
          <cell r="M3">
            <v>0</v>
          </cell>
          <cell r="N3">
            <v>0</v>
          </cell>
          <cell r="O3">
            <v>12</v>
          </cell>
          <cell r="P3">
            <v>44</v>
          </cell>
          <cell r="Q3">
            <v>0</v>
          </cell>
          <cell r="R3">
            <v>0</v>
          </cell>
          <cell r="S3">
            <v>3</v>
          </cell>
          <cell r="T3">
            <v>1</v>
          </cell>
          <cell r="U3">
            <v>24</v>
          </cell>
          <cell r="V3">
            <v>3</v>
          </cell>
          <cell r="W3">
            <v>4</v>
          </cell>
          <cell r="X3">
            <v>0</v>
          </cell>
          <cell r="Y3">
            <v>7072</v>
          </cell>
          <cell r="Z3">
            <v>1456</v>
          </cell>
          <cell r="AA3">
            <v>8528</v>
          </cell>
          <cell r="AB3">
            <v>0.82899999999999996</v>
          </cell>
          <cell r="AC3" t="str">
            <v>CNFH503</v>
          </cell>
        </row>
        <row r="4">
          <cell r="G4">
            <v>0</v>
          </cell>
          <cell r="H4">
            <v>1657</v>
          </cell>
          <cell r="I4">
            <v>0</v>
          </cell>
          <cell r="J4">
            <v>0</v>
          </cell>
          <cell r="K4">
            <v>0</v>
          </cell>
          <cell r="L4">
            <v>0</v>
          </cell>
          <cell r="M4">
            <v>0</v>
          </cell>
          <cell r="N4">
            <v>0</v>
          </cell>
          <cell r="O4">
            <v>0</v>
          </cell>
          <cell r="P4">
            <v>0</v>
          </cell>
          <cell r="Q4">
            <v>0</v>
          </cell>
          <cell r="R4">
            <v>0</v>
          </cell>
          <cell r="S4">
            <v>0</v>
          </cell>
          <cell r="T4">
            <v>0</v>
          </cell>
          <cell r="U4">
            <v>0</v>
          </cell>
          <cell r="V4">
            <v>0</v>
          </cell>
          <cell r="W4">
            <v>0</v>
          </cell>
          <cell r="X4">
            <v>0</v>
          </cell>
          <cell r="Y4">
            <v>1657</v>
          </cell>
          <cell r="Z4">
            <v>4</v>
          </cell>
          <cell r="AA4">
            <v>1661</v>
          </cell>
          <cell r="AB4">
            <v>0.998</v>
          </cell>
          <cell r="AC4" t="str">
            <v>CNFH507</v>
          </cell>
        </row>
        <row r="5">
          <cell r="G5">
            <v>0</v>
          </cell>
          <cell r="H5">
            <v>0</v>
          </cell>
          <cell r="I5">
            <v>72</v>
          </cell>
          <cell r="J5">
            <v>48</v>
          </cell>
          <cell r="K5">
            <v>0</v>
          </cell>
          <cell r="L5">
            <v>0</v>
          </cell>
          <cell r="M5">
            <v>0</v>
          </cell>
          <cell r="N5">
            <v>0</v>
          </cell>
          <cell r="O5">
            <v>58</v>
          </cell>
          <cell r="P5">
            <v>33</v>
          </cell>
          <cell r="Q5">
            <v>0</v>
          </cell>
          <cell r="R5">
            <v>4</v>
          </cell>
          <cell r="S5">
            <v>0</v>
          </cell>
          <cell r="T5">
            <v>0</v>
          </cell>
          <cell r="U5">
            <v>8</v>
          </cell>
          <cell r="V5">
            <v>0</v>
          </cell>
          <cell r="W5">
            <v>0</v>
          </cell>
          <cell r="X5">
            <v>0</v>
          </cell>
          <cell r="Y5">
            <v>223</v>
          </cell>
          <cell r="Z5">
            <v>59</v>
          </cell>
          <cell r="AA5">
            <v>282</v>
          </cell>
          <cell r="AB5">
            <v>0.79100000000000004</v>
          </cell>
          <cell r="AC5" t="str">
            <v>KESW503</v>
          </cell>
        </row>
        <row r="6">
          <cell r="G6">
            <v>110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110</v>
          </cell>
          <cell r="Z6">
            <v>27</v>
          </cell>
          <cell r="AA6">
            <v>137</v>
          </cell>
          <cell r="AB6">
            <v>0.80300000000000005</v>
          </cell>
          <cell r="AC6" t="str">
            <v>KESW504</v>
          </cell>
        </row>
        <row r="7">
          <cell r="G7">
            <v>0</v>
          </cell>
          <cell r="H7">
            <v>2</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2</v>
          </cell>
          <cell r="Z7">
            <v>11</v>
          </cell>
          <cell r="AA7">
            <v>13</v>
          </cell>
          <cell r="AB7">
            <v>0.154</v>
          </cell>
          <cell r="AC7" t="str">
            <v>KESW507</v>
          </cell>
        </row>
        <row r="8">
          <cell r="G8">
            <v>0</v>
          </cell>
          <cell r="H8">
            <v>0</v>
          </cell>
          <cell r="I8">
            <v>0</v>
          </cell>
          <cell r="J8">
            <v>0</v>
          </cell>
          <cell r="K8">
            <v>773</v>
          </cell>
          <cell r="L8">
            <v>766</v>
          </cell>
          <cell r="M8">
            <v>0</v>
          </cell>
          <cell r="N8">
            <v>4</v>
          </cell>
          <cell r="O8">
            <v>24</v>
          </cell>
          <cell r="P8">
            <v>0</v>
          </cell>
          <cell r="Q8">
            <v>0</v>
          </cell>
          <cell r="R8">
            <v>0</v>
          </cell>
          <cell r="S8">
            <v>0</v>
          </cell>
          <cell r="T8">
            <v>0</v>
          </cell>
          <cell r="U8">
            <v>0</v>
          </cell>
          <cell r="V8">
            <v>0</v>
          </cell>
          <cell r="W8">
            <v>0</v>
          </cell>
          <cell r="X8">
            <v>0</v>
          </cell>
          <cell r="Y8">
            <v>1567</v>
          </cell>
          <cell r="Z8">
            <v>83</v>
          </cell>
          <cell r="AA8">
            <v>1650</v>
          </cell>
          <cell r="AB8">
            <v>0.95</v>
          </cell>
          <cell r="AC8" t="str">
            <v>FRFH501</v>
          </cell>
        </row>
        <row r="9">
          <cell r="G9">
            <v>0</v>
          </cell>
          <cell r="H9">
            <v>0</v>
          </cell>
          <cell r="I9">
            <v>24</v>
          </cell>
          <cell r="J9">
            <v>1417</v>
          </cell>
          <cell r="K9">
            <v>722</v>
          </cell>
          <cell r="L9">
            <v>919</v>
          </cell>
          <cell r="M9">
            <v>9</v>
          </cell>
          <cell r="N9">
            <v>616</v>
          </cell>
          <cell r="O9">
            <v>13066</v>
          </cell>
          <cell r="P9">
            <v>2613</v>
          </cell>
          <cell r="Q9">
            <v>0</v>
          </cell>
          <cell r="R9">
            <v>204</v>
          </cell>
          <cell r="S9">
            <v>23</v>
          </cell>
          <cell r="T9">
            <v>5</v>
          </cell>
          <cell r="U9">
            <v>80</v>
          </cell>
          <cell r="V9">
            <v>14</v>
          </cell>
          <cell r="W9">
            <v>25</v>
          </cell>
          <cell r="X9">
            <v>0</v>
          </cell>
          <cell r="Y9">
            <v>19738</v>
          </cell>
          <cell r="Z9">
            <v>818</v>
          </cell>
          <cell r="AA9">
            <v>20556</v>
          </cell>
          <cell r="AB9">
            <v>0.96</v>
          </cell>
          <cell r="AC9" t="str">
            <v>FRFH503</v>
          </cell>
        </row>
        <row r="10">
          <cell r="G10">
            <v>0</v>
          </cell>
          <cell r="H10">
            <v>0</v>
          </cell>
          <cell r="I10">
            <v>0</v>
          </cell>
          <cell r="J10">
            <v>1307</v>
          </cell>
          <cell r="K10">
            <v>0</v>
          </cell>
          <cell r="L10">
            <v>0</v>
          </cell>
          <cell r="M10">
            <v>0</v>
          </cell>
          <cell r="N10">
            <v>0</v>
          </cell>
          <cell r="O10">
            <v>150</v>
          </cell>
          <cell r="P10">
            <v>87</v>
          </cell>
          <cell r="Q10">
            <v>497</v>
          </cell>
          <cell r="R10">
            <v>5525</v>
          </cell>
          <cell r="S10">
            <v>7</v>
          </cell>
          <cell r="T10">
            <v>39</v>
          </cell>
          <cell r="U10">
            <v>558</v>
          </cell>
          <cell r="V10">
            <v>40</v>
          </cell>
          <cell r="W10">
            <v>117</v>
          </cell>
          <cell r="X10">
            <v>0</v>
          </cell>
          <cell r="Y10">
            <v>8328</v>
          </cell>
          <cell r="Z10">
            <v>1096</v>
          </cell>
          <cell r="AA10">
            <v>9424</v>
          </cell>
          <cell r="AB10">
            <v>0.88400000000000001</v>
          </cell>
          <cell r="AC10" t="str">
            <v>NBFH503</v>
          </cell>
        </row>
        <row r="11">
          <cell r="G11">
            <v>0</v>
          </cell>
          <cell r="H11">
            <v>0</v>
          </cell>
          <cell r="I11">
            <v>0</v>
          </cell>
          <cell r="J11">
            <v>676</v>
          </cell>
          <cell r="K11">
            <v>0</v>
          </cell>
          <cell r="L11">
            <v>0</v>
          </cell>
          <cell r="M11">
            <v>1</v>
          </cell>
          <cell r="N11">
            <v>0</v>
          </cell>
          <cell r="O11">
            <v>108</v>
          </cell>
          <cell r="P11">
            <v>29</v>
          </cell>
          <cell r="Q11">
            <v>0</v>
          </cell>
          <cell r="R11">
            <v>2628</v>
          </cell>
          <cell r="S11">
            <v>62</v>
          </cell>
          <cell r="T11">
            <v>92</v>
          </cell>
          <cell r="U11">
            <v>2417</v>
          </cell>
          <cell r="V11">
            <v>70</v>
          </cell>
          <cell r="W11">
            <v>136</v>
          </cell>
          <cell r="X11">
            <v>0</v>
          </cell>
          <cell r="Y11">
            <v>6218</v>
          </cell>
          <cell r="Z11">
            <v>669</v>
          </cell>
          <cell r="AA11">
            <v>6887</v>
          </cell>
          <cell r="AB11">
            <v>0.90300000000000002</v>
          </cell>
          <cell r="AC11" t="str">
            <v>MRFI503</v>
          </cell>
        </row>
        <row r="12">
          <cell r="G12">
            <v>0</v>
          </cell>
          <cell r="H12">
            <v>0</v>
          </cell>
          <cell r="I12">
            <v>0</v>
          </cell>
          <cell r="J12">
            <v>318</v>
          </cell>
          <cell r="K12">
            <v>0</v>
          </cell>
          <cell r="L12">
            <v>0</v>
          </cell>
          <cell r="M12">
            <v>0</v>
          </cell>
          <cell r="N12">
            <v>0</v>
          </cell>
          <cell r="O12">
            <v>36</v>
          </cell>
          <cell r="P12">
            <v>8</v>
          </cell>
          <cell r="Q12">
            <v>0</v>
          </cell>
          <cell r="R12">
            <v>128</v>
          </cell>
          <cell r="S12">
            <v>30</v>
          </cell>
          <cell r="T12">
            <v>16</v>
          </cell>
          <cell r="U12">
            <v>1999</v>
          </cell>
          <cell r="V12">
            <v>17</v>
          </cell>
          <cell r="W12">
            <v>102</v>
          </cell>
          <cell r="X12">
            <v>0</v>
          </cell>
          <cell r="Y12">
            <v>2653</v>
          </cell>
          <cell r="Z12">
            <v>312</v>
          </cell>
          <cell r="AA12">
            <v>2965</v>
          </cell>
          <cell r="AB12">
            <v>0.89500000000000002</v>
          </cell>
          <cell r="AC12" t="str">
            <v>MRFF503</v>
          </cell>
        </row>
        <row r="13">
          <cell r="G13">
            <v>0</v>
          </cell>
          <cell r="H13">
            <v>48</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48</v>
          </cell>
          <cell r="Z13">
            <v>0</v>
          </cell>
          <cell r="AA13">
            <v>48</v>
          </cell>
          <cell r="AB13">
            <v>1</v>
          </cell>
          <cell r="AC13" t="str">
            <v>CNFW527</v>
          </cell>
        </row>
        <row r="14">
          <cell r="G14">
            <v>0</v>
          </cell>
          <cell r="H14">
            <v>0</v>
          </cell>
          <cell r="I14">
            <v>758</v>
          </cell>
          <cell r="J14">
            <v>79</v>
          </cell>
          <cell r="K14">
            <v>0</v>
          </cell>
          <cell r="L14">
            <v>0</v>
          </cell>
          <cell r="M14">
            <v>0</v>
          </cell>
          <cell r="N14">
            <v>0</v>
          </cell>
          <cell r="O14">
            <v>1</v>
          </cell>
          <cell r="P14">
            <v>5</v>
          </cell>
          <cell r="Q14">
            <v>0</v>
          </cell>
          <cell r="R14">
            <v>0</v>
          </cell>
          <cell r="S14">
            <v>0</v>
          </cell>
          <cell r="T14">
            <v>0</v>
          </cell>
          <cell r="U14">
            <v>3</v>
          </cell>
          <cell r="V14">
            <v>0</v>
          </cell>
          <cell r="W14">
            <v>0</v>
          </cell>
          <cell r="X14">
            <v>0</v>
          </cell>
          <cell r="Y14">
            <v>848</v>
          </cell>
          <cell r="Z14">
            <v>173</v>
          </cell>
          <cell r="AA14">
            <v>1021</v>
          </cell>
          <cell r="AB14">
            <v>0.83099999999999996</v>
          </cell>
          <cell r="AC14" t="str">
            <v>BATT543</v>
          </cell>
        </row>
        <row r="15">
          <cell r="G15">
            <v>0</v>
          </cell>
          <cell r="H15">
            <v>20</v>
          </cell>
          <cell r="I15">
            <v>77</v>
          </cell>
          <cell r="J15">
            <v>233</v>
          </cell>
          <cell r="K15">
            <v>0</v>
          </cell>
          <cell r="L15">
            <v>0</v>
          </cell>
          <cell r="M15">
            <v>0</v>
          </cell>
          <cell r="N15">
            <v>0</v>
          </cell>
          <cell r="O15">
            <v>233</v>
          </cell>
          <cell r="P15">
            <v>79</v>
          </cell>
          <cell r="Q15">
            <v>0</v>
          </cell>
          <cell r="R15">
            <v>0</v>
          </cell>
          <cell r="S15">
            <v>0</v>
          </cell>
          <cell r="T15">
            <v>0</v>
          </cell>
          <cell r="U15">
            <v>0</v>
          </cell>
          <cell r="V15">
            <v>0</v>
          </cell>
          <cell r="W15">
            <v>0</v>
          </cell>
          <cell r="X15">
            <v>0</v>
          </cell>
          <cell r="Y15">
            <v>642</v>
          </cell>
          <cell r="Z15">
            <v>1839</v>
          </cell>
          <cell r="AA15">
            <v>2481</v>
          </cell>
          <cell r="AB15">
            <v>0.25900000000000001</v>
          </cell>
          <cell r="AC15" t="str">
            <v>CLR543</v>
          </cell>
        </row>
        <row r="16">
          <cell r="G16">
            <v>0</v>
          </cell>
          <cell r="H16">
            <v>0</v>
          </cell>
          <cell r="I16">
            <v>0</v>
          </cell>
          <cell r="J16">
            <v>8</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8</v>
          </cell>
          <cell r="Z16">
            <v>805</v>
          </cell>
          <cell r="AA16">
            <v>813</v>
          </cell>
          <cell r="AB16">
            <v>0.01</v>
          </cell>
          <cell r="AC16" t="str">
            <v>COT543</v>
          </cell>
        </row>
        <row r="17">
          <cell r="G17">
            <v>0</v>
          </cell>
          <cell r="H17">
            <v>0</v>
          </cell>
          <cell r="I17">
            <v>0</v>
          </cell>
          <cell r="J17">
            <v>0</v>
          </cell>
          <cell r="K17">
            <v>0</v>
          </cell>
          <cell r="L17">
            <v>0</v>
          </cell>
          <cell r="M17">
            <v>0</v>
          </cell>
          <cell r="N17">
            <v>0</v>
          </cell>
          <cell r="O17">
            <v>0</v>
          </cell>
          <cell r="P17">
            <v>1</v>
          </cell>
          <cell r="Q17">
            <v>0</v>
          </cell>
          <cell r="R17">
            <v>0</v>
          </cell>
          <cell r="S17">
            <v>0</v>
          </cell>
          <cell r="T17">
            <v>0</v>
          </cell>
          <cell r="U17">
            <v>0</v>
          </cell>
          <cell r="V17">
            <v>0</v>
          </cell>
          <cell r="W17">
            <v>0</v>
          </cell>
          <cell r="X17">
            <v>0</v>
          </cell>
          <cell r="Y17">
            <v>1</v>
          </cell>
          <cell r="Z17">
            <v>820</v>
          </cell>
          <cell r="AA17">
            <v>821</v>
          </cell>
          <cell r="AB17">
            <v>1E-3</v>
          </cell>
          <cell r="AC17" t="str">
            <v>COW543</v>
          </cell>
        </row>
        <row r="18">
          <cell r="G18">
            <v>0</v>
          </cell>
          <cell r="H18">
            <v>0</v>
          </cell>
          <cell r="I18">
            <v>8</v>
          </cell>
          <cell r="J18">
            <v>0</v>
          </cell>
          <cell r="K18">
            <v>0</v>
          </cell>
          <cell r="L18">
            <v>0</v>
          </cell>
          <cell r="M18">
            <v>0</v>
          </cell>
          <cell r="N18">
            <v>0</v>
          </cell>
          <cell r="O18">
            <v>4</v>
          </cell>
          <cell r="P18">
            <v>0</v>
          </cell>
          <cell r="Q18">
            <v>0</v>
          </cell>
          <cell r="R18">
            <v>0</v>
          </cell>
          <cell r="S18">
            <v>0</v>
          </cell>
          <cell r="T18">
            <v>0</v>
          </cell>
          <cell r="U18">
            <v>0</v>
          </cell>
          <cell r="V18">
            <v>0</v>
          </cell>
          <cell r="W18">
            <v>0</v>
          </cell>
          <cell r="X18">
            <v>0</v>
          </cell>
          <cell r="Y18">
            <v>12</v>
          </cell>
          <cell r="Z18">
            <v>590</v>
          </cell>
          <cell r="AA18">
            <v>602</v>
          </cell>
          <cell r="AB18">
            <v>0.02</v>
          </cell>
          <cell r="AC18" t="str">
            <v>MLC543</v>
          </cell>
        </row>
        <row r="19">
          <cell r="G19">
            <v>0</v>
          </cell>
          <cell r="H19">
            <v>0</v>
          </cell>
          <cell r="I19">
            <v>0</v>
          </cell>
          <cell r="J19">
            <v>0</v>
          </cell>
          <cell r="K19">
            <v>0</v>
          </cell>
          <cell r="L19">
            <v>0</v>
          </cell>
          <cell r="M19">
            <v>0</v>
          </cell>
          <cell r="N19">
            <v>0</v>
          </cell>
          <cell r="O19">
            <v>46</v>
          </cell>
          <cell r="P19">
            <v>12</v>
          </cell>
          <cell r="Q19">
            <v>0</v>
          </cell>
          <cell r="R19">
            <v>0</v>
          </cell>
          <cell r="S19">
            <v>0</v>
          </cell>
          <cell r="T19">
            <v>6</v>
          </cell>
          <cell r="U19">
            <v>23</v>
          </cell>
          <cell r="V19">
            <v>0</v>
          </cell>
          <cell r="W19">
            <v>0</v>
          </cell>
          <cell r="X19">
            <v>0</v>
          </cell>
          <cell r="Y19">
            <v>87</v>
          </cell>
          <cell r="Z19">
            <v>539</v>
          </cell>
          <cell r="AA19">
            <v>626</v>
          </cell>
          <cell r="AB19">
            <v>0.13900000000000001</v>
          </cell>
          <cell r="AC19" t="str">
            <v>BUTT543</v>
          </cell>
        </row>
        <row r="20">
          <cell r="G20">
            <v>0</v>
          </cell>
          <cell r="H20">
            <v>0</v>
          </cell>
          <cell r="I20">
            <v>638</v>
          </cell>
          <cell r="J20">
            <v>339</v>
          </cell>
          <cell r="K20">
            <v>0</v>
          </cell>
          <cell r="L20">
            <v>10</v>
          </cell>
          <cell r="M20">
            <v>0</v>
          </cell>
          <cell r="N20">
            <v>10</v>
          </cell>
          <cell r="O20">
            <v>302</v>
          </cell>
          <cell r="P20">
            <v>142</v>
          </cell>
          <cell r="Q20">
            <v>0</v>
          </cell>
          <cell r="R20">
            <v>75</v>
          </cell>
          <cell r="S20">
            <v>0</v>
          </cell>
          <cell r="T20">
            <v>19</v>
          </cell>
          <cell r="U20">
            <v>75</v>
          </cell>
          <cell r="V20">
            <v>9</v>
          </cell>
          <cell r="W20">
            <v>41</v>
          </cell>
          <cell r="X20">
            <v>0</v>
          </cell>
          <cell r="Y20">
            <v>1660</v>
          </cell>
          <cell r="Z20">
            <v>2629</v>
          </cell>
          <cell r="AA20">
            <v>4289</v>
          </cell>
          <cell r="AB20">
            <v>0.38700000000000001</v>
          </cell>
          <cell r="AC20" t="str">
            <v>USAC543</v>
          </cell>
        </row>
        <row r="21">
          <cell r="G21">
            <v>362</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362</v>
          </cell>
          <cell r="Z21">
            <v>1047</v>
          </cell>
          <cell r="AA21">
            <v>1409</v>
          </cell>
          <cell r="AB21">
            <v>0.25700000000000001</v>
          </cell>
          <cell r="AC21" t="str">
            <v>USAC544</v>
          </cell>
        </row>
        <row r="22">
          <cell r="G22">
            <v>0</v>
          </cell>
          <cell r="H22">
            <v>1</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1</v>
          </cell>
          <cell r="Z22">
            <v>3068</v>
          </cell>
          <cell r="AA22">
            <v>3069</v>
          </cell>
          <cell r="AB22">
            <v>0</v>
          </cell>
          <cell r="AC22" t="str">
            <v>USAC547</v>
          </cell>
        </row>
        <row r="23">
          <cell r="G23">
            <v>0</v>
          </cell>
          <cell r="H23">
            <v>0</v>
          </cell>
          <cell r="I23">
            <v>0</v>
          </cell>
          <cell r="J23">
            <v>4550</v>
          </cell>
          <cell r="K23">
            <v>1067</v>
          </cell>
          <cell r="L23">
            <v>1717</v>
          </cell>
          <cell r="M23">
            <v>10</v>
          </cell>
          <cell r="N23">
            <v>931</v>
          </cell>
          <cell r="O23">
            <v>21741</v>
          </cell>
          <cell r="P23">
            <v>2966</v>
          </cell>
          <cell r="Q23">
            <v>0</v>
          </cell>
          <cell r="R23">
            <v>162</v>
          </cell>
          <cell r="S23">
            <v>63</v>
          </cell>
          <cell r="T23">
            <v>30</v>
          </cell>
          <cell r="U23">
            <v>162</v>
          </cell>
          <cell r="V23">
            <v>10</v>
          </cell>
          <cell r="W23">
            <v>94</v>
          </cell>
          <cell r="X23">
            <v>0</v>
          </cell>
          <cell r="Y23">
            <v>33506</v>
          </cell>
          <cell r="Z23">
            <v>5236</v>
          </cell>
          <cell r="AA23">
            <v>38742</v>
          </cell>
          <cell r="AB23">
            <v>0.86499999999999999</v>
          </cell>
          <cell r="AC23" t="str">
            <v>FEAC543</v>
          </cell>
        </row>
        <row r="24">
          <cell r="G24">
            <v>0</v>
          </cell>
          <cell r="H24">
            <v>0</v>
          </cell>
          <cell r="I24">
            <v>0</v>
          </cell>
          <cell r="J24">
            <v>817</v>
          </cell>
          <cell r="K24">
            <v>33</v>
          </cell>
          <cell r="L24">
            <v>49</v>
          </cell>
          <cell r="M24">
            <v>0</v>
          </cell>
          <cell r="N24">
            <v>5</v>
          </cell>
          <cell r="O24">
            <v>286</v>
          </cell>
          <cell r="P24">
            <v>49</v>
          </cell>
          <cell r="Q24">
            <v>0</v>
          </cell>
          <cell r="R24">
            <v>43</v>
          </cell>
          <cell r="S24">
            <v>0</v>
          </cell>
          <cell r="T24">
            <v>5</v>
          </cell>
          <cell r="U24">
            <v>64</v>
          </cell>
          <cell r="V24">
            <v>5</v>
          </cell>
          <cell r="W24">
            <v>51</v>
          </cell>
          <cell r="X24">
            <v>0</v>
          </cell>
          <cell r="Y24">
            <v>1408</v>
          </cell>
          <cell r="Z24">
            <v>2157</v>
          </cell>
          <cell r="AA24">
            <v>3565</v>
          </cell>
          <cell r="AB24">
            <v>0.39500000000000002</v>
          </cell>
          <cell r="AC24" t="str">
            <v>YUBA543</v>
          </cell>
        </row>
        <row r="25">
          <cell r="G25">
            <v>0</v>
          </cell>
          <cell r="H25">
            <v>0</v>
          </cell>
          <cell r="I25">
            <v>0</v>
          </cell>
          <cell r="J25">
            <v>4372</v>
          </cell>
          <cell r="K25">
            <v>0</v>
          </cell>
          <cell r="L25">
            <v>3</v>
          </cell>
          <cell r="M25">
            <v>0</v>
          </cell>
          <cell r="N25">
            <v>0</v>
          </cell>
          <cell r="O25">
            <v>258</v>
          </cell>
          <cell r="P25">
            <v>42</v>
          </cell>
          <cell r="Q25">
            <v>397</v>
          </cell>
          <cell r="R25">
            <v>3331</v>
          </cell>
          <cell r="S25">
            <v>11</v>
          </cell>
          <cell r="T25">
            <v>14</v>
          </cell>
          <cell r="U25">
            <v>312</v>
          </cell>
          <cell r="V25">
            <v>10</v>
          </cell>
          <cell r="W25">
            <v>78</v>
          </cell>
          <cell r="X25">
            <v>0</v>
          </cell>
          <cell r="Y25">
            <v>8826</v>
          </cell>
          <cell r="Z25">
            <v>1658</v>
          </cell>
          <cell r="AA25">
            <v>10484</v>
          </cell>
          <cell r="AB25">
            <v>0.84199999999999997</v>
          </cell>
          <cell r="AC25" t="str">
            <v>LARC543</v>
          </cell>
        </row>
        <row r="26">
          <cell r="G26">
            <v>0</v>
          </cell>
          <cell r="H26">
            <v>0</v>
          </cell>
          <cell r="I26">
            <v>0</v>
          </cell>
          <cell r="J26">
            <v>442</v>
          </cell>
          <cell r="K26">
            <v>0</v>
          </cell>
          <cell r="L26">
            <v>6</v>
          </cell>
          <cell r="M26">
            <v>0</v>
          </cell>
          <cell r="N26">
            <v>3</v>
          </cell>
          <cell r="O26">
            <v>61</v>
          </cell>
          <cell r="P26">
            <v>13</v>
          </cell>
          <cell r="Q26">
            <v>10</v>
          </cell>
          <cell r="R26">
            <v>417</v>
          </cell>
          <cell r="S26">
            <v>7</v>
          </cell>
          <cell r="T26">
            <v>4</v>
          </cell>
          <cell r="U26">
            <v>84</v>
          </cell>
          <cell r="V26">
            <v>5</v>
          </cell>
          <cell r="W26">
            <v>16</v>
          </cell>
          <cell r="X26">
            <v>0</v>
          </cell>
          <cell r="Y26">
            <v>1068</v>
          </cell>
          <cell r="Z26">
            <v>2921</v>
          </cell>
          <cell r="AA26">
            <v>3989</v>
          </cell>
          <cell r="AB26">
            <v>0.26800000000000002</v>
          </cell>
          <cell r="AC26" t="str">
            <v>NIMW593</v>
          </cell>
        </row>
        <row r="27">
          <cell r="G27">
            <v>0</v>
          </cell>
          <cell r="H27">
            <v>0</v>
          </cell>
          <cell r="I27">
            <v>0</v>
          </cell>
          <cell r="J27">
            <v>8</v>
          </cell>
          <cell r="K27">
            <v>0</v>
          </cell>
          <cell r="L27">
            <v>0</v>
          </cell>
          <cell r="M27">
            <v>0</v>
          </cell>
          <cell r="N27">
            <v>0</v>
          </cell>
          <cell r="O27">
            <v>0</v>
          </cell>
          <cell r="P27">
            <v>1</v>
          </cell>
          <cell r="Q27">
            <v>0</v>
          </cell>
          <cell r="R27">
            <v>4</v>
          </cell>
          <cell r="S27">
            <v>0</v>
          </cell>
          <cell r="T27">
            <v>0</v>
          </cell>
          <cell r="U27">
            <v>8</v>
          </cell>
          <cell r="V27">
            <v>0</v>
          </cell>
          <cell r="W27">
            <v>0</v>
          </cell>
          <cell r="X27">
            <v>0</v>
          </cell>
          <cell r="Y27">
            <v>21</v>
          </cell>
          <cell r="Z27">
            <v>1227</v>
          </cell>
          <cell r="AA27">
            <v>1248</v>
          </cell>
          <cell r="AB27">
            <v>1.7000000000000001E-2</v>
          </cell>
          <cell r="AC27" t="str">
            <v>COSU543</v>
          </cell>
        </row>
        <row r="28">
          <cell r="G28">
            <v>0</v>
          </cell>
          <cell r="H28">
            <v>0</v>
          </cell>
          <cell r="I28">
            <v>0</v>
          </cell>
          <cell r="J28">
            <v>157</v>
          </cell>
          <cell r="K28">
            <v>0</v>
          </cell>
          <cell r="L28">
            <v>0</v>
          </cell>
          <cell r="M28">
            <v>0</v>
          </cell>
          <cell r="N28">
            <v>0</v>
          </cell>
          <cell r="O28">
            <v>38</v>
          </cell>
          <cell r="P28">
            <v>7</v>
          </cell>
          <cell r="Q28">
            <v>0</v>
          </cell>
          <cell r="R28">
            <v>678</v>
          </cell>
          <cell r="S28">
            <v>16</v>
          </cell>
          <cell r="T28">
            <v>24</v>
          </cell>
          <cell r="U28">
            <v>628</v>
          </cell>
          <cell r="V28">
            <v>18</v>
          </cell>
          <cell r="W28">
            <v>38</v>
          </cell>
          <cell r="X28">
            <v>0</v>
          </cell>
          <cell r="Y28">
            <v>1604</v>
          </cell>
          <cell r="Z28">
            <v>380</v>
          </cell>
          <cell r="AA28">
            <v>1984</v>
          </cell>
          <cell r="AB28">
            <v>0.80800000000000005</v>
          </cell>
          <cell r="AC28" t="str">
            <v>MOKE543</v>
          </cell>
        </row>
        <row r="29">
          <cell r="G29">
            <v>0</v>
          </cell>
          <cell r="H29">
            <v>0</v>
          </cell>
          <cell r="I29">
            <v>0</v>
          </cell>
          <cell r="J29">
            <v>661</v>
          </cell>
          <cell r="K29">
            <v>0</v>
          </cell>
          <cell r="L29">
            <v>0</v>
          </cell>
          <cell r="M29">
            <v>0</v>
          </cell>
          <cell r="N29">
            <v>0</v>
          </cell>
          <cell r="O29">
            <v>116</v>
          </cell>
          <cell r="P29">
            <v>0</v>
          </cell>
          <cell r="Q29">
            <v>0</v>
          </cell>
          <cell r="R29">
            <v>156</v>
          </cell>
          <cell r="S29">
            <v>38</v>
          </cell>
          <cell r="T29">
            <v>68</v>
          </cell>
          <cell r="U29">
            <v>5716</v>
          </cell>
          <cell r="V29">
            <v>0</v>
          </cell>
          <cell r="W29">
            <v>131</v>
          </cell>
          <cell r="X29">
            <v>0</v>
          </cell>
          <cell r="Y29">
            <v>6886</v>
          </cell>
          <cell r="Z29">
            <v>2306</v>
          </cell>
          <cell r="AA29">
            <v>9192</v>
          </cell>
          <cell r="AB29">
            <v>0.749</v>
          </cell>
          <cell r="AC29" t="str">
            <v>STA543</v>
          </cell>
        </row>
        <row r="30">
          <cell r="G30">
            <v>0</v>
          </cell>
          <cell r="H30">
            <v>0</v>
          </cell>
          <cell r="I30">
            <v>0</v>
          </cell>
          <cell r="J30">
            <v>297</v>
          </cell>
          <cell r="K30">
            <v>0</v>
          </cell>
          <cell r="L30">
            <v>0</v>
          </cell>
          <cell r="M30">
            <v>0</v>
          </cell>
          <cell r="N30">
            <v>0</v>
          </cell>
          <cell r="O30">
            <v>19</v>
          </cell>
          <cell r="P30">
            <v>5</v>
          </cell>
          <cell r="Q30">
            <v>0</v>
          </cell>
          <cell r="R30">
            <v>45</v>
          </cell>
          <cell r="S30">
            <v>5</v>
          </cell>
          <cell r="T30">
            <v>18</v>
          </cell>
          <cell r="U30">
            <v>769</v>
          </cell>
          <cell r="V30">
            <v>3</v>
          </cell>
          <cell r="W30">
            <v>39</v>
          </cell>
          <cell r="X30">
            <v>0</v>
          </cell>
          <cell r="Y30">
            <v>1200</v>
          </cell>
          <cell r="Z30">
            <v>157</v>
          </cell>
          <cell r="AA30">
            <v>1357</v>
          </cell>
          <cell r="AB30">
            <v>0.88400000000000001</v>
          </cell>
          <cell r="AC30" t="str">
            <v>TUO543</v>
          </cell>
        </row>
        <row r="31">
          <cell r="G31">
            <v>0</v>
          </cell>
          <cell r="H31">
            <v>0</v>
          </cell>
          <cell r="I31">
            <v>0</v>
          </cell>
          <cell r="J31">
            <v>337</v>
          </cell>
          <cell r="K31">
            <v>0</v>
          </cell>
          <cell r="L31">
            <v>0</v>
          </cell>
          <cell r="M31">
            <v>0</v>
          </cell>
          <cell r="N31">
            <v>0</v>
          </cell>
          <cell r="O31">
            <v>28</v>
          </cell>
          <cell r="P31">
            <v>17</v>
          </cell>
          <cell r="Q31">
            <v>0</v>
          </cell>
          <cell r="R31">
            <v>67</v>
          </cell>
          <cell r="S31">
            <v>0</v>
          </cell>
          <cell r="T31">
            <v>17</v>
          </cell>
          <cell r="U31">
            <v>2018</v>
          </cell>
          <cell r="V31">
            <v>28</v>
          </cell>
          <cell r="W31">
            <v>48</v>
          </cell>
          <cell r="X31">
            <v>0</v>
          </cell>
          <cell r="Y31">
            <v>2560</v>
          </cell>
          <cell r="Z31">
            <v>771</v>
          </cell>
          <cell r="AA31">
            <v>3331</v>
          </cell>
          <cell r="AB31">
            <v>0.76900000000000002</v>
          </cell>
          <cell r="AC31" t="str">
            <v>MER543</v>
          </cell>
        </row>
        <row r="32">
          <cell r="G32">
            <v>0</v>
          </cell>
          <cell r="H32">
            <v>0</v>
          </cell>
          <cell r="I32">
            <v>1608</v>
          </cell>
          <cell r="J32">
            <v>70</v>
          </cell>
          <cell r="K32">
            <v>0</v>
          </cell>
          <cell r="L32">
            <v>18</v>
          </cell>
          <cell r="M32">
            <v>0</v>
          </cell>
          <cell r="N32">
            <v>0</v>
          </cell>
          <cell r="O32">
            <v>70</v>
          </cell>
          <cell r="P32">
            <v>18</v>
          </cell>
          <cell r="Q32">
            <v>0</v>
          </cell>
          <cell r="R32">
            <v>0</v>
          </cell>
          <cell r="S32">
            <v>0</v>
          </cell>
          <cell r="T32">
            <v>0</v>
          </cell>
          <cell r="U32">
            <v>0</v>
          </cell>
          <cell r="V32">
            <v>0</v>
          </cell>
          <cell r="W32">
            <v>0</v>
          </cell>
          <cell r="X32">
            <v>0</v>
          </cell>
          <cell r="Y32">
            <v>1783</v>
          </cell>
          <cell r="Z32">
            <v>1100</v>
          </cell>
          <cell r="AA32">
            <v>2883</v>
          </cell>
          <cell r="AB32">
            <v>0.61799999999999999</v>
          </cell>
          <cell r="AC32" t="str">
            <v>SAK463</v>
          </cell>
        </row>
        <row r="33">
          <cell r="G33">
            <v>0</v>
          </cell>
          <cell r="H33">
            <v>0</v>
          </cell>
          <cell r="I33">
            <v>260</v>
          </cell>
          <cell r="J33">
            <v>2741</v>
          </cell>
          <cell r="K33">
            <v>0</v>
          </cell>
          <cell r="L33">
            <v>0</v>
          </cell>
          <cell r="M33">
            <v>0</v>
          </cell>
          <cell r="N33">
            <v>0</v>
          </cell>
          <cell r="O33">
            <v>1182</v>
          </cell>
          <cell r="P33">
            <v>67</v>
          </cell>
          <cell r="Q33">
            <v>0</v>
          </cell>
          <cell r="R33">
            <v>1822</v>
          </cell>
          <cell r="S33">
            <v>0</v>
          </cell>
          <cell r="T33">
            <v>33</v>
          </cell>
          <cell r="U33">
            <v>391</v>
          </cell>
          <cell r="V33">
            <v>131</v>
          </cell>
          <cell r="W33">
            <v>0</v>
          </cell>
          <cell r="X33">
            <v>0</v>
          </cell>
          <cell r="Y33">
            <v>6626</v>
          </cell>
          <cell r="Z33">
            <v>1784</v>
          </cell>
          <cell r="AA33">
            <v>8410</v>
          </cell>
          <cell r="AB33">
            <v>0.78800000000000003</v>
          </cell>
          <cell r="AC33" t="str">
            <v>SBK463</v>
          </cell>
        </row>
        <row r="34">
          <cell r="G34">
            <v>0</v>
          </cell>
          <cell r="H34">
            <v>73</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73</v>
          </cell>
          <cell r="Z34">
            <v>57</v>
          </cell>
          <cell r="AA34">
            <v>130</v>
          </cell>
          <cell r="AB34">
            <v>0.56200000000000006</v>
          </cell>
          <cell r="AC34" t="str">
            <v>SAK467</v>
          </cell>
        </row>
        <row r="35">
          <cell r="G35">
            <v>0</v>
          </cell>
          <cell r="H35">
            <v>0</v>
          </cell>
          <cell r="I35">
            <v>63</v>
          </cell>
          <cell r="J35">
            <v>1079</v>
          </cell>
          <cell r="K35">
            <v>16</v>
          </cell>
          <cell r="L35">
            <v>32</v>
          </cell>
          <cell r="M35">
            <v>0</v>
          </cell>
          <cell r="N35">
            <v>96</v>
          </cell>
          <cell r="O35">
            <v>3356</v>
          </cell>
          <cell r="P35">
            <v>677</v>
          </cell>
          <cell r="Q35">
            <v>0</v>
          </cell>
          <cell r="R35">
            <v>0</v>
          </cell>
          <cell r="S35">
            <v>0</v>
          </cell>
          <cell r="T35">
            <v>0</v>
          </cell>
          <cell r="U35">
            <v>0</v>
          </cell>
          <cell r="V35">
            <v>0</v>
          </cell>
          <cell r="W35">
            <v>0</v>
          </cell>
          <cell r="X35">
            <v>0</v>
          </cell>
          <cell r="Y35">
            <v>5319</v>
          </cell>
          <cell r="Z35">
            <v>1049</v>
          </cell>
          <cell r="AA35">
            <v>6368</v>
          </cell>
          <cell r="AB35">
            <v>0.83499999999999996</v>
          </cell>
          <cell r="AC35" t="str">
            <v>FEA463</v>
          </cell>
        </row>
        <row r="36">
          <cell r="G36">
            <v>0</v>
          </cell>
          <cell r="H36">
            <v>0</v>
          </cell>
          <cell r="I36">
            <v>0</v>
          </cell>
          <cell r="J36">
            <v>8900</v>
          </cell>
          <cell r="K36">
            <v>0</v>
          </cell>
          <cell r="L36">
            <v>64</v>
          </cell>
          <cell r="M36">
            <v>0</v>
          </cell>
          <cell r="N36">
            <v>128</v>
          </cell>
          <cell r="O36">
            <v>1664</v>
          </cell>
          <cell r="P36">
            <v>257</v>
          </cell>
          <cell r="Q36">
            <v>127</v>
          </cell>
          <cell r="R36">
            <v>3676</v>
          </cell>
          <cell r="S36">
            <v>0</v>
          </cell>
          <cell r="T36">
            <v>32</v>
          </cell>
          <cell r="U36">
            <v>636</v>
          </cell>
          <cell r="V36">
            <v>0</v>
          </cell>
          <cell r="W36">
            <v>140</v>
          </cell>
          <cell r="X36">
            <v>0</v>
          </cell>
          <cell r="Y36">
            <v>15623</v>
          </cell>
          <cell r="Z36">
            <v>2236</v>
          </cell>
          <cell r="AA36">
            <v>17859</v>
          </cell>
          <cell r="AB36">
            <v>0.875</v>
          </cell>
          <cell r="AC36" t="str">
            <v>AMN463</v>
          </cell>
        </row>
        <row r="37">
          <cell r="G37">
            <v>0</v>
          </cell>
          <cell r="H37">
            <v>0</v>
          </cell>
          <cell r="I37">
            <v>0</v>
          </cell>
          <cell r="J37">
            <v>212</v>
          </cell>
          <cell r="K37">
            <v>0</v>
          </cell>
          <cell r="L37">
            <v>0</v>
          </cell>
          <cell r="M37">
            <v>0</v>
          </cell>
          <cell r="N37">
            <v>0</v>
          </cell>
          <cell r="O37">
            <v>71</v>
          </cell>
          <cell r="P37">
            <v>18</v>
          </cell>
          <cell r="Q37">
            <v>0</v>
          </cell>
          <cell r="R37">
            <v>281</v>
          </cell>
          <cell r="S37">
            <v>0</v>
          </cell>
          <cell r="T37">
            <v>0</v>
          </cell>
          <cell r="U37">
            <v>423</v>
          </cell>
          <cell r="V37">
            <v>0</v>
          </cell>
          <cell r="W37">
            <v>0</v>
          </cell>
          <cell r="X37">
            <v>0</v>
          </cell>
          <cell r="Y37">
            <v>1006</v>
          </cell>
          <cell r="Z37">
            <v>0</v>
          </cell>
          <cell r="AA37">
            <v>1006</v>
          </cell>
          <cell r="AB37">
            <v>1</v>
          </cell>
          <cell r="AC37" t="str">
            <v>MOK463</v>
          </cell>
        </row>
      </sheetData>
      <sheetData sheetId="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 9 proportion "/>
      <sheetName val="Table 10 CWTs exp"/>
      <sheetName val="Table text"/>
      <sheetName val="Tab 10 xtra stray calculation"/>
      <sheetName val="inland_taf_hatchgrp_tableraw&amp;yy"/>
      <sheetName val="hatchery proportion only"/>
    </sheetNames>
    <sheetDataSet>
      <sheetData sheetId="0" refreshError="1"/>
      <sheetData sheetId="1">
        <row r="3">
          <cell r="H3" t="str">
            <v>CFH</v>
          </cell>
          <cell r="K3" t="str">
            <v>FRH</v>
          </cell>
          <cell r="R3" t="str">
            <v>NIM</v>
          </cell>
          <cell r="T3" t="str">
            <v>MOK</v>
          </cell>
          <cell r="X3" t="str">
            <v>MER</v>
          </cell>
        </row>
        <row r="4">
          <cell r="G4" t="str">
            <v>SacW</v>
          </cell>
          <cell r="H4" t="str">
            <v>CFHLh</v>
          </cell>
          <cell r="I4" t="str">
            <v>CFHFh</v>
          </cell>
          <cell r="J4" t="str">
            <v>CFHFn</v>
          </cell>
          <cell r="K4" t="str">
            <v>FRHS</v>
          </cell>
          <cell r="L4" t="str">
            <v>FRHSn</v>
          </cell>
          <cell r="M4" t="str">
            <v>FRHF</v>
          </cell>
          <cell r="N4" t="str">
            <v>FRHFn</v>
          </cell>
          <cell r="O4" t="str">
            <v>FRHFnc</v>
          </cell>
          <cell r="P4" t="str">
            <v>FRHFb</v>
          </cell>
          <cell r="Q4" t="str">
            <v>FRHFk</v>
          </cell>
          <cell r="R4" t="str">
            <v>NIMF</v>
          </cell>
          <cell r="S4" t="str">
            <v>NIMFn</v>
          </cell>
          <cell r="T4" t="str">
            <v>MOKF</v>
          </cell>
          <cell r="U4" t="str">
            <v>MOKFn</v>
          </cell>
          <cell r="V4" t="str">
            <v>MOKFnc</v>
          </cell>
          <cell r="W4" t="str">
            <v>MOKFb</v>
          </cell>
          <cell r="X4" t="str">
            <v>MERFn</v>
          </cell>
        </row>
        <row r="6">
          <cell r="A6" t="str">
            <v>KESW504</v>
          </cell>
          <cell r="E6" t="str">
            <v>Keswick Dam Fish Trap</v>
          </cell>
          <cell r="F6" t="str">
            <v>Winter</v>
          </cell>
          <cell r="G6">
            <v>168</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AA6">
            <v>180</v>
          </cell>
          <cell r="AD6">
            <v>0.93300000000000005</v>
          </cell>
        </row>
        <row r="7">
          <cell r="A7" t="str">
            <v>FRFH501</v>
          </cell>
          <cell r="B7" t="str">
            <v>FRFH</v>
          </cell>
          <cell r="C7">
            <v>50</v>
          </cell>
          <cell r="D7">
            <v>1</v>
          </cell>
          <cell r="E7" t="str">
            <v>Feather River Hatchery</v>
          </cell>
          <cell r="F7" t="str">
            <v>Spring</v>
          </cell>
          <cell r="G7">
            <v>0</v>
          </cell>
          <cell r="H7">
            <v>0</v>
          </cell>
          <cell r="I7">
            <v>0</v>
          </cell>
          <cell r="J7">
            <v>0</v>
          </cell>
          <cell r="K7">
            <v>412</v>
          </cell>
          <cell r="L7">
            <v>80</v>
          </cell>
          <cell r="M7">
            <v>0</v>
          </cell>
          <cell r="N7">
            <v>73</v>
          </cell>
          <cell r="O7">
            <v>0</v>
          </cell>
          <cell r="P7">
            <v>2</v>
          </cell>
          <cell r="Q7">
            <v>0</v>
          </cell>
          <cell r="R7">
            <v>0</v>
          </cell>
          <cell r="S7">
            <v>0</v>
          </cell>
          <cell r="T7">
            <v>0</v>
          </cell>
          <cell r="U7">
            <v>0</v>
          </cell>
          <cell r="V7">
            <v>0</v>
          </cell>
          <cell r="W7">
            <v>0</v>
          </cell>
          <cell r="X7">
            <v>0</v>
          </cell>
          <cell r="AA7">
            <v>580</v>
          </cell>
          <cell r="AD7">
            <v>0.97799999999999998</v>
          </cell>
        </row>
        <row r="8">
          <cell r="A8" t="str">
            <v>KESW503</v>
          </cell>
          <cell r="B8" t="str">
            <v>KESW</v>
          </cell>
          <cell r="C8">
            <v>50</v>
          </cell>
          <cell r="D8">
            <v>3</v>
          </cell>
          <cell r="E8" t="str">
            <v>Keswick Dam Fish Trap</v>
          </cell>
          <cell r="F8" t="str">
            <v>Fall</v>
          </cell>
          <cell r="G8">
            <v>0</v>
          </cell>
          <cell r="H8">
            <v>0</v>
          </cell>
          <cell r="I8">
            <v>28</v>
          </cell>
          <cell r="J8">
            <v>0</v>
          </cell>
          <cell r="K8">
            <v>0</v>
          </cell>
          <cell r="L8">
            <v>0</v>
          </cell>
          <cell r="M8">
            <v>0</v>
          </cell>
          <cell r="N8">
            <v>12</v>
          </cell>
          <cell r="O8">
            <v>6</v>
          </cell>
          <cell r="P8">
            <v>0</v>
          </cell>
          <cell r="Q8">
            <v>0</v>
          </cell>
          <cell r="R8">
            <v>0</v>
          </cell>
          <cell r="S8">
            <v>4</v>
          </cell>
          <cell r="T8">
            <v>0</v>
          </cell>
          <cell r="U8">
            <v>4</v>
          </cell>
          <cell r="V8">
            <v>0</v>
          </cell>
          <cell r="W8">
            <v>0</v>
          </cell>
          <cell r="X8">
            <v>0</v>
          </cell>
          <cell r="AA8">
            <v>111</v>
          </cell>
          <cell r="AD8">
            <v>0.48599999999999999</v>
          </cell>
        </row>
        <row r="9">
          <cell r="A9" t="str">
            <v>CNFH503</v>
          </cell>
          <cell r="B9" t="str">
            <v>CNFH</v>
          </cell>
          <cell r="C9">
            <v>50</v>
          </cell>
          <cell r="D9">
            <v>3</v>
          </cell>
          <cell r="E9" t="str">
            <v>Coleman National Fish Hatchery</v>
          </cell>
          <cell r="F9" t="str">
            <v>Fall</v>
          </cell>
          <cell r="G9">
            <v>0</v>
          </cell>
          <cell r="H9">
            <v>0</v>
          </cell>
          <cell r="I9">
            <v>5464</v>
          </cell>
          <cell r="J9">
            <v>28</v>
          </cell>
          <cell r="K9">
            <v>1</v>
          </cell>
          <cell r="L9">
            <v>0</v>
          </cell>
          <cell r="M9">
            <v>0</v>
          </cell>
          <cell r="N9">
            <v>8</v>
          </cell>
          <cell r="O9">
            <v>1</v>
          </cell>
          <cell r="P9">
            <v>0</v>
          </cell>
          <cell r="Q9">
            <v>0</v>
          </cell>
          <cell r="R9">
            <v>0</v>
          </cell>
          <cell r="S9">
            <v>8</v>
          </cell>
          <cell r="T9">
            <v>0</v>
          </cell>
          <cell r="U9">
            <v>40</v>
          </cell>
          <cell r="V9">
            <v>3</v>
          </cell>
          <cell r="W9">
            <v>1</v>
          </cell>
          <cell r="X9">
            <v>2</v>
          </cell>
          <cell r="AA9">
            <v>6396</v>
          </cell>
          <cell r="AD9">
            <v>0.86899999999999999</v>
          </cell>
        </row>
        <row r="10">
          <cell r="A10" t="str">
            <v>FRFH503</v>
          </cell>
          <cell r="B10" t="str">
            <v>FRFH</v>
          </cell>
          <cell r="C10">
            <v>50</v>
          </cell>
          <cell r="D10">
            <v>3</v>
          </cell>
          <cell r="E10" t="str">
            <v>Feather River Hatchery</v>
          </cell>
          <cell r="F10" t="str">
            <v>Fall</v>
          </cell>
          <cell r="G10">
            <v>0</v>
          </cell>
          <cell r="H10">
            <v>2</v>
          </cell>
          <cell r="I10">
            <v>4</v>
          </cell>
          <cell r="J10">
            <v>341</v>
          </cell>
          <cell r="K10">
            <v>579</v>
          </cell>
          <cell r="L10">
            <v>61</v>
          </cell>
          <cell r="M10">
            <v>44</v>
          </cell>
          <cell r="N10">
            <v>21293</v>
          </cell>
          <cell r="O10">
            <v>1419</v>
          </cell>
          <cell r="P10">
            <v>38</v>
          </cell>
          <cell r="Q10">
            <v>10</v>
          </cell>
          <cell r="R10">
            <v>0</v>
          </cell>
          <cell r="S10">
            <v>96</v>
          </cell>
          <cell r="T10">
            <v>5</v>
          </cell>
          <cell r="U10">
            <v>241</v>
          </cell>
          <cell r="V10">
            <v>80</v>
          </cell>
          <cell r="W10">
            <v>22</v>
          </cell>
          <cell r="X10">
            <v>106</v>
          </cell>
          <cell r="AA10">
            <v>25046</v>
          </cell>
          <cell r="AD10">
            <v>0.97199999999999998</v>
          </cell>
        </row>
        <row r="11">
          <cell r="A11" t="str">
            <v>NBFH503</v>
          </cell>
          <cell r="B11" t="str">
            <v>NBFH</v>
          </cell>
          <cell r="C11">
            <v>50</v>
          </cell>
          <cell r="D11">
            <v>3</v>
          </cell>
          <cell r="E11" t="str">
            <v>Nimbus Fish Hatchery</v>
          </cell>
          <cell r="F11" t="str">
            <v>Fall</v>
          </cell>
          <cell r="G11">
            <v>0</v>
          </cell>
          <cell r="H11">
            <v>2</v>
          </cell>
          <cell r="I11">
            <v>0</v>
          </cell>
          <cell r="J11">
            <v>2404</v>
          </cell>
          <cell r="K11">
            <v>0</v>
          </cell>
          <cell r="L11">
            <v>0</v>
          </cell>
          <cell r="M11">
            <v>0</v>
          </cell>
          <cell r="N11">
            <v>967</v>
          </cell>
          <cell r="O11">
            <v>175</v>
          </cell>
          <cell r="P11">
            <v>3</v>
          </cell>
          <cell r="Q11">
            <v>0</v>
          </cell>
          <cell r="R11">
            <v>132</v>
          </cell>
          <cell r="S11">
            <v>4402</v>
          </cell>
          <cell r="T11">
            <v>16</v>
          </cell>
          <cell r="U11">
            <v>970</v>
          </cell>
          <cell r="V11">
            <v>286</v>
          </cell>
          <cell r="W11">
            <v>75</v>
          </cell>
          <cell r="X11">
            <v>110</v>
          </cell>
          <cell r="AA11">
            <v>10579</v>
          </cell>
          <cell r="AD11">
            <v>0.90200000000000002</v>
          </cell>
        </row>
        <row r="12">
          <cell r="A12" t="str">
            <v>MRFI503</v>
          </cell>
          <cell r="B12" t="str">
            <v>MRFI</v>
          </cell>
          <cell r="C12">
            <v>50</v>
          </cell>
          <cell r="D12">
            <v>3</v>
          </cell>
          <cell r="E12" t="str">
            <v>Mokelumne River Hatchery</v>
          </cell>
          <cell r="F12" t="str">
            <v>Fall</v>
          </cell>
          <cell r="G12">
            <v>0</v>
          </cell>
          <cell r="H12">
            <v>7</v>
          </cell>
          <cell r="I12">
            <v>0</v>
          </cell>
          <cell r="J12">
            <v>507</v>
          </cell>
          <cell r="K12">
            <v>0</v>
          </cell>
          <cell r="L12">
            <v>0</v>
          </cell>
          <cell r="M12">
            <v>0</v>
          </cell>
          <cell r="N12">
            <v>695</v>
          </cell>
          <cell r="O12">
            <v>89</v>
          </cell>
          <cell r="P12">
            <v>0</v>
          </cell>
          <cell r="Q12">
            <v>0</v>
          </cell>
          <cell r="R12">
            <v>4</v>
          </cell>
          <cell r="S12">
            <v>2172</v>
          </cell>
          <cell r="T12">
            <v>114</v>
          </cell>
          <cell r="U12">
            <v>7209</v>
          </cell>
          <cell r="V12">
            <v>1520</v>
          </cell>
          <cell r="W12">
            <v>796</v>
          </cell>
          <cell r="X12">
            <v>336</v>
          </cell>
          <cell r="AA12">
            <v>14319</v>
          </cell>
          <cell r="AD12">
            <v>0.93899999999999995</v>
          </cell>
        </row>
        <row r="13">
          <cell r="A13" t="str">
            <v>MRFF503</v>
          </cell>
          <cell r="B13" t="str">
            <v>MRFF</v>
          </cell>
          <cell r="C13">
            <v>50</v>
          </cell>
          <cell r="D13">
            <v>3</v>
          </cell>
          <cell r="E13" t="str">
            <v>Merced River Hatchery</v>
          </cell>
          <cell r="F13" t="str">
            <v>Fall</v>
          </cell>
          <cell r="G13">
            <v>0</v>
          </cell>
          <cell r="H13">
            <v>1</v>
          </cell>
          <cell r="I13">
            <v>0</v>
          </cell>
          <cell r="J13">
            <v>129</v>
          </cell>
          <cell r="K13">
            <v>0</v>
          </cell>
          <cell r="L13">
            <v>0</v>
          </cell>
          <cell r="M13">
            <v>0</v>
          </cell>
          <cell r="N13">
            <v>100</v>
          </cell>
          <cell r="O13">
            <v>5</v>
          </cell>
          <cell r="P13">
            <v>0</v>
          </cell>
          <cell r="Q13">
            <v>0</v>
          </cell>
          <cell r="R13">
            <v>0</v>
          </cell>
          <cell r="S13">
            <v>116</v>
          </cell>
          <cell r="T13">
            <v>7</v>
          </cell>
          <cell r="U13">
            <v>926</v>
          </cell>
          <cell r="V13">
            <v>82</v>
          </cell>
          <cell r="W13">
            <v>30</v>
          </cell>
          <cell r="X13">
            <v>238</v>
          </cell>
          <cell r="AA13">
            <v>1701</v>
          </cell>
          <cell r="AD13">
            <v>0.96099999999999997</v>
          </cell>
        </row>
        <row r="14">
          <cell r="A14" t="str">
            <v>CNFH507</v>
          </cell>
          <cell r="B14" t="str">
            <v>CNFH</v>
          </cell>
          <cell r="C14">
            <v>50</v>
          </cell>
          <cell r="D14">
            <v>7</v>
          </cell>
          <cell r="E14" t="str">
            <v xml:space="preserve">Coleman National Fish Hatchery </v>
          </cell>
          <cell r="G14">
            <v>0</v>
          </cell>
          <cell r="H14">
            <v>3906</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AA14">
            <v>3906</v>
          </cell>
          <cell r="AD14">
            <v>1</v>
          </cell>
        </row>
        <row r="15">
          <cell r="A15" t="str">
            <v>CNFW527</v>
          </cell>
          <cell r="B15" t="str">
            <v>CNFW</v>
          </cell>
          <cell r="C15">
            <v>52</v>
          </cell>
          <cell r="D15">
            <v>7</v>
          </cell>
          <cell r="E15" t="str">
            <v>Coleman Hatchery Fish Trap</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AA15">
            <v>0</v>
          </cell>
          <cell r="AD15">
            <v>0</v>
          </cell>
        </row>
        <row r="16">
          <cell r="B16" t="str">
            <v>KESW</v>
          </cell>
          <cell r="C16">
            <v>50</v>
          </cell>
          <cell r="D16">
            <v>7</v>
          </cell>
          <cell r="E16" t="str">
            <v>Keswick Dam Fish Trap</v>
          </cell>
          <cell r="H16">
            <v>2</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AA16">
            <v>18</v>
          </cell>
        </row>
        <row r="17">
          <cell r="G17">
            <v>0</v>
          </cell>
          <cell r="H17">
            <v>12</v>
          </cell>
          <cell r="I17">
            <v>5496</v>
          </cell>
          <cell r="J17">
            <v>3409</v>
          </cell>
          <cell r="K17">
            <v>580</v>
          </cell>
          <cell r="L17">
            <v>61</v>
          </cell>
          <cell r="M17">
            <v>44</v>
          </cell>
          <cell r="N17">
            <v>23075</v>
          </cell>
          <cell r="O17">
            <v>1695</v>
          </cell>
          <cell r="P17">
            <v>41</v>
          </cell>
          <cell r="Q17">
            <v>10</v>
          </cell>
          <cell r="R17">
            <v>136</v>
          </cell>
          <cell r="S17">
            <v>6798</v>
          </cell>
          <cell r="T17">
            <v>142</v>
          </cell>
          <cell r="U17">
            <v>9390</v>
          </cell>
          <cell r="V17">
            <v>1971</v>
          </cell>
          <cell r="W17">
            <v>924</v>
          </cell>
          <cell r="X17">
            <v>792</v>
          </cell>
          <cell r="Z17">
            <v>3576</v>
          </cell>
          <cell r="AA17">
            <v>58152</v>
          </cell>
          <cell r="AD17">
            <v>0.93850598431696242</v>
          </cell>
        </row>
        <row r="19">
          <cell r="A19" t="str">
            <v>USAC544</v>
          </cell>
          <cell r="B19" t="str">
            <v>USAC</v>
          </cell>
          <cell r="C19">
            <v>54</v>
          </cell>
          <cell r="D19">
            <v>4</v>
          </cell>
          <cell r="E19" t="str">
            <v>Upper Sacramento River</v>
          </cell>
          <cell r="F19" t="str">
            <v>Winter</v>
          </cell>
          <cell r="G19">
            <v>652</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AA19">
            <v>795</v>
          </cell>
          <cell r="AD19">
            <v>0.82</v>
          </cell>
        </row>
        <row r="20">
          <cell r="A20" t="str">
            <v>BUTT541</v>
          </cell>
          <cell r="B20" t="str">
            <v>BUTT</v>
          </cell>
          <cell r="C20">
            <v>54</v>
          </cell>
          <cell r="D20">
            <v>1</v>
          </cell>
          <cell r="E20" t="str">
            <v>Butte Creek</v>
          </cell>
          <cell r="F20" t="str">
            <v>Spring</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AA20">
            <v>515</v>
          </cell>
          <cell r="AD20">
            <v>0</v>
          </cell>
        </row>
        <row r="21">
          <cell r="A21" t="str">
            <v>USAC543</v>
          </cell>
          <cell r="B21" t="str">
            <v>USAC</v>
          </cell>
          <cell r="C21">
            <v>54</v>
          </cell>
          <cell r="D21">
            <v>3</v>
          </cell>
          <cell r="E21" t="str">
            <v>Upper Sacramento River</v>
          </cell>
          <cell r="F21" t="str">
            <v>Fall</v>
          </cell>
          <cell r="G21">
            <v>0</v>
          </cell>
          <cell r="H21">
            <v>0</v>
          </cell>
          <cell r="I21">
            <v>127</v>
          </cell>
          <cell r="J21">
            <v>128</v>
          </cell>
          <cell r="K21">
            <v>0</v>
          </cell>
          <cell r="L21">
            <v>0</v>
          </cell>
          <cell r="M21">
            <v>0</v>
          </cell>
          <cell r="N21">
            <v>64</v>
          </cell>
          <cell r="O21">
            <v>16</v>
          </cell>
          <cell r="P21">
            <v>0</v>
          </cell>
          <cell r="Q21">
            <v>0</v>
          </cell>
          <cell r="R21">
            <v>0</v>
          </cell>
          <cell r="S21">
            <v>0</v>
          </cell>
          <cell r="T21">
            <v>0</v>
          </cell>
          <cell r="U21">
            <v>0</v>
          </cell>
          <cell r="V21">
            <v>24</v>
          </cell>
          <cell r="W21">
            <v>0</v>
          </cell>
          <cell r="X21">
            <v>15</v>
          </cell>
          <cell r="AA21">
            <v>1752</v>
          </cell>
          <cell r="AD21">
            <v>0.21299999999999999</v>
          </cell>
        </row>
        <row r="22">
          <cell r="A22" t="str">
            <v>CLR543</v>
          </cell>
          <cell r="B22" t="str">
            <v>CLR</v>
          </cell>
          <cell r="C22">
            <v>54</v>
          </cell>
          <cell r="D22">
            <v>3</v>
          </cell>
          <cell r="E22" t="str">
            <v>Clear Creek</v>
          </cell>
          <cell r="F22" t="str">
            <v>Fall</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AA22">
            <v>0</v>
          </cell>
          <cell r="AD22">
            <v>0</v>
          </cell>
        </row>
        <row r="23">
          <cell r="A23" t="str">
            <v>BATT543</v>
          </cell>
          <cell r="B23" t="str">
            <v>BATT</v>
          </cell>
          <cell r="C23">
            <v>54</v>
          </cell>
          <cell r="D23">
            <v>3</v>
          </cell>
          <cell r="F23" t="str">
            <v>Fall</v>
          </cell>
          <cell r="G23">
            <v>0</v>
          </cell>
          <cell r="H23">
            <v>0</v>
          </cell>
          <cell r="I23">
            <v>300</v>
          </cell>
          <cell r="J23">
            <v>2</v>
          </cell>
          <cell r="K23">
            <v>0</v>
          </cell>
          <cell r="L23">
            <v>0</v>
          </cell>
          <cell r="M23">
            <v>0</v>
          </cell>
          <cell r="N23">
            <v>0</v>
          </cell>
          <cell r="O23">
            <v>0</v>
          </cell>
          <cell r="P23">
            <v>0</v>
          </cell>
          <cell r="Q23">
            <v>0</v>
          </cell>
          <cell r="R23">
            <v>0</v>
          </cell>
          <cell r="S23">
            <v>0</v>
          </cell>
          <cell r="T23">
            <v>0</v>
          </cell>
          <cell r="U23">
            <v>2</v>
          </cell>
          <cell r="V23">
            <v>0</v>
          </cell>
          <cell r="W23">
            <v>0</v>
          </cell>
          <cell r="X23">
            <v>0</v>
          </cell>
          <cell r="AA23">
            <v>353</v>
          </cell>
          <cell r="AD23">
            <v>0.86118980169971671</v>
          </cell>
        </row>
        <row r="24">
          <cell r="A24" t="str">
            <v>COT543</v>
          </cell>
          <cell r="B24" t="str">
            <v>COT</v>
          </cell>
          <cell r="C24">
            <v>54</v>
          </cell>
          <cell r="D24">
            <v>3</v>
          </cell>
          <cell r="E24" t="str">
            <v>Cottonwood Creek*</v>
          </cell>
          <cell r="F24" t="str">
            <v>Fall</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AA24">
            <v>0</v>
          </cell>
          <cell r="AD24">
            <v>0</v>
          </cell>
        </row>
        <row r="25">
          <cell r="A25" t="str">
            <v>COW543</v>
          </cell>
          <cell r="B25" t="str">
            <v>COW</v>
          </cell>
          <cell r="C25">
            <v>54</v>
          </cell>
          <cell r="D25">
            <v>3</v>
          </cell>
          <cell r="E25" t="str">
            <v>Cow Creek*</v>
          </cell>
          <cell r="F25" t="str">
            <v>Fall</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AA25">
            <v>0</v>
          </cell>
          <cell r="AD25">
            <v>0</v>
          </cell>
        </row>
        <row r="26">
          <cell r="A26" t="str">
            <v>MLC543</v>
          </cell>
          <cell r="B26" t="str">
            <v>MLC</v>
          </cell>
          <cell r="C26">
            <v>54</v>
          </cell>
          <cell r="D26">
            <v>3</v>
          </cell>
          <cell r="E26" t="str">
            <v>Mill Creek*</v>
          </cell>
          <cell r="F26" t="str">
            <v>Fall</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AA26">
            <v>0</v>
          </cell>
          <cell r="AD26">
            <v>0</v>
          </cell>
        </row>
        <row r="27">
          <cell r="A27" t="str">
            <v>BUTT543</v>
          </cell>
          <cell r="B27" t="str">
            <v>BUTT</v>
          </cell>
          <cell r="C27">
            <v>54</v>
          </cell>
          <cell r="D27">
            <v>3</v>
          </cell>
          <cell r="E27" t="str">
            <v>Butte Creek</v>
          </cell>
          <cell r="F27" t="str">
            <v>Fall</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AA27">
            <v>105</v>
          </cell>
          <cell r="AD27">
            <v>0</v>
          </cell>
        </row>
        <row r="28">
          <cell r="A28" t="str">
            <v>FEA543</v>
          </cell>
          <cell r="B28" t="str">
            <v>FEA</v>
          </cell>
          <cell r="C28">
            <v>54</v>
          </cell>
          <cell r="D28">
            <v>3</v>
          </cell>
          <cell r="E28" t="str">
            <v>Feather River</v>
          </cell>
          <cell r="F28" t="str">
            <v>Fall</v>
          </cell>
          <cell r="G28">
            <v>0</v>
          </cell>
          <cell r="H28">
            <v>0</v>
          </cell>
          <cell r="I28">
            <v>0</v>
          </cell>
          <cell r="J28">
            <v>533</v>
          </cell>
          <cell r="K28">
            <v>34</v>
          </cell>
          <cell r="L28">
            <v>34</v>
          </cell>
          <cell r="M28">
            <v>0</v>
          </cell>
          <cell r="N28">
            <v>7668</v>
          </cell>
          <cell r="O28">
            <v>1046</v>
          </cell>
          <cell r="P28">
            <v>22</v>
          </cell>
          <cell r="Q28">
            <v>11</v>
          </cell>
          <cell r="R28">
            <v>0</v>
          </cell>
          <cell r="S28">
            <v>88</v>
          </cell>
          <cell r="T28">
            <v>0</v>
          </cell>
          <cell r="U28">
            <v>89</v>
          </cell>
          <cell r="V28">
            <v>66</v>
          </cell>
          <cell r="W28">
            <v>0</v>
          </cell>
          <cell r="X28">
            <v>107</v>
          </cell>
          <cell r="AA28">
            <v>10534</v>
          </cell>
          <cell r="AD28">
            <v>0.92100000000000004</v>
          </cell>
        </row>
        <row r="29">
          <cell r="A29" t="str">
            <v>YUBA543</v>
          </cell>
          <cell r="B29" t="str">
            <v>YUBA</v>
          </cell>
          <cell r="C29">
            <v>54</v>
          </cell>
          <cell r="D29">
            <v>3</v>
          </cell>
          <cell r="E29" t="str">
            <v>Yuba River</v>
          </cell>
          <cell r="F29" t="str">
            <v>Fall</v>
          </cell>
          <cell r="G29">
            <v>0</v>
          </cell>
          <cell r="H29">
            <v>0</v>
          </cell>
          <cell r="I29">
            <v>0</v>
          </cell>
          <cell r="J29">
            <v>939</v>
          </cell>
          <cell r="K29">
            <v>20</v>
          </cell>
          <cell r="L29">
            <v>0</v>
          </cell>
          <cell r="M29">
            <v>0</v>
          </cell>
          <cell r="N29">
            <v>157</v>
          </cell>
          <cell r="O29">
            <v>20</v>
          </cell>
          <cell r="P29">
            <v>0</v>
          </cell>
          <cell r="Q29">
            <v>0</v>
          </cell>
          <cell r="R29">
            <v>0</v>
          </cell>
          <cell r="S29">
            <v>156</v>
          </cell>
          <cell r="T29">
            <v>0</v>
          </cell>
          <cell r="U29">
            <v>78</v>
          </cell>
          <cell r="V29">
            <v>20</v>
          </cell>
          <cell r="W29">
            <v>39</v>
          </cell>
          <cell r="X29">
            <v>0</v>
          </cell>
          <cell r="AA29">
            <v>1648</v>
          </cell>
          <cell r="AD29">
            <v>0.86699999999999999</v>
          </cell>
        </row>
        <row r="30">
          <cell r="A30" t="str">
            <v>YUBB543</v>
          </cell>
          <cell r="B30" t="str">
            <v>YUBB</v>
          </cell>
          <cell r="C30">
            <v>54</v>
          </cell>
          <cell r="D30">
            <v>3</v>
          </cell>
          <cell r="E30" t="str">
            <v>Yuba River below DPD</v>
          </cell>
          <cell r="F30" t="str">
            <v>Fall</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AA30">
            <v>0</v>
          </cell>
          <cell r="AD30">
            <v>0</v>
          </cell>
        </row>
        <row r="31">
          <cell r="A31" t="str">
            <v>LARC543</v>
          </cell>
          <cell r="B31" t="str">
            <v>LARC</v>
          </cell>
          <cell r="C31">
            <v>54</v>
          </cell>
          <cell r="D31">
            <v>3</v>
          </cell>
          <cell r="E31" t="str">
            <v>American River</v>
          </cell>
          <cell r="F31" t="str">
            <v>Fall</v>
          </cell>
          <cell r="G31">
            <v>0</v>
          </cell>
          <cell r="H31">
            <v>0</v>
          </cell>
          <cell r="I31">
            <v>0</v>
          </cell>
          <cell r="J31">
            <v>2603</v>
          </cell>
          <cell r="K31">
            <v>0</v>
          </cell>
          <cell r="L31">
            <v>0</v>
          </cell>
          <cell r="M31">
            <v>0</v>
          </cell>
          <cell r="N31">
            <v>179</v>
          </cell>
          <cell r="O31">
            <v>30</v>
          </cell>
          <cell r="P31">
            <v>0</v>
          </cell>
          <cell r="Q31">
            <v>0</v>
          </cell>
          <cell r="R31">
            <v>197</v>
          </cell>
          <cell r="S31">
            <v>1649</v>
          </cell>
          <cell r="T31">
            <v>3</v>
          </cell>
          <cell r="U31">
            <v>646</v>
          </cell>
          <cell r="V31">
            <v>125</v>
          </cell>
          <cell r="W31">
            <v>76</v>
          </cell>
          <cell r="X31">
            <v>66</v>
          </cell>
          <cell r="AA31">
            <v>7234</v>
          </cell>
          <cell r="AD31">
            <v>0.77100000000000002</v>
          </cell>
        </row>
        <row r="32">
          <cell r="A32" t="str">
            <v>NIMW593</v>
          </cell>
          <cell r="B32" t="str">
            <v>NIMW</v>
          </cell>
          <cell r="C32">
            <v>59</v>
          </cell>
          <cell r="D32">
            <v>3</v>
          </cell>
          <cell r="E32" t="str">
            <v>Nimbus Fish Hatchery Weir</v>
          </cell>
          <cell r="F32" t="str">
            <v>Fall</v>
          </cell>
          <cell r="G32">
            <v>0</v>
          </cell>
          <cell r="H32">
            <v>0</v>
          </cell>
          <cell r="I32">
            <v>0</v>
          </cell>
          <cell r="J32">
            <v>352</v>
          </cell>
          <cell r="K32">
            <v>0</v>
          </cell>
          <cell r="L32">
            <v>0</v>
          </cell>
          <cell r="M32">
            <v>0</v>
          </cell>
          <cell r="N32">
            <v>171</v>
          </cell>
          <cell r="O32">
            <v>9</v>
          </cell>
          <cell r="P32">
            <v>0</v>
          </cell>
          <cell r="Q32">
            <v>0</v>
          </cell>
          <cell r="R32">
            <v>40</v>
          </cell>
          <cell r="S32">
            <v>154</v>
          </cell>
          <cell r="T32">
            <v>3</v>
          </cell>
          <cell r="U32">
            <v>130</v>
          </cell>
          <cell r="V32">
            <v>56</v>
          </cell>
          <cell r="W32">
            <v>41</v>
          </cell>
          <cell r="X32">
            <v>20</v>
          </cell>
          <cell r="AA32">
            <v>2429</v>
          </cell>
          <cell r="AD32">
            <v>0.40200000000000002</v>
          </cell>
        </row>
        <row r="33">
          <cell r="A33" t="str">
            <v>MOKE543</v>
          </cell>
          <cell r="B33" t="str">
            <v>MOKE</v>
          </cell>
          <cell r="C33">
            <v>54</v>
          </cell>
          <cell r="D33">
            <v>3</v>
          </cell>
          <cell r="E33" t="str">
            <v>Mokelumne River</v>
          </cell>
          <cell r="F33" t="str">
            <v>Fall</v>
          </cell>
          <cell r="G33">
            <v>0</v>
          </cell>
          <cell r="H33">
            <v>0</v>
          </cell>
          <cell r="I33">
            <v>0</v>
          </cell>
          <cell r="J33">
            <v>547</v>
          </cell>
          <cell r="K33">
            <v>0</v>
          </cell>
          <cell r="L33">
            <v>0</v>
          </cell>
          <cell r="M33">
            <v>0</v>
          </cell>
          <cell r="N33">
            <v>121</v>
          </cell>
          <cell r="O33">
            <v>31</v>
          </cell>
          <cell r="P33">
            <v>0</v>
          </cell>
          <cell r="Q33">
            <v>0</v>
          </cell>
          <cell r="R33">
            <v>0</v>
          </cell>
          <cell r="S33">
            <v>1328</v>
          </cell>
          <cell r="T33">
            <v>59</v>
          </cell>
          <cell r="U33">
            <v>2115</v>
          </cell>
          <cell r="V33">
            <v>408</v>
          </cell>
          <cell r="W33">
            <v>105</v>
          </cell>
          <cell r="X33">
            <v>117</v>
          </cell>
          <cell r="AA33">
            <v>5644</v>
          </cell>
          <cell r="AD33">
            <v>0.85599999999999998</v>
          </cell>
        </row>
        <row r="34">
          <cell r="A34" t="str">
            <v>COSU543</v>
          </cell>
          <cell r="B34" t="str">
            <v>COSU</v>
          </cell>
          <cell r="C34">
            <v>54</v>
          </cell>
          <cell r="D34">
            <v>3</v>
          </cell>
          <cell r="E34" t="str">
            <v>Cosumnes River</v>
          </cell>
          <cell r="F34" t="str">
            <v>Fall</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AA34">
            <v>0</v>
          </cell>
          <cell r="AD34">
            <v>0</v>
          </cell>
        </row>
        <row r="35">
          <cell r="A35" t="str">
            <v>CAL543</v>
          </cell>
          <cell r="B35" t="str">
            <v>CAL</v>
          </cell>
          <cell r="C35">
            <v>54</v>
          </cell>
          <cell r="D35">
            <v>3</v>
          </cell>
          <cell r="E35" t="str">
            <v>Calaveras River*</v>
          </cell>
          <cell r="F35" t="str">
            <v>Fall</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AA35">
            <v>0</v>
          </cell>
          <cell r="AD35">
            <v>0</v>
          </cell>
        </row>
        <row r="36">
          <cell r="A36" t="str">
            <v>STA543</v>
          </cell>
          <cell r="B36" t="str">
            <v>STA</v>
          </cell>
          <cell r="C36">
            <v>54</v>
          </cell>
          <cell r="D36">
            <v>3</v>
          </cell>
          <cell r="E36" t="str">
            <v>Stanislaus River</v>
          </cell>
          <cell r="F36" t="str">
            <v>Fall</v>
          </cell>
          <cell r="G36">
            <v>0</v>
          </cell>
          <cell r="H36">
            <v>8</v>
          </cell>
          <cell r="I36">
            <v>0</v>
          </cell>
          <cell r="J36">
            <v>366</v>
          </cell>
          <cell r="K36">
            <v>0</v>
          </cell>
          <cell r="L36">
            <v>0</v>
          </cell>
          <cell r="M36">
            <v>0</v>
          </cell>
          <cell r="N36">
            <v>151</v>
          </cell>
          <cell r="O36">
            <v>0</v>
          </cell>
          <cell r="P36">
            <v>0</v>
          </cell>
          <cell r="Q36">
            <v>0</v>
          </cell>
          <cell r="R36">
            <v>0</v>
          </cell>
          <cell r="S36">
            <v>364</v>
          </cell>
          <cell r="T36">
            <v>0</v>
          </cell>
          <cell r="U36">
            <v>2128</v>
          </cell>
          <cell r="V36">
            <v>84</v>
          </cell>
          <cell r="W36">
            <v>76</v>
          </cell>
          <cell r="X36">
            <v>254</v>
          </cell>
          <cell r="AA36">
            <v>3499</v>
          </cell>
          <cell r="AD36">
            <v>0.98099999999999998</v>
          </cell>
        </row>
        <row r="37">
          <cell r="A37" t="str">
            <v>TUO543</v>
          </cell>
          <cell r="B37" t="str">
            <v>TUO</v>
          </cell>
          <cell r="C37">
            <v>54</v>
          </cell>
          <cell r="D37">
            <v>3</v>
          </cell>
          <cell r="E37" t="str">
            <v>Tuolumne River</v>
          </cell>
          <cell r="F37" t="str">
            <v>Fall</v>
          </cell>
          <cell r="G37">
            <v>0</v>
          </cell>
          <cell r="H37">
            <v>0</v>
          </cell>
          <cell r="I37">
            <v>0</v>
          </cell>
          <cell r="J37">
            <v>147</v>
          </cell>
          <cell r="K37">
            <v>0</v>
          </cell>
          <cell r="L37">
            <v>0</v>
          </cell>
          <cell r="M37">
            <v>0</v>
          </cell>
          <cell r="N37">
            <v>64</v>
          </cell>
          <cell r="O37">
            <v>7</v>
          </cell>
          <cell r="P37">
            <v>0</v>
          </cell>
          <cell r="Q37">
            <v>0</v>
          </cell>
          <cell r="R37">
            <v>0</v>
          </cell>
          <cell r="S37">
            <v>28</v>
          </cell>
          <cell r="T37">
            <v>16</v>
          </cell>
          <cell r="U37">
            <v>606</v>
          </cell>
          <cell r="V37">
            <v>23</v>
          </cell>
          <cell r="W37">
            <v>9</v>
          </cell>
          <cell r="X37">
            <v>73</v>
          </cell>
          <cell r="AA37">
            <v>1118</v>
          </cell>
          <cell r="AD37">
            <v>0.87</v>
          </cell>
        </row>
        <row r="38">
          <cell r="A38" t="str">
            <v>MER543</v>
          </cell>
          <cell r="B38" t="str">
            <v>MER</v>
          </cell>
          <cell r="C38">
            <v>54</v>
          </cell>
          <cell r="D38">
            <v>3</v>
          </cell>
          <cell r="E38" t="str">
            <v>Merced River</v>
          </cell>
          <cell r="F38" t="str">
            <v>Fall</v>
          </cell>
          <cell r="G38">
            <v>0</v>
          </cell>
          <cell r="H38">
            <v>0</v>
          </cell>
          <cell r="I38">
            <v>0</v>
          </cell>
          <cell r="J38">
            <v>858</v>
          </cell>
          <cell r="K38">
            <v>0</v>
          </cell>
          <cell r="L38">
            <v>0</v>
          </cell>
          <cell r="M38">
            <v>0</v>
          </cell>
          <cell r="N38">
            <v>185</v>
          </cell>
          <cell r="O38">
            <v>30</v>
          </cell>
          <cell r="P38">
            <v>0</v>
          </cell>
          <cell r="Q38">
            <v>0</v>
          </cell>
          <cell r="R38">
            <v>0</v>
          </cell>
          <cell r="S38">
            <v>295</v>
          </cell>
          <cell r="T38">
            <v>23</v>
          </cell>
          <cell r="U38">
            <v>1064</v>
          </cell>
          <cell r="V38">
            <v>66</v>
          </cell>
          <cell r="W38">
            <v>29</v>
          </cell>
          <cell r="X38">
            <v>210</v>
          </cell>
          <cell r="AA38">
            <v>3181</v>
          </cell>
          <cell r="AD38">
            <v>0.86799999999999999</v>
          </cell>
        </row>
        <row r="39">
          <cell r="A39" t="str">
            <v>USAC547</v>
          </cell>
          <cell r="B39" t="str">
            <v>USAC</v>
          </cell>
          <cell r="C39">
            <v>54</v>
          </cell>
          <cell r="D39">
            <v>7</v>
          </cell>
          <cell r="E39" t="str">
            <v>Upper Sacramento River</v>
          </cell>
          <cell r="G39">
            <v>14</v>
          </cell>
          <cell r="H39">
            <v>103</v>
          </cell>
          <cell r="I39">
            <v>0</v>
          </cell>
          <cell r="J39">
            <v>0</v>
          </cell>
          <cell r="K39">
            <v>0</v>
          </cell>
          <cell r="L39">
            <v>0</v>
          </cell>
          <cell r="M39">
            <v>0</v>
          </cell>
          <cell r="N39">
            <v>0</v>
          </cell>
          <cell r="O39">
            <v>0</v>
          </cell>
          <cell r="P39">
            <v>0</v>
          </cell>
          <cell r="Q39">
            <v>0</v>
          </cell>
          <cell r="R39">
            <v>0</v>
          </cell>
          <cell r="S39">
            <v>14</v>
          </cell>
          <cell r="T39">
            <v>0</v>
          </cell>
          <cell r="U39">
            <v>14</v>
          </cell>
          <cell r="V39">
            <v>0</v>
          </cell>
          <cell r="W39">
            <v>0</v>
          </cell>
          <cell r="X39">
            <v>0</v>
          </cell>
          <cell r="AA39">
            <v>1175</v>
          </cell>
          <cell r="AD39">
            <v>0.12340425531914893</v>
          </cell>
        </row>
        <row r="40">
          <cell r="G40">
            <v>0</v>
          </cell>
          <cell r="H40">
            <v>8</v>
          </cell>
          <cell r="I40">
            <v>427</v>
          </cell>
          <cell r="J40">
            <v>6475</v>
          </cell>
          <cell r="K40">
            <v>54</v>
          </cell>
          <cell r="L40">
            <v>34</v>
          </cell>
          <cell r="M40">
            <v>0</v>
          </cell>
          <cell r="N40">
            <v>8760</v>
          </cell>
          <cell r="O40">
            <v>1189</v>
          </cell>
          <cell r="P40">
            <v>22</v>
          </cell>
          <cell r="Q40">
            <v>11</v>
          </cell>
          <cell r="R40">
            <v>237</v>
          </cell>
          <cell r="S40">
            <v>4062</v>
          </cell>
          <cell r="T40">
            <v>104</v>
          </cell>
          <cell r="U40">
            <v>6858</v>
          </cell>
          <cell r="V40">
            <v>872</v>
          </cell>
          <cell r="W40">
            <v>375</v>
          </cell>
          <cell r="X40">
            <v>862</v>
          </cell>
          <cell r="AA40">
            <v>37497</v>
          </cell>
          <cell r="AD40">
            <v>0.80939808518014777</v>
          </cell>
        </row>
        <row r="42">
          <cell r="G42">
            <v>834</v>
          </cell>
          <cell r="H42">
            <v>4011</v>
          </cell>
          <cell r="I42">
            <v>5919</v>
          </cell>
          <cell r="J42">
            <v>158</v>
          </cell>
          <cell r="K42">
            <v>1045</v>
          </cell>
          <cell r="L42">
            <v>175</v>
          </cell>
          <cell r="M42">
            <v>44</v>
          </cell>
          <cell r="N42">
            <v>29191</v>
          </cell>
          <cell r="O42">
            <v>2485</v>
          </cell>
          <cell r="P42">
            <v>62</v>
          </cell>
          <cell r="Q42">
            <v>21</v>
          </cell>
          <cell r="R42">
            <v>369</v>
          </cell>
          <cell r="S42">
            <v>6205</v>
          </cell>
          <cell r="T42">
            <v>173</v>
          </cell>
          <cell r="U42">
            <v>9324</v>
          </cell>
          <cell r="V42">
            <v>1928</v>
          </cell>
          <cell r="W42">
            <v>901</v>
          </cell>
          <cell r="X42">
            <v>448</v>
          </cell>
          <cell r="AA42">
            <v>75745</v>
          </cell>
          <cell r="AD42">
            <v>0.83560631064756752</v>
          </cell>
        </row>
        <row r="43">
          <cell r="G43">
            <v>0</v>
          </cell>
          <cell r="H43">
            <v>20</v>
          </cell>
          <cell r="I43">
            <v>4</v>
          </cell>
          <cell r="J43">
            <v>9726</v>
          </cell>
          <cell r="K43">
            <v>1</v>
          </cell>
          <cell r="L43">
            <v>0</v>
          </cell>
          <cell r="M43">
            <v>0</v>
          </cell>
          <cell r="N43">
            <v>2717</v>
          </cell>
          <cell r="O43">
            <v>399</v>
          </cell>
          <cell r="P43">
            <v>3</v>
          </cell>
          <cell r="Q43">
            <v>0</v>
          </cell>
          <cell r="R43">
            <v>4</v>
          </cell>
          <cell r="S43">
            <v>4669</v>
          </cell>
          <cell r="T43">
            <v>73</v>
          </cell>
          <cell r="U43">
            <v>6938</v>
          </cell>
          <cell r="V43">
            <v>915</v>
          </cell>
          <cell r="W43">
            <v>398</v>
          </cell>
          <cell r="X43">
            <v>1206</v>
          </cell>
          <cell r="AA43">
            <v>27073</v>
          </cell>
          <cell r="AD43">
            <v>1</v>
          </cell>
        </row>
        <row r="44">
          <cell r="G44">
            <v>834</v>
          </cell>
          <cell r="H44">
            <v>4031</v>
          </cell>
          <cell r="I44">
            <v>5923</v>
          </cell>
          <cell r="J44">
            <v>9884</v>
          </cell>
          <cell r="K44">
            <v>1046</v>
          </cell>
          <cell r="L44">
            <v>175</v>
          </cell>
          <cell r="M44">
            <v>44</v>
          </cell>
          <cell r="N44">
            <v>31908</v>
          </cell>
          <cell r="O44">
            <v>2884</v>
          </cell>
          <cell r="P44">
            <v>65</v>
          </cell>
          <cell r="Q44">
            <v>21</v>
          </cell>
          <cell r="R44">
            <v>373</v>
          </cell>
          <cell r="S44">
            <v>10874</v>
          </cell>
          <cell r="T44">
            <v>246</v>
          </cell>
          <cell r="U44">
            <v>16262</v>
          </cell>
          <cell r="V44">
            <v>2843</v>
          </cell>
          <cell r="W44">
            <v>1299</v>
          </cell>
          <cell r="X44">
            <v>1654</v>
          </cell>
          <cell r="AA44">
            <v>102818</v>
          </cell>
          <cell r="AD44">
            <v>0.87889280087144273</v>
          </cell>
        </row>
        <row r="47">
          <cell r="A47" t="str">
            <v>USAC463</v>
          </cell>
          <cell r="B47" t="str">
            <v>USAC</v>
          </cell>
          <cell r="C47">
            <v>46</v>
          </cell>
          <cell r="D47">
            <v>3</v>
          </cell>
          <cell r="E47" t="str">
            <v xml:space="preserve">Upper Sacramento River </v>
          </cell>
          <cell r="F47" t="str">
            <v>Fall</v>
          </cell>
          <cell r="G47">
            <v>0</v>
          </cell>
          <cell r="H47">
            <v>33</v>
          </cell>
          <cell r="I47">
            <v>2058</v>
          </cell>
          <cell r="J47">
            <v>0</v>
          </cell>
          <cell r="K47">
            <v>0</v>
          </cell>
          <cell r="L47">
            <v>0</v>
          </cell>
          <cell r="M47">
            <v>0</v>
          </cell>
          <cell r="N47">
            <v>43</v>
          </cell>
          <cell r="O47">
            <v>11</v>
          </cell>
          <cell r="P47">
            <v>0</v>
          </cell>
          <cell r="Q47">
            <v>0</v>
          </cell>
          <cell r="R47">
            <v>0</v>
          </cell>
          <cell r="S47">
            <v>0</v>
          </cell>
          <cell r="T47">
            <v>0</v>
          </cell>
          <cell r="U47">
            <v>0</v>
          </cell>
          <cell r="V47">
            <v>0</v>
          </cell>
          <cell r="W47">
            <v>0</v>
          </cell>
          <cell r="X47">
            <v>0</v>
          </cell>
          <cell r="AA47">
            <v>2833</v>
          </cell>
          <cell r="AD47">
            <v>0.75700000000000001</v>
          </cell>
        </row>
        <row r="48">
          <cell r="A48" t="str">
            <v>LSAC463</v>
          </cell>
          <cell r="B48" t="str">
            <v>LSAC</v>
          </cell>
          <cell r="C48">
            <v>46</v>
          </cell>
          <cell r="D48">
            <v>3</v>
          </cell>
          <cell r="E48" t="str">
            <v xml:space="preserve">Lower Sacramento River </v>
          </cell>
          <cell r="F48" t="str">
            <v>Fall</v>
          </cell>
          <cell r="G48">
            <v>0</v>
          </cell>
          <cell r="H48">
            <v>363</v>
          </cell>
          <cell r="I48">
            <v>275</v>
          </cell>
          <cell r="J48">
            <v>971</v>
          </cell>
          <cell r="K48">
            <v>0</v>
          </cell>
          <cell r="L48">
            <v>0</v>
          </cell>
          <cell r="M48">
            <v>0</v>
          </cell>
          <cell r="N48">
            <v>1968</v>
          </cell>
          <cell r="O48">
            <v>177</v>
          </cell>
          <cell r="P48">
            <v>0</v>
          </cell>
          <cell r="Q48">
            <v>0</v>
          </cell>
          <cell r="R48">
            <v>138</v>
          </cell>
          <cell r="S48">
            <v>1104</v>
          </cell>
          <cell r="T48">
            <v>107</v>
          </cell>
          <cell r="U48">
            <v>828</v>
          </cell>
          <cell r="V48">
            <v>138</v>
          </cell>
          <cell r="W48">
            <v>103</v>
          </cell>
          <cell r="X48">
            <v>297</v>
          </cell>
          <cell r="AA48">
            <v>9852</v>
          </cell>
          <cell r="AD48">
            <v>0.65700000000000003</v>
          </cell>
        </row>
        <row r="49">
          <cell r="A49" t="str">
            <v>FEA463</v>
          </cell>
          <cell r="B49" t="str">
            <v>FEA</v>
          </cell>
          <cell r="C49">
            <v>46</v>
          </cell>
          <cell r="D49">
            <v>3</v>
          </cell>
          <cell r="E49" t="str">
            <v xml:space="preserve">Feather River </v>
          </cell>
          <cell r="F49" t="str">
            <v>Fall</v>
          </cell>
          <cell r="G49">
            <v>0</v>
          </cell>
          <cell r="H49">
            <v>0</v>
          </cell>
          <cell r="I49">
            <v>0</v>
          </cell>
          <cell r="J49">
            <v>93</v>
          </cell>
          <cell r="K49">
            <v>70</v>
          </cell>
          <cell r="L49">
            <v>0</v>
          </cell>
          <cell r="M49">
            <v>93</v>
          </cell>
          <cell r="N49">
            <v>9749</v>
          </cell>
          <cell r="O49">
            <v>583</v>
          </cell>
          <cell r="P49">
            <v>12</v>
          </cell>
          <cell r="Q49">
            <v>0</v>
          </cell>
          <cell r="R49">
            <v>0</v>
          </cell>
          <cell r="S49">
            <v>0</v>
          </cell>
          <cell r="T49">
            <v>0</v>
          </cell>
          <cell r="U49">
            <v>0</v>
          </cell>
          <cell r="V49">
            <v>12</v>
          </cell>
          <cell r="W49">
            <v>0</v>
          </cell>
          <cell r="X49">
            <v>0</v>
          </cell>
          <cell r="AA49">
            <v>12031</v>
          </cell>
          <cell r="AD49">
            <v>0.88200000000000001</v>
          </cell>
        </row>
        <row r="50">
          <cell r="A50" t="str">
            <v>AMN463</v>
          </cell>
          <cell r="B50" t="str">
            <v>AMN</v>
          </cell>
          <cell r="C50">
            <v>46</v>
          </cell>
          <cell r="D50">
            <v>3</v>
          </cell>
          <cell r="E50" t="str">
            <v xml:space="preserve">American River </v>
          </cell>
          <cell r="F50" t="str">
            <v>Fall</v>
          </cell>
          <cell r="G50">
            <v>0</v>
          </cell>
          <cell r="H50">
            <v>0</v>
          </cell>
          <cell r="I50">
            <v>0</v>
          </cell>
          <cell r="J50">
            <v>4890</v>
          </cell>
          <cell r="K50">
            <v>0</v>
          </cell>
          <cell r="L50">
            <v>0</v>
          </cell>
          <cell r="M50">
            <v>0</v>
          </cell>
          <cell r="N50">
            <v>1725</v>
          </cell>
          <cell r="O50">
            <v>74</v>
          </cell>
          <cell r="P50">
            <v>0</v>
          </cell>
          <cell r="Q50">
            <v>0</v>
          </cell>
          <cell r="R50">
            <v>382</v>
          </cell>
          <cell r="S50">
            <v>2966</v>
          </cell>
          <cell r="T50">
            <v>24</v>
          </cell>
          <cell r="U50">
            <v>1533</v>
          </cell>
          <cell r="V50">
            <v>598</v>
          </cell>
          <cell r="W50">
            <v>96</v>
          </cell>
          <cell r="X50">
            <v>139</v>
          </cell>
          <cell r="AA50">
            <v>14521</v>
          </cell>
          <cell r="AD50">
            <v>0.85599999999999998</v>
          </cell>
        </row>
        <row r="51">
          <cell r="A51" t="str">
            <v>MOKE463</v>
          </cell>
          <cell r="B51" t="str">
            <v>MOKE</v>
          </cell>
          <cell r="C51">
            <v>46</v>
          </cell>
          <cell r="D51">
            <v>3</v>
          </cell>
          <cell r="E51" t="str">
            <v>Mokelumne River</v>
          </cell>
          <cell r="F51" t="str">
            <v>Fall</v>
          </cell>
          <cell r="G51">
            <v>0</v>
          </cell>
          <cell r="H51">
            <v>15</v>
          </cell>
          <cell r="I51">
            <v>0</v>
          </cell>
          <cell r="J51">
            <v>58</v>
          </cell>
          <cell r="K51">
            <v>0</v>
          </cell>
          <cell r="L51">
            <v>0</v>
          </cell>
          <cell r="M51">
            <v>0</v>
          </cell>
          <cell r="N51">
            <v>15</v>
          </cell>
          <cell r="O51">
            <v>0</v>
          </cell>
          <cell r="P51">
            <v>0</v>
          </cell>
          <cell r="Q51">
            <v>0</v>
          </cell>
          <cell r="R51">
            <v>0</v>
          </cell>
          <cell r="S51">
            <v>349</v>
          </cell>
          <cell r="T51">
            <v>0</v>
          </cell>
          <cell r="U51">
            <v>813</v>
          </cell>
          <cell r="V51">
            <v>15</v>
          </cell>
          <cell r="W51">
            <v>44</v>
          </cell>
          <cell r="X51">
            <v>28</v>
          </cell>
          <cell r="AA51">
            <v>1625</v>
          </cell>
          <cell r="AD51">
            <v>0.82299999999999995</v>
          </cell>
        </row>
        <row r="52">
          <cell r="A52" t="str">
            <v>USAC467</v>
          </cell>
          <cell r="B52" t="str">
            <v>USAC</v>
          </cell>
          <cell r="C52">
            <v>46</v>
          </cell>
          <cell r="D52">
            <v>7</v>
          </cell>
          <cell r="E52" t="str">
            <v xml:space="preserve">Upper Sacramento River </v>
          </cell>
          <cell r="G52">
            <v>0</v>
          </cell>
          <cell r="H52">
            <v>474</v>
          </cell>
          <cell r="I52">
            <v>0</v>
          </cell>
          <cell r="J52">
            <v>0</v>
          </cell>
          <cell r="K52">
            <v>0</v>
          </cell>
          <cell r="L52">
            <v>0</v>
          </cell>
          <cell r="M52">
            <v>0</v>
          </cell>
          <cell r="N52">
            <v>34</v>
          </cell>
          <cell r="O52">
            <v>0</v>
          </cell>
          <cell r="P52">
            <v>0</v>
          </cell>
          <cell r="Q52">
            <v>0</v>
          </cell>
          <cell r="R52">
            <v>0</v>
          </cell>
          <cell r="S52">
            <v>0</v>
          </cell>
          <cell r="T52">
            <v>0</v>
          </cell>
          <cell r="U52">
            <v>0</v>
          </cell>
          <cell r="V52">
            <v>0</v>
          </cell>
          <cell r="W52">
            <v>0</v>
          </cell>
          <cell r="X52">
            <v>0</v>
          </cell>
          <cell r="AA52">
            <v>709</v>
          </cell>
          <cell r="AD52">
            <v>0.71699999999999997</v>
          </cell>
        </row>
        <row r="53">
          <cell r="H53">
            <v>885</v>
          </cell>
          <cell r="I53">
            <v>2333</v>
          </cell>
          <cell r="J53">
            <v>6012</v>
          </cell>
          <cell r="K53">
            <v>70</v>
          </cell>
          <cell r="L53">
            <v>0</v>
          </cell>
          <cell r="M53">
            <v>93</v>
          </cell>
          <cell r="N53">
            <v>13534</v>
          </cell>
          <cell r="O53">
            <v>845</v>
          </cell>
          <cell r="P53">
            <v>12</v>
          </cell>
          <cell r="Q53">
            <v>0</v>
          </cell>
          <cell r="R53">
            <v>520</v>
          </cell>
          <cell r="S53">
            <v>4419</v>
          </cell>
          <cell r="T53">
            <v>131</v>
          </cell>
          <cell r="U53">
            <v>3174</v>
          </cell>
          <cell r="V53">
            <v>763</v>
          </cell>
          <cell r="W53">
            <v>243</v>
          </cell>
          <cell r="X53">
            <v>464</v>
          </cell>
          <cell r="AA53">
            <v>41571</v>
          </cell>
          <cell r="AD53">
            <v>0.80580212167135745</v>
          </cell>
        </row>
      </sheetData>
      <sheetData sheetId="2" refreshError="1"/>
      <sheetData sheetId="3" refreshError="1"/>
      <sheetData sheetId="4">
        <row r="2">
          <cell r="G2" t="str">
            <v>sacw</v>
          </cell>
          <cell r="H2" t="str">
            <v>cfhlh</v>
          </cell>
          <cell r="I2" t="str">
            <v>cfhfh</v>
          </cell>
          <cell r="J2" t="str">
            <v>cfhfn</v>
          </cell>
          <cell r="K2" t="str">
            <v>frhs</v>
          </cell>
          <cell r="L2" t="str">
            <v>frhsn</v>
          </cell>
          <cell r="M2" t="str">
            <v>frhf</v>
          </cell>
          <cell r="N2" t="str">
            <v>frhfn</v>
          </cell>
          <cell r="O2" t="str">
            <v>frhfnc</v>
          </cell>
          <cell r="P2" t="str">
            <v>frhfb</v>
          </cell>
          <cell r="Q2" t="str">
            <v>frhfk</v>
          </cell>
          <cell r="R2" t="str">
            <v>nimf</v>
          </cell>
          <cell r="S2" t="str">
            <v>nimfn</v>
          </cell>
          <cell r="T2" t="str">
            <v>mokf</v>
          </cell>
          <cell r="U2" t="str">
            <v>mokfn</v>
          </cell>
          <cell r="V2" t="str">
            <v>mokfnc</v>
          </cell>
          <cell r="W2" t="str">
            <v>mokfb</v>
          </cell>
          <cell r="X2" t="str">
            <v>merfn</v>
          </cell>
        </row>
        <row r="3">
          <cell r="G3">
            <v>0</v>
          </cell>
          <cell r="H3">
            <v>0</v>
          </cell>
          <cell r="I3">
            <v>5464</v>
          </cell>
          <cell r="J3">
            <v>28</v>
          </cell>
          <cell r="K3">
            <v>1</v>
          </cell>
          <cell r="L3">
            <v>0</v>
          </cell>
          <cell r="M3">
            <v>0</v>
          </cell>
          <cell r="N3">
            <v>8</v>
          </cell>
          <cell r="O3">
            <v>1</v>
          </cell>
          <cell r="P3">
            <v>0</v>
          </cell>
          <cell r="Q3">
            <v>0</v>
          </cell>
          <cell r="R3">
            <v>0</v>
          </cell>
          <cell r="S3">
            <v>8</v>
          </cell>
          <cell r="T3">
            <v>0</v>
          </cell>
          <cell r="U3">
            <v>40</v>
          </cell>
          <cell r="V3">
            <v>3</v>
          </cell>
          <cell r="W3">
            <v>1</v>
          </cell>
          <cell r="X3">
            <v>2</v>
          </cell>
          <cell r="Y3">
            <v>5556</v>
          </cell>
          <cell r="Z3">
            <v>840</v>
          </cell>
          <cell r="AA3">
            <v>6396</v>
          </cell>
          <cell r="AB3">
            <v>0.86899999999999999</v>
          </cell>
          <cell r="AC3" t="str">
            <v>CNFH503</v>
          </cell>
        </row>
        <row r="4">
          <cell r="G4">
            <v>0</v>
          </cell>
          <cell r="H4">
            <v>3906</v>
          </cell>
          <cell r="I4">
            <v>0</v>
          </cell>
          <cell r="J4">
            <v>0</v>
          </cell>
          <cell r="K4">
            <v>0</v>
          </cell>
          <cell r="L4">
            <v>0</v>
          </cell>
          <cell r="M4">
            <v>0</v>
          </cell>
          <cell r="N4">
            <v>0</v>
          </cell>
          <cell r="O4">
            <v>0</v>
          </cell>
          <cell r="P4">
            <v>0</v>
          </cell>
          <cell r="Q4">
            <v>0</v>
          </cell>
          <cell r="R4">
            <v>0</v>
          </cell>
          <cell r="S4">
            <v>0</v>
          </cell>
          <cell r="T4">
            <v>0</v>
          </cell>
          <cell r="U4">
            <v>0</v>
          </cell>
          <cell r="V4">
            <v>0</v>
          </cell>
          <cell r="W4">
            <v>0</v>
          </cell>
          <cell r="X4">
            <v>0</v>
          </cell>
          <cell r="Y4">
            <v>3906</v>
          </cell>
          <cell r="Z4">
            <v>0</v>
          </cell>
          <cell r="AA4">
            <v>3906</v>
          </cell>
          <cell r="AB4">
            <v>1</v>
          </cell>
          <cell r="AC4" t="str">
            <v>CNFH507</v>
          </cell>
        </row>
        <row r="5">
          <cell r="G5">
            <v>0</v>
          </cell>
          <cell r="H5">
            <v>0</v>
          </cell>
          <cell r="I5">
            <v>28</v>
          </cell>
          <cell r="J5">
            <v>0</v>
          </cell>
          <cell r="K5">
            <v>0</v>
          </cell>
          <cell r="L5">
            <v>0</v>
          </cell>
          <cell r="M5">
            <v>0</v>
          </cell>
          <cell r="N5">
            <v>12</v>
          </cell>
          <cell r="O5">
            <v>6</v>
          </cell>
          <cell r="P5">
            <v>0</v>
          </cell>
          <cell r="Q5">
            <v>0</v>
          </cell>
          <cell r="R5">
            <v>0</v>
          </cell>
          <cell r="S5">
            <v>4</v>
          </cell>
          <cell r="T5">
            <v>0</v>
          </cell>
          <cell r="U5">
            <v>4</v>
          </cell>
          <cell r="V5">
            <v>0</v>
          </cell>
          <cell r="W5">
            <v>0</v>
          </cell>
          <cell r="X5">
            <v>0</v>
          </cell>
          <cell r="Y5">
            <v>54</v>
          </cell>
          <cell r="Z5">
            <v>57</v>
          </cell>
          <cell r="AA5">
            <v>111</v>
          </cell>
          <cell r="AB5">
            <v>0.48599999999999999</v>
          </cell>
          <cell r="AC5" t="str">
            <v>KESW503</v>
          </cell>
        </row>
        <row r="6">
          <cell r="G6">
            <v>168</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168</v>
          </cell>
          <cell r="Z6">
            <v>12</v>
          </cell>
          <cell r="AA6">
            <v>180</v>
          </cell>
          <cell r="AB6">
            <v>0.93300000000000005</v>
          </cell>
          <cell r="AC6" t="str">
            <v>KESW504</v>
          </cell>
        </row>
        <row r="7">
          <cell r="G7">
            <v>0</v>
          </cell>
          <cell r="H7">
            <v>2</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2</v>
          </cell>
          <cell r="Z7">
            <v>16</v>
          </cell>
          <cell r="AA7">
            <v>18</v>
          </cell>
          <cell r="AB7">
            <v>0.111</v>
          </cell>
          <cell r="AC7" t="str">
            <v>KESW507</v>
          </cell>
        </row>
        <row r="8">
          <cell r="G8">
            <v>0</v>
          </cell>
          <cell r="H8">
            <v>0</v>
          </cell>
          <cell r="I8">
            <v>0</v>
          </cell>
          <cell r="J8">
            <v>0</v>
          </cell>
          <cell r="K8">
            <v>412</v>
          </cell>
          <cell r="L8">
            <v>80</v>
          </cell>
          <cell r="M8">
            <v>0</v>
          </cell>
          <cell r="N8">
            <v>73</v>
          </cell>
          <cell r="O8">
            <v>0</v>
          </cell>
          <cell r="P8">
            <v>2</v>
          </cell>
          <cell r="Q8">
            <v>0</v>
          </cell>
          <cell r="R8">
            <v>0</v>
          </cell>
          <cell r="S8">
            <v>0</v>
          </cell>
          <cell r="T8">
            <v>0</v>
          </cell>
          <cell r="U8">
            <v>0</v>
          </cell>
          <cell r="V8">
            <v>0</v>
          </cell>
          <cell r="W8">
            <v>0</v>
          </cell>
          <cell r="X8">
            <v>0</v>
          </cell>
          <cell r="Y8">
            <v>567</v>
          </cell>
          <cell r="Z8">
            <v>13</v>
          </cell>
          <cell r="AA8">
            <v>580</v>
          </cell>
          <cell r="AB8">
            <v>0.97799999999999998</v>
          </cell>
          <cell r="AC8" t="str">
            <v>FRFH501</v>
          </cell>
        </row>
        <row r="9">
          <cell r="G9">
            <v>0</v>
          </cell>
          <cell r="H9">
            <v>2</v>
          </cell>
          <cell r="I9">
            <v>4</v>
          </cell>
          <cell r="J9">
            <v>341</v>
          </cell>
          <cell r="K9">
            <v>579</v>
          </cell>
          <cell r="L9">
            <v>61</v>
          </cell>
          <cell r="M9">
            <v>44</v>
          </cell>
          <cell r="N9">
            <v>21293</v>
          </cell>
          <cell r="O9">
            <v>1419</v>
          </cell>
          <cell r="P9">
            <v>38</v>
          </cell>
          <cell r="Q9">
            <v>10</v>
          </cell>
          <cell r="R9">
            <v>0</v>
          </cell>
          <cell r="S9">
            <v>96</v>
          </cell>
          <cell r="T9">
            <v>5</v>
          </cell>
          <cell r="U9">
            <v>241</v>
          </cell>
          <cell r="V9">
            <v>80</v>
          </cell>
          <cell r="W9">
            <v>22</v>
          </cell>
          <cell r="X9">
            <v>106</v>
          </cell>
          <cell r="Y9">
            <v>24341</v>
          </cell>
          <cell r="Z9">
            <v>705</v>
          </cell>
          <cell r="AA9">
            <v>25046</v>
          </cell>
          <cell r="AB9">
            <v>0.97199999999999998</v>
          </cell>
          <cell r="AC9" t="str">
            <v>FRFH503</v>
          </cell>
        </row>
        <row r="10">
          <cell r="G10">
            <v>0</v>
          </cell>
          <cell r="H10">
            <v>2</v>
          </cell>
          <cell r="I10">
            <v>0</v>
          </cell>
          <cell r="J10">
            <v>2404</v>
          </cell>
          <cell r="K10">
            <v>0</v>
          </cell>
          <cell r="L10">
            <v>0</v>
          </cell>
          <cell r="M10">
            <v>0</v>
          </cell>
          <cell r="N10">
            <v>967</v>
          </cell>
          <cell r="O10">
            <v>175</v>
          </cell>
          <cell r="P10">
            <v>3</v>
          </cell>
          <cell r="Q10">
            <v>0</v>
          </cell>
          <cell r="R10">
            <v>132</v>
          </cell>
          <cell r="S10">
            <v>4402</v>
          </cell>
          <cell r="T10">
            <v>16</v>
          </cell>
          <cell r="U10">
            <v>970</v>
          </cell>
          <cell r="V10">
            <v>286</v>
          </cell>
          <cell r="W10">
            <v>75</v>
          </cell>
          <cell r="X10">
            <v>110</v>
          </cell>
          <cell r="Y10">
            <v>9542</v>
          </cell>
          <cell r="Z10">
            <v>1037</v>
          </cell>
          <cell r="AA10">
            <v>10579</v>
          </cell>
          <cell r="AB10">
            <v>0.90200000000000002</v>
          </cell>
          <cell r="AC10" t="str">
            <v>NBFH503</v>
          </cell>
        </row>
        <row r="11">
          <cell r="G11">
            <v>0</v>
          </cell>
          <cell r="H11">
            <v>7</v>
          </cell>
          <cell r="I11">
            <v>0</v>
          </cell>
          <cell r="J11">
            <v>507</v>
          </cell>
          <cell r="K11">
            <v>0</v>
          </cell>
          <cell r="L11">
            <v>0</v>
          </cell>
          <cell r="M11">
            <v>0</v>
          </cell>
          <cell r="N11">
            <v>695</v>
          </cell>
          <cell r="O11">
            <v>89</v>
          </cell>
          <cell r="P11">
            <v>0</v>
          </cell>
          <cell r="Q11">
            <v>0</v>
          </cell>
          <cell r="R11">
            <v>4</v>
          </cell>
          <cell r="S11">
            <v>2172</v>
          </cell>
          <cell r="T11">
            <v>114</v>
          </cell>
          <cell r="U11">
            <v>7209</v>
          </cell>
          <cell r="V11">
            <v>1520</v>
          </cell>
          <cell r="W11">
            <v>796</v>
          </cell>
          <cell r="X11">
            <v>336</v>
          </cell>
          <cell r="Y11">
            <v>13449</v>
          </cell>
          <cell r="Z11">
            <v>870</v>
          </cell>
          <cell r="AA11">
            <v>14319</v>
          </cell>
          <cell r="AB11">
            <v>0.93899999999999995</v>
          </cell>
          <cell r="AC11" t="str">
            <v>MRFI503</v>
          </cell>
        </row>
        <row r="12">
          <cell r="G12">
            <v>0</v>
          </cell>
          <cell r="H12">
            <v>1</v>
          </cell>
          <cell r="I12">
            <v>0</v>
          </cell>
          <cell r="J12">
            <v>129</v>
          </cell>
          <cell r="K12">
            <v>0</v>
          </cell>
          <cell r="L12">
            <v>0</v>
          </cell>
          <cell r="M12">
            <v>0</v>
          </cell>
          <cell r="N12">
            <v>100</v>
          </cell>
          <cell r="O12">
            <v>5</v>
          </cell>
          <cell r="P12">
            <v>0</v>
          </cell>
          <cell r="Q12">
            <v>0</v>
          </cell>
          <cell r="R12">
            <v>0</v>
          </cell>
          <cell r="S12">
            <v>116</v>
          </cell>
          <cell r="T12">
            <v>7</v>
          </cell>
          <cell r="U12">
            <v>926</v>
          </cell>
          <cell r="V12">
            <v>82</v>
          </cell>
          <cell r="W12">
            <v>30</v>
          </cell>
          <cell r="X12">
            <v>238</v>
          </cell>
          <cell r="Y12">
            <v>1634</v>
          </cell>
          <cell r="Z12">
            <v>67</v>
          </cell>
          <cell r="AA12">
            <v>1701</v>
          </cell>
          <cell r="AB12">
            <v>0.96099999999999997</v>
          </cell>
          <cell r="AC12" t="str">
            <v>MRFF503</v>
          </cell>
        </row>
        <row r="13">
          <cell r="G13">
            <v>0</v>
          </cell>
          <cell r="H13">
            <v>0</v>
          </cell>
          <cell r="I13">
            <v>300</v>
          </cell>
          <cell r="J13">
            <v>2</v>
          </cell>
          <cell r="K13">
            <v>0</v>
          </cell>
          <cell r="L13">
            <v>0</v>
          </cell>
          <cell r="M13">
            <v>0</v>
          </cell>
          <cell r="N13">
            <v>0</v>
          </cell>
          <cell r="O13">
            <v>0</v>
          </cell>
          <cell r="P13">
            <v>0</v>
          </cell>
          <cell r="Q13">
            <v>0</v>
          </cell>
          <cell r="R13">
            <v>0</v>
          </cell>
          <cell r="S13">
            <v>0</v>
          </cell>
          <cell r="T13">
            <v>0</v>
          </cell>
          <cell r="U13">
            <v>2</v>
          </cell>
          <cell r="V13">
            <v>0</v>
          </cell>
          <cell r="W13">
            <v>0</v>
          </cell>
          <cell r="X13">
            <v>0</v>
          </cell>
          <cell r="Y13">
            <v>304</v>
          </cell>
          <cell r="Z13">
            <v>49</v>
          </cell>
          <cell r="AA13">
            <v>353</v>
          </cell>
          <cell r="AB13">
            <v>0.86099999999999999</v>
          </cell>
          <cell r="AC13" t="str">
            <v>BATT543</v>
          </cell>
        </row>
        <row r="14">
          <cell r="AC14" t="str">
            <v>CLR543</v>
          </cell>
        </row>
        <row r="15">
          <cell r="G15">
            <v>0</v>
          </cell>
          <cell r="H15">
            <v>0</v>
          </cell>
          <cell r="I15">
            <v>127</v>
          </cell>
          <cell r="J15">
            <v>128</v>
          </cell>
          <cell r="K15">
            <v>0</v>
          </cell>
          <cell r="L15">
            <v>0</v>
          </cell>
          <cell r="M15">
            <v>0</v>
          </cell>
          <cell r="N15">
            <v>64</v>
          </cell>
          <cell r="O15">
            <v>16</v>
          </cell>
          <cell r="P15">
            <v>0</v>
          </cell>
          <cell r="Q15">
            <v>0</v>
          </cell>
          <cell r="R15">
            <v>0</v>
          </cell>
          <cell r="S15">
            <v>0</v>
          </cell>
          <cell r="T15">
            <v>0</v>
          </cell>
          <cell r="U15">
            <v>0</v>
          </cell>
          <cell r="V15">
            <v>24</v>
          </cell>
          <cell r="W15">
            <v>0</v>
          </cell>
          <cell r="X15">
            <v>15</v>
          </cell>
          <cell r="Y15">
            <v>374</v>
          </cell>
          <cell r="Z15">
            <v>1378</v>
          </cell>
          <cell r="AA15">
            <v>1752</v>
          </cell>
          <cell r="AB15">
            <v>0.21299999999999999</v>
          </cell>
          <cell r="AC15" t="str">
            <v>USAC543</v>
          </cell>
        </row>
        <row r="16">
          <cell r="G16">
            <v>652</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652</v>
          </cell>
          <cell r="Z16">
            <v>143</v>
          </cell>
          <cell r="AA16">
            <v>795</v>
          </cell>
          <cell r="AB16">
            <v>0.82</v>
          </cell>
          <cell r="AC16" t="str">
            <v>USAC544</v>
          </cell>
        </row>
        <row r="17">
          <cell r="G17">
            <v>14</v>
          </cell>
          <cell r="H17">
            <v>103</v>
          </cell>
          <cell r="I17">
            <v>0</v>
          </cell>
          <cell r="J17">
            <v>0</v>
          </cell>
          <cell r="K17">
            <v>0</v>
          </cell>
          <cell r="L17">
            <v>0</v>
          </cell>
          <cell r="M17">
            <v>0</v>
          </cell>
          <cell r="N17">
            <v>0</v>
          </cell>
          <cell r="O17">
            <v>0</v>
          </cell>
          <cell r="P17">
            <v>0</v>
          </cell>
          <cell r="Q17">
            <v>0</v>
          </cell>
          <cell r="R17">
            <v>0</v>
          </cell>
          <cell r="S17">
            <v>14</v>
          </cell>
          <cell r="T17">
            <v>0</v>
          </cell>
          <cell r="U17">
            <v>14</v>
          </cell>
          <cell r="V17">
            <v>0</v>
          </cell>
          <cell r="W17">
            <v>0</v>
          </cell>
          <cell r="X17">
            <v>0</v>
          </cell>
          <cell r="Y17">
            <v>145</v>
          </cell>
          <cell r="Z17">
            <v>1030</v>
          </cell>
          <cell r="AA17">
            <v>1175</v>
          </cell>
          <cell r="AB17">
            <v>0.123</v>
          </cell>
          <cell r="AC17" t="str">
            <v>USAC547</v>
          </cell>
        </row>
        <row r="18">
          <cell r="G18">
            <v>0</v>
          </cell>
          <cell r="H18">
            <v>0</v>
          </cell>
          <cell r="I18">
            <v>0</v>
          </cell>
          <cell r="J18">
            <v>533</v>
          </cell>
          <cell r="K18">
            <v>34</v>
          </cell>
          <cell r="L18">
            <v>34</v>
          </cell>
          <cell r="M18">
            <v>0</v>
          </cell>
          <cell r="N18">
            <v>7668</v>
          </cell>
          <cell r="O18">
            <v>1046</v>
          </cell>
          <cell r="P18">
            <v>22</v>
          </cell>
          <cell r="Q18">
            <v>11</v>
          </cell>
          <cell r="R18">
            <v>0</v>
          </cell>
          <cell r="S18">
            <v>88</v>
          </cell>
          <cell r="T18">
            <v>0</v>
          </cell>
          <cell r="U18">
            <v>89</v>
          </cell>
          <cell r="V18">
            <v>66</v>
          </cell>
          <cell r="W18">
            <v>0</v>
          </cell>
          <cell r="X18">
            <v>107</v>
          </cell>
          <cell r="Y18">
            <v>9698</v>
          </cell>
          <cell r="Z18">
            <v>836</v>
          </cell>
          <cell r="AA18">
            <v>10534</v>
          </cell>
          <cell r="AB18">
            <v>0.92100000000000004</v>
          </cell>
          <cell r="AC18" t="str">
            <v>FEA543</v>
          </cell>
        </row>
        <row r="19">
          <cell r="G19">
            <v>0</v>
          </cell>
          <cell r="H19">
            <v>0</v>
          </cell>
          <cell r="I19">
            <v>0</v>
          </cell>
          <cell r="J19">
            <v>939</v>
          </cell>
          <cell r="K19">
            <v>20</v>
          </cell>
          <cell r="L19">
            <v>0</v>
          </cell>
          <cell r="M19">
            <v>0</v>
          </cell>
          <cell r="N19">
            <v>157</v>
          </cell>
          <cell r="O19">
            <v>20</v>
          </cell>
          <cell r="P19">
            <v>0</v>
          </cell>
          <cell r="Q19">
            <v>0</v>
          </cell>
          <cell r="R19">
            <v>0</v>
          </cell>
          <cell r="S19">
            <v>156</v>
          </cell>
          <cell r="T19">
            <v>0</v>
          </cell>
          <cell r="U19">
            <v>78</v>
          </cell>
          <cell r="V19">
            <v>20</v>
          </cell>
          <cell r="W19">
            <v>39</v>
          </cell>
          <cell r="X19">
            <v>0</v>
          </cell>
          <cell r="Y19">
            <v>1429</v>
          </cell>
          <cell r="Z19">
            <v>219</v>
          </cell>
          <cell r="AA19">
            <v>1648</v>
          </cell>
          <cell r="AB19">
            <v>0.86699999999999999</v>
          </cell>
          <cell r="AC19" t="str">
            <v>YUBA543</v>
          </cell>
        </row>
        <row r="20">
          <cell r="G20">
            <v>0</v>
          </cell>
          <cell r="H20">
            <v>0</v>
          </cell>
          <cell r="I20">
            <v>0</v>
          </cell>
          <cell r="J20">
            <v>2603</v>
          </cell>
          <cell r="K20">
            <v>0</v>
          </cell>
          <cell r="L20">
            <v>0</v>
          </cell>
          <cell r="M20">
            <v>0</v>
          </cell>
          <cell r="N20">
            <v>179</v>
          </cell>
          <cell r="O20">
            <v>30</v>
          </cell>
          <cell r="P20">
            <v>0</v>
          </cell>
          <cell r="Q20">
            <v>0</v>
          </cell>
          <cell r="R20">
            <v>197</v>
          </cell>
          <cell r="S20">
            <v>1649</v>
          </cell>
          <cell r="T20">
            <v>3</v>
          </cell>
          <cell r="U20">
            <v>646</v>
          </cell>
          <cell r="V20">
            <v>125</v>
          </cell>
          <cell r="W20">
            <v>76</v>
          </cell>
          <cell r="X20">
            <v>66</v>
          </cell>
          <cell r="Y20">
            <v>5574</v>
          </cell>
          <cell r="Z20">
            <v>1660</v>
          </cell>
          <cell r="AA20">
            <v>7234</v>
          </cell>
          <cell r="AB20">
            <v>0.77100000000000002</v>
          </cell>
          <cell r="AC20" t="str">
            <v>LARC543</v>
          </cell>
        </row>
        <row r="21">
          <cell r="G21">
            <v>0</v>
          </cell>
          <cell r="H21">
            <v>0</v>
          </cell>
          <cell r="I21">
            <v>0</v>
          </cell>
          <cell r="J21">
            <v>352</v>
          </cell>
          <cell r="K21">
            <v>0</v>
          </cell>
          <cell r="L21">
            <v>0</v>
          </cell>
          <cell r="M21">
            <v>0</v>
          </cell>
          <cell r="N21">
            <v>171</v>
          </cell>
          <cell r="O21">
            <v>9</v>
          </cell>
          <cell r="P21">
            <v>0</v>
          </cell>
          <cell r="Q21">
            <v>0</v>
          </cell>
          <cell r="R21">
            <v>40</v>
          </cell>
          <cell r="S21">
            <v>154</v>
          </cell>
          <cell r="T21">
            <v>3</v>
          </cell>
          <cell r="U21">
            <v>130</v>
          </cell>
          <cell r="V21">
            <v>56</v>
          </cell>
          <cell r="W21">
            <v>41</v>
          </cell>
          <cell r="X21">
            <v>20</v>
          </cell>
          <cell r="Y21">
            <v>976</v>
          </cell>
          <cell r="Z21">
            <v>1453</v>
          </cell>
          <cell r="AA21">
            <v>2429</v>
          </cell>
          <cell r="AB21">
            <v>0.40200000000000002</v>
          </cell>
          <cell r="AC21" t="str">
            <v>NIMW593</v>
          </cell>
        </row>
        <row r="22">
          <cell r="G22">
            <v>0</v>
          </cell>
          <cell r="H22">
            <v>0</v>
          </cell>
          <cell r="I22">
            <v>0</v>
          </cell>
          <cell r="J22">
            <v>547</v>
          </cell>
          <cell r="K22">
            <v>0</v>
          </cell>
          <cell r="L22">
            <v>0</v>
          </cell>
          <cell r="M22">
            <v>0</v>
          </cell>
          <cell r="N22">
            <v>121</v>
          </cell>
          <cell r="O22">
            <v>31</v>
          </cell>
          <cell r="P22">
            <v>0</v>
          </cell>
          <cell r="Q22">
            <v>0</v>
          </cell>
          <cell r="R22">
            <v>0</v>
          </cell>
          <cell r="S22">
            <v>1328</v>
          </cell>
          <cell r="T22">
            <v>59</v>
          </cell>
          <cell r="U22">
            <v>2115</v>
          </cell>
          <cell r="V22">
            <v>408</v>
          </cell>
          <cell r="W22">
            <v>105</v>
          </cell>
          <cell r="X22">
            <v>117</v>
          </cell>
          <cell r="Y22">
            <v>4831</v>
          </cell>
          <cell r="Z22">
            <v>813</v>
          </cell>
          <cell r="AA22">
            <v>5644</v>
          </cell>
          <cell r="AB22">
            <v>0.85599999999999998</v>
          </cell>
          <cell r="AC22" t="str">
            <v>MOKE543</v>
          </cell>
        </row>
        <row r="23">
          <cell r="G23">
            <v>0</v>
          </cell>
          <cell r="H23">
            <v>8</v>
          </cell>
          <cell r="I23">
            <v>0</v>
          </cell>
          <cell r="J23">
            <v>366</v>
          </cell>
          <cell r="K23">
            <v>0</v>
          </cell>
          <cell r="L23">
            <v>0</v>
          </cell>
          <cell r="M23">
            <v>0</v>
          </cell>
          <cell r="N23">
            <v>151</v>
          </cell>
          <cell r="O23">
            <v>0</v>
          </cell>
          <cell r="P23">
            <v>0</v>
          </cell>
          <cell r="Q23">
            <v>0</v>
          </cell>
          <cell r="R23">
            <v>0</v>
          </cell>
          <cell r="S23">
            <v>364</v>
          </cell>
          <cell r="T23">
            <v>0</v>
          </cell>
          <cell r="U23">
            <v>2128</v>
          </cell>
          <cell r="V23">
            <v>84</v>
          </cell>
          <cell r="W23">
            <v>76</v>
          </cell>
          <cell r="X23">
            <v>254</v>
          </cell>
          <cell r="Y23">
            <v>3431</v>
          </cell>
          <cell r="Z23">
            <v>68</v>
          </cell>
          <cell r="AA23">
            <v>3499</v>
          </cell>
          <cell r="AB23">
            <v>0.98099999999999998</v>
          </cell>
          <cell r="AC23" t="str">
            <v>STA543</v>
          </cell>
        </row>
        <row r="24">
          <cell r="G24">
            <v>0</v>
          </cell>
          <cell r="H24">
            <v>0</v>
          </cell>
          <cell r="I24">
            <v>0</v>
          </cell>
          <cell r="J24">
            <v>147</v>
          </cell>
          <cell r="K24">
            <v>0</v>
          </cell>
          <cell r="L24">
            <v>0</v>
          </cell>
          <cell r="M24">
            <v>0</v>
          </cell>
          <cell r="N24">
            <v>64</v>
          </cell>
          <cell r="O24">
            <v>7</v>
          </cell>
          <cell r="P24">
            <v>0</v>
          </cell>
          <cell r="Q24">
            <v>0</v>
          </cell>
          <cell r="R24">
            <v>0</v>
          </cell>
          <cell r="S24">
            <v>28</v>
          </cell>
          <cell r="T24">
            <v>16</v>
          </cell>
          <cell r="U24">
            <v>606</v>
          </cell>
          <cell r="V24">
            <v>23</v>
          </cell>
          <cell r="W24">
            <v>9</v>
          </cell>
          <cell r="X24">
            <v>73</v>
          </cell>
          <cell r="Y24">
            <v>973</v>
          </cell>
          <cell r="Z24">
            <v>145</v>
          </cell>
          <cell r="AA24">
            <v>1118</v>
          </cell>
          <cell r="AB24">
            <v>0.87</v>
          </cell>
          <cell r="AC24" t="str">
            <v>TUO543</v>
          </cell>
        </row>
        <row r="25">
          <cell r="G25">
            <v>0</v>
          </cell>
          <cell r="H25">
            <v>0</v>
          </cell>
          <cell r="I25">
            <v>0</v>
          </cell>
          <cell r="J25">
            <v>858</v>
          </cell>
          <cell r="K25">
            <v>0</v>
          </cell>
          <cell r="L25">
            <v>0</v>
          </cell>
          <cell r="M25">
            <v>0</v>
          </cell>
          <cell r="N25">
            <v>185</v>
          </cell>
          <cell r="O25">
            <v>30</v>
          </cell>
          <cell r="P25">
            <v>0</v>
          </cell>
          <cell r="Q25">
            <v>0</v>
          </cell>
          <cell r="R25">
            <v>0</v>
          </cell>
          <cell r="S25">
            <v>295</v>
          </cell>
          <cell r="T25">
            <v>23</v>
          </cell>
          <cell r="U25">
            <v>1064</v>
          </cell>
          <cell r="V25">
            <v>66</v>
          </cell>
          <cell r="W25">
            <v>29</v>
          </cell>
          <cell r="X25">
            <v>210</v>
          </cell>
          <cell r="Y25">
            <v>2760</v>
          </cell>
          <cell r="Z25">
            <v>421</v>
          </cell>
          <cell r="AA25">
            <v>3181</v>
          </cell>
          <cell r="AB25">
            <v>0.86799999999999999</v>
          </cell>
          <cell r="AC25" t="str">
            <v>MER543</v>
          </cell>
        </row>
        <row r="26">
          <cell r="G26">
            <v>0</v>
          </cell>
          <cell r="H26">
            <v>363</v>
          </cell>
          <cell r="I26">
            <v>275</v>
          </cell>
          <cell r="J26">
            <v>971</v>
          </cell>
          <cell r="K26">
            <v>0</v>
          </cell>
          <cell r="L26">
            <v>0</v>
          </cell>
          <cell r="M26">
            <v>0</v>
          </cell>
          <cell r="N26">
            <v>1968</v>
          </cell>
          <cell r="O26">
            <v>177</v>
          </cell>
          <cell r="P26">
            <v>0</v>
          </cell>
          <cell r="Q26">
            <v>0</v>
          </cell>
          <cell r="R26">
            <v>138</v>
          </cell>
          <cell r="S26">
            <v>1104</v>
          </cell>
          <cell r="T26">
            <v>107</v>
          </cell>
          <cell r="U26">
            <v>828</v>
          </cell>
          <cell r="V26">
            <v>138</v>
          </cell>
          <cell r="W26">
            <v>103</v>
          </cell>
          <cell r="X26">
            <v>297</v>
          </cell>
          <cell r="Y26">
            <v>6469</v>
          </cell>
          <cell r="Z26">
            <v>3383</v>
          </cell>
          <cell r="AA26">
            <v>9852</v>
          </cell>
          <cell r="AB26">
            <v>0.65700000000000003</v>
          </cell>
          <cell r="AC26" t="str">
            <v>LSAC463</v>
          </cell>
        </row>
        <row r="27">
          <cell r="G27">
            <v>0</v>
          </cell>
          <cell r="H27">
            <v>33</v>
          </cell>
          <cell r="I27">
            <v>2058</v>
          </cell>
          <cell r="J27">
            <v>0</v>
          </cell>
          <cell r="K27">
            <v>0</v>
          </cell>
          <cell r="L27">
            <v>0</v>
          </cell>
          <cell r="M27">
            <v>0</v>
          </cell>
          <cell r="N27">
            <v>43</v>
          </cell>
          <cell r="O27">
            <v>11</v>
          </cell>
          <cell r="P27">
            <v>0</v>
          </cell>
          <cell r="Q27">
            <v>0</v>
          </cell>
          <cell r="R27">
            <v>0</v>
          </cell>
          <cell r="S27">
            <v>0</v>
          </cell>
          <cell r="T27">
            <v>0</v>
          </cell>
          <cell r="U27">
            <v>0</v>
          </cell>
          <cell r="V27">
            <v>0</v>
          </cell>
          <cell r="W27">
            <v>0</v>
          </cell>
          <cell r="X27">
            <v>0</v>
          </cell>
          <cell r="Y27">
            <v>2145</v>
          </cell>
          <cell r="Z27">
            <v>688</v>
          </cell>
          <cell r="AA27">
            <v>2833</v>
          </cell>
          <cell r="AB27">
            <v>0.75700000000000001</v>
          </cell>
          <cell r="AC27" t="str">
            <v>USAC463</v>
          </cell>
        </row>
        <row r="28">
          <cell r="G28">
            <v>0</v>
          </cell>
          <cell r="H28">
            <v>474</v>
          </cell>
          <cell r="I28">
            <v>0</v>
          </cell>
          <cell r="J28">
            <v>0</v>
          </cell>
          <cell r="K28">
            <v>0</v>
          </cell>
          <cell r="L28">
            <v>0</v>
          </cell>
          <cell r="M28">
            <v>0</v>
          </cell>
          <cell r="N28">
            <v>34</v>
          </cell>
          <cell r="O28">
            <v>0</v>
          </cell>
          <cell r="P28">
            <v>0</v>
          </cell>
          <cell r="Q28">
            <v>0</v>
          </cell>
          <cell r="R28">
            <v>0</v>
          </cell>
          <cell r="S28">
            <v>0</v>
          </cell>
          <cell r="T28">
            <v>0</v>
          </cell>
          <cell r="U28">
            <v>0</v>
          </cell>
          <cell r="V28">
            <v>0</v>
          </cell>
          <cell r="W28">
            <v>0</v>
          </cell>
          <cell r="X28">
            <v>0</v>
          </cell>
          <cell r="Y28">
            <v>508</v>
          </cell>
          <cell r="Z28">
            <v>201</v>
          </cell>
          <cell r="AA28">
            <v>709</v>
          </cell>
          <cell r="AB28">
            <v>0.71699999999999997</v>
          </cell>
          <cell r="AC28" t="str">
            <v>USAC467</v>
          </cell>
        </row>
        <row r="29">
          <cell r="G29">
            <v>0</v>
          </cell>
          <cell r="H29">
            <v>0</v>
          </cell>
          <cell r="I29">
            <v>0</v>
          </cell>
          <cell r="J29">
            <v>93</v>
          </cell>
          <cell r="K29">
            <v>70</v>
          </cell>
          <cell r="L29">
            <v>0</v>
          </cell>
          <cell r="M29">
            <v>93</v>
          </cell>
          <cell r="N29">
            <v>9749</v>
          </cell>
          <cell r="O29">
            <v>583</v>
          </cell>
          <cell r="P29">
            <v>12</v>
          </cell>
          <cell r="Q29">
            <v>0</v>
          </cell>
          <cell r="R29">
            <v>0</v>
          </cell>
          <cell r="S29">
            <v>0</v>
          </cell>
          <cell r="T29">
            <v>0</v>
          </cell>
          <cell r="U29">
            <v>0</v>
          </cell>
          <cell r="V29">
            <v>12</v>
          </cell>
          <cell r="W29">
            <v>0</v>
          </cell>
          <cell r="X29">
            <v>0</v>
          </cell>
          <cell r="Y29">
            <v>10612</v>
          </cell>
          <cell r="Z29">
            <v>1419</v>
          </cell>
          <cell r="AA29">
            <v>12031</v>
          </cell>
          <cell r="AB29">
            <v>0.88200000000000001</v>
          </cell>
          <cell r="AC29" t="str">
            <v>FEA463</v>
          </cell>
        </row>
        <row r="30">
          <cell r="G30">
            <v>0</v>
          </cell>
          <cell r="H30">
            <v>0</v>
          </cell>
          <cell r="I30">
            <v>0</v>
          </cell>
          <cell r="J30">
            <v>4890</v>
          </cell>
          <cell r="K30">
            <v>0</v>
          </cell>
          <cell r="L30">
            <v>0</v>
          </cell>
          <cell r="M30">
            <v>0</v>
          </cell>
          <cell r="N30">
            <v>1725</v>
          </cell>
          <cell r="O30">
            <v>74</v>
          </cell>
          <cell r="P30">
            <v>0</v>
          </cell>
          <cell r="Q30">
            <v>0</v>
          </cell>
          <cell r="R30">
            <v>382</v>
          </cell>
          <cell r="S30">
            <v>2966</v>
          </cell>
          <cell r="T30">
            <v>24</v>
          </cell>
          <cell r="U30">
            <v>1533</v>
          </cell>
          <cell r="V30">
            <v>598</v>
          </cell>
          <cell r="W30">
            <v>96</v>
          </cell>
          <cell r="X30">
            <v>139</v>
          </cell>
          <cell r="Y30">
            <v>12427</v>
          </cell>
          <cell r="Z30">
            <v>2094</v>
          </cell>
          <cell r="AA30">
            <v>14521</v>
          </cell>
          <cell r="AB30">
            <v>0.85599999999999998</v>
          </cell>
          <cell r="AC30" t="str">
            <v>AMN463</v>
          </cell>
        </row>
        <row r="31">
          <cell r="G31">
            <v>0</v>
          </cell>
          <cell r="H31">
            <v>15</v>
          </cell>
          <cell r="I31">
            <v>0</v>
          </cell>
          <cell r="J31">
            <v>58</v>
          </cell>
          <cell r="K31">
            <v>0</v>
          </cell>
          <cell r="L31">
            <v>0</v>
          </cell>
          <cell r="M31">
            <v>0</v>
          </cell>
          <cell r="N31">
            <v>15</v>
          </cell>
          <cell r="O31">
            <v>0</v>
          </cell>
          <cell r="P31">
            <v>0</v>
          </cell>
          <cell r="Q31">
            <v>0</v>
          </cell>
          <cell r="R31">
            <v>0</v>
          </cell>
          <cell r="S31">
            <v>349</v>
          </cell>
          <cell r="T31">
            <v>0</v>
          </cell>
          <cell r="U31">
            <v>813</v>
          </cell>
          <cell r="V31">
            <v>15</v>
          </cell>
          <cell r="W31">
            <v>44</v>
          </cell>
          <cell r="X31">
            <v>28</v>
          </cell>
          <cell r="Y31">
            <v>1337</v>
          </cell>
          <cell r="Z31">
            <v>288</v>
          </cell>
          <cell r="AA31">
            <v>1625</v>
          </cell>
          <cell r="AB31">
            <v>0.82299999999999995</v>
          </cell>
          <cell r="AC31" t="str">
            <v>MOKE463</v>
          </cell>
        </row>
        <row r="33">
          <cell r="Y33">
            <v>0</v>
          </cell>
          <cell r="Z33">
            <v>515</v>
          </cell>
          <cell r="AA33">
            <v>515</v>
          </cell>
          <cell r="AB33">
            <v>0</v>
          </cell>
          <cell r="AC33" t="str">
            <v>BUTT541</v>
          </cell>
        </row>
        <row r="34">
          <cell r="Y34">
            <v>0</v>
          </cell>
          <cell r="Z34">
            <v>105</v>
          </cell>
          <cell r="AA34">
            <v>105</v>
          </cell>
          <cell r="AB34">
            <v>0</v>
          </cell>
          <cell r="AC34" t="str">
            <v>BUTT543</v>
          </cell>
        </row>
      </sheetData>
      <sheetData sheetId="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 9 proportion "/>
      <sheetName val="Table 10 CWTs exp"/>
      <sheetName val="Table text"/>
      <sheetName val="Tab 10 xtra stray calculation"/>
      <sheetName val="inland_taf_hatchgrp_tableraw&amp;yy"/>
      <sheetName val="hatchery proportion only"/>
    </sheetNames>
    <sheetDataSet>
      <sheetData sheetId="0" refreshError="1"/>
      <sheetData sheetId="1">
        <row r="3">
          <cell r="H3" t="str">
            <v>CFH</v>
          </cell>
          <cell r="K3" t="str">
            <v>FRH</v>
          </cell>
          <cell r="O3" t="str">
            <v>NIM</v>
          </cell>
          <cell r="Q3" t="str">
            <v>MOK</v>
          </cell>
          <cell r="U3" t="str">
            <v>MER</v>
          </cell>
          <cell r="W3" t="str">
            <v>SJO</v>
          </cell>
          <cell r="X3" t="str">
            <v>Non-CV</v>
          </cell>
        </row>
        <row r="4">
          <cell r="G4" t="str">
            <v>SacW</v>
          </cell>
          <cell r="H4" t="str">
            <v>CFHLh</v>
          </cell>
          <cell r="I4" t="str">
            <v>CFHFh</v>
          </cell>
          <cell r="J4" t="str">
            <v>CFHFn</v>
          </cell>
          <cell r="K4" t="str">
            <v>FRHS</v>
          </cell>
          <cell r="L4" t="str">
            <v>FRHF</v>
          </cell>
          <cell r="M4" t="str">
            <v>FRHFn</v>
          </cell>
          <cell r="N4" t="str">
            <v>FRHFgg</v>
          </cell>
          <cell r="O4" t="str">
            <v>NIMF</v>
          </cell>
          <cell r="P4" t="str">
            <v>NIMFn</v>
          </cell>
          <cell r="Q4" t="str">
            <v>MOKF</v>
          </cell>
          <cell r="R4" t="str">
            <v>MOKFn</v>
          </cell>
          <cell r="S4" t="str">
            <v>MOKFnc</v>
          </cell>
          <cell r="T4" t="str">
            <v>MOKFgg</v>
          </cell>
          <cell r="U4" t="str">
            <v>MERF</v>
          </cell>
          <cell r="V4" t="str">
            <v>MERFn</v>
          </cell>
        </row>
        <row r="6">
          <cell r="A6" t="str">
            <v>KESW504</v>
          </cell>
          <cell r="E6" t="str">
            <v>Keswick Dam Fish Trap</v>
          </cell>
          <cell r="F6" t="str">
            <v>Winter</v>
          </cell>
          <cell r="G6">
            <v>151</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AA6">
            <v>180</v>
          </cell>
          <cell r="AD6">
            <v>0.83899999999999997</v>
          </cell>
        </row>
        <row r="7">
          <cell r="A7" t="str">
            <v>FRFH501</v>
          </cell>
          <cell r="B7" t="str">
            <v>FRFH</v>
          </cell>
          <cell r="C7">
            <v>50</v>
          </cell>
          <cell r="D7">
            <v>1</v>
          </cell>
          <cell r="E7" t="str">
            <v>Feather River Hatchery</v>
          </cell>
          <cell r="F7" t="str">
            <v>Spring</v>
          </cell>
          <cell r="G7">
            <v>0</v>
          </cell>
          <cell r="H7">
            <v>0</v>
          </cell>
          <cell r="I7">
            <v>0</v>
          </cell>
          <cell r="J7">
            <v>0</v>
          </cell>
          <cell r="K7">
            <v>1817</v>
          </cell>
          <cell r="L7">
            <v>0</v>
          </cell>
          <cell r="M7">
            <v>169</v>
          </cell>
          <cell r="N7">
            <v>0</v>
          </cell>
          <cell r="O7">
            <v>0</v>
          </cell>
          <cell r="P7">
            <v>0</v>
          </cell>
          <cell r="Q7">
            <v>0</v>
          </cell>
          <cell r="R7">
            <v>0</v>
          </cell>
          <cell r="S7">
            <v>0</v>
          </cell>
          <cell r="T7">
            <v>0</v>
          </cell>
          <cell r="U7">
            <v>0</v>
          </cell>
          <cell r="V7">
            <v>0</v>
          </cell>
          <cell r="W7">
            <v>2</v>
          </cell>
          <cell r="X7">
            <v>0</v>
          </cell>
          <cell r="AA7">
            <v>2110</v>
          </cell>
          <cell r="AD7">
            <v>0.94199999999999995</v>
          </cell>
        </row>
        <row r="8">
          <cell r="A8" t="str">
            <v>KESW503</v>
          </cell>
          <cell r="B8" t="str">
            <v>KESW</v>
          </cell>
          <cell r="C8">
            <v>50</v>
          </cell>
          <cell r="D8">
            <v>3</v>
          </cell>
          <cell r="E8" t="str">
            <v>Keswick Dam Fish Trap</v>
          </cell>
          <cell r="F8" t="str">
            <v>Fall</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AA8">
            <v>0</v>
          </cell>
          <cell r="AD8">
            <v>0</v>
          </cell>
        </row>
        <row r="9">
          <cell r="A9" t="str">
            <v>CNFH503</v>
          </cell>
          <cell r="B9" t="str">
            <v>CNFH</v>
          </cell>
          <cell r="C9">
            <v>50</v>
          </cell>
          <cell r="D9">
            <v>3</v>
          </cell>
          <cell r="E9" t="str">
            <v>Coleman National Fish Hatchery</v>
          </cell>
          <cell r="F9" t="str">
            <v>Fall</v>
          </cell>
          <cell r="G9">
            <v>0</v>
          </cell>
          <cell r="H9">
            <v>0</v>
          </cell>
          <cell r="I9">
            <v>12233</v>
          </cell>
          <cell r="J9">
            <v>0</v>
          </cell>
          <cell r="K9">
            <v>0</v>
          </cell>
          <cell r="L9">
            <v>3</v>
          </cell>
          <cell r="M9">
            <v>12</v>
          </cell>
          <cell r="N9">
            <v>4</v>
          </cell>
          <cell r="O9">
            <v>0</v>
          </cell>
          <cell r="P9">
            <v>4</v>
          </cell>
          <cell r="Q9">
            <v>0</v>
          </cell>
          <cell r="R9">
            <v>8</v>
          </cell>
          <cell r="S9">
            <v>4</v>
          </cell>
          <cell r="T9">
            <v>13</v>
          </cell>
          <cell r="U9">
            <v>0</v>
          </cell>
          <cell r="V9">
            <v>1</v>
          </cell>
          <cell r="W9">
            <v>0</v>
          </cell>
          <cell r="X9">
            <v>0</v>
          </cell>
          <cell r="AA9">
            <v>14198</v>
          </cell>
          <cell r="AD9">
            <v>0.86499999999999999</v>
          </cell>
        </row>
        <row r="10">
          <cell r="A10" t="str">
            <v>FRFH503</v>
          </cell>
          <cell r="B10" t="str">
            <v>FRFH</v>
          </cell>
          <cell r="C10">
            <v>50</v>
          </cell>
          <cell r="D10">
            <v>3</v>
          </cell>
          <cell r="E10" t="str">
            <v>Feather River Hatchery</v>
          </cell>
          <cell r="F10" t="str">
            <v>Fall</v>
          </cell>
          <cell r="G10">
            <v>0</v>
          </cell>
          <cell r="H10">
            <v>1</v>
          </cell>
          <cell r="I10">
            <v>12</v>
          </cell>
          <cell r="J10">
            <v>0</v>
          </cell>
          <cell r="K10">
            <v>1487</v>
          </cell>
          <cell r="L10">
            <v>842</v>
          </cell>
          <cell r="M10">
            <v>19349</v>
          </cell>
          <cell r="N10">
            <v>2144</v>
          </cell>
          <cell r="O10">
            <v>4</v>
          </cell>
          <cell r="P10">
            <v>28</v>
          </cell>
          <cell r="Q10">
            <v>3</v>
          </cell>
          <cell r="R10">
            <v>200</v>
          </cell>
          <cell r="S10">
            <v>81</v>
          </cell>
          <cell r="T10">
            <v>39</v>
          </cell>
          <cell r="U10">
            <v>0</v>
          </cell>
          <cell r="V10">
            <v>24</v>
          </cell>
          <cell r="W10">
            <v>28</v>
          </cell>
          <cell r="X10">
            <v>0</v>
          </cell>
          <cell r="AA10">
            <v>28356</v>
          </cell>
          <cell r="AD10">
            <v>0.85499999999999998</v>
          </cell>
        </row>
        <row r="11">
          <cell r="A11" t="str">
            <v>NBFH503</v>
          </cell>
          <cell r="B11" t="str">
            <v>NBFH</v>
          </cell>
          <cell r="C11">
            <v>50</v>
          </cell>
          <cell r="D11">
            <v>3</v>
          </cell>
          <cell r="E11" t="str">
            <v>Nimbus Fish Hatchery</v>
          </cell>
          <cell r="F11" t="str">
            <v>Fall</v>
          </cell>
          <cell r="G11">
            <v>0</v>
          </cell>
          <cell r="H11">
            <v>2</v>
          </cell>
          <cell r="I11">
            <v>0</v>
          </cell>
          <cell r="J11">
            <v>8</v>
          </cell>
          <cell r="K11">
            <v>0</v>
          </cell>
          <cell r="L11">
            <v>0</v>
          </cell>
          <cell r="M11">
            <v>69</v>
          </cell>
          <cell r="N11">
            <v>79</v>
          </cell>
          <cell r="O11">
            <v>877</v>
          </cell>
          <cell r="P11">
            <v>2339</v>
          </cell>
          <cell r="Q11">
            <v>12</v>
          </cell>
          <cell r="R11">
            <v>1499</v>
          </cell>
          <cell r="S11">
            <v>295</v>
          </cell>
          <cell r="T11">
            <v>204</v>
          </cell>
          <cell r="U11">
            <v>6</v>
          </cell>
          <cell r="V11">
            <v>86</v>
          </cell>
          <cell r="W11">
            <v>0</v>
          </cell>
          <cell r="X11">
            <v>0</v>
          </cell>
          <cell r="AA11">
            <v>6212</v>
          </cell>
          <cell r="AD11">
            <v>0.88200000000000001</v>
          </cell>
        </row>
        <row r="12">
          <cell r="A12" t="str">
            <v>MRFI503</v>
          </cell>
          <cell r="B12" t="str">
            <v>MRFI</v>
          </cell>
          <cell r="C12">
            <v>50</v>
          </cell>
          <cell r="D12">
            <v>3</v>
          </cell>
          <cell r="E12" t="str">
            <v>Mokelumne River Hatchery</v>
          </cell>
          <cell r="F12" t="str">
            <v>Fall</v>
          </cell>
          <cell r="G12">
            <v>0</v>
          </cell>
          <cell r="H12">
            <v>19</v>
          </cell>
          <cell r="I12">
            <v>0</v>
          </cell>
          <cell r="J12">
            <v>0</v>
          </cell>
          <cell r="K12">
            <v>0</v>
          </cell>
          <cell r="L12">
            <v>1</v>
          </cell>
          <cell r="M12">
            <v>76</v>
          </cell>
          <cell r="N12">
            <v>56</v>
          </cell>
          <cell r="O12">
            <v>0</v>
          </cell>
          <cell r="P12">
            <v>196</v>
          </cell>
          <cell r="Q12">
            <v>126</v>
          </cell>
          <cell r="R12">
            <v>6152</v>
          </cell>
          <cell r="S12">
            <v>293</v>
          </cell>
          <cell r="T12">
            <v>332</v>
          </cell>
          <cell r="U12">
            <v>0</v>
          </cell>
          <cell r="V12">
            <v>76</v>
          </cell>
          <cell r="W12">
            <v>1</v>
          </cell>
          <cell r="X12">
            <v>8</v>
          </cell>
          <cell r="AA12">
            <v>7420</v>
          </cell>
          <cell r="AD12">
            <v>0.98899999999999999</v>
          </cell>
        </row>
        <row r="13">
          <cell r="A13" t="str">
            <v>MRFF503</v>
          </cell>
          <cell r="B13" t="str">
            <v>MRFF</v>
          </cell>
          <cell r="C13">
            <v>50</v>
          </cell>
          <cell r="D13">
            <v>3</v>
          </cell>
          <cell r="E13" t="str">
            <v>Merced River Hatchery</v>
          </cell>
          <cell r="F13" t="str">
            <v>Fall</v>
          </cell>
          <cell r="G13">
            <v>0</v>
          </cell>
          <cell r="H13">
            <v>4</v>
          </cell>
          <cell r="I13">
            <v>0</v>
          </cell>
          <cell r="J13">
            <v>0</v>
          </cell>
          <cell r="K13">
            <v>0</v>
          </cell>
          <cell r="L13">
            <v>0</v>
          </cell>
          <cell r="M13">
            <v>32</v>
          </cell>
          <cell r="N13">
            <v>8</v>
          </cell>
          <cell r="O13">
            <v>0</v>
          </cell>
          <cell r="P13">
            <v>24</v>
          </cell>
          <cell r="Q13">
            <v>0</v>
          </cell>
          <cell r="R13">
            <v>204</v>
          </cell>
          <cell r="S13">
            <v>5</v>
          </cell>
          <cell r="T13">
            <v>9</v>
          </cell>
          <cell r="U13">
            <v>209</v>
          </cell>
          <cell r="V13">
            <v>30</v>
          </cell>
          <cell r="W13">
            <v>0</v>
          </cell>
          <cell r="X13">
            <v>0</v>
          </cell>
          <cell r="AA13">
            <v>903</v>
          </cell>
          <cell r="AD13">
            <v>0.58099999999999996</v>
          </cell>
        </row>
        <row r="14">
          <cell r="A14" t="str">
            <v>CNFH507</v>
          </cell>
          <cell r="B14" t="str">
            <v>CNFH</v>
          </cell>
          <cell r="C14">
            <v>50</v>
          </cell>
          <cell r="D14">
            <v>7</v>
          </cell>
          <cell r="E14" t="str">
            <v xml:space="preserve">Coleman National Fish Hatchery </v>
          </cell>
          <cell r="G14">
            <v>0</v>
          </cell>
          <cell r="H14">
            <v>7973</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AA14">
            <v>8094</v>
          </cell>
          <cell r="AD14">
            <v>0.98499999999999999</v>
          </cell>
        </row>
        <row r="15">
          <cell r="A15" t="str">
            <v>CNFW527</v>
          </cell>
          <cell r="B15" t="str">
            <v>CNFW</v>
          </cell>
          <cell r="C15">
            <v>52</v>
          </cell>
          <cell r="D15">
            <v>7</v>
          </cell>
          <cell r="E15" t="str">
            <v>Coleman Hatchery Fish Trap</v>
          </cell>
          <cell r="G15">
            <v>0</v>
          </cell>
          <cell r="H15">
            <v>83</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AA15">
            <v>83</v>
          </cell>
          <cell r="AD15">
            <v>1</v>
          </cell>
        </row>
        <row r="16">
          <cell r="B16" t="str">
            <v>KESW</v>
          </cell>
          <cell r="C16">
            <v>50</v>
          </cell>
          <cell r="D16">
            <v>7</v>
          </cell>
          <cell r="E16" t="str">
            <v>Keswick Dam Fish Trap</v>
          </cell>
          <cell r="H16">
            <v>2</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AA16">
            <v>13</v>
          </cell>
        </row>
        <row r="17">
          <cell r="G17">
            <v>0</v>
          </cell>
          <cell r="H17">
            <v>26</v>
          </cell>
          <cell r="I17">
            <v>12245</v>
          </cell>
          <cell r="J17">
            <v>8</v>
          </cell>
          <cell r="K17">
            <v>1487</v>
          </cell>
          <cell r="L17">
            <v>846</v>
          </cell>
          <cell r="M17">
            <v>19538</v>
          </cell>
          <cell r="N17">
            <v>2291</v>
          </cell>
          <cell r="O17">
            <v>881</v>
          </cell>
          <cell r="P17">
            <v>2591</v>
          </cell>
          <cell r="Q17">
            <v>141</v>
          </cell>
          <cell r="R17">
            <v>8063</v>
          </cell>
          <cell r="S17">
            <v>678</v>
          </cell>
          <cell r="T17">
            <v>597</v>
          </cell>
          <cell r="U17">
            <v>215</v>
          </cell>
          <cell r="V17">
            <v>217</v>
          </cell>
          <cell r="W17">
            <v>29</v>
          </cell>
          <cell r="X17">
            <v>8</v>
          </cell>
          <cell r="Z17">
            <v>7228</v>
          </cell>
          <cell r="AA17">
            <v>57089</v>
          </cell>
          <cell r="AD17">
            <v>0.87339067070714149</v>
          </cell>
        </row>
        <row r="19">
          <cell r="A19" t="str">
            <v>USAC544</v>
          </cell>
          <cell r="B19" t="str">
            <v>USAC</v>
          </cell>
          <cell r="C19">
            <v>54</v>
          </cell>
          <cell r="D19">
            <v>4</v>
          </cell>
          <cell r="E19" t="str">
            <v>Upper Sacramento River</v>
          </cell>
          <cell r="F19" t="str">
            <v>Winter</v>
          </cell>
          <cell r="G19">
            <v>2006</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AA19">
            <v>2458</v>
          </cell>
          <cell r="AD19">
            <v>0.81599999999999995</v>
          </cell>
        </row>
        <row r="20">
          <cell r="A20" t="str">
            <v>BUTT541</v>
          </cell>
          <cell r="B20" t="str">
            <v>BUTT</v>
          </cell>
          <cell r="C20">
            <v>54</v>
          </cell>
          <cell r="D20">
            <v>1</v>
          </cell>
          <cell r="E20" t="str">
            <v>Butte Creek</v>
          </cell>
          <cell r="F20" t="str">
            <v>Spring</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AA20">
            <v>2362</v>
          </cell>
          <cell r="AD20">
            <v>0</v>
          </cell>
        </row>
        <row r="21">
          <cell r="A21" t="str">
            <v>USAC543</v>
          </cell>
          <cell r="B21" t="str">
            <v>USAC</v>
          </cell>
          <cell r="C21">
            <v>54</v>
          </cell>
          <cell r="D21">
            <v>3</v>
          </cell>
          <cell r="E21" t="str">
            <v>Upper Sacramento River</v>
          </cell>
          <cell r="F21" t="str">
            <v>Fall</v>
          </cell>
          <cell r="G21">
            <v>0</v>
          </cell>
          <cell r="H21">
            <v>12</v>
          </cell>
          <cell r="I21">
            <v>1904</v>
          </cell>
          <cell r="J21">
            <v>0</v>
          </cell>
          <cell r="K21">
            <v>0</v>
          </cell>
          <cell r="L21">
            <v>11</v>
          </cell>
          <cell r="M21">
            <v>88</v>
          </cell>
          <cell r="N21">
            <v>6</v>
          </cell>
          <cell r="O21">
            <v>0</v>
          </cell>
          <cell r="P21">
            <v>0</v>
          </cell>
          <cell r="Q21">
            <v>0</v>
          </cell>
          <cell r="R21">
            <v>45</v>
          </cell>
          <cell r="S21">
            <v>39</v>
          </cell>
          <cell r="T21">
            <v>6</v>
          </cell>
          <cell r="U21">
            <v>0</v>
          </cell>
          <cell r="V21">
            <v>0</v>
          </cell>
          <cell r="W21">
            <v>0</v>
          </cell>
          <cell r="X21">
            <v>0</v>
          </cell>
          <cell r="AA21">
            <v>9436</v>
          </cell>
          <cell r="AD21">
            <v>0.224</v>
          </cell>
        </row>
        <row r="22">
          <cell r="A22" t="str">
            <v>CLR543</v>
          </cell>
          <cell r="B22" t="str">
            <v>CLR</v>
          </cell>
          <cell r="C22">
            <v>54</v>
          </cell>
          <cell r="D22">
            <v>3</v>
          </cell>
          <cell r="E22" t="str">
            <v>Clear Creek</v>
          </cell>
          <cell r="F22" t="str">
            <v>Fall</v>
          </cell>
          <cell r="G22">
            <v>0</v>
          </cell>
          <cell r="H22">
            <v>0</v>
          </cell>
          <cell r="I22">
            <v>1435</v>
          </cell>
          <cell r="J22">
            <v>0</v>
          </cell>
          <cell r="K22">
            <v>0</v>
          </cell>
          <cell r="L22">
            <v>0</v>
          </cell>
          <cell r="M22">
            <v>377</v>
          </cell>
          <cell r="N22">
            <v>0</v>
          </cell>
          <cell r="O22">
            <v>0</v>
          </cell>
          <cell r="P22">
            <v>0</v>
          </cell>
          <cell r="Q22">
            <v>0</v>
          </cell>
          <cell r="R22">
            <v>0</v>
          </cell>
          <cell r="S22">
            <v>32</v>
          </cell>
          <cell r="T22">
            <v>0</v>
          </cell>
          <cell r="U22">
            <v>0</v>
          </cell>
          <cell r="V22">
            <v>0</v>
          </cell>
          <cell r="W22">
            <v>0</v>
          </cell>
          <cell r="X22">
            <v>0</v>
          </cell>
          <cell r="AA22">
            <v>8547</v>
          </cell>
          <cell r="AD22">
            <v>0.216</v>
          </cell>
        </row>
        <row r="23">
          <cell r="A23" t="str">
            <v>BATT543</v>
          </cell>
          <cell r="B23" t="str">
            <v>BATT</v>
          </cell>
          <cell r="C23">
            <v>54</v>
          </cell>
          <cell r="D23">
            <v>3</v>
          </cell>
          <cell r="F23" t="str">
            <v>Fall</v>
          </cell>
          <cell r="G23">
            <v>0</v>
          </cell>
          <cell r="H23">
            <v>0</v>
          </cell>
          <cell r="I23">
            <v>8551</v>
          </cell>
          <cell r="J23">
            <v>0</v>
          </cell>
          <cell r="K23">
            <v>0</v>
          </cell>
          <cell r="L23">
            <v>2</v>
          </cell>
          <cell r="M23">
            <v>8</v>
          </cell>
          <cell r="N23">
            <v>3</v>
          </cell>
          <cell r="O23">
            <v>0</v>
          </cell>
          <cell r="P23">
            <v>3</v>
          </cell>
          <cell r="Q23">
            <v>0</v>
          </cell>
          <cell r="R23">
            <v>6</v>
          </cell>
          <cell r="S23">
            <v>3</v>
          </cell>
          <cell r="T23">
            <v>9</v>
          </cell>
          <cell r="U23">
            <v>0</v>
          </cell>
          <cell r="V23">
            <v>1</v>
          </cell>
          <cell r="W23">
            <v>0</v>
          </cell>
          <cell r="X23">
            <v>0</v>
          </cell>
          <cell r="AA23">
            <v>9931</v>
          </cell>
          <cell r="AD23">
            <v>0.86456550196354853</v>
          </cell>
        </row>
        <row r="24">
          <cell r="A24" t="str">
            <v>COT543</v>
          </cell>
          <cell r="B24" t="str">
            <v>COT</v>
          </cell>
          <cell r="C24">
            <v>54</v>
          </cell>
          <cell r="D24">
            <v>3</v>
          </cell>
          <cell r="E24" t="str">
            <v>Cottonwood Creek*</v>
          </cell>
          <cell r="F24" t="str">
            <v>Fall</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AA24">
            <v>0</v>
          </cell>
          <cell r="AD24">
            <v>0</v>
          </cell>
        </row>
        <row r="25">
          <cell r="A25" t="str">
            <v>COW543</v>
          </cell>
          <cell r="B25" t="str">
            <v>COW</v>
          </cell>
          <cell r="C25">
            <v>54</v>
          </cell>
          <cell r="D25">
            <v>3</v>
          </cell>
          <cell r="E25" t="str">
            <v>Cow Creek*</v>
          </cell>
          <cell r="F25" t="str">
            <v>Fall</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AA25">
            <v>0</v>
          </cell>
          <cell r="AD25">
            <v>0</v>
          </cell>
        </row>
        <row r="26">
          <cell r="A26" t="str">
            <v>MLC543</v>
          </cell>
          <cell r="B26" t="str">
            <v>MLC</v>
          </cell>
          <cell r="C26">
            <v>54</v>
          </cell>
          <cell r="D26">
            <v>3</v>
          </cell>
          <cell r="E26" t="str">
            <v>Mill Creek*</v>
          </cell>
          <cell r="F26" t="str">
            <v>Fall</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AA26">
            <v>0</v>
          </cell>
          <cell r="AD26">
            <v>0</v>
          </cell>
        </row>
        <row r="27">
          <cell r="A27" t="str">
            <v>BUTT543</v>
          </cell>
          <cell r="B27" t="str">
            <v>BUTT</v>
          </cell>
          <cell r="C27">
            <v>54</v>
          </cell>
          <cell r="D27">
            <v>3</v>
          </cell>
          <cell r="E27" t="str">
            <v>Butte Creek</v>
          </cell>
          <cell r="F27" t="str">
            <v>Fall</v>
          </cell>
          <cell r="G27">
            <v>1</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AA27">
            <v>14</v>
          </cell>
          <cell r="AD27">
            <v>7.0999999999999994E-2</v>
          </cell>
        </row>
        <row r="28">
          <cell r="A28" t="str">
            <v>FEA543</v>
          </cell>
          <cell r="B28" t="str">
            <v>FEA</v>
          </cell>
          <cell r="C28">
            <v>54</v>
          </cell>
          <cell r="D28">
            <v>3</v>
          </cell>
          <cell r="E28" t="str">
            <v>Feather River</v>
          </cell>
          <cell r="F28" t="str">
            <v>Fall</v>
          </cell>
          <cell r="G28">
            <v>0</v>
          </cell>
          <cell r="H28">
            <v>0</v>
          </cell>
          <cell r="I28">
            <v>0</v>
          </cell>
          <cell r="J28">
            <v>0</v>
          </cell>
          <cell r="K28">
            <v>1382</v>
          </cell>
          <cell r="L28">
            <v>425</v>
          </cell>
          <cell r="M28">
            <v>33846</v>
          </cell>
          <cell r="N28">
            <v>375</v>
          </cell>
          <cell r="O28">
            <v>0</v>
          </cell>
          <cell r="P28">
            <v>68</v>
          </cell>
          <cell r="Q28">
            <v>0</v>
          </cell>
          <cell r="R28">
            <v>338</v>
          </cell>
          <cell r="S28">
            <v>118</v>
          </cell>
          <cell r="T28">
            <v>17</v>
          </cell>
          <cell r="U28">
            <v>0</v>
          </cell>
          <cell r="V28">
            <v>0</v>
          </cell>
          <cell r="W28">
            <v>0</v>
          </cell>
          <cell r="X28">
            <v>0</v>
          </cell>
          <cell r="AA28">
            <v>45826</v>
          </cell>
          <cell r="AD28">
            <v>0.79800000000000004</v>
          </cell>
        </row>
        <row r="29">
          <cell r="A29" t="str">
            <v>YUBA543</v>
          </cell>
          <cell r="B29" t="str">
            <v>YUBA</v>
          </cell>
          <cell r="C29">
            <v>54</v>
          </cell>
          <cell r="D29">
            <v>3</v>
          </cell>
          <cell r="E29" t="str">
            <v>Yuba River</v>
          </cell>
          <cell r="F29" t="str">
            <v>Fall</v>
          </cell>
          <cell r="G29">
            <v>0</v>
          </cell>
          <cell r="H29">
            <v>0</v>
          </cell>
          <cell r="I29">
            <v>0</v>
          </cell>
          <cell r="J29">
            <v>0</v>
          </cell>
          <cell r="K29">
            <v>489</v>
          </cell>
          <cell r="L29">
            <v>49</v>
          </cell>
          <cell r="M29">
            <v>1002</v>
          </cell>
          <cell r="N29">
            <v>0</v>
          </cell>
          <cell r="O29">
            <v>97</v>
          </cell>
          <cell r="P29">
            <v>97</v>
          </cell>
          <cell r="Q29">
            <v>0</v>
          </cell>
          <cell r="R29">
            <v>775</v>
          </cell>
          <cell r="S29">
            <v>218</v>
          </cell>
          <cell r="T29">
            <v>121</v>
          </cell>
          <cell r="U29">
            <v>0</v>
          </cell>
          <cell r="V29">
            <v>0</v>
          </cell>
          <cell r="W29">
            <v>0</v>
          </cell>
          <cell r="X29">
            <v>0</v>
          </cell>
          <cell r="AA29">
            <v>3073</v>
          </cell>
          <cell r="AD29">
            <v>0.92700000000000005</v>
          </cell>
        </row>
        <row r="30">
          <cell r="A30" t="str">
            <v>YUBB543</v>
          </cell>
          <cell r="B30" t="str">
            <v>YUBB</v>
          </cell>
          <cell r="C30">
            <v>54</v>
          </cell>
          <cell r="D30">
            <v>3</v>
          </cell>
          <cell r="E30" t="str">
            <v>Yuba River below DPD</v>
          </cell>
          <cell r="F30" t="str">
            <v>Fall</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AA30">
            <v>0</v>
          </cell>
          <cell r="AD30">
            <v>0</v>
          </cell>
        </row>
        <row r="31">
          <cell r="A31" t="str">
            <v>LARC543</v>
          </cell>
          <cell r="B31" t="str">
            <v>LARC</v>
          </cell>
          <cell r="C31">
            <v>54</v>
          </cell>
          <cell r="D31">
            <v>3</v>
          </cell>
          <cell r="E31" t="str">
            <v>American River</v>
          </cell>
          <cell r="F31" t="str">
            <v>Fall</v>
          </cell>
          <cell r="G31">
            <v>0</v>
          </cell>
          <cell r="H31">
            <v>0</v>
          </cell>
          <cell r="I31">
            <v>0</v>
          </cell>
          <cell r="J31">
            <v>104</v>
          </cell>
          <cell r="K31">
            <v>2</v>
          </cell>
          <cell r="L31">
            <v>3</v>
          </cell>
          <cell r="M31">
            <v>928</v>
          </cell>
          <cell r="N31">
            <v>252</v>
          </cell>
          <cell r="O31">
            <v>3452</v>
          </cell>
          <cell r="P31">
            <v>3935</v>
          </cell>
          <cell r="Q31">
            <v>21</v>
          </cell>
          <cell r="R31">
            <v>4911</v>
          </cell>
          <cell r="S31">
            <v>1240</v>
          </cell>
          <cell r="T31">
            <v>868</v>
          </cell>
          <cell r="U31">
            <v>0</v>
          </cell>
          <cell r="V31">
            <v>287</v>
          </cell>
          <cell r="W31">
            <v>5</v>
          </cell>
          <cell r="X31">
            <v>0</v>
          </cell>
          <cell r="AA31">
            <v>21092</v>
          </cell>
          <cell r="AD31">
            <v>0.75900000000000001</v>
          </cell>
        </row>
        <row r="32">
          <cell r="A32" t="str">
            <v>NIMW593</v>
          </cell>
          <cell r="B32" t="str">
            <v>NIMW</v>
          </cell>
          <cell r="C32">
            <v>59</v>
          </cell>
          <cell r="D32">
            <v>3</v>
          </cell>
          <cell r="E32" t="str">
            <v>Nimbus Fish Hatchery Weir</v>
          </cell>
          <cell r="F32" t="str">
            <v>Fall</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AA32">
            <v>0</v>
          </cell>
          <cell r="AD32">
            <v>0</v>
          </cell>
        </row>
        <row r="33">
          <cell r="A33" t="str">
            <v>MOKE543</v>
          </cell>
          <cell r="B33" t="str">
            <v>MOKE</v>
          </cell>
          <cell r="C33">
            <v>54</v>
          </cell>
          <cell r="D33">
            <v>3</v>
          </cell>
          <cell r="E33" t="str">
            <v>Mokelumne River</v>
          </cell>
          <cell r="F33" t="str">
            <v>Fall</v>
          </cell>
          <cell r="G33">
            <v>0</v>
          </cell>
          <cell r="H33">
            <v>0</v>
          </cell>
          <cell r="I33">
            <v>0</v>
          </cell>
          <cell r="J33">
            <v>0</v>
          </cell>
          <cell r="K33">
            <v>0</v>
          </cell>
          <cell r="L33">
            <v>0</v>
          </cell>
          <cell r="M33">
            <v>78</v>
          </cell>
          <cell r="N33">
            <v>31</v>
          </cell>
          <cell r="O33">
            <v>0</v>
          </cell>
          <cell r="P33">
            <v>464</v>
          </cell>
          <cell r="Q33">
            <v>124</v>
          </cell>
          <cell r="R33">
            <v>7004</v>
          </cell>
          <cell r="S33">
            <v>429</v>
          </cell>
          <cell r="T33">
            <v>468</v>
          </cell>
          <cell r="U33">
            <v>44</v>
          </cell>
          <cell r="V33">
            <v>150</v>
          </cell>
          <cell r="W33">
            <v>0</v>
          </cell>
          <cell r="X33">
            <v>0</v>
          </cell>
          <cell r="AA33">
            <v>10055</v>
          </cell>
          <cell r="AD33">
            <v>0.874</v>
          </cell>
        </row>
        <row r="34">
          <cell r="A34" t="str">
            <v>COSU543</v>
          </cell>
          <cell r="B34" t="str">
            <v>COSU</v>
          </cell>
          <cell r="C34">
            <v>54</v>
          </cell>
          <cell r="D34">
            <v>3</v>
          </cell>
          <cell r="E34" t="str">
            <v>Cosumnes River</v>
          </cell>
          <cell r="F34" t="str">
            <v>Fall</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AA34">
            <v>0</v>
          </cell>
          <cell r="AD34">
            <v>0</v>
          </cell>
        </row>
        <row r="35">
          <cell r="A35" t="str">
            <v>CAL543</v>
          </cell>
          <cell r="B35" t="str">
            <v>CAL</v>
          </cell>
          <cell r="C35">
            <v>54</v>
          </cell>
          <cell r="D35">
            <v>3</v>
          </cell>
          <cell r="E35" t="str">
            <v>Calaveras River*</v>
          </cell>
          <cell r="F35" t="str">
            <v>Fall</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AA35">
            <v>0</v>
          </cell>
          <cell r="AD35">
            <v>0</v>
          </cell>
        </row>
        <row r="36">
          <cell r="A36" t="str">
            <v>STA543</v>
          </cell>
          <cell r="B36" t="str">
            <v>STA</v>
          </cell>
          <cell r="C36">
            <v>54</v>
          </cell>
          <cell r="D36">
            <v>3</v>
          </cell>
          <cell r="E36" t="str">
            <v>Stanislaus River</v>
          </cell>
          <cell r="F36" t="str">
            <v>Fall</v>
          </cell>
          <cell r="G36">
            <v>0</v>
          </cell>
          <cell r="H36">
            <v>0</v>
          </cell>
          <cell r="I36">
            <v>0</v>
          </cell>
          <cell r="J36">
            <v>0</v>
          </cell>
          <cell r="K36">
            <v>0</v>
          </cell>
          <cell r="L36">
            <v>0</v>
          </cell>
          <cell r="M36">
            <v>17</v>
          </cell>
          <cell r="N36">
            <v>0</v>
          </cell>
          <cell r="O36">
            <v>0</v>
          </cell>
          <cell r="P36">
            <v>33</v>
          </cell>
          <cell r="Q36">
            <v>4</v>
          </cell>
          <cell r="R36">
            <v>1539</v>
          </cell>
          <cell r="S36">
            <v>46</v>
          </cell>
          <cell r="T36">
            <v>46</v>
          </cell>
          <cell r="U36">
            <v>0</v>
          </cell>
          <cell r="V36">
            <v>102</v>
          </cell>
          <cell r="W36">
            <v>0</v>
          </cell>
          <cell r="X36">
            <v>0</v>
          </cell>
          <cell r="AA36">
            <v>2377</v>
          </cell>
          <cell r="AD36">
            <v>0.752</v>
          </cell>
        </row>
        <row r="37">
          <cell r="A37" t="str">
            <v>TUO543</v>
          </cell>
          <cell r="B37" t="str">
            <v>TUO</v>
          </cell>
          <cell r="C37">
            <v>54</v>
          </cell>
          <cell r="D37">
            <v>3</v>
          </cell>
          <cell r="E37" t="str">
            <v>Tuolumne River</v>
          </cell>
          <cell r="F37" t="str">
            <v>Fall</v>
          </cell>
          <cell r="G37">
            <v>0</v>
          </cell>
          <cell r="H37">
            <v>0</v>
          </cell>
          <cell r="I37">
            <v>0</v>
          </cell>
          <cell r="J37">
            <v>0</v>
          </cell>
          <cell r="K37">
            <v>0</v>
          </cell>
          <cell r="L37">
            <v>0</v>
          </cell>
          <cell r="M37">
            <v>17</v>
          </cell>
          <cell r="N37">
            <v>17</v>
          </cell>
          <cell r="O37">
            <v>0</v>
          </cell>
          <cell r="P37">
            <v>25</v>
          </cell>
          <cell r="Q37">
            <v>0</v>
          </cell>
          <cell r="R37">
            <v>427</v>
          </cell>
          <cell r="S37">
            <v>4</v>
          </cell>
          <cell r="T37">
            <v>8</v>
          </cell>
          <cell r="U37">
            <v>0</v>
          </cell>
          <cell r="V37">
            <v>121</v>
          </cell>
          <cell r="W37">
            <v>0</v>
          </cell>
          <cell r="X37">
            <v>0</v>
          </cell>
          <cell r="AA37">
            <v>1077</v>
          </cell>
          <cell r="AD37">
            <v>0.57499999999999996</v>
          </cell>
        </row>
        <row r="38">
          <cell r="A38" t="str">
            <v>MER543</v>
          </cell>
          <cell r="B38" t="str">
            <v>MER</v>
          </cell>
          <cell r="C38">
            <v>54</v>
          </cell>
          <cell r="D38">
            <v>3</v>
          </cell>
          <cell r="E38" t="str">
            <v>Merced River</v>
          </cell>
          <cell r="F38" t="str">
            <v>Fall</v>
          </cell>
          <cell r="G38">
            <v>0</v>
          </cell>
          <cell r="H38">
            <v>0</v>
          </cell>
          <cell r="I38">
            <v>0</v>
          </cell>
          <cell r="J38">
            <v>0</v>
          </cell>
          <cell r="K38">
            <v>0</v>
          </cell>
          <cell r="L38">
            <v>0</v>
          </cell>
          <cell r="M38">
            <v>0</v>
          </cell>
          <cell r="N38">
            <v>0</v>
          </cell>
          <cell r="O38">
            <v>0</v>
          </cell>
          <cell r="P38">
            <v>0</v>
          </cell>
          <cell r="Q38">
            <v>0</v>
          </cell>
          <cell r="R38">
            <v>233</v>
          </cell>
          <cell r="S38">
            <v>0</v>
          </cell>
          <cell r="T38">
            <v>0</v>
          </cell>
          <cell r="U38">
            <v>34</v>
          </cell>
          <cell r="V38">
            <v>31</v>
          </cell>
          <cell r="W38">
            <v>0</v>
          </cell>
          <cell r="X38">
            <v>0</v>
          </cell>
          <cell r="AA38">
            <v>878</v>
          </cell>
          <cell r="AD38">
            <v>0.33900000000000002</v>
          </cell>
        </row>
        <row r="39">
          <cell r="A39" t="str">
            <v>USAC547</v>
          </cell>
          <cell r="B39" t="str">
            <v>USAC</v>
          </cell>
          <cell r="C39">
            <v>54</v>
          </cell>
          <cell r="D39">
            <v>7</v>
          </cell>
          <cell r="E39" t="str">
            <v>Upper Sacramento River</v>
          </cell>
          <cell r="G39">
            <v>0</v>
          </cell>
          <cell r="H39">
            <v>949</v>
          </cell>
          <cell r="I39">
            <v>0</v>
          </cell>
          <cell r="J39">
            <v>0</v>
          </cell>
          <cell r="K39">
            <v>0</v>
          </cell>
          <cell r="L39">
            <v>0</v>
          </cell>
          <cell r="M39">
            <v>0</v>
          </cell>
          <cell r="N39">
            <v>0</v>
          </cell>
          <cell r="O39">
            <v>0</v>
          </cell>
          <cell r="P39">
            <v>0</v>
          </cell>
          <cell r="Q39">
            <v>0</v>
          </cell>
          <cell r="R39">
            <v>36</v>
          </cell>
          <cell r="S39">
            <v>0</v>
          </cell>
          <cell r="T39">
            <v>9</v>
          </cell>
          <cell r="U39">
            <v>0</v>
          </cell>
          <cell r="V39">
            <v>0</v>
          </cell>
          <cell r="W39">
            <v>0</v>
          </cell>
          <cell r="X39">
            <v>0</v>
          </cell>
          <cell r="AA39">
            <v>2985</v>
          </cell>
          <cell r="AD39">
            <v>0.33299832495812393</v>
          </cell>
        </row>
        <row r="40">
          <cell r="G40">
            <v>1</v>
          </cell>
          <cell r="H40">
            <v>12</v>
          </cell>
          <cell r="I40">
            <v>11890</v>
          </cell>
          <cell r="J40">
            <v>104</v>
          </cell>
          <cell r="K40">
            <v>1873</v>
          </cell>
          <cell r="L40">
            <v>490</v>
          </cell>
          <cell r="M40">
            <v>36361</v>
          </cell>
          <cell r="N40">
            <v>684</v>
          </cell>
          <cell r="O40">
            <v>3549</v>
          </cell>
          <cell r="P40">
            <v>4625</v>
          </cell>
          <cell r="Q40">
            <v>149</v>
          </cell>
          <cell r="R40">
            <v>15278</v>
          </cell>
          <cell r="S40">
            <v>2129</v>
          </cell>
          <cell r="T40">
            <v>1543</v>
          </cell>
          <cell r="U40">
            <v>78</v>
          </cell>
          <cell r="V40">
            <v>692</v>
          </cell>
          <cell r="W40">
            <v>5</v>
          </cell>
          <cell r="X40">
            <v>0</v>
          </cell>
          <cell r="AA40">
            <v>112306</v>
          </cell>
          <cell r="AD40">
            <v>0.70755792210567559</v>
          </cell>
        </row>
        <row r="42">
          <cell r="G42">
            <v>2157</v>
          </cell>
          <cell r="H42">
            <v>9019</v>
          </cell>
          <cell r="I42">
            <v>22688</v>
          </cell>
          <cell r="J42">
            <v>0</v>
          </cell>
          <cell r="K42">
            <v>5175</v>
          </cell>
          <cell r="L42">
            <v>1316</v>
          </cell>
          <cell r="M42">
            <v>54366</v>
          </cell>
          <cell r="N42">
            <v>2519</v>
          </cell>
          <cell r="O42">
            <v>4329</v>
          </cell>
          <cell r="P42">
            <v>6274</v>
          </cell>
          <cell r="Q42">
            <v>250</v>
          </cell>
          <cell r="R42">
            <v>13156</v>
          </cell>
          <cell r="S42">
            <v>722</v>
          </cell>
          <cell r="T42">
            <v>800</v>
          </cell>
          <cell r="U42">
            <v>243</v>
          </cell>
          <cell r="V42">
            <v>61</v>
          </cell>
          <cell r="AA42">
            <v>168234</v>
          </cell>
          <cell r="AD42">
            <v>0.73157031277862972</v>
          </cell>
        </row>
        <row r="43">
          <cell r="G43">
            <v>1</v>
          </cell>
          <cell r="H43">
            <v>26</v>
          </cell>
          <cell r="I43">
            <v>1447</v>
          </cell>
          <cell r="J43">
            <v>112</v>
          </cell>
          <cell r="K43">
            <v>2</v>
          </cell>
          <cell r="L43">
            <v>20</v>
          </cell>
          <cell r="M43">
            <v>1702</v>
          </cell>
          <cell r="N43">
            <v>456</v>
          </cell>
          <cell r="O43">
            <v>101</v>
          </cell>
          <cell r="P43">
            <v>942</v>
          </cell>
          <cell r="Q43">
            <v>40</v>
          </cell>
          <cell r="R43">
            <v>10221</v>
          </cell>
          <cell r="S43">
            <v>2085</v>
          </cell>
          <cell r="T43">
            <v>1349</v>
          </cell>
          <cell r="U43">
            <v>50</v>
          </cell>
          <cell r="V43">
            <v>848</v>
          </cell>
          <cell r="W43">
            <v>36</v>
          </cell>
          <cell r="X43">
            <v>8</v>
          </cell>
          <cell r="AA43">
            <v>19446</v>
          </cell>
          <cell r="AD43">
            <v>1</v>
          </cell>
        </row>
        <row r="44">
          <cell r="G44">
            <v>2158</v>
          </cell>
          <cell r="H44">
            <v>9045</v>
          </cell>
          <cell r="I44">
            <v>24135</v>
          </cell>
          <cell r="J44">
            <v>112</v>
          </cell>
          <cell r="K44">
            <v>5177</v>
          </cell>
          <cell r="L44">
            <v>1336</v>
          </cell>
          <cell r="M44">
            <v>56068</v>
          </cell>
          <cell r="N44">
            <v>2975</v>
          </cell>
          <cell r="O44">
            <v>4430</v>
          </cell>
          <cell r="P44">
            <v>7216</v>
          </cell>
          <cell r="Q44">
            <v>290</v>
          </cell>
          <cell r="R44">
            <v>23377</v>
          </cell>
          <cell r="S44">
            <v>2807</v>
          </cell>
          <cell r="T44">
            <v>2149</v>
          </cell>
          <cell r="U44">
            <v>293</v>
          </cell>
          <cell r="V44">
            <v>909</v>
          </cell>
          <cell r="W44">
            <v>36</v>
          </cell>
          <cell r="X44">
            <v>8</v>
          </cell>
          <cell r="AA44">
            <v>187680</v>
          </cell>
          <cell r="AD44">
            <v>0.75938299232736572</v>
          </cell>
        </row>
        <row r="47">
          <cell r="A47" t="str">
            <v>USAC463</v>
          </cell>
          <cell r="B47" t="str">
            <v>USAC</v>
          </cell>
          <cell r="C47">
            <v>46</v>
          </cell>
          <cell r="D47">
            <v>3</v>
          </cell>
          <cell r="E47" t="str">
            <v xml:space="preserve">Upper Sacramento River </v>
          </cell>
          <cell r="F47" t="str">
            <v>Fall</v>
          </cell>
          <cell r="G47">
            <v>0</v>
          </cell>
          <cell r="H47">
            <v>21</v>
          </cell>
          <cell r="I47">
            <v>5428</v>
          </cell>
          <cell r="J47">
            <v>0</v>
          </cell>
          <cell r="K47">
            <v>0</v>
          </cell>
          <cell r="L47">
            <v>0</v>
          </cell>
          <cell r="M47">
            <v>168</v>
          </cell>
          <cell r="N47">
            <v>0</v>
          </cell>
          <cell r="O47">
            <v>0</v>
          </cell>
          <cell r="P47">
            <v>0</v>
          </cell>
          <cell r="Q47">
            <v>0</v>
          </cell>
          <cell r="R47">
            <v>0</v>
          </cell>
          <cell r="S47">
            <v>0</v>
          </cell>
          <cell r="T47">
            <v>0</v>
          </cell>
          <cell r="U47">
            <v>0</v>
          </cell>
          <cell r="V47">
            <v>0</v>
          </cell>
          <cell r="W47">
            <v>0</v>
          </cell>
          <cell r="X47">
            <v>0</v>
          </cell>
          <cell r="AA47">
            <v>7203</v>
          </cell>
          <cell r="AD47">
            <v>0.78</v>
          </cell>
        </row>
        <row r="48">
          <cell r="A48" t="str">
            <v>LSAC463</v>
          </cell>
          <cell r="B48" t="str">
            <v>LSAC</v>
          </cell>
          <cell r="C48">
            <v>46</v>
          </cell>
          <cell r="D48">
            <v>3</v>
          </cell>
          <cell r="E48" t="str">
            <v xml:space="preserve">Lower Sacramento River </v>
          </cell>
          <cell r="F48" t="str">
            <v>Fall</v>
          </cell>
          <cell r="G48">
            <v>0</v>
          </cell>
          <cell r="H48">
            <v>271</v>
          </cell>
          <cell r="I48">
            <v>96</v>
          </cell>
          <cell r="J48">
            <v>0</v>
          </cell>
          <cell r="K48">
            <v>0</v>
          </cell>
          <cell r="L48">
            <v>24</v>
          </cell>
          <cell r="M48">
            <v>850</v>
          </cell>
          <cell r="N48">
            <v>286</v>
          </cell>
          <cell r="O48">
            <v>381</v>
          </cell>
          <cell r="P48">
            <v>857</v>
          </cell>
          <cell r="Q48">
            <v>0</v>
          </cell>
          <cell r="R48">
            <v>1046</v>
          </cell>
          <cell r="S48">
            <v>72</v>
          </cell>
          <cell r="T48">
            <v>143</v>
          </cell>
          <cell r="U48">
            <v>0</v>
          </cell>
          <cell r="V48">
            <v>0</v>
          </cell>
          <cell r="W48">
            <v>0</v>
          </cell>
          <cell r="X48">
            <v>0</v>
          </cell>
          <cell r="AA48">
            <v>5373</v>
          </cell>
          <cell r="AD48">
            <v>0.749</v>
          </cell>
        </row>
        <row r="49">
          <cell r="A49" t="str">
            <v>FEA463</v>
          </cell>
          <cell r="B49" t="str">
            <v>FEA</v>
          </cell>
          <cell r="C49">
            <v>46</v>
          </cell>
          <cell r="D49">
            <v>3</v>
          </cell>
          <cell r="E49" t="str">
            <v xml:space="preserve">Feather River </v>
          </cell>
          <cell r="F49" t="str">
            <v>Fall</v>
          </cell>
          <cell r="G49">
            <v>0</v>
          </cell>
          <cell r="H49">
            <v>0</v>
          </cell>
          <cell r="I49">
            <v>0</v>
          </cell>
          <cell r="J49">
            <v>0</v>
          </cell>
          <cell r="K49">
            <v>132</v>
          </cell>
          <cell r="L49">
            <v>183</v>
          </cell>
          <cell r="M49">
            <v>7080</v>
          </cell>
          <cell r="N49">
            <v>367</v>
          </cell>
          <cell r="O49">
            <v>0</v>
          </cell>
          <cell r="P49">
            <v>0</v>
          </cell>
          <cell r="Q49">
            <v>0</v>
          </cell>
          <cell r="R49">
            <v>0</v>
          </cell>
          <cell r="S49">
            <v>13</v>
          </cell>
          <cell r="T49">
            <v>0</v>
          </cell>
          <cell r="U49">
            <v>0</v>
          </cell>
          <cell r="V49">
            <v>0</v>
          </cell>
          <cell r="W49">
            <v>26</v>
          </cell>
          <cell r="X49">
            <v>0</v>
          </cell>
          <cell r="AA49">
            <v>11387</v>
          </cell>
          <cell r="AD49">
            <v>0.68500000000000005</v>
          </cell>
        </row>
        <row r="50">
          <cell r="A50" t="str">
            <v>AMN463</v>
          </cell>
          <cell r="B50" t="str">
            <v>AMN</v>
          </cell>
          <cell r="C50">
            <v>46</v>
          </cell>
          <cell r="D50">
            <v>3</v>
          </cell>
          <cell r="E50" t="str">
            <v xml:space="preserve">American River </v>
          </cell>
          <cell r="F50" t="str">
            <v>Fall</v>
          </cell>
          <cell r="G50">
            <v>0</v>
          </cell>
          <cell r="H50">
            <v>0</v>
          </cell>
          <cell r="I50">
            <v>0</v>
          </cell>
          <cell r="J50">
            <v>0</v>
          </cell>
          <cell r="K50">
            <v>0</v>
          </cell>
          <cell r="L50">
            <v>0</v>
          </cell>
          <cell r="M50">
            <v>79</v>
          </cell>
          <cell r="N50">
            <v>0</v>
          </cell>
          <cell r="O50">
            <v>315</v>
          </cell>
          <cell r="P50">
            <v>158</v>
          </cell>
          <cell r="Q50">
            <v>0</v>
          </cell>
          <cell r="R50">
            <v>396</v>
          </cell>
          <cell r="S50">
            <v>59</v>
          </cell>
          <cell r="T50">
            <v>39</v>
          </cell>
          <cell r="U50">
            <v>0</v>
          </cell>
          <cell r="V50">
            <v>0</v>
          </cell>
          <cell r="W50">
            <v>0</v>
          </cell>
          <cell r="X50">
            <v>0</v>
          </cell>
          <cell r="AA50">
            <v>1046</v>
          </cell>
          <cell r="AD50">
            <v>1</v>
          </cell>
        </row>
        <row r="51">
          <cell r="A51" t="str">
            <v>MOKE463</v>
          </cell>
          <cell r="B51" t="str">
            <v>MOKE</v>
          </cell>
          <cell r="C51">
            <v>46</v>
          </cell>
          <cell r="D51">
            <v>3</v>
          </cell>
          <cell r="E51" t="str">
            <v>Mokelumne River</v>
          </cell>
          <cell r="F51" t="str">
            <v>Fall</v>
          </cell>
          <cell r="G51">
            <v>0</v>
          </cell>
          <cell r="H51">
            <v>0</v>
          </cell>
          <cell r="I51">
            <v>0</v>
          </cell>
          <cell r="J51">
            <v>0</v>
          </cell>
          <cell r="K51">
            <v>0</v>
          </cell>
          <cell r="L51">
            <v>0</v>
          </cell>
          <cell r="M51">
            <v>0</v>
          </cell>
          <cell r="N51">
            <v>0</v>
          </cell>
          <cell r="O51">
            <v>0</v>
          </cell>
          <cell r="P51">
            <v>87</v>
          </cell>
          <cell r="Q51">
            <v>11</v>
          </cell>
          <cell r="R51">
            <v>390</v>
          </cell>
          <cell r="S51">
            <v>11</v>
          </cell>
          <cell r="T51">
            <v>0</v>
          </cell>
          <cell r="U51">
            <v>0</v>
          </cell>
          <cell r="V51">
            <v>0</v>
          </cell>
          <cell r="W51">
            <v>0</v>
          </cell>
          <cell r="X51">
            <v>0</v>
          </cell>
          <cell r="AA51">
            <v>648</v>
          </cell>
          <cell r="AD51">
            <v>0.77</v>
          </cell>
        </row>
        <row r="52">
          <cell r="A52" t="str">
            <v>USAC467</v>
          </cell>
          <cell r="B52" t="str">
            <v>USAC</v>
          </cell>
          <cell r="C52">
            <v>46</v>
          </cell>
          <cell r="D52">
            <v>7</v>
          </cell>
          <cell r="E52" t="str">
            <v xml:space="preserve">Upper Sacramento River </v>
          </cell>
          <cell r="G52">
            <v>9</v>
          </cell>
          <cell r="H52">
            <v>313</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AA52">
            <v>474</v>
          </cell>
          <cell r="AD52">
            <v>0.67900000000000005</v>
          </cell>
        </row>
        <row r="53">
          <cell r="G53">
            <v>9</v>
          </cell>
          <cell r="H53">
            <v>605</v>
          </cell>
          <cell r="I53">
            <v>5524</v>
          </cell>
          <cell r="J53">
            <v>0</v>
          </cell>
          <cell r="K53">
            <v>132</v>
          </cell>
          <cell r="L53">
            <v>207</v>
          </cell>
          <cell r="M53">
            <v>8177</v>
          </cell>
          <cell r="N53">
            <v>653</v>
          </cell>
          <cell r="O53">
            <v>696</v>
          </cell>
          <cell r="P53">
            <v>1102</v>
          </cell>
          <cell r="Q53">
            <v>11</v>
          </cell>
          <cell r="R53">
            <v>1832</v>
          </cell>
          <cell r="S53">
            <v>155</v>
          </cell>
          <cell r="T53">
            <v>182</v>
          </cell>
          <cell r="U53">
            <v>0</v>
          </cell>
          <cell r="V53">
            <v>0</v>
          </cell>
          <cell r="W53">
            <v>26</v>
          </cell>
          <cell r="X53">
            <v>0</v>
          </cell>
          <cell r="AA53">
            <v>26131</v>
          </cell>
          <cell r="AD53">
            <v>0.73900730932608782</v>
          </cell>
        </row>
      </sheetData>
      <sheetData sheetId="2" refreshError="1"/>
      <sheetData sheetId="3" refreshError="1"/>
      <sheetData sheetId="4">
        <row r="2">
          <cell r="G2" t="str">
            <v>sacw</v>
          </cell>
          <cell r="H2" t="str">
            <v>cfhlh</v>
          </cell>
          <cell r="I2" t="str">
            <v>cfhfh</v>
          </cell>
          <cell r="J2" t="str">
            <v>cfhfn</v>
          </cell>
          <cell r="K2" t="str">
            <v>frhs</v>
          </cell>
          <cell r="L2" t="str">
            <v>frhf</v>
          </cell>
          <cell r="M2" t="str">
            <v>frhfn</v>
          </cell>
          <cell r="N2" t="str">
            <v>frhfgg</v>
          </cell>
          <cell r="O2" t="str">
            <v>nimf</v>
          </cell>
          <cell r="P2" t="str">
            <v>nimfn</v>
          </cell>
          <cell r="Q2" t="str">
            <v>mokf</v>
          </cell>
          <cell r="R2" t="str">
            <v>mokfn</v>
          </cell>
          <cell r="S2" t="str">
            <v>mokfnc</v>
          </cell>
          <cell r="T2" t="str">
            <v>mokfgg</v>
          </cell>
          <cell r="U2" t="str">
            <v>merf</v>
          </cell>
          <cell r="V2" t="str">
            <v>merfn</v>
          </cell>
          <cell r="W2" t="str">
            <v>sjosx</v>
          </cell>
          <cell r="X2" t="str">
            <v>noncv</v>
          </cell>
        </row>
        <row r="3">
          <cell r="G3">
            <v>0</v>
          </cell>
          <cell r="H3">
            <v>0</v>
          </cell>
          <cell r="I3">
            <v>12233</v>
          </cell>
          <cell r="J3">
            <v>0</v>
          </cell>
          <cell r="K3">
            <v>0</v>
          </cell>
          <cell r="L3">
            <v>3</v>
          </cell>
          <cell r="M3">
            <v>12</v>
          </cell>
          <cell r="N3">
            <v>4</v>
          </cell>
          <cell r="O3">
            <v>0</v>
          </cell>
          <cell r="P3">
            <v>4</v>
          </cell>
          <cell r="Q3">
            <v>0</v>
          </cell>
          <cell r="R3">
            <v>8</v>
          </cell>
          <cell r="S3">
            <v>4</v>
          </cell>
          <cell r="T3">
            <v>13</v>
          </cell>
          <cell r="U3">
            <v>0</v>
          </cell>
          <cell r="V3">
            <v>1</v>
          </cell>
          <cell r="W3">
            <v>0</v>
          </cell>
          <cell r="X3">
            <v>0</v>
          </cell>
          <cell r="Y3">
            <v>12282</v>
          </cell>
          <cell r="Z3">
            <v>1916</v>
          </cell>
          <cell r="AA3">
            <v>14198</v>
          </cell>
          <cell r="AB3">
            <v>0.86499999999999999</v>
          </cell>
          <cell r="AC3" t="str">
            <v>CNFH503</v>
          </cell>
        </row>
        <row r="4">
          <cell r="G4">
            <v>0</v>
          </cell>
          <cell r="H4">
            <v>7973</v>
          </cell>
          <cell r="I4">
            <v>0</v>
          </cell>
          <cell r="J4">
            <v>0</v>
          </cell>
          <cell r="K4">
            <v>0</v>
          </cell>
          <cell r="L4">
            <v>0</v>
          </cell>
          <cell r="M4">
            <v>0</v>
          </cell>
          <cell r="N4">
            <v>0</v>
          </cell>
          <cell r="O4">
            <v>0</v>
          </cell>
          <cell r="P4">
            <v>0</v>
          </cell>
          <cell r="Q4">
            <v>0</v>
          </cell>
          <cell r="R4">
            <v>0</v>
          </cell>
          <cell r="S4">
            <v>0</v>
          </cell>
          <cell r="T4">
            <v>0</v>
          </cell>
          <cell r="U4">
            <v>0</v>
          </cell>
          <cell r="V4">
            <v>0</v>
          </cell>
          <cell r="W4">
            <v>0</v>
          </cell>
          <cell r="X4">
            <v>0</v>
          </cell>
          <cell r="Y4">
            <v>7973</v>
          </cell>
          <cell r="Z4">
            <v>121</v>
          </cell>
          <cell r="AA4">
            <v>8094</v>
          </cell>
          <cell r="AB4">
            <v>0.98499999999999999</v>
          </cell>
          <cell r="AC4" t="str">
            <v>CNFH507</v>
          </cell>
        </row>
        <row r="5">
          <cell r="G5">
            <v>151</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151</v>
          </cell>
          <cell r="Z5">
            <v>29</v>
          </cell>
          <cell r="AA5">
            <v>180</v>
          </cell>
          <cell r="AB5">
            <v>0.83899999999999997</v>
          </cell>
          <cell r="AC5" t="str">
            <v>KESW504</v>
          </cell>
        </row>
        <row r="6">
          <cell r="G6">
            <v>0</v>
          </cell>
          <cell r="H6">
            <v>2</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2</v>
          </cell>
          <cell r="Z6">
            <v>11</v>
          </cell>
          <cell r="AA6">
            <v>13</v>
          </cell>
          <cell r="AB6">
            <v>0.154</v>
          </cell>
          <cell r="AC6" t="str">
            <v>KESW507</v>
          </cell>
        </row>
        <row r="7">
          <cell r="G7">
            <v>0</v>
          </cell>
          <cell r="H7">
            <v>0</v>
          </cell>
          <cell r="I7">
            <v>0</v>
          </cell>
          <cell r="J7">
            <v>0</v>
          </cell>
          <cell r="K7">
            <v>1817</v>
          </cell>
          <cell r="L7">
            <v>0</v>
          </cell>
          <cell r="M7">
            <v>169</v>
          </cell>
          <cell r="N7">
            <v>0</v>
          </cell>
          <cell r="O7">
            <v>0</v>
          </cell>
          <cell r="P7">
            <v>0</v>
          </cell>
          <cell r="Q7">
            <v>0</v>
          </cell>
          <cell r="R7">
            <v>0</v>
          </cell>
          <cell r="S7">
            <v>0</v>
          </cell>
          <cell r="T7">
            <v>0</v>
          </cell>
          <cell r="U7">
            <v>0</v>
          </cell>
          <cell r="V7">
            <v>0</v>
          </cell>
          <cell r="W7">
            <v>2</v>
          </cell>
          <cell r="X7">
            <v>0</v>
          </cell>
          <cell r="Y7">
            <v>1988</v>
          </cell>
          <cell r="Z7">
            <v>122</v>
          </cell>
          <cell r="AA7">
            <v>2110</v>
          </cell>
          <cell r="AB7">
            <v>0.94199999999999995</v>
          </cell>
          <cell r="AC7" t="str">
            <v>FRFH501</v>
          </cell>
        </row>
        <row r="8">
          <cell r="G8">
            <v>0</v>
          </cell>
          <cell r="H8">
            <v>1</v>
          </cell>
          <cell r="I8">
            <v>12</v>
          </cell>
          <cell r="J8">
            <v>0</v>
          </cell>
          <cell r="K8">
            <v>1487</v>
          </cell>
          <cell r="L8">
            <v>842</v>
          </cell>
          <cell r="M8">
            <v>19349</v>
          </cell>
          <cell r="N8">
            <v>2144</v>
          </cell>
          <cell r="O8">
            <v>4</v>
          </cell>
          <cell r="P8">
            <v>28</v>
          </cell>
          <cell r="Q8">
            <v>3</v>
          </cell>
          <cell r="R8">
            <v>200</v>
          </cell>
          <cell r="S8">
            <v>81</v>
          </cell>
          <cell r="T8">
            <v>39</v>
          </cell>
          <cell r="U8">
            <v>0</v>
          </cell>
          <cell r="V8">
            <v>24</v>
          </cell>
          <cell r="W8">
            <v>28</v>
          </cell>
          <cell r="X8">
            <v>0</v>
          </cell>
          <cell r="Y8">
            <v>24242</v>
          </cell>
          <cell r="Z8">
            <v>4114</v>
          </cell>
          <cell r="AA8">
            <v>28356</v>
          </cell>
          <cell r="AB8">
            <v>0.85499999999999998</v>
          </cell>
          <cell r="AC8" t="str">
            <v>FRFH503</v>
          </cell>
        </row>
        <row r="9">
          <cell r="G9">
            <v>0</v>
          </cell>
          <cell r="H9">
            <v>2</v>
          </cell>
          <cell r="I9">
            <v>0</v>
          </cell>
          <cell r="J9">
            <v>8</v>
          </cell>
          <cell r="K9">
            <v>0</v>
          </cell>
          <cell r="L9">
            <v>0</v>
          </cell>
          <cell r="M9">
            <v>69</v>
          </cell>
          <cell r="N9">
            <v>79</v>
          </cell>
          <cell r="O9">
            <v>877</v>
          </cell>
          <cell r="P9">
            <v>2339</v>
          </cell>
          <cell r="Q9">
            <v>12</v>
          </cell>
          <cell r="R9">
            <v>1499</v>
          </cell>
          <cell r="S9">
            <v>295</v>
          </cell>
          <cell r="T9">
            <v>204</v>
          </cell>
          <cell r="U9">
            <v>6</v>
          </cell>
          <cell r="V9">
            <v>86</v>
          </cell>
          <cell r="W9">
            <v>0</v>
          </cell>
          <cell r="X9">
            <v>0</v>
          </cell>
          <cell r="Y9">
            <v>5476</v>
          </cell>
          <cell r="Z9">
            <v>736</v>
          </cell>
          <cell r="AA9">
            <v>6212</v>
          </cell>
          <cell r="AB9">
            <v>0.88200000000000001</v>
          </cell>
          <cell r="AC9" t="str">
            <v>NBFH503</v>
          </cell>
        </row>
        <row r="10">
          <cell r="G10">
            <v>0</v>
          </cell>
          <cell r="H10">
            <v>19</v>
          </cell>
          <cell r="I10">
            <v>0</v>
          </cell>
          <cell r="J10">
            <v>0</v>
          </cell>
          <cell r="K10">
            <v>0</v>
          </cell>
          <cell r="L10">
            <v>1</v>
          </cell>
          <cell r="M10">
            <v>76</v>
          </cell>
          <cell r="N10">
            <v>56</v>
          </cell>
          <cell r="O10">
            <v>0</v>
          </cell>
          <cell r="P10">
            <v>196</v>
          </cell>
          <cell r="Q10">
            <v>126</v>
          </cell>
          <cell r="R10">
            <v>6152</v>
          </cell>
          <cell r="S10">
            <v>293</v>
          </cell>
          <cell r="T10">
            <v>332</v>
          </cell>
          <cell r="U10">
            <v>0</v>
          </cell>
          <cell r="V10">
            <v>76</v>
          </cell>
          <cell r="W10">
            <v>1</v>
          </cell>
          <cell r="X10">
            <v>8</v>
          </cell>
          <cell r="Y10">
            <v>7336</v>
          </cell>
          <cell r="Z10">
            <v>84</v>
          </cell>
          <cell r="AA10">
            <v>7420</v>
          </cell>
          <cell r="AB10">
            <v>0.98899999999999999</v>
          </cell>
          <cell r="AC10" t="str">
            <v>MRFI503</v>
          </cell>
        </row>
        <row r="11">
          <cell r="G11">
            <v>0</v>
          </cell>
          <cell r="H11">
            <v>4</v>
          </cell>
          <cell r="I11">
            <v>0</v>
          </cell>
          <cell r="J11">
            <v>0</v>
          </cell>
          <cell r="K11">
            <v>0</v>
          </cell>
          <cell r="L11">
            <v>0</v>
          </cell>
          <cell r="M11">
            <v>32</v>
          </cell>
          <cell r="N11">
            <v>8</v>
          </cell>
          <cell r="O11">
            <v>0</v>
          </cell>
          <cell r="P11">
            <v>24</v>
          </cell>
          <cell r="Q11">
            <v>0</v>
          </cell>
          <cell r="R11">
            <v>204</v>
          </cell>
          <cell r="S11">
            <v>5</v>
          </cell>
          <cell r="T11">
            <v>9</v>
          </cell>
          <cell r="U11">
            <v>209</v>
          </cell>
          <cell r="V11">
            <v>30</v>
          </cell>
          <cell r="W11">
            <v>0</v>
          </cell>
          <cell r="X11">
            <v>0</v>
          </cell>
          <cell r="Y11">
            <v>525</v>
          </cell>
          <cell r="Z11">
            <v>378</v>
          </cell>
          <cell r="AA11">
            <v>903</v>
          </cell>
          <cell r="AB11">
            <v>0.58099999999999996</v>
          </cell>
          <cell r="AC11" t="str">
            <v>MRFF503</v>
          </cell>
        </row>
        <row r="12">
          <cell r="G12">
            <v>0</v>
          </cell>
          <cell r="H12">
            <v>83</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83</v>
          </cell>
          <cell r="Z12">
            <v>0</v>
          </cell>
          <cell r="AA12">
            <v>83</v>
          </cell>
          <cell r="AB12">
            <v>1</v>
          </cell>
          <cell r="AC12" t="str">
            <v>CNFW527</v>
          </cell>
        </row>
        <row r="13">
          <cell r="G13">
            <v>0</v>
          </cell>
          <cell r="H13">
            <v>0</v>
          </cell>
          <cell r="I13">
            <v>8551</v>
          </cell>
          <cell r="J13">
            <v>0</v>
          </cell>
          <cell r="K13">
            <v>0</v>
          </cell>
          <cell r="L13">
            <v>2</v>
          </cell>
          <cell r="M13">
            <v>8</v>
          </cell>
          <cell r="N13">
            <v>3</v>
          </cell>
          <cell r="O13">
            <v>0</v>
          </cell>
          <cell r="P13">
            <v>3</v>
          </cell>
          <cell r="Q13">
            <v>0</v>
          </cell>
          <cell r="R13">
            <v>6</v>
          </cell>
          <cell r="S13">
            <v>3</v>
          </cell>
          <cell r="T13">
            <v>9</v>
          </cell>
          <cell r="U13">
            <v>0</v>
          </cell>
          <cell r="V13">
            <v>1</v>
          </cell>
          <cell r="W13">
            <v>0</v>
          </cell>
          <cell r="X13">
            <v>0</v>
          </cell>
          <cell r="Y13">
            <v>8586</v>
          </cell>
          <cell r="Z13">
            <v>1345</v>
          </cell>
          <cell r="AA13">
            <v>9931</v>
          </cell>
          <cell r="AB13">
            <v>0.86499999999999999</v>
          </cell>
          <cell r="AC13" t="str">
            <v>BATT543</v>
          </cell>
        </row>
        <row r="14">
          <cell r="G14">
            <v>0</v>
          </cell>
          <cell r="H14">
            <v>0</v>
          </cell>
          <cell r="I14">
            <v>1435</v>
          </cell>
          <cell r="J14">
            <v>0</v>
          </cell>
          <cell r="K14">
            <v>0</v>
          </cell>
          <cell r="L14">
            <v>0</v>
          </cell>
          <cell r="M14">
            <v>377</v>
          </cell>
          <cell r="N14">
            <v>0</v>
          </cell>
          <cell r="O14">
            <v>0</v>
          </cell>
          <cell r="P14">
            <v>0</v>
          </cell>
          <cell r="Q14">
            <v>0</v>
          </cell>
          <cell r="R14">
            <v>0</v>
          </cell>
          <cell r="S14">
            <v>32</v>
          </cell>
          <cell r="T14">
            <v>0</v>
          </cell>
          <cell r="U14">
            <v>0</v>
          </cell>
          <cell r="V14">
            <v>0</v>
          </cell>
          <cell r="W14">
            <v>0</v>
          </cell>
          <cell r="X14">
            <v>0</v>
          </cell>
          <cell r="Y14">
            <v>1844</v>
          </cell>
          <cell r="Z14">
            <v>6703</v>
          </cell>
          <cell r="AA14">
            <v>8547</v>
          </cell>
          <cell r="AB14">
            <v>0.216</v>
          </cell>
          <cell r="AC14" t="str">
            <v>CLR543</v>
          </cell>
        </row>
        <row r="15">
          <cell r="AC15" t="str">
            <v>COT543</v>
          </cell>
        </row>
        <row r="16">
          <cell r="AC16" t="str">
            <v>COW543</v>
          </cell>
        </row>
        <row r="17">
          <cell r="AC17" t="str">
            <v>MLC543</v>
          </cell>
        </row>
        <row r="18">
          <cell r="G18">
            <v>1</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1</v>
          </cell>
          <cell r="Z18">
            <v>13</v>
          </cell>
          <cell r="AA18">
            <v>14</v>
          </cell>
          <cell r="AB18">
            <v>7.0999999999999994E-2</v>
          </cell>
          <cell r="AC18" t="str">
            <v>BUTT543</v>
          </cell>
        </row>
        <row r="19">
          <cell r="G19">
            <v>0</v>
          </cell>
          <cell r="H19">
            <v>12</v>
          </cell>
          <cell r="I19">
            <v>1904</v>
          </cell>
          <cell r="J19">
            <v>0</v>
          </cell>
          <cell r="K19">
            <v>0</v>
          </cell>
          <cell r="L19">
            <v>11</v>
          </cell>
          <cell r="M19">
            <v>88</v>
          </cell>
          <cell r="N19">
            <v>6</v>
          </cell>
          <cell r="O19">
            <v>0</v>
          </cell>
          <cell r="P19">
            <v>0</v>
          </cell>
          <cell r="Q19">
            <v>0</v>
          </cell>
          <cell r="R19">
            <v>45</v>
          </cell>
          <cell r="S19">
            <v>39</v>
          </cell>
          <cell r="T19">
            <v>6</v>
          </cell>
          <cell r="U19">
            <v>0</v>
          </cell>
          <cell r="V19">
            <v>0</v>
          </cell>
          <cell r="W19">
            <v>0</v>
          </cell>
          <cell r="X19">
            <v>0</v>
          </cell>
          <cell r="Y19">
            <v>2111</v>
          </cell>
          <cell r="Z19">
            <v>7325</v>
          </cell>
          <cell r="AA19">
            <v>9436</v>
          </cell>
          <cell r="AB19">
            <v>0.224</v>
          </cell>
          <cell r="AC19" t="str">
            <v>USAC543</v>
          </cell>
        </row>
        <row r="20">
          <cell r="G20">
            <v>2006</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2006</v>
          </cell>
          <cell r="Z20">
            <v>452</v>
          </cell>
          <cell r="AA20">
            <v>2458</v>
          </cell>
          <cell r="AB20">
            <v>0.81599999999999995</v>
          </cell>
          <cell r="AC20" t="str">
            <v>USAC544</v>
          </cell>
        </row>
        <row r="21">
          <cell r="G21">
            <v>0</v>
          </cell>
          <cell r="H21">
            <v>949</v>
          </cell>
          <cell r="I21">
            <v>0</v>
          </cell>
          <cell r="J21">
            <v>0</v>
          </cell>
          <cell r="K21">
            <v>0</v>
          </cell>
          <cell r="L21">
            <v>0</v>
          </cell>
          <cell r="M21">
            <v>0</v>
          </cell>
          <cell r="N21">
            <v>0</v>
          </cell>
          <cell r="O21">
            <v>0</v>
          </cell>
          <cell r="P21">
            <v>0</v>
          </cell>
          <cell r="Q21">
            <v>0</v>
          </cell>
          <cell r="R21">
            <v>36</v>
          </cell>
          <cell r="S21">
            <v>0</v>
          </cell>
          <cell r="T21">
            <v>9</v>
          </cell>
          <cell r="U21">
            <v>0</v>
          </cell>
          <cell r="V21">
            <v>0</v>
          </cell>
          <cell r="W21">
            <v>0</v>
          </cell>
          <cell r="X21">
            <v>0</v>
          </cell>
          <cell r="Y21">
            <v>994</v>
          </cell>
          <cell r="Z21">
            <v>1991</v>
          </cell>
          <cell r="AA21">
            <v>2985</v>
          </cell>
          <cell r="AB21">
            <v>0.33300000000000002</v>
          </cell>
          <cell r="AC21" t="str">
            <v>USAC547</v>
          </cell>
        </row>
        <row r="22">
          <cell r="G22">
            <v>0</v>
          </cell>
          <cell r="H22">
            <v>0</v>
          </cell>
          <cell r="I22">
            <v>0</v>
          </cell>
          <cell r="J22">
            <v>0</v>
          </cell>
          <cell r="K22">
            <v>1382</v>
          </cell>
          <cell r="L22">
            <v>425</v>
          </cell>
          <cell r="M22">
            <v>33846</v>
          </cell>
          <cell r="N22">
            <v>375</v>
          </cell>
          <cell r="O22">
            <v>0</v>
          </cell>
          <cell r="P22">
            <v>68</v>
          </cell>
          <cell r="Q22">
            <v>0</v>
          </cell>
          <cell r="R22">
            <v>338</v>
          </cell>
          <cell r="S22">
            <v>118</v>
          </cell>
          <cell r="T22">
            <v>17</v>
          </cell>
          <cell r="U22">
            <v>0</v>
          </cell>
          <cell r="V22">
            <v>0</v>
          </cell>
          <cell r="W22">
            <v>0</v>
          </cell>
          <cell r="X22">
            <v>0</v>
          </cell>
          <cell r="Y22">
            <v>36569</v>
          </cell>
          <cell r="Z22">
            <v>9257</v>
          </cell>
          <cell r="AA22">
            <v>45826</v>
          </cell>
          <cell r="AB22">
            <v>0.79800000000000004</v>
          </cell>
          <cell r="AC22" t="str">
            <v>FEA543</v>
          </cell>
        </row>
        <row r="23">
          <cell r="G23">
            <v>0</v>
          </cell>
          <cell r="H23">
            <v>0</v>
          </cell>
          <cell r="I23">
            <v>0</v>
          </cell>
          <cell r="J23">
            <v>0</v>
          </cell>
          <cell r="K23">
            <v>489</v>
          </cell>
          <cell r="L23">
            <v>49</v>
          </cell>
          <cell r="M23">
            <v>1002</v>
          </cell>
          <cell r="N23">
            <v>0</v>
          </cell>
          <cell r="O23">
            <v>97</v>
          </cell>
          <cell r="P23">
            <v>97</v>
          </cell>
          <cell r="Q23">
            <v>0</v>
          </cell>
          <cell r="R23">
            <v>775</v>
          </cell>
          <cell r="S23">
            <v>218</v>
          </cell>
          <cell r="T23">
            <v>121</v>
          </cell>
          <cell r="U23">
            <v>0</v>
          </cell>
          <cell r="V23">
            <v>0</v>
          </cell>
          <cell r="W23">
            <v>0</v>
          </cell>
          <cell r="X23">
            <v>0</v>
          </cell>
          <cell r="Y23">
            <v>2848</v>
          </cell>
          <cell r="Z23">
            <v>225</v>
          </cell>
          <cell r="AA23">
            <v>3073</v>
          </cell>
          <cell r="AB23">
            <v>0.92700000000000005</v>
          </cell>
          <cell r="AC23" t="str">
            <v>YUBA543</v>
          </cell>
        </row>
        <row r="24">
          <cell r="G24">
            <v>0</v>
          </cell>
          <cell r="H24">
            <v>0</v>
          </cell>
          <cell r="I24">
            <v>0</v>
          </cell>
          <cell r="J24">
            <v>104</v>
          </cell>
          <cell r="K24">
            <v>2</v>
          </cell>
          <cell r="L24">
            <v>3</v>
          </cell>
          <cell r="M24">
            <v>928</v>
          </cell>
          <cell r="N24">
            <v>252</v>
          </cell>
          <cell r="O24">
            <v>3452</v>
          </cell>
          <cell r="P24">
            <v>3935</v>
          </cell>
          <cell r="Q24">
            <v>21</v>
          </cell>
          <cell r="R24">
            <v>4911</v>
          </cell>
          <cell r="S24">
            <v>1240</v>
          </cell>
          <cell r="T24">
            <v>868</v>
          </cell>
          <cell r="U24">
            <v>0</v>
          </cell>
          <cell r="V24">
            <v>287</v>
          </cell>
          <cell r="W24">
            <v>5</v>
          </cell>
          <cell r="X24">
            <v>0</v>
          </cell>
          <cell r="Y24">
            <v>16008</v>
          </cell>
          <cell r="Z24">
            <v>5084</v>
          </cell>
          <cell r="AA24">
            <v>21092</v>
          </cell>
          <cell r="AB24">
            <v>0.75900000000000001</v>
          </cell>
          <cell r="AC24" t="str">
            <v>LARC543</v>
          </cell>
        </row>
        <row r="25">
          <cell r="G25">
            <v>0</v>
          </cell>
          <cell r="H25">
            <v>0</v>
          </cell>
          <cell r="I25">
            <v>0</v>
          </cell>
          <cell r="J25">
            <v>0</v>
          </cell>
          <cell r="K25">
            <v>0</v>
          </cell>
          <cell r="L25">
            <v>0</v>
          </cell>
          <cell r="M25">
            <v>78</v>
          </cell>
          <cell r="N25">
            <v>31</v>
          </cell>
          <cell r="O25">
            <v>0</v>
          </cell>
          <cell r="P25">
            <v>464</v>
          </cell>
          <cell r="Q25">
            <v>124</v>
          </cell>
          <cell r="R25">
            <v>7004</v>
          </cell>
          <cell r="S25">
            <v>429</v>
          </cell>
          <cell r="T25">
            <v>468</v>
          </cell>
          <cell r="U25">
            <v>44</v>
          </cell>
          <cell r="V25">
            <v>150</v>
          </cell>
          <cell r="W25">
            <v>0</v>
          </cell>
          <cell r="X25">
            <v>0</v>
          </cell>
          <cell r="Y25">
            <v>8792</v>
          </cell>
          <cell r="Z25">
            <v>1263</v>
          </cell>
          <cell r="AA25">
            <v>10055</v>
          </cell>
          <cell r="AB25">
            <v>0.874</v>
          </cell>
          <cell r="AC25" t="str">
            <v>MOKE543</v>
          </cell>
        </row>
        <row r="26">
          <cell r="G26">
            <v>0</v>
          </cell>
          <cell r="H26">
            <v>0</v>
          </cell>
          <cell r="I26">
            <v>0</v>
          </cell>
          <cell r="J26">
            <v>0</v>
          </cell>
          <cell r="K26">
            <v>0</v>
          </cell>
          <cell r="L26">
            <v>0</v>
          </cell>
          <cell r="M26">
            <v>17</v>
          </cell>
          <cell r="N26">
            <v>0</v>
          </cell>
          <cell r="O26">
            <v>0</v>
          </cell>
          <cell r="P26">
            <v>33</v>
          </cell>
          <cell r="Q26">
            <v>4</v>
          </cell>
          <cell r="R26">
            <v>1539</v>
          </cell>
          <cell r="S26">
            <v>46</v>
          </cell>
          <cell r="T26">
            <v>46</v>
          </cell>
          <cell r="U26">
            <v>0</v>
          </cell>
          <cell r="V26">
            <v>102</v>
          </cell>
          <cell r="W26">
            <v>0</v>
          </cell>
          <cell r="X26">
            <v>0</v>
          </cell>
          <cell r="Y26">
            <v>1787</v>
          </cell>
          <cell r="Z26">
            <v>590</v>
          </cell>
          <cell r="AA26">
            <v>2377</v>
          </cell>
          <cell r="AB26">
            <v>0.752</v>
          </cell>
          <cell r="AC26" t="str">
            <v>STA543</v>
          </cell>
        </row>
        <row r="27">
          <cell r="G27">
            <v>0</v>
          </cell>
          <cell r="H27">
            <v>0</v>
          </cell>
          <cell r="I27">
            <v>0</v>
          </cell>
          <cell r="J27">
            <v>0</v>
          </cell>
          <cell r="K27">
            <v>0</v>
          </cell>
          <cell r="L27">
            <v>0</v>
          </cell>
          <cell r="M27">
            <v>17</v>
          </cell>
          <cell r="N27">
            <v>17</v>
          </cell>
          <cell r="O27">
            <v>0</v>
          </cell>
          <cell r="P27">
            <v>25</v>
          </cell>
          <cell r="Q27">
            <v>0</v>
          </cell>
          <cell r="R27">
            <v>427</v>
          </cell>
          <cell r="S27">
            <v>4</v>
          </cell>
          <cell r="T27">
            <v>8</v>
          </cell>
          <cell r="U27">
            <v>0</v>
          </cell>
          <cell r="V27">
            <v>121</v>
          </cell>
          <cell r="W27">
            <v>0</v>
          </cell>
          <cell r="X27">
            <v>0</v>
          </cell>
          <cell r="Y27">
            <v>619</v>
          </cell>
          <cell r="Z27">
            <v>458</v>
          </cell>
          <cell r="AA27">
            <v>1077</v>
          </cell>
          <cell r="AB27">
            <v>0.57499999999999996</v>
          </cell>
          <cell r="AC27" t="str">
            <v>TUO543</v>
          </cell>
        </row>
        <row r="28">
          <cell r="G28">
            <v>0</v>
          </cell>
          <cell r="H28">
            <v>0</v>
          </cell>
          <cell r="I28">
            <v>0</v>
          </cell>
          <cell r="J28">
            <v>0</v>
          </cell>
          <cell r="K28">
            <v>0</v>
          </cell>
          <cell r="L28">
            <v>0</v>
          </cell>
          <cell r="M28">
            <v>0</v>
          </cell>
          <cell r="N28">
            <v>0</v>
          </cell>
          <cell r="O28">
            <v>0</v>
          </cell>
          <cell r="P28">
            <v>0</v>
          </cell>
          <cell r="Q28">
            <v>0</v>
          </cell>
          <cell r="R28">
            <v>233</v>
          </cell>
          <cell r="S28">
            <v>0</v>
          </cell>
          <cell r="T28">
            <v>0</v>
          </cell>
          <cell r="U28">
            <v>34</v>
          </cell>
          <cell r="V28">
            <v>31</v>
          </cell>
          <cell r="W28">
            <v>0</v>
          </cell>
          <cell r="X28">
            <v>0</v>
          </cell>
          <cell r="Y28">
            <v>298</v>
          </cell>
          <cell r="Z28">
            <v>580</v>
          </cell>
          <cell r="AA28">
            <v>878</v>
          </cell>
          <cell r="AB28">
            <v>0.33900000000000002</v>
          </cell>
          <cell r="AC28" t="str">
            <v>MER543</v>
          </cell>
        </row>
        <row r="29">
          <cell r="G29">
            <v>0</v>
          </cell>
          <cell r="H29">
            <v>271</v>
          </cell>
          <cell r="I29">
            <v>96</v>
          </cell>
          <cell r="J29">
            <v>0</v>
          </cell>
          <cell r="K29">
            <v>0</v>
          </cell>
          <cell r="L29">
            <v>24</v>
          </cell>
          <cell r="M29">
            <v>850</v>
          </cell>
          <cell r="N29">
            <v>286</v>
          </cell>
          <cell r="O29">
            <v>381</v>
          </cell>
          <cell r="P29">
            <v>857</v>
          </cell>
          <cell r="Q29">
            <v>0</v>
          </cell>
          <cell r="R29">
            <v>1046</v>
          </cell>
          <cell r="S29">
            <v>72</v>
          </cell>
          <cell r="T29">
            <v>143</v>
          </cell>
          <cell r="U29">
            <v>0</v>
          </cell>
          <cell r="V29">
            <v>0</v>
          </cell>
          <cell r="W29">
            <v>0</v>
          </cell>
          <cell r="X29">
            <v>0</v>
          </cell>
          <cell r="Y29">
            <v>4026</v>
          </cell>
          <cell r="Z29">
            <v>1347</v>
          </cell>
          <cell r="AA29">
            <v>5373</v>
          </cell>
          <cell r="AB29">
            <v>0.749</v>
          </cell>
          <cell r="AC29" t="str">
            <v>LSAC463</v>
          </cell>
        </row>
        <row r="30">
          <cell r="G30">
            <v>0</v>
          </cell>
          <cell r="H30">
            <v>21</v>
          </cell>
          <cell r="I30">
            <v>5428</v>
          </cell>
          <cell r="J30">
            <v>0</v>
          </cell>
          <cell r="K30">
            <v>0</v>
          </cell>
          <cell r="L30">
            <v>0</v>
          </cell>
          <cell r="M30">
            <v>168</v>
          </cell>
          <cell r="N30">
            <v>0</v>
          </cell>
          <cell r="O30">
            <v>0</v>
          </cell>
          <cell r="P30">
            <v>0</v>
          </cell>
          <cell r="Q30">
            <v>0</v>
          </cell>
          <cell r="R30">
            <v>0</v>
          </cell>
          <cell r="S30">
            <v>0</v>
          </cell>
          <cell r="T30">
            <v>0</v>
          </cell>
          <cell r="U30">
            <v>0</v>
          </cell>
          <cell r="V30">
            <v>0</v>
          </cell>
          <cell r="W30">
            <v>0</v>
          </cell>
          <cell r="X30">
            <v>0</v>
          </cell>
          <cell r="Y30">
            <v>5617</v>
          </cell>
          <cell r="Z30">
            <v>1586</v>
          </cell>
          <cell r="AA30">
            <v>7203</v>
          </cell>
          <cell r="AB30">
            <v>0.78</v>
          </cell>
          <cell r="AC30" t="str">
            <v>USAC463</v>
          </cell>
        </row>
        <row r="31">
          <cell r="G31">
            <v>9</v>
          </cell>
          <cell r="H31">
            <v>313</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322</v>
          </cell>
          <cell r="Z31">
            <v>152</v>
          </cell>
          <cell r="AA31">
            <v>474</v>
          </cell>
          <cell r="AB31">
            <v>0.67900000000000005</v>
          </cell>
          <cell r="AC31" t="str">
            <v>USAC467</v>
          </cell>
        </row>
        <row r="32">
          <cell r="G32">
            <v>0</v>
          </cell>
          <cell r="H32">
            <v>0</v>
          </cell>
          <cell r="I32">
            <v>0</v>
          </cell>
          <cell r="J32">
            <v>0</v>
          </cell>
          <cell r="K32">
            <v>132</v>
          </cell>
          <cell r="L32">
            <v>183</v>
          </cell>
          <cell r="M32">
            <v>7080</v>
          </cell>
          <cell r="N32">
            <v>367</v>
          </cell>
          <cell r="O32">
            <v>0</v>
          </cell>
          <cell r="P32">
            <v>0</v>
          </cell>
          <cell r="Q32">
            <v>0</v>
          </cell>
          <cell r="R32">
            <v>0</v>
          </cell>
          <cell r="S32">
            <v>13</v>
          </cell>
          <cell r="T32">
            <v>0</v>
          </cell>
          <cell r="U32">
            <v>0</v>
          </cell>
          <cell r="V32">
            <v>0</v>
          </cell>
          <cell r="W32">
            <v>26</v>
          </cell>
          <cell r="X32">
            <v>0</v>
          </cell>
          <cell r="Y32">
            <v>7801</v>
          </cell>
          <cell r="Z32">
            <v>3586</v>
          </cell>
          <cell r="AA32">
            <v>11387</v>
          </cell>
          <cell r="AB32">
            <v>0.68500000000000005</v>
          </cell>
          <cell r="AC32" t="str">
            <v>FEA463</v>
          </cell>
        </row>
        <row r="33">
          <cell r="G33">
            <v>0</v>
          </cell>
          <cell r="H33">
            <v>0</v>
          </cell>
          <cell r="I33">
            <v>0</v>
          </cell>
          <cell r="J33">
            <v>0</v>
          </cell>
          <cell r="K33">
            <v>0</v>
          </cell>
          <cell r="L33">
            <v>0</v>
          </cell>
          <cell r="M33">
            <v>79</v>
          </cell>
          <cell r="N33">
            <v>0</v>
          </cell>
          <cell r="O33">
            <v>315</v>
          </cell>
          <cell r="P33">
            <v>158</v>
          </cell>
          <cell r="Q33">
            <v>0</v>
          </cell>
          <cell r="R33">
            <v>396</v>
          </cell>
          <cell r="S33">
            <v>59</v>
          </cell>
          <cell r="T33">
            <v>39</v>
          </cell>
          <cell r="U33">
            <v>0</v>
          </cell>
          <cell r="V33">
            <v>0</v>
          </cell>
          <cell r="W33">
            <v>0</v>
          </cell>
          <cell r="X33">
            <v>0</v>
          </cell>
          <cell r="Y33">
            <v>1046</v>
          </cell>
          <cell r="Z33">
            <v>0</v>
          </cell>
          <cell r="AA33">
            <v>1046</v>
          </cell>
          <cell r="AB33">
            <v>1</v>
          </cell>
          <cell r="AC33" t="str">
            <v>AMN463</v>
          </cell>
        </row>
        <row r="34">
          <cell r="G34">
            <v>0</v>
          </cell>
          <cell r="H34">
            <v>0</v>
          </cell>
          <cell r="I34">
            <v>0</v>
          </cell>
          <cell r="J34">
            <v>0</v>
          </cell>
          <cell r="K34">
            <v>0</v>
          </cell>
          <cell r="L34">
            <v>0</v>
          </cell>
          <cell r="M34">
            <v>0</v>
          </cell>
          <cell r="N34">
            <v>0</v>
          </cell>
          <cell r="O34">
            <v>0</v>
          </cell>
          <cell r="P34">
            <v>87</v>
          </cell>
          <cell r="Q34">
            <v>11</v>
          </cell>
          <cell r="R34">
            <v>390</v>
          </cell>
          <cell r="S34">
            <v>11</v>
          </cell>
          <cell r="T34">
            <v>0</v>
          </cell>
          <cell r="U34">
            <v>0</v>
          </cell>
          <cell r="V34">
            <v>0</v>
          </cell>
          <cell r="W34">
            <v>0</v>
          </cell>
          <cell r="X34">
            <v>0</v>
          </cell>
          <cell r="Y34">
            <v>499</v>
          </cell>
          <cell r="Z34">
            <v>149</v>
          </cell>
          <cell r="AA34">
            <v>648</v>
          </cell>
          <cell r="AB34">
            <v>0.77</v>
          </cell>
          <cell r="AC34" t="str">
            <v>MOKE463</v>
          </cell>
        </row>
        <row r="35">
          <cell r="Y35">
            <v>0</v>
          </cell>
          <cell r="Z35">
            <v>2362</v>
          </cell>
          <cell r="AA35">
            <v>2362</v>
          </cell>
          <cell r="AB35">
            <v>0</v>
          </cell>
          <cell r="AC35" t="str">
            <v>BUTT541</v>
          </cell>
        </row>
      </sheetData>
      <sheetData sheetId="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 9 proportion "/>
      <sheetName val="Table 10 CWTs exp"/>
      <sheetName val="Table text"/>
      <sheetName val="Tab 10 xtra stray calculations"/>
      <sheetName val="inland_taf_hatchgrp_tableraw&amp;yy"/>
      <sheetName val="hatchery proportion only"/>
    </sheetNames>
    <sheetDataSet>
      <sheetData sheetId="0" refreshError="1"/>
      <sheetData sheetId="1">
        <row r="3">
          <cell r="H3" t="str">
            <v>CFH</v>
          </cell>
          <cell r="K3" t="str">
            <v>FRH</v>
          </cell>
          <cell r="O3" t="str">
            <v>NIM</v>
          </cell>
          <cell r="Q3" t="str">
            <v>MOK</v>
          </cell>
          <cell r="U3" t="str">
            <v>MER</v>
          </cell>
          <cell r="W3" t="str">
            <v>SJO</v>
          </cell>
          <cell r="X3" t="str">
            <v>Non-CV</v>
          </cell>
        </row>
        <row r="4">
          <cell r="G4" t="str">
            <v>SacW</v>
          </cell>
          <cell r="H4" t="str">
            <v>CFHL</v>
          </cell>
          <cell r="I4" t="str">
            <v>CFHF</v>
          </cell>
          <cell r="J4" t="str">
            <v>CFHFn</v>
          </cell>
          <cell r="K4" t="str">
            <v>FRHS</v>
          </cell>
          <cell r="L4" t="str">
            <v>FRHF</v>
          </cell>
          <cell r="M4" t="str">
            <v>FRHFn</v>
          </cell>
          <cell r="N4" t="str">
            <v>FRHFgg</v>
          </cell>
          <cell r="O4" t="str">
            <v>NIMF</v>
          </cell>
          <cell r="P4" t="str">
            <v>NIMFn</v>
          </cell>
          <cell r="Q4" t="str">
            <v>MOKF</v>
          </cell>
          <cell r="R4" t="str">
            <v>MOKFn</v>
          </cell>
          <cell r="S4" t="str">
            <v>MOKFnc</v>
          </cell>
          <cell r="T4" t="str">
            <v>MOKFgg</v>
          </cell>
          <cell r="U4" t="str">
            <v>MERF</v>
          </cell>
          <cell r="V4" t="str">
            <v>MERFn</v>
          </cell>
          <cell r="W4" t="str">
            <v>SJOSx</v>
          </cell>
        </row>
        <row r="6">
          <cell r="A6" t="str">
            <v>CNFH504</v>
          </cell>
          <cell r="E6" t="str">
            <v>Coleman National Fish Hatchery</v>
          </cell>
          <cell r="F6" t="str">
            <v>Winter</v>
          </cell>
          <cell r="G6">
            <v>95</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AA6">
            <v>95</v>
          </cell>
          <cell r="AD6">
            <v>1</v>
          </cell>
        </row>
        <row r="7">
          <cell r="A7" t="str">
            <v>KESW504</v>
          </cell>
          <cell r="E7" t="str">
            <v>Keswick Dam Fish Trap</v>
          </cell>
          <cell r="F7" t="str">
            <v>Winter</v>
          </cell>
          <cell r="G7">
            <v>111</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AA7">
            <v>180</v>
          </cell>
          <cell r="AD7">
            <v>0.61699999999999999</v>
          </cell>
        </row>
        <row r="8">
          <cell r="A8" t="str">
            <v>FRFH501</v>
          </cell>
          <cell r="B8" t="str">
            <v>FRFH</v>
          </cell>
          <cell r="C8">
            <v>50</v>
          </cell>
          <cell r="D8">
            <v>1</v>
          </cell>
          <cell r="E8" t="str">
            <v>Feather River Hatchery</v>
          </cell>
          <cell r="F8" t="str">
            <v>Spring</v>
          </cell>
          <cell r="G8">
            <v>0</v>
          </cell>
          <cell r="H8">
            <v>0</v>
          </cell>
          <cell r="I8">
            <v>0</v>
          </cell>
          <cell r="J8">
            <v>0</v>
          </cell>
          <cell r="K8">
            <v>3643</v>
          </cell>
          <cell r="L8">
            <v>0</v>
          </cell>
          <cell r="M8">
            <v>13</v>
          </cell>
          <cell r="N8">
            <v>4</v>
          </cell>
          <cell r="O8">
            <v>0</v>
          </cell>
          <cell r="P8">
            <v>0</v>
          </cell>
          <cell r="Q8">
            <v>0</v>
          </cell>
          <cell r="R8">
            <v>0</v>
          </cell>
          <cell r="S8">
            <v>0</v>
          </cell>
          <cell r="T8">
            <v>0</v>
          </cell>
          <cell r="U8">
            <v>0</v>
          </cell>
          <cell r="V8">
            <v>0</v>
          </cell>
          <cell r="W8">
            <v>2</v>
          </cell>
          <cell r="X8">
            <v>0</v>
          </cell>
          <cell r="AA8">
            <v>3867</v>
          </cell>
          <cell r="AD8">
            <v>0.94699999999999995</v>
          </cell>
        </row>
        <row r="9">
          <cell r="A9" t="str">
            <v>KESW503</v>
          </cell>
          <cell r="B9" t="str">
            <v>KESW</v>
          </cell>
          <cell r="C9">
            <v>50</v>
          </cell>
          <cell r="D9">
            <v>3</v>
          </cell>
          <cell r="E9" t="str">
            <v>Keswick Dam Fish Trap</v>
          </cell>
          <cell r="F9" t="str">
            <v>Fall</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AA9">
            <v>0</v>
          </cell>
          <cell r="AD9">
            <v>0</v>
          </cell>
        </row>
        <row r="10">
          <cell r="A10" t="str">
            <v>CNFH503</v>
          </cell>
          <cell r="B10" t="str">
            <v>CNFH</v>
          </cell>
          <cell r="C10">
            <v>50</v>
          </cell>
          <cell r="D10">
            <v>3</v>
          </cell>
          <cell r="E10" t="str">
            <v>Coleman National Fish Hatchery</v>
          </cell>
          <cell r="F10" t="str">
            <v>Fall</v>
          </cell>
          <cell r="G10">
            <v>0</v>
          </cell>
          <cell r="H10">
            <v>0</v>
          </cell>
          <cell r="I10">
            <v>12789</v>
          </cell>
          <cell r="J10">
            <v>0</v>
          </cell>
          <cell r="K10">
            <v>0</v>
          </cell>
          <cell r="L10">
            <v>2</v>
          </cell>
          <cell r="M10">
            <v>8</v>
          </cell>
          <cell r="N10">
            <v>4</v>
          </cell>
          <cell r="O10">
            <v>0</v>
          </cell>
          <cell r="P10">
            <v>0</v>
          </cell>
          <cell r="Q10">
            <v>0</v>
          </cell>
          <cell r="R10">
            <v>0</v>
          </cell>
          <cell r="S10">
            <v>2</v>
          </cell>
          <cell r="T10">
            <v>0</v>
          </cell>
          <cell r="U10">
            <v>0</v>
          </cell>
          <cell r="V10">
            <v>0</v>
          </cell>
          <cell r="W10">
            <v>0</v>
          </cell>
          <cell r="X10">
            <v>0</v>
          </cell>
          <cell r="AA10">
            <v>14269</v>
          </cell>
          <cell r="AD10">
            <v>0.89700000000000002</v>
          </cell>
        </row>
        <row r="11">
          <cell r="A11" t="str">
            <v>FRFH503</v>
          </cell>
          <cell r="B11" t="str">
            <v>FRFH</v>
          </cell>
          <cell r="C11">
            <v>50</v>
          </cell>
          <cell r="D11">
            <v>3</v>
          </cell>
          <cell r="E11" t="str">
            <v>Feather River Hatchery</v>
          </cell>
          <cell r="F11" t="str">
            <v>Fall</v>
          </cell>
          <cell r="G11">
            <v>0</v>
          </cell>
          <cell r="H11">
            <v>1</v>
          </cell>
          <cell r="I11">
            <v>32</v>
          </cell>
          <cell r="J11">
            <v>0</v>
          </cell>
          <cell r="K11">
            <v>2656</v>
          </cell>
          <cell r="L11">
            <v>1293</v>
          </cell>
          <cell r="M11">
            <v>8842</v>
          </cell>
          <cell r="N11">
            <v>5453</v>
          </cell>
          <cell r="O11">
            <v>0</v>
          </cell>
          <cell r="P11">
            <v>20</v>
          </cell>
          <cell r="Q11">
            <v>0</v>
          </cell>
          <cell r="R11">
            <v>24</v>
          </cell>
          <cell r="S11">
            <v>64</v>
          </cell>
          <cell r="T11">
            <v>7</v>
          </cell>
          <cell r="U11">
            <v>0</v>
          </cell>
          <cell r="V11">
            <v>95</v>
          </cell>
          <cell r="W11">
            <v>5</v>
          </cell>
          <cell r="X11">
            <v>0</v>
          </cell>
          <cell r="AA11">
            <v>27103</v>
          </cell>
          <cell r="AD11">
            <v>0.68200000000000005</v>
          </cell>
        </row>
        <row r="12">
          <cell r="A12" t="str">
            <v>NBFH503</v>
          </cell>
          <cell r="B12" t="str">
            <v>NBFH</v>
          </cell>
          <cell r="C12">
            <v>50</v>
          </cell>
          <cell r="D12">
            <v>3</v>
          </cell>
          <cell r="E12" t="str">
            <v>Nimbus Fish Hatchery</v>
          </cell>
          <cell r="F12" t="str">
            <v>Fall</v>
          </cell>
          <cell r="G12">
            <v>0</v>
          </cell>
          <cell r="H12">
            <v>0</v>
          </cell>
          <cell r="I12">
            <v>0</v>
          </cell>
          <cell r="J12">
            <v>0</v>
          </cell>
          <cell r="K12">
            <v>0</v>
          </cell>
          <cell r="L12">
            <v>1</v>
          </cell>
          <cell r="M12">
            <v>390</v>
          </cell>
          <cell r="N12">
            <v>366</v>
          </cell>
          <cell r="O12">
            <v>2845</v>
          </cell>
          <cell r="P12">
            <v>3826</v>
          </cell>
          <cell r="Q12">
            <v>17</v>
          </cell>
          <cell r="R12">
            <v>1806</v>
          </cell>
          <cell r="S12">
            <v>192</v>
          </cell>
          <cell r="T12">
            <v>294</v>
          </cell>
          <cell r="U12">
            <v>0</v>
          </cell>
          <cell r="V12">
            <v>86</v>
          </cell>
          <cell r="W12">
            <v>0</v>
          </cell>
          <cell r="X12">
            <v>0</v>
          </cell>
          <cell r="AA12">
            <v>11296</v>
          </cell>
          <cell r="AD12">
            <v>0.87</v>
          </cell>
        </row>
        <row r="13">
          <cell r="A13" t="str">
            <v>MRFI503</v>
          </cell>
          <cell r="B13" t="str">
            <v>MRFI</v>
          </cell>
          <cell r="C13">
            <v>50</v>
          </cell>
          <cell r="D13">
            <v>3</v>
          </cell>
          <cell r="E13" t="str">
            <v>Mokelumne River Hatchery</v>
          </cell>
          <cell r="F13" t="str">
            <v>Fall</v>
          </cell>
          <cell r="G13">
            <v>0</v>
          </cell>
          <cell r="H13">
            <v>1</v>
          </cell>
          <cell r="I13">
            <v>0</v>
          </cell>
          <cell r="J13">
            <v>0</v>
          </cell>
          <cell r="K13">
            <v>0</v>
          </cell>
          <cell r="L13">
            <v>1</v>
          </cell>
          <cell r="M13">
            <v>157</v>
          </cell>
          <cell r="N13">
            <v>125</v>
          </cell>
          <cell r="O13">
            <v>0</v>
          </cell>
          <cell r="P13">
            <v>253</v>
          </cell>
          <cell r="Q13">
            <v>110</v>
          </cell>
          <cell r="R13">
            <v>6220</v>
          </cell>
          <cell r="S13">
            <v>281</v>
          </cell>
          <cell r="T13">
            <v>218</v>
          </cell>
          <cell r="U13">
            <v>6</v>
          </cell>
          <cell r="V13">
            <v>227</v>
          </cell>
          <cell r="W13">
            <v>0</v>
          </cell>
          <cell r="X13">
            <v>0</v>
          </cell>
          <cell r="AA13">
            <v>8503</v>
          </cell>
          <cell r="AD13">
            <v>0.89400000000000002</v>
          </cell>
        </row>
        <row r="14">
          <cell r="A14" t="str">
            <v>MRFF503</v>
          </cell>
          <cell r="B14" t="str">
            <v>MRFF</v>
          </cell>
          <cell r="C14">
            <v>50</v>
          </cell>
          <cell r="D14">
            <v>3</v>
          </cell>
          <cell r="E14" t="str">
            <v>Merced River Hatchery</v>
          </cell>
          <cell r="F14" t="str">
            <v>Fall</v>
          </cell>
          <cell r="G14">
            <v>0</v>
          </cell>
          <cell r="H14">
            <v>0</v>
          </cell>
          <cell r="I14">
            <v>0</v>
          </cell>
          <cell r="J14">
            <v>0</v>
          </cell>
          <cell r="K14">
            <v>0</v>
          </cell>
          <cell r="L14">
            <v>0</v>
          </cell>
          <cell r="M14">
            <v>8</v>
          </cell>
          <cell r="N14">
            <v>29</v>
          </cell>
          <cell r="O14">
            <v>0</v>
          </cell>
          <cell r="P14">
            <v>8</v>
          </cell>
          <cell r="Q14">
            <v>0</v>
          </cell>
          <cell r="R14">
            <v>84</v>
          </cell>
          <cell r="S14">
            <v>14</v>
          </cell>
          <cell r="T14">
            <v>8</v>
          </cell>
          <cell r="U14">
            <v>117</v>
          </cell>
          <cell r="V14">
            <v>248</v>
          </cell>
          <cell r="W14">
            <v>0</v>
          </cell>
          <cell r="X14">
            <v>0</v>
          </cell>
          <cell r="AA14">
            <v>967</v>
          </cell>
          <cell r="AD14">
            <v>0.53400000000000003</v>
          </cell>
        </row>
        <row r="15">
          <cell r="A15" t="str">
            <v>CNFH507</v>
          </cell>
          <cell r="B15" t="str">
            <v>CNFH</v>
          </cell>
          <cell r="C15">
            <v>50</v>
          </cell>
          <cell r="D15">
            <v>7</v>
          </cell>
          <cell r="E15" t="str">
            <v xml:space="preserve">Coleman National Fish Hatchery </v>
          </cell>
          <cell r="G15">
            <v>0</v>
          </cell>
          <cell r="H15">
            <v>3315</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AA15">
            <v>3391</v>
          </cell>
          <cell r="AD15">
            <v>0.97799999999999998</v>
          </cell>
        </row>
        <row r="16">
          <cell r="A16" t="str">
            <v>CNFW527</v>
          </cell>
          <cell r="B16" t="str">
            <v>CNFW</v>
          </cell>
          <cell r="C16">
            <v>52</v>
          </cell>
          <cell r="D16">
            <v>7</v>
          </cell>
          <cell r="E16" t="str">
            <v>Coleman Hatchery Fish Trap</v>
          </cell>
          <cell r="G16">
            <v>4</v>
          </cell>
          <cell r="H16">
            <v>356</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AA16">
            <v>365</v>
          </cell>
          <cell r="AD16">
            <v>0.98599999999999999</v>
          </cell>
        </row>
        <row r="17">
          <cell r="B17" t="str">
            <v>KESW</v>
          </cell>
          <cell r="C17">
            <v>50</v>
          </cell>
          <cell r="D17">
            <v>7</v>
          </cell>
          <cell r="E17" t="str">
            <v>Keswick Dam Fish Trap</v>
          </cell>
          <cell r="H17">
            <v>17</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AA17">
            <v>23</v>
          </cell>
          <cell r="AD17">
            <v>0.73899999999999999</v>
          </cell>
        </row>
        <row r="18">
          <cell r="G18">
            <v>0</v>
          </cell>
          <cell r="H18">
            <v>2</v>
          </cell>
          <cell r="I18">
            <v>12821</v>
          </cell>
          <cell r="J18">
            <v>0</v>
          </cell>
          <cell r="K18">
            <v>2656</v>
          </cell>
          <cell r="L18">
            <v>1297</v>
          </cell>
          <cell r="M18">
            <v>9405</v>
          </cell>
          <cell r="N18">
            <v>5977</v>
          </cell>
          <cell r="O18">
            <v>2845</v>
          </cell>
          <cell r="P18">
            <v>4107</v>
          </cell>
          <cell r="Q18">
            <v>127</v>
          </cell>
          <cell r="R18">
            <v>8134</v>
          </cell>
          <cell r="S18">
            <v>553</v>
          </cell>
          <cell r="T18">
            <v>527</v>
          </cell>
          <cell r="U18">
            <v>123</v>
          </cell>
          <cell r="V18">
            <v>656</v>
          </cell>
          <cell r="W18">
            <v>5</v>
          </cell>
          <cell r="X18">
            <v>0</v>
          </cell>
          <cell r="Z18">
            <v>12903</v>
          </cell>
          <cell r="AA18">
            <v>62138</v>
          </cell>
          <cell r="AD18">
            <v>0.79234928707071361</v>
          </cell>
        </row>
        <row r="20">
          <cell r="A20" t="str">
            <v>USAC544</v>
          </cell>
          <cell r="B20" t="str">
            <v>USAC</v>
          </cell>
          <cell r="C20">
            <v>54</v>
          </cell>
          <cell r="D20">
            <v>4</v>
          </cell>
          <cell r="E20" t="str">
            <v>Upper Sacramento River</v>
          </cell>
          <cell r="F20" t="str">
            <v>Winter</v>
          </cell>
          <cell r="G20">
            <v>2712</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AA20">
            <v>7853</v>
          </cell>
          <cell r="AD20">
            <v>0.34499999999999997</v>
          </cell>
        </row>
        <row r="21">
          <cell r="A21" t="str">
            <v>BUTT541</v>
          </cell>
          <cell r="B21" t="str">
            <v>BUTT</v>
          </cell>
          <cell r="C21">
            <v>54</v>
          </cell>
          <cell r="D21">
            <v>1</v>
          </cell>
          <cell r="E21" t="str">
            <v>Butte Creek</v>
          </cell>
          <cell r="F21" t="str">
            <v>Spring</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AA21">
            <v>14860</v>
          </cell>
          <cell r="AD21">
            <v>0</v>
          </cell>
        </row>
        <row r="22">
          <cell r="A22" t="str">
            <v>UPSJ541</v>
          </cell>
          <cell r="B22" t="str">
            <v>UPSJ</v>
          </cell>
          <cell r="C22">
            <v>54</v>
          </cell>
          <cell r="D22">
            <v>1</v>
          </cell>
          <cell r="E22" t="str">
            <v>Upper San Joaquin River</v>
          </cell>
          <cell r="F22" t="str">
            <v>Spring</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146</v>
          </cell>
          <cell r="X22">
            <v>0</v>
          </cell>
          <cell r="AA22">
            <v>155</v>
          </cell>
          <cell r="AD22">
            <v>0.94199999999999995</v>
          </cell>
        </row>
        <row r="23">
          <cell r="A23" t="str">
            <v>USAC543</v>
          </cell>
          <cell r="B23" t="str">
            <v>USAC</v>
          </cell>
          <cell r="C23">
            <v>54</v>
          </cell>
          <cell r="D23">
            <v>3</v>
          </cell>
          <cell r="E23" t="str">
            <v>Upper Sacramento River</v>
          </cell>
          <cell r="F23" t="str">
            <v>Fall</v>
          </cell>
          <cell r="G23">
            <v>0</v>
          </cell>
          <cell r="H23">
            <v>0</v>
          </cell>
          <cell r="I23">
            <v>900</v>
          </cell>
          <cell r="J23">
            <v>0</v>
          </cell>
          <cell r="K23">
            <v>13</v>
          </cell>
          <cell r="L23">
            <v>0</v>
          </cell>
          <cell r="M23">
            <v>193</v>
          </cell>
          <cell r="N23">
            <v>150</v>
          </cell>
          <cell r="O23">
            <v>0</v>
          </cell>
          <cell r="P23">
            <v>0</v>
          </cell>
          <cell r="Q23">
            <v>0</v>
          </cell>
          <cell r="R23">
            <v>0</v>
          </cell>
          <cell r="S23">
            <v>13</v>
          </cell>
          <cell r="T23">
            <v>12</v>
          </cell>
          <cell r="U23">
            <v>0</v>
          </cell>
          <cell r="V23">
            <v>0</v>
          </cell>
          <cell r="W23">
            <v>0</v>
          </cell>
          <cell r="X23">
            <v>0</v>
          </cell>
          <cell r="AA23">
            <v>24461</v>
          </cell>
          <cell r="AD23">
            <v>5.1999999999999998E-2</v>
          </cell>
        </row>
        <row r="24">
          <cell r="A24" t="str">
            <v>CLR543</v>
          </cell>
          <cell r="B24" t="str">
            <v>CLR</v>
          </cell>
          <cell r="C24">
            <v>54</v>
          </cell>
          <cell r="D24">
            <v>3</v>
          </cell>
          <cell r="E24" t="str">
            <v>Clear Creek</v>
          </cell>
          <cell r="F24" t="str">
            <v>Fall</v>
          </cell>
          <cell r="G24">
            <v>0</v>
          </cell>
          <cell r="H24">
            <v>0</v>
          </cell>
          <cell r="I24">
            <v>831</v>
          </cell>
          <cell r="J24">
            <v>0</v>
          </cell>
          <cell r="K24">
            <v>10</v>
          </cell>
          <cell r="L24">
            <v>0</v>
          </cell>
          <cell r="M24">
            <v>39</v>
          </cell>
          <cell r="N24">
            <v>119</v>
          </cell>
          <cell r="O24">
            <v>0</v>
          </cell>
          <cell r="P24">
            <v>0</v>
          </cell>
          <cell r="Q24">
            <v>0</v>
          </cell>
          <cell r="R24">
            <v>39</v>
          </cell>
          <cell r="S24">
            <v>0</v>
          </cell>
          <cell r="T24">
            <v>10</v>
          </cell>
          <cell r="U24">
            <v>0</v>
          </cell>
          <cell r="V24">
            <v>0</v>
          </cell>
          <cell r="W24">
            <v>0</v>
          </cell>
          <cell r="X24">
            <v>0</v>
          </cell>
          <cell r="AA24">
            <v>5712</v>
          </cell>
          <cell r="AD24">
            <v>0.183</v>
          </cell>
        </row>
        <row r="25">
          <cell r="A25" t="str">
            <v>BATT543</v>
          </cell>
          <cell r="B25" t="str">
            <v>BATT</v>
          </cell>
          <cell r="C25">
            <v>54</v>
          </cell>
          <cell r="D25">
            <v>3</v>
          </cell>
          <cell r="F25" t="str">
            <v>Fall</v>
          </cell>
          <cell r="G25">
            <v>0</v>
          </cell>
          <cell r="H25">
            <v>0</v>
          </cell>
          <cell r="I25">
            <v>18722</v>
          </cell>
          <cell r="J25">
            <v>0</v>
          </cell>
          <cell r="K25">
            <v>0</v>
          </cell>
          <cell r="L25">
            <v>3</v>
          </cell>
          <cell r="M25">
            <v>12</v>
          </cell>
          <cell r="N25">
            <v>6</v>
          </cell>
          <cell r="O25">
            <v>0</v>
          </cell>
          <cell r="P25">
            <v>0</v>
          </cell>
          <cell r="Q25">
            <v>0</v>
          </cell>
          <cell r="R25">
            <v>0</v>
          </cell>
          <cell r="S25">
            <v>3</v>
          </cell>
          <cell r="T25">
            <v>0</v>
          </cell>
          <cell r="U25">
            <v>0</v>
          </cell>
          <cell r="V25">
            <v>0</v>
          </cell>
          <cell r="W25">
            <v>0</v>
          </cell>
          <cell r="X25">
            <v>0</v>
          </cell>
          <cell r="AA25">
            <v>20875</v>
          </cell>
          <cell r="AD25">
            <v>0.89801197604790417</v>
          </cell>
        </row>
        <row r="26">
          <cell r="A26" t="str">
            <v>COT543</v>
          </cell>
          <cell r="B26" t="str">
            <v>COT</v>
          </cell>
          <cell r="C26">
            <v>54</v>
          </cell>
          <cell r="D26">
            <v>3</v>
          </cell>
          <cell r="E26" t="str">
            <v>Cottonwood Creek</v>
          </cell>
          <cell r="F26" t="str">
            <v>Fall</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AA26">
            <v>0</v>
          </cell>
          <cell r="AD26">
            <v>0</v>
          </cell>
        </row>
        <row r="27">
          <cell r="A27" t="str">
            <v>COW543</v>
          </cell>
          <cell r="B27" t="str">
            <v>COW</v>
          </cell>
          <cell r="C27">
            <v>54</v>
          </cell>
          <cell r="D27">
            <v>3</v>
          </cell>
          <cell r="E27" t="str">
            <v>Cow Creek</v>
          </cell>
          <cell r="F27" t="str">
            <v>Fall</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AA27">
            <v>0</v>
          </cell>
          <cell r="AD27">
            <v>0</v>
          </cell>
        </row>
        <row r="28">
          <cell r="A28" t="str">
            <v>MLC543</v>
          </cell>
          <cell r="B28" t="str">
            <v>MLC</v>
          </cell>
          <cell r="C28">
            <v>54</v>
          </cell>
          <cell r="D28">
            <v>3</v>
          </cell>
          <cell r="E28" t="str">
            <v>Mill Creek</v>
          </cell>
          <cell r="F28" t="str">
            <v>Fall</v>
          </cell>
          <cell r="G28">
            <v>0</v>
          </cell>
          <cell r="H28">
            <v>0</v>
          </cell>
          <cell r="I28">
            <v>1017</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AA28">
            <v>2523</v>
          </cell>
          <cell r="AD28">
            <v>0.40300000000000002</v>
          </cell>
        </row>
        <row r="29">
          <cell r="A29" t="str">
            <v>BUTT543</v>
          </cell>
          <cell r="B29" t="str">
            <v>BUTT</v>
          </cell>
          <cell r="C29">
            <v>54</v>
          </cell>
          <cell r="D29">
            <v>3</v>
          </cell>
          <cell r="E29" t="str">
            <v>Butte Creek</v>
          </cell>
          <cell r="F29" t="str">
            <v>Fall</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AA29">
            <v>1481</v>
          </cell>
          <cell r="AD29">
            <v>0</v>
          </cell>
        </row>
        <row r="30">
          <cell r="A30" t="str">
            <v>FEA543</v>
          </cell>
          <cell r="B30" t="str">
            <v>FEA</v>
          </cell>
          <cell r="C30">
            <v>54</v>
          </cell>
          <cell r="D30">
            <v>3</v>
          </cell>
          <cell r="E30" t="str">
            <v>Feather River</v>
          </cell>
          <cell r="F30" t="str">
            <v>Fall</v>
          </cell>
          <cell r="G30">
            <v>0</v>
          </cell>
          <cell r="H30">
            <v>0</v>
          </cell>
          <cell r="I30">
            <v>245</v>
          </cell>
          <cell r="J30">
            <v>0</v>
          </cell>
          <cell r="K30">
            <v>3352</v>
          </cell>
          <cell r="L30">
            <v>2122</v>
          </cell>
          <cell r="M30">
            <v>10246</v>
          </cell>
          <cell r="N30">
            <v>6805</v>
          </cell>
          <cell r="O30">
            <v>41</v>
          </cell>
          <cell r="P30">
            <v>40</v>
          </cell>
          <cell r="Q30">
            <v>0</v>
          </cell>
          <cell r="R30">
            <v>122</v>
          </cell>
          <cell r="S30">
            <v>123</v>
          </cell>
          <cell r="T30">
            <v>41</v>
          </cell>
          <cell r="U30">
            <v>0</v>
          </cell>
          <cell r="V30">
            <v>46</v>
          </cell>
          <cell r="W30">
            <v>0</v>
          </cell>
          <cell r="X30">
            <v>0</v>
          </cell>
          <cell r="AA30">
            <v>51963</v>
          </cell>
          <cell r="AD30">
            <v>0.44600000000000001</v>
          </cell>
        </row>
        <row r="31">
          <cell r="A31" t="str">
            <v>YUBA543</v>
          </cell>
          <cell r="B31" t="str">
            <v>YUBA</v>
          </cell>
          <cell r="C31">
            <v>54</v>
          </cell>
          <cell r="D31">
            <v>3</v>
          </cell>
          <cell r="F31" t="str">
            <v>Fall</v>
          </cell>
          <cell r="G31">
            <v>0</v>
          </cell>
          <cell r="H31">
            <v>0</v>
          </cell>
          <cell r="I31">
            <v>0</v>
          </cell>
          <cell r="J31">
            <v>0</v>
          </cell>
          <cell r="K31">
            <v>158</v>
          </cell>
          <cell r="L31">
            <v>35</v>
          </cell>
          <cell r="M31">
            <v>690</v>
          </cell>
          <cell r="N31">
            <v>209</v>
          </cell>
          <cell r="O31">
            <v>0</v>
          </cell>
          <cell r="P31">
            <v>0</v>
          </cell>
          <cell r="Q31">
            <v>0</v>
          </cell>
          <cell r="R31">
            <v>210</v>
          </cell>
          <cell r="S31">
            <v>36</v>
          </cell>
          <cell r="T31">
            <v>0</v>
          </cell>
          <cell r="U31">
            <v>0</v>
          </cell>
          <cell r="V31">
            <v>0</v>
          </cell>
          <cell r="W31">
            <v>0</v>
          </cell>
          <cell r="X31">
            <v>0</v>
          </cell>
          <cell r="AA31">
            <v>2691</v>
          </cell>
          <cell r="AD31">
            <v>0.497</v>
          </cell>
        </row>
        <row r="32">
          <cell r="A32" t="str">
            <v>YUBB543</v>
          </cell>
          <cell r="B32" t="str">
            <v>YUBB</v>
          </cell>
          <cell r="C32">
            <v>54</v>
          </cell>
          <cell r="D32">
            <v>3</v>
          </cell>
          <cell r="F32" t="str">
            <v>Fall</v>
          </cell>
          <cell r="G32">
            <v>0</v>
          </cell>
          <cell r="H32">
            <v>0</v>
          </cell>
          <cell r="I32">
            <v>0</v>
          </cell>
          <cell r="J32">
            <v>0</v>
          </cell>
          <cell r="K32">
            <v>32</v>
          </cell>
          <cell r="L32">
            <v>11</v>
          </cell>
          <cell r="M32">
            <v>300</v>
          </cell>
          <cell r="N32">
            <v>85</v>
          </cell>
          <cell r="O32">
            <v>0</v>
          </cell>
          <cell r="P32">
            <v>85</v>
          </cell>
          <cell r="Q32">
            <v>0</v>
          </cell>
          <cell r="R32">
            <v>0</v>
          </cell>
          <cell r="S32">
            <v>0</v>
          </cell>
          <cell r="T32">
            <v>0</v>
          </cell>
          <cell r="U32">
            <v>0</v>
          </cell>
          <cell r="V32">
            <v>0</v>
          </cell>
          <cell r="W32">
            <v>0</v>
          </cell>
          <cell r="X32">
            <v>0</v>
          </cell>
          <cell r="AA32">
            <v>678</v>
          </cell>
          <cell r="AD32">
            <v>0.75700000000000001</v>
          </cell>
        </row>
        <row r="33">
          <cell r="A33" t="str">
            <v>LARC543</v>
          </cell>
          <cell r="B33" t="str">
            <v>LARC</v>
          </cell>
          <cell r="C33">
            <v>54</v>
          </cell>
          <cell r="D33">
            <v>3</v>
          </cell>
          <cell r="E33" t="str">
            <v>American River</v>
          </cell>
          <cell r="F33" t="str">
            <v>Fall</v>
          </cell>
          <cell r="G33">
            <v>0</v>
          </cell>
          <cell r="H33">
            <v>0</v>
          </cell>
          <cell r="I33">
            <v>15</v>
          </cell>
          <cell r="J33">
            <v>0</v>
          </cell>
          <cell r="K33">
            <v>0</v>
          </cell>
          <cell r="L33">
            <v>0</v>
          </cell>
          <cell r="M33">
            <v>1421</v>
          </cell>
          <cell r="N33">
            <v>819</v>
          </cell>
          <cell r="O33">
            <v>6563</v>
          </cell>
          <cell r="P33">
            <v>9323</v>
          </cell>
          <cell r="Q33">
            <v>21</v>
          </cell>
          <cell r="R33">
            <v>4635</v>
          </cell>
          <cell r="S33">
            <v>957</v>
          </cell>
          <cell r="T33">
            <v>647</v>
          </cell>
          <cell r="U33">
            <v>12</v>
          </cell>
          <cell r="V33">
            <v>918</v>
          </cell>
          <cell r="W33">
            <v>0</v>
          </cell>
          <cell r="X33">
            <v>0</v>
          </cell>
          <cell r="AA33">
            <v>27030</v>
          </cell>
          <cell r="AD33">
            <v>0.93700000000000006</v>
          </cell>
        </row>
        <row r="34">
          <cell r="A34" t="str">
            <v>NIMW593</v>
          </cell>
          <cell r="B34" t="str">
            <v>NIMW</v>
          </cell>
          <cell r="C34">
            <v>59</v>
          </cell>
          <cell r="D34">
            <v>3</v>
          </cell>
          <cell r="E34" t="str">
            <v>Nimbus Fish Hatchery Weir</v>
          </cell>
          <cell r="F34" t="str">
            <v>Fall</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AA34">
            <v>0</v>
          </cell>
          <cell r="AD34">
            <v>0</v>
          </cell>
        </row>
        <row r="35">
          <cell r="A35" t="str">
            <v>MOKE543</v>
          </cell>
          <cell r="B35" t="str">
            <v>MOKE</v>
          </cell>
          <cell r="C35">
            <v>54</v>
          </cell>
          <cell r="D35">
            <v>3</v>
          </cell>
          <cell r="E35" t="str">
            <v>Mokelumne River</v>
          </cell>
          <cell r="F35" t="str">
            <v>Fall</v>
          </cell>
          <cell r="G35">
            <v>0</v>
          </cell>
          <cell r="H35">
            <v>0</v>
          </cell>
          <cell r="I35">
            <v>33</v>
          </cell>
          <cell r="J35">
            <v>0</v>
          </cell>
          <cell r="K35">
            <v>0</v>
          </cell>
          <cell r="L35">
            <v>0</v>
          </cell>
          <cell r="M35">
            <v>66</v>
          </cell>
          <cell r="N35">
            <v>100</v>
          </cell>
          <cell r="O35">
            <v>0</v>
          </cell>
          <cell r="P35">
            <v>265</v>
          </cell>
          <cell r="Q35">
            <v>33</v>
          </cell>
          <cell r="R35">
            <v>2392</v>
          </cell>
          <cell r="S35">
            <v>100</v>
          </cell>
          <cell r="T35">
            <v>116</v>
          </cell>
          <cell r="U35">
            <v>0</v>
          </cell>
          <cell r="V35">
            <v>82</v>
          </cell>
          <cell r="W35">
            <v>0</v>
          </cell>
          <cell r="X35">
            <v>0</v>
          </cell>
          <cell r="AA35">
            <v>4367</v>
          </cell>
          <cell r="AD35">
            <v>0.73</v>
          </cell>
        </row>
        <row r="36">
          <cell r="A36" t="str">
            <v>COSU543</v>
          </cell>
          <cell r="B36" t="str">
            <v>COSU</v>
          </cell>
          <cell r="C36">
            <v>54</v>
          </cell>
          <cell r="D36">
            <v>3</v>
          </cell>
          <cell r="E36" t="str">
            <v>Cosumnes River</v>
          </cell>
          <cell r="F36" t="str">
            <v>Fall</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AA36">
            <v>0</v>
          </cell>
          <cell r="AD36">
            <v>0</v>
          </cell>
        </row>
        <row r="37">
          <cell r="A37" t="str">
            <v>CAL543</v>
          </cell>
          <cell r="B37" t="str">
            <v>CAL</v>
          </cell>
          <cell r="C37">
            <v>54</v>
          </cell>
          <cell r="D37">
            <v>3</v>
          </cell>
          <cell r="E37" t="str">
            <v>Calaveras River</v>
          </cell>
          <cell r="F37" t="str">
            <v>Fall</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AA37">
            <v>0</v>
          </cell>
          <cell r="AD37">
            <v>0</v>
          </cell>
        </row>
        <row r="38">
          <cell r="A38" t="str">
            <v>STA543</v>
          </cell>
          <cell r="B38" t="str">
            <v>STA</v>
          </cell>
          <cell r="C38">
            <v>54</v>
          </cell>
          <cell r="D38">
            <v>3</v>
          </cell>
          <cell r="E38" t="str">
            <v>Stanislaus River</v>
          </cell>
          <cell r="F38" t="str">
            <v>Fall</v>
          </cell>
          <cell r="G38">
            <v>0</v>
          </cell>
          <cell r="H38">
            <v>8</v>
          </cell>
          <cell r="I38">
            <v>0</v>
          </cell>
          <cell r="J38">
            <v>0</v>
          </cell>
          <cell r="K38">
            <v>0</v>
          </cell>
          <cell r="L38">
            <v>0</v>
          </cell>
          <cell r="M38">
            <v>64</v>
          </cell>
          <cell r="N38">
            <v>65</v>
          </cell>
          <cell r="O38">
            <v>0</v>
          </cell>
          <cell r="P38">
            <v>33</v>
          </cell>
          <cell r="Q38">
            <v>0</v>
          </cell>
          <cell r="R38">
            <v>551</v>
          </cell>
          <cell r="S38">
            <v>17</v>
          </cell>
          <cell r="T38">
            <v>57</v>
          </cell>
          <cell r="U38">
            <v>0</v>
          </cell>
          <cell r="V38">
            <v>23</v>
          </cell>
          <cell r="W38">
            <v>0</v>
          </cell>
          <cell r="X38">
            <v>0</v>
          </cell>
          <cell r="AA38">
            <v>1504</v>
          </cell>
          <cell r="AD38">
            <v>0.54400000000000004</v>
          </cell>
        </row>
        <row r="39">
          <cell r="A39" t="str">
            <v>TUO543</v>
          </cell>
          <cell r="B39" t="str">
            <v>TUO</v>
          </cell>
          <cell r="C39">
            <v>54</v>
          </cell>
          <cell r="D39">
            <v>3</v>
          </cell>
          <cell r="E39" t="str">
            <v>Tuolumne River</v>
          </cell>
          <cell r="F39" t="str">
            <v>Fall</v>
          </cell>
          <cell r="G39">
            <v>0</v>
          </cell>
          <cell r="H39">
            <v>0</v>
          </cell>
          <cell r="I39">
            <v>0</v>
          </cell>
          <cell r="J39">
            <v>0</v>
          </cell>
          <cell r="K39">
            <v>0</v>
          </cell>
          <cell r="L39">
            <v>0</v>
          </cell>
          <cell r="M39">
            <v>19</v>
          </cell>
          <cell r="N39">
            <v>20</v>
          </cell>
          <cell r="O39">
            <v>0</v>
          </cell>
          <cell r="P39">
            <v>0</v>
          </cell>
          <cell r="Q39">
            <v>0</v>
          </cell>
          <cell r="R39">
            <v>47</v>
          </cell>
          <cell r="S39">
            <v>8</v>
          </cell>
          <cell r="T39">
            <v>3</v>
          </cell>
          <cell r="U39">
            <v>0</v>
          </cell>
          <cell r="V39">
            <v>59</v>
          </cell>
          <cell r="W39">
            <v>0</v>
          </cell>
          <cell r="X39">
            <v>0</v>
          </cell>
          <cell r="AA39">
            <v>931</v>
          </cell>
          <cell r="AD39">
            <v>0.16800000000000001</v>
          </cell>
        </row>
        <row r="40">
          <cell r="A40" t="str">
            <v>MER543</v>
          </cell>
          <cell r="B40" t="str">
            <v>MER</v>
          </cell>
          <cell r="C40">
            <v>54</v>
          </cell>
          <cell r="D40">
            <v>3</v>
          </cell>
          <cell r="E40" t="str">
            <v>Merced River</v>
          </cell>
          <cell r="F40" t="str">
            <v>Fall</v>
          </cell>
          <cell r="G40">
            <v>0</v>
          </cell>
          <cell r="H40">
            <v>0</v>
          </cell>
          <cell r="I40">
            <v>0</v>
          </cell>
          <cell r="J40">
            <v>0</v>
          </cell>
          <cell r="K40">
            <v>0</v>
          </cell>
          <cell r="L40">
            <v>0</v>
          </cell>
          <cell r="M40">
            <v>0</v>
          </cell>
          <cell r="N40">
            <v>78</v>
          </cell>
          <cell r="O40">
            <v>0</v>
          </cell>
          <cell r="P40">
            <v>0</v>
          </cell>
          <cell r="Q40">
            <v>0</v>
          </cell>
          <cell r="R40">
            <v>155</v>
          </cell>
          <cell r="S40">
            <v>0</v>
          </cell>
          <cell r="T40">
            <v>0</v>
          </cell>
          <cell r="U40">
            <v>34</v>
          </cell>
          <cell r="V40">
            <v>256</v>
          </cell>
          <cell r="W40">
            <v>0</v>
          </cell>
          <cell r="X40">
            <v>0</v>
          </cell>
          <cell r="AA40">
            <v>2211</v>
          </cell>
          <cell r="AD40">
            <v>0.23699999999999999</v>
          </cell>
        </row>
        <row r="41">
          <cell r="A41" t="str">
            <v>USAC547</v>
          </cell>
          <cell r="B41" t="str">
            <v>USAC</v>
          </cell>
          <cell r="C41">
            <v>54</v>
          </cell>
          <cell r="D41">
            <v>7</v>
          </cell>
          <cell r="E41" t="str">
            <v>Upper Sacramento River</v>
          </cell>
          <cell r="G41">
            <v>0</v>
          </cell>
          <cell r="H41">
            <v>175</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AA41">
            <v>1251</v>
          </cell>
          <cell r="AD41">
            <v>0.13988808952837731</v>
          </cell>
        </row>
        <row r="42">
          <cell r="G42">
            <v>0</v>
          </cell>
          <cell r="H42">
            <v>8</v>
          </cell>
          <cell r="I42">
            <v>21763</v>
          </cell>
          <cell r="J42">
            <v>0</v>
          </cell>
          <cell r="K42">
            <v>3565</v>
          </cell>
          <cell r="L42">
            <v>2171</v>
          </cell>
          <cell r="M42">
            <v>13050</v>
          </cell>
          <cell r="N42">
            <v>8456</v>
          </cell>
          <cell r="O42">
            <v>6604</v>
          </cell>
          <cell r="P42">
            <v>9746</v>
          </cell>
          <cell r="Q42">
            <v>54</v>
          </cell>
          <cell r="R42">
            <v>8151</v>
          </cell>
          <cell r="S42">
            <v>1257</v>
          </cell>
          <cell r="T42">
            <v>886</v>
          </cell>
          <cell r="U42">
            <v>46</v>
          </cell>
          <cell r="V42">
            <v>1384</v>
          </cell>
          <cell r="W42">
            <v>0</v>
          </cell>
          <cell r="X42">
            <v>0</v>
          </cell>
          <cell r="AA42">
            <v>146427</v>
          </cell>
          <cell r="AD42">
            <v>0.52682223906793146</v>
          </cell>
        </row>
        <row r="44">
          <cell r="G44">
            <v>2922</v>
          </cell>
          <cell r="H44">
            <v>3863</v>
          </cell>
          <cell r="I44">
            <v>32411</v>
          </cell>
          <cell r="J44">
            <v>0</v>
          </cell>
          <cell r="K44">
            <v>9841</v>
          </cell>
          <cell r="L44">
            <v>3461</v>
          </cell>
          <cell r="M44">
            <v>20091</v>
          </cell>
          <cell r="N44">
            <v>12556</v>
          </cell>
          <cell r="O44">
            <v>9408</v>
          </cell>
          <cell r="P44">
            <v>13149</v>
          </cell>
          <cell r="Q44">
            <v>143</v>
          </cell>
          <cell r="R44">
            <v>8612</v>
          </cell>
          <cell r="S44">
            <v>381</v>
          </cell>
          <cell r="T44">
            <v>334</v>
          </cell>
          <cell r="U44">
            <v>151</v>
          </cell>
          <cell r="V44">
            <v>504</v>
          </cell>
          <cell r="W44">
            <v>146</v>
          </cell>
          <cell r="AA44">
            <v>221609</v>
          </cell>
          <cell r="AD44">
            <v>0.53234751296201865</v>
          </cell>
        </row>
        <row r="45">
          <cell r="G45">
            <v>0</v>
          </cell>
          <cell r="H45">
            <v>10</v>
          </cell>
          <cell r="I45">
            <v>2173</v>
          </cell>
          <cell r="J45">
            <v>0</v>
          </cell>
          <cell r="K45">
            <v>23</v>
          </cell>
          <cell r="L45">
            <v>7</v>
          </cell>
          <cell r="M45">
            <v>2377</v>
          </cell>
          <cell r="N45">
            <v>1881</v>
          </cell>
          <cell r="O45">
            <v>41</v>
          </cell>
          <cell r="P45">
            <v>704</v>
          </cell>
          <cell r="Q45">
            <v>38</v>
          </cell>
          <cell r="R45">
            <v>7673</v>
          </cell>
          <cell r="S45">
            <v>1429</v>
          </cell>
          <cell r="T45">
            <v>1079</v>
          </cell>
          <cell r="U45">
            <v>18</v>
          </cell>
          <cell r="V45">
            <v>1536</v>
          </cell>
          <cell r="W45">
            <v>7</v>
          </cell>
          <cell r="X45">
            <v>0</v>
          </cell>
          <cell r="AA45">
            <v>18996</v>
          </cell>
          <cell r="AD45">
            <v>1</v>
          </cell>
        </row>
        <row r="46">
          <cell r="G46">
            <v>2922</v>
          </cell>
          <cell r="H46">
            <v>3873</v>
          </cell>
          <cell r="I46">
            <v>34584</v>
          </cell>
          <cell r="J46">
            <v>0</v>
          </cell>
          <cell r="K46">
            <v>9864</v>
          </cell>
          <cell r="L46">
            <v>3468</v>
          </cell>
          <cell r="M46">
            <v>22468</v>
          </cell>
          <cell r="N46">
            <v>14437</v>
          </cell>
          <cell r="O46">
            <v>9449</v>
          </cell>
          <cell r="P46">
            <v>13853</v>
          </cell>
          <cell r="Q46">
            <v>181</v>
          </cell>
          <cell r="R46">
            <v>16285</v>
          </cell>
          <cell r="S46">
            <v>1810</v>
          </cell>
          <cell r="T46">
            <v>1413</v>
          </cell>
          <cell r="U46">
            <v>169</v>
          </cell>
          <cell r="V46">
            <v>2040</v>
          </cell>
          <cell r="W46">
            <v>153</v>
          </cell>
          <cell r="X46">
            <v>0</v>
          </cell>
          <cell r="AA46">
            <v>240605</v>
          </cell>
          <cell r="AD46">
            <v>0.5692691340578957</v>
          </cell>
        </row>
        <row r="49">
          <cell r="A49" t="str">
            <v>USAC463</v>
          </cell>
          <cell r="B49" t="str">
            <v>USAC</v>
          </cell>
          <cell r="C49">
            <v>46</v>
          </cell>
          <cell r="D49">
            <v>3</v>
          </cell>
          <cell r="E49" t="str">
            <v xml:space="preserve">Upper Sacramento River </v>
          </cell>
          <cell r="F49" t="str">
            <v>Fall</v>
          </cell>
          <cell r="G49">
            <v>0</v>
          </cell>
          <cell r="H49">
            <v>0</v>
          </cell>
          <cell r="I49">
            <v>5801</v>
          </cell>
          <cell r="J49">
            <v>0</v>
          </cell>
          <cell r="K49">
            <v>13</v>
          </cell>
          <cell r="L49">
            <v>0</v>
          </cell>
          <cell r="M49">
            <v>52</v>
          </cell>
          <cell r="N49">
            <v>52</v>
          </cell>
          <cell r="O49">
            <v>0</v>
          </cell>
          <cell r="P49">
            <v>0</v>
          </cell>
          <cell r="Q49">
            <v>0</v>
          </cell>
          <cell r="R49">
            <v>0</v>
          </cell>
          <cell r="S49">
            <v>0</v>
          </cell>
          <cell r="T49">
            <v>0</v>
          </cell>
          <cell r="U49">
            <v>0</v>
          </cell>
          <cell r="V49">
            <v>0</v>
          </cell>
          <cell r="W49">
            <v>0</v>
          </cell>
          <cell r="X49">
            <v>0</v>
          </cell>
          <cell r="AA49">
            <v>10809</v>
          </cell>
          <cell r="AD49">
            <v>0.54800000000000004</v>
          </cell>
        </row>
        <row r="50">
          <cell r="A50" t="str">
            <v>LSAC463</v>
          </cell>
          <cell r="B50" t="str">
            <v>LSAC</v>
          </cell>
          <cell r="C50">
            <v>46</v>
          </cell>
          <cell r="D50">
            <v>3</v>
          </cell>
          <cell r="E50" t="str">
            <v xml:space="preserve">Lower Sacramento River </v>
          </cell>
          <cell r="F50" t="str">
            <v>Fall</v>
          </cell>
          <cell r="G50">
            <v>27</v>
          </cell>
          <cell r="H50">
            <v>167</v>
          </cell>
          <cell r="I50">
            <v>432</v>
          </cell>
          <cell r="J50">
            <v>0</v>
          </cell>
          <cell r="K50">
            <v>0</v>
          </cell>
          <cell r="L50">
            <v>27</v>
          </cell>
          <cell r="M50">
            <v>430</v>
          </cell>
          <cell r="N50">
            <v>1193</v>
          </cell>
          <cell r="O50">
            <v>431</v>
          </cell>
          <cell r="P50">
            <v>972</v>
          </cell>
          <cell r="Q50">
            <v>0</v>
          </cell>
          <cell r="R50">
            <v>1186</v>
          </cell>
          <cell r="S50">
            <v>0</v>
          </cell>
          <cell r="T50">
            <v>82</v>
          </cell>
          <cell r="U50">
            <v>0</v>
          </cell>
          <cell r="V50">
            <v>0</v>
          </cell>
          <cell r="W50">
            <v>0</v>
          </cell>
          <cell r="X50">
            <v>0</v>
          </cell>
          <cell r="AA50">
            <v>7426</v>
          </cell>
          <cell r="AD50">
            <v>0.66600000000000004</v>
          </cell>
        </row>
        <row r="51">
          <cell r="A51" t="str">
            <v>FEA463</v>
          </cell>
          <cell r="B51" t="str">
            <v>FEA</v>
          </cell>
          <cell r="C51">
            <v>46</v>
          </cell>
          <cell r="D51">
            <v>3</v>
          </cell>
          <cell r="E51" t="str">
            <v xml:space="preserve">Feather River </v>
          </cell>
          <cell r="F51" t="str">
            <v>Fall</v>
          </cell>
          <cell r="G51">
            <v>0</v>
          </cell>
          <cell r="H51">
            <v>0</v>
          </cell>
          <cell r="I51">
            <v>105</v>
          </cell>
          <cell r="J51">
            <v>0</v>
          </cell>
          <cell r="K51">
            <v>513</v>
          </cell>
          <cell r="L51">
            <v>300</v>
          </cell>
          <cell r="M51">
            <v>2831</v>
          </cell>
          <cell r="N51">
            <v>2309</v>
          </cell>
          <cell r="O51">
            <v>0</v>
          </cell>
          <cell r="P51">
            <v>52</v>
          </cell>
          <cell r="Q51">
            <v>0</v>
          </cell>
          <cell r="R51">
            <v>0</v>
          </cell>
          <cell r="S51">
            <v>40</v>
          </cell>
          <cell r="T51">
            <v>0</v>
          </cell>
          <cell r="U51">
            <v>0</v>
          </cell>
          <cell r="V51">
            <v>60</v>
          </cell>
          <cell r="W51">
            <v>0</v>
          </cell>
          <cell r="X51">
            <v>0</v>
          </cell>
          <cell r="AA51">
            <v>10095</v>
          </cell>
          <cell r="AD51">
            <v>0.61499999999999999</v>
          </cell>
        </row>
        <row r="52">
          <cell r="A52" t="str">
            <v>AMN463</v>
          </cell>
          <cell r="B52" t="str">
            <v>AMN</v>
          </cell>
          <cell r="C52">
            <v>46</v>
          </cell>
          <cell r="D52">
            <v>3</v>
          </cell>
          <cell r="E52" t="str">
            <v xml:space="preserve">American River </v>
          </cell>
          <cell r="F52" t="str">
            <v>Fall</v>
          </cell>
          <cell r="G52">
            <v>0</v>
          </cell>
          <cell r="H52">
            <v>0</v>
          </cell>
          <cell r="I52">
            <v>0</v>
          </cell>
          <cell r="J52">
            <v>0</v>
          </cell>
          <cell r="K52">
            <v>0</v>
          </cell>
          <cell r="L52">
            <v>0</v>
          </cell>
          <cell r="M52">
            <v>63</v>
          </cell>
          <cell r="N52">
            <v>212</v>
          </cell>
          <cell r="O52">
            <v>282</v>
          </cell>
          <cell r="P52">
            <v>212</v>
          </cell>
          <cell r="Q52">
            <v>0</v>
          </cell>
          <cell r="R52">
            <v>354</v>
          </cell>
          <cell r="S52">
            <v>54</v>
          </cell>
          <cell r="T52">
            <v>0</v>
          </cell>
          <cell r="U52">
            <v>0</v>
          </cell>
          <cell r="V52">
            <v>0</v>
          </cell>
          <cell r="W52">
            <v>0</v>
          </cell>
          <cell r="X52">
            <v>0</v>
          </cell>
          <cell r="AA52">
            <v>1828</v>
          </cell>
          <cell r="AD52">
            <v>0.64400000000000002</v>
          </cell>
        </row>
        <row r="53">
          <cell r="A53" t="str">
            <v>MOKE463</v>
          </cell>
          <cell r="B53" t="str">
            <v>MOKE</v>
          </cell>
          <cell r="C53">
            <v>46</v>
          </cell>
          <cell r="D53">
            <v>3</v>
          </cell>
          <cell r="E53" t="str">
            <v>Mokelumne River</v>
          </cell>
          <cell r="F53" t="str">
            <v>Fall</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AA53">
            <v>0</v>
          </cell>
          <cell r="AD53">
            <v>0</v>
          </cell>
        </row>
        <row r="54">
          <cell r="A54" t="str">
            <v>USAC467</v>
          </cell>
          <cell r="B54" t="str">
            <v>USAC</v>
          </cell>
          <cell r="C54">
            <v>46</v>
          </cell>
          <cell r="D54">
            <v>7</v>
          </cell>
          <cell r="E54" t="str">
            <v xml:space="preserve">Upper Sacramento River </v>
          </cell>
          <cell r="G54">
            <v>7</v>
          </cell>
          <cell r="H54">
            <v>142</v>
          </cell>
          <cell r="I54">
            <v>28</v>
          </cell>
          <cell r="J54">
            <v>0</v>
          </cell>
          <cell r="K54">
            <v>0</v>
          </cell>
          <cell r="L54">
            <v>0</v>
          </cell>
          <cell r="M54">
            <v>0</v>
          </cell>
          <cell r="N54">
            <v>0</v>
          </cell>
          <cell r="O54">
            <v>0</v>
          </cell>
          <cell r="P54">
            <v>0</v>
          </cell>
          <cell r="Q54">
            <v>0</v>
          </cell>
          <cell r="R54">
            <v>0</v>
          </cell>
          <cell r="S54">
            <v>0</v>
          </cell>
          <cell r="T54">
            <v>7</v>
          </cell>
          <cell r="U54">
            <v>0</v>
          </cell>
          <cell r="V54">
            <v>0</v>
          </cell>
          <cell r="W54">
            <v>0</v>
          </cell>
          <cell r="X54">
            <v>0</v>
          </cell>
          <cell r="AA54">
            <v>336</v>
          </cell>
          <cell r="AD54">
            <v>0.54800000000000004</v>
          </cell>
        </row>
        <row r="55">
          <cell r="G55">
            <v>34</v>
          </cell>
          <cell r="H55">
            <v>309</v>
          </cell>
          <cell r="I55">
            <v>6366</v>
          </cell>
          <cell r="J55">
            <v>0</v>
          </cell>
          <cell r="K55">
            <v>526</v>
          </cell>
          <cell r="L55">
            <v>327</v>
          </cell>
          <cell r="M55">
            <v>3376</v>
          </cell>
          <cell r="N55">
            <v>3766</v>
          </cell>
          <cell r="O55">
            <v>713</v>
          </cell>
          <cell r="P55">
            <v>1236</v>
          </cell>
          <cell r="Q55">
            <v>0</v>
          </cell>
          <cell r="R55">
            <v>1540</v>
          </cell>
          <cell r="S55">
            <v>94</v>
          </cell>
          <cell r="T55">
            <v>89</v>
          </cell>
          <cell r="U55">
            <v>0</v>
          </cell>
          <cell r="V55">
            <v>60</v>
          </cell>
          <cell r="W55">
            <v>0</v>
          </cell>
          <cell r="X55">
            <v>0</v>
          </cell>
          <cell r="AA55">
            <v>30494</v>
          </cell>
          <cell r="AD55">
            <v>0.60457794976060864</v>
          </cell>
        </row>
      </sheetData>
      <sheetData sheetId="2" refreshError="1"/>
      <sheetData sheetId="3" refreshError="1"/>
      <sheetData sheetId="4">
        <row r="2">
          <cell r="G2" t="str">
            <v>sacw</v>
          </cell>
          <cell r="H2" t="str">
            <v>cfhl</v>
          </cell>
          <cell r="I2" t="str">
            <v>cfhf</v>
          </cell>
          <cell r="J2" t="str">
            <v>cfhfn</v>
          </cell>
          <cell r="K2" t="str">
            <v>frhs</v>
          </cell>
          <cell r="L2" t="str">
            <v>frhf</v>
          </cell>
          <cell r="M2" t="str">
            <v>frhfn</v>
          </cell>
          <cell r="N2" t="str">
            <v>frhfgg</v>
          </cell>
          <cell r="O2" t="str">
            <v>nimf</v>
          </cell>
          <cell r="P2" t="str">
            <v>nimfn</v>
          </cell>
          <cell r="Q2" t="str">
            <v>mokf</v>
          </cell>
          <cell r="R2" t="str">
            <v>mokfn</v>
          </cell>
          <cell r="S2" t="str">
            <v>mokfnc</v>
          </cell>
          <cell r="T2" t="str">
            <v>mokfgg</v>
          </cell>
          <cell r="U2" t="str">
            <v>merf</v>
          </cell>
          <cell r="V2" t="str">
            <v>merfn</v>
          </cell>
          <cell r="W2" t="str">
            <v>sjosx</v>
          </cell>
          <cell r="X2" t="str">
            <v>noncv</v>
          </cell>
        </row>
        <row r="3">
          <cell r="G3">
            <v>0</v>
          </cell>
          <cell r="H3">
            <v>0</v>
          </cell>
          <cell r="I3">
            <v>12789</v>
          </cell>
          <cell r="J3">
            <v>0</v>
          </cell>
          <cell r="K3">
            <v>0</v>
          </cell>
          <cell r="L3">
            <v>2</v>
          </cell>
          <cell r="M3">
            <v>8</v>
          </cell>
          <cell r="N3">
            <v>4</v>
          </cell>
          <cell r="O3">
            <v>0</v>
          </cell>
          <cell r="P3">
            <v>0</v>
          </cell>
          <cell r="Q3">
            <v>0</v>
          </cell>
          <cell r="R3">
            <v>0</v>
          </cell>
          <cell r="S3">
            <v>2</v>
          </cell>
          <cell r="T3">
            <v>0</v>
          </cell>
          <cell r="U3">
            <v>0</v>
          </cell>
          <cell r="V3">
            <v>0</v>
          </cell>
          <cell r="W3">
            <v>0</v>
          </cell>
          <cell r="X3">
            <v>0</v>
          </cell>
          <cell r="Y3">
            <v>12805</v>
          </cell>
          <cell r="Z3">
            <v>1464</v>
          </cell>
          <cell r="AA3">
            <v>14269</v>
          </cell>
          <cell r="AB3">
            <v>0.89700000000000002</v>
          </cell>
          <cell r="AC3" t="str">
            <v>CNFH503</v>
          </cell>
        </row>
        <row r="4">
          <cell r="G4">
            <v>95</v>
          </cell>
          <cell r="H4">
            <v>0</v>
          </cell>
          <cell r="I4">
            <v>0</v>
          </cell>
          <cell r="J4">
            <v>0</v>
          </cell>
          <cell r="K4">
            <v>0</v>
          </cell>
          <cell r="L4">
            <v>0</v>
          </cell>
          <cell r="M4">
            <v>0</v>
          </cell>
          <cell r="N4">
            <v>0</v>
          </cell>
          <cell r="O4">
            <v>0</v>
          </cell>
          <cell r="P4">
            <v>0</v>
          </cell>
          <cell r="Q4">
            <v>0</v>
          </cell>
          <cell r="R4">
            <v>0</v>
          </cell>
          <cell r="S4">
            <v>0</v>
          </cell>
          <cell r="T4">
            <v>0</v>
          </cell>
          <cell r="U4">
            <v>0</v>
          </cell>
          <cell r="V4">
            <v>0</v>
          </cell>
          <cell r="W4">
            <v>0</v>
          </cell>
          <cell r="X4">
            <v>0</v>
          </cell>
          <cell r="Y4">
            <v>95</v>
          </cell>
          <cell r="Z4">
            <v>0</v>
          </cell>
          <cell r="AA4">
            <v>95</v>
          </cell>
          <cell r="AB4">
            <v>1</v>
          </cell>
          <cell r="AC4" t="str">
            <v>CNFH504</v>
          </cell>
        </row>
        <row r="5">
          <cell r="G5">
            <v>0</v>
          </cell>
          <cell r="H5">
            <v>3315</v>
          </cell>
          <cell r="I5">
            <v>0</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3315</v>
          </cell>
          <cell r="Z5">
            <v>76</v>
          </cell>
          <cell r="AA5">
            <v>3391</v>
          </cell>
          <cell r="AB5">
            <v>0.97799999999999998</v>
          </cell>
          <cell r="AC5" t="str">
            <v>CNFH507</v>
          </cell>
        </row>
        <row r="6">
          <cell r="G6">
            <v>111</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111</v>
          </cell>
          <cell r="Z6">
            <v>69</v>
          </cell>
          <cell r="AA6">
            <v>180</v>
          </cell>
          <cell r="AB6">
            <v>0.61699999999999999</v>
          </cell>
          <cell r="AC6" t="str">
            <v>KESW504</v>
          </cell>
        </row>
        <row r="7">
          <cell r="G7">
            <v>0</v>
          </cell>
          <cell r="H7">
            <v>17</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17</v>
          </cell>
          <cell r="Z7">
            <v>6</v>
          </cell>
          <cell r="AA7">
            <v>23</v>
          </cell>
          <cell r="AB7">
            <v>0.73899999999999999</v>
          </cell>
          <cell r="AC7" t="str">
            <v>KESW507</v>
          </cell>
        </row>
        <row r="8">
          <cell r="G8">
            <v>0</v>
          </cell>
          <cell r="H8">
            <v>0</v>
          </cell>
          <cell r="I8">
            <v>0</v>
          </cell>
          <cell r="J8">
            <v>0</v>
          </cell>
          <cell r="K8">
            <v>3643</v>
          </cell>
          <cell r="L8">
            <v>0</v>
          </cell>
          <cell r="M8">
            <v>13</v>
          </cell>
          <cell r="N8">
            <v>4</v>
          </cell>
          <cell r="O8">
            <v>0</v>
          </cell>
          <cell r="P8">
            <v>0</v>
          </cell>
          <cell r="Q8">
            <v>0</v>
          </cell>
          <cell r="R8">
            <v>0</v>
          </cell>
          <cell r="S8">
            <v>0</v>
          </cell>
          <cell r="T8">
            <v>0</v>
          </cell>
          <cell r="U8">
            <v>0</v>
          </cell>
          <cell r="V8">
            <v>0</v>
          </cell>
          <cell r="W8">
            <v>2</v>
          </cell>
          <cell r="X8">
            <v>0</v>
          </cell>
          <cell r="Y8">
            <v>3662</v>
          </cell>
          <cell r="Z8">
            <v>205</v>
          </cell>
          <cell r="AA8">
            <v>3867</v>
          </cell>
          <cell r="AB8">
            <v>0.94699999999999995</v>
          </cell>
          <cell r="AC8" t="str">
            <v>FRFH501</v>
          </cell>
        </row>
        <row r="9">
          <cell r="G9">
            <v>0</v>
          </cell>
          <cell r="H9">
            <v>1</v>
          </cell>
          <cell r="I9">
            <v>32</v>
          </cell>
          <cell r="J9">
            <v>0</v>
          </cell>
          <cell r="K9">
            <v>2656</v>
          </cell>
          <cell r="L9">
            <v>1293</v>
          </cell>
          <cell r="M9">
            <v>8842</v>
          </cell>
          <cell r="N9">
            <v>5453</v>
          </cell>
          <cell r="O9">
            <v>0</v>
          </cell>
          <cell r="P9">
            <v>20</v>
          </cell>
          <cell r="Q9">
            <v>0</v>
          </cell>
          <cell r="R9">
            <v>24</v>
          </cell>
          <cell r="S9">
            <v>64</v>
          </cell>
          <cell r="T9">
            <v>7</v>
          </cell>
          <cell r="U9">
            <v>0</v>
          </cell>
          <cell r="V9">
            <v>95</v>
          </cell>
          <cell r="W9">
            <v>5</v>
          </cell>
          <cell r="X9">
            <v>0</v>
          </cell>
          <cell r="Y9">
            <v>18492</v>
          </cell>
          <cell r="Z9">
            <v>8611</v>
          </cell>
          <cell r="AA9">
            <v>27103</v>
          </cell>
          <cell r="AB9">
            <v>0.68200000000000005</v>
          </cell>
          <cell r="AC9" t="str">
            <v>FRFH503</v>
          </cell>
        </row>
        <row r="10">
          <cell r="G10">
            <v>0</v>
          </cell>
          <cell r="H10">
            <v>0</v>
          </cell>
          <cell r="I10">
            <v>0</v>
          </cell>
          <cell r="J10">
            <v>0</v>
          </cell>
          <cell r="K10">
            <v>0</v>
          </cell>
          <cell r="L10">
            <v>1</v>
          </cell>
          <cell r="M10">
            <v>390</v>
          </cell>
          <cell r="N10">
            <v>366</v>
          </cell>
          <cell r="O10">
            <v>2845</v>
          </cell>
          <cell r="P10">
            <v>3826</v>
          </cell>
          <cell r="Q10">
            <v>17</v>
          </cell>
          <cell r="R10">
            <v>1806</v>
          </cell>
          <cell r="S10">
            <v>192</v>
          </cell>
          <cell r="T10">
            <v>294</v>
          </cell>
          <cell r="U10">
            <v>0</v>
          </cell>
          <cell r="V10">
            <v>86</v>
          </cell>
          <cell r="W10">
            <v>0</v>
          </cell>
          <cell r="X10">
            <v>0</v>
          </cell>
          <cell r="Y10">
            <v>9823</v>
          </cell>
          <cell r="Z10">
            <v>1473</v>
          </cell>
          <cell r="AA10">
            <v>11296</v>
          </cell>
          <cell r="AB10">
            <v>0.87</v>
          </cell>
          <cell r="AC10" t="str">
            <v>NBFH503</v>
          </cell>
        </row>
        <row r="11">
          <cell r="G11">
            <v>0</v>
          </cell>
          <cell r="H11">
            <v>1</v>
          </cell>
          <cell r="I11">
            <v>0</v>
          </cell>
          <cell r="J11">
            <v>0</v>
          </cell>
          <cell r="K11">
            <v>0</v>
          </cell>
          <cell r="L11">
            <v>1</v>
          </cell>
          <cell r="M11">
            <v>157</v>
          </cell>
          <cell r="N11">
            <v>125</v>
          </cell>
          <cell r="O11">
            <v>0</v>
          </cell>
          <cell r="P11">
            <v>253</v>
          </cell>
          <cell r="Q11">
            <v>110</v>
          </cell>
          <cell r="R11">
            <v>6220</v>
          </cell>
          <cell r="S11">
            <v>281</v>
          </cell>
          <cell r="T11">
            <v>218</v>
          </cell>
          <cell r="U11">
            <v>6</v>
          </cell>
          <cell r="V11">
            <v>227</v>
          </cell>
          <cell r="W11">
            <v>0</v>
          </cell>
          <cell r="X11">
            <v>0</v>
          </cell>
          <cell r="Y11">
            <v>7599</v>
          </cell>
          <cell r="Z11">
            <v>904</v>
          </cell>
          <cell r="AA11">
            <v>8503</v>
          </cell>
          <cell r="AB11">
            <v>0.89400000000000002</v>
          </cell>
          <cell r="AC11" t="str">
            <v>MRFI503</v>
          </cell>
        </row>
        <row r="12">
          <cell r="G12">
            <v>0</v>
          </cell>
          <cell r="H12">
            <v>0</v>
          </cell>
          <cell r="I12">
            <v>0</v>
          </cell>
          <cell r="J12">
            <v>0</v>
          </cell>
          <cell r="K12">
            <v>0</v>
          </cell>
          <cell r="L12">
            <v>0</v>
          </cell>
          <cell r="M12">
            <v>8</v>
          </cell>
          <cell r="N12">
            <v>29</v>
          </cell>
          <cell r="O12">
            <v>0</v>
          </cell>
          <cell r="P12">
            <v>8</v>
          </cell>
          <cell r="Q12">
            <v>0</v>
          </cell>
          <cell r="R12">
            <v>84</v>
          </cell>
          <cell r="S12">
            <v>14</v>
          </cell>
          <cell r="T12">
            <v>8</v>
          </cell>
          <cell r="U12">
            <v>117</v>
          </cell>
          <cell r="V12">
            <v>248</v>
          </cell>
          <cell r="W12">
            <v>0</v>
          </cell>
          <cell r="X12">
            <v>0</v>
          </cell>
          <cell r="Y12">
            <v>516</v>
          </cell>
          <cell r="Z12">
            <v>451</v>
          </cell>
          <cell r="AA12">
            <v>967</v>
          </cell>
          <cell r="AB12">
            <v>0.53400000000000003</v>
          </cell>
          <cell r="AC12" t="str">
            <v>MRFF503</v>
          </cell>
        </row>
        <row r="13">
          <cell r="G13">
            <v>4</v>
          </cell>
          <cell r="H13">
            <v>356</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360</v>
          </cell>
          <cell r="Z13">
            <v>5</v>
          </cell>
          <cell r="AA13">
            <v>365</v>
          </cell>
          <cell r="AB13">
            <v>0.98599999999999999</v>
          </cell>
          <cell r="AC13" t="str">
            <v>CNFW527</v>
          </cell>
        </row>
        <row r="14">
          <cell r="G14">
            <v>0</v>
          </cell>
          <cell r="H14">
            <v>0</v>
          </cell>
          <cell r="I14">
            <v>18722</v>
          </cell>
          <cell r="J14">
            <v>0</v>
          </cell>
          <cell r="K14">
            <v>0</v>
          </cell>
          <cell r="L14">
            <v>3</v>
          </cell>
          <cell r="M14">
            <v>12</v>
          </cell>
          <cell r="N14">
            <v>6</v>
          </cell>
          <cell r="O14">
            <v>0</v>
          </cell>
          <cell r="P14">
            <v>0</v>
          </cell>
          <cell r="Q14">
            <v>0</v>
          </cell>
          <cell r="R14">
            <v>0</v>
          </cell>
          <cell r="S14">
            <v>3</v>
          </cell>
          <cell r="T14">
            <v>0</v>
          </cell>
          <cell r="U14">
            <v>0</v>
          </cell>
          <cell r="V14">
            <v>0</v>
          </cell>
          <cell r="W14">
            <v>0</v>
          </cell>
          <cell r="X14">
            <v>0</v>
          </cell>
          <cell r="Y14">
            <v>18746</v>
          </cell>
          <cell r="Z14">
            <v>2129</v>
          </cell>
          <cell r="AA14">
            <v>20875</v>
          </cell>
          <cell r="AB14">
            <v>0.89800000000000002</v>
          </cell>
          <cell r="AC14" t="str">
            <v>BATT543</v>
          </cell>
        </row>
        <row r="15">
          <cell r="G15">
            <v>0</v>
          </cell>
          <cell r="H15">
            <v>0</v>
          </cell>
          <cell r="I15">
            <v>831</v>
          </cell>
          <cell r="J15">
            <v>0</v>
          </cell>
          <cell r="K15">
            <v>10</v>
          </cell>
          <cell r="L15">
            <v>0</v>
          </cell>
          <cell r="M15">
            <v>39</v>
          </cell>
          <cell r="N15">
            <v>119</v>
          </cell>
          <cell r="O15">
            <v>0</v>
          </cell>
          <cell r="P15">
            <v>0</v>
          </cell>
          <cell r="Q15">
            <v>0</v>
          </cell>
          <cell r="R15">
            <v>39</v>
          </cell>
          <cell r="S15">
            <v>0</v>
          </cell>
          <cell r="T15">
            <v>10</v>
          </cell>
          <cell r="U15">
            <v>0</v>
          </cell>
          <cell r="V15">
            <v>0</v>
          </cell>
          <cell r="W15">
            <v>0</v>
          </cell>
          <cell r="X15">
            <v>0</v>
          </cell>
          <cell r="Y15">
            <v>1048</v>
          </cell>
          <cell r="Z15">
            <v>4664</v>
          </cell>
          <cell r="AA15">
            <v>5712</v>
          </cell>
          <cell r="AB15">
            <v>0.183</v>
          </cell>
          <cell r="AC15" t="str">
            <v>CLR543</v>
          </cell>
        </row>
        <row r="16">
          <cell r="AC16" t="str">
            <v>COT543</v>
          </cell>
        </row>
        <row r="17">
          <cell r="AC17" t="str">
            <v>COW543</v>
          </cell>
        </row>
        <row r="18">
          <cell r="G18">
            <v>0</v>
          </cell>
          <cell r="H18">
            <v>0</v>
          </cell>
          <cell r="I18">
            <v>1017</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1017</v>
          </cell>
          <cell r="Z18">
            <v>1506</v>
          </cell>
          <cell r="AA18">
            <v>2523</v>
          </cell>
          <cell r="AB18">
            <v>0.40300000000000002</v>
          </cell>
          <cell r="AC18" t="str">
            <v>MLC543</v>
          </cell>
        </row>
        <row r="19">
          <cell r="G19">
            <v>0</v>
          </cell>
          <cell r="H19">
            <v>0</v>
          </cell>
          <cell r="I19">
            <v>900</v>
          </cell>
          <cell r="J19">
            <v>0</v>
          </cell>
          <cell r="K19">
            <v>13</v>
          </cell>
          <cell r="L19">
            <v>0</v>
          </cell>
          <cell r="M19">
            <v>193</v>
          </cell>
          <cell r="N19">
            <v>150</v>
          </cell>
          <cell r="O19">
            <v>0</v>
          </cell>
          <cell r="P19">
            <v>0</v>
          </cell>
          <cell r="Q19">
            <v>0</v>
          </cell>
          <cell r="R19">
            <v>0</v>
          </cell>
          <cell r="S19">
            <v>13</v>
          </cell>
          <cell r="T19">
            <v>12</v>
          </cell>
          <cell r="U19">
            <v>0</v>
          </cell>
          <cell r="V19">
            <v>0</v>
          </cell>
          <cell r="W19">
            <v>0</v>
          </cell>
          <cell r="X19">
            <v>0</v>
          </cell>
          <cell r="Y19">
            <v>1281</v>
          </cell>
          <cell r="Z19">
            <v>23180</v>
          </cell>
          <cell r="AA19">
            <v>24461</v>
          </cell>
          <cell r="AB19">
            <v>5.1999999999999998E-2</v>
          </cell>
          <cell r="AC19" t="str">
            <v>USAC543</v>
          </cell>
        </row>
        <row r="20">
          <cell r="G20">
            <v>2712</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2712</v>
          </cell>
          <cell r="Z20">
            <v>5141</v>
          </cell>
          <cell r="AA20">
            <v>7853</v>
          </cell>
          <cell r="AB20">
            <v>0.34499999999999997</v>
          </cell>
          <cell r="AC20" t="str">
            <v>USAC544</v>
          </cell>
        </row>
        <row r="21">
          <cell r="G21">
            <v>0</v>
          </cell>
          <cell r="H21">
            <v>175</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175</v>
          </cell>
          <cell r="Z21">
            <v>1076</v>
          </cell>
          <cell r="AA21">
            <v>1251</v>
          </cell>
          <cell r="AB21">
            <v>0.14000000000000001</v>
          </cell>
          <cell r="AC21" t="str">
            <v>USAC547</v>
          </cell>
        </row>
        <row r="22">
          <cell r="G22">
            <v>0</v>
          </cell>
          <cell r="H22">
            <v>0</v>
          </cell>
          <cell r="I22">
            <v>245</v>
          </cell>
          <cell r="J22">
            <v>0</v>
          </cell>
          <cell r="K22">
            <v>3352</v>
          </cell>
          <cell r="L22">
            <v>2122</v>
          </cell>
          <cell r="M22">
            <v>10246</v>
          </cell>
          <cell r="N22">
            <v>6805</v>
          </cell>
          <cell r="O22">
            <v>41</v>
          </cell>
          <cell r="P22">
            <v>40</v>
          </cell>
          <cell r="Q22">
            <v>0</v>
          </cell>
          <cell r="R22">
            <v>122</v>
          </cell>
          <cell r="S22">
            <v>123</v>
          </cell>
          <cell r="T22">
            <v>41</v>
          </cell>
          <cell r="U22">
            <v>0</v>
          </cell>
          <cell r="V22">
            <v>46</v>
          </cell>
          <cell r="W22">
            <v>0</v>
          </cell>
          <cell r="X22">
            <v>0</v>
          </cell>
          <cell r="Y22">
            <v>23183</v>
          </cell>
          <cell r="Z22">
            <v>28780</v>
          </cell>
          <cell r="AA22">
            <v>51963</v>
          </cell>
          <cell r="AB22">
            <v>0.44600000000000001</v>
          </cell>
          <cell r="AC22" t="str">
            <v>FEA543</v>
          </cell>
        </row>
        <row r="23">
          <cell r="G23">
            <v>0</v>
          </cell>
          <cell r="H23">
            <v>0</v>
          </cell>
          <cell r="I23">
            <v>0</v>
          </cell>
          <cell r="J23">
            <v>0</v>
          </cell>
          <cell r="K23">
            <v>158</v>
          </cell>
          <cell r="L23">
            <v>35</v>
          </cell>
          <cell r="M23">
            <v>690</v>
          </cell>
          <cell r="N23">
            <v>209</v>
          </cell>
          <cell r="O23">
            <v>0</v>
          </cell>
          <cell r="P23">
            <v>0</v>
          </cell>
          <cell r="Q23">
            <v>0</v>
          </cell>
          <cell r="R23">
            <v>210</v>
          </cell>
          <cell r="S23">
            <v>36</v>
          </cell>
          <cell r="T23">
            <v>0</v>
          </cell>
          <cell r="U23">
            <v>0</v>
          </cell>
          <cell r="V23">
            <v>0</v>
          </cell>
          <cell r="W23">
            <v>0</v>
          </cell>
          <cell r="X23">
            <v>0</v>
          </cell>
          <cell r="Y23">
            <v>1338</v>
          </cell>
          <cell r="Z23">
            <v>1353</v>
          </cell>
          <cell r="AA23">
            <v>2691</v>
          </cell>
          <cell r="AB23">
            <v>0.497</v>
          </cell>
          <cell r="AC23" t="str">
            <v>YUBA543</v>
          </cell>
        </row>
        <row r="24">
          <cell r="G24">
            <v>0</v>
          </cell>
          <cell r="H24">
            <v>0</v>
          </cell>
          <cell r="I24">
            <v>0</v>
          </cell>
          <cell r="J24">
            <v>0</v>
          </cell>
          <cell r="K24">
            <v>32</v>
          </cell>
          <cell r="L24">
            <v>11</v>
          </cell>
          <cell r="M24">
            <v>300</v>
          </cell>
          <cell r="N24">
            <v>85</v>
          </cell>
          <cell r="O24">
            <v>0</v>
          </cell>
          <cell r="P24">
            <v>85</v>
          </cell>
          <cell r="Q24">
            <v>0</v>
          </cell>
          <cell r="R24">
            <v>0</v>
          </cell>
          <cell r="S24">
            <v>0</v>
          </cell>
          <cell r="T24">
            <v>0</v>
          </cell>
          <cell r="U24">
            <v>0</v>
          </cell>
          <cell r="V24">
            <v>0</v>
          </cell>
          <cell r="W24">
            <v>0</v>
          </cell>
          <cell r="X24">
            <v>0</v>
          </cell>
          <cell r="Y24">
            <v>513</v>
          </cell>
          <cell r="Z24">
            <v>165</v>
          </cell>
          <cell r="AA24">
            <v>678</v>
          </cell>
          <cell r="AB24">
            <v>0.75700000000000001</v>
          </cell>
          <cell r="AC24" t="str">
            <v>YUBB543</v>
          </cell>
        </row>
        <row r="25">
          <cell r="G25">
            <v>0</v>
          </cell>
          <cell r="H25">
            <v>0</v>
          </cell>
          <cell r="I25">
            <v>15</v>
          </cell>
          <cell r="J25">
            <v>0</v>
          </cell>
          <cell r="K25">
            <v>0</v>
          </cell>
          <cell r="L25">
            <v>0</v>
          </cell>
          <cell r="M25">
            <v>1421</v>
          </cell>
          <cell r="N25">
            <v>819</v>
          </cell>
          <cell r="O25">
            <v>6563</v>
          </cell>
          <cell r="P25">
            <v>9323</v>
          </cell>
          <cell r="Q25">
            <v>21</v>
          </cell>
          <cell r="R25">
            <v>4635</v>
          </cell>
          <cell r="S25">
            <v>957</v>
          </cell>
          <cell r="T25">
            <v>647</v>
          </cell>
          <cell r="U25">
            <v>12</v>
          </cell>
          <cell r="V25">
            <v>918</v>
          </cell>
          <cell r="W25">
            <v>0</v>
          </cell>
          <cell r="X25">
            <v>0</v>
          </cell>
          <cell r="Y25">
            <v>25331</v>
          </cell>
          <cell r="Z25">
            <v>1699</v>
          </cell>
          <cell r="AA25">
            <v>27030</v>
          </cell>
          <cell r="AB25">
            <v>0.93700000000000006</v>
          </cell>
          <cell r="AC25" t="str">
            <v>LARC543</v>
          </cell>
        </row>
        <row r="26">
          <cell r="G26">
            <v>0</v>
          </cell>
          <cell r="H26">
            <v>0</v>
          </cell>
          <cell r="I26">
            <v>33</v>
          </cell>
          <cell r="J26">
            <v>0</v>
          </cell>
          <cell r="K26">
            <v>0</v>
          </cell>
          <cell r="L26">
            <v>0</v>
          </cell>
          <cell r="M26">
            <v>66</v>
          </cell>
          <cell r="N26">
            <v>100</v>
          </cell>
          <cell r="O26">
            <v>0</v>
          </cell>
          <cell r="P26">
            <v>265</v>
          </cell>
          <cell r="Q26">
            <v>33</v>
          </cell>
          <cell r="R26">
            <v>2392</v>
          </cell>
          <cell r="S26">
            <v>100</v>
          </cell>
          <cell r="T26">
            <v>116</v>
          </cell>
          <cell r="U26">
            <v>0</v>
          </cell>
          <cell r="V26">
            <v>82</v>
          </cell>
          <cell r="W26">
            <v>0</v>
          </cell>
          <cell r="X26">
            <v>0</v>
          </cell>
          <cell r="Y26">
            <v>3187</v>
          </cell>
          <cell r="Z26">
            <v>1180</v>
          </cell>
          <cell r="AA26">
            <v>4367</v>
          </cell>
          <cell r="AB26">
            <v>0.73</v>
          </cell>
          <cell r="AC26" t="str">
            <v>MOKE543</v>
          </cell>
        </row>
        <row r="27">
          <cell r="G27">
            <v>0</v>
          </cell>
          <cell r="H27">
            <v>8</v>
          </cell>
          <cell r="I27">
            <v>0</v>
          </cell>
          <cell r="J27">
            <v>0</v>
          </cell>
          <cell r="K27">
            <v>0</v>
          </cell>
          <cell r="L27">
            <v>0</v>
          </cell>
          <cell r="M27">
            <v>64</v>
          </cell>
          <cell r="N27">
            <v>65</v>
          </cell>
          <cell r="O27">
            <v>0</v>
          </cell>
          <cell r="P27">
            <v>33</v>
          </cell>
          <cell r="Q27">
            <v>0</v>
          </cell>
          <cell r="R27">
            <v>551</v>
          </cell>
          <cell r="S27">
            <v>17</v>
          </cell>
          <cell r="T27">
            <v>57</v>
          </cell>
          <cell r="U27">
            <v>0</v>
          </cell>
          <cell r="V27">
            <v>23</v>
          </cell>
          <cell r="W27">
            <v>0</v>
          </cell>
          <cell r="X27">
            <v>0</v>
          </cell>
          <cell r="Y27">
            <v>818</v>
          </cell>
          <cell r="Z27">
            <v>686</v>
          </cell>
          <cell r="AA27">
            <v>1504</v>
          </cell>
          <cell r="AB27">
            <v>0.54400000000000004</v>
          </cell>
          <cell r="AC27" t="str">
            <v>STA543</v>
          </cell>
        </row>
        <row r="28">
          <cell r="G28">
            <v>0</v>
          </cell>
          <cell r="H28">
            <v>0</v>
          </cell>
          <cell r="I28">
            <v>0</v>
          </cell>
          <cell r="J28">
            <v>0</v>
          </cell>
          <cell r="K28">
            <v>0</v>
          </cell>
          <cell r="L28">
            <v>0</v>
          </cell>
          <cell r="M28">
            <v>19</v>
          </cell>
          <cell r="N28">
            <v>20</v>
          </cell>
          <cell r="O28">
            <v>0</v>
          </cell>
          <cell r="P28">
            <v>0</v>
          </cell>
          <cell r="Q28">
            <v>0</v>
          </cell>
          <cell r="R28">
            <v>47</v>
          </cell>
          <cell r="S28">
            <v>8</v>
          </cell>
          <cell r="T28">
            <v>3</v>
          </cell>
          <cell r="U28">
            <v>0</v>
          </cell>
          <cell r="V28">
            <v>59</v>
          </cell>
          <cell r="W28">
            <v>0</v>
          </cell>
          <cell r="X28">
            <v>0</v>
          </cell>
          <cell r="Y28">
            <v>156</v>
          </cell>
          <cell r="Z28">
            <v>775</v>
          </cell>
          <cell r="AA28">
            <v>931</v>
          </cell>
          <cell r="AB28">
            <v>0.16800000000000001</v>
          </cell>
          <cell r="AC28" t="str">
            <v>TUO543</v>
          </cell>
        </row>
        <row r="29">
          <cell r="G29">
            <v>0</v>
          </cell>
          <cell r="H29">
            <v>0</v>
          </cell>
          <cell r="I29">
            <v>0</v>
          </cell>
          <cell r="J29">
            <v>0</v>
          </cell>
          <cell r="K29">
            <v>0</v>
          </cell>
          <cell r="L29">
            <v>0</v>
          </cell>
          <cell r="M29">
            <v>0</v>
          </cell>
          <cell r="N29">
            <v>78</v>
          </cell>
          <cell r="O29">
            <v>0</v>
          </cell>
          <cell r="P29">
            <v>0</v>
          </cell>
          <cell r="Q29">
            <v>0</v>
          </cell>
          <cell r="R29">
            <v>155</v>
          </cell>
          <cell r="S29">
            <v>0</v>
          </cell>
          <cell r="T29">
            <v>0</v>
          </cell>
          <cell r="U29">
            <v>34</v>
          </cell>
          <cell r="V29">
            <v>256</v>
          </cell>
          <cell r="W29">
            <v>0</v>
          </cell>
          <cell r="X29">
            <v>0</v>
          </cell>
          <cell r="Y29">
            <v>523</v>
          </cell>
          <cell r="Z29">
            <v>1688</v>
          </cell>
          <cell r="AA29">
            <v>2211</v>
          </cell>
          <cell r="AB29">
            <v>0.23699999999999999</v>
          </cell>
          <cell r="AC29" t="str">
            <v>MER543</v>
          </cell>
        </row>
        <row r="30">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146</v>
          </cell>
          <cell r="X30">
            <v>0</v>
          </cell>
          <cell r="Y30">
            <v>146</v>
          </cell>
          <cell r="Z30">
            <v>9</v>
          </cell>
          <cell r="AA30">
            <v>155</v>
          </cell>
          <cell r="AB30">
            <v>0.94199999999999995</v>
          </cell>
          <cell r="AC30" t="str">
            <v>UPSJ541</v>
          </cell>
        </row>
        <row r="31">
          <cell r="G31">
            <v>27</v>
          </cell>
          <cell r="H31">
            <v>167</v>
          </cell>
          <cell r="I31">
            <v>432</v>
          </cell>
          <cell r="J31">
            <v>0</v>
          </cell>
          <cell r="K31">
            <v>0</v>
          </cell>
          <cell r="L31">
            <v>27</v>
          </cell>
          <cell r="M31">
            <v>430</v>
          </cell>
          <cell r="N31">
            <v>1193</v>
          </cell>
          <cell r="O31">
            <v>431</v>
          </cell>
          <cell r="P31">
            <v>972</v>
          </cell>
          <cell r="Q31">
            <v>0</v>
          </cell>
          <cell r="R31">
            <v>1186</v>
          </cell>
          <cell r="S31">
            <v>0</v>
          </cell>
          <cell r="T31">
            <v>82</v>
          </cell>
          <cell r="U31">
            <v>0</v>
          </cell>
          <cell r="V31">
            <v>0</v>
          </cell>
          <cell r="W31">
            <v>0</v>
          </cell>
          <cell r="X31">
            <v>0</v>
          </cell>
          <cell r="Y31">
            <v>4947</v>
          </cell>
          <cell r="Z31">
            <v>2479</v>
          </cell>
          <cell r="AA31">
            <v>7426</v>
          </cell>
          <cell r="AB31">
            <v>0.66600000000000004</v>
          </cell>
          <cell r="AC31" t="str">
            <v>LSAC463</v>
          </cell>
        </row>
        <row r="32">
          <cell r="G32">
            <v>0</v>
          </cell>
          <cell r="H32">
            <v>0</v>
          </cell>
          <cell r="I32">
            <v>5801</v>
          </cell>
          <cell r="J32">
            <v>0</v>
          </cell>
          <cell r="K32">
            <v>13</v>
          </cell>
          <cell r="L32">
            <v>0</v>
          </cell>
          <cell r="M32">
            <v>52</v>
          </cell>
          <cell r="N32">
            <v>52</v>
          </cell>
          <cell r="O32">
            <v>0</v>
          </cell>
          <cell r="P32">
            <v>0</v>
          </cell>
          <cell r="Q32">
            <v>0</v>
          </cell>
          <cell r="R32">
            <v>0</v>
          </cell>
          <cell r="S32">
            <v>0</v>
          </cell>
          <cell r="T32">
            <v>0</v>
          </cell>
          <cell r="U32">
            <v>0</v>
          </cell>
          <cell r="V32">
            <v>0</v>
          </cell>
          <cell r="W32">
            <v>0</v>
          </cell>
          <cell r="X32">
            <v>0</v>
          </cell>
          <cell r="Y32">
            <v>5918</v>
          </cell>
          <cell r="Z32">
            <v>4891</v>
          </cell>
          <cell r="AA32">
            <v>10809</v>
          </cell>
          <cell r="AB32">
            <v>0.54800000000000004</v>
          </cell>
          <cell r="AC32" t="str">
            <v>USAC463</v>
          </cell>
        </row>
        <row r="33">
          <cell r="G33">
            <v>7</v>
          </cell>
          <cell r="H33">
            <v>142</v>
          </cell>
          <cell r="I33">
            <v>28</v>
          </cell>
          <cell r="J33">
            <v>0</v>
          </cell>
          <cell r="K33">
            <v>0</v>
          </cell>
          <cell r="L33">
            <v>0</v>
          </cell>
          <cell r="M33">
            <v>0</v>
          </cell>
          <cell r="N33">
            <v>0</v>
          </cell>
          <cell r="O33">
            <v>0</v>
          </cell>
          <cell r="P33">
            <v>0</v>
          </cell>
          <cell r="Q33">
            <v>0</v>
          </cell>
          <cell r="R33">
            <v>0</v>
          </cell>
          <cell r="S33">
            <v>0</v>
          </cell>
          <cell r="T33">
            <v>7</v>
          </cell>
          <cell r="U33">
            <v>0</v>
          </cell>
          <cell r="V33">
            <v>0</v>
          </cell>
          <cell r="W33">
            <v>0</v>
          </cell>
          <cell r="X33">
            <v>0</v>
          </cell>
          <cell r="Y33">
            <v>184</v>
          </cell>
          <cell r="Z33">
            <v>152</v>
          </cell>
          <cell r="AA33">
            <v>336</v>
          </cell>
          <cell r="AB33">
            <v>0.54800000000000004</v>
          </cell>
          <cell r="AC33" t="str">
            <v>USAC467</v>
          </cell>
        </row>
        <row r="34">
          <cell r="G34">
            <v>0</v>
          </cell>
          <cell r="H34">
            <v>0</v>
          </cell>
          <cell r="I34">
            <v>105</v>
          </cell>
          <cell r="J34">
            <v>0</v>
          </cell>
          <cell r="K34">
            <v>513</v>
          </cell>
          <cell r="L34">
            <v>300</v>
          </cell>
          <cell r="M34">
            <v>2831</v>
          </cell>
          <cell r="N34">
            <v>2309</v>
          </cell>
          <cell r="O34">
            <v>0</v>
          </cell>
          <cell r="P34">
            <v>52</v>
          </cell>
          <cell r="Q34">
            <v>0</v>
          </cell>
          <cell r="R34">
            <v>0</v>
          </cell>
          <cell r="S34">
            <v>40</v>
          </cell>
          <cell r="T34">
            <v>0</v>
          </cell>
          <cell r="U34">
            <v>0</v>
          </cell>
          <cell r="V34">
            <v>60</v>
          </cell>
          <cell r="W34">
            <v>0</v>
          </cell>
          <cell r="X34">
            <v>0</v>
          </cell>
          <cell r="Y34">
            <v>6210</v>
          </cell>
          <cell r="Z34">
            <v>3885</v>
          </cell>
          <cell r="AA34">
            <v>10095</v>
          </cell>
          <cell r="AB34">
            <v>0.61499999999999999</v>
          </cell>
          <cell r="AC34" t="str">
            <v>FEA463</v>
          </cell>
        </row>
        <row r="35">
          <cell r="G35">
            <v>0</v>
          </cell>
          <cell r="H35">
            <v>0</v>
          </cell>
          <cell r="I35">
            <v>0</v>
          </cell>
          <cell r="J35">
            <v>0</v>
          </cell>
          <cell r="K35">
            <v>0</v>
          </cell>
          <cell r="L35">
            <v>0</v>
          </cell>
          <cell r="M35">
            <v>63</v>
          </cell>
          <cell r="N35">
            <v>212</v>
          </cell>
          <cell r="O35">
            <v>282</v>
          </cell>
          <cell r="P35">
            <v>212</v>
          </cell>
          <cell r="Q35">
            <v>0</v>
          </cell>
          <cell r="R35">
            <v>354</v>
          </cell>
          <cell r="S35">
            <v>54</v>
          </cell>
          <cell r="T35">
            <v>0</v>
          </cell>
          <cell r="U35">
            <v>0</v>
          </cell>
          <cell r="V35">
            <v>0</v>
          </cell>
          <cell r="W35">
            <v>0</v>
          </cell>
          <cell r="X35">
            <v>0</v>
          </cell>
          <cell r="Y35">
            <v>1177</v>
          </cell>
          <cell r="Z35">
            <v>651</v>
          </cell>
          <cell r="AA35">
            <v>1828</v>
          </cell>
          <cell r="AB35">
            <v>0.64400000000000002</v>
          </cell>
          <cell r="AC35" t="str">
            <v>AMN463</v>
          </cell>
        </row>
        <row r="37">
          <cell r="Y37">
            <v>0</v>
          </cell>
          <cell r="Z37">
            <v>14860</v>
          </cell>
          <cell r="AA37">
            <v>14860</v>
          </cell>
          <cell r="AB37">
            <v>0</v>
          </cell>
          <cell r="AC37" t="str">
            <v>BUTT541</v>
          </cell>
        </row>
        <row r="38">
          <cell r="Y38">
            <v>0</v>
          </cell>
          <cell r="Z38">
            <v>1481</v>
          </cell>
          <cell r="AA38">
            <v>1481</v>
          </cell>
          <cell r="AB38">
            <v>0</v>
          </cell>
          <cell r="AC38" t="str">
            <v>BUTT543</v>
          </cell>
        </row>
      </sheetData>
      <sheetData sheetId="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 9 proportion "/>
      <sheetName val="Table 10 CWTs exp"/>
      <sheetName val="Table text"/>
      <sheetName val="Tab 10 xtra stray calculations"/>
      <sheetName val="inland_taf_hatchgrp_tableraw&amp;yy"/>
      <sheetName val="hatchery proportion only"/>
    </sheetNames>
    <sheetDataSet>
      <sheetData sheetId="0"/>
      <sheetData sheetId="1">
        <row r="3">
          <cell r="H3" t="str">
            <v>CFH</v>
          </cell>
          <cell r="J3" t="str">
            <v>FRH</v>
          </cell>
          <cell r="N3" t="str">
            <v>NIM</v>
          </cell>
          <cell r="P3" t="str">
            <v>MOK</v>
          </cell>
          <cell r="T3" t="str">
            <v>MER</v>
          </cell>
          <cell r="V3" t="str">
            <v>SJO</v>
          </cell>
          <cell r="W3" t="str">
            <v>Non-CV</v>
          </cell>
        </row>
        <row r="4">
          <cell r="G4" t="str">
            <v>SacW</v>
          </cell>
          <cell r="H4" t="str">
            <v>CFHL</v>
          </cell>
          <cell r="I4" t="str">
            <v>CFHF</v>
          </cell>
          <cell r="J4" t="str">
            <v>FRHS</v>
          </cell>
          <cell r="K4" t="str">
            <v>FRHF</v>
          </cell>
          <cell r="L4" t="str">
            <v>FRHFn</v>
          </cell>
          <cell r="M4" t="str">
            <v>FRHFgg</v>
          </cell>
          <cell r="N4" t="str">
            <v>NIMF</v>
          </cell>
          <cell r="O4" t="str">
            <v>NIMFn</v>
          </cell>
          <cell r="P4" t="str">
            <v>MOKF</v>
          </cell>
          <cell r="Q4" t="str">
            <v>MOKFn</v>
          </cell>
          <cell r="R4" t="str">
            <v>MOKFnc</v>
          </cell>
          <cell r="S4" t="str">
            <v>MOKFgg</v>
          </cell>
          <cell r="T4" t="str">
            <v>MERF</v>
          </cell>
          <cell r="U4" t="str">
            <v>MERFn</v>
          </cell>
          <cell r="V4" t="str">
            <v>SJOSx</v>
          </cell>
        </row>
        <row r="6">
          <cell r="A6" t="str">
            <v>CNFH504</v>
          </cell>
          <cell r="E6" t="str">
            <v>Coleman National Fish Hatchery</v>
          </cell>
          <cell r="F6" t="str">
            <v>Winter</v>
          </cell>
          <cell r="G6">
            <v>1002</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Z6">
            <v>1008</v>
          </cell>
          <cell r="AC6">
            <v>0.99399999999999999</v>
          </cell>
        </row>
        <row r="7">
          <cell r="A7" t="str">
            <v>KESW504</v>
          </cell>
          <cell r="E7" t="str">
            <v>Keswick Dam Fish Trap</v>
          </cell>
          <cell r="F7" t="str">
            <v>Winter</v>
          </cell>
          <cell r="G7">
            <v>126</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Z7">
            <v>191</v>
          </cell>
          <cell r="AC7">
            <v>0.66</v>
          </cell>
        </row>
        <row r="8">
          <cell r="A8" t="str">
            <v>FRFH501</v>
          </cell>
          <cell r="B8" t="str">
            <v>FRFH</v>
          </cell>
          <cell r="C8">
            <v>50</v>
          </cell>
          <cell r="D8">
            <v>1</v>
          </cell>
          <cell r="E8" t="str">
            <v>Feather River Hatchery</v>
          </cell>
          <cell r="F8" t="str">
            <v>Spring</v>
          </cell>
          <cell r="G8">
            <v>0</v>
          </cell>
          <cell r="H8">
            <v>0</v>
          </cell>
          <cell r="I8">
            <v>0</v>
          </cell>
          <cell r="J8">
            <v>1455</v>
          </cell>
          <cell r="K8">
            <v>0</v>
          </cell>
          <cell r="L8">
            <v>20</v>
          </cell>
          <cell r="M8">
            <v>8</v>
          </cell>
          <cell r="N8">
            <v>0</v>
          </cell>
          <cell r="O8">
            <v>0</v>
          </cell>
          <cell r="P8">
            <v>0</v>
          </cell>
          <cell r="Q8">
            <v>0</v>
          </cell>
          <cell r="R8">
            <v>0</v>
          </cell>
          <cell r="S8">
            <v>0</v>
          </cell>
          <cell r="T8">
            <v>0</v>
          </cell>
          <cell r="U8">
            <v>0</v>
          </cell>
          <cell r="V8">
            <v>1</v>
          </cell>
          <cell r="W8">
            <v>0</v>
          </cell>
          <cell r="Z8">
            <v>1554</v>
          </cell>
          <cell r="AC8">
            <v>0.95499999999999996</v>
          </cell>
        </row>
        <row r="9">
          <cell r="A9" t="str">
            <v>KESW503</v>
          </cell>
          <cell r="B9" t="str">
            <v>KESW</v>
          </cell>
          <cell r="C9">
            <v>50</v>
          </cell>
          <cell r="D9">
            <v>3</v>
          </cell>
          <cell r="E9" t="str">
            <v>Keswick Dam Fish Trap</v>
          </cell>
          <cell r="F9" t="str">
            <v>Fall</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Z9">
            <v>0</v>
          </cell>
          <cell r="AC9">
            <v>0</v>
          </cell>
        </row>
        <row r="10">
          <cell r="A10" t="str">
            <v>CNFH503</v>
          </cell>
          <cell r="B10" t="str">
            <v>CNFH</v>
          </cell>
          <cell r="C10">
            <v>50</v>
          </cell>
          <cell r="D10">
            <v>3</v>
          </cell>
          <cell r="E10" t="str">
            <v>Coleman National Fish Hatchery</v>
          </cell>
          <cell r="F10" t="str">
            <v>Fall</v>
          </cell>
          <cell r="G10">
            <v>0</v>
          </cell>
          <cell r="H10">
            <v>23</v>
          </cell>
          <cell r="I10">
            <v>11772</v>
          </cell>
          <cell r="J10">
            <v>0</v>
          </cell>
          <cell r="K10">
            <v>0</v>
          </cell>
          <cell r="L10">
            <v>73</v>
          </cell>
          <cell r="M10">
            <v>69</v>
          </cell>
          <cell r="N10">
            <v>4</v>
          </cell>
          <cell r="O10">
            <v>8</v>
          </cell>
          <cell r="P10">
            <v>0</v>
          </cell>
          <cell r="Q10">
            <v>4</v>
          </cell>
          <cell r="R10">
            <v>1</v>
          </cell>
          <cell r="S10">
            <v>4</v>
          </cell>
          <cell r="T10">
            <v>0</v>
          </cell>
          <cell r="U10">
            <v>0</v>
          </cell>
          <cell r="V10">
            <v>0</v>
          </cell>
          <cell r="W10">
            <v>0</v>
          </cell>
          <cell r="Z10">
            <v>13737</v>
          </cell>
          <cell r="AC10">
            <v>0.87</v>
          </cell>
        </row>
        <row r="11">
          <cell r="A11" t="str">
            <v>FRFH503</v>
          </cell>
          <cell r="B11" t="str">
            <v>FRFH</v>
          </cell>
          <cell r="C11">
            <v>50</v>
          </cell>
          <cell r="D11">
            <v>3</v>
          </cell>
          <cell r="E11" t="str">
            <v>Feather River Hatchery</v>
          </cell>
          <cell r="F11" t="str">
            <v>Fall</v>
          </cell>
          <cell r="G11">
            <v>0</v>
          </cell>
          <cell r="H11">
            <v>0</v>
          </cell>
          <cell r="I11">
            <v>0</v>
          </cell>
          <cell r="J11">
            <v>1236</v>
          </cell>
          <cell r="K11">
            <v>335</v>
          </cell>
          <cell r="L11">
            <v>10840</v>
          </cell>
          <cell r="M11">
            <v>6626</v>
          </cell>
          <cell r="N11">
            <v>4</v>
          </cell>
          <cell r="O11">
            <v>157</v>
          </cell>
          <cell r="P11">
            <v>0</v>
          </cell>
          <cell r="Q11">
            <v>97</v>
          </cell>
          <cell r="R11">
            <v>68</v>
          </cell>
          <cell r="S11">
            <v>2</v>
          </cell>
          <cell r="T11">
            <v>0</v>
          </cell>
          <cell r="U11">
            <v>208</v>
          </cell>
          <cell r="V11">
            <v>5</v>
          </cell>
          <cell r="W11">
            <v>0</v>
          </cell>
          <cell r="Z11">
            <v>22193</v>
          </cell>
          <cell r="AC11">
            <v>0.88200000000000001</v>
          </cell>
        </row>
        <row r="12">
          <cell r="A12" t="str">
            <v>NBFH503</v>
          </cell>
          <cell r="B12" t="str">
            <v>NBFH</v>
          </cell>
          <cell r="C12">
            <v>50</v>
          </cell>
          <cell r="D12">
            <v>3</v>
          </cell>
          <cell r="E12" t="str">
            <v>Nimbus Fish Hatchery</v>
          </cell>
          <cell r="F12" t="str">
            <v>Fall</v>
          </cell>
          <cell r="G12">
            <v>0</v>
          </cell>
          <cell r="H12">
            <v>1</v>
          </cell>
          <cell r="I12">
            <v>4</v>
          </cell>
          <cell r="J12">
            <v>0</v>
          </cell>
          <cell r="K12">
            <v>0</v>
          </cell>
          <cell r="L12">
            <v>80</v>
          </cell>
          <cell r="M12">
            <v>77</v>
          </cell>
          <cell r="N12">
            <v>576</v>
          </cell>
          <cell r="O12">
            <v>3361</v>
          </cell>
          <cell r="P12">
            <v>1</v>
          </cell>
          <cell r="Q12">
            <v>927</v>
          </cell>
          <cell r="R12">
            <v>80</v>
          </cell>
          <cell r="S12">
            <v>84</v>
          </cell>
          <cell r="T12">
            <v>0</v>
          </cell>
          <cell r="U12">
            <v>218</v>
          </cell>
          <cell r="V12">
            <v>0</v>
          </cell>
          <cell r="W12">
            <v>0</v>
          </cell>
          <cell r="Z12">
            <v>6264</v>
          </cell>
          <cell r="AC12">
            <v>0.86399999999999999</v>
          </cell>
        </row>
        <row r="13">
          <cell r="A13" t="str">
            <v>MRFI503</v>
          </cell>
          <cell r="B13" t="str">
            <v>MRFI</v>
          </cell>
          <cell r="C13">
            <v>50</v>
          </cell>
          <cell r="D13">
            <v>3</v>
          </cell>
          <cell r="E13" t="str">
            <v>Mokelumne River Hatchery</v>
          </cell>
          <cell r="F13" t="str">
            <v>Fall</v>
          </cell>
          <cell r="G13">
            <v>0</v>
          </cell>
          <cell r="H13">
            <v>2</v>
          </cell>
          <cell r="I13">
            <v>4</v>
          </cell>
          <cell r="J13">
            <v>0</v>
          </cell>
          <cell r="K13">
            <v>0</v>
          </cell>
          <cell r="L13">
            <v>36</v>
          </cell>
          <cell r="M13">
            <v>32</v>
          </cell>
          <cell r="N13">
            <v>0</v>
          </cell>
          <cell r="O13">
            <v>217</v>
          </cell>
          <cell r="P13">
            <v>44</v>
          </cell>
          <cell r="Q13">
            <v>2188</v>
          </cell>
          <cell r="R13">
            <v>86</v>
          </cell>
          <cell r="S13">
            <v>58</v>
          </cell>
          <cell r="T13">
            <v>5</v>
          </cell>
          <cell r="U13">
            <v>287</v>
          </cell>
          <cell r="V13">
            <v>0</v>
          </cell>
          <cell r="W13">
            <v>0</v>
          </cell>
          <cell r="Z13">
            <v>3443</v>
          </cell>
          <cell r="AC13">
            <v>0.85899999999999999</v>
          </cell>
        </row>
        <row r="14">
          <cell r="A14" t="str">
            <v>MRFF503</v>
          </cell>
          <cell r="B14" t="str">
            <v>MRFF</v>
          </cell>
          <cell r="C14">
            <v>50</v>
          </cell>
          <cell r="D14">
            <v>3</v>
          </cell>
          <cell r="E14" t="str">
            <v>Merced River Hatchery</v>
          </cell>
          <cell r="F14" t="str">
            <v>Fall</v>
          </cell>
          <cell r="G14">
            <v>0</v>
          </cell>
          <cell r="H14">
            <v>1</v>
          </cell>
          <cell r="I14">
            <v>0</v>
          </cell>
          <cell r="J14">
            <v>0</v>
          </cell>
          <cell r="K14">
            <v>0</v>
          </cell>
          <cell r="L14">
            <v>4</v>
          </cell>
          <cell r="M14">
            <v>12</v>
          </cell>
          <cell r="N14">
            <v>0</v>
          </cell>
          <cell r="O14">
            <v>12</v>
          </cell>
          <cell r="P14">
            <v>0</v>
          </cell>
          <cell r="Q14">
            <v>41</v>
          </cell>
          <cell r="R14">
            <v>4</v>
          </cell>
          <cell r="S14">
            <v>4</v>
          </cell>
          <cell r="T14">
            <v>18</v>
          </cell>
          <cell r="U14">
            <v>63</v>
          </cell>
          <cell r="V14">
            <v>0</v>
          </cell>
          <cell r="W14">
            <v>0</v>
          </cell>
          <cell r="Z14">
            <v>185</v>
          </cell>
          <cell r="AC14">
            <v>0.85899999999999999</v>
          </cell>
        </row>
        <row r="15">
          <cell r="A15" t="str">
            <v>CNFH507</v>
          </cell>
          <cell r="B15" t="str">
            <v>CNFH</v>
          </cell>
          <cell r="C15">
            <v>50</v>
          </cell>
          <cell r="D15">
            <v>7</v>
          </cell>
          <cell r="E15" t="str">
            <v xml:space="preserve">Coleman National Fish Hatchery </v>
          </cell>
          <cell r="G15">
            <v>0</v>
          </cell>
          <cell r="H15">
            <v>1793</v>
          </cell>
          <cell r="I15">
            <v>8</v>
          </cell>
          <cell r="J15">
            <v>0</v>
          </cell>
          <cell r="K15">
            <v>0</v>
          </cell>
          <cell r="L15">
            <v>0</v>
          </cell>
          <cell r="M15">
            <v>0</v>
          </cell>
          <cell r="N15">
            <v>0</v>
          </cell>
          <cell r="O15">
            <v>12</v>
          </cell>
          <cell r="P15">
            <v>0</v>
          </cell>
          <cell r="Q15">
            <v>0</v>
          </cell>
          <cell r="R15">
            <v>0</v>
          </cell>
          <cell r="S15">
            <v>4</v>
          </cell>
          <cell r="T15">
            <v>0</v>
          </cell>
          <cell r="U15">
            <v>0</v>
          </cell>
          <cell r="V15">
            <v>0</v>
          </cell>
          <cell r="W15">
            <v>0</v>
          </cell>
          <cell r="Z15">
            <v>1846</v>
          </cell>
          <cell r="AC15">
            <v>0.98399999999999999</v>
          </cell>
        </row>
        <row r="16">
          <cell r="A16" t="str">
            <v>CNFW527</v>
          </cell>
          <cell r="B16" t="str">
            <v>CNFW</v>
          </cell>
          <cell r="C16">
            <v>52</v>
          </cell>
          <cell r="D16">
            <v>7</v>
          </cell>
          <cell r="E16" t="str">
            <v>Coleman Hatchery Fish Trap</v>
          </cell>
          <cell r="G16">
            <v>0</v>
          </cell>
          <cell r="H16">
            <v>52</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Z16">
            <v>54</v>
          </cell>
          <cell r="AC16">
            <v>0.96299999999999997</v>
          </cell>
        </row>
        <row r="17">
          <cell r="B17" t="str">
            <v>KESW</v>
          </cell>
          <cell r="C17">
            <v>50</v>
          </cell>
          <cell r="D17">
            <v>7</v>
          </cell>
          <cell r="E17" t="str">
            <v>Keswick Dam Fish Trap</v>
          </cell>
          <cell r="Z17">
            <v>0</v>
          </cell>
          <cell r="AC17">
            <v>0</v>
          </cell>
        </row>
        <row r="18">
          <cell r="G18">
            <v>0</v>
          </cell>
          <cell r="H18">
            <v>27</v>
          </cell>
          <cell r="I18">
            <v>11780</v>
          </cell>
          <cell r="J18">
            <v>1236</v>
          </cell>
          <cell r="K18">
            <v>335</v>
          </cell>
          <cell r="L18">
            <v>11033</v>
          </cell>
          <cell r="M18">
            <v>6816</v>
          </cell>
          <cell r="N18">
            <v>584</v>
          </cell>
          <cell r="O18">
            <v>3755</v>
          </cell>
          <cell r="P18">
            <v>45</v>
          </cell>
          <cell r="Q18">
            <v>3257</v>
          </cell>
          <cell r="R18">
            <v>239</v>
          </cell>
          <cell r="S18">
            <v>152</v>
          </cell>
          <cell r="T18">
            <v>23</v>
          </cell>
          <cell r="U18">
            <v>776</v>
          </cell>
          <cell r="V18">
            <v>5</v>
          </cell>
          <cell r="W18">
            <v>0</v>
          </cell>
          <cell r="Y18">
            <v>5759</v>
          </cell>
          <cell r="Z18">
            <v>45822</v>
          </cell>
          <cell r="AC18">
            <v>0.8743180131814412</v>
          </cell>
        </row>
        <row r="20">
          <cell r="A20" t="str">
            <v>USAC544</v>
          </cell>
          <cell r="B20" t="str">
            <v>USAC</v>
          </cell>
          <cell r="C20">
            <v>54</v>
          </cell>
          <cell r="D20">
            <v>4</v>
          </cell>
          <cell r="E20" t="str">
            <v>Upper Sacramento River</v>
          </cell>
          <cell r="F20" t="str">
            <v>Winter</v>
          </cell>
          <cell r="G20">
            <v>2681</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Z20">
            <v>6195</v>
          </cell>
          <cell r="AC20">
            <v>0.433</v>
          </cell>
        </row>
        <row r="21">
          <cell r="A21" t="str">
            <v>BUTT541</v>
          </cell>
          <cell r="B21" t="str">
            <v>BUTT</v>
          </cell>
          <cell r="C21">
            <v>54</v>
          </cell>
          <cell r="D21">
            <v>1</v>
          </cell>
          <cell r="E21" t="str">
            <v>Butte Creek</v>
          </cell>
          <cell r="F21" t="str">
            <v>Spring</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Z21">
            <v>1281</v>
          </cell>
          <cell r="AC21">
            <v>0</v>
          </cell>
        </row>
        <row r="22">
          <cell r="A22" t="str">
            <v>UPSJ541</v>
          </cell>
          <cell r="B22" t="str">
            <v>UPSJ</v>
          </cell>
          <cell r="C22">
            <v>54</v>
          </cell>
          <cell r="D22">
            <v>1</v>
          </cell>
          <cell r="E22" t="str">
            <v>Upper San Joaquin River</v>
          </cell>
          <cell r="F22" t="str">
            <v>Spring</v>
          </cell>
          <cell r="G22">
            <v>0</v>
          </cell>
          <cell r="H22">
            <v>0</v>
          </cell>
          <cell r="I22">
            <v>0</v>
          </cell>
          <cell r="J22">
            <v>0</v>
          </cell>
          <cell r="K22">
            <v>0</v>
          </cell>
          <cell r="L22">
            <v>0</v>
          </cell>
          <cell r="M22">
            <v>0</v>
          </cell>
          <cell r="N22">
            <v>0</v>
          </cell>
          <cell r="O22">
            <v>4</v>
          </cell>
          <cell r="P22">
            <v>0</v>
          </cell>
          <cell r="Q22">
            <v>0</v>
          </cell>
          <cell r="R22">
            <v>0</v>
          </cell>
          <cell r="S22">
            <v>0</v>
          </cell>
          <cell r="T22">
            <v>0</v>
          </cell>
          <cell r="U22">
            <v>0</v>
          </cell>
          <cell r="V22">
            <v>13</v>
          </cell>
          <cell r="W22">
            <v>0</v>
          </cell>
          <cell r="Z22">
            <v>19</v>
          </cell>
          <cell r="AC22">
            <v>0.89500000000000002</v>
          </cell>
        </row>
        <row r="23">
          <cell r="A23" t="str">
            <v>USAC543</v>
          </cell>
          <cell r="B23" t="str">
            <v>USAC</v>
          </cell>
          <cell r="C23">
            <v>54</v>
          </cell>
          <cell r="D23">
            <v>3</v>
          </cell>
          <cell r="E23" t="str">
            <v>Upper Sacramento River</v>
          </cell>
          <cell r="F23" t="str">
            <v>Fall</v>
          </cell>
          <cell r="G23">
            <v>0</v>
          </cell>
          <cell r="H23">
            <v>0</v>
          </cell>
          <cell r="I23">
            <v>3266</v>
          </cell>
          <cell r="J23">
            <v>17</v>
          </cell>
          <cell r="K23">
            <v>0</v>
          </cell>
          <cell r="L23">
            <v>1465</v>
          </cell>
          <cell r="M23">
            <v>835</v>
          </cell>
          <cell r="N23">
            <v>0</v>
          </cell>
          <cell r="O23">
            <v>0</v>
          </cell>
          <cell r="P23">
            <v>0</v>
          </cell>
          <cell r="Q23">
            <v>33</v>
          </cell>
          <cell r="R23">
            <v>17</v>
          </cell>
          <cell r="S23">
            <v>0</v>
          </cell>
          <cell r="T23">
            <v>0</v>
          </cell>
          <cell r="U23">
            <v>34</v>
          </cell>
          <cell r="V23">
            <v>0</v>
          </cell>
          <cell r="W23">
            <v>0</v>
          </cell>
          <cell r="Z23">
            <v>13527</v>
          </cell>
          <cell r="AC23">
            <v>0.41899999999999998</v>
          </cell>
        </row>
        <row r="24">
          <cell r="A24" t="str">
            <v>CLR543</v>
          </cell>
          <cell r="B24" t="str">
            <v>CLR</v>
          </cell>
          <cell r="C24">
            <v>54</v>
          </cell>
          <cell r="D24">
            <v>3</v>
          </cell>
          <cell r="E24" t="str">
            <v>Clear Creek</v>
          </cell>
          <cell r="F24" t="str">
            <v>Fall</v>
          </cell>
          <cell r="G24">
            <v>0</v>
          </cell>
          <cell r="H24">
            <v>0</v>
          </cell>
          <cell r="I24">
            <v>2361</v>
          </cell>
          <cell r="J24">
            <v>0</v>
          </cell>
          <cell r="K24">
            <v>8</v>
          </cell>
          <cell r="L24">
            <v>683</v>
          </cell>
          <cell r="M24">
            <v>314</v>
          </cell>
          <cell r="N24">
            <v>0</v>
          </cell>
          <cell r="O24">
            <v>0</v>
          </cell>
          <cell r="P24">
            <v>0</v>
          </cell>
          <cell r="Q24">
            <v>0</v>
          </cell>
          <cell r="R24">
            <v>24</v>
          </cell>
          <cell r="S24">
            <v>0</v>
          </cell>
          <cell r="T24">
            <v>0</v>
          </cell>
          <cell r="U24">
            <v>0</v>
          </cell>
          <cell r="V24">
            <v>0</v>
          </cell>
          <cell r="W24">
            <v>0</v>
          </cell>
          <cell r="Z24">
            <v>6631</v>
          </cell>
          <cell r="AC24">
            <v>0.51100000000000001</v>
          </cell>
        </row>
        <row r="25">
          <cell r="A25" t="str">
            <v>BATT543</v>
          </cell>
          <cell r="B25" t="str">
            <v>BATT</v>
          </cell>
          <cell r="C25">
            <v>54</v>
          </cell>
          <cell r="D25">
            <v>3</v>
          </cell>
          <cell r="F25" t="str">
            <v>Fall</v>
          </cell>
          <cell r="G25">
            <v>0</v>
          </cell>
          <cell r="H25">
            <v>31</v>
          </cell>
          <cell r="I25">
            <v>16330</v>
          </cell>
          <cell r="J25">
            <v>0</v>
          </cell>
          <cell r="K25">
            <v>0</v>
          </cell>
          <cell r="L25">
            <v>101</v>
          </cell>
          <cell r="M25">
            <v>96</v>
          </cell>
          <cell r="N25">
            <v>6</v>
          </cell>
          <cell r="O25">
            <v>11</v>
          </cell>
          <cell r="P25">
            <v>0</v>
          </cell>
          <cell r="Q25">
            <v>6</v>
          </cell>
          <cell r="R25">
            <v>1</v>
          </cell>
          <cell r="S25">
            <v>6</v>
          </cell>
          <cell r="T25">
            <v>0</v>
          </cell>
          <cell r="U25">
            <v>0</v>
          </cell>
          <cell r="V25">
            <v>0</v>
          </cell>
          <cell r="W25">
            <v>0</v>
          </cell>
          <cell r="Z25">
            <v>19055</v>
          </cell>
          <cell r="AC25">
            <v>0.87053266859092104</v>
          </cell>
        </row>
        <row r="26">
          <cell r="A26" t="str">
            <v>COT543</v>
          </cell>
          <cell r="B26" t="str">
            <v>COT</v>
          </cell>
          <cell r="C26">
            <v>54</v>
          </cell>
          <cell r="D26">
            <v>3</v>
          </cell>
          <cell r="E26" t="str">
            <v>Cottonwood Creek</v>
          </cell>
          <cell r="F26" t="str">
            <v>Fall</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Z26">
            <v>0</v>
          </cell>
          <cell r="AC26">
            <v>0</v>
          </cell>
        </row>
        <row r="27">
          <cell r="A27" t="str">
            <v>COW543</v>
          </cell>
          <cell r="B27" t="str">
            <v>COW</v>
          </cell>
          <cell r="C27">
            <v>54</v>
          </cell>
          <cell r="D27">
            <v>3</v>
          </cell>
          <cell r="E27" t="str">
            <v>Cow Creek</v>
          </cell>
          <cell r="F27" t="str">
            <v>Fall</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Z27">
            <v>0</v>
          </cell>
          <cell r="AC27">
            <v>0</v>
          </cell>
        </row>
        <row r="28">
          <cell r="A28" t="str">
            <v>MLC543</v>
          </cell>
          <cell r="B28" t="str">
            <v>MLC</v>
          </cell>
          <cell r="C28">
            <v>54</v>
          </cell>
          <cell r="D28">
            <v>3</v>
          </cell>
          <cell r="E28" t="str">
            <v>Mill Creek</v>
          </cell>
          <cell r="F28" t="str">
            <v>Fall</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Z28">
            <v>0</v>
          </cell>
          <cell r="AC28">
            <v>0</v>
          </cell>
        </row>
        <row r="29">
          <cell r="A29" t="str">
            <v>BUTT543</v>
          </cell>
          <cell r="B29" t="str">
            <v>BUTT</v>
          </cell>
          <cell r="C29">
            <v>54</v>
          </cell>
          <cell r="D29">
            <v>3</v>
          </cell>
          <cell r="E29" t="str">
            <v>Butte Creek</v>
          </cell>
          <cell r="F29" t="str">
            <v>Fall</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Z29">
            <v>0</v>
          </cell>
          <cell r="AC29">
            <v>0</v>
          </cell>
        </row>
        <row r="30">
          <cell r="A30" t="str">
            <v>FEA543</v>
          </cell>
          <cell r="B30" t="str">
            <v>FEA</v>
          </cell>
          <cell r="C30">
            <v>54</v>
          </cell>
          <cell r="D30">
            <v>3</v>
          </cell>
          <cell r="E30" t="str">
            <v>Feather River</v>
          </cell>
          <cell r="F30" t="str">
            <v>Fall</v>
          </cell>
          <cell r="G30">
            <v>0</v>
          </cell>
          <cell r="H30">
            <v>0</v>
          </cell>
          <cell r="I30">
            <v>0</v>
          </cell>
          <cell r="J30">
            <v>1772</v>
          </cell>
          <cell r="K30">
            <v>583</v>
          </cell>
          <cell r="L30">
            <v>17212</v>
          </cell>
          <cell r="M30">
            <v>10021</v>
          </cell>
          <cell r="N30">
            <v>0</v>
          </cell>
          <cell r="O30">
            <v>71</v>
          </cell>
          <cell r="P30">
            <v>0</v>
          </cell>
          <cell r="Q30">
            <v>212</v>
          </cell>
          <cell r="R30">
            <v>197</v>
          </cell>
          <cell r="S30">
            <v>0</v>
          </cell>
          <cell r="T30">
            <v>0</v>
          </cell>
          <cell r="U30">
            <v>342</v>
          </cell>
          <cell r="V30">
            <v>9</v>
          </cell>
          <cell r="W30">
            <v>0</v>
          </cell>
          <cell r="Z30">
            <v>42969</v>
          </cell>
          <cell r="AC30">
            <v>0.70799999999999996</v>
          </cell>
        </row>
        <row r="31">
          <cell r="A31" t="str">
            <v>YUBA543</v>
          </cell>
          <cell r="B31" t="str">
            <v>YUBA</v>
          </cell>
          <cell r="C31">
            <v>54</v>
          </cell>
          <cell r="D31">
            <v>3</v>
          </cell>
          <cell r="F31" t="str">
            <v>Fall</v>
          </cell>
          <cell r="G31">
            <v>0</v>
          </cell>
          <cell r="H31">
            <v>0</v>
          </cell>
          <cell r="I31">
            <v>0</v>
          </cell>
          <cell r="J31">
            <v>13</v>
          </cell>
          <cell r="K31">
            <v>51</v>
          </cell>
          <cell r="L31">
            <v>352</v>
          </cell>
          <cell r="M31">
            <v>152</v>
          </cell>
          <cell r="N31">
            <v>0</v>
          </cell>
          <cell r="O31">
            <v>303</v>
          </cell>
          <cell r="P31">
            <v>13</v>
          </cell>
          <cell r="Q31">
            <v>405</v>
          </cell>
          <cell r="R31">
            <v>103</v>
          </cell>
          <cell r="S31">
            <v>50</v>
          </cell>
          <cell r="T31">
            <v>0</v>
          </cell>
          <cell r="U31">
            <v>176</v>
          </cell>
          <cell r="V31">
            <v>0</v>
          </cell>
          <cell r="W31">
            <v>0</v>
          </cell>
          <cell r="Z31">
            <v>3846</v>
          </cell>
          <cell r="AC31">
            <v>0.42099999999999999</v>
          </cell>
        </row>
        <row r="32">
          <cell r="A32" t="str">
            <v>YUBB543</v>
          </cell>
          <cell r="B32" t="str">
            <v>YUBB</v>
          </cell>
          <cell r="C32">
            <v>54</v>
          </cell>
          <cell r="D32">
            <v>3</v>
          </cell>
          <cell r="F32" t="str">
            <v>Fall</v>
          </cell>
          <cell r="G32">
            <v>0</v>
          </cell>
          <cell r="H32">
            <v>0</v>
          </cell>
          <cell r="I32">
            <v>0</v>
          </cell>
          <cell r="J32">
            <v>0</v>
          </cell>
          <cell r="K32">
            <v>0</v>
          </cell>
          <cell r="L32">
            <v>157</v>
          </cell>
          <cell r="M32">
            <v>45</v>
          </cell>
          <cell r="N32">
            <v>0</v>
          </cell>
          <cell r="O32">
            <v>22</v>
          </cell>
          <cell r="P32">
            <v>0</v>
          </cell>
          <cell r="Q32">
            <v>6</v>
          </cell>
          <cell r="R32">
            <v>17</v>
          </cell>
          <cell r="S32">
            <v>6</v>
          </cell>
          <cell r="T32">
            <v>0</v>
          </cell>
          <cell r="U32">
            <v>29</v>
          </cell>
          <cell r="V32">
            <v>0</v>
          </cell>
          <cell r="W32">
            <v>0</v>
          </cell>
          <cell r="Z32">
            <v>348</v>
          </cell>
          <cell r="AC32">
            <v>0.81</v>
          </cell>
        </row>
        <row r="33">
          <cell r="A33" t="str">
            <v>LARC543</v>
          </cell>
          <cell r="B33" t="str">
            <v>LARC</v>
          </cell>
          <cell r="C33">
            <v>54</v>
          </cell>
          <cell r="D33">
            <v>3</v>
          </cell>
          <cell r="E33" t="str">
            <v>American River</v>
          </cell>
          <cell r="F33" t="str">
            <v>Fall</v>
          </cell>
          <cell r="G33">
            <v>0</v>
          </cell>
          <cell r="H33">
            <v>0</v>
          </cell>
          <cell r="I33">
            <v>0</v>
          </cell>
          <cell r="J33">
            <v>2</v>
          </cell>
          <cell r="K33">
            <v>0</v>
          </cell>
          <cell r="L33">
            <v>844</v>
          </cell>
          <cell r="M33">
            <v>554</v>
          </cell>
          <cell r="N33">
            <v>1902</v>
          </cell>
          <cell r="O33">
            <v>10286</v>
          </cell>
          <cell r="P33">
            <v>25</v>
          </cell>
          <cell r="Q33">
            <v>3945</v>
          </cell>
          <cell r="R33">
            <v>638</v>
          </cell>
          <cell r="S33">
            <v>205</v>
          </cell>
          <cell r="T33">
            <v>0</v>
          </cell>
          <cell r="U33">
            <v>1034</v>
          </cell>
          <cell r="V33">
            <v>2</v>
          </cell>
          <cell r="W33">
            <v>0</v>
          </cell>
          <cell r="Z33">
            <v>22456</v>
          </cell>
          <cell r="AC33">
            <v>0.86599999999999999</v>
          </cell>
        </row>
        <row r="34">
          <cell r="A34" t="str">
            <v>NIMW593</v>
          </cell>
          <cell r="B34" t="str">
            <v>NIMW</v>
          </cell>
          <cell r="C34">
            <v>59</v>
          </cell>
          <cell r="D34">
            <v>3</v>
          </cell>
          <cell r="E34" t="str">
            <v>Nimbus Fish Hatchery Weir</v>
          </cell>
          <cell r="F34" t="str">
            <v>Fall</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Z34">
            <v>0</v>
          </cell>
          <cell r="AC34">
            <v>0</v>
          </cell>
        </row>
        <row r="35">
          <cell r="A35" t="str">
            <v>MOKE543</v>
          </cell>
          <cell r="B35" t="str">
            <v>MOKE</v>
          </cell>
          <cell r="C35">
            <v>54</v>
          </cell>
          <cell r="D35">
            <v>3</v>
          </cell>
          <cell r="E35" t="str">
            <v>Mokelumne River</v>
          </cell>
          <cell r="F35" t="str">
            <v>Fall</v>
          </cell>
          <cell r="G35">
            <v>0</v>
          </cell>
          <cell r="H35">
            <v>0</v>
          </cell>
          <cell r="I35">
            <v>0</v>
          </cell>
          <cell r="J35">
            <v>0</v>
          </cell>
          <cell r="K35">
            <v>0</v>
          </cell>
          <cell r="L35">
            <v>0</v>
          </cell>
          <cell r="M35">
            <v>179</v>
          </cell>
          <cell r="N35">
            <v>0</v>
          </cell>
          <cell r="O35">
            <v>0</v>
          </cell>
          <cell r="P35">
            <v>0</v>
          </cell>
          <cell r="Q35">
            <v>176</v>
          </cell>
          <cell r="R35">
            <v>89</v>
          </cell>
          <cell r="S35">
            <v>0</v>
          </cell>
          <cell r="T35">
            <v>0</v>
          </cell>
          <cell r="U35">
            <v>0</v>
          </cell>
          <cell r="V35">
            <v>0</v>
          </cell>
          <cell r="W35">
            <v>0</v>
          </cell>
          <cell r="Z35">
            <v>601</v>
          </cell>
          <cell r="AC35">
            <v>0.73899999999999999</v>
          </cell>
        </row>
        <row r="36">
          <cell r="A36" t="str">
            <v>COSU543</v>
          </cell>
          <cell r="B36" t="str">
            <v>COSU</v>
          </cell>
          <cell r="C36">
            <v>54</v>
          </cell>
          <cell r="D36">
            <v>3</v>
          </cell>
          <cell r="E36" t="str">
            <v>Cosumnes River</v>
          </cell>
          <cell r="F36" t="str">
            <v>Fall</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Z36">
            <v>0</v>
          </cell>
          <cell r="AC36">
            <v>0</v>
          </cell>
        </row>
        <row r="37">
          <cell r="A37" t="str">
            <v>CAL543</v>
          </cell>
          <cell r="B37" t="str">
            <v>CAL</v>
          </cell>
          <cell r="C37">
            <v>54</v>
          </cell>
          <cell r="D37">
            <v>3</v>
          </cell>
          <cell r="E37" t="str">
            <v>Calaveras River</v>
          </cell>
          <cell r="F37" t="str">
            <v>Fall</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Z37">
            <v>0</v>
          </cell>
          <cell r="AC37">
            <v>0</v>
          </cell>
        </row>
        <row r="38">
          <cell r="A38" t="str">
            <v>STA543</v>
          </cell>
          <cell r="B38" t="str">
            <v>STA</v>
          </cell>
          <cell r="C38">
            <v>54</v>
          </cell>
          <cell r="D38">
            <v>3</v>
          </cell>
          <cell r="E38" t="str">
            <v>Stanislaus River</v>
          </cell>
          <cell r="F38" t="str">
            <v>Fall</v>
          </cell>
          <cell r="G38">
            <v>0</v>
          </cell>
          <cell r="H38">
            <v>0</v>
          </cell>
          <cell r="I38">
            <v>0</v>
          </cell>
          <cell r="J38">
            <v>0</v>
          </cell>
          <cell r="K38">
            <v>0</v>
          </cell>
          <cell r="L38">
            <v>27</v>
          </cell>
          <cell r="M38">
            <v>0</v>
          </cell>
          <cell r="N38">
            <v>0</v>
          </cell>
          <cell r="O38">
            <v>13</v>
          </cell>
          <cell r="P38">
            <v>0</v>
          </cell>
          <cell r="Q38">
            <v>258</v>
          </cell>
          <cell r="R38">
            <v>13</v>
          </cell>
          <cell r="S38">
            <v>0</v>
          </cell>
          <cell r="T38">
            <v>0</v>
          </cell>
          <cell r="U38">
            <v>31</v>
          </cell>
          <cell r="V38">
            <v>0</v>
          </cell>
          <cell r="W38">
            <v>0</v>
          </cell>
          <cell r="Z38">
            <v>541</v>
          </cell>
          <cell r="AC38">
            <v>0.63200000000000001</v>
          </cell>
        </row>
        <row r="39">
          <cell r="A39" t="str">
            <v>TUO543</v>
          </cell>
          <cell r="B39" t="str">
            <v>TUO</v>
          </cell>
          <cell r="C39">
            <v>54</v>
          </cell>
          <cell r="D39">
            <v>3</v>
          </cell>
          <cell r="E39" t="str">
            <v>Tuolumne River</v>
          </cell>
          <cell r="F39" t="str">
            <v>Fall</v>
          </cell>
          <cell r="G39">
            <v>0</v>
          </cell>
          <cell r="H39">
            <v>0</v>
          </cell>
          <cell r="I39">
            <v>0</v>
          </cell>
          <cell r="J39">
            <v>0</v>
          </cell>
          <cell r="K39">
            <v>0</v>
          </cell>
          <cell r="L39">
            <v>7</v>
          </cell>
          <cell r="M39">
            <v>0</v>
          </cell>
          <cell r="N39">
            <v>0</v>
          </cell>
          <cell r="O39">
            <v>14</v>
          </cell>
          <cell r="P39">
            <v>0</v>
          </cell>
          <cell r="Q39">
            <v>35</v>
          </cell>
          <cell r="R39">
            <v>0</v>
          </cell>
          <cell r="S39">
            <v>0</v>
          </cell>
          <cell r="T39">
            <v>0</v>
          </cell>
          <cell r="U39">
            <v>53</v>
          </cell>
          <cell r="V39">
            <v>0</v>
          </cell>
          <cell r="W39">
            <v>0</v>
          </cell>
          <cell r="Z39">
            <v>271</v>
          </cell>
          <cell r="AC39">
            <v>0.40200000000000002</v>
          </cell>
        </row>
        <row r="40">
          <cell r="A40" t="str">
            <v>MER543</v>
          </cell>
          <cell r="B40" t="str">
            <v>MER</v>
          </cell>
          <cell r="C40">
            <v>54</v>
          </cell>
          <cell r="D40">
            <v>3</v>
          </cell>
          <cell r="E40" t="str">
            <v>Merced River</v>
          </cell>
          <cell r="F40" t="str">
            <v>Fall</v>
          </cell>
          <cell r="G40">
            <v>0</v>
          </cell>
          <cell r="H40">
            <v>0</v>
          </cell>
          <cell r="I40">
            <v>0</v>
          </cell>
          <cell r="J40">
            <v>0</v>
          </cell>
          <cell r="K40">
            <v>0</v>
          </cell>
          <cell r="L40">
            <v>0</v>
          </cell>
          <cell r="M40">
            <v>0</v>
          </cell>
          <cell r="N40">
            <v>0</v>
          </cell>
          <cell r="O40">
            <v>43</v>
          </cell>
          <cell r="P40">
            <v>0</v>
          </cell>
          <cell r="Q40">
            <v>64</v>
          </cell>
          <cell r="R40">
            <v>0</v>
          </cell>
          <cell r="S40">
            <v>0</v>
          </cell>
          <cell r="T40">
            <v>26</v>
          </cell>
          <cell r="U40">
            <v>74</v>
          </cell>
          <cell r="V40">
            <v>0</v>
          </cell>
          <cell r="W40">
            <v>0</v>
          </cell>
          <cell r="Z40">
            <v>426</v>
          </cell>
          <cell r="AC40">
            <v>0.48599999999999999</v>
          </cell>
        </row>
        <row r="41">
          <cell r="A41" t="str">
            <v>USAC547</v>
          </cell>
          <cell r="B41" t="str">
            <v>USAC</v>
          </cell>
          <cell r="C41">
            <v>54</v>
          </cell>
          <cell r="D41">
            <v>7</v>
          </cell>
          <cell r="E41" t="str">
            <v>Upper Sacramento River</v>
          </cell>
          <cell r="G41">
            <v>30</v>
          </cell>
          <cell r="H41">
            <v>182</v>
          </cell>
          <cell r="I41">
            <v>0</v>
          </cell>
          <cell r="J41">
            <v>0</v>
          </cell>
          <cell r="K41">
            <v>0</v>
          </cell>
          <cell r="L41">
            <v>0</v>
          </cell>
          <cell r="M41">
            <v>0</v>
          </cell>
          <cell r="N41">
            <v>0</v>
          </cell>
          <cell r="O41">
            <v>24</v>
          </cell>
          <cell r="P41">
            <v>0</v>
          </cell>
          <cell r="Q41">
            <v>0</v>
          </cell>
          <cell r="R41">
            <v>0</v>
          </cell>
          <cell r="S41">
            <v>0</v>
          </cell>
          <cell r="T41">
            <v>0</v>
          </cell>
          <cell r="U41">
            <v>0</v>
          </cell>
          <cell r="V41">
            <v>0</v>
          </cell>
          <cell r="W41">
            <v>0</v>
          </cell>
          <cell r="Z41">
            <v>1847</v>
          </cell>
          <cell r="AC41">
            <v>0.12777476989713049</v>
          </cell>
        </row>
        <row r="42">
          <cell r="G42">
            <v>0</v>
          </cell>
          <cell r="H42">
            <v>31</v>
          </cell>
          <cell r="I42">
            <v>21957</v>
          </cell>
          <cell r="J42">
            <v>1804</v>
          </cell>
          <cell r="K42">
            <v>642</v>
          </cell>
          <cell r="L42">
            <v>20848</v>
          </cell>
          <cell r="M42">
            <v>12196</v>
          </cell>
          <cell r="N42">
            <v>1908</v>
          </cell>
          <cell r="O42">
            <v>10763</v>
          </cell>
          <cell r="P42">
            <v>38</v>
          </cell>
          <cell r="Q42">
            <v>5140</v>
          </cell>
          <cell r="R42">
            <v>1099</v>
          </cell>
          <cell r="S42">
            <v>267</v>
          </cell>
          <cell r="T42">
            <v>26</v>
          </cell>
          <cell r="U42">
            <v>1773</v>
          </cell>
          <cell r="V42">
            <v>11</v>
          </cell>
          <cell r="W42">
            <v>0</v>
          </cell>
          <cell r="Z42">
            <v>110671</v>
          </cell>
          <cell r="AC42">
            <v>0.70933668259977767</v>
          </cell>
        </row>
        <row r="44">
          <cell r="G44">
            <v>3839</v>
          </cell>
          <cell r="H44">
            <v>2081</v>
          </cell>
          <cell r="I44">
            <v>31376</v>
          </cell>
          <cell r="J44">
            <v>4476</v>
          </cell>
          <cell r="K44">
            <v>969</v>
          </cell>
          <cell r="L44">
            <v>28581</v>
          </cell>
          <cell r="M44">
            <v>16852</v>
          </cell>
          <cell r="N44">
            <v>2478</v>
          </cell>
          <cell r="O44">
            <v>13647</v>
          </cell>
          <cell r="P44">
            <v>44</v>
          </cell>
          <cell r="Q44">
            <v>2364</v>
          </cell>
          <cell r="R44">
            <v>175</v>
          </cell>
          <cell r="S44">
            <v>58</v>
          </cell>
          <cell r="T44">
            <v>44</v>
          </cell>
          <cell r="U44">
            <v>137</v>
          </cell>
          <cell r="V44">
            <v>13</v>
          </cell>
          <cell r="Z44">
            <v>151641</v>
          </cell>
          <cell r="AC44">
            <v>0.70649758310747091</v>
          </cell>
        </row>
        <row r="45">
          <cell r="G45">
            <v>0</v>
          </cell>
          <cell r="H45">
            <v>4</v>
          </cell>
          <cell r="I45">
            <v>2369</v>
          </cell>
          <cell r="J45">
            <v>19</v>
          </cell>
          <cell r="K45">
            <v>8</v>
          </cell>
          <cell r="L45">
            <v>3320</v>
          </cell>
          <cell r="M45">
            <v>2168</v>
          </cell>
          <cell r="N45">
            <v>14</v>
          </cell>
          <cell r="O45">
            <v>911</v>
          </cell>
          <cell r="P45">
            <v>39</v>
          </cell>
          <cell r="Q45">
            <v>6033</v>
          </cell>
          <cell r="R45">
            <v>1163</v>
          </cell>
          <cell r="S45">
            <v>365</v>
          </cell>
          <cell r="T45">
            <v>5</v>
          </cell>
          <cell r="U45">
            <v>2412</v>
          </cell>
          <cell r="V45">
            <v>17</v>
          </cell>
          <cell r="W45">
            <v>0</v>
          </cell>
          <cell r="Z45">
            <v>18847</v>
          </cell>
          <cell r="AC45">
            <v>1</v>
          </cell>
        </row>
        <row r="46">
          <cell r="G46">
            <v>3839</v>
          </cell>
          <cell r="H46">
            <v>2085</v>
          </cell>
          <cell r="I46">
            <v>33745</v>
          </cell>
          <cell r="J46">
            <v>4495</v>
          </cell>
          <cell r="K46">
            <v>977</v>
          </cell>
          <cell r="L46">
            <v>31901</v>
          </cell>
          <cell r="M46">
            <v>19020</v>
          </cell>
          <cell r="N46">
            <v>2492</v>
          </cell>
          <cell r="O46">
            <v>14558</v>
          </cell>
          <cell r="P46">
            <v>83</v>
          </cell>
          <cell r="Q46">
            <v>8397</v>
          </cell>
          <cell r="R46">
            <v>1338</v>
          </cell>
          <cell r="S46">
            <v>423</v>
          </cell>
          <cell r="T46">
            <v>49</v>
          </cell>
          <cell r="U46">
            <v>2549</v>
          </cell>
          <cell r="V46">
            <v>30</v>
          </cell>
          <cell r="W46">
            <v>0</v>
          </cell>
          <cell r="Z46">
            <v>170488</v>
          </cell>
          <cell r="AC46">
            <v>0.73894350335507486</v>
          </cell>
        </row>
        <row r="49">
          <cell r="A49" t="str">
            <v>USAC463</v>
          </cell>
          <cell r="B49" t="str">
            <v>USAC</v>
          </cell>
          <cell r="C49">
            <v>46</v>
          </cell>
          <cell r="D49">
            <v>3</v>
          </cell>
          <cell r="E49" t="str">
            <v xml:space="preserve">Upper Sacramento River </v>
          </cell>
          <cell r="F49" t="str">
            <v>Fall</v>
          </cell>
          <cell r="G49">
            <v>12</v>
          </cell>
          <cell r="H49">
            <v>12</v>
          </cell>
          <cell r="I49">
            <v>3703</v>
          </cell>
          <cell r="J49">
            <v>0</v>
          </cell>
          <cell r="K49">
            <v>0</v>
          </cell>
          <cell r="L49">
            <v>457</v>
          </cell>
          <cell r="M49">
            <v>46</v>
          </cell>
          <cell r="N49">
            <v>0</v>
          </cell>
          <cell r="O49">
            <v>0</v>
          </cell>
          <cell r="P49">
            <v>0</v>
          </cell>
          <cell r="Q49">
            <v>0</v>
          </cell>
          <cell r="R49">
            <v>0</v>
          </cell>
          <cell r="S49">
            <v>0</v>
          </cell>
          <cell r="T49">
            <v>0</v>
          </cell>
          <cell r="U49">
            <v>0</v>
          </cell>
          <cell r="V49">
            <v>0</v>
          </cell>
          <cell r="W49">
            <v>0</v>
          </cell>
          <cell r="Z49">
            <v>5645</v>
          </cell>
          <cell r="AC49">
            <v>0.749</v>
          </cell>
        </row>
        <row r="50">
          <cell r="A50" t="str">
            <v>LSAC463</v>
          </cell>
          <cell r="B50" t="str">
            <v>LSAC</v>
          </cell>
          <cell r="C50">
            <v>46</v>
          </cell>
          <cell r="D50">
            <v>3</v>
          </cell>
          <cell r="E50" t="str">
            <v xml:space="preserve">Lower Sacramento River </v>
          </cell>
          <cell r="F50" t="str">
            <v>Fall</v>
          </cell>
          <cell r="G50">
            <v>27</v>
          </cell>
          <cell r="H50">
            <v>136</v>
          </cell>
          <cell r="I50">
            <v>108</v>
          </cell>
          <cell r="J50">
            <v>0</v>
          </cell>
          <cell r="K50">
            <v>27</v>
          </cell>
          <cell r="L50">
            <v>1816</v>
          </cell>
          <cell r="M50">
            <v>536</v>
          </cell>
          <cell r="N50">
            <v>0</v>
          </cell>
          <cell r="O50">
            <v>1182</v>
          </cell>
          <cell r="P50">
            <v>0</v>
          </cell>
          <cell r="Q50">
            <v>135</v>
          </cell>
          <cell r="R50">
            <v>54</v>
          </cell>
          <cell r="S50">
            <v>107</v>
          </cell>
          <cell r="T50">
            <v>0</v>
          </cell>
          <cell r="U50">
            <v>143</v>
          </cell>
          <cell r="V50">
            <v>0</v>
          </cell>
          <cell r="W50">
            <v>0</v>
          </cell>
          <cell r="Z50">
            <v>5186</v>
          </cell>
          <cell r="AC50">
            <v>0.82399999999999995</v>
          </cell>
        </row>
        <row r="51">
          <cell r="A51" t="str">
            <v>FEA463</v>
          </cell>
          <cell r="B51" t="str">
            <v>FEA</v>
          </cell>
          <cell r="C51">
            <v>46</v>
          </cell>
          <cell r="D51">
            <v>3</v>
          </cell>
          <cell r="E51" t="str">
            <v xml:space="preserve">Feather River </v>
          </cell>
          <cell r="F51" t="str">
            <v>Fall</v>
          </cell>
          <cell r="G51">
            <v>0</v>
          </cell>
          <cell r="H51">
            <v>0</v>
          </cell>
          <cell r="I51">
            <v>0</v>
          </cell>
          <cell r="J51">
            <v>216</v>
          </cell>
          <cell r="K51">
            <v>43</v>
          </cell>
          <cell r="L51">
            <v>1289</v>
          </cell>
          <cell r="M51">
            <v>779</v>
          </cell>
          <cell r="N51">
            <v>0</v>
          </cell>
          <cell r="O51">
            <v>0</v>
          </cell>
          <cell r="P51">
            <v>0</v>
          </cell>
          <cell r="Q51">
            <v>0</v>
          </cell>
          <cell r="R51">
            <v>11</v>
          </cell>
          <cell r="S51">
            <v>0</v>
          </cell>
          <cell r="T51">
            <v>0</v>
          </cell>
          <cell r="U51">
            <v>0</v>
          </cell>
          <cell r="V51">
            <v>0</v>
          </cell>
          <cell r="W51">
            <v>0</v>
          </cell>
          <cell r="Z51">
            <v>3368</v>
          </cell>
          <cell r="AC51">
            <v>0.69399999999999995</v>
          </cell>
        </row>
        <row r="52">
          <cell r="A52" t="str">
            <v>AMN463</v>
          </cell>
          <cell r="B52" t="str">
            <v>AMN</v>
          </cell>
          <cell r="C52">
            <v>46</v>
          </cell>
          <cell r="D52">
            <v>3</v>
          </cell>
          <cell r="E52" t="str">
            <v xml:space="preserve">American River </v>
          </cell>
          <cell r="F52" t="str">
            <v>Fall</v>
          </cell>
          <cell r="G52">
            <v>0</v>
          </cell>
          <cell r="H52">
            <v>0</v>
          </cell>
          <cell r="I52">
            <v>0</v>
          </cell>
          <cell r="J52">
            <v>0</v>
          </cell>
          <cell r="K52">
            <v>0</v>
          </cell>
          <cell r="L52">
            <v>0</v>
          </cell>
          <cell r="M52">
            <v>97</v>
          </cell>
          <cell r="N52">
            <v>0</v>
          </cell>
          <cell r="O52">
            <v>482</v>
          </cell>
          <cell r="P52">
            <v>0</v>
          </cell>
          <cell r="Q52">
            <v>289</v>
          </cell>
          <cell r="R52">
            <v>195</v>
          </cell>
          <cell r="S52">
            <v>0</v>
          </cell>
          <cell r="T52">
            <v>0</v>
          </cell>
          <cell r="U52">
            <v>0</v>
          </cell>
          <cell r="V52">
            <v>0</v>
          </cell>
          <cell r="W52">
            <v>0</v>
          </cell>
          <cell r="Z52">
            <v>2038</v>
          </cell>
          <cell r="AC52">
            <v>0.52200000000000002</v>
          </cell>
        </row>
        <row r="53">
          <cell r="A53" t="str">
            <v>MOKE463</v>
          </cell>
          <cell r="B53" t="str">
            <v>MOKE</v>
          </cell>
          <cell r="C53">
            <v>46</v>
          </cell>
          <cell r="D53">
            <v>3</v>
          </cell>
          <cell r="E53" t="str">
            <v>Mokelumne River</v>
          </cell>
          <cell r="F53" t="str">
            <v>Fall</v>
          </cell>
          <cell r="G53">
            <v>0</v>
          </cell>
          <cell r="H53">
            <v>0</v>
          </cell>
          <cell r="I53">
            <v>0</v>
          </cell>
          <cell r="J53">
            <v>0</v>
          </cell>
          <cell r="K53">
            <v>0</v>
          </cell>
          <cell r="L53">
            <v>0</v>
          </cell>
          <cell r="M53">
            <v>0</v>
          </cell>
          <cell r="N53">
            <v>0</v>
          </cell>
          <cell r="O53">
            <v>0</v>
          </cell>
          <cell r="P53">
            <v>0</v>
          </cell>
          <cell r="Q53">
            <v>98</v>
          </cell>
          <cell r="R53">
            <v>12</v>
          </cell>
          <cell r="S53">
            <v>0</v>
          </cell>
          <cell r="T53">
            <v>0</v>
          </cell>
          <cell r="U53">
            <v>0</v>
          </cell>
          <cell r="V53">
            <v>0</v>
          </cell>
          <cell r="W53">
            <v>0</v>
          </cell>
          <cell r="Z53">
            <v>183</v>
          </cell>
          <cell r="AC53">
            <v>0.60099999999999998</v>
          </cell>
        </row>
        <row r="54">
          <cell r="A54" t="str">
            <v>USAC467</v>
          </cell>
          <cell r="B54" t="str">
            <v>USAC</v>
          </cell>
          <cell r="C54">
            <v>46</v>
          </cell>
          <cell r="D54">
            <v>7</v>
          </cell>
          <cell r="E54" t="str">
            <v xml:space="preserve">Upper Sacramento River </v>
          </cell>
          <cell r="G54">
            <v>44</v>
          </cell>
          <cell r="H54">
            <v>237</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Z54">
            <v>438</v>
          </cell>
          <cell r="AC54">
            <v>0.64200000000000002</v>
          </cell>
        </row>
        <row r="55">
          <cell r="G55">
            <v>83</v>
          </cell>
          <cell r="H55">
            <v>385</v>
          </cell>
          <cell r="I55">
            <v>3811</v>
          </cell>
          <cell r="J55">
            <v>216</v>
          </cell>
          <cell r="K55">
            <v>70</v>
          </cell>
          <cell r="L55">
            <v>3562</v>
          </cell>
          <cell r="M55">
            <v>1458</v>
          </cell>
          <cell r="N55">
            <v>0</v>
          </cell>
          <cell r="O55">
            <v>1664</v>
          </cell>
          <cell r="P55">
            <v>0</v>
          </cell>
          <cell r="Q55">
            <v>522</v>
          </cell>
          <cell r="R55">
            <v>272</v>
          </cell>
          <cell r="S55">
            <v>107</v>
          </cell>
          <cell r="T55">
            <v>0</v>
          </cell>
          <cell r="U55">
            <v>143</v>
          </cell>
          <cell r="V55">
            <v>0</v>
          </cell>
          <cell r="W55">
            <v>0</v>
          </cell>
          <cell r="Z55">
            <v>16858</v>
          </cell>
          <cell r="AC55">
            <v>0.72920868430418795</v>
          </cell>
        </row>
      </sheetData>
      <sheetData sheetId="2" refreshError="1"/>
      <sheetData sheetId="3" refreshError="1"/>
      <sheetData sheetId="4">
        <row r="2">
          <cell r="G2" t="str">
            <v>sacw</v>
          </cell>
          <cell r="H2" t="str">
            <v>cfhl</v>
          </cell>
          <cell r="I2" t="str">
            <v>cfhf</v>
          </cell>
          <cell r="K2" t="str">
            <v>frhs</v>
          </cell>
          <cell r="L2" t="str">
            <v>frhf</v>
          </cell>
          <cell r="M2" t="str">
            <v>frhfn</v>
          </cell>
          <cell r="N2" t="str">
            <v>frhfgg</v>
          </cell>
          <cell r="O2" t="str">
            <v>nimf</v>
          </cell>
          <cell r="P2" t="str">
            <v>nimfn</v>
          </cell>
          <cell r="Q2" t="str">
            <v>mokf</v>
          </cell>
          <cell r="R2" t="str">
            <v>mokfn</v>
          </cell>
          <cell r="S2" t="str">
            <v>mokfnc</v>
          </cell>
          <cell r="T2" t="str">
            <v>mokfgg</v>
          </cell>
          <cell r="U2" t="str">
            <v>merf</v>
          </cell>
          <cell r="V2" t="str">
            <v>merfn</v>
          </cell>
          <cell r="W2" t="str">
            <v>sjosx</v>
          </cell>
          <cell r="X2" t="str">
            <v>noncv</v>
          </cell>
        </row>
        <row r="3">
          <cell r="G3">
            <v>0</v>
          </cell>
          <cell r="H3">
            <v>23</v>
          </cell>
          <cell r="I3">
            <v>11772</v>
          </cell>
          <cell r="K3">
            <v>0</v>
          </cell>
          <cell r="L3">
            <v>0</v>
          </cell>
          <cell r="M3">
            <v>73</v>
          </cell>
          <cell r="N3">
            <v>69</v>
          </cell>
          <cell r="O3">
            <v>4</v>
          </cell>
          <cell r="P3">
            <v>8</v>
          </cell>
          <cell r="Q3">
            <v>0</v>
          </cell>
          <cell r="R3">
            <v>4</v>
          </cell>
          <cell r="S3">
            <v>1</v>
          </cell>
          <cell r="T3">
            <v>4</v>
          </cell>
          <cell r="U3">
            <v>0</v>
          </cell>
          <cell r="V3">
            <v>0</v>
          </cell>
          <cell r="W3">
            <v>0</v>
          </cell>
          <cell r="X3">
            <v>0</v>
          </cell>
          <cell r="Y3">
            <v>11958</v>
          </cell>
          <cell r="Z3">
            <v>1779</v>
          </cell>
          <cell r="AA3">
            <v>13737</v>
          </cell>
          <cell r="AB3">
            <v>0.87</v>
          </cell>
          <cell r="AC3" t="str">
            <v>CNFH503</v>
          </cell>
        </row>
        <row r="4">
          <cell r="G4">
            <v>1002</v>
          </cell>
          <cell r="H4">
            <v>0</v>
          </cell>
          <cell r="I4">
            <v>0</v>
          </cell>
          <cell r="K4">
            <v>0</v>
          </cell>
          <cell r="L4">
            <v>0</v>
          </cell>
          <cell r="M4">
            <v>0</v>
          </cell>
          <cell r="N4">
            <v>0</v>
          </cell>
          <cell r="O4">
            <v>0</v>
          </cell>
          <cell r="P4">
            <v>0</v>
          </cell>
          <cell r="Q4">
            <v>0</v>
          </cell>
          <cell r="R4">
            <v>0</v>
          </cell>
          <cell r="S4">
            <v>0</v>
          </cell>
          <cell r="T4">
            <v>0</v>
          </cell>
          <cell r="U4">
            <v>0</v>
          </cell>
          <cell r="V4">
            <v>0</v>
          </cell>
          <cell r="W4">
            <v>0</v>
          </cell>
          <cell r="X4">
            <v>0</v>
          </cell>
          <cell r="Y4">
            <v>1002</v>
          </cell>
          <cell r="Z4">
            <v>6</v>
          </cell>
          <cell r="AA4">
            <v>1008</v>
          </cell>
          <cell r="AB4">
            <v>0.99399999999999999</v>
          </cell>
          <cell r="AC4" t="str">
            <v>CNFH504</v>
          </cell>
        </row>
        <row r="5">
          <cell r="G5">
            <v>0</v>
          </cell>
          <cell r="H5">
            <v>1793</v>
          </cell>
          <cell r="I5">
            <v>8</v>
          </cell>
          <cell r="K5">
            <v>0</v>
          </cell>
          <cell r="L5">
            <v>0</v>
          </cell>
          <cell r="M5">
            <v>0</v>
          </cell>
          <cell r="N5">
            <v>0</v>
          </cell>
          <cell r="O5">
            <v>0</v>
          </cell>
          <cell r="P5">
            <v>12</v>
          </cell>
          <cell r="Q5">
            <v>0</v>
          </cell>
          <cell r="R5">
            <v>0</v>
          </cell>
          <cell r="S5">
            <v>0</v>
          </cell>
          <cell r="T5">
            <v>4</v>
          </cell>
          <cell r="U5">
            <v>0</v>
          </cell>
          <cell r="V5">
            <v>0</v>
          </cell>
          <cell r="W5">
            <v>0</v>
          </cell>
          <cell r="X5">
            <v>0</v>
          </cell>
          <cell r="Y5">
            <v>1817</v>
          </cell>
          <cell r="Z5">
            <v>29</v>
          </cell>
          <cell r="AA5">
            <v>1846</v>
          </cell>
          <cell r="AB5">
            <v>0.98399999999999999</v>
          </cell>
          <cell r="AC5" t="str">
            <v>CNFH507</v>
          </cell>
        </row>
        <row r="6">
          <cell r="G6">
            <v>126</v>
          </cell>
          <cell r="H6">
            <v>0</v>
          </cell>
          <cell r="I6">
            <v>0</v>
          </cell>
          <cell r="K6">
            <v>0</v>
          </cell>
          <cell r="L6">
            <v>0</v>
          </cell>
          <cell r="M6">
            <v>0</v>
          </cell>
          <cell r="N6">
            <v>0</v>
          </cell>
          <cell r="O6">
            <v>0</v>
          </cell>
          <cell r="P6">
            <v>0</v>
          </cell>
          <cell r="Q6">
            <v>0</v>
          </cell>
          <cell r="R6">
            <v>0</v>
          </cell>
          <cell r="S6">
            <v>0</v>
          </cell>
          <cell r="T6">
            <v>0</v>
          </cell>
          <cell r="U6">
            <v>0</v>
          </cell>
          <cell r="V6">
            <v>0</v>
          </cell>
          <cell r="W6">
            <v>0</v>
          </cell>
          <cell r="X6">
            <v>0</v>
          </cell>
          <cell r="Y6">
            <v>126</v>
          </cell>
          <cell r="Z6">
            <v>65</v>
          </cell>
          <cell r="AA6">
            <v>191</v>
          </cell>
          <cell r="AB6">
            <v>0.66</v>
          </cell>
          <cell r="AC6" t="str">
            <v>KESW504</v>
          </cell>
        </row>
        <row r="7">
          <cell r="G7">
            <v>0</v>
          </cell>
          <cell r="H7">
            <v>0</v>
          </cell>
          <cell r="I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t="str">
            <v>KESW507</v>
          </cell>
        </row>
        <row r="8">
          <cell r="G8">
            <v>0</v>
          </cell>
          <cell r="H8">
            <v>0</v>
          </cell>
          <cell r="I8">
            <v>0</v>
          </cell>
          <cell r="K8">
            <v>1455</v>
          </cell>
          <cell r="L8">
            <v>0</v>
          </cell>
          <cell r="M8">
            <v>20</v>
          </cell>
          <cell r="N8">
            <v>8</v>
          </cell>
          <cell r="O8">
            <v>0</v>
          </cell>
          <cell r="P8">
            <v>0</v>
          </cell>
          <cell r="Q8">
            <v>0</v>
          </cell>
          <cell r="R8">
            <v>0</v>
          </cell>
          <cell r="S8">
            <v>0</v>
          </cell>
          <cell r="T8">
            <v>0</v>
          </cell>
          <cell r="U8">
            <v>0</v>
          </cell>
          <cell r="V8">
            <v>0</v>
          </cell>
          <cell r="W8">
            <v>1</v>
          </cell>
          <cell r="X8">
            <v>0</v>
          </cell>
          <cell r="Y8">
            <v>1484</v>
          </cell>
          <cell r="Z8">
            <v>70</v>
          </cell>
          <cell r="AA8">
            <v>1554</v>
          </cell>
          <cell r="AB8">
            <v>0.95499999999999996</v>
          </cell>
          <cell r="AC8" t="str">
            <v>FRFH501</v>
          </cell>
        </row>
        <row r="9">
          <cell r="G9">
            <v>0</v>
          </cell>
          <cell r="H9">
            <v>0</v>
          </cell>
          <cell r="I9">
            <v>0</v>
          </cell>
          <cell r="K9">
            <v>1236</v>
          </cell>
          <cell r="L9">
            <v>335</v>
          </cell>
          <cell r="M9">
            <v>10840</v>
          </cell>
          <cell r="N9">
            <v>6626</v>
          </cell>
          <cell r="O9">
            <v>4</v>
          </cell>
          <cell r="P9">
            <v>157</v>
          </cell>
          <cell r="Q9">
            <v>0</v>
          </cell>
          <cell r="R9">
            <v>97</v>
          </cell>
          <cell r="S9">
            <v>68</v>
          </cell>
          <cell r="T9">
            <v>2</v>
          </cell>
          <cell r="U9">
            <v>0</v>
          </cell>
          <cell r="V9">
            <v>208</v>
          </cell>
          <cell r="W9">
            <v>5</v>
          </cell>
          <cell r="X9">
            <v>0</v>
          </cell>
          <cell r="Y9">
            <v>19578</v>
          </cell>
          <cell r="Z9">
            <v>2615</v>
          </cell>
          <cell r="AA9">
            <v>22193</v>
          </cell>
          <cell r="AB9">
            <v>0.88200000000000001</v>
          </cell>
          <cell r="AC9" t="str">
            <v>FRFH503</v>
          </cell>
        </row>
        <row r="10">
          <cell r="G10">
            <v>0</v>
          </cell>
          <cell r="H10">
            <v>1</v>
          </cell>
          <cell r="I10">
            <v>4</v>
          </cell>
          <cell r="K10">
            <v>0</v>
          </cell>
          <cell r="L10">
            <v>0</v>
          </cell>
          <cell r="M10">
            <v>80</v>
          </cell>
          <cell r="N10">
            <v>77</v>
          </cell>
          <cell r="O10">
            <v>576</v>
          </cell>
          <cell r="P10">
            <v>3361</v>
          </cell>
          <cell r="Q10">
            <v>1</v>
          </cell>
          <cell r="R10">
            <v>927</v>
          </cell>
          <cell r="S10">
            <v>80</v>
          </cell>
          <cell r="T10">
            <v>84</v>
          </cell>
          <cell r="U10">
            <v>0</v>
          </cell>
          <cell r="V10">
            <v>218</v>
          </cell>
          <cell r="W10">
            <v>0</v>
          </cell>
          <cell r="X10">
            <v>0</v>
          </cell>
          <cell r="Y10">
            <v>5409</v>
          </cell>
          <cell r="Z10">
            <v>855</v>
          </cell>
          <cell r="AA10">
            <v>6264</v>
          </cell>
          <cell r="AB10">
            <v>0.86399999999999999</v>
          </cell>
          <cell r="AC10" t="str">
            <v>NBFH503</v>
          </cell>
        </row>
        <row r="11">
          <cell r="G11">
            <v>0</v>
          </cell>
          <cell r="H11">
            <v>2</v>
          </cell>
          <cell r="I11">
            <v>4</v>
          </cell>
          <cell r="K11">
            <v>0</v>
          </cell>
          <cell r="L11">
            <v>0</v>
          </cell>
          <cell r="M11">
            <v>36</v>
          </cell>
          <cell r="N11">
            <v>32</v>
          </cell>
          <cell r="O11">
            <v>0</v>
          </cell>
          <cell r="P11">
            <v>217</v>
          </cell>
          <cell r="Q11">
            <v>44</v>
          </cell>
          <cell r="R11">
            <v>2188</v>
          </cell>
          <cell r="S11">
            <v>86</v>
          </cell>
          <cell r="T11">
            <v>58</v>
          </cell>
          <cell r="U11">
            <v>5</v>
          </cell>
          <cell r="V11">
            <v>287</v>
          </cell>
          <cell r="W11">
            <v>0</v>
          </cell>
          <cell r="X11">
            <v>0</v>
          </cell>
          <cell r="Y11">
            <v>2959</v>
          </cell>
          <cell r="Z11">
            <v>484</v>
          </cell>
          <cell r="AA11">
            <v>3443</v>
          </cell>
          <cell r="AB11">
            <v>0.85899999999999999</v>
          </cell>
          <cell r="AC11" t="str">
            <v>MRFI503</v>
          </cell>
        </row>
        <row r="12">
          <cell r="G12">
            <v>0</v>
          </cell>
          <cell r="H12">
            <v>1</v>
          </cell>
          <cell r="I12">
            <v>0</v>
          </cell>
          <cell r="K12">
            <v>0</v>
          </cell>
          <cell r="L12">
            <v>0</v>
          </cell>
          <cell r="M12">
            <v>4</v>
          </cell>
          <cell r="N12">
            <v>12</v>
          </cell>
          <cell r="O12">
            <v>0</v>
          </cell>
          <cell r="P12">
            <v>12</v>
          </cell>
          <cell r="Q12">
            <v>0</v>
          </cell>
          <cell r="R12">
            <v>41</v>
          </cell>
          <cell r="S12">
            <v>4</v>
          </cell>
          <cell r="T12">
            <v>4</v>
          </cell>
          <cell r="U12">
            <v>18</v>
          </cell>
          <cell r="V12">
            <v>63</v>
          </cell>
          <cell r="W12">
            <v>0</v>
          </cell>
          <cell r="X12">
            <v>0</v>
          </cell>
          <cell r="Y12">
            <v>159</v>
          </cell>
          <cell r="Z12">
            <v>26</v>
          </cell>
          <cell r="AA12">
            <v>185</v>
          </cell>
          <cell r="AB12">
            <v>0.85899999999999999</v>
          </cell>
          <cell r="AC12" t="str">
            <v>MRFF503</v>
          </cell>
        </row>
        <row r="13">
          <cell r="G13">
            <v>0</v>
          </cell>
          <cell r="H13">
            <v>52</v>
          </cell>
          <cell r="I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52</v>
          </cell>
          <cell r="Z13">
            <v>2</v>
          </cell>
          <cell r="AA13">
            <v>54</v>
          </cell>
          <cell r="AB13">
            <v>0.96299999999999997</v>
          </cell>
          <cell r="AC13" t="str">
            <v>CNFW527</v>
          </cell>
        </row>
        <row r="14">
          <cell r="G14">
            <v>0</v>
          </cell>
          <cell r="H14">
            <v>31</v>
          </cell>
          <cell r="I14">
            <v>16330</v>
          </cell>
          <cell r="K14">
            <v>0</v>
          </cell>
          <cell r="L14">
            <v>0</v>
          </cell>
          <cell r="M14">
            <v>101</v>
          </cell>
          <cell r="N14">
            <v>96</v>
          </cell>
          <cell r="O14">
            <v>6</v>
          </cell>
          <cell r="P14">
            <v>11</v>
          </cell>
          <cell r="Q14">
            <v>0</v>
          </cell>
          <cell r="R14">
            <v>6</v>
          </cell>
          <cell r="S14">
            <v>1</v>
          </cell>
          <cell r="T14">
            <v>6</v>
          </cell>
          <cell r="U14">
            <v>0</v>
          </cell>
          <cell r="V14">
            <v>0</v>
          </cell>
          <cell r="W14">
            <v>0</v>
          </cell>
          <cell r="X14">
            <v>0</v>
          </cell>
          <cell r="Y14">
            <v>16588</v>
          </cell>
          <cell r="Z14">
            <v>2467</v>
          </cell>
          <cell r="AA14">
            <v>19055</v>
          </cell>
          <cell r="AB14">
            <v>0.871</v>
          </cell>
          <cell r="AC14" t="str">
            <v>BATT543</v>
          </cell>
        </row>
        <row r="15">
          <cell r="G15">
            <v>0</v>
          </cell>
          <cell r="H15">
            <v>0</v>
          </cell>
          <cell r="I15">
            <v>2361</v>
          </cell>
          <cell r="K15">
            <v>0</v>
          </cell>
          <cell r="L15">
            <v>8</v>
          </cell>
          <cell r="M15">
            <v>683</v>
          </cell>
          <cell r="N15">
            <v>314</v>
          </cell>
          <cell r="O15">
            <v>0</v>
          </cell>
          <cell r="P15">
            <v>0</v>
          </cell>
          <cell r="Q15">
            <v>0</v>
          </cell>
          <cell r="R15">
            <v>0</v>
          </cell>
          <cell r="S15">
            <v>24</v>
          </cell>
          <cell r="T15">
            <v>0</v>
          </cell>
          <cell r="U15">
            <v>0</v>
          </cell>
          <cell r="V15">
            <v>0</v>
          </cell>
          <cell r="W15">
            <v>0</v>
          </cell>
          <cell r="X15">
            <v>0</v>
          </cell>
          <cell r="Y15">
            <v>3390</v>
          </cell>
          <cell r="Z15">
            <v>3241</v>
          </cell>
          <cell r="AA15">
            <v>6631</v>
          </cell>
          <cell r="AB15">
            <v>0.51100000000000001</v>
          </cell>
          <cell r="AC15" t="str">
            <v>CLR543</v>
          </cell>
        </row>
        <row r="16">
          <cell r="AC16" t="str">
            <v>COT543</v>
          </cell>
        </row>
        <row r="17">
          <cell r="AC17" t="str">
            <v>COW543</v>
          </cell>
        </row>
        <row r="18">
          <cell r="AC18" t="str">
            <v>MLC543</v>
          </cell>
        </row>
        <row r="19">
          <cell r="G19">
            <v>0</v>
          </cell>
          <cell r="H19">
            <v>0</v>
          </cell>
          <cell r="I19">
            <v>3266</v>
          </cell>
          <cell r="K19">
            <v>17</v>
          </cell>
          <cell r="L19">
            <v>0</v>
          </cell>
          <cell r="M19">
            <v>1465</v>
          </cell>
          <cell r="N19">
            <v>835</v>
          </cell>
          <cell r="O19">
            <v>0</v>
          </cell>
          <cell r="P19">
            <v>0</v>
          </cell>
          <cell r="Q19">
            <v>0</v>
          </cell>
          <cell r="R19">
            <v>33</v>
          </cell>
          <cell r="S19">
            <v>17</v>
          </cell>
          <cell r="T19">
            <v>0</v>
          </cell>
          <cell r="U19">
            <v>0</v>
          </cell>
          <cell r="V19">
            <v>34</v>
          </cell>
          <cell r="W19">
            <v>0</v>
          </cell>
          <cell r="X19">
            <v>0</v>
          </cell>
          <cell r="Y19">
            <v>5667</v>
          </cell>
          <cell r="Z19">
            <v>7860</v>
          </cell>
          <cell r="AA19">
            <v>13527</v>
          </cell>
          <cell r="AB19">
            <v>0.41899999999999998</v>
          </cell>
          <cell r="AC19" t="str">
            <v>USAC543</v>
          </cell>
        </row>
        <row r="20">
          <cell r="G20">
            <v>2681</v>
          </cell>
          <cell r="H20">
            <v>0</v>
          </cell>
          <cell r="I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2681</v>
          </cell>
          <cell r="Z20">
            <v>3514</v>
          </cell>
          <cell r="AA20">
            <v>6195</v>
          </cell>
          <cell r="AB20">
            <v>0.433</v>
          </cell>
          <cell r="AC20" t="str">
            <v>USAC544</v>
          </cell>
        </row>
        <row r="21">
          <cell r="G21">
            <v>30</v>
          </cell>
          <cell r="H21">
            <v>182</v>
          </cell>
          <cell r="I21">
            <v>0</v>
          </cell>
          <cell r="K21">
            <v>0</v>
          </cell>
          <cell r="L21">
            <v>0</v>
          </cell>
          <cell r="M21">
            <v>0</v>
          </cell>
          <cell r="N21">
            <v>0</v>
          </cell>
          <cell r="O21">
            <v>0</v>
          </cell>
          <cell r="P21">
            <v>24</v>
          </cell>
          <cell r="Q21">
            <v>0</v>
          </cell>
          <cell r="R21">
            <v>0</v>
          </cell>
          <cell r="S21">
            <v>0</v>
          </cell>
          <cell r="T21">
            <v>0</v>
          </cell>
          <cell r="U21">
            <v>0</v>
          </cell>
          <cell r="V21">
            <v>0</v>
          </cell>
          <cell r="W21">
            <v>0</v>
          </cell>
          <cell r="X21">
            <v>0</v>
          </cell>
          <cell r="Y21">
            <v>236</v>
          </cell>
          <cell r="Z21">
            <v>1611</v>
          </cell>
          <cell r="AA21">
            <v>1847</v>
          </cell>
          <cell r="AB21">
            <v>0.128</v>
          </cell>
          <cell r="AC21" t="str">
            <v>USAC547</v>
          </cell>
        </row>
        <row r="22">
          <cell r="G22">
            <v>0</v>
          </cell>
          <cell r="H22">
            <v>0</v>
          </cell>
          <cell r="I22">
            <v>0</v>
          </cell>
          <cell r="K22">
            <v>1772</v>
          </cell>
          <cell r="L22">
            <v>583</v>
          </cell>
          <cell r="M22">
            <v>17212</v>
          </cell>
          <cell r="N22">
            <v>10021</v>
          </cell>
          <cell r="O22">
            <v>0</v>
          </cell>
          <cell r="P22">
            <v>71</v>
          </cell>
          <cell r="Q22">
            <v>0</v>
          </cell>
          <cell r="R22">
            <v>212</v>
          </cell>
          <cell r="S22">
            <v>197</v>
          </cell>
          <cell r="T22">
            <v>0</v>
          </cell>
          <cell r="U22">
            <v>0</v>
          </cell>
          <cell r="V22">
            <v>342</v>
          </cell>
          <cell r="W22">
            <v>9</v>
          </cell>
          <cell r="X22">
            <v>0</v>
          </cell>
          <cell r="Y22">
            <v>30419</v>
          </cell>
          <cell r="Z22">
            <v>12550</v>
          </cell>
          <cell r="AA22">
            <v>42969</v>
          </cell>
          <cell r="AB22">
            <v>0.70799999999999996</v>
          </cell>
          <cell r="AC22" t="str">
            <v>FEA543</v>
          </cell>
        </row>
        <row r="23">
          <cell r="G23">
            <v>0</v>
          </cell>
          <cell r="H23">
            <v>0</v>
          </cell>
          <cell r="I23">
            <v>0</v>
          </cell>
          <cell r="K23">
            <v>13</v>
          </cell>
          <cell r="L23">
            <v>51</v>
          </cell>
          <cell r="M23">
            <v>352</v>
          </cell>
          <cell r="N23">
            <v>152</v>
          </cell>
          <cell r="O23">
            <v>0</v>
          </cell>
          <cell r="P23">
            <v>303</v>
          </cell>
          <cell r="Q23">
            <v>13</v>
          </cell>
          <cell r="R23">
            <v>405</v>
          </cell>
          <cell r="S23">
            <v>103</v>
          </cell>
          <cell r="T23">
            <v>50</v>
          </cell>
          <cell r="U23">
            <v>0</v>
          </cell>
          <cell r="V23">
            <v>176</v>
          </cell>
          <cell r="W23">
            <v>0</v>
          </cell>
          <cell r="X23">
            <v>0</v>
          </cell>
          <cell r="Y23">
            <v>1618</v>
          </cell>
          <cell r="Z23">
            <v>2228</v>
          </cell>
          <cell r="AA23">
            <v>3846</v>
          </cell>
          <cell r="AB23">
            <v>0.42099999999999999</v>
          </cell>
          <cell r="AC23" t="str">
            <v>YUBA543</v>
          </cell>
        </row>
        <row r="24">
          <cell r="G24">
            <v>0</v>
          </cell>
          <cell r="H24">
            <v>0</v>
          </cell>
          <cell r="I24">
            <v>0</v>
          </cell>
          <cell r="K24">
            <v>0</v>
          </cell>
          <cell r="L24">
            <v>0</v>
          </cell>
          <cell r="M24">
            <v>157</v>
          </cell>
          <cell r="N24">
            <v>45</v>
          </cell>
          <cell r="O24">
            <v>0</v>
          </cell>
          <cell r="P24">
            <v>22</v>
          </cell>
          <cell r="Q24">
            <v>0</v>
          </cell>
          <cell r="R24">
            <v>6</v>
          </cell>
          <cell r="S24">
            <v>17</v>
          </cell>
          <cell r="T24">
            <v>6</v>
          </cell>
          <cell r="U24">
            <v>0</v>
          </cell>
          <cell r="V24">
            <v>29</v>
          </cell>
          <cell r="W24">
            <v>0</v>
          </cell>
          <cell r="X24">
            <v>0</v>
          </cell>
          <cell r="Y24">
            <v>282</v>
          </cell>
          <cell r="Z24">
            <v>66</v>
          </cell>
          <cell r="AA24">
            <v>348</v>
          </cell>
          <cell r="AB24">
            <v>0.81</v>
          </cell>
          <cell r="AC24" t="str">
            <v>YUBB543</v>
          </cell>
        </row>
        <row r="25">
          <cell r="G25">
            <v>0</v>
          </cell>
          <cell r="H25">
            <v>0</v>
          </cell>
          <cell r="I25">
            <v>0</v>
          </cell>
          <cell r="K25">
            <v>2</v>
          </cell>
          <cell r="L25">
            <v>0</v>
          </cell>
          <cell r="M25">
            <v>844</v>
          </cell>
          <cell r="N25">
            <v>554</v>
          </cell>
          <cell r="O25">
            <v>1902</v>
          </cell>
          <cell r="P25">
            <v>10286</v>
          </cell>
          <cell r="Q25">
            <v>25</v>
          </cell>
          <cell r="R25">
            <v>3945</v>
          </cell>
          <cell r="S25">
            <v>638</v>
          </cell>
          <cell r="T25">
            <v>205</v>
          </cell>
          <cell r="U25">
            <v>0</v>
          </cell>
          <cell r="V25">
            <v>1034</v>
          </cell>
          <cell r="W25">
            <v>2</v>
          </cell>
          <cell r="X25">
            <v>0</v>
          </cell>
          <cell r="Y25">
            <v>19437</v>
          </cell>
          <cell r="Z25">
            <v>3019</v>
          </cell>
          <cell r="AA25">
            <v>22456</v>
          </cell>
          <cell r="AB25">
            <v>0.86599999999999999</v>
          </cell>
          <cell r="AC25" t="str">
            <v>LARC543</v>
          </cell>
        </row>
        <row r="26">
          <cell r="G26">
            <v>0</v>
          </cell>
          <cell r="H26">
            <v>0</v>
          </cell>
          <cell r="I26">
            <v>0</v>
          </cell>
          <cell r="K26">
            <v>0</v>
          </cell>
          <cell r="L26">
            <v>0</v>
          </cell>
          <cell r="M26">
            <v>0</v>
          </cell>
          <cell r="N26">
            <v>179</v>
          </cell>
          <cell r="O26">
            <v>0</v>
          </cell>
          <cell r="P26">
            <v>0</v>
          </cell>
          <cell r="Q26">
            <v>0</v>
          </cell>
          <cell r="R26">
            <v>176</v>
          </cell>
          <cell r="S26">
            <v>89</v>
          </cell>
          <cell r="T26">
            <v>0</v>
          </cell>
          <cell r="U26">
            <v>0</v>
          </cell>
          <cell r="V26">
            <v>0</v>
          </cell>
          <cell r="W26">
            <v>0</v>
          </cell>
          <cell r="X26">
            <v>0</v>
          </cell>
          <cell r="Y26">
            <v>444</v>
          </cell>
          <cell r="Z26">
            <v>157</v>
          </cell>
          <cell r="AA26">
            <v>601</v>
          </cell>
          <cell r="AB26">
            <v>0.73899999999999999</v>
          </cell>
          <cell r="AC26" t="str">
            <v>MOKE543</v>
          </cell>
        </row>
        <row r="27">
          <cell r="G27">
            <v>0</v>
          </cell>
          <cell r="H27">
            <v>0</v>
          </cell>
          <cell r="I27">
            <v>0</v>
          </cell>
          <cell r="K27">
            <v>0</v>
          </cell>
          <cell r="L27">
            <v>0</v>
          </cell>
          <cell r="M27">
            <v>27</v>
          </cell>
          <cell r="N27">
            <v>0</v>
          </cell>
          <cell r="O27">
            <v>0</v>
          </cell>
          <cell r="P27">
            <v>13</v>
          </cell>
          <cell r="Q27">
            <v>0</v>
          </cell>
          <cell r="R27">
            <v>258</v>
          </cell>
          <cell r="S27">
            <v>13</v>
          </cell>
          <cell r="T27">
            <v>0</v>
          </cell>
          <cell r="U27">
            <v>0</v>
          </cell>
          <cell r="V27">
            <v>31</v>
          </cell>
          <cell r="W27">
            <v>0</v>
          </cell>
          <cell r="X27">
            <v>0</v>
          </cell>
          <cell r="Y27">
            <v>342</v>
          </cell>
          <cell r="Z27">
            <v>199</v>
          </cell>
          <cell r="AA27">
            <v>541</v>
          </cell>
          <cell r="AB27">
            <v>0.63200000000000001</v>
          </cell>
          <cell r="AC27" t="str">
            <v>STA543</v>
          </cell>
        </row>
        <row r="28">
          <cell r="G28">
            <v>0</v>
          </cell>
          <cell r="H28">
            <v>0</v>
          </cell>
          <cell r="I28">
            <v>0</v>
          </cell>
          <cell r="K28">
            <v>0</v>
          </cell>
          <cell r="L28">
            <v>0</v>
          </cell>
          <cell r="M28">
            <v>7</v>
          </cell>
          <cell r="N28">
            <v>0</v>
          </cell>
          <cell r="O28">
            <v>0</v>
          </cell>
          <cell r="P28">
            <v>14</v>
          </cell>
          <cell r="Q28">
            <v>0</v>
          </cell>
          <cell r="R28">
            <v>35</v>
          </cell>
          <cell r="S28">
            <v>0</v>
          </cell>
          <cell r="T28">
            <v>0</v>
          </cell>
          <cell r="U28">
            <v>0</v>
          </cell>
          <cell r="V28">
            <v>53</v>
          </cell>
          <cell r="W28">
            <v>0</v>
          </cell>
          <cell r="X28">
            <v>0</v>
          </cell>
          <cell r="Y28">
            <v>109</v>
          </cell>
          <cell r="Z28">
            <v>162</v>
          </cell>
          <cell r="AA28">
            <v>271</v>
          </cell>
          <cell r="AB28">
            <v>0.40200000000000002</v>
          </cell>
          <cell r="AC28" t="str">
            <v>TUO543</v>
          </cell>
        </row>
        <row r="29">
          <cell r="G29">
            <v>0</v>
          </cell>
          <cell r="H29">
            <v>0</v>
          </cell>
          <cell r="I29">
            <v>0</v>
          </cell>
          <cell r="K29">
            <v>0</v>
          </cell>
          <cell r="L29">
            <v>0</v>
          </cell>
          <cell r="M29">
            <v>0</v>
          </cell>
          <cell r="N29">
            <v>0</v>
          </cell>
          <cell r="O29">
            <v>0</v>
          </cell>
          <cell r="P29">
            <v>43</v>
          </cell>
          <cell r="Q29">
            <v>0</v>
          </cell>
          <cell r="R29">
            <v>64</v>
          </cell>
          <cell r="S29">
            <v>0</v>
          </cell>
          <cell r="T29">
            <v>0</v>
          </cell>
          <cell r="U29">
            <v>26</v>
          </cell>
          <cell r="V29">
            <v>74</v>
          </cell>
          <cell r="W29">
            <v>0</v>
          </cell>
          <cell r="X29">
            <v>0</v>
          </cell>
          <cell r="Y29">
            <v>207</v>
          </cell>
          <cell r="Z29">
            <v>219</v>
          </cell>
          <cell r="AA29">
            <v>426</v>
          </cell>
          <cell r="AB29">
            <v>0.48599999999999999</v>
          </cell>
          <cell r="AC29" t="str">
            <v>MER543</v>
          </cell>
        </row>
        <row r="30">
          <cell r="G30">
            <v>0</v>
          </cell>
          <cell r="H30">
            <v>0</v>
          </cell>
          <cell r="I30">
            <v>0</v>
          </cell>
          <cell r="K30">
            <v>0</v>
          </cell>
          <cell r="L30">
            <v>0</v>
          </cell>
          <cell r="M30">
            <v>0</v>
          </cell>
          <cell r="N30">
            <v>0</v>
          </cell>
          <cell r="O30">
            <v>0</v>
          </cell>
          <cell r="P30">
            <v>4</v>
          </cell>
          <cell r="Q30">
            <v>0</v>
          </cell>
          <cell r="R30">
            <v>0</v>
          </cell>
          <cell r="S30">
            <v>0</v>
          </cell>
          <cell r="T30">
            <v>0</v>
          </cell>
          <cell r="U30">
            <v>0</v>
          </cell>
          <cell r="V30">
            <v>0</v>
          </cell>
          <cell r="W30">
            <v>13</v>
          </cell>
          <cell r="X30">
            <v>0</v>
          </cell>
          <cell r="Y30">
            <v>17</v>
          </cell>
          <cell r="Z30">
            <v>2</v>
          </cell>
          <cell r="AA30">
            <v>19</v>
          </cell>
          <cell r="AB30">
            <v>0.89500000000000002</v>
          </cell>
          <cell r="AC30" t="str">
            <v>UPSJ541</v>
          </cell>
        </row>
        <row r="31">
          <cell r="G31">
            <v>27</v>
          </cell>
          <cell r="H31">
            <v>136</v>
          </cell>
          <cell r="I31">
            <v>108</v>
          </cell>
          <cell r="K31">
            <v>0</v>
          </cell>
          <cell r="L31">
            <v>27</v>
          </cell>
          <cell r="M31">
            <v>1816</v>
          </cell>
          <cell r="N31">
            <v>536</v>
          </cell>
          <cell r="O31">
            <v>0</v>
          </cell>
          <cell r="P31">
            <v>1182</v>
          </cell>
          <cell r="Q31">
            <v>0</v>
          </cell>
          <cell r="R31">
            <v>135</v>
          </cell>
          <cell r="S31">
            <v>54</v>
          </cell>
          <cell r="T31">
            <v>107</v>
          </cell>
          <cell r="U31">
            <v>0</v>
          </cell>
          <cell r="V31">
            <v>143</v>
          </cell>
          <cell r="W31">
            <v>0</v>
          </cell>
          <cell r="X31">
            <v>0</v>
          </cell>
          <cell r="Y31">
            <v>4271</v>
          </cell>
          <cell r="Z31">
            <v>915</v>
          </cell>
          <cell r="AA31">
            <v>5186</v>
          </cell>
          <cell r="AB31">
            <v>0.82399999999999995</v>
          </cell>
          <cell r="AC31" t="str">
            <v>LSAC463</v>
          </cell>
        </row>
        <row r="32">
          <cell r="G32">
            <v>12</v>
          </cell>
          <cell r="H32">
            <v>12</v>
          </cell>
          <cell r="I32">
            <v>3703</v>
          </cell>
          <cell r="K32">
            <v>0</v>
          </cell>
          <cell r="L32">
            <v>0</v>
          </cell>
          <cell r="M32">
            <v>457</v>
          </cell>
          <cell r="N32">
            <v>46</v>
          </cell>
          <cell r="O32">
            <v>0</v>
          </cell>
          <cell r="P32">
            <v>0</v>
          </cell>
          <cell r="Q32">
            <v>0</v>
          </cell>
          <cell r="R32">
            <v>0</v>
          </cell>
          <cell r="S32">
            <v>0</v>
          </cell>
          <cell r="T32">
            <v>0</v>
          </cell>
          <cell r="U32">
            <v>0</v>
          </cell>
          <cell r="V32">
            <v>0</v>
          </cell>
          <cell r="W32">
            <v>0</v>
          </cell>
          <cell r="X32">
            <v>0</v>
          </cell>
          <cell r="Y32">
            <v>4230</v>
          </cell>
          <cell r="Z32">
            <v>1415</v>
          </cell>
          <cell r="AA32">
            <v>5645</v>
          </cell>
          <cell r="AB32">
            <v>0.749</v>
          </cell>
          <cell r="AC32" t="str">
            <v>USAC463</v>
          </cell>
        </row>
        <row r="33">
          <cell r="G33">
            <v>44</v>
          </cell>
          <cell r="H33">
            <v>237</v>
          </cell>
          <cell r="I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281</v>
          </cell>
          <cell r="Z33">
            <v>157</v>
          </cell>
          <cell r="AA33">
            <v>438</v>
          </cell>
          <cell r="AB33">
            <v>0.64200000000000002</v>
          </cell>
          <cell r="AC33" t="str">
            <v>USAC467</v>
          </cell>
        </row>
        <row r="34">
          <cell r="G34">
            <v>0</v>
          </cell>
          <cell r="H34">
            <v>0</v>
          </cell>
          <cell r="I34">
            <v>0</v>
          </cell>
          <cell r="K34">
            <v>216</v>
          </cell>
          <cell r="L34">
            <v>43</v>
          </cell>
          <cell r="M34">
            <v>1289</v>
          </cell>
          <cell r="N34">
            <v>779</v>
          </cell>
          <cell r="O34">
            <v>0</v>
          </cell>
          <cell r="P34">
            <v>0</v>
          </cell>
          <cell r="Q34">
            <v>0</v>
          </cell>
          <cell r="R34">
            <v>0</v>
          </cell>
          <cell r="S34">
            <v>11</v>
          </cell>
          <cell r="T34">
            <v>0</v>
          </cell>
          <cell r="U34">
            <v>0</v>
          </cell>
          <cell r="V34">
            <v>0</v>
          </cell>
          <cell r="W34">
            <v>0</v>
          </cell>
          <cell r="X34">
            <v>0</v>
          </cell>
          <cell r="Y34">
            <v>2338</v>
          </cell>
          <cell r="Z34">
            <v>1030</v>
          </cell>
          <cell r="AA34">
            <v>3368</v>
          </cell>
          <cell r="AB34">
            <v>0.69399999999999995</v>
          </cell>
          <cell r="AC34" t="str">
            <v>FEA463</v>
          </cell>
        </row>
        <row r="35">
          <cell r="G35">
            <v>0</v>
          </cell>
          <cell r="H35">
            <v>0</v>
          </cell>
          <cell r="I35">
            <v>0</v>
          </cell>
          <cell r="K35">
            <v>0</v>
          </cell>
          <cell r="L35">
            <v>0</v>
          </cell>
          <cell r="M35">
            <v>0</v>
          </cell>
          <cell r="N35">
            <v>97</v>
          </cell>
          <cell r="O35">
            <v>0</v>
          </cell>
          <cell r="P35">
            <v>482</v>
          </cell>
          <cell r="Q35">
            <v>0</v>
          </cell>
          <cell r="R35">
            <v>289</v>
          </cell>
          <cell r="S35">
            <v>195</v>
          </cell>
          <cell r="T35">
            <v>0</v>
          </cell>
          <cell r="U35">
            <v>0</v>
          </cell>
          <cell r="V35">
            <v>0</v>
          </cell>
          <cell r="W35">
            <v>0</v>
          </cell>
          <cell r="X35">
            <v>0</v>
          </cell>
          <cell r="Y35">
            <v>1063</v>
          </cell>
          <cell r="Z35">
            <v>975</v>
          </cell>
          <cell r="AA35">
            <v>2038</v>
          </cell>
          <cell r="AB35">
            <v>0.52200000000000002</v>
          </cell>
          <cell r="AC35" t="str">
            <v>AMN463</v>
          </cell>
        </row>
        <row r="36">
          <cell r="G36">
            <v>0</v>
          </cell>
          <cell r="H36">
            <v>0</v>
          </cell>
          <cell r="I36">
            <v>0</v>
          </cell>
          <cell r="K36">
            <v>0</v>
          </cell>
          <cell r="L36">
            <v>0</v>
          </cell>
          <cell r="M36">
            <v>0</v>
          </cell>
          <cell r="N36">
            <v>0</v>
          </cell>
          <cell r="O36">
            <v>0</v>
          </cell>
          <cell r="P36">
            <v>0</v>
          </cell>
          <cell r="Q36">
            <v>0</v>
          </cell>
          <cell r="R36">
            <v>98</v>
          </cell>
          <cell r="S36">
            <v>12</v>
          </cell>
          <cell r="T36">
            <v>0</v>
          </cell>
          <cell r="U36">
            <v>0</v>
          </cell>
          <cell r="V36">
            <v>0</v>
          </cell>
          <cell r="W36">
            <v>0</v>
          </cell>
          <cell r="X36">
            <v>0</v>
          </cell>
          <cell r="Y36">
            <v>110</v>
          </cell>
          <cell r="Z36">
            <v>73</v>
          </cell>
          <cell r="AA36">
            <v>183</v>
          </cell>
          <cell r="AB36">
            <v>0.60099999999999998</v>
          </cell>
          <cell r="AC36" t="str">
            <v>MOKE463</v>
          </cell>
        </row>
        <row r="38">
          <cell r="Y38">
            <v>0</v>
          </cell>
          <cell r="Z38">
            <v>1281</v>
          </cell>
          <cell r="AA38">
            <v>1281</v>
          </cell>
          <cell r="AB38">
            <v>0</v>
          </cell>
          <cell r="AC38" t="str">
            <v>BUTT541</v>
          </cell>
        </row>
      </sheetData>
      <sheetData sheetId="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 9 proportion "/>
      <sheetName val="Table 10 CWTs exp"/>
      <sheetName val="Table text"/>
      <sheetName val="Tab 10 xtra stray calculations"/>
      <sheetName val="inland_taf_hatchgrp_tableraw&amp;yy"/>
      <sheetName val="hatchery proportion only"/>
    </sheetNames>
    <sheetDataSet>
      <sheetData sheetId="0" refreshError="1"/>
      <sheetData sheetId="1">
        <row r="3">
          <cell r="H3" t="str">
            <v>CFH</v>
          </cell>
          <cell r="K3" t="str">
            <v>FRH</v>
          </cell>
          <cell r="O3" t="str">
            <v>NIM</v>
          </cell>
          <cell r="Q3" t="str">
            <v>MOK</v>
          </cell>
          <cell r="U3" t="str">
            <v>MER</v>
          </cell>
          <cell r="W3" t="str">
            <v>SJO</v>
          </cell>
          <cell r="X3" t="str">
            <v>Non-CV</v>
          </cell>
        </row>
        <row r="4">
          <cell r="G4" t="str">
            <v>SacW</v>
          </cell>
          <cell r="H4" t="str">
            <v>CFHL</v>
          </cell>
          <cell r="I4" t="str">
            <v>CFHF</v>
          </cell>
          <cell r="J4" t="str">
            <v>CFHFn</v>
          </cell>
          <cell r="K4" t="str">
            <v>FRHS</v>
          </cell>
          <cell r="L4" t="str">
            <v>FRHF</v>
          </cell>
          <cell r="M4" t="str">
            <v>FRHFn</v>
          </cell>
          <cell r="N4" t="str">
            <v>FRHFgg</v>
          </cell>
          <cell r="O4" t="str">
            <v>NIMF</v>
          </cell>
          <cell r="P4" t="str">
            <v>NIMFn</v>
          </cell>
          <cell r="Q4" t="str">
            <v>MOKF</v>
          </cell>
          <cell r="R4" t="str">
            <v>MOKFn</v>
          </cell>
          <cell r="S4" t="str">
            <v>MOKFnc</v>
          </cell>
          <cell r="T4" t="str">
            <v>MOKFgg</v>
          </cell>
          <cell r="U4" t="str">
            <v>MERF</v>
          </cell>
          <cell r="V4" t="str">
            <v>MERFn</v>
          </cell>
          <cell r="W4" t="str">
            <v>SJOSx</v>
          </cell>
        </row>
        <row r="6">
          <cell r="A6" t="str">
            <v>CNFH504</v>
          </cell>
          <cell r="E6" t="str">
            <v>Coleman National Fish Hatchery</v>
          </cell>
          <cell r="F6" t="str">
            <v>Winter</v>
          </cell>
          <cell r="G6">
            <v>59</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AA6">
            <v>247</v>
          </cell>
          <cell r="AD6">
            <v>0.23899999999999999</v>
          </cell>
        </row>
        <row r="7">
          <cell r="A7" t="str">
            <v>KESW504</v>
          </cell>
          <cell r="E7" t="str">
            <v>Keswick Dam Fish Trap</v>
          </cell>
          <cell r="F7" t="str">
            <v>Winter</v>
          </cell>
          <cell r="G7">
            <v>243</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AA7">
            <v>298</v>
          </cell>
          <cell r="AD7">
            <v>0.81499999999999995</v>
          </cell>
        </row>
        <row r="8">
          <cell r="A8" t="str">
            <v>FRFH501</v>
          </cell>
          <cell r="B8" t="str">
            <v>FRFH</v>
          </cell>
          <cell r="C8">
            <v>50</v>
          </cell>
          <cell r="D8">
            <v>1</v>
          </cell>
          <cell r="E8" t="str">
            <v>Feather River Hatchery</v>
          </cell>
          <cell r="F8" t="str">
            <v>Spring</v>
          </cell>
          <cell r="G8">
            <v>0</v>
          </cell>
          <cell r="H8">
            <v>0</v>
          </cell>
          <cell r="I8">
            <v>0</v>
          </cell>
          <cell r="J8">
            <v>0</v>
          </cell>
          <cell r="K8">
            <v>1590</v>
          </cell>
          <cell r="L8">
            <v>0</v>
          </cell>
          <cell r="M8">
            <v>12</v>
          </cell>
          <cell r="N8">
            <v>4</v>
          </cell>
          <cell r="O8">
            <v>0</v>
          </cell>
          <cell r="P8">
            <v>0</v>
          </cell>
          <cell r="Q8">
            <v>0</v>
          </cell>
          <cell r="R8">
            <v>0</v>
          </cell>
          <cell r="S8">
            <v>0</v>
          </cell>
          <cell r="T8">
            <v>0</v>
          </cell>
          <cell r="U8">
            <v>0</v>
          </cell>
          <cell r="V8">
            <v>0</v>
          </cell>
          <cell r="W8">
            <v>11</v>
          </cell>
          <cell r="X8">
            <v>0</v>
          </cell>
          <cell r="AA8">
            <v>1722</v>
          </cell>
          <cell r="AD8">
            <v>0.93899999999999995</v>
          </cell>
        </row>
        <row r="9">
          <cell r="A9" t="str">
            <v>KESW503</v>
          </cell>
          <cell r="B9" t="str">
            <v>KESW</v>
          </cell>
          <cell r="C9">
            <v>50</v>
          </cell>
          <cell r="D9">
            <v>3</v>
          </cell>
          <cell r="E9" t="str">
            <v>Keswick Dam Fish Trap</v>
          </cell>
          <cell r="F9" t="str">
            <v>Fall</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AA9">
            <v>0</v>
          </cell>
          <cell r="AD9">
            <v>0</v>
          </cell>
        </row>
        <row r="10">
          <cell r="A10" t="str">
            <v>CNFH503</v>
          </cell>
          <cell r="B10" t="str">
            <v>CNFH</v>
          </cell>
          <cell r="C10">
            <v>50</v>
          </cell>
          <cell r="D10">
            <v>3</v>
          </cell>
          <cell r="E10" t="str">
            <v>Coleman National Fish Hatchery</v>
          </cell>
          <cell r="F10" t="str">
            <v>Fall</v>
          </cell>
          <cell r="G10">
            <v>0</v>
          </cell>
          <cell r="H10">
            <v>1</v>
          </cell>
          <cell r="I10">
            <v>14449</v>
          </cell>
          <cell r="J10">
            <v>0</v>
          </cell>
          <cell r="K10">
            <v>0</v>
          </cell>
          <cell r="L10">
            <v>0</v>
          </cell>
          <cell r="M10">
            <v>183</v>
          </cell>
          <cell r="N10">
            <v>4</v>
          </cell>
          <cell r="O10">
            <v>0</v>
          </cell>
          <cell r="P10">
            <v>4</v>
          </cell>
          <cell r="Q10">
            <v>0</v>
          </cell>
          <cell r="R10">
            <v>0</v>
          </cell>
          <cell r="S10">
            <v>1</v>
          </cell>
          <cell r="T10">
            <v>8</v>
          </cell>
          <cell r="U10">
            <v>0</v>
          </cell>
          <cell r="V10">
            <v>4</v>
          </cell>
          <cell r="W10">
            <v>0</v>
          </cell>
          <cell r="X10">
            <v>0</v>
          </cell>
          <cell r="AA10">
            <v>16438</v>
          </cell>
          <cell r="AD10">
            <v>0.89100000000000001</v>
          </cell>
        </row>
        <row r="11">
          <cell r="A11" t="str">
            <v>FRFH503</v>
          </cell>
          <cell r="B11" t="str">
            <v>FRFH</v>
          </cell>
          <cell r="C11">
            <v>50</v>
          </cell>
          <cell r="D11">
            <v>3</v>
          </cell>
          <cell r="E11" t="str">
            <v>Feather River Hatchery</v>
          </cell>
          <cell r="F11" t="str">
            <v>Fall</v>
          </cell>
          <cell r="G11">
            <v>0</v>
          </cell>
          <cell r="H11">
            <v>0</v>
          </cell>
          <cell r="I11">
            <v>10</v>
          </cell>
          <cell r="J11">
            <v>0</v>
          </cell>
          <cell r="K11">
            <v>1635</v>
          </cell>
          <cell r="L11">
            <v>75</v>
          </cell>
          <cell r="M11">
            <v>6708</v>
          </cell>
          <cell r="N11">
            <v>772</v>
          </cell>
          <cell r="O11">
            <v>48</v>
          </cell>
          <cell r="P11">
            <v>217</v>
          </cell>
          <cell r="Q11">
            <v>2</v>
          </cell>
          <cell r="R11">
            <v>133</v>
          </cell>
          <cell r="S11">
            <v>41</v>
          </cell>
          <cell r="T11">
            <v>120</v>
          </cell>
          <cell r="U11">
            <v>0</v>
          </cell>
          <cell r="V11">
            <v>130</v>
          </cell>
          <cell r="W11">
            <v>29</v>
          </cell>
          <cell r="X11">
            <v>0</v>
          </cell>
          <cell r="AA11">
            <v>12385</v>
          </cell>
          <cell r="AD11">
            <v>0.80100000000000005</v>
          </cell>
        </row>
        <row r="12">
          <cell r="A12" t="str">
            <v>NBFH503</v>
          </cell>
          <cell r="B12" t="str">
            <v>NBFH</v>
          </cell>
          <cell r="C12">
            <v>50</v>
          </cell>
          <cell r="D12">
            <v>3</v>
          </cell>
          <cell r="E12" t="str">
            <v>Nimbus Fish Hatchery</v>
          </cell>
          <cell r="F12" t="str">
            <v>Fall</v>
          </cell>
          <cell r="G12">
            <v>0</v>
          </cell>
          <cell r="H12">
            <v>0</v>
          </cell>
          <cell r="I12">
            <v>4</v>
          </cell>
          <cell r="J12">
            <v>0</v>
          </cell>
          <cell r="K12">
            <v>0</v>
          </cell>
          <cell r="L12">
            <v>0</v>
          </cell>
          <cell r="M12">
            <v>138</v>
          </cell>
          <cell r="N12">
            <v>24</v>
          </cell>
          <cell r="O12">
            <v>2091</v>
          </cell>
          <cell r="P12">
            <v>4080</v>
          </cell>
          <cell r="Q12">
            <v>16</v>
          </cell>
          <cell r="R12">
            <v>1824</v>
          </cell>
          <cell r="S12">
            <v>241</v>
          </cell>
          <cell r="T12">
            <v>976</v>
          </cell>
          <cell r="U12">
            <v>0</v>
          </cell>
          <cell r="V12">
            <v>172</v>
          </cell>
          <cell r="W12">
            <v>1</v>
          </cell>
          <cell r="X12">
            <v>0</v>
          </cell>
          <cell r="AA12">
            <v>11077</v>
          </cell>
          <cell r="AD12">
            <v>0.86399999999999999</v>
          </cell>
        </row>
        <row r="13">
          <cell r="A13" t="str">
            <v>MRFI503</v>
          </cell>
          <cell r="B13" t="str">
            <v>MRFI</v>
          </cell>
          <cell r="C13">
            <v>50</v>
          </cell>
          <cell r="D13">
            <v>3</v>
          </cell>
          <cell r="E13" t="str">
            <v>Mokelumne River Hatchery</v>
          </cell>
          <cell r="F13" t="str">
            <v>Fall</v>
          </cell>
          <cell r="G13">
            <v>0</v>
          </cell>
          <cell r="H13">
            <v>0</v>
          </cell>
          <cell r="I13">
            <v>4</v>
          </cell>
          <cell r="J13">
            <v>0</v>
          </cell>
          <cell r="K13">
            <v>0</v>
          </cell>
          <cell r="L13">
            <v>0</v>
          </cell>
          <cell r="M13">
            <v>178</v>
          </cell>
          <cell r="N13">
            <v>20</v>
          </cell>
          <cell r="O13">
            <v>8</v>
          </cell>
          <cell r="P13">
            <v>430</v>
          </cell>
          <cell r="Q13">
            <v>54</v>
          </cell>
          <cell r="R13">
            <v>2146</v>
          </cell>
          <cell r="S13">
            <v>99</v>
          </cell>
          <cell r="T13">
            <v>564</v>
          </cell>
          <cell r="U13">
            <v>0</v>
          </cell>
          <cell r="V13">
            <v>247</v>
          </cell>
          <cell r="W13">
            <v>1</v>
          </cell>
          <cell r="X13">
            <v>0</v>
          </cell>
          <cell r="AA13">
            <v>4217</v>
          </cell>
          <cell r="AD13">
            <v>0.88900000000000001</v>
          </cell>
        </row>
        <row r="14">
          <cell r="A14" t="str">
            <v>MRFF503</v>
          </cell>
          <cell r="B14" t="str">
            <v>MRFF</v>
          </cell>
          <cell r="C14">
            <v>50</v>
          </cell>
          <cell r="D14">
            <v>3</v>
          </cell>
          <cell r="E14" t="str">
            <v>Merced River Hatchery</v>
          </cell>
          <cell r="F14" t="str">
            <v>Fall</v>
          </cell>
          <cell r="G14">
            <v>0</v>
          </cell>
          <cell r="H14">
            <v>1</v>
          </cell>
          <cell r="I14">
            <v>0</v>
          </cell>
          <cell r="J14">
            <v>0</v>
          </cell>
          <cell r="K14">
            <v>0</v>
          </cell>
          <cell r="L14">
            <v>0</v>
          </cell>
          <cell r="M14">
            <v>8</v>
          </cell>
          <cell r="N14">
            <v>0</v>
          </cell>
          <cell r="O14">
            <v>0</v>
          </cell>
          <cell r="P14">
            <v>20</v>
          </cell>
          <cell r="Q14">
            <v>0</v>
          </cell>
          <cell r="R14">
            <v>162</v>
          </cell>
          <cell r="S14">
            <v>0</v>
          </cell>
          <cell r="T14">
            <v>27</v>
          </cell>
          <cell r="U14">
            <v>0</v>
          </cell>
          <cell r="V14">
            <v>46</v>
          </cell>
          <cell r="W14">
            <v>2</v>
          </cell>
          <cell r="X14">
            <v>0</v>
          </cell>
          <cell r="AA14">
            <v>267</v>
          </cell>
          <cell r="AD14">
            <v>0.996</v>
          </cell>
        </row>
        <row r="15">
          <cell r="A15" t="str">
            <v>CNFH507</v>
          </cell>
          <cell r="B15" t="str">
            <v>CNFH</v>
          </cell>
          <cell r="C15">
            <v>50</v>
          </cell>
          <cell r="D15">
            <v>7</v>
          </cell>
          <cell r="E15" t="str">
            <v xml:space="preserve">Coleman National Fish Hatchery </v>
          </cell>
          <cell r="G15">
            <v>0</v>
          </cell>
          <cell r="H15">
            <v>2309</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AA15">
            <v>2310</v>
          </cell>
          <cell r="AD15">
            <v>1</v>
          </cell>
        </row>
        <row r="16">
          <cell r="A16" t="str">
            <v>CNFW527</v>
          </cell>
          <cell r="B16" t="str">
            <v>CNFW</v>
          </cell>
          <cell r="C16">
            <v>52</v>
          </cell>
          <cell r="D16">
            <v>7</v>
          </cell>
          <cell r="E16" t="str">
            <v>Coleman Hatchery Fish Trap</v>
          </cell>
          <cell r="G16">
            <v>0</v>
          </cell>
          <cell r="H16">
            <v>74</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AA16">
            <v>74</v>
          </cell>
          <cell r="AD16">
            <v>1</v>
          </cell>
        </row>
        <row r="17">
          <cell r="B17" t="str">
            <v>KESW</v>
          </cell>
          <cell r="C17">
            <v>50</v>
          </cell>
          <cell r="D17">
            <v>7</v>
          </cell>
          <cell r="E17" t="str">
            <v>Keswick Dam Fish Trap</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AA17">
            <v>0</v>
          </cell>
          <cell r="AD17">
            <v>0</v>
          </cell>
        </row>
        <row r="18">
          <cell r="G18">
            <v>0</v>
          </cell>
          <cell r="H18">
            <v>2</v>
          </cell>
          <cell r="I18">
            <v>14467</v>
          </cell>
          <cell r="J18">
            <v>0</v>
          </cell>
          <cell r="K18">
            <v>1635</v>
          </cell>
          <cell r="L18">
            <v>75</v>
          </cell>
          <cell r="M18">
            <v>7215</v>
          </cell>
          <cell r="N18">
            <v>820</v>
          </cell>
          <cell r="O18">
            <v>2147</v>
          </cell>
          <cell r="P18">
            <v>4751</v>
          </cell>
          <cell r="Q18">
            <v>72</v>
          </cell>
          <cell r="R18">
            <v>4265</v>
          </cell>
          <cell r="S18">
            <v>382</v>
          </cell>
          <cell r="T18">
            <v>1695</v>
          </cell>
          <cell r="U18">
            <v>0</v>
          </cell>
          <cell r="V18">
            <v>599</v>
          </cell>
          <cell r="W18">
            <v>33</v>
          </cell>
          <cell r="X18">
            <v>0</v>
          </cell>
          <cell r="Z18">
            <v>6226</v>
          </cell>
          <cell r="AA18">
            <v>44384</v>
          </cell>
          <cell r="AD18">
            <v>0.85972422494592649</v>
          </cell>
        </row>
        <row r="20">
          <cell r="A20" t="str">
            <v>USAC544</v>
          </cell>
          <cell r="B20" t="str">
            <v>USAC</v>
          </cell>
          <cell r="C20">
            <v>54</v>
          </cell>
          <cell r="D20">
            <v>4</v>
          </cell>
          <cell r="E20" t="str">
            <v>Upper Sacramento River</v>
          </cell>
          <cell r="F20" t="str">
            <v>Winter</v>
          </cell>
          <cell r="G20">
            <v>2940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AA20">
            <v>9971</v>
          </cell>
          <cell r="AD20">
            <v>0.29499999999999998</v>
          </cell>
        </row>
        <row r="21">
          <cell r="A21" t="str">
            <v>BUTT541</v>
          </cell>
          <cell r="B21" t="str">
            <v>BUTT</v>
          </cell>
          <cell r="C21">
            <v>54</v>
          </cell>
          <cell r="D21">
            <v>1</v>
          </cell>
          <cell r="E21" t="str">
            <v>Butte Creek</v>
          </cell>
          <cell r="F21" t="str">
            <v>Spring</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AA21">
            <v>1807</v>
          </cell>
          <cell r="AD21">
            <v>0</v>
          </cell>
        </row>
        <row r="22">
          <cell r="A22" t="str">
            <v>UPSJ541</v>
          </cell>
          <cell r="B22" t="str">
            <v>UPSJ</v>
          </cell>
          <cell r="C22">
            <v>54</v>
          </cell>
          <cell r="D22">
            <v>1</v>
          </cell>
          <cell r="E22" t="str">
            <v>Upper San Joaquin River</v>
          </cell>
          <cell r="F22" t="str">
            <v>Spring</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24</v>
          </cell>
          <cell r="X22">
            <v>0</v>
          </cell>
          <cell r="AA22">
            <v>32</v>
          </cell>
          <cell r="AD22">
            <v>0.75</v>
          </cell>
        </row>
        <row r="23">
          <cell r="A23" t="str">
            <v>USAC543</v>
          </cell>
          <cell r="B23" t="str">
            <v>USAC</v>
          </cell>
          <cell r="C23">
            <v>54</v>
          </cell>
          <cell r="D23">
            <v>3</v>
          </cell>
          <cell r="E23" t="str">
            <v>Upper Sacramento River</v>
          </cell>
          <cell r="F23" t="str">
            <v>Fall</v>
          </cell>
          <cell r="G23">
            <v>0</v>
          </cell>
          <cell r="H23">
            <v>0</v>
          </cell>
          <cell r="I23">
            <v>3996</v>
          </cell>
          <cell r="J23">
            <v>0</v>
          </cell>
          <cell r="K23">
            <v>0</v>
          </cell>
          <cell r="L23">
            <v>0</v>
          </cell>
          <cell r="M23">
            <v>1898</v>
          </cell>
          <cell r="N23">
            <v>237</v>
          </cell>
          <cell r="O23">
            <v>0</v>
          </cell>
          <cell r="P23">
            <v>0</v>
          </cell>
          <cell r="Q23">
            <v>0</v>
          </cell>
          <cell r="R23">
            <v>0</v>
          </cell>
          <cell r="S23">
            <v>0</v>
          </cell>
          <cell r="T23">
            <v>0</v>
          </cell>
          <cell r="U23">
            <v>0</v>
          </cell>
          <cell r="V23">
            <v>0</v>
          </cell>
          <cell r="W23">
            <v>30</v>
          </cell>
          <cell r="X23">
            <v>0</v>
          </cell>
          <cell r="AA23">
            <v>15629</v>
          </cell>
          <cell r="AD23">
            <v>0.39400000000000002</v>
          </cell>
        </row>
        <row r="24">
          <cell r="A24" t="str">
            <v>CLR543</v>
          </cell>
          <cell r="B24" t="str">
            <v>CLR</v>
          </cell>
          <cell r="C24">
            <v>54</v>
          </cell>
          <cell r="D24">
            <v>3</v>
          </cell>
          <cell r="E24" t="str">
            <v>Clear Creek</v>
          </cell>
          <cell r="F24" t="str">
            <v>Fall</v>
          </cell>
          <cell r="G24">
            <v>0</v>
          </cell>
          <cell r="H24">
            <v>0</v>
          </cell>
          <cell r="I24">
            <v>6407</v>
          </cell>
          <cell r="J24">
            <v>0</v>
          </cell>
          <cell r="K24">
            <v>0</v>
          </cell>
          <cell r="L24">
            <v>0</v>
          </cell>
          <cell r="M24">
            <v>3193</v>
          </cell>
          <cell r="N24">
            <v>686</v>
          </cell>
          <cell r="O24">
            <v>57</v>
          </cell>
          <cell r="P24">
            <v>227</v>
          </cell>
          <cell r="Q24">
            <v>0</v>
          </cell>
          <cell r="R24">
            <v>0</v>
          </cell>
          <cell r="S24">
            <v>14</v>
          </cell>
          <cell r="T24">
            <v>57</v>
          </cell>
          <cell r="U24">
            <v>0</v>
          </cell>
          <cell r="V24">
            <v>133</v>
          </cell>
          <cell r="W24">
            <v>0</v>
          </cell>
          <cell r="X24">
            <v>0</v>
          </cell>
          <cell r="AA24">
            <v>19867</v>
          </cell>
          <cell r="AD24">
            <v>0.54200000000000004</v>
          </cell>
        </row>
        <row r="25">
          <cell r="A25" t="str">
            <v>BATT543</v>
          </cell>
          <cell r="B25" t="str">
            <v>BATT</v>
          </cell>
          <cell r="C25">
            <v>54</v>
          </cell>
          <cell r="D25">
            <v>3</v>
          </cell>
          <cell r="F25" t="str">
            <v>Fall</v>
          </cell>
          <cell r="G25">
            <v>0</v>
          </cell>
          <cell r="H25">
            <v>1</v>
          </cell>
          <cell r="I25">
            <v>15354</v>
          </cell>
          <cell r="J25">
            <v>0</v>
          </cell>
          <cell r="K25">
            <v>0</v>
          </cell>
          <cell r="L25">
            <v>0</v>
          </cell>
          <cell r="M25">
            <v>195</v>
          </cell>
          <cell r="N25">
            <v>4</v>
          </cell>
          <cell r="O25">
            <v>0</v>
          </cell>
          <cell r="P25">
            <v>4</v>
          </cell>
          <cell r="Q25">
            <v>0</v>
          </cell>
          <cell r="R25">
            <v>0</v>
          </cell>
          <cell r="S25">
            <v>1</v>
          </cell>
          <cell r="T25">
            <v>9</v>
          </cell>
          <cell r="U25">
            <v>0</v>
          </cell>
          <cell r="V25">
            <v>4</v>
          </cell>
          <cell r="W25">
            <v>0</v>
          </cell>
          <cell r="X25">
            <v>0</v>
          </cell>
          <cell r="AA25">
            <v>17453</v>
          </cell>
          <cell r="AD25">
            <v>0.89222483240703609</v>
          </cell>
        </row>
        <row r="26">
          <cell r="A26" t="str">
            <v>COT543</v>
          </cell>
          <cell r="B26" t="str">
            <v>COT</v>
          </cell>
          <cell r="C26">
            <v>54</v>
          </cell>
          <cell r="D26">
            <v>3</v>
          </cell>
          <cell r="E26" t="str">
            <v>Cottonwood Creek</v>
          </cell>
          <cell r="F26" t="str">
            <v>Fall</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AA26">
            <v>0</v>
          </cell>
          <cell r="AD26">
            <v>0</v>
          </cell>
        </row>
        <row r="27">
          <cell r="A27" t="str">
            <v>COW543</v>
          </cell>
          <cell r="B27" t="str">
            <v>COW</v>
          </cell>
          <cell r="C27">
            <v>54</v>
          </cell>
          <cell r="D27">
            <v>3</v>
          </cell>
          <cell r="E27" t="str">
            <v>Cow Creek</v>
          </cell>
          <cell r="F27" t="str">
            <v>Fall</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AA27">
            <v>0</v>
          </cell>
          <cell r="AD27">
            <v>0</v>
          </cell>
        </row>
        <row r="28">
          <cell r="A28" t="str">
            <v>MLC543</v>
          </cell>
          <cell r="B28" t="str">
            <v>MLC</v>
          </cell>
          <cell r="C28">
            <v>54</v>
          </cell>
          <cell r="D28">
            <v>3</v>
          </cell>
          <cell r="E28" t="str">
            <v>Mill Creek</v>
          </cell>
          <cell r="F28" t="str">
            <v>Fall</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AA28">
            <v>0</v>
          </cell>
          <cell r="AD28">
            <v>0</v>
          </cell>
        </row>
        <row r="29">
          <cell r="A29" t="str">
            <v>BUTT543</v>
          </cell>
          <cell r="B29" t="str">
            <v>BUTT</v>
          </cell>
          <cell r="C29">
            <v>54</v>
          </cell>
          <cell r="D29">
            <v>3</v>
          </cell>
          <cell r="E29" t="str">
            <v>Butte Creek</v>
          </cell>
          <cell r="F29" t="str">
            <v>Fall</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AA29">
            <v>0</v>
          </cell>
          <cell r="AD29">
            <v>0</v>
          </cell>
        </row>
        <row r="30">
          <cell r="A30" t="str">
            <v>FEA543</v>
          </cell>
          <cell r="B30" t="str">
            <v>FEA</v>
          </cell>
          <cell r="C30">
            <v>54</v>
          </cell>
          <cell r="D30">
            <v>3</v>
          </cell>
          <cell r="E30" t="str">
            <v>Feather River</v>
          </cell>
          <cell r="F30" t="str">
            <v>Fall</v>
          </cell>
          <cell r="G30">
            <v>0</v>
          </cell>
          <cell r="H30">
            <v>0</v>
          </cell>
          <cell r="I30">
            <v>0</v>
          </cell>
          <cell r="J30">
            <v>0</v>
          </cell>
          <cell r="K30">
            <v>4469</v>
          </cell>
          <cell r="L30">
            <v>8</v>
          </cell>
          <cell r="M30">
            <v>2888</v>
          </cell>
          <cell r="N30">
            <v>218</v>
          </cell>
          <cell r="O30">
            <v>31</v>
          </cell>
          <cell r="P30">
            <v>124</v>
          </cell>
          <cell r="Q30">
            <v>0</v>
          </cell>
          <cell r="R30">
            <v>162</v>
          </cell>
          <cell r="S30">
            <v>23</v>
          </cell>
          <cell r="T30">
            <v>185</v>
          </cell>
          <cell r="U30">
            <v>0</v>
          </cell>
          <cell r="V30">
            <v>30</v>
          </cell>
          <cell r="W30">
            <v>55</v>
          </cell>
          <cell r="X30">
            <v>0</v>
          </cell>
          <cell r="AA30">
            <v>9688</v>
          </cell>
          <cell r="AD30">
            <v>0.84599999999999997</v>
          </cell>
        </row>
        <row r="31">
          <cell r="A31" t="str">
            <v>YUBA543</v>
          </cell>
          <cell r="B31" t="str">
            <v>YUBA</v>
          </cell>
          <cell r="C31">
            <v>54</v>
          </cell>
          <cell r="D31">
            <v>3</v>
          </cell>
          <cell r="F31" t="str">
            <v>Fall</v>
          </cell>
          <cell r="G31">
            <v>0</v>
          </cell>
          <cell r="H31">
            <v>0</v>
          </cell>
          <cell r="I31">
            <v>0</v>
          </cell>
          <cell r="J31">
            <v>0</v>
          </cell>
          <cell r="K31">
            <v>674</v>
          </cell>
          <cell r="L31">
            <v>0</v>
          </cell>
          <cell r="M31">
            <v>168</v>
          </cell>
          <cell r="N31">
            <v>0</v>
          </cell>
          <cell r="O31">
            <v>42</v>
          </cell>
          <cell r="P31">
            <v>670</v>
          </cell>
          <cell r="Q31">
            <v>0</v>
          </cell>
          <cell r="R31">
            <v>336</v>
          </cell>
          <cell r="S31">
            <v>42</v>
          </cell>
          <cell r="T31">
            <v>500</v>
          </cell>
          <cell r="U31">
            <v>0</v>
          </cell>
          <cell r="V31">
            <v>0</v>
          </cell>
          <cell r="W31">
            <v>0</v>
          </cell>
          <cell r="X31">
            <v>0</v>
          </cell>
          <cell r="AA31">
            <v>4669</v>
          </cell>
          <cell r="AD31">
            <v>0.52100000000000002</v>
          </cell>
        </row>
        <row r="32">
          <cell r="A32" t="str">
            <v>YUBB543</v>
          </cell>
          <cell r="B32" t="str">
            <v>YUBB</v>
          </cell>
          <cell r="C32">
            <v>54</v>
          </cell>
          <cell r="D32">
            <v>3</v>
          </cell>
          <cell r="F32" t="str">
            <v>Fall</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AA32">
            <v>0</v>
          </cell>
          <cell r="AD32">
            <v>0</v>
          </cell>
        </row>
        <row r="33">
          <cell r="A33" t="str">
            <v>LARC543</v>
          </cell>
          <cell r="B33" t="str">
            <v>LARC</v>
          </cell>
          <cell r="C33">
            <v>54</v>
          </cell>
          <cell r="D33">
            <v>3</v>
          </cell>
          <cell r="E33" t="str">
            <v>American River</v>
          </cell>
          <cell r="F33" t="str">
            <v>Fall</v>
          </cell>
          <cell r="G33">
            <v>0</v>
          </cell>
          <cell r="H33">
            <v>0</v>
          </cell>
          <cell r="I33">
            <v>0</v>
          </cell>
          <cell r="J33">
            <v>0</v>
          </cell>
          <cell r="K33">
            <v>4</v>
          </cell>
          <cell r="L33">
            <v>0</v>
          </cell>
          <cell r="M33">
            <v>185</v>
          </cell>
          <cell r="N33">
            <v>31</v>
          </cell>
          <cell r="O33">
            <v>2360</v>
          </cell>
          <cell r="P33">
            <v>3790</v>
          </cell>
          <cell r="Q33">
            <v>8</v>
          </cell>
          <cell r="R33">
            <v>2358</v>
          </cell>
          <cell r="S33">
            <v>173</v>
          </cell>
          <cell r="T33">
            <v>547</v>
          </cell>
          <cell r="U33">
            <v>0</v>
          </cell>
          <cell r="V33">
            <v>625</v>
          </cell>
          <cell r="W33">
            <v>4</v>
          </cell>
          <cell r="X33">
            <v>0</v>
          </cell>
          <cell r="AA33">
            <v>11232</v>
          </cell>
          <cell r="AD33">
            <v>0.89800000000000002</v>
          </cell>
        </row>
        <row r="34">
          <cell r="A34" t="str">
            <v>NIMW593</v>
          </cell>
          <cell r="B34" t="str">
            <v>NIMW</v>
          </cell>
          <cell r="C34">
            <v>59</v>
          </cell>
          <cell r="D34">
            <v>3</v>
          </cell>
          <cell r="E34" t="str">
            <v>Nimbus Fish Hatchery Weir</v>
          </cell>
          <cell r="F34" t="str">
            <v>Fall</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AA34">
            <v>0</v>
          </cell>
          <cell r="AD34">
            <v>0</v>
          </cell>
        </row>
        <row r="35">
          <cell r="A35" t="str">
            <v>MOKE543</v>
          </cell>
          <cell r="B35" t="str">
            <v>MOKE</v>
          </cell>
          <cell r="C35">
            <v>54</v>
          </cell>
          <cell r="D35">
            <v>3</v>
          </cell>
          <cell r="E35" t="str">
            <v>Mokelumne River</v>
          </cell>
          <cell r="F35" t="str">
            <v>Fall</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AA35">
            <v>0</v>
          </cell>
          <cell r="AD35">
            <v>0</v>
          </cell>
        </row>
        <row r="36">
          <cell r="A36" t="str">
            <v>COSU543</v>
          </cell>
          <cell r="B36" t="str">
            <v>COSU</v>
          </cell>
          <cell r="C36">
            <v>54</v>
          </cell>
          <cell r="D36">
            <v>3</v>
          </cell>
          <cell r="E36" t="str">
            <v>Cosumnes River</v>
          </cell>
          <cell r="F36" t="str">
            <v>Fall</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AA36">
            <v>0</v>
          </cell>
          <cell r="AD36">
            <v>0</v>
          </cell>
        </row>
        <row r="37">
          <cell r="A37" t="str">
            <v>CAL543</v>
          </cell>
          <cell r="B37" t="str">
            <v>CAL</v>
          </cell>
          <cell r="C37">
            <v>54</v>
          </cell>
          <cell r="D37">
            <v>3</v>
          </cell>
          <cell r="E37" t="str">
            <v>Calaveras River</v>
          </cell>
          <cell r="F37" t="str">
            <v>Fall</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AA37">
            <v>0</v>
          </cell>
          <cell r="AD37">
            <v>0</v>
          </cell>
        </row>
        <row r="38">
          <cell r="A38" t="str">
            <v>STA543</v>
          </cell>
          <cell r="B38" t="str">
            <v>STA</v>
          </cell>
          <cell r="C38">
            <v>54</v>
          </cell>
          <cell r="D38">
            <v>3</v>
          </cell>
          <cell r="E38" t="str">
            <v>Stanislaus River</v>
          </cell>
          <cell r="F38" t="str">
            <v>Fall</v>
          </cell>
          <cell r="G38">
            <v>0</v>
          </cell>
          <cell r="H38">
            <v>0</v>
          </cell>
          <cell r="I38">
            <v>0</v>
          </cell>
          <cell r="J38">
            <v>0</v>
          </cell>
          <cell r="K38">
            <v>0</v>
          </cell>
          <cell r="L38">
            <v>0</v>
          </cell>
          <cell r="M38">
            <v>146</v>
          </cell>
          <cell r="N38">
            <v>83</v>
          </cell>
          <cell r="O38">
            <v>0</v>
          </cell>
          <cell r="P38">
            <v>248</v>
          </cell>
          <cell r="Q38">
            <v>0</v>
          </cell>
          <cell r="R38">
            <v>2486</v>
          </cell>
          <cell r="S38">
            <v>37</v>
          </cell>
          <cell r="T38">
            <v>637</v>
          </cell>
          <cell r="U38">
            <v>0</v>
          </cell>
          <cell r="V38">
            <v>265</v>
          </cell>
          <cell r="W38">
            <v>10</v>
          </cell>
          <cell r="X38">
            <v>0</v>
          </cell>
          <cell r="AA38">
            <v>4314</v>
          </cell>
          <cell r="AD38">
            <v>0.90700000000000003</v>
          </cell>
        </row>
        <row r="39">
          <cell r="A39" t="str">
            <v>TUO543</v>
          </cell>
          <cell r="B39" t="str">
            <v>TUO</v>
          </cell>
          <cell r="C39">
            <v>54</v>
          </cell>
          <cell r="D39">
            <v>3</v>
          </cell>
          <cell r="E39" t="str">
            <v>Tuolumne River</v>
          </cell>
          <cell r="F39" t="str">
            <v>Fall</v>
          </cell>
          <cell r="G39">
            <v>0</v>
          </cell>
          <cell r="H39">
            <v>0</v>
          </cell>
          <cell r="I39">
            <v>0</v>
          </cell>
          <cell r="J39">
            <v>0</v>
          </cell>
          <cell r="K39">
            <v>0</v>
          </cell>
          <cell r="L39">
            <v>0</v>
          </cell>
          <cell r="M39">
            <v>0</v>
          </cell>
          <cell r="N39">
            <v>0</v>
          </cell>
          <cell r="O39">
            <v>0</v>
          </cell>
          <cell r="P39">
            <v>0</v>
          </cell>
          <cell r="Q39">
            <v>0</v>
          </cell>
          <cell r="R39">
            <v>55</v>
          </cell>
          <cell r="S39">
            <v>0</v>
          </cell>
          <cell r="T39">
            <v>0</v>
          </cell>
          <cell r="U39">
            <v>0</v>
          </cell>
          <cell r="V39">
            <v>19</v>
          </cell>
          <cell r="W39">
            <v>84</v>
          </cell>
          <cell r="X39">
            <v>0</v>
          </cell>
          <cell r="AA39">
            <v>188</v>
          </cell>
          <cell r="AD39">
            <v>0.84</v>
          </cell>
        </row>
        <row r="40">
          <cell r="A40" t="str">
            <v>MER543</v>
          </cell>
          <cell r="B40" t="str">
            <v>MER</v>
          </cell>
          <cell r="C40">
            <v>54</v>
          </cell>
          <cell r="D40">
            <v>3</v>
          </cell>
          <cell r="E40" t="str">
            <v>Merced River</v>
          </cell>
          <cell r="F40" t="str">
            <v>Fall</v>
          </cell>
          <cell r="G40">
            <v>0</v>
          </cell>
          <cell r="H40">
            <v>0</v>
          </cell>
          <cell r="I40">
            <v>0</v>
          </cell>
          <cell r="J40">
            <v>0</v>
          </cell>
          <cell r="K40">
            <v>0</v>
          </cell>
          <cell r="L40">
            <v>0</v>
          </cell>
          <cell r="M40">
            <v>0</v>
          </cell>
          <cell r="N40">
            <v>0</v>
          </cell>
          <cell r="O40">
            <v>0</v>
          </cell>
          <cell r="P40">
            <v>52</v>
          </cell>
          <cell r="Q40">
            <v>0</v>
          </cell>
          <cell r="R40">
            <v>183</v>
          </cell>
          <cell r="S40">
            <v>0</v>
          </cell>
          <cell r="T40">
            <v>26</v>
          </cell>
          <cell r="U40">
            <v>34</v>
          </cell>
          <cell r="V40">
            <v>26</v>
          </cell>
          <cell r="W40">
            <v>0</v>
          </cell>
          <cell r="X40">
            <v>0</v>
          </cell>
          <cell r="AA40">
            <v>470</v>
          </cell>
          <cell r="AD40">
            <v>0.68300000000000005</v>
          </cell>
        </row>
        <row r="41">
          <cell r="A41" t="str">
            <v>USAC547</v>
          </cell>
          <cell r="B41" t="str">
            <v>USAC</v>
          </cell>
          <cell r="C41">
            <v>54</v>
          </cell>
          <cell r="D41">
            <v>7</v>
          </cell>
          <cell r="E41" t="str">
            <v>Upper Sacramento River</v>
          </cell>
          <cell r="G41">
            <v>120</v>
          </cell>
          <cell r="H41">
            <v>61</v>
          </cell>
          <cell r="I41">
            <v>0</v>
          </cell>
          <cell r="J41">
            <v>0</v>
          </cell>
          <cell r="K41">
            <v>0</v>
          </cell>
          <cell r="L41">
            <v>0</v>
          </cell>
          <cell r="M41">
            <v>0</v>
          </cell>
          <cell r="N41">
            <v>0</v>
          </cell>
          <cell r="O41">
            <v>0</v>
          </cell>
          <cell r="P41">
            <v>0</v>
          </cell>
          <cell r="Q41">
            <v>0</v>
          </cell>
          <cell r="R41">
            <v>0</v>
          </cell>
          <cell r="S41">
            <v>60</v>
          </cell>
          <cell r="T41">
            <v>0</v>
          </cell>
          <cell r="U41">
            <v>0</v>
          </cell>
          <cell r="V41">
            <v>0</v>
          </cell>
          <cell r="W41">
            <v>0</v>
          </cell>
          <cell r="X41">
            <v>0</v>
          </cell>
          <cell r="AA41">
            <v>4734</v>
          </cell>
          <cell r="AD41">
            <v>5.0908322771440639E-2</v>
          </cell>
        </row>
        <row r="42">
          <cell r="G42">
            <v>0</v>
          </cell>
          <cell r="H42">
            <v>1</v>
          </cell>
          <cell r="I42">
            <v>25757</v>
          </cell>
          <cell r="J42">
            <v>0</v>
          </cell>
          <cell r="K42">
            <v>5147</v>
          </cell>
          <cell r="L42">
            <v>8</v>
          </cell>
          <cell r="M42">
            <v>8673</v>
          </cell>
          <cell r="N42">
            <v>1259</v>
          </cell>
          <cell r="O42">
            <v>2490</v>
          </cell>
          <cell r="P42">
            <v>5115</v>
          </cell>
          <cell r="Q42">
            <v>8</v>
          </cell>
          <cell r="R42">
            <v>5580</v>
          </cell>
          <cell r="S42">
            <v>290</v>
          </cell>
          <cell r="T42">
            <v>1961</v>
          </cell>
          <cell r="U42">
            <v>34</v>
          </cell>
          <cell r="V42">
            <v>1102</v>
          </cell>
          <cell r="W42">
            <v>183</v>
          </cell>
          <cell r="X42">
            <v>0</v>
          </cell>
          <cell r="AA42">
            <v>83510</v>
          </cell>
          <cell r="AD42">
            <v>0.68983355286792003</v>
          </cell>
        </row>
        <row r="44">
          <cell r="G44">
            <v>3362</v>
          </cell>
          <cell r="H44">
            <v>2446</v>
          </cell>
          <cell r="I44">
            <v>33799</v>
          </cell>
          <cell r="J44">
            <v>0</v>
          </cell>
          <cell r="K44">
            <v>8368</v>
          </cell>
          <cell r="L44">
            <v>83</v>
          </cell>
          <cell r="M44">
            <v>9776</v>
          </cell>
          <cell r="N44">
            <v>994</v>
          </cell>
          <cell r="O44">
            <v>4451</v>
          </cell>
          <cell r="P44">
            <v>7870</v>
          </cell>
          <cell r="Q44">
            <v>54</v>
          </cell>
          <cell r="R44">
            <v>2146</v>
          </cell>
          <cell r="S44">
            <v>99</v>
          </cell>
          <cell r="T44">
            <v>564</v>
          </cell>
          <cell r="U44">
            <v>34</v>
          </cell>
          <cell r="V44">
            <v>72</v>
          </cell>
          <cell r="W44">
            <v>24</v>
          </cell>
          <cell r="AA44">
            <v>119958</v>
          </cell>
          <cell r="AD44">
            <v>0.6180663232131246</v>
          </cell>
        </row>
        <row r="45">
          <cell r="G45">
            <v>0</v>
          </cell>
          <cell r="H45">
            <v>1</v>
          </cell>
          <cell r="I45">
            <v>6425</v>
          </cell>
          <cell r="J45">
            <v>0</v>
          </cell>
          <cell r="K45">
            <v>4</v>
          </cell>
          <cell r="L45">
            <v>0</v>
          </cell>
          <cell r="M45">
            <v>6124</v>
          </cell>
          <cell r="N45">
            <v>1089</v>
          </cell>
          <cell r="O45">
            <v>186</v>
          </cell>
          <cell r="P45">
            <v>1996</v>
          </cell>
          <cell r="Q45">
            <v>26</v>
          </cell>
          <cell r="R45">
            <v>7699</v>
          </cell>
          <cell r="S45">
            <v>633</v>
          </cell>
          <cell r="T45">
            <v>3092</v>
          </cell>
          <cell r="U45">
            <v>0</v>
          </cell>
          <cell r="V45">
            <v>1629</v>
          </cell>
          <cell r="W45">
            <v>227</v>
          </cell>
          <cell r="X45">
            <v>0</v>
          </cell>
          <cell r="AA45">
            <v>29131</v>
          </cell>
          <cell r="AD45">
            <v>1</v>
          </cell>
        </row>
        <row r="46">
          <cell r="G46">
            <v>3362</v>
          </cell>
          <cell r="H46">
            <v>2447</v>
          </cell>
          <cell r="I46">
            <v>40224</v>
          </cell>
          <cell r="J46">
            <v>0</v>
          </cell>
          <cell r="K46">
            <v>8372</v>
          </cell>
          <cell r="L46">
            <v>83</v>
          </cell>
          <cell r="M46">
            <v>15900</v>
          </cell>
          <cell r="N46">
            <v>2083</v>
          </cell>
          <cell r="O46">
            <v>4637</v>
          </cell>
          <cell r="P46">
            <v>9866</v>
          </cell>
          <cell r="Q46">
            <v>80</v>
          </cell>
          <cell r="R46">
            <v>9845</v>
          </cell>
          <cell r="S46">
            <v>732</v>
          </cell>
          <cell r="T46">
            <v>3656</v>
          </cell>
          <cell r="U46">
            <v>34</v>
          </cell>
          <cell r="V46">
            <v>1701</v>
          </cell>
          <cell r="W46">
            <v>251</v>
          </cell>
          <cell r="X46">
            <v>0</v>
          </cell>
          <cell r="AA46">
            <v>149089</v>
          </cell>
          <cell r="AD46">
            <v>0.69269362595496653</v>
          </cell>
        </row>
        <row r="49">
          <cell r="A49" t="str">
            <v>USAC463</v>
          </cell>
          <cell r="B49" t="str">
            <v>USAC</v>
          </cell>
          <cell r="C49">
            <v>46</v>
          </cell>
          <cell r="D49">
            <v>3</v>
          </cell>
          <cell r="E49" t="str">
            <v xml:space="preserve">Upper Sacramento River </v>
          </cell>
          <cell r="F49" t="str">
            <v>Fall</v>
          </cell>
          <cell r="G49">
            <v>0</v>
          </cell>
          <cell r="H49">
            <v>0</v>
          </cell>
          <cell r="I49">
            <v>4098</v>
          </cell>
          <cell r="J49">
            <v>0</v>
          </cell>
          <cell r="K49">
            <v>0</v>
          </cell>
          <cell r="L49">
            <v>14</v>
          </cell>
          <cell r="M49">
            <v>933</v>
          </cell>
          <cell r="N49">
            <v>59</v>
          </cell>
          <cell r="O49">
            <v>0</v>
          </cell>
          <cell r="P49">
            <v>0</v>
          </cell>
          <cell r="Q49">
            <v>15</v>
          </cell>
          <cell r="R49">
            <v>0</v>
          </cell>
          <cell r="S49">
            <v>0</v>
          </cell>
          <cell r="T49">
            <v>0</v>
          </cell>
          <cell r="U49">
            <v>0</v>
          </cell>
          <cell r="V49">
            <v>0</v>
          </cell>
          <cell r="W49">
            <v>29</v>
          </cell>
          <cell r="X49">
            <v>0</v>
          </cell>
          <cell r="AA49">
            <v>8951</v>
          </cell>
          <cell r="AD49">
            <v>0.57499999999999996</v>
          </cell>
        </row>
        <row r="50">
          <cell r="A50" t="str">
            <v>LSAC463</v>
          </cell>
          <cell r="B50" t="str">
            <v>LSAC</v>
          </cell>
          <cell r="C50">
            <v>46</v>
          </cell>
          <cell r="D50">
            <v>3</v>
          </cell>
          <cell r="E50" t="str">
            <v xml:space="preserve">Lower Sacramento River </v>
          </cell>
          <cell r="F50" t="str">
            <v>Fall</v>
          </cell>
          <cell r="G50">
            <v>0</v>
          </cell>
          <cell r="H50">
            <v>35</v>
          </cell>
          <cell r="I50">
            <v>0</v>
          </cell>
          <cell r="J50">
            <v>0</v>
          </cell>
          <cell r="K50">
            <v>0</v>
          </cell>
          <cell r="L50">
            <v>0</v>
          </cell>
          <cell r="M50">
            <v>412</v>
          </cell>
          <cell r="N50">
            <v>137</v>
          </cell>
          <cell r="O50">
            <v>85</v>
          </cell>
          <cell r="P50">
            <v>410</v>
          </cell>
          <cell r="Q50">
            <v>0</v>
          </cell>
          <cell r="R50">
            <v>221</v>
          </cell>
          <cell r="S50">
            <v>102</v>
          </cell>
          <cell r="T50">
            <v>544</v>
          </cell>
          <cell r="U50">
            <v>0</v>
          </cell>
          <cell r="V50">
            <v>138</v>
          </cell>
          <cell r="W50">
            <v>0</v>
          </cell>
          <cell r="X50">
            <v>0</v>
          </cell>
          <cell r="AA50">
            <v>2586</v>
          </cell>
          <cell r="AD50">
            <v>0.80600000000000005</v>
          </cell>
        </row>
        <row r="51">
          <cell r="A51" t="str">
            <v>FEA463</v>
          </cell>
          <cell r="B51" t="str">
            <v>FEA</v>
          </cell>
          <cell r="C51">
            <v>46</v>
          </cell>
          <cell r="D51">
            <v>3</v>
          </cell>
          <cell r="E51" t="str">
            <v xml:space="preserve">Feather River </v>
          </cell>
          <cell r="F51" t="str">
            <v>Fall</v>
          </cell>
          <cell r="G51">
            <v>0</v>
          </cell>
          <cell r="H51">
            <v>0</v>
          </cell>
          <cell r="I51">
            <v>0</v>
          </cell>
          <cell r="J51">
            <v>0</v>
          </cell>
          <cell r="K51">
            <v>38</v>
          </cell>
          <cell r="L51">
            <v>0</v>
          </cell>
          <cell r="M51">
            <v>305</v>
          </cell>
          <cell r="N51">
            <v>0</v>
          </cell>
          <cell r="O51">
            <v>0</v>
          </cell>
          <cell r="P51">
            <v>0</v>
          </cell>
          <cell r="Q51">
            <v>0</v>
          </cell>
          <cell r="R51">
            <v>51</v>
          </cell>
          <cell r="S51">
            <v>0</v>
          </cell>
          <cell r="T51">
            <v>0</v>
          </cell>
          <cell r="U51">
            <v>0</v>
          </cell>
          <cell r="V51">
            <v>0</v>
          </cell>
          <cell r="W51">
            <v>13</v>
          </cell>
          <cell r="X51">
            <v>0</v>
          </cell>
          <cell r="AA51">
            <v>801</v>
          </cell>
          <cell r="AD51">
            <v>0.50800000000000001</v>
          </cell>
        </row>
        <row r="52">
          <cell r="A52" t="str">
            <v>AMN463</v>
          </cell>
          <cell r="B52" t="str">
            <v>AMN</v>
          </cell>
          <cell r="C52">
            <v>46</v>
          </cell>
          <cell r="D52">
            <v>3</v>
          </cell>
          <cell r="E52" t="str">
            <v xml:space="preserve">American River </v>
          </cell>
          <cell r="F52" t="str">
            <v>Fall</v>
          </cell>
          <cell r="G52">
            <v>0</v>
          </cell>
          <cell r="H52">
            <v>0</v>
          </cell>
          <cell r="I52">
            <v>0</v>
          </cell>
          <cell r="J52">
            <v>0</v>
          </cell>
          <cell r="K52">
            <v>0</v>
          </cell>
          <cell r="L52">
            <v>0</v>
          </cell>
          <cell r="M52">
            <v>0</v>
          </cell>
          <cell r="N52">
            <v>90</v>
          </cell>
          <cell r="O52">
            <v>178</v>
          </cell>
          <cell r="P52">
            <v>801</v>
          </cell>
          <cell r="Q52">
            <v>0</v>
          </cell>
          <cell r="R52">
            <v>89</v>
          </cell>
          <cell r="S52">
            <v>22</v>
          </cell>
          <cell r="T52">
            <v>0</v>
          </cell>
          <cell r="U52">
            <v>0</v>
          </cell>
          <cell r="V52">
            <v>90</v>
          </cell>
          <cell r="W52">
            <v>0</v>
          </cell>
          <cell r="X52">
            <v>0</v>
          </cell>
          <cell r="AA52">
            <v>1593</v>
          </cell>
          <cell r="AD52">
            <v>0.79700000000000004</v>
          </cell>
        </row>
        <row r="53">
          <cell r="A53" t="str">
            <v>MOKE463</v>
          </cell>
          <cell r="B53" t="str">
            <v>MOKE</v>
          </cell>
          <cell r="C53">
            <v>46</v>
          </cell>
          <cell r="D53">
            <v>3</v>
          </cell>
          <cell r="E53" t="str">
            <v>Mokelumne River</v>
          </cell>
          <cell r="F53" t="str">
            <v>Fall</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AA53">
            <v>0</v>
          </cell>
          <cell r="AD53">
            <v>0</v>
          </cell>
        </row>
        <row r="54">
          <cell r="A54" t="str">
            <v>USAC467</v>
          </cell>
          <cell r="B54" t="str">
            <v>USAC</v>
          </cell>
          <cell r="C54">
            <v>46</v>
          </cell>
          <cell r="D54">
            <v>7</v>
          </cell>
          <cell r="E54" t="str">
            <v xml:space="preserve">Upper Sacramento River </v>
          </cell>
          <cell r="G54">
            <v>0</v>
          </cell>
          <cell r="H54">
            <v>328</v>
          </cell>
          <cell r="I54">
            <v>10</v>
          </cell>
          <cell r="J54">
            <v>0</v>
          </cell>
          <cell r="K54">
            <v>0</v>
          </cell>
          <cell r="L54">
            <v>0</v>
          </cell>
          <cell r="M54">
            <v>0</v>
          </cell>
          <cell r="N54">
            <v>0</v>
          </cell>
          <cell r="O54">
            <v>0</v>
          </cell>
          <cell r="P54">
            <v>39</v>
          </cell>
          <cell r="Q54">
            <v>0</v>
          </cell>
          <cell r="R54">
            <v>0</v>
          </cell>
          <cell r="S54">
            <v>0</v>
          </cell>
          <cell r="T54">
            <v>39</v>
          </cell>
          <cell r="U54">
            <v>0</v>
          </cell>
          <cell r="V54">
            <v>0</v>
          </cell>
          <cell r="W54">
            <v>0</v>
          </cell>
          <cell r="X54">
            <v>0</v>
          </cell>
          <cell r="AA54">
            <v>593</v>
          </cell>
          <cell r="AD54">
            <v>0.70199999999999996</v>
          </cell>
        </row>
        <row r="55">
          <cell r="G55">
            <v>0</v>
          </cell>
          <cell r="H55">
            <v>363</v>
          </cell>
          <cell r="I55">
            <v>4108</v>
          </cell>
          <cell r="J55">
            <v>0</v>
          </cell>
          <cell r="K55">
            <v>38</v>
          </cell>
          <cell r="L55">
            <v>14</v>
          </cell>
          <cell r="M55">
            <v>1650</v>
          </cell>
          <cell r="N55">
            <v>286</v>
          </cell>
          <cell r="O55">
            <v>263</v>
          </cell>
          <cell r="P55">
            <v>1250</v>
          </cell>
          <cell r="Q55">
            <v>15</v>
          </cell>
          <cell r="R55">
            <v>361</v>
          </cell>
          <cell r="S55">
            <v>124</v>
          </cell>
          <cell r="T55">
            <v>583</v>
          </cell>
          <cell r="U55">
            <v>0</v>
          </cell>
          <cell r="V55">
            <v>228</v>
          </cell>
          <cell r="W55">
            <v>42</v>
          </cell>
          <cell r="X55">
            <v>0</v>
          </cell>
          <cell r="AA55">
            <v>14524</v>
          </cell>
          <cell r="AD55">
            <v>0.64204076012117872</v>
          </cell>
        </row>
      </sheetData>
      <sheetData sheetId="2" refreshError="1"/>
      <sheetData sheetId="3" refreshError="1"/>
      <sheetData sheetId="4">
        <row r="2">
          <cell r="G2" t="str">
            <v>sacw</v>
          </cell>
          <cell r="H2" t="str">
            <v>cfhl</v>
          </cell>
          <cell r="I2" t="str">
            <v>cfhf</v>
          </cell>
          <cell r="J2" t="str">
            <v>cfhfh</v>
          </cell>
          <cell r="K2" t="str">
            <v>frhs</v>
          </cell>
          <cell r="L2" t="str">
            <v>frhf</v>
          </cell>
          <cell r="M2" t="str">
            <v>frhfn</v>
          </cell>
          <cell r="N2" t="str">
            <v>frhfgg</v>
          </cell>
          <cell r="O2" t="str">
            <v>nimf</v>
          </cell>
          <cell r="P2" t="str">
            <v>nimfn</v>
          </cell>
          <cell r="Q2" t="str">
            <v>mokf</v>
          </cell>
          <cell r="R2" t="str">
            <v>mokfn</v>
          </cell>
          <cell r="S2" t="str">
            <v>mokfnc</v>
          </cell>
          <cell r="T2" t="str">
            <v>mokfgg</v>
          </cell>
          <cell r="U2" t="str">
            <v>merf</v>
          </cell>
          <cell r="V2" t="str">
            <v>merfn</v>
          </cell>
          <cell r="W2" t="str">
            <v>sjosx</v>
          </cell>
          <cell r="X2" t="str">
            <v>noncv</v>
          </cell>
        </row>
        <row r="3">
          <cell r="G3">
            <v>0</v>
          </cell>
          <cell r="H3">
            <v>1</v>
          </cell>
          <cell r="I3">
            <v>14449</v>
          </cell>
          <cell r="J3">
            <v>0</v>
          </cell>
          <cell r="K3">
            <v>0</v>
          </cell>
          <cell r="L3">
            <v>0</v>
          </cell>
          <cell r="M3">
            <v>183</v>
          </cell>
          <cell r="N3">
            <v>4</v>
          </cell>
          <cell r="O3">
            <v>0</v>
          </cell>
          <cell r="P3">
            <v>4</v>
          </cell>
          <cell r="Q3">
            <v>0</v>
          </cell>
          <cell r="R3">
            <v>0</v>
          </cell>
          <cell r="S3">
            <v>1</v>
          </cell>
          <cell r="T3">
            <v>8</v>
          </cell>
          <cell r="U3">
            <v>0</v>
          </cell>
          <cell r="V3">
            <v>4</v>
          </cell>
          <cell r="W3">
            <v>0</v>
          </cell>
          <cell r="X3">
            <v>0</v>
          </cell>
          <cell r="Y3">
            <v>14654</v>
          </cell>
          <cell r="Z3">
            <v>1784</v>
          </cell>
          <cell r="AA3">
            <v>16438</v>
          </cell>
          <cell r="AB3">
            <v>0.89100000000000001</v>
          </cell>
          <cell r="AC3" t="str">
            <v>CNFH503</v>
          </cell>
        </row>
        <row r="4">
          <cell r="G4">
            <v>59</v>
          </cell>
          <cell r="H4">
            <v>0</v>
          </cell>
          <cell r="I4">
            <v>0</v>
          </cell>
          <cell r="J4">
            <v>0</v>
          </cell>
          <cell r="K4">
            <v>0</v>
          </cell>
          <cell r="L4">
            <v>0</v>
          </cell>
          <cell r="M4">
            <v>0</v>
          </cell>
          <cell r="N4">
            <v>0</v>
          </cell>
          <cell r="O4">
            <v>0</v>
          </cell>
          <cell r="P4">
            <v>0</v>
          </cell>
          <cell r="Q4">
            <v>0</v>
          </cell>
          <cell r="R4">
            <v>0</v>
          </cell>
          <cell r="S4">
            <v>0</v>
          </cell>
          <cell r="T4">
            <v>0</v>
          </cell>
          <cell r="U4">
            <v>0</v>
          </cell>
          <cell r="V4">
            <v>0</v>
          </cell>
          <cell r="W4">
            <v>0</v>
          </cell>
          <cell r="X4">
            <v>0</v>
          </cell>
          <cell r="Y4">
            <v>59</v>
          </cell>
          <cell r="Z4">
            <v>188</v>
          </cell>
          <cell r="AA4">
            <v>247</v>
          </cell>
          <cell r="AB4">
            <v>0.23899999999999999</v>
          </cell>
          <cell r="AC4" t="str">
            <v>CNFH504</v>
          </cell>
        </row>
        <row r="5">
          <cell r="G5">
            <v>0</v>
          </cell>
          <cell r="H5">
            <v>2309</v>
          </cell>
          <cell r="I5">
            <v>0</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2309</v>
          </cell>
          <cell r="Z5">
            <v>1</v>
          </cell>
          <cell r="AA5">
            <v>2310</v>
          </cell>
          <cell r="AB5">
            <v>1</v>
          </cell>
          <cell r="AC5" t="str">
            <v>CNFH507</v>
          </cell>
        </row>
        <row r="6">
          <cell r="G6">
            <v>243</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243</v>
          </cell>
          <cell r="Z6">
            <v>55</v>
          </cell>
          <cell r="AA6">
            <v>298</v>
          </cell>
          <cell r="AB6">
            <v>0.81499999999999995</v>
          </cell>
          <cell r="AC6" t="str">
            <v>KESW504</v>
          </cell>
        </row>
        <row r="7">
          <cell r="AC7" t="str">
            <v>KESW507</v>
          </cell>
        </row>
        <row r="8">
          <cell r="G8">
            <v>0</v>
          </cell>
          <cell r="H8">
            <v>0</v>
          </cell>
          <cell r="I8">
            <v>0</v>
          </cell>
          <cell r="J8">
            <v>0</v>
          </cell>
          <cell r="K8">
            <v>1590</v>
          </cell>
          <cell r="L8">
            <v>0</v>
          </cell>
          <cell r="M8">
            <v>12</v>
          </cell>
          <cell r="N8">
            <v>4</v>
          </cell>
          <cell r="O8">
            <v>0</v>
          </cell>
          <cell r="P8">
            <v>0</v>
          </cell>
          <cell r="Q8">
            <v>0</v>
          </cell>
          <cell r="R8">
            <v>0</v>
          </cell>
          <cell r="S8">
            <v>0</v>
          </cell>
          <cell r="T8">
            <v>0</v>
          </cell>
          <cell r="U8">
            <v>0</v>
          </cell>
          <cell r="V8">
            <v>0</v>
          </cell>
          <cell r="W8">
            <v>11</v>
          </cell>
          <cell r="X8">
            <v>0</v>
          </cell>
          <cell r="Y8">
            <v>1617</v>
          </cell>
          <cell r="Z8">
            <v>105</v>
          </cell>
          <cell r="AA8">
            <v>1722</v>
          </cell>
          <cell r="AB8">
            <v>0.93899999999999995</v>
          </cell>
          <cell r="AC8" t="str">
            <v>FRFH501</v>
          </cell>
        </row>
        <row r="9">
          <cell r="G9">
            <v>0</v>
          </cell>
          <cell r="H9">
            <v>0</v>
          </cell>
          <cell r="I9">
            <v>10</v>
          </cell>
          <cell r="J9">
            <v>0</v>
          </cell>
          <cell r="K9">
            <v>1635</v>
          </cell>
          <cell r="L9">
            <v>75</v>
          </cell>
          <cell r="M9">
            <v>6708</v>
          </cell>
          <cell r="N9">
            <v>772</v>
          </cell>
          <cell r="O9">
            <v>48</v>
          </cell>
          <cell r="P9">
            <v>217</v>
          </cell>
          <cell r="Q9">
            <v>2</v>
          </cell>
          <cell r="R9">
            <v>133</v>
          </cell>
          <cell r="S9">
            <v>41</v>
          </cell>
          <cell r="T9">
            <v>120</v>
          </cell>
          <cell r="U9">
            <v>0</v>
          </cell>
          <cell r="V9">
            <v>130</v>
          </cell>
          <cell r="W9">
            <v>29</v>
          </cell>
          <cell r="X9">
            <v>0</v>
          </cell>
          <cell r="Y9">
            <v>9920</v>
          </cell>
          <cell r="Z9">
            <v>2465</v>
          </cell>
          <cell r="AA9">
            <v>12385</v>
          </cell>
          <cell r="AB9">
            <v>0.80100000000000005</v>
          </cell>
          <cell r="AC9" t="str">
            <v>FRFH503</v>
          </cell>
        </row>
        <row r="10">
          <cell r="G10">
            <v>0</v>
          </cell>
          <cell r="H10">
            <v>0</v>
          </cell>
          <cell r="I10">
            <v>4</v>
          </cell>
          <cell r="J10">
            <v>0</v>
          </cell>
          <cell r="K10">
            <v>0</v>
          </cell>
          <cell r="L10">
            <v>0</v>
          </cell>
          <cell r="M10">
            <v>138</v>
          </cell>
          <cell r="N10">
            <v>24</v>
          </cell>
          <cell r="O10">
            <v>2091</v>
          </cell>
          <cell r="P10">
            <v>4080</v>
          </cell>
          <cell r="Q10">
            <v>16</v>
          </cell>
          <cell r="R10">
            <v>1824</v>
          </cell>
          <cell r="S10">
            <v>241</v>
          </cell>
          <cell r="T10">
            <v>976</v>
          </cell>
          <cell r="U10">
            <v>0</v>
          </cell>
          <cell r="V10">
            <v>172</v>
          </cell>
          <cell r="W10">
            <v>1</v>
          </cell>
          <cell r="X10">
            <v>0</v>
          </cell>
          <cell r="Y10">
            <v>9567</v>
          </cell>
          <cell r="Z10">
            <v>1510</v>
          </cell>
          <cell r="AA10">
            <v>11077</v>
          </cell>
          <cell r="AB10">
            <v>0.86399999999999999</v>
          </cell>
          <cell r="AC10" t="str">
            <v>NBFH503</v>
          </cell>
        </row>
        <row r="11">
          <cell r="G11">
            <v>0</v>
          </cell>
          <cell r="H11">
            <v>0</v>
          </cell>
          <cell r="I11">
            <v>4</v>
          </cell>
          <cell r="J11">
            <v>0</v>
          </cell>
          <cell r="K11">
            <v>0</v>
          </cell>
          <cell r="L11">
            <v>0</v>
          </cell>
          <cell r="M11">
            <v>178</v>
          </cell>
          <cell r="N11">
            <v>20</v>
          </cell>
          <cell r="O11">
            <v>8</v>
          </cell>
          <cell r="P11">
            <v>430</v>
          </cell>
          <cell r="Q11">
            <v>54</v>
          </cell>
          <cell r="R11">
            <v>2146</v>
          </cell>
          <cell r="S11">
            <v>99</v>
          </cell>
          <cell r="T11">
            <v>564</v>
          </cell>
          <cell r="U11">
            <v>0</v>
          </cell>
          <cell r="V11">
            <v>247</v>
          </cell>
          <cell r="W11">
            <v>1</v>
          </cell>
          <cell r="X11">
            <v>0</v>
          </cell>
          <cell r="Y11">
            <v>3751</v>
          </cell>
          <cell r="Z11">
            <v>466</v>
          </cell>
          <cell r="AA11">
            <v>4217</v>
          </cell>
          <cell r="AB11">
            <v>0.88900000000000001</v>
          </cell>
          <cell r="AC11" t="str">
            <v>MRFI503</v>
          </cell>
        </row>
        <row r="12">
          <cell r="G12">
            <v>0</v>
          </cell>
          <cell r="H12">
            <v>1</v>
          </cell>
          <cell r="I12">
            <v>0</v>
          </cell>
          <cell r="J12">
            <v>0</v>
          </cell>
          <cell r="K12">
            <v>0</v>
          </cell>
          <cell r="L12">
            <v>0</v>
          </cell>
          <cell r="M12">
            <v>8</v>
          </cell>
          <cell r="N12">
            <v>0</v>
          </cell>
          <cell r="O12">
            <v>0</v>
          </cell>
          <cell r="P12">
            <v>20</v>
          </cell>
          <cell r="Q12">
            <v>0</v>
          </cell>
          <cell r="R12">
            <v>162</v>
          </cell>
          <cell r="S12">
            <v>0</v>
          </cell>
          <cell r="T12">
            <v>27</v>
          </cell>
          <cell r="U12">
            <v>0</v>
          </cell>
          <cell r="V12">
            <v>46</v>
          </cell>
          <cell r="W12">
            <v>2</v>
          </cell>
          <cell r="X12">
            <v>0</v>
          </cell>
          <cell r="Y12">
            <v>266</v>
          </cell>
          <cell r="Z12">
            <v>1</v>
          </cell>
          <cell r="AA12">
            <v>267</v>
          </cell>
          <cell r="AB12">
            <v>0.996</v>
          </cell>
          <cell r="AC12" t="str">
            <v>MRFF503</v>
          </cell>
        </row>
        <row r="13">
          <cell r="G13">
            <v>0</v>
          </cell>
          <cell r="H13">
            <v>74</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74</v>
          </cell>
          <cell r="Z13">
            <v>0</v>
          </cell>
          <cell r="AA13">
            <v>74</v>
          </cell>
          <cell r="AB13">
            <v>1</v>
          </cell>
          <cell r="AC13" t="str">
            <v>CNFW527</v>
          </cell>
        </row>
        <row r="14">
          <cell r="G14">
            <v>0</v>
          </cell>
          <cell r="H14">
            <v>1</v>
          </cell>
          <cell r="I14">
            <v>15354</v>
          </cell>
          <cell r="J14">
            <v>0</v>
          </cell>
          <cell r="K14">
            <v>0</v>
          </cell>
          <cell r="L14">
            <v>0</v>
          </cell>
          <cell r="M14">
            <v>195</v>
          </cell>
          <cell r="N14">
            <v>4</v>
          </cell>
          <cell r="O14">
            <v>0</v>
          </cell>
          <cell r="P14">
            <v>4</v>
          </cell>
          <cell r="Q14">
            <v>0</v>
          </cell>
          <cell r="R14">
            <v>0</v>
          </cell>
          <cell r="S14">
            <v>1</v>
          </cell>
          <cell r="T14">
            <v>9</v>
          </cell>
          <cell r="U14">
            <v>0</v>
          </cell>
          <cell r="V14">
            <v>4</v>
          </cell>
          <cell r="W14">
            <v>0</v>
          </cell>
          <cell r="X14">
            <v>0</v>
          </cell>
          <cell r="Y14">
            <v>15572</v>
          </cell>
          <cell r="Z14">
            <v>1881</v>
          </cell>
          <cell r="AA14">
            <v>17453</v>
          </cell>
          <cell r="AB14">
            <v>0.89200000000000002</v>
          </cell>
          <cell r="AC14" t="str">
            <v>BATT543</v>
          </cell>
        </row>
        <row r="15">
          <cell r="G15">
            <v>0</v>
          </cell>
          <cell r="H15">
            <v>0</v>
          </cell>
          <cell r="I15">
            <v>6407</v>
          </cell>
          <cell r="J15">
            <v>0</v>
          </cell>
          <cell r="K15">
            <v>0</v>
          </cell>
          <cell r="L15">
            <v>0</v>
          </cell>
          <cell r="M15">
            <v>3193</v>
          </cell>
          <cell r="N15">
            <v>686</v>
          </cell>
          <cell r="O15">
            <v>57</v>
          </cell>
          <cell r="P15">
            <v>227</v>
          </cell>
          <cell r="Q15">
            <v>0</v>
          </cell>
          <cell r="R15">
            <v>0</v>
          </cell>
          <cell r="S15">
            <v>14</v>
          </cell>
          <cell r="T15">
            <v>57</v>
          </cell>
          <cell r="U15">
            <v>0</v>
          </cell>
          <cell r="V15">
            <v>133</v>
          </cell>
          <cell r="W15">
            <v>0</v>
          </cell>
          <cell r="X15">
            <v>0</v>
          </cell>
          <cell r="Y15">
            <v>10774</v>
          </cell>
          <cell r="Z15">
            <v>9093</v>
          </cell>
          <cell r="AA15">
            <v>19867</v>
          </cell>
          <cell r="AB15">
            <v>0.54200000000000004</v>
          </cell>
          <cell r="AC15" t="str">
            <v>CLR543</v>
          </cell>
        </row>
        <row r="16">
          <cell r="AC16" t="str">
            <v>COT543</v>
          </cell>
        </row>
        <row r="17">
          <cell r="AC17" t="str">
            <v>COW543</v>
          </cell>
        </row>
        <row r="18">
          <cell r="AC18" t="str">
            <v>MLC543</v>
          </cell>
        </row>
        <row r="19">
          <cell r="G19">
            <v>0</v>
          </cell>
          <cell r="H19">
            <v>0</v>
          </cell>
          <cell r="I19">
            <v>3996</v>
          </cell>
          <cell r="J19">
            <v>0</v>
          </cell>
          <cell r="K19">
            <v>0</v>
          </cell>
          <cell r="L19">
            <v>0</v>
          </cell>
          <cell r="M19">
            <v>1898</v>
          </cell>
          <cell r="N19">
            <v>237</v>
          </cell>
          <cell r="O19">
            <v>0</v>
          </cell>
          <cell r="P19">
            <v>0</v>
          </cell>
          <cell r="Q19">
            <v>0</v>
          </cell>
          <cell r="R19">
            <v>0</v>
          </cell>
          <cell r="S19">
            <v>0</v>
          </cell>
          <cell r="T19">
            <v>0</v>
          </cell>
          <cell r="U19">
            <v>0</v>
          </cell>
          <cell r="V19">
            <v>0</v>
          </cell>
          <cell r="W19">
            <v>30</v>
          </cell>
          <cell r="X19">
            <v>0</v>
          </cell>
          <cell r="Y19">
            <v>6161</v>
          </cell>
          <cell r="Z19">
            <v>9468</v>
          </cell>
          <cell r="AA19">
            <v>15629</v>
          </cell>
          <cell r="AB19">
            <v>0.39400000000000002</v>
          </cell>
          <cell r="AC19" t="str">
            <v>USAC543</v>
          </cell>
        </row>
        <row r="20">
          <cell r="G20">
            <v>2940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2940</v>
          </cell>
          <cell r="Z20">
            <v>7031</v>
          </cell>
          <cell r="AA20">
            <v>9971</v>
          </cell>
          <cell r="AB20">
            <v>0.29499999999999998</v>
          </cell>
          <cell r="AC20" t="str">
            <v>USAC544</v>
          </cell>
        </row>
        <row r="21">
          <cell r="G21">
            <v>120</v>
          </cell>
          <cell r="H21">
            <v>61</v>
          </cell>
          <cell r="I21">
            <v>0</v>
          </cell>
          <cell r="J21">
            <v>0</v>
          </cell>
          <cell r="K21">
            <v>0</v>
          </cell>
          <cell r="L21">
            <v>0</v>
          </cell>
          <cell r="M21">
            <v>0</v>
          </cell>
          <cell r="N21">
            <v>0</v>
          </cell>
          <cell r="O21">
            <v>0</v>
          </cell>
          <cell r="P21">
            <v>0</v>
          </cell>
          <cell r="Q21">
            <v>0</v>
          </cell>
          <cell r="R21">
            <v>0</v>
          </cell>
          <cell r="S21">
            <v>60</v>
          </cell>
          <cell r="T21">
            <v>0</v>
          </cell>
          <cell r="U21">
            <v>0</v>
          </cell>
          <cell r="V21">
            <v>0</v>
          </cell>
          <cell r="W21">
            <v>0</v>
          </cell>
          <cell r="X21">
            <v>0</v>
          </cell>
          <cell r="Y21">
            <v>241</v>
          </cell>
          <cell r="Z21">
            <v>4493</v>
          </cell>
          <cell r="AA21">
            <v>4734</v>
          </cell>
          <cell r="AB21">
            <v>5.0999999999999997E-2</v>
          </cell>
          <cell r="AC21" t="str">
            <v>USAC547</v>
          </cell>
        </row>
        <row r="22">
          <cell r="G22">
            <v>0</v>
          </cell>
          <cell r="H22">
            <v>0</v>
          </cell>
          <cell r="I22">
            <v>0</v>
          </cell>
          <cell r="J22">
            <v>0</v>
          </cell>
          <cell r="K22">
            <v>4469</v>
          </cell>
          <cell r="L22">
            <v>8</v>
          </cell>
          <cell r="M22">
            <v>2888</v>
          </cell>
          <cell r="N22">
            <v>218</v>
          </cell>
          <cell r="O22">
            <v>31</v>
          </cell>
          <cell r="P22">
            <v>124</v>
          </cell>
          <cell r="Q22">
            <v>0</v>
          </cell>
          <cell r="R22">
            <v>162</v>
          </cell>
          <cell r="S22">
            <v>23</v>
          </cell>
          <cell r="T22">
            <v>185</v>
          </cell>
          <cell r="U22">
            <v>0</v>
          </cell>
          <cell r="V22">
            <v>30</v>
          </cell>
          <cell r="W22">
            <v>55</v>
          </cell>
          <cell r="X22">
            <v>0</v>
          </cell>
          <cell r="Y22">
            <v>8193</v>
          </cell>
          <cell r="Z22">
            <v>1495</v>
          </cell>
          <cell r="AA22">
            <v>9688</v>
          </cell>
          <cell r="AB22">
            <v>0.84599999999999997</v>
          </cell>
          <cell r="AC22" t="str">
            <v>FEA543</v>
          </cell>
        </row>
        <row r="23">
          <cell r="G23">
            <v>0</v>
          </cell>
          <cell r="H23">
            <v>0</v>
          </cell>
          <cell r="I23">
            <v>0</v>
          </cell>
          <cell r="J23">
            <v>0</v>
          </cell>
          <cell r="K23">
            <v>674</v>
          </cell>
          <cell r="L23">
            <v>0</v>
          </cell>
          <cell r="M23">
            <v>168</v>
          </cell>
          <cell r="N23">
            <v>0</v>
          </cell>
          <cell r="O23">
            <v>42</v>
          </cell>
          <cell r="P23">
            <v>670</v>
          </cell>
          <cell r="Q23">
            <v>0</v>
          </cell>
          <cell r="R23">
            <v>336</v>
          </cell>
          <cell r="S23">
            <v>42</v>
          </cell>
          <cell r="T23">
            <v>500</v>
          </cell>
          <cell r="U23">
            <v>0</v>
          </cell>
          <cell r="V23">
            <v>0</v>
          </cell>
          <cell r="W23">
            <v>0</v>
          </cell>
          <cell r="X23">
            <v>0</v>
          </cell>
          <cell r="Y23">
            <v>2432</v>
          </cell>
          <cell r="Z23">
            <v>2237</v>
          </cell>
          <cell r="AA23">
            <v>4669</v>
          </cell>
          <cell r="AB23">
            <v>0.52100000000000002</v>
          </cell>
          <cell r="AC23" t="str">
            <v>YUBA543</v>
          </cell>
        </row>
        <row r="24">
          <cell r="AC24" t="str">
            <v>YUBB543</v>
          </cell>
        </row>
        <row r="25">
          <cell r="G25">
            <v>0</v>
          </cell>
          <cell r="H25">
            <v>0</v>
          </cell>
          <cell r="I25">
            <v>0</v>
          </cell>
          <cell r="J25">
            <v>0</v>
          </cell>
          <cell r="K25">
            <v>4</v>
          </cell>
          <cell r="L25">
            <v>0</v>
          </cell>
          <cell r="M25">
            <v>185</v>
          </cell>
          <cell r="N25">
            <v>31</v>
          </cell>
          <cell r="O25">
            <v>2360</v>
          </cell>
          <cell r="P25">
            <v>3790</v>
          </cell>
          <cell r="Q25">
            <v>8</v>
          </cell>
          <cell r="R25">
            <v>2358</v>
          </cell>
          <cell r="S25">
            <v>173</v>
          </cell>
          <cell r="T25">
            <v>547</v>
          </cell>
          <cell r="U25">
            <v>0</v>
          </cell>
          <cell r="V25">
            <v>625</v>
          </cell>
          <cell r="W25">
            <v>4</v>
          </cell>
          <cell r="X25">
            <v>0</v>
          </cell>
          <cell r="Y25">
            <v>10085</v>
          </cell>
          <cell r="Z25">
            <v>1147</v>
          </cell>
          <cell r="AA25">
            <v>11232</v>
          </cell>
          <cell r="AB25">
            <v>0.89800000000000002</v>
          </cell>
          <cell r="AC25" t="str">
            <v>LARC543</v>
          </cell>
        </row>
        <row r="26">
          <cell r="AC26" t="str">
            <v>MOKE543</v>
          </cell>
        </row>
        <row r="27">
          <cell r="G27">
            <v>0</v>
          </cell>
          <cell r="H27">
            <v>0</v>
          </cell>
          <cell r="I27">
            <v>0</v>
          </cell>
          <cell r="J27">
            <v>0</v>
          </cell>
          <cell r="K27">
            <v>0</v>
          </cell>
          <cell r="L27">
            <v>0</v>
          </cell>
          <cell r="M27">
            <v>146</v>
          </cell>
          <cell r="N27">
            <v>83</v>
          </cell>
          <cell r="O27">
            <v>0</v>
          </cell>
          <cell r="P27">
            <v>248</v>
          </cell>
          <cell r="Q27">
            <v>0</v>
          </cell>
          <cell r="R27">
            <v>2486</v>
          </cell>
          <cell r="S27">
            <v>37</v>
          </cell>
          <cell r="T27">
            <v>637</v>
          </cell>
          <cell r="U27">
            <v>0</v>
          </cell>
          <cell r="V27">
            <v>265</v>
          </cell>
          <cell r="W27">
            <v>10</v>
          </cell>
          <cell r="X27">
            <v>0</v>
          </cell>
          <cell r="Y27">
            <v>3912</v>
          </cell>
          <cell r="Z27">
            <v>402</v>
          </cell>
          <cell r="AA27">
            <v>4314</v>
          </cell>
          <cell r="AB27">
            <v>0.90700000000000003</v>
          </cell>
          <cell r="AC27" t="str">
            <v>STA543</v>
          </cell>
        </row>
        <row r="28">
          <cell r="G28">
            <v>0</v>
          </cell>
          <cell r="H28">
            <v>0</v>
          </cell>
          <cell r="I28">
            <v>0</v>
          </cell>
          <cell r="J28">
            <v>0</v>
          </cell>
          <cell r="K28">
            <v>0</v>
          </cell>
          <cell r="L28">
            <v>0</v>
          </cell>
          <cell r="M28">
            <v>0</v>
          </cell>
          <cell r="N28">
            <v>0</v>
          </cell>
          <cell r="O28">
            <v>0</v>
          </cell>
          <cell r="P28">
            <v>0</v>
          </cell>
          <cell r="Q28">
            <v>0</v>
          </cell>
          <cell r="R28">
            <v>55</v>
          </cell>
          <cell r="S28">
            <v>0</v>
          </cell>
          <cell r="T28">
            <v>0</v>
          </cell>
          <cell r="U28">
            <v>0</v>
          </cell>
          <cell r="V28">
            <v>19</v>
          </cell>
          <cell r="W28">
            <v>84</v>
          </cell>
          <cell r="X28">
            <v>0</v>
          </cell>
          <cell r="Y28">
            <v>158</v>
          </cell>
          <cell r="Z28">
            <v>30</v>
          </cell>
          <cell r="AA28">
            <v>188</v>
          </cell>
          <cell r="AB28">
            <v>0.84</v>
          </cell>
          <cell r="AC28" t="str">
            <v>TUO543</v>
          </cell>
        </row>
        <row r="29">
          <cell r="G29">
            <v>0</v>
          </cell>
          <cell r="H29">
            <v>0</v>
          </cell>
          <cell r="I29">
            <v>0</v>
          </cell>
          <cell r="J29">
            <v>0</v>
          </cell>
          <cell r="K29">
            <v>0</v>
          </cell>
          <cell r="L29">
            <v>0</v>
          </cell>
          <cell r="M29">
            <v>0</v>
          </cell>
          <cell r="N29">
            <v>0</v>
          </cell>
          <cell r="O29">
            <v>0</v>
          </cell>
          <cell r="P29">
            <v>52</v>
          </cell>
          <cell r="Q29">
            <v>0</v>
          </cell>
          <cell r="R29">
            <v>183</v>
          </cell>
          <cell r="S29">
            <v>0</v>
          </cell>
          <cell r="T29">
            <v>26</v>
          </cell>
          <cell r="U29">
            <v>34</v>
          </cell>
          <cell r="V29">
            <v>26</v>
          </cell>
          <cell r="W29">
            <v>0</v>
          </cell>
          <cell r="X29">
            <v>0</v>
          </cell>
          <cell r="Y29">
            <v>321</v>
          </cell>
          <cell r="Z29">
            <v>149</v>
          </cell>
          <cell r="AA29">
            <v>470</v>
          </cell>
          <cell r="AB29">
            <v>0.68300000000000005</v>
          </cell>
          <cell r="AC29" t="str">
            <v>MER543</v>
          </cell>
        </row>
        <row r="30">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24</v>
          </cell>
          <cell r="X30">
            <v>0</v>
          </cell>
          <cell r="Y30">
            <v>24</v>
          </cell>
          <cell r="Z30">
            <v>8</v>
          </cell>
          <cell r="AA30">
            <v>32</v>
          </cell>
          <cell r="AB30">
            <v>0.75</v>
          </cell>
          <cell r="AC30" t="str">
            <v>UPSJ541</v>
          </cell>
        </row>
        <row r="31">
          <cell r="G31">
            <v>0</v>
          </cell>
          <cell r="H31">
            <v>35</v>
          </cell>
          <cell r="I31">
            <v>0</v>
          </cell>
          <cell r="J31">
            <v>0</v>
          </cell>
          <cell r="K31">
            <v>0</v>
          </cell>
          <cell r="L31">
            <v>0</v>
          </cell>
          <cell r="M31">
            <v>412</v>
          </cell>
          <cell r="N31">
            <v>137</v>
          </cell>
          <cell r="O31">
            <v>85</v>
          </cell>
          <cell r="P31">
            <v>410</v>
          </cell>
          <cell r="Q31">
            <v>0</v>
          </cell>
          <cell r="R31">
            <v>221</v>
          </cell>
          <cell r="S31">
            <v>102</v>
          </cell>
          <cell r="T31">
            <v>544</v>
          </cell>
          <cell r="U31">
            <v>0</v>
          </cell>
          <cell r="V31">
            <v>138</v>
          </cell>
          <cell r="W31">
            <v>0</v>
          </cell>
          <cell r="X31">
            <v>0</v>
          </cell>
          <cell r="Y31">
            <v>2084</v>
          </cell>
          <cell r="Z31">
            <v>502</v>
          </cell>
          <cell r="AA31">
            <v>2586</v>
          </cell>
          <cell r="AB31">
            <v>0.80600000000000005</v>
          </cell>
          <cell r="AC31" t="str">
            <v>LSAC463</v>
          </cell>
        </row>
        <row r="32">
          <cell r="G32">
            <v>0</v>
          </cell>
          <cell r="H32">
            <v>0</v>
          </cell>
          <cell r="I32">
            <v>4098</v>
          </cell>
          <cell r="J32">
            <v>0</v>
          </cell>
          <cell r="K32">
            <v>0</v>
          </cell>
          <cell r="L32">
            <v>14</v>
          </cell>
          <cell r="M32">
            <v>933</v>
          </cell>
          <cell r="N32">
            <v>59</v>
          </cell>
          <cell r="O32">
            <v>0</v>
          </cell>
          <cell r="P32">
            <v>0</v>
          </cell>
          <cell r="Q32">
            <v>15</v>
          </cell>
          <cell r="R32">
            <v>0</v>
          </cell>
          <cell r="S32">
            <v>0</v>
          </cell>
          <cell r="T32">
            <v>0</v>
          </cell>
          <cell r="U32">
            <v>0</v>
          </cell>
          <cell r="V32">
            <v>0</v>
          </cell>
          <cell r="W32">
            <v>29</v>
          </cell>
          <cell r="X32">
            <v>0</v>
          </cell>
          <cell r="Y32">
            <v>5148</v>
          </cell>
          <cell r="Z32">
            <v>3803</v>
          </cell>
          <cell r="AA32">
            <v>8951</v>
          </cell>
          <cell r="AB32">
            <v>0.57499999999999996</v>
          </cell>
          <cell r="AC32" t="str">
            <v>USAC463</v>
          </cell>
        </row>
        <row r="33">
          <cell r="G33">
            <v>0</v>
          </cell>
          <cell r="H33">
            <v>328</v>
          </cell>
          <cell r="I33">
            <v>10</v>
          </cell>
          <cell r="J33">
            <v>0</v>
          </cell>
          <cell r="K33">
            <v>0</v>
          </cell>
          <cell r="L33">
            <v>0</v>
          </cell>
          <cell r="M33">
            <v>0</v>
          </cell>
          <cell r="N33">
            <v>0</v>
          </cell>
          <cell r="O33">
            <v>0</v>
          </cell>
          <cell r="P33">
            <v>39</v>
          </cell>
          <cell r="Q33">
            <v>0</v>
          </cell>
          <cell r="R33">
            <v>0</v>
          </cell>
          <cell r="S33">
            <v>0</v>
          </cell>
          <cell r="T33">
            <v>39</v>
          </cell>
          <cell r="U33">
            <v>0</v>
          </cell>
          <cell r="V33">
            <v>0</v>
          </cell>
          <cell r="W33">
            <v>0</v>
          </cell>
          <cell r="X33">
            <v>0</v>
          </cell>
          <cell r="Y33">
            <v>416</v>
          </cell>
          <cell r="Z33">
            <v>177</v>
          </cell>
          <cell r="AA33">
            <v>593</v>
          </cell>
          <cell r="AB33">
            <v>0.70199999999999996</v>
          </cell>
          <cell r="AC33" t="str">
            <v>USAC467</v>
          </cell>
        </row>
        <row r="34">
          <cell r="G34">
            <v>0</v>
          </cell>
          <cell r="H34">
            <v>0</v>
          </cell>
          <cell r="I34">
            <v>0</v>
          </cell>
          <cell r="J34">
            <v>0</v>
          </cell>
          <cell r="K34">
            <v>38</v>
          </cell>
          <cell r="L34">
            <v>0</v>
          </cell>
          <cell r="M34">
            <v>305</v>
          </cell>
          <cell r="N34">
            <v>0</v>
          </cell>
          <cell r="O34">
            <v>0</v>
          </cell>
          <cell r="P34">
            <v>0</v>
          </cell>
          <cell r="Q34">
            <v>0</v>
          </cell>
          <cell r="R34">
            <v>51</v>
          </cell>
          <cell r="S34">
            <v>0</v>
          </cell>
          <cell r="T34">
            <v>0</v>
          </cell>
          <cell r="U34">
            <v>0</v>
          </cell>
          <cell r="V34">
            <v>0</v>
          </cell>
          <cell r="W34">
            <v>13</v>
          </cell>
          <cell r="X34">
            <v>0</v>
          </cell>
          <cell r="Y34">
            <v>407</v>
          </cell>
          <cell r="Z34">
            <v>394</v>
          </cell>
          <cell r="AA34">
            <v>801</v>
          </cell>
          <cell r="AB34">
            <v>0.50800000000000001</v>
          </cell>
          <cell r="AC34" t="str">
            <v>FEA463</v>
          </cell>
        </row>
        <row r="35">
          <cell r="G35">
            <v>0</v>
          </cell>
          <cell r="H35">
            <v>0</v>
          </cell>
          <cell r="I35">
            <v>0</v>
          </cell>
          <cell r="J35">
            <v>0</v>
          </cell>
          <cell r="K35">
            <v>0</v>
          </cell>
          <cell r="L35">
            <v>0</v>
          </cell>
          <cell r="M35">
            <v>0</v>
          </cell>
          <cell r="N35">
            <v>90</v>
          </cell>
          <cell r="O35">
            <v>178</v>
          </cell>
          <cell r="P35">
            <v>801</v>
          </cell>
          <cell r="Q35">
            <v>0</v>
          </cell>
          <cell r="R35">
            <v>89</v>
          </cell>
          <cell r="S35">
            <v>22</v>
          </cell>
          <cell r="T35">
            <v>0</v>
          </cell>
          <cell r="U35">
            <v>0</v>
          </cell>
          <cell r="V35">
            <v>90</v>
          </cell>
          <cell r="W35">
            <v>0</v>
          </cell>
          <cell r="X35">
            <v>0</v>
          </cell>
          <cell r="Y35">
            <v>1270</v>
          </cell>
          <cell r="Z35">
            <v>323</v>
          </cell>
          <cell r="AA35">
            <v>1593</v>
          </cell>
          <cell r="AB35">
            <v>0.79700000000000004</v>
          </cell>
          <cell r="AC35" t="str">
            <v>AMN463</v>
          </cell>
        </row>
        <row r="37">
          <cell r="Y37">
            <v>0</v>
          </cell>
          <cell r="Z37">
            <v>1807</v>
          </cell>
          <cell r="AA37">
            <v>1807</v>
          </cell>
          <cell r="AB37">
            <v>0</v>
          </cell>
          <cell r="AC37" t="str">
            <v>BUTT541</v>
          </cell>
        </row>
      </sheetData>
      <sheetData sheetId="5"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EA2F0-819B-4F1F-BB38-4ADDC032A6FD}">
  <sheetPr>
    <pageSetUpPr fitToPage="1"/>
  </sheetPr>
  <dimension ref="A1:U39"/>
  <sheetViews>
    <sheetView workbookViewId="0">
      <selection activeCell="C7" sqref="C7:G7"/>
    </sheetView>
  </sheetViews>
  <sheetFormatPr defaultRowHeight="12.5" x14ac:dyDescent="0.25"/>
  <cols>
    <col min="1" max="1" width="6" customWidth="1"/>
    <col min="2" max="2" width="15.26953125" customWidth="1"/>
    <col min="3" max="8" width="11.7265625" customWidth="1"/>
    <col min="9" max="9" width="1.7265625" customWidth="1"/>
    <col min="10" max="11" width="9.7265625" customWidth="1"/>
    <col min="12" max="12" width="1.26953125" customWidth="1"/>
    <col min="257" max="257" width="6" customWidth="1"/>
    <col min="258" max="258" width="15.26953125" customWidth="1"/>
    <col min="259" max="264" width="11.7265625" customWidth="1"/>
    <col min="265" max="265" width="1.7265625" customWidth="1"/>
    <col min="266" max="267" width="9.7265625" customWidth="1"/>
    <col min="268" max="268" width="1.26953125" customWidth="1"/>
    <col min="513" max="513" width="6" customWidth="1"/>
    <col min="514" max="514" width="15.26953125" customWidth="1"/>
    <col min="515" max="520" width="11.7265625" customWidth="1"/>
    <col min="521" max="521" width="1.7265625" customWidth="1"/>
    <col min="522" max="523" width="9.7265625" customWidth="1"/>
    <col min="524" max="524" width="1.26953125" customWidth="1"/>
    <col min="769" max="769" width="6" customWidth="1"/>
    <col min="770" max="770" width="15.26953125" customWidth="1"/>
    <col min="771" max="776" width="11.7265625" customWidth="1"/>
    <col min="777" max="777" width="1.7265625" customWidth="1"/>
    <col min="778" max="779" width="9.7265625" customWidth="1"/>
    <col min="780" max="780" width="1.26953125" customWidth="1"/>
    <col min="1025" max="1025" width="6" customWidth="1"/>
    <col min="1026" max="1026" width="15.26953125" customWidth="1"/>
    <col min="1027" max="1032" width="11.7265625" customWidth="1"/>
    <col min="1033" max="1033" width="1.7265625" customWidth="1"/>
    <col min="1034" max="1035" width="9.7265625" customWidth="1"/>
    <col min="1036" max="1036" width="1.26953125" customWidth="1"/>
    <col min="1281" max="1281" width="6" customWidth="1"/>
    <col min="1282" max="1282" width="15.26953125" customWidth="1"/>
    <col min="1283" max="1288" width="11.7265625" customWidth="1"/>
    <col min="1289" max="1289" width="1.7265625" customWidth="1"/>
    <col min="1290" max="1291" width="9.7265625" customWidth="1"/>
    <col min="1292" max="1292" width="1.26953125" customWidth="1"/>
    <col min="1537" max="1537" width="6" customWidth="1"/>
    <col min="1538" max="1538" width="15.26953125" customWidth="1"/>
    <col min="1539" max="1544" width="11.7265625" customWidth="1"/>
    <col min="1545" max="1545" width="1.7265625" customWidth="1"/>
    <col min="1546" max="1547" width="9.7265625" customWidth="1"/>
    <col min="1548" max="1548" width="1.26953125" customWidth="1"/>
    <col min="1793" max="1793" width="6" customWidth="1"/>
    <col min="1794" max="1794" width="15.26953125" customWidth="1"/>
    <col min="1795" max="1800" width="11.7265625" customWidth="1"/>
    <col min="1801" max="1801" width="1.7265625" customWidth="1"/>
    <col min="1802" max="1803" width="9.7265625" customWidth="1"/>
    <col min="1804" max="1804" width="1.26953125" customWidth="1"/>
    <col min="2049" max="2049" width="6" customWidth="1"/>
    <col min="2050" max="2050" width="15.26953125" customWidth="1"/>
    <col min="2051" max="2056" width="11.7265625" customWidth="1"/>
    <col min="2057" max="2057" width="1.7265625" customWidth="1"/>
    <col min="2058" max="2059" width="9.7265625" customWidth="1"/>
    <col min="2060" max="2060" width="1.26953125" customWidth="1"/>
    <col min="2305" max="2305" width="6" customWidth="1"/>
    <col min="2306" max="2306" width="15.26953125" customWidth="1"/>
    <col min="2307" max="2312" width="11.7265625" customWidth="1"/>
    <col min="2313" max="2313" width="1.7265625" customWidth="1"/>
    <col min="2314" max="2315" width="9.7265625" customWidth="1"/>
    <col min="2316" max="2316" width="1.26953125" customWidth="1"/>
    <col min="2561" max="2561" width="6" customWidth="1"/>
    <col min="2562" max="2562" width="15.26953125" customWidth="1"/>
    <col min="2563" max="2568" width="11.7265625" customWidth="1"/>
    <col min="2569" max="2569" width="1.7265625" customWidth="1"/>
    <col min="2570" max="2571" width="9.7265625" customWidth="1"/>
    <col min="2572" max="2572" width="1.26953125" customWidth="1"/>
    <col min="2817" max="2817" width="6" customWidth="1"/>
    <col min="2818" max="2818" width="15.26953125" customWidth="1"/>
    <col min="2819" max="2824" width="11.7265625" customWidth="1"/>
    <col min="2825" max="2825" width="1.7265625" customWidth="1"/>
    <col min="2826" max="2827" width="9.7265625" customWidth="1"/>
    <col min="2828" max="2828" width="1.26953125" customWidth="1"/>
    <col min="3073" max="3073" width="6" customWidth="1"/>
    <col min="3074" max="3074" width="15.26953125" customWidth="1"/>
    <col min="3075" max="3080" width="11.7265625" customWidth="1"/>
    <col min="3081" max="3081" width="1.7265625" customWidth="1"/>
    <col min="3082" max="3083" width="9.7265625" customWidth="1"/>
    <col min="3084" max="3084" width="1.26953125" customWidth="1"/>
    <col min="3329" max="3329" width="6" customWidth="1"/>
    <col min="3330" max="3330" width="15.26953125" customWidth="1"/>
    <col min="3331" max="3336" width="11.7265625" customWidth="1"/>
    <col min="3337" max="3337" width="1.7265625" customWidth="1"/>
    <col min="3338" max="3339" width="9.7265625" customWidth="1"/>
    <col min="3340" max="3340" width="1.26953125" customWidth="1"/>
    <col min="3585" max="3585" width="6" customWidth="1"/>
    <col min="3586" max="3586" width="15.26953125" customWidth="1"/>
    <col min="3587" max="3592" width="11.7265625" customWidth="1"/>
    <col min="3593" max="3593" width="1.7265625" customWidth="1"/>
    <col min="3594" max="3595" width="9.7265625" customWidth="1"/>
    <col min="3596" max="3596" width="1.26953125" customWidth="1"/>
    <col min="3841" max="3841" width="6" customWidth="1"/>
    <col min="3842" max="3842" width="15.26953125" customWidth="1"/>
    <col min="3843" max="3848" width="11.7265625" customWidth="1"/>
    <col min="3849" max="3849" width="1.7265625" customWidth="1"/>
    <col min="3850" max="3851" width="9.7265625" customWidth="1"/>
    <col min="3852" max="3852" width="1.26953125" customWidth="1"/>
    <col min="4097" max="4097" width="6" customWidth="1"/>
    <col min="4098" max="4098" width="15.26953125" customWidth="1"/>
    <col min="4099" max="4104" width="11.7265625" customWidth="1"/>
    <col min="4105" max="4105" width="1.7265625" customWidth="1"/>
    <col min="4106" max="4107" width="9.7265625" customWidth="1"/>
    <col min="4108" max="4108" width="1.26953125" customWidth="1"/>
    <col min="4353" max="4353" width="6" customWidth="1"/>
    <col min="4354" max="4354" width="15.26953125" customWidth="1"/>
    <col min="4355" max="4360" width="11.7265625" customWidth="1"/>
    <col min="4361" max="4361" width="1.7265625" customWidth="1"/>
    <col min="4362" max="4363" width="9.7265625" customWidth="1"/>
    <col min="4364" max="4364" width="1.26953125" customWidth="1"/>
    <col min="4609" max="4609" width="6" customWidth="1"/>
    <col min="4610" max="4610" width="15.26953125" customWidth="1"/>
    <col min="4611" max="4616" width="11.7265625" customWidth="1"/>
    <col min="4617" max="4617" width="1.7265625" customWidth="1"/>
    <col min="4618" max="4619" width="9.7265625" customWidth="1"/>
    <col min="4620" max="4620" width="1.26953125" customWidth="1"/>
    <col min="4865" max="4865" width="6" customWidth="1"/>
    <col min="4866" max="4866" width="15.26953125" customWidth="1"/>
    <col min="4867" max="4872" width="11.7265625" customWidth="1"/>
    <col min="4873" max="4873" width="1.7265625" customWidth="1"/>
    <col min="4874" max="4875" width="9.7265625" customWidth="1"/>
    <col min="4876" max="4876" width="1.26953125" customWidth="1"/>
    <col min="5121" max="5121" width="6" customWidth="1"/>
    <col min="5122" max="5122" width="15.26953125" customWidth="1"/>
    <col min="5123" max="5128" width="11.7265625" customWidth="1"/>
    <col min="5129" max="5129" width="1.7265625" customWidth="1"/>
    <col min="5130" max="5131" width="9.7265625" customWidth="1"/>
    <col min="5132" max="5132" width="1.26953125" customWidth="1"/>
    <col min="5377" max="5377" width="6" customWidth="1"/>
    <col min="5378" max="5378" width="15.26953125" customWidth="1"/>
    <col min="5379" max="5384" width="11.7265625" customWidth="1"/>
    <col min="5385" max="5385" width="1.7265625" customWidth="1"/>
    <col min="5386" max="5387" width="9.7265625" customWidth="1"/>
    <col min="5388" max="5388" width="1.26953125" customWidth="1"/>
    <col min="5633" max="5633" width="6" customWidth="1"/>
    <col min="5634" max="5634" width="15.26953125" customWidth="1"/>
    <col min="5635" max="5640" width="11.7265625" customWidth="1"/>
    <col min="5641" max="5641" width="1.7265625" customWidth="1"/>
    <col min="5642" max="5643" width="9.7265625" customWidth="1"/>
    <col min="5644" max="5644" width="1.26953125" customWidth="1"/>
    <col min="5889" max="5889" width="6" customWidth="1"/>
    <col min="5890" max="5890" width="15.26953125" customWidth="1"/>
    <col min="5891" max="5896" width="11.7265625" customWidth="1"/>
    <col min="5897" max="5897" width="1.7265625" customWidth="1"/>
    <col min="5898" max="5899" width="9.7265625" customWidth="1"/>
    <col min="5900" max="5900" width="1.26953125" customWidth="1"/>
    <col min="6145" max="6145" width="6" customWidth="1"/>
    <col min="6146" max="6146" width="15.26953125" customWidth="1"/>
    <col min="6147" max="6152" width="11.7265625" customWidth="1"/>
    <col min="6153" max="6153" width="1.7265625" customWidth="1"/>
    <col min="6154" max="6155" width="9.7265625" customWidth="1"/>
    <col min="6156" max="6156" width="1.26953125" customWidth="1"/>
    <col min="6401" max="6401" width="6" customWidth="1"/>
    <col min="6402" max="6402" width="15.26953125" customWidth="1"/>
    <col min="6403" max="6408" width="11.7265625" customWidth="1"/>
    <col min="6409" max="6409" width="1.7265625" customWidth="1"/>
    <col min="6410" max="6411" width="9.7265625" customWidth="1"/>
    <col min="6412" max="6412" width="1.26953125" customWidth="1"/>
    <col min="6657" max="6657" width="6" customWidth="1"/>
    <col min="6658" max="6658" width="15.26953125" customWidth="1"/>
    <col min="6659" max="6664" width="11.7265625" customWidth="1"/>
    <col min="6665" max="6665" width="1.7265625" customWidth="1"/>
    <col min="6666" max="6667" width="9.7265625" customWidth="1"/>
    <col min="6668" max="6668" width="1.26953125" customWidth="1"/>
    <col min="6913" max="6913" width="6" customWidth="1"/>
    <col min="6914" max="6914" width="15.26953125" customWidth="1"/>
    <col min="6915" max="6920" width="11.7265625" customWidth="1"/>
    <col min="6921" max="6921" width="1.7265625" customWidth="1"/>
    <col min="6922" max="6923" width="9.7265625" customWidth="1"/>
    <col min="6924" max="6924" width="1.26953125" customWidth="1"/>
    <col min="7169" max="7169" width="6" customWidth="1"/>
    <col min="7170" max="7170" width="15.26953125" customWidth="1"/>
    <col min="7171" max="7176" width="11.7265625" customWidth="1"/>
    <col min="7177" max="7177" width="1.7265625" customWidth="1"/>
    <col min="7178" max="7179" width="9.7265625" customWidth="1"/>
    <col min="7180" max="7180" width="1.26953125" customWidth="1"/>
    <col min="7425" max="7425" width="6" customWidth="1"/>
    <col min="7426" max="7426" width="15.26953125" customWidth="1"/>
    <col min="7427" max="7432" width="11.7265625" customWidth="1"/>
    <col min="7433" max="7433" width="1.7265625" customWidth="1"/>
    <col min="7434" max="7435" width="9.7265625" customWidth="1"/>
    <col min="7436" max="7436" width="1.26953125" customWidth="1"/>
    <col min="7681" max="7681" width="6" customWidth="1"/>
    <col min="7682" max="7682" width="15.26953125" customWidth="1"/>
    <col min="7683" max="7688" width="11.7265625" customWidth="1"/>
    <col min="7689" max="7689" width="1.7265625" customWidth="1"/>
    <col min="7690" max="7691" width="9.7265625" customWidth="1"/>
    <col min="7692" max="7692" width="1.26953125" customWidth="1"/>
    <col min="7937" max="7937" width="6" customWidth="1"/>
    <col min="7938" max="7938" width="15.26953125" customWidth="1"/>
    <col min="7939" max="7944" width="11.7265625" customWidth="1"/>
    <col min="7945" max="7945" width="1.7265625" customWidth="1"/>
    <col min="7946" max="7947" width="9.7265625" customWidth="1"/>
    <col min="7948" max="7948" width="1.26953125" customWidth="1"/>
    <col min="8193" max="8193" width="6" customWidth="1"/>
    <col min="8194" max="8194" width="15.26953125" customWidth="1"/>
    <col min="8195" max="8200" width="11.7265625" customWidth="1"/>
    <col min="8201" max="8201" width="1.7265625" customWidth="1"/>
    <col min="8202" max="8203" width="9.7265625" customWidth="1"/>
    <col min="8204" max="8204" width="1.26953125" customWidth="1"/>
    <col min="8449" max="8449" width="6" customWidth="1"/>
    <col min="8450" max="8450" width="15.26953125" customWidth="1"/>
    <col min="8451" max="8456" width="11.7265625" customWidth="1"/>
    <col min="8457" max="8457" width="1.7265625" customWidth="1"/>
    <col min="8458" max="8459" width="9.7265625" customWidth="1"/>
    <col min="8460" max="8460" width="1.26953125" customWidth="1"/>
    <col min="8705" max="8705" width="6" customWidth="1"/>
    <col min="8706" max="8706" width="15.26953125" customWidth="1"/>
    <col min="8707" max="8712" width="11.7265625" customWidth="1"/>
    <col min="8713" max="8713" width="1.7265625" customWidth="1"/>
    <col min="8714" max="8715" width="9.7265625" customWidth="1"/>
    <col min="8716" max="8716" width="1.26953125" customWidth="1"/>
    <col min="8961" max="8961" width="6" customWidth="1"/>
    <col min="8962" max="8962" width="15.26953125" customWidth="1"/>
    <col min="8963" max="8968" width="11.7265625" customWidth="1"/>
    <col min="8969" max="8969" width="1.7265625" customWidth="1"/>
    <col min="8970" max="8971" width="9.7265625" customWidth="1"/>
    <col min="8972" max="8972" width="1.26953125" customWidth="1"/>
    <col min="9217" max="9217" width="6" customWidth="1"/>
    <col min="9218" max="9218" width="15.26953125" customWidth="1"/>
    <col min="9219" max="9224" width="11.7265625" customWidth="1"/>
    <col min="9225" max="9225" width="1.7265625" customWidth="1"/>
    <col min="9226" max="9227" width="9.7265625" customWidth="1"/>
    <col min="9228" max="9228" width="1.26953125" customWidth="1"/>
    <col min="9473" max="9473" width="6" customWidth="1"/>
    <col min="9474" max="9474" width="15.26953125" customWidth="1"/>
    <col min="9475" max="9480" width="11.7265625" customWidth="1"/>
    <col min="9481" max="9481" width="1.7265625" customWidth="1"/>
    <col min="9482" max="9483" width="9.7265625" customWidth="1"/>
    <col min="9484" max="9484" width="1.26953125" customWidth="1"/>
    <col min="9729" max="9729" width="6" customWidth="1"/>
    <col min="9730" max="9730" width="15.26953125" customWidth="1"/>
    <col min="9731" max="9736" width="11.7265625" customWidth="1"/>
    <col min="9737" max="9737" width="1.7265625" customWidth="1"/>
    <col min="9738" max="9739" width="9.7265625" customWidth="1"/>
    <col min="9740" max="9740" width="1.26953125" customWidth="1"/>
    <col min="9985" max="9985" width="6" customWidth="1"/>
    <col min="9986" max="9986" width="15.26953125" customWidth="1"/>
    <col min="9987" max="9992" width="11.7265625" customWidth="1"/>
    <col min="9993" max="9993" width="1.7265625" customWidth="1"/>
    <col min="9994" max="9995" width="9.7265625" customWidth="1"/>
    <col min="9996" max="9996" width="1.26953125" customWidth="1"/>
    <col min="10241" max="10241" width="6" customWidth="1"/>
    <col min="10242" max="10242" width="15.26953125" customWidth="1"/>
    <col min="10243" max="10248" width="11.7265625" customWidth="1"/>
    <col min="10249" max="10249" width="1.7265625" customWidth="1"/>
    <col min="10250" max="10251" width="9.7265625" customWidth="1"/>
    <col min="10252" max="10252" width="1.26953125" customWidth="1"/>
    <col min="10497" max="10497" width="6" customWidth="1"/>
    <col min="10498" max="10498" width="15.26953125" customWidth="1"/>
    <col min="10499" max="10504" width="11.7265625" customWidth="1"/>
    <col min="10505" max="10505" width="1.7265625" customWidth="1"/>
    <col min="10506" max="10507" width="9.7265625" customWidth="1"/>
    <col min="10508" max="10508" width="1.26953125" customWidth="1"/>
    <col min="10753" max="10753" width="6" customWidth="1"/>
    <col min="10754" max="10754" width="15.26953125" customWidth="1"/>
    <col min="10755" max="10760" width="11.7265625" customWidth="1"/>
    <col min="10761" max="10761" width="1.7265625" customWidth="1"/>
    <col min="10762" max="10763" width="9.7265625" customWidth="1"/>
    <col min="10764" max="10764" width="1.26953125" customWidth="1"/>
    <col min="11009" max="11009" width="6" customWidth="1"/>
    <col min="11010" max="11010" width="15.26953125" customWidth="1"/>
    <col min="11011" max="11016" width="11.7265625" customWidth="1"/>
    <col min="11017" max="11017" width="1.7265625" customWidth="1"/>
    <col min="11018" max="11019" width="9.7265625" customWidth="1"/>
    <col min="11020" max="11020" width="1.26953125" customWidth="1"/>
    <col min="11265" max="11265" width="6" customWidth="1"/>
    <col min="11266" max="11266" width="15.26953125" customWidth="1"/>
    <col min="11267" max="11272" width="11.7265625" customWidth="1"/>
    <col min="11273" max="11273" width="1.7265625" customWidth="1"/>
    <col min="11274" max="11275" width="9.7265625" customWidth="1"/>
    <col min="11276" max="11276" width="1.26953125" customWidth="1"/>
    <col min="11521" max="11521" width="6" customWidth="1"/>
    <col min="11522" max="11522" width="15.26953125" customWidth="1"/>
    <col min="11523" max="11528" width="11.7265625" customWidth="1"/>
    <col min="11529" max="11529" width="1.7265625" customWidth="1"/>
    <col min="11530" max="11531" width="9.7265625" customWidth="1"/>
    <col min="11532" max="11532" width="1.26953125" customWidth="1"/>
    <col min="11777" max="11777" width="6" customWidth="1"/>
    <col min="11778" max="11778" width="15.26953125" customWidth="1"/>
    <col min="11779" max="11784" width="11.7265625" customWidth="1"/>
    <col min="11785" max="11785" width="1.7265625" customWidth="1"/>
    <col min="11786" max="11787" width="9.7265625" customWidth="1"/>
    <col min="11788" max="11788" width="1.26953125" customWidth="1"/>
    <col min="12033" max="12033" width="6" customWidth="1"/>
    <col min="12034" max="12034" width="15.26953125" customWidth="1"/>
    <col min="12035" max="12040" width="11.7265625" customWidth="1"/>
    <col min="12041" max="12041" width="1.7265625" customWidth="1"/>
    <col min="12042" max="12043" width="9.7265625" customWidth="1"/>
    <col min="12044" max="12044" width="1.26953125" customWidth="1"/>
    <col min="12289" max="12289" width="6" customWidth="1"/>
    <col min="12290" max="12290" width="15.26953125" customWidth="1"/>
    <col min="12291" max="12296" width="11.7265625" customWidth="1"/>
    <col min="12297" max="12297" width="1.7265625" customWidth="1"/>
    <col min="12298" max="12299" width="9.7265625" customWidth="1"/>
    <col min="12300" max="12300" width="1.26953125" customWidth="1"/>
    <col min="12545" max="12545" width="6" customWidth="1"/>
    <col min="12546" max="12546" width="15.26953125" customWidth="1"/>
    <col min="12547" max="12552" width="11.7265625" customWidth="1"/>
    <col min="12553" max="12553" width="1.7265625" customWidth="1"/>
    <col min="12554" max="12555" width="9.7265625" customWidth="1"/>
    <col min="12556" max="12556" width="1.26953125" customWidth="1"/>
    <col min="12801" max="12801" width="6" customWidth="1"/>
    <col min="12802" max="12802" width="15.26953125" customWidth="1"/>
    <col min="12803" max="12808" width="11.7265625" customWidth="1"/>
    <col min="12809" max="12809" width="1.7265625" customWidth="1"/>
    <col min="12810" max="12811" width="9.7265625" customWidth="1"/>
    <col min="12812" max="12812" width="1.26953125" customWidth="1"/>
    <col min="13057" max="13057" width="6" customWidth="1"/>
    <col min="13058" max="13058" width="15.26953125" customWidth="1"/>
    <col min="13059" max="13064" width="11.7265625" customWidth="1"/>
    <col min="13065" max="13065" width="1.7265625" customWidth="1"/>
    <col min="13066" max="13067" width="9.7265625" customWidth="1"/>
    <col min="13068" max="13068" width="1.26953125" customWidth="1"/>
    <col min="13313" max="13313" width="6" customWidth="1"/>
    <col min="13314" max="13314" width="15.26953125" customWidth="1"/>
    <col min="13315" max="13320" width="11.7265625" customWidth="1"/>
    <col min="13321" max="13321" width="1.7265625" customWidth="1"/>
    <col min="13322" max="13323" width="9.7265625" customWidth="1"/>
    <col min="13324" max="13324" width="1.26953125" customWidth="1"/>
    <col min="13569" max="13569" width="6" customWidth="1"/>
    <col min="13570" max="13570" width="15.26953125" customWidth="1"/>
    <col min="13571" max="13576" width="11.7265625" customWidth="1"/>
    <col min="13577" max="13577" width="1.7265625" customWidth="1"/>
    <col min="13578" max="13579" width="9.7265625" customWidth="1"/>
    <col min="13580" max="13580" width="1.26953125" customWidth="1"/>
    <col min="13825" max="13825" width="6" customWidth="1"/>
    <col min="13826" max="13826" width="15.26953125" customWidth="1"/>
    <col min="13827" max="13832" width="11.7265625" customWidth="1"/>
    <col min="13833" max="13833" width="1.7265625" customWidth="1"/>
    <col min="13834" max="13835" width="9.7265625" customWidth="1"/>
    <col min="13836" max="13836" width="1.26953125" customWidth="1"/>
    <col min="14081" max="14081" width="6" customWidth="1"/>
    <col min="14082" max="14082" width="15.26953125" customWidth="1"/>
    <col min="14083" max="14088" width="11.7265625" customWidth="1"/>
    <col min="14089" max="14089" width="1.7265625" customWidth="1"/>
    <col min="14090" max="14091" width="9.7265625" customWidth="1"/>
    <col min="14092" max="14092" width="1.26953125" customWidth="1"/>
    <col min="14337" max="14337" width="6" customWidth="1"/>
    <col min="14338" max="14338" width="15.26953125" customWidth="1"/>
    <col min="14339" max="14344" width="11.7265625" customWidth="1"/>
    <col min="14345" max="14345" width="1.7265625" customWidth="1"/>
    <col min="14346" max="14347" width="9.7265625" customWidth="1"/>
    <col min="14348" max="14348" width="1.26953125" customWidth="1"/>
    <col min="14593" max="14593" width="6" customWidth="1"/>
    <col min="14594" max="14594" width="15.26953125" customWidth="1"/>
    <col min="14595" max="14600" width="11.7265625" customWidth="1"/>
    <col min="14601" max="14601" width="1.7265625" customWidth="1"/>
    <col min="14602" max="14603" width="9.7265625" customWidth="1"/>
    <col min="14604" max="14604" width="1.26953125" customWidth="1"/>
    <col min="14849" max="14849" width="6" customWidth="1"/>
    <col min="14850" max="14850" width="15.26953125" customWidth="1"/>
    <col min="14851" max="14856" width="11.7265625" customWidth="1"/>
    <col min="14857" max="14857" width="1.7265625" customWidth="1"/>
    <col min="14858" max="14859" width="9.7265625" customWidth="1"/>
    <col min="14860" max="14860" width="1.26953125" customWidth="1"/>
    <col min="15105" max="15105" width="6" customWidth="1"/>
    <col min="15106" max="15106" width="15.26953125" customWidth="1"/>
    <col min="15107" max="15112" width="11.7265625" customWidth="1"/>
    <col min="15113" max="15113" width="1.7265625" customWidth="1"/>
    <col min="15114" max="15115" width="9.7265625" customWidth="1"/>
    <col min="15116" max="15116" width="1.26953125" customWidth="1"/>
    <col min="15361" max="15361" width="6" customWidth="1"/>
    <col min="15362" max="15362" width="15.26953125" customWidth="1"/>
    <col min="15363" max="15368" width="11.7265625" customWidth="1"/>
    <col min="15369" max="15369" width="1.7265625" customWidth="1"/>
    <col min="15370" max="15371" width="9.7265625" customWidth="1"/>
    <col min="15372" max="15372" width="1.26953125" customWidth="1"/>
    <col min="15617" max="15617" width="6" customWidth="1"/>
    <col min="15618" max="15618" width="15.26953125" customWidth="1"/>
    <col min="15619" max="15624" width="11.7265625" customWidth="1"/>
    <col min="15625" max="15625" width="1.7265625" customWidth="1"/>
    <col min="15626" max="15627" width="9.7265625" customWidth="1"/>
    <col min="15628" max="15628" width="1.26953125" customWidth="1"/>
    <col min="15873" max="15873" width="6" customWidth="1"/>
    <col min="15874" max="15874" width="15.26953125" customWidth="1"/>
    <col min="15875" max="15880" width="11.7265625" customWidth="1"/>
    <col min="15881" max="15881" width="1.7265625" customWidth="1"/>
    <col min="15882" max="15883" width="9.7265625" customWidth="1"/>
    <col min="15884" max="15884" width="1.26953125" customWidth="1"/>
    <col min="16129" max="16129" width="6" customWidth="1"/>
    <col min="16130" max="16130" width="15.26953125" customWidth="1"/>
    <col min="16131" max="16136" width="11.7265625" customWidth="1"/>
    <col min="16137" max="16137" width="1.7265625" customWidth="1"/>
    <col min="16138" max="16139" width="9.7265625" customWidth="1"/>
    <col min="16140" max="16140" width="1.26953125" customWidth="1"/>
  </cols>
  <sheetData>
    <row r="1" spans="1:21" ht="13" x14ac:dyDescent="0.3">
      <c r="A1" s="109" t="s">
        <v>285</v>
      </c>
      <c r="B1" s="109"/>
      <c r="C1" s="109"/>
      <c r="D1" s="109"/>
      <c r="E1" s="109"/>
      <c r="F1" s="109"/>
      <c r="G1" s="109"/>
      <c r="H1" s="109"/>
      <c r="I1" s="109"/>
      <c r="J1" s="109"/>
      <c r="K1" s="109"/>
    </row>
    <row r="2" spans="1:21" ht="7.9" customHeight="1" x14ac:dyDescent="0.25"/>
    <row r="3" spans="1:21" ht="7.9" customHeight="1" x14ac:dyDescent="0.25">
      <c r="A3" s="329"/>
      <c r="B3" s="6"/>
      <c r="C3" s="6"/>
      <c r="D3" s="6"/>
      <c r="E3" s="6"/>
      <c r="F3" s="6"/>
      <c r="G3" s="6"/>
      <c r="H3" s="6"/>
      <c r="I3" s="6"/>
      <c r="J3" s="6"/>
      <c r="K3" s="6"/>
      <c r="L3" s="330"/>
    </row>
    <row r="4" spans="1:21" ht="18" customHeight="1" x14ac:dyDescent="0.3">
      <c r="A4" s="331"/>
      <c r="B4" s="332" t="s">
        <v>48</v>
      </c>
      <c r="C4" s="333">
        <v>2009</v>
      </c>
      <c r="D4" s="333">
        <v>2008</v>
      </c>
      <c r="E4" s="333">
        <v>2007</v>
      </c>
      <c r="F4" s="333">
        <v>2006</v>
      </c>
      <c r="G4" s="333">
        <v>2005</v>
      </c>
      <c r="H4" s="333">
        <v>2004</v>
      </c>
      <c r="I4" s="333"/>
      <c r="J4" s="709" t="s">
        <v>258</v>
      </c>
      <c r="K4" s="709" t="s">
        <v>259</v>
      </c>
      <c r="L4" s="334"/>
      <c r="N4" s="109"/>
      <c r="O4" s="333"/>
      <c r="P4" s="333"/>
      <c r="Q4" s="333"/>
      <c r="R4" s="333"/>
      <c r="S4" s="333"/>
    </row>
    <row r="5" spans="1:21" ht="18" customHeight="1" x14ac:dyDescent="0.25">
      <c r="A5" s="331"/>
      <c r="B5" s="127" t="s">
        <v>260</v>
      </c>
      <c r="C5" s="110">
        <v>1</v>
      </c>
      <c r="D5" s="110">
        <v>2</v>
      </c>
      <c r="E5" s="110">
        <v>3</v>
      </c>
      <c r="F5" s="110">
        <v>4</v>
      </c>
      <c r="G5" s="110">
        <v>5</v>
      </c>
      <c r="H5" s="110">
        <v>6</v>
      </c>
      <c r="J5" s="710"/>
      <c r="K5" s="710"/>
      <c r="L5" s="334"/>
      <c r="U5" s="127"/>
    </row>
    <row r="6" spans="1:21" ht="5.25" customHeight="1" x14ac:dyDescent="0.25">
      <c r="A6" s="331"/>
      <c r="B6" s="127"/>
      <c r="J6" s="127"/>
      <c r="K6" s="127"/>
      <c r="L6" s="334"/>
      <c r="U6" s="127"/>
    </row>
    <row r="7" spans="1:21" ht="15" customHeight="1" x14ac:dyDescent="0.25">
      <c r="A7" s="711" t="s">
        <v>261</v>
      </c>
      <c r="B7" s="712"/>
      <c r="C7" s="14">
        <v>36</v>
      </c>
      <c r="D7" s="14">
        <v>7087</v>
      </c>
      <c r="E7" s="14">
        <v>8022</v>
      </c>
      <c r="F7" s="14">
        <v>272</v>
      </c>
      <c r="G7" s="14">
        <v>2</v>
      </c>
      <c r="H7" s="14"/>
      <c r="I7" s="14"/>
      <c r="J7" s="335">
        <f>SUM(C7:G7)</f>
        <v>15419</v>
      </c>
      <c r="K7" s="336" t="s">
        <v>266</v>
      </c>
      <c r="L7" s="334"/>
    </row>
    <row r="8" spans="1:21" ht="15" customHeight="1" x14ac:dyDescent="0.25">
      <c r="A8" s="707"/>
      <c r="B8" s="708"/>
      <c r="C8" s="342" t="s">
        <v>271</v>
      </c>
      <c r="D8" s="338" t="s">
        <v>286</v>
      </c>
      <c r="E8" s="338" t="s">
        <v>287</v>
      </c>
      <c r="F8" s="338" t="s">
        <v>264</v>
      </c>
      <c r="G8" s="338" t="s">
        <v>271</v>
      </c>
      <c r="H8" s="3"/>
      <c r="I8" s="3"/>
      <c r="J8" s="12"/>
      <c r="K8" s="1"/>
      <c r="L8" s="340"/>
    </row>
    <row r="9" spans="1:21" ht="7.5" customHeight="1" x14ac:dyDescent="0.25">
      <c r="A9" s="337"/>
      <c r="B9" s="74"/>
      <c r="C9" s="342"/>
      <c r="D9" s="338"/>
      <c r="E9" s="338"/>
      <c r="F9" s="338"/>
      <c r="G9" s="338"/>
      <c r="H9" s="3"/>
      <c r="I9" s="3"/>
      <c r="J9" s="12"/>
      <c r="K9" s="1"/>
      <c r="L9" s="340"/>
    </row>
    <row r="10" spans="1:21" ht="15" customHeight="1" x14ac:dyDescent="0.3">
      <c r="A10" s="707" t="s">
        <v>265</v>
      </c>
      <c r="B10" s="708"/>
      <c r="C10" s="108">
        <v>137.09</v>
      </c>
      <c r="D10" s="108">
        <v>29450.82</v>
      </c>
      <c r="E10" s="108">
        <v>63868.43</v>
      </c>
      <c r="F10" s="108">
        <v>2197</v>
      </c>
      <c r="G10" s="108">
        <v>2.0499999999999998</v>
      </c>
      <c r="H10" s="341"/>
      <c r="I10" s="341"/>
      <c r="J10" s="38">
        <f>SUM(C10:G10)</f>
        <v>95655.39</v>
      </c>
      <c r="K10" s="336" t="s">
        <v>288</v>
      </c>
      <c r="L10" s="334"/>
    </row>
    <row r="11" spans="1:21" ht="15" customHeight="1" x14ac:dyDescent="0.25">
      <c r="A11" s="707"/>
      <c r="B11" s="708"/>
      <c r="C11" s="342" t="s">
        <v>271</v>
      </c>
      <c r="D11" s="338" t="s">
        <v>289</v>
      </c>
      <c r="E11" s="338" t="s">
        <v>275</v>
      </c>
      <c r="F11" s="338" t="s">
        <v>264</v>
      </c>
      <c r="G11" s="338" t="s">
        <v>271</v>
      </c>
      <c r="H11" s="3"/>
      <c r="I11" s="3"/>
      <c r="J11" s="12"/>
      <c r="K11" s="1"/>
      <c r="L11" s="340"/>
    </row>
    <row r="12" spans="1:21" ht="18" customHeight="1" x14ac:dyDescent="0.25">
      <c r="A12" s="337"/>
      <c r="B12" s="74"/>
      <c r="C12" s="3"/>
      <c r="D12" s="3"/>
      <c r="E12" s="3"/>
      <c r="F12" s="3"/>
      <c r="G12" s="3"/>
      <c r="H12" s="3"/>
      <c r="I12" s="3"/>
      <c r="J12" s="12"/>
      <c r="K12" s="1"/>
      <c r="L12" s="334"/>
    </row>
    <row r="13" spans="1:21" ht="18" customHeight="1" x14ac:dyDescent="0.3">
      <c r="A13" s="337"/>
      <c r="B13" s="332" t="s">
        <v>47</v>
      </c>
      <c r="C13" s="5">
        <v>2009</v>
      </c>
      <c r="D13" s="5">
        <v>2008</v>
      </c>
      <c r="E13" s="5">
        <v>2007</v>
      </c>
      <c r="F13" s="5">
        <v>2006</v>
      </c>
      <c r="G13" s="5">
        <v>2005</v>
      </c>
      <c r="H13" s="5">
        <v>2004</v>
      </c>
      <c r="I13" s="5"/>
      <c r="J13" s="709" t="s">
        <v>258</v>
      </c>
      <c r="K13" s="709" t="s">
        <v>259</v>
      </c>
      <c r="L13" s="334"/>
    </row>
    <row r="14" spans="1:21" ht="18" customHeight="1" x14ac:dyDescent="0.25">
      <c r="A14" s="337"/>
      <c r="B14" s="74" t="s">
        <v>260</v>
      </c>
      <c r="C14" s="219">
        <v>1</v>
      </c>
      <c r="D14" s="219">
        <v>2</v>
      </c>
      <c r="E14" s="219">
        <v>3</v>
      </c>
      <c r="F14" s="219">
        <v>4</v>
      </c>
      <c r="G14" s="219">
        <v>5</v>
      </c>
      <c r="H14" s="219">
        <v>6</v>
      </c>
      <c r="I14" s="3"/>
      <c r="J14" s="710"/>
      <c r="K14" s="710"/>
      <c r="L14" s="334"/>
    </row>
    <row r="15" spans="1:21" ht="5.25" customHeight="1" x14ac:dyDescent="0.25">
      <c r="A15" s="337"/>
      <c r="B15" s="74"/>
      <c r="C15" s="3"/>
      <c r="D15" s="3"/>
      <c r="E15" s="3"/>
      <c r="F15" s="3"/>
      <c r="G15" s="3"/>
      <c r="H15" s="3"/>
      <c r="I15" s="3"/>
      <c r="J15" s="12"/>
      <c r="K15" s="1"/>
      <c r="L15" s="334"/>
    </row>
    <row r="16" spans="1:21" ht="15" customHeight="1" x14ac:dyDescent="0.25">
      <c r="A16" s="711" t="s">
        <v>261</v>
      </c>
      <c r="B16" s="712"/>
      <c r="C16" s="3"/>
      <c r="D16" s="341">
        <v>306</v>
      </c>
      <c r="E16" s="341">
        <v>3340</v>
      </c>
      <c r="F16" s="341">
        <v>91</v>
      </c>
      <c r="G16" s="341">
        <v>1</v>
      </c>
      <c r="H16" s="341"/>
      <c r="I16" s="341"/>
      <c r="J16" s="38">
        <f>SUM(C16:G16)</f>
        <v>3738</v>
      </c>
      <c r="K16" s="336" t="s">
        <v>290</v>
      </c>
      <c r="L16" s="334"/>
    </row>
    <row r="17" spans="1:12" ht="15" customHeight="1" x14ac:dyDescent="0.25">
      <c r="A17" s="707"/>
      <c r="B17" s="708"/>
      <c r="C17" s="344"/>
      <c r="D17" s="338" t="s">
        <v>282</v>
      </c>
      <c r="E17" s="338" t="s">
        <v>291</v>
      </c>
      <c r="F17" s="338" t="s">
        <v>264</v>
      </c>
      <c r="G17" s="338" t="s">
        <v>271</v>
      </c>
      <c r="H17" s="3"/>
      <c r="I17" s="3"/>
      <c r="J17" s="12"/>
      <c r="K17" s="1"/>
      <c r="L17" s="340"/>
    </row>
    <row r="18" spans="1:12" ht="7.5" customHeight="1" x14ac:dyDescent="0.25">
      <c r="A18" s="337"/>
      <c r="B18" s="74"/>
      <c r="C18" s="344"/>
      <c r="D18" s="338"/>
      <c r="E18" s="338"/>
      <c r="F18" s="338"/>
      <c r="G18" s="338"/>
      <c r="H18" s="3"/>
      <c r="I18" s="3"/>
      <c r="J18" s="12"/>
      <c r="K18" s="1"/>
      <c r="L18" s="340"/>
    </row>
    <row r="19" spans="1:12" ht="15" customHeight="1" x14ac:dyDescent="0.3">
      <c r="A19" s="707" t="s">
        <v>265</v>
      </c>
      <c r="B19" s="708"/>
      <c r="C19" s="351"/>
      <c r="D19" s="108">
        <v>607.58000000000004</v>
      </c>
      <c r="E19" s="108">
        <v>10582.36</v>
      </c>
      <c r="F19" s="108">
        <v>307.67</v>
      </c>
      <c r="G19" s="108">
        <v>1.03</v>
      </c>
      <c r="H19" s="341"/>
      <c r="I19" s="341"/>
      <c r="J19" s="38">
        <f>SUM(C19:G19)</f>
        <v>11498.640000000001</v>
      </c>
      <c r="K19" s="336" t="s">
        <v>292</v>
      </c>
      <c r="L19" s="334"/>
    </row>
    <row r="20" spans="1:12" ht="15" customHeight="1" x14ac:dyDescent="0.25">
      <c r="A20" s="707"/>
      <c r="B20" s="708"/>
      <c r="C20" s="344"/>
      <c r="D20" s="338" t="s">
        <v>283</v>
      </c>
      <c r="E20" s="338" t="s">
        <v>293</v>
      </c>
      <c r="F20" s="338" t="s">
        <v>294</v>
      </c>
      <c r="G20" s="338" t="s">
        <v>271</v>
      </c>
      <c r="H20" s="3"/>
      <c r="I20" s="3"/>
      <c r="J20" s="12"/>
      <c r="K20" s="1"/>
      <c r="L20" s="340"/>
    </row>
    <row r="21" spans="1:12" ht="18" customHeight="1" x14ac:dyDescent="0.25">
      <c r="A21" s="337"/>
      <c r="B21" s="74"/>
      <c r="C21" s="3"/>
      <c r="D21" s="3"/>
      <c r="E21" s="3"/>
      <c r="F21" s="3"/>
      <c r="G21" s="3"/>
      <c r="H21" s="3"/>
      <c r="I21" s="3"/>
      <c r="J21" s="12"/>
      <c r="K21" s="1"/>
      <c r="L21" s="334"/>
    </row>
    <row r="22" spans="1:12" ht="18" customHeight="1" x14ac:dyDescent="0.3">
      <c r="A22" s="337"/>
      <c r="B22" s="332" t="s">
        <v>269</v>
      </c>
      <c r="C22" s="5">
        <v>2010</v>
      </c>
      <c r="D22" s="5">
        <v>2009</v>
      </c>
      <c r="E22" s="5">
        <v>2008</v>
      </c>
      <c r="F22" s="5">
        <v>2007</v>
      </c>
      <c r="G22" s="5">
        <v>2006</v>
      </c>
      <c r="H22" s="5">
        <v>2005</v>
      </c>
      <c r="I22" s="5"/>
      <c r="J22" s="709" t="s">
        <v>258</v>
      </c>
      <c r="K22" s="709" t="s">
        <v>259</v>
      </c>
      <c r="L22" s="334"/>
    </row>
    <row r="23" spans="1:12" ht="18" customHeight="1" x14ac:dyDescent="0.25">
      <c r="A23" s="337"/>
      <c r="B23" s="74" t="s">
        <v>260</v>
      </c>
      <c r="C23" s="219">
        <v>1</v>
      </c>
      <c r="D23" s="219">
        <v>2</v>
      </c>
      <c r="E23" s="219">
        <v>3</v>
      </c>
      <c r="F23" s="219">
        <v>4</v>
      </c>
      <c r="G23" s="219">
        <v>5</v>
      </c>
      <c r="H23" s="219">
        <v>6</v>
      </c>
      <c r="I23" s="3"/>
      <c r="J23" s="710"/>
      <c r="K23" s="710"/>
      <c r="L23" s="334"/>
    </row>
    <row r="24" spans="1:12" ht="5.25" customHeight="1" x14ac:dyDescent="0.25">
      <c r="A24" s="337"/>
      <c r="B24" s="74"/>
      <c r="C24" s="3"/>
      <c r="D24" s="3"/>
      <c r="E24" s="3"/>
      <c r="F24" s="3"/>
      <c r="G24" s="3"/>
      <c r="H24" s="3"/>
      <c r="I24" s="3"/>
      <c r="J24" s="12"/>
      <c r="K24" s="1"/>
      <c r="L24" s="334"/>
    </row>
    <row r="25" spans="1:12" ht="15" customHeight="1" x14ac:dyDescent="0.25">
      <c r="A25" s="711" t="s">
        <v>261</v>
      </c>
      <c r="B25" s="712"/>
      <c r="C25" s="3"/>
      <c r="D25" s="341">
        <v>153</v>
      </c>
      <c r="E25" s="341">
        <v>781</v>
      </c>
      <c r="F25" s="341">
        <v>3824</v>
      </c>
      <c r="G25" s="341">
        <v>918</v>
      </c>
      <c r="H25" s="341">
        <v>5</v>
      </c>
      <c r="I25" s="341"/>
      <c r="J25" s="38">
        <f>SUM(D25:H25)</f>
        <v>5681</v>
      </c>
      <c r="K25" s="336" t="s">
        <v>295</v>
      </c>
      <c r="L25" s="334"/>
    </row>
    <row r="26" spans="1:12" ht="15" customHeight="1" x14ac:dyDescent="0.25">
      <c r="A26" s="707"/>
      <c r="B26" s="708"/>
      <c r="C26" s="3"/>
      <c r="D26" s="338" t="s">
        <v>294</v>
      </c>
      <c r="E26" s="338" t="s">
        <v>296</v>
      </c>
      <c r="F26" s="338" t="s">
        <v>275</v>
      </c>
      <c r="G26" s="338" t="s">
        <v>297</v>
      </c>
      <c r="H26" s="338" t="s">
        <v>271</v>
      </c>
      <c r="I26" s="338"/>
      <c r="J26" s="343"/>
      <c r="K26" s="1"/>
      <c r="L26" s="340"/>
    </row>
    <row r="27" spans="1:12" ht="7.5" customHeight="1" x14ac:dyDescent="0.25">
      <c r="A27" s="337"/>
      <c r="B27" s="74"/>
      <c r="C27" s="3"/>
      <c r="D27" s="338"/>
      <c r="E27" s="338"/>
      <c r="F27" s="338"/>
      <c r="G27" s="338"/>
      <c r="H27" s="338"/>
      <c r="I27" s="338"/>
      <c r="J27" s="343"/>
      <c r="K27" s="1"/>
      <c r="L27" s="340"/>
    </row>
    <row r="28" spans="1:12" ht="15" customHeight="1" x14ac:dyDescent="0.3">
      <c r="A28" s="707" t="s">
        <v>265</v>
      </c>
      <c r="B28" s="708"/>
      <c r="C28" s="88"/>
      <c r="D28" s="108">
        <v>333.97</v>
      </c>
      <c r="E28" s="108">
        <v>1358.34</v>
      </c>
      <c r="F28" s="108">
        <v>4092.5</v>
      </c>
      <c r="G28" s="108">
        <v>1122.24</v>
      </c>
      <c r="H28" s="108">
        <v>5.12</v>
      </c>
      <c r="I28" s="108"/>
      <c r="J28" s="38">
        <f>SUM(D28:H28)</f>
        <v>6912.1699999999992</v>
      </c>
      <c r="K28" s="336" t="s">
        <v>298</v>
      </c>
      <c r="L28" s="334"/>
    </row>
    <row r="29" spans="1:12" ht="15" customHeight="1" x14ac:dyDescent="0.25">
      <c r="A29" s="707"/>
      <c r="B29" s="708"/>
      <c r="C29" s="3"/>
      <c r="D29" s="338" t="s">
        <v>283</v>
      </c>
      <c r="E29" s="338" t="s">
        <v>299</v>
      </c>
      <c r="F29" s="338" t="s">
        <v>300</v>
      </c>
      <c r="G29" s="338" t="s">
        <v>297</v>
      </c>
      <c r="H29" s="338" t="s">
        <v>271</v>
      </c>
      <c r="I29" s="338"/>
      <c r="J29" s="343"/>
      <c r="K29" s="1"/>
      <c r="L29" s="340"/>
    </row>
    <row r="30" spans="1:12" ht="18" customHeight="1" x14ac:dyDescent="0.25">
      <c r="A30" s="337"/>
      <c r="B30" s="74"/>
      <c r="C30" s="3"/>
      <c r="D30" s="344"/>
      <c r="E30" s="344"/>
      <c r="F30" s="344"/>
      <c r="G30" s="344"/>
      <c r="H30" s="344"/>
      <c r="I30" s="344"/>
      <c r="J30" s="345"/>
      <c r="K30" s="1"/>
      <c r="L30" s="334"/>
    </row>
    <row r="31" spans="1:12" ht="18" customHeight="1" x14ac:dyDescent="0.3">
      <c r="A31" s="337"/>
      <c r="B31" s="332" t="s">
        <v>278</v>
      </c>
      <c r="C31" s="3"/>
      <c r="D31" s="346"/>
      <c r="E31" s="346"/>
      <c r="F31" s="346"/>
      <c r="G31" s="346"/>
      <c r="H31" s="346"/>
      <c r="I31" s="346"/>
      <c r="J31" s="709" t="s">
        <v>258</v>
      </c>
      <c r="K31" s="709" t="s">
        <v>259</v>
      </c>
      <c r="L31" s="334"/>
    </row>
    <row r="32" spans="1:12" ht="18" customHeight="1" x14ac:dyDescent="0.25">
      <c r="A32" s="337"/>
      <c r="B32" s="74" t="s">
        <v>260</v>
      </c>
      <c r="C32" s="219">
        <v>1</v>
      </c>
      <c r="D32" s="219">
        <v>2</v>
      </c>
      <c r="E32" s="219">
        <v>3</v>
      </c>
      <c r="F32" s="219">
        <v>4</v>
      </c>
      <c r="G32" s="219">
        <v>5</v>
      </c>
      <c r="H32" s="219">
        <v>6</v>
      </c>
      <c r="I32" s="3"/>
      <c r="J32" s="710"/>
      <c r="K32" s="710"/>
      <c r="L32" s="334"/>
    </row>
    <row r="33" spans="1:12" ht="5.25" customHeight="1" x14ac:dyDescent="0.25">
      <c r="A33" s="337"/>
      <c r="B33" s="74"/>
      <c r="C33" s="3"/>
      <c r="D33" s="3"/>
      <c r="E33" s="3"/>
      <c r="F33" s="3"/>
      <c r="G33" s="3"/>
      <c r="H33" s="3"/>
      <c r="I33" s="3"/>
      <c r="J33" s="12"/>
      <c r="K33" s="1"/>
      <c r="L33" s="334"/>
    </row>
    <row r="34" spans="1:12" ht="15" customHeight="1" x14ac:dyDescent="0.25">
      <c r="A34" s="711" t="s">
        <v>261</v>
      </c>
      <c r="B34" s="712"/>
      <c r="C34" s="341">
        <f>C7+C16</f>
        <v>36</v>
      </c>
      <c r="D34" s="341">
        <f>D7+D16+D25</f>
        <v>7546</v>
      </c>
      <c r="E34" s="341">
        <f>E7+E16+E25</f>
        <v>12143</v>
      </c>
      <c r="F34" s="341">
        <f>F7+F16+F25</f>
        <v>4187</v>
      </c>
      <c r="G34" s="341">
        <f>G7+G16+G25</f>
        <v>921</v>
      </c>
      <c r="H34" s="341">
        <f>H25</f>
        <v>5</v>
      </c>
      <c r="I34" s="341"/>
      <c r="J34" s="38">
        <f>SUM(C34:H34)</f>
        <v>24838</v>
      </c>
      <c r="K34" s="336" t="s">
        <v>279</v>
      </c>
      <c r="L34" s="334"/>
    </row>
    <row r="35" spans="1:12" ht="15" customHeight="1" x14ac:dyDescent="0.25">
      <c r="A35" s="707"/>
      <c r="B35" s="708"/>
      <c r="C35" s="338" t="s">
        <v>271</v>
      </c>
      <c r="D35" s="338" t="s">
        <v>301</v>
      </c>
      <c r="E35" s="338" t="s">
        <v>277</v>
      </c>
      <c r="F35" s="338" t="s">
        <v>273</v>
      </c>
      <c r="G35" s="338" t="s">
        <v>302</v>
      </c>
      <c r="H35" s="338" t="s">
        <v>271</v>
      </c>
      <c r="I35" s="338"/>
      <c r="J35" s="343"/>
      <c r="K35" s="336"/>
      <c r="L35" s="334"/>
    </row>
    <row r="36" spans="1:12" ht="7.5" customHeight="1" x14ac:dyDescent="0.25">
      <c r="A36" s="337"/>
      <c r="B36" s="74"/>
      <c r="C36" s="338"/>
      <c r="D36" s="338"/>
      <c r="E36" s="338"/>
      <c r="F36" s="338"/>
      <c r="G36" s="338"/>
      <c r="H36" s="338"/>
      <c r="I36" s="338"/>
      <c r="J36" s="343"/>
      <c r="K36" s="336"/>
      <c r="L36" s="334"/>
    </row>
    <row r="37" spans="1:12" ht="15" customHeight="1" x14ac:dyDescent="0.3">
      <c r="A37" s="707" t="s">
        <v>265</v>
      </c>
      <c r="B37" s="708"/>
      <c r="C37" s="108">
        <f>C10+C19</f>
        <v>137.09</v>
      </c>
      <c r="D37" s="108">
        <f>D10+D19+D28</f>
        <v>30392.370000000003</v>
      </c>
      <c r="E37" s="108">
        <f>E10+E19+E28</f>
        <v>75809.13</v>
      </c>
      <c r="F37" s="108">
        <f>F10+F19+F28</f>
        <v>6597.17</v>
      </c>
      <c r="G37" s="108">
        <f>G10+G19+G28</f>
        <v>1125.32</v>
      </c>
      <c r="H37" s="108">
        <f>H28</f>
        <v>5.12</v>
      </c>
      <c r="I37" s="108"/>
      <c r="J37" s="38">
        <f>SUM(C37:H37)</f>
        <v>114066.20000000001</v>
      </c>
      <c r="K37" s="336" t="s">
        <v>279</v>
      </c>
      <c r="L37" s="334"/>
    </row>
    <row r="38" spans="1:12" ht="15" customHeight="1" x14ac:dyDescent="0.25">
      <c r="A38" s="707"/>
      <c r="B38" s="708"/>
      <c r="C38" s="338" t="s">
        <v>271</v>
      </c>
      <c r="D38" s="338" t="s">
        <v>303</v>
      </c>
      <c r="E38" s="338" t="s">
        <v>304</v>
      </c>
      <c r="F38" s="338" t="s">
        <v>267</v>
      </c>
      <c r="G38" s="338" t="s">
        <v>268</v>
      </c>
      <c r="H38" s="338" t="s">
        <v>271</v>
      </c>
      <c r="I38" s="338"/>
      <c r="J38" s="338"/>
      <c r="L38" s="334"/>
    </row>
    <row r="39" spans="1:12" ht="7.5" customHeight="1" x14ac:dyDescent="0.25">
      <c r="A39" s="347"/>
      <c r="B39" s="348"/>
      <c r="C39" s="349"/>
      <c r="D39" s="349" t="s">
        <v>284</v>
      </c>
      <c r="E39" s="349"/>
      <c r="F39" s="349"/>
      <c r="G39" s="349"/>
      <c r="H39" s="349"/>
      <c r="I39" s="349"/>
      <c r="J39" s="349"/>
      <c r="K39" s="110"/>
      <c r="L39" s="350"/>
    </row>
  </sheetData>
  <mergeCells count="24">
    <mergeCell ref="A20:B20"/>
    <mergeCell ref="J4:J5"/>
    <mergeCell ref="K4:K5"/>
    <mergeCell ref="A7:B7"/>
    <mergeCell ref="A8:B8"/>
    <mergeCell ref="A10:B10"/>
    <mergeCell ref="A11:B11"/>
    <mergeCell ref="J13:J14"/>
    <mergeCell ref="K13:K14"/>
    <mergeCell ref="A16:B16"/>
    <mergeCell ref="A17:B17"/>
    <mergeCell ref="A19:B19"/>
    <mergeCell ref="A38:B38"/>
    <mergeCell ref="J22:J23"/>
    <mergeCell ref="K22:K23"/>
    <mergeCell ref="A25:B25"/>
    <mergeCell ref="A26:B26"/>
    <mergeCell ref="A28:B28"/>
    <mergeCell ref="A29:B29"/>
    <mergeCell ref="J31:J32"/>
    <mergeCell ref="K31:K32"/>
    <mergeCell ref="A34:B34"/>
    <mergeCell ref="A35:B35"/>
    <mergeCell ref="A37:B37"/>
  </mergeCells>
  <printOptions horizontalCentered="1"/>
  <pageMargins left="0.28999999999999998" right="0.28999999999999998" top="0.28999999999999998" bottom="1" header="0.5" footer="0.5"/>
  <pageSetup scale="9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AE4C9-A313-4FBE-8A64-0C76F7378BB0}">
  <sheetPr>
    <pageSetUpPr fitToPage="1"/>
  </sheetPr>
  <dimension ref="A1:X74"/>
  <sheetViews>
    <sheetView showGridLines="0" workbookViewId="0">
      <selection activeCell="J5" sqref="J5"/>
    </sheetView>
  </sheetViews>
  <sheetFormatPr defaultRowHeight="12.5" x14ac:dyDescent="0.25"/>
  <cols>
    <col min="1" max="1" width="6.1796875" customWidth="1"/>
    <col min="2" max="2" width="6.453125" style="1" bestFit="1" customWidth="1"/>
    <col min="3" max="3" width="25.81640625" customWidth="1"/>
    <col min="4" max="4" width="18.26953125" customWidth="1"/>
    <col min="5" max="5" width="8.1796875" style="1" bestFit="1" customWidth="1"/>
    <col min="7" max="7" width="8.7265625" customWidth="1"/>
    <col min="8" max="8" width="9" customWidth="1"/>
    <col min="9" max="9" width="9.453125" customWidth="1"/>
    <col min="10" max="10" width="7.7265625" customWidth="1"/>
    <col min="11" max="11" width="8" customWidth="1"/>
    <col min="12" max="12" width="10.54296875" customWidth="1"/>
    <col min="13" max="13" width="10.1796875" customWidth="1"/>
    <col min="14" max="14" width="9.1796875" style="127" customWidth="1"/>
    <col min="15" max="15" width="8.1796875" style="127" customWidth="1"/>
    <col min="16" max="18" width="11.1796875" customWidth="1"/>
    <col min="20" max="20" width="9.54296875" bestFit="1" customWidth="1"/>
    <col min="21" max="21" width="10.1796875" bestFit="1" customWidth="1"/>
    <col min="22" max="22" width="10.26953125" bestFit="1" customWidth="1"/>
    <col min="23" max="23" width="10.54296875" bestFit="1" customWidth="1"/>
    <col min="24" max="24" width="10.1796875" bestFit="1" customWidth="1"/>
    <col min="257" max="257" width="6.1796875" customWidth="1"/>
    <col min="258" max="258" width="6.453125" bestFit="1" customWidth="1"/>
    <col min="259" max="259" width="25.81640625" customWidth="1"/>
    <col min="260" max="260" width="18.26953125" customWidth="1"/>
    <col min="261" max="261" width="8.1796875" bestFit="1" customWidth="1"/>
    <col min="263" max="263" width="8.7265625" customWidth="1"/>
    <col min="264" max="264" width="9" customWidth="1"/>
    <col min="265" max="265" width="9.453125" customWidth="1"/>
    <col min="266" max="266" width="7.7265625" customWidth="1"/>
    <col min="267" max="267" width="8" customWidth="1"/>
    <col min="268" max="268" width="10.54296875" customWidth="1"/>
    <col min="269" max="269" width="10.1796875" customWidth="1"/>
    <col min="271" max="271" width="8.1796875" customWidth="1"/>
    <col min="272" max="274" width="11.1796875" customWidth="1"/>
    <col min="276" max="276" width="9.54296875" bestFit="1" customWidth="1"/>
    <col min="277" max="277" width="10.1796875" bestFit="1" customWidth="1"/>
    <col min="278" max="278" width="10.26953125" bestFit="1" customWidth="1"/>
    <col min="279" max="279" width="10.54296875" bestFit="1" customWidth="1"/>
    <col min="280" max="280" width="10.1796875" bestFit="1" customWidth="1"/>
    <col min="513" max="513" width="6.1796875" customWidth="1"/>
    <col min="514" max="514" width="6.453125" bestFit="1" customWidth="1"/>
    <col min="515" max="515" width="25.81640625" customWidth="1"/>
    <col min="516" max="516" width="18.26953125" customWidth="1"/>
    <col min="517" max="517" width="8.1796875" bestFit="1" customWidth="1"/>
    <col min="519" max="519" width="8.7265625" customWidth="1"/>
    <col min="520" max="520" width="9" customWidth="1"/>
    <col min="521" max="521" width="9.453125" customWidth="1"/>
    <col min="522" max="522" width="7.7265625" customWidth="1"/>
    <col min="523" max="523" width="8" customWidth="1"/>
    <col min="524" max="524" width="10.54296875" customWidth="1"/>
    <col min="525" max="525" width="10.1796875" customWidth="1"/>
    <col min="527" max="527" width="8.1796875" customWidth="1"/>
    <col min="528" max="530" width="11.1796875" customWidth="1"/>
    <col min="532" max="532" width="9.54296875" bestFit="1" customWidth="1"/>
    <col min="533" max="533" width="10.1796875" bestFit="1" customWidth="1"/>
    <col min="534" max="534" width="10.26953125" bestFit="1" customWidth="1"/>
    <col min="535" max="535" width="10.54296875" bestFit="1" customWidth="1"/>
    <col min="536" max="536" width="10.1796875" bestFit="1" customWidth="1"/>
    <col min="769" max="769" width="6.1796875" customWidth="1"/>
    <col min="770" max="770" width="6.453125" bestFit="1" customWidth="1"/>
    <col min="771" max="771" width="25.81640625" customWidth="1"/>
    <col min="772" max="772" width="18.26953125" customWidth="1"/>
    <col min="773" max="773" width="8.1796875" bestFit="1" customWidth="1"/>
    <col min="775" max="775" width="8.7265625" customWidth="1"/>
    <col min="776" max="776" width="9" customWidth="1"/>
    <col min="777" max="777" width="9.453125" customWidth="1"/>
    <col min="778" max="778" width="7.7265625" customWidth="1"/>
    <col min="779" max="779" width="8" customWidth="1"/>
    <col min="780" max="780" width="10.54296875" customWidth="1"/>
    <col min="781" max="781" width="10.1796875" customWidth="1"/>
    <col min="783" max="783" width="8.1796875" customWidth="1"/>
    <col min="784" max="786" width="11.1796875" customWidth="1"/>
    <col min="788" max="788" width="9.54296875" bestFit="1" customWidth="1"/>
    <col min="789" max="789" width="10.1796875" bestFit="1" customWidth="1"/>
    <col min="790" max="790" width="10.26953125" bestFit="1" customWidth="1"/>
    <col min="791" max="791" width="10.54296875" bestFit="1" customWidth="1"/>
    <col min="792" max="792" width="10.1796875" bestFit="1" customWidth="1"/>
    <col min="1025" max="1025" width="6.1796875" customWidth="1"/>
    <col min="1026" max="1026" width="6.453125" bestFit="1" customWidth="1"/>
    <col min="1027" max="1027" width="25.81640625" customWidth="1"/>
    <col min="1028" max="1028" width="18.26953125" customWidth="1"/>
    <col min="1029" max="1029" width="8.1796875" bestFit="1" customWidth="1"/>
    <col min="1031" max="1031" width="8.7265625" customWidth="1"/>
    <col min="1032" max="1032" width="9" customWidth="1"/>
    <col min="1033" max="1033" width="9.453125" customWidth="1"/>
    <col min="1034" max="1034" width="7.7265625" customWidth="1"/>
    <col min="1035" max="1035" width="8" customWidth="1"/>
    <col min="1036" max="1036" width="10.54296875" customWidth="1"/>
    <col min="1037" max="1037" width="10.1796875" customWidth="1"/>
    <col min="1039" max="1039" width="8.1796875" customWidth="1"/>
    <col min="1040" max="1042" width="11.1796875" customWidth="1"/>
    <col min="1044" max="1044" width="9.54296875" bestFit="1" customWidth="1"/>
    <col min="1045" max="1045" width="10.1796875" bestFit="1" customWidth="1"/>
    <col min="1046" max="1046" width="10.26953125" bestFit="1" customWidth="1"/>
    <col min="1047" max="1047" width="10.54296875" bestFit="1" customWidth="1"/>
    <col min="1048" max="1048" width="10.1796875" bestFit="1" customWidth="1"/>
    <col min="1281" max="1281" width="6.1796875" customWidth="1"/>
    <col min="1282" max="1282" width="6.453125" bestFit="1" customWidth="1"/>
    <col min="1283" max="1283" width="25.81640625" customWidth="1"/>
    <col min="1284" max="1284" width="18.26953125" customWidth="1"/>
    <col min="1285" max="1285" width="8.1796875" bestFit="1" customWidth="1"/>
    <col min="1287" max="1287" width="8.7265625" customWidth="1"/>
    <col min="1288" max="1288" width="9" customWidth="1"/>
    <col min="1289" max="1289" width="9.453125" customWidth="1"/>
    <col min="1290" max="1290" width="7.7265625" customWidth="1"/>
    <col min="1291" max="1291" width="8" customWidth="1"/>
    <col min="1292" max="1292" width="10.54296875" customWidth="1"/>
    <col min="1293" max="1293" width="10.1796875" customWidth="1"/>
    <col min="1295" max="1295" width="8.1796875" customWidth="1"/>
    <col min="1296" max="1298" width="11.1796875" customWidth="1"/>
    <col min="1300" max="1300" width="9.54296875" bestFit="1" customWidth="1"/>
    <col min="1301" max="1301" width="10.1796875" bestFit="1" customWidth="1"/>
    <col min="1302" max="1302" width="10.26953125" bestFit="1" customWidth="1"/>
    <col min="1303" max="1303" width="10.54296875" bestFit="1" customWidth="1"/>
    <col min="1304" max="1304" width="10.1796875" bestFit="1" customWidth="1"/>
    <col min="1537" max="1537" width="6.1796875" customWidth="1"/>
    <col min="1538" max="1538" width="6.453125" bestFit="1" customWidth="1"/>
    <col min="1539" max="1539" width="25.81640625" customWidth="1"/>
    <col min="1540" max="1540" width="18.26953125" customWidth="1"/>
    <col min="1541" max="1541" width="8.1796875" bestFit="1" customWidth="1"/>
    <col min="1543" max="1543" width="8.7265625" customWidth="1"/>
    <col min="1544" max="1544" width="9" customWidth="1"/>
    <col min="1545" max="1545" width="9.453125" customWidth="1"/>
    <col min="1546" max="1546" width="7.7265625" customWidth="1"/>
    <col min="1547" max="1547" width="8" customWidth="1"/>
    <col min="1548" max="1548" width="10.54296875" customWidth="1"/>
    <col min="1549" max="1549" width="10.1796875" customWidth="1"/>
    <col min="1551" max="1551" width="8.1796875" customWidth="1"/>
    <col min="1552" max="1554" width="11.1796875" customWidth="1"/>
    <col min="1556" max="1556" width="9.54296875" bestFit="1" customWidth="1"/>
    <col min="1557" max="1557" width="10.1796875" bestFit="1" customWidth="1"/>
    <col min="1558" max="1558" width="10.26953125" bestFit="1" customWidth="1"/>
    <col min="1559" max="1559" width="10.54296875" bestFit="1" customWidth="1"/>
    <col min="1560" max="1560" width="10.1796875" bestFit="1" customWidth="1"/>
    <col min="1793" max="1793" width="6.1796875" customWidth="1"/>
    <col min="1794" max="1794" width="6.453125" bestFit="1" customWidth="1"/>
    <col min="1795" max="1795" width="25.81640625" customWidth="1"/>
    <col min="1796" max="1796" width="18.26953125" customWidth="1"/>
    <col min="1797" max="1797" width="8.1796875" bestFit="1" customWidth="1"/>
    <col min="1799" max="1799" width="8.7265625" customWidth="1"/>
    <col min="1800" max="1800" width="9" customWidth="1"/>
    <col min="1801" max="1801" width="9.453125" customWidth="1"/>
    <col min="1802" max="1802" width="7.7265625" customWidth="1"/>
    <col min="1803" max="1803" width="8" customWidth="1"/>
    <col min="1804" max="1804" width="10.54296875" customWidth="1"/>
    <col min="1805" max="1805" width="10.1796875" customWidth="1"/>
    <col min="1807" max="1807" width="8.1796875" customWidth="1"/>
    <col min="1808" max="1810" width="11.1796875" customWidth="1"/>
    <col min="1812" max="1812" width="9.54296875" bestFit="1" customWidth="1"/>
    <col min="1813" max="1813" width="10.1796875" bestFit="1" customWidth="1"/>
    <col min="1814" max="1814" width="10.26953125" bestFit="1" customWidth="1"/>
    <col min="1815" max="1815" width="10.54296875" bestFit="1" customWidth="1"/>
    <col min="1816" max="1816" width="10.1796875" bestFit="1" customWidth="1"/>
    <col min="2049" max="2049" width="6.1796875" customWidth="1"/>
    <col min="2050" max="2050" width="6.453125" bestFit="1" customWidth="1"/>
    <col min="2051" max="2051" width="25.81640625" customWidth="1"/>
    <col min="2052" max="2052" width="18.26953125" customWidth="1"/>
    <col min="2053" max="2053" width="8.1796875" bestFit="1" customWidth="1"/>
    <col min="2055" max="2055" width="8.7265625" customWidth="1"/>
    <col min="2056" max="2056" width="9" customWidth="1"/>
    <col min="2057" max="2057" width="9.453125" customWidth="1"/>
    <col min="2058" max="2058" width="7.7265625" customWidth="1"/>
    <col min="2059" max="2059" width="8" customWidth="1"/>
    <col min="2060" max="2060" width="10.54296875" customWidth="1"/>
    <col min="2061" max="2061" width="10.1796875" customWidth="1"/>
    <col min="2063" max="2063" width="8.1796875" customWidth="1"/>
    <col min="2064" max="2066" width="11.1796875" customWidth="1"/>
    <col min="2068" max="2068" width="9.54296875" bestFit="1" customWidth="1"/>
    <col min="2069" max="2069" width="10.1796875" bestFit="1" customWidth="1"/>
    <col min="2070" max="2070" width="10.26953125" bestFit="1" customWidth="1"/>
    <col min="2071" max="2071" width="10.54296875" bestFit="1" customWidth="1"/>
    <col min="2072" max="2072" width="10.1796875" bestFit="1" customWidth="1"/>
    <col min="2305" max="2305" width="6.1796875" customWidth="1"/>
    <col min="2306" max="2306" width="6.453125" bestFit="1" customWidth="1"/>
    <col min="2307" max="2307" width="25.81640625" customWidth="1"/>
    <col min="2308" max="2308" width="18.26953125" customWidth="1"/>
    <col min="2309" max="2309" width="8.1796875" bestFit="1" customWidth="1"/>
    <col min="2311" max="2311" width="8.7265625" customWidth="1"/>
    <col min="2312" max="2312" width="9" customWidth="1"/>
    <col min="2313" max="2313" width="9.453125" customWidth="1"/>
    <col min="2314" max="2314" width="7.7265625" customWidth="1"/>
    <col min="2315" max="2315" width="8" customWidth="1"/>
    <col min="2316" max="2316" width="10.54296875" customWidth="1"/>
    <col min="2317" max="2317" width="10.1796875" customWidth="1"/>
    <col min="2319" max="2319" width="8.1796875" customWidth="1"/>
    <col min="2320" max="2322" width="11.1796875" customWidth="1"/>
    <col min="2324" max="2324" width="9.54296875" bestFit="1" customWidth="1"/>
    <col min="2325" max="2325" width="10.1796875" bestFit="1" customWidth="1"/>
    <col min="2326" max="2326" width="10.26953125" bestFit="1" customWidth="1"/>
    <col min="2327" max="2327" width="10.54296875" bestFit="1" customWidth="1"/>
    <col min="2328" max="2328" width="10.1796875" bestFit="1" customWidth="1"/>
    <col min="2561" max="2561" width="6.1796875" customWidth="1"/>
    <col min="2562" max="2562" width="6.453125" bestFit="1" customWidth="1"/>
    <col min="2563" max="2563" width="25.81640625" customWidth="1"/>
    <col min="2564" max="2564" width="18.26953125" customWidth="1"/>
    <col min="2565" max="2565" width="8.1796875" bestFit="1" customWidth="1"/>
    <col min="2567" max="2567" width="8.7265625" customWidth="1"/>
    <col min="2568" max="2568" width="9" customWidth="1"/>
    <col min="2569" max="2569" width="9.453125" customWidth="1"/>
    <col min="2570" max="2570" width="7.7265625" customWidth="1"/>
    <col min="2571" max="2571" width="8" customWidth="1"/>
    <col min="2572" max="2572" width="10.54296875" customWidth="1"/>
    <col min="2573" max="2573" width="10.1796875" customWidth="1"/>
    <col min="2575" max="2575" width="8.1796875" customWidth="1"/>
    <col min="2576" max="2578" width="11.1796875" customWidth="1"/>
    <col min="2580" max="2580" width="9.54296875" bestFit="1" customWidth="1"/>
    <col min="2581" max="2581" width="10.1796875" bestFit="1" customWidth="1"/>
    <col min="2582" max="2582" width="10.26953125" bestFit="1" customWidth="1"/>
    <col min="2583" max="2583" width="10.54296875" bestFit="1" customWidth="1"/>
    <col min="2584" max="2584" width="10.1796875" bestFit="1" customWidth="1"/>
    <col min="2817" max="2817" width="6.1796875" customWidth="1"/>
    <col min="2818" max="2818" width="6.453125" bestFit="1" customWidth="1"/>
    <col min="2819" max="2819" width="25.81640625" customWidth="1"/>
    <col min="2820" max="2820" width="18.26953125" customWidth="1"/>
    <col min="2821" max="2821" width="8.1796875" bestFit="1" customWidth="1"/>
    <col min="2823" max="2823" width="8.7265625" customWidth="1"/>
    <col min="2824" max="2824" width="9" customWidth="1"/>
    <col min="2825" max="2825" width="9.453125" customWidth="1"/>
    <col min="2826" max="2826" width="7.7265625" customWidth="1"/>
    <col min="2827" max="2827" width="8" customWidth="1"/>
    <col min="2828" max="2828" width="10.54296875" customWidth="1"/>
    <col min="2829" max="2829" width="10.1796875" customWidth="1"/>
    <col min="2831" max="2831" width="8.1796875" customWidth="1"/>
    <col min="2832" max="2834" width="11.1796875" customWidth="1"/>
    <col min="2836" max="2836" width="9.54296875" bestFit="1" customWidth="1"/>
    <col min="2837" max="2837" width="10.1796875" bestFit="1" customWidth="1"/>
    <col min="2838" max="2838" width="10.26953125" bestFit="1" customWidth="1"/>
    <col min="2839" max="2839" width="10.54296875" bestFit="1" customWidth="1"/>
    <col min="2840" max="2840" width="10.1796875" bestFit="1" customWidth="1"/>
    <col min="3073" max="3073" width="6.1796875" customWidth="1"/>
    <col min="3074" max="3074" width="6.453125" bestFit="1" customWidth="1"/>
    <col min="3075" max="3075" width="25.81640625" customWidth="1"/>
    <col min="3076" max="3076" width="18.26953125" customWidth="1"/>
    <col min="3077" max="3077" width="8.1796875" bestFit="1" customWidth="1"/>
    <col min="3079" max="3079" width="8.7265625" customWidth="1"/>
    <col min="3080" max="3080" width="9" customWidth="1"/>
    <col min="3081" max="3081" width="9.453125" customWidth="1"/>
    <col min="3082" max="3082" width="7.7265625" customWidth="1"/>
    <col min="3083" max="3083" width="8" customWidth="1"/>
    <col min="3084" max="3084" width="10.54296875" customWidth="1"/>
    <col min="3085" max="3085" width="10.1796875" customWidth="1"/>
    <col min="3087" max="3087" width="8.1796875" customWidth="1"/>
    <col min="3088" max="3090" width="11.1796875" customWidth="1"/>
    <col min="3092" max="3092" width="9.54296875" bestFit="1" customWidth="1"/>
    <col min="3093" max="3093" width="10.1796875" bestFit="1" customWidth="1"/>
    <col min="3094" max="3094" width="10.26953125" bestFit="1" customWidth="1"/>
    <col min="3095" max="3095" width="10.54296875" bestFit="1" customWidth="1"/>
    <col min="3096" max="3096" width="10.1796875" bestFit="1" customWidth="1"/>
    <col min="3329" max="3329" width="6.1796875" customWidth="1"/>
    <col min="3330" max="3330" width="6.453125" bestFit="1" customWidth="1"/>
    <col min="3331" max="3331" width="25.81640625" customWidth="1"/>
    <col min="3332" max="3332" width="18.26953125" customWidth="1"/>
    <col min="3333" max="3333" width="8.1796875" bestFit="1" customWidth="1"/>
    <col min="3335" max="3335" width="8.7265625" customWidth="1"/>
    <col min="3336" max="3336" width="9" customWidth="1"/>
    <col min="3337" max="3337" width="9.453125" customWidth="1"/>
    <col min="3338" max="3338" width="7.7265625" customWidth="1"/>
    <col min="3339" max="3339" width="8" customWidth="1"/>
    <col min="3340" max="3340" width="10.54296875" customWidth="1"/>
    <col min="3341" max="3341" width="10.1796875" customWidth="1"/>
    <col min="3343" max="3343" width="8.1796875" customWidth="1"/>
    <col min="3344" max="3346" width="11.1796875" customWidth="1"/>
    <col min="3348" max="3348" width="9.54296875" bestFit="1" customWidth="1"/>
    <col min="3349" max="3349" width="10.1796875" bestFit="1" customWidth="1"/>
    <col min="3350" max="3350" width="10.26953125" bestFit="1" customWidth="1"/>
    <col min="3351" max="3351" width="10.54296875" bestFit="1" customWidth="1"/>
    <col min="3352" max="3352" width="10.1796875" bestFit="1" customWidth="1"/>
    <col min="3585" max="3585" width="6.1796875" customWidth="1"/>
    <col min="3586" max="3586" width="6.453125" bestFit="1" customWidth="1"/>
    <col min="3587" max="3587" width="25.81640625" customWidth="1"/>
    <col min="3588" max="3588" width="18.26953125" customWidth="1"/>
    <col min="3589" max="3589" width="8.1796875" bestFit="1" customWidth="1"/>
    <col min="3591" max="3591" width="8.7265625" customWidth="1"/>
    <col min="3592" max="3592" width="9" customWidth="1"/>
    <col min="3593" max="3593" width="9.453125" customWidth="1"/>
    <col min="3594" max="3594" width="7.7265625" customWidth="1"/>
    <col min="3595" max="3595" width="8" customWidth="1"/>
    <col min="3596" max="3596" width="10.54296875" customWidth="1"/>
    <col min="3597" max="3597" width="10.1796875" customWidth="1"/>
    <col min="3599" max="3599" width="8.1796875" customWidth="1"/>
    <col min="3600" max="3602" width="11.1796875" customWidth="1"/>
    <col min="3604" max="3604" width="9.54296875" bestFit="1" customWidth="1"/>
    <col min="3605" max="3605" width="10.1796875" bestFit="1" customWidth="1"/>
    <col min="3606" max="3606" width="10.26953125" bestFit="1" customWidth="1"/>
    <col min="3607" max="3607" width="10.54296875" bestFit="1" customWidth="1"/>
    <col min="3608" max="3608" width="10.1796875" bestFit="1" customWidth="1"/>
    <col min="3841" max="3841" width="6.1796875" customWidth="1"/>
    <col min="3842" max="3842" width="6.453125" bestFit="1" customWidth="1"/>
    <col min="3843" max="3843" width="25.81640625" customWidth="1"/>
    <col min="3844" max="3844" width="18.26953125" customWidth="1"/>
    <col min="3845" max="3845" width="8.1796875" bestFit="1" customWidth="1"/>
    <col min="3847" max="3847" width="8.7265625" customWidth="1"/>
    <col min="3848" max="3848" width="9" customWidth="1"/>
    <col min="3849" max="3849" width="9.453125" customWidth="1"/>
    <col min="3850" max="3850" width="7.7265625" customWidth="1"/>
    <col min="3851" max="3851" width="8" customWidth="1"/>
    <col min="3852" max="3852" width="10.54296875" customWidth="1"/>
    <col min="3853" max="3853" width="10.1796875" customWidth="1"/>
    <col min="3855" max="3855" width="8.1796875" customWidth="1"/>
    <col min="3856" max="3858" width="11.1796875" customWidth="1"/>
    <col min="3860" max="3860" width="9.54296875" bestFit="1" customWidth="1"/>
    <col min="3861" max="3861" width="10.1796875" bestFit="1" customWidth="1"/>
    <col min="3862" max="3862" width="10.26953125" bestFit="1" customWidth="1"/>
    <col min="3863" max="3863" width="10.54296875" bestFit="1" customWidth="1"/>
    <col min="3864" max="3864" width="10.1796875" bestFit="1" customWidth="1"/>
    <col min="4097" max="4097" width="6.1796875" customWidth="1"/>
    <col min="4098" max="4098" width="6.453125" bestFit="1" customWidth="1"/>
    <col min="4099" max="4099" width="25.81640625" customWidth="1"/>
    <col min="4100" max="4100" width="18.26953125" customWidth="1"/>
    <col min="4101" max="4101" width="8.1796875" bestFit="1" customWidth="1"/>
    <col min="4103" max="4103" width="8.7265625" customWidth="1"/>
    <col min="4104" max="4104" width="9" customWidth="1"/>
    <col min="4105" max="4105" width="9.453125" customWidth="1"/>
    <col min="4106" max="4106" width="7.7265625" customWidth="1"/>
    <col min="4107" max="4107" width="8" customWidth="1"/>
    <col min="4108" max="4108" width="10.54296875" customWidth="1"/>
    <col min="4109" max="4109" width="10.1796875" customWidth="1"/>
    <col min="4111" max="4111" width="8.1796875" customWidth="1"/>
    <col min="4112" max="4114" width="11.1796875" customWidth="1"/>
    <col min="4116" max="4116" width="9.54296875" bestFit="1" customWidth="1"/>
    <col min="4117" max="4117" width="10.1796875" bestFit="1" customWidth="1"/>
    <col min="4118" max="4118" width="10.26953125" bestFit="1" customWidth="1"/>
    <col min="4119" max="4119" width="10.54296875" bestFit="1" customWidth="1"/>
    <col min="4120" max="4120" width="10.1796875" bestFit="1" customWidth="1"/>
    <col min="4353" max="4353" width="6.1796875" customWidth="1"/>
    <col min="4354" max="4354" width="6.453125" bestFit="1" customWidth="1"/>
    <col min="4355" max="4355" width="25.81640625" customWidth="1"/>
    <col min="4356" max="4356" width="18.26953125" customWidth="1"/>
    <col min="4357" max="4357" width="8.1796875" bestFit="1" customWidth="1"/>
    <col min="4359" max="4359" width="8.7265625" customWidth="1"/>
    <col min="4360" max="4360" width="9" customWidth="1"/>
    <col min="4361" max="4361" width="9.453125" customWidth="1"/>
    <col min="4362" max="4362" width="7.7265625" customWidth="1"/>
    <col min="4363" max="4363" width="8" customWidth="1"/>
    <col min="4364" max="4364" width="10.54296875" customWidth="1"/>
    <col min="4365" max="4365" width="10.1796875" customWidth="1"/>
    <col min="4367" max="4367" width="8.1796875" customWidth="1"/>
    <col min="4368" max="4370" width="11.1796875" customWidth="1"/>
    <col min="4372" max="4372" width="9.54296875" bestFit="1" customWidth="1"/>
    <col min="4373" max="4373" width="10.1796875" bestFit="1" customWidth="1"/>
    <col min="4374" max="4374" width="10.26953125" bestFit="1" customWidth="1"/>
    <col min="4375" max="4375" width="10.54296875" bestFit="1" customWidth="1"/>
    <col min="4376" max="4376" width="10.1796875" bestFit="1" customWidth="1"/>
    <col min="4609" max="4609" width="6.1796875" customWidth="1"/>
    <col min="4610" max="4610" width="6.453125" bestFit="1" customWidth="1"/>
    <col min="4611" max="4611" width="25.81640625" customWidth="1"/>
    <col min="4612" max="4612" width="18.26953125" customWidth="1"/>
    <col min="4613" max="4613" width="8.1796875" bestFit="1" customWidth="1"/>
    <col min="4615" max="4615" width="8.7265625" customWidth="1"/>
    <col min="4616" max="4616" width="9" customWidth="1"/>
    <col min="4617" max="4617" width="9.453125" customWidth="1"/>
    <col min="4618" max="4618" width="7.7265625" customWidth="1"/>
    <col min="4619" max="4619" width="8" customWidth="1"/>
    <col min="4620" max="4620" width="10.54296875" customWidth="1"/>
    <col min="4621" max="4621" width="10.1796875" customWidth="1"/>
    <col min="4623" max="4623" width="8.1796875" customWidth="1"/>
    <col min="4624" max="4626" width="11.1796875" customWidth="1"/>
    <col min="4628" max="4628" width="9.54296875" bestFit="1" customWidth="1"/>
    <col min="4629" max="4629" width="10.1796875" bestFit="1" customWidth="1"/>
    <col min="4630" max="4630" width="10.26953125" bestFit="1" customWidth="1"/>
    <col min="4631" max="4631" width="10.54296875" bestFit="1" customWidth="1"/>
    <col min="4632" max="4632" width="10.1796875" bestFit="1" customWidth="1"/>
    <col min="4865" max="4865" width="6.1796875" customWidth="1"/>
    <col min="4866" max="4866" width="6.453125" bestFit="1" customWidth="1"/>
    <col min="4867" max="4867" width="25.81640625" customWidth="1"/>
    <col min="4868" max="4868" width="18.26953125" customWidth="1"/>
    <col min="4869" max="4869" width="8.1796875" bestFit="1" customWidth="1"/>
    <col min="4871" max="4871" width="8.7265625" customWidth="1"/>
    <col min="4872" max="4872" width="9" customWidth="1"/>
    <col min="4873" max="4873" width="9.453125" customWidth="1"/>
    <col min="4874" max="4874" width="7.7265625" customWidth="1"/>
    <col min="4875" max="4875" width="8" customWidth="1"/>
    <col min="4876" max="4876" width="10.54296875" customWidth="1"/>
    <col min="4877" max="4877" width="10.1796875" customWidth="1"/>
    <col min="4879" max="4879" width="8.1796875" customWidth="1"/>
    <col min="4880" max="4882" width="11.1796875" customWidth="1"/>
    <col min="4884" max="4884" width="9.54296875" bestFit="1" customWidth="1"/>
    <col min="4885" max="4885" width="10.1796875" bestFit="1" customWidth="1"/>
    <col min="4886" max="4886" width="10.26953125" bestFit="1" customWidth="1"/>
    <col min="4887" max="4887" width="10.54296875" bestFit="1" customWidth="1"/>
    <col min="4888" max="4888" width="10.1796875" bestFit="1" customWidth="1"/>
    <col min="5121" max="5121" width="6.1796875" customWidth="1"/>
    <col min="5122" max="5122" width="6.453125" bestFit="1" customWidth="1"/>
    <col min="5123" max="5123" width="25.81640625" customWidth="1"/>
    <col min="5124" max="5124" width="18.26953125" customWidth="1"/>
    <col min="5125" max="5125" width="8.1796875" bestFit="1" customWidth="1"/>
    <col min="5127" max="5127" width="8.7265625" customWidth="1"/>
    <col min="5128" max="5128" width="9" customWidth="1"/>
    <col min="5129" max="5129" width="9.453125" customWidth="1"/>
    <col min="5130" max="5130" width="7.7265625" customWidth="1"/>
    <col min="5131" max="5131" width="8" customWidth="1"/>
    <col min="5132" max="5132" width="10.54296875" customWidth="1"/>
    <col min="5133" max="5133" width="10.1796875" customWidth="1"/>
    <col min="5135" max="5135" width="8.1796875" customWidth="1"/>
    <col min="5136" max="5138" width="11.1796875" customWidth="1"/>
    <col min="5140" max="5140" width="9.54296875" bestFit="1" customWidth="1"/>
    <col min="5141" max="5141" width="10.1796875" bestFit="1" customWidth="1"/>
    <col min="5142" max="5142" width="10.26953125" bestFit="1" customWidth="1"/>
    <col min="5143" max="5143" width="10.54296875" bestFit="1" customWidth="1"/>
    <col min="5144" max="5144" width="10.1796875" bestFit="1" customWidth="1"/>
    <col min="5377" max="5377" width="6.1796875" customWidth="1"/>
    <col min="5378" max="5378" width="6.453125" bestFit="1" customWidth="1"/>
    <col min="5379" max="5379" width="25.81640625" customWidth="1"/>
    <col min="5380" max="5380" width="18.26953125" customWidth="1"/>
    <col min="5381" max="5381" width="8.1796875" bestFit="1" customWidth="1"/>
    <col min="5383" max="5383" width="8.7265625" customWidth="1"/>
    <col min="5384" max="5384" width="9" customWidth="1"/>
    <col min="5385" max="5385" width="9.453125" customWidth="1"/>
    <col min="5386" max="5386" width="7.7265625" customWidth="1"/>
    <col min="5387" max="5387" width="8" customWidth="1"/>
    <col min="5388" max="5388" width="10.54296875" customWidth="1"/>
    <col min="5389" max="5389" width="10.1796875" customWidth="1"/>
    <col min="5391" max="5391" width="8.1796875" customWidth="1"/>
    <col min="5392" max="5394" width="11.1796875" customWidth="1"/>
    <col min="5396" max="5396" width="9.54296875" bestFit="1" customWidth="1"/>
    <col min="5397" max="5397" width="10.1796875" bestFit="1" customWidth="1"/>
    <col min="5398" max="5398" width="10.26953125" bestFit="1" customWidth="1"/>
    <col min="5399" max="5399" width="10.54296875" bestFit="1" customWidth="1"/>
    <col min="5400" max="5400" width="10.1796875" bestFit="1" customWidth="1"/>
    <col min="5633" max="5633" width="6.1796875" customWidth="1"/>
    <col min="5634" max="5634" width="6.453125" bestFit="1" customWidth="1"/>
    <col min="5635" max="5635" width="25.81640625" customWidth="1"/>
    <col min="5636" max="5636" width="18.26953125" customWidth="1"/>
    <col min="5637" max="5637" width="8.1796875" bestFit="1" customWidth="1"/>
    <col min="5639" max="5639" width="8.7265625" customWidth="1"/>
    <col min="5640" max="5640" width="9" customWidth="1"/>
    <col min="5641" max="5641" width="9.453125" customWidth="1"/>
    <col min="5642" max="5642" width="7.7265625" customWidth="1"/>
    <col min="5643" max="5643" width="8" customWidth="1"/>
    <col min="5644" max="5644" width="10.54296875" customWidth="1"/>
    <col min="5645" max="5645" width="10.1796875" customWidth="1"/>
    <col min="5647" max="5647" width="8.1796875" customWidth="1"/>
    <col min="5648" max="5650" width="11.1796875" customWidth="1"/>
    <col min="5652" max="5652" width="9.54296875" bestFit="1" customWidth="1"/>
    <col min="5653" max="5653" width="10.1796875" bestFit="1" customWidth="1"/>
    <col min="5654" max="5654" width="10.26953125" bestFit="1" customWidth="1"/>
    <col min="5655" max="5655" width="10.54296875" bestFit="1" customWidth="1"/>
    <col min="5656" max="5656" width="10.1796875" bestFit="1" customWidth="1"/>
    <col min="5889" max="5889" width="6.1796875" customWidth="1"/>
    <col min="5890" max="5890" width="6.453125" bestFit="1" customWidth="1"/>
    <col min="5891" max="5891" width="25.81640625" customWidth="1"/>
    <col min="5892" max="5892" width="18.26953125" customWidth="1"/>
    <col min="5893" max="5893" width="8.1796875" bestFit="1" customWidth="1"/>
    <col min="5895" max="5895" width="8.7265625" customWidth="1"/>
    <col min="5896" max="5896" width="9" customWidth="1"/>
    <col min="5897" max="5897" width="9.453125" customWidth="1"/>
    <col min="5898" max="5898" width="7.7265625" customWidth="1"/>
    <col min="5899" max="5899" width="8" customWidth="1"/>
    <col min="5900" max="5900" width="10.54296875" customWidth="1"/>
    <col min="5901" max="5901" width="10.1796875" customWidth="1"/>
    <col min="5903" max="5903" width="8.1796875" customWidth="1"/>
    <col min="5904" max="5906" width="11.1796875" customWidth="1"/>
    <col min="5908" max="5908" width="9.54296875" bestFit="1" customWidth="1"/>
    <col min="5909" max="5909" width="10.1796875" bestFit="1" customWidth="1"/>
    <col min="5910" max="5910" width="10.26953125" bestFit="1" customWidth="1"/>
    <col min="5911" max="5911" width="10.54296875" bestFit="1" customWidth="1"/>
    <col min="5912" max="5912" width="10.1796875" bestFit="1" customWidth="1"/>
    <col min="6145" max="6145" width="6.1796875" customWidth="1"/>
    <col min="6146" max="6146" width="6.453125" bestFit="1" customWidth="1"/>
    <col min="6147" max="6147" width="25.81640625" customWidth="1"/>
    <col min="6148" max="6148" width="18.26953125" customWidth="1"/>
    <col min="6149" max="6149" width="8.1796875" bestFit="1" customWidth="1"/>
    <col min="6151" max="6151" width="8.7265625" customWidth="1"/>
    <col min="6152" max="6152" width="9" customWidth="1"/>
    <col min="6153" max="6153" width="9.453125" customWidth="1"/>
    <col min="6154" max="6154" width="7.7265625" customWidth="1"/>
    <col min="6155" max="6155" width="8" customWidth="1"/>
    <col min="6156" max="6156" width="10.54296875" customWidth="1"/>
    <col min="6157" max="6157" width="10.1796875" customWidth="1"/>
    <col min="6159" max="6159" width="8.1796875" customWidth="1"/>
    <col min="6160" max="6162" width="11.1796875" customWidth="1"/>
    <col min="6164" max="6164" width="9.54296875" bestFit="1" customWidth="1"/>
    <col min="6165" max="6165" width="10.1796875" bestFit="1" customWidth="1"/>
    <col min="6166" max="6166" width="10.26953125" bestFit="1" customWidth="1"/>
    <col min="6167" max="6167" width="10.54296875" bestFit="1" customWidth="1"/>
    <col min="6168" max="6168" width="10.1796875" bestFit="1" customWidth="1"/>
    <col min="6401" max="6401" width="6.1796875" customWidth="1"/>
    <col min="6402" max="6402" width="6.453125" bestFit="1" customWidth="1"/>
    <col min="6403" max="6403" width="25.81640625" customWidth="1"/>
    <col min="6404" max="6404" width="18.26953125" customWidth="1"/>
    <col min="6405" max="6405" width="8.1796875" bestFit="1" customWidth="1"/>
    <col min="6407" max="6407" width="8.7265625" customWidth="1"/>
    <col min="6408" max="6408" width="9" customWidth="1"/>
    <col min="6409" max="6409" width="9.453125" customWidth="1"/>
    <col min="6410" max="6410" width="7.7265625" customWidth="1"/>
    <col min="6411" max="6411" width="8" customWidth="1"/>
    <col min="6412" max="6412" width="10.54296875" customWidth="1"/>
    <col min="6413" max="6413" width="10.1796875" customWidth="1"/>
    <col min="6415" max="6415" width="8.1796875" customWidth="1"/>
    <col min="6416" max="6418" width="11.1796875" customWidth="1"/>
    <col min="6420" max="6420" width="9.54296875" bestFit="1" customWidth="1"/>
    <col min="6421" max="6421" width="10.1796875" bestFit="1" customWidth="1"/>
    <col min="6422" max="6422" width="10.26953125" bestFit="1" customWidth="1"/>
    <col min="6423" max="6423" width="10.54296875" bestFit="1" customWidth="1"/>
    <col min="6424" max="6424" width="10.1796875" bestFit="1" customWidth="1"/>
    <col min="6657" max="6657" width="6.1796875" customWidth="1"/>
    <col min="6658" max="6658" width="6.453125" bestFit="1" customWidth="1"/>
    <col min="6659" max="6659" width="25.81640625" customWidth="1"/>
    <col min="6660" max="6660" width="18.26953125" customWidth="1"/>
    <col min="6661" max="6661" width="8.1796875" bestFit="1" customWidth="1"/>
    <col min="6663" max="6663" width="8.7265625" customWidth="1"/>
    <col min="6664" max="6664" width="9" customWidth="1"/>
    <col min="6665" max="6665" width="9.453125" customWidth="1"/>
    <col min="6666" max="6666" width="7.7265625" customWidth="1"/>
    <col min="6667" max="6667" width="8" customWidth="1"/>
    <col min="6668" max="6668" width="10.54296875" customWidth="1"/>
    <col min="6669" max="6669" width="10.1796875" customWidth="1"/>
    <col min="6671" max="6671" width="8.1796875" customWidth="1"/>
    <col min="6672" max="6674" width="11.1796875" customWidth="1"/>
    <col min="6676" max="6676" width="9.54296875" bestFit="1" customWidth="1"/>
    <col min="6677" max="6677" width="10.1796875" bestFit="1" customWidth="1"/>
    <col min="6678" max="6678" width="10.26953125" bestFit="1" customWidth="1"/>
    <col min="6679" max="6679" width="10.54296875" bestFit="1" customWidth="1"/>
    <col min="6680" max="6680" width="10.1796875" bestFit="1" customWidth="1"/>
    <col min="6913" max="6913" width="6.1796875" customWidth="1"/>
    <col min="6914" max="6914" width="6.453125" bestFit="1" customWidth="1"/>
    <col min="6915" max="6915" width="25.81640625" customWidth="1"/>
    <col min="6916" max="6916" width="18.26953125" customWidth="1"/>
    <col min="6917" max="6917" width="8.1796875" bestFit="1" customWidth="1"/>
    <col min="6919" max="6919" width="8.7265625" customWidth="1"/>
    <col min="6920" max="6920" width="9" customWidth="1"/>
    <col min="6921" max="6921" width="9.453125" customWidth="1"/>
    <col min="6922" max="6922" width="7.7265625" customWidth="1"/>
    <col min="6923" max="6923" width="8" customWidth="1"/>
    <col min="6924" max="6924" width="10.54296875" customWidth="1"/>
    <col min="6925" max="6925" width="10.1796875" customWidth="1"/>
    <col min="6927" max="6927" width="8.1796875" customWidth="1"/>
    <col min="6928" max="6930" width="11.1796875" customWidth="1"/>
    <col min="6932" max="6932" width="9.54296875" bestFit="1" customWidth="1"/>
    <col min="6933" max="6933" width="10.1796875" bestFit="1" customWidth="1"/>
    <col min="6934" max="6934" width="10.26953125" bestFit="1" customWidth="1"/>
    <col min="6935" max="6935" width="10.54296875" bestFit="1" customWidth="1"/>
    <col min="6936" max="6936" width="10.1796875" bestFit="1" customWidth="1"/>
    <col min="7169" max="7169" width="6.1796875" customWidth="1"/>
    <col min="7170" max="7170" width="6.453125" bestFit="1" customWidth="1"/>
    <col min="7171" max="7171" width="25.81640625" customWidth="1"/>
    <col min="7172" max="7172" width="18.26953125" customWidth="1"/>
    <col min="7173" max="7173" width="8.1796875" bestFit="1" customWidth="1"/>
    <col min="7175" max="7175" width="8.7265625" customWidth="1"/>
    <col min="7176" max="7176" width="9" customWidth="1"/>
    <col min="7177" max="7177" width="9.453125" customWidth="1"/>
    <col min="7178" max="7178" width="7.7265625" customWidth="1"/>
    <col min="7179" max="7179" width="8" customWidth="1"/>
    <col min="7180" max="7180" width="10.54296875" customWidth="1"/>
    <col min="7181" max="7181" width="10.1796875" customWidth="1"/>
    <col min="7183" max="7183" width="8.1796875" customWidth="1"/>
    <col min="7184" max="7186" width="11.1796875" customWidth="1"/>
    <col min="7188" max="7188" width="9.54296875" bestFit="1" customWidth="1"/>
    <col min="7189" max="7189" width="10.1796875" bestFit="1" customWidth="1"/>
    <col min="7190" max="7190" width="10.26953125" bestFit="1" customWidth="1"/>
    <col min="7191" max="7191" width="10.54296875" bestFit="1" customWidth="1"/>
    <col min="7192" max="7192" width="10.1796875" bestFit="1" customWidth="1"/>
    <col min="7425" max="7425" width="6.1796875" customWidth="1"/>
    <col min="7426" max="7426" width="6.453125" bestFit="1" customWidth="1"/>
    <col min="7427" max="7427" width="25.81640625" customWidth="1"/>
    <col min="7428" max="7428" width="18.26953125" customWidth="1"/>
    <col min="7429" max="7429" width="8.1796875" bestFit="1" customWidth="1"/>
    <col min="7431" max="7431" width="8.7265625" customWidth="1"/>
    <col min="7432" max="7432" width="9" customWidth="1"/>
    <col min="7433" max="7433" width="9.453125" customWidth="1"/>
    <col min="7434" max="7434" width="7.7265625" customWidth="1"/>
    <col min="7435" max="7435" width="8" customWidth="1"/>
    <col min="7436" max="7436" width="10.54296875" customWidth="1"/>
    <col min="7437" max="7437" width="10.1796875" customWidth="1"/>
    <col min="7439" max="7439" width="8.1796875" customWidth="1"/>
    <col min="7440" max="7442" width="11.1796875" customWidth="1"/>
    <col min="7444" max="7444" width="9.54296875" bestFit="1" customWidth="1"/>
    <col min="7445" max="7445" width="10.1796875" bestFit="1" customWidth="1"/>
    <col min="7446" max="7446" width="10.26953125" bestFit="1" customWidth="1"/>
    <col min="7447" max="7447" width="10.54296875" bestFit="1" customWidth="1"/>
    <col min="7448" max="7448" width="10.1796875" bestFit="1" customWidth="1"/>
    <col min="7681" max="7681" width="6.1796875" customWidth="1"/>
    <col min="7682" max="7682" width="6.453125" bestFit="1" customWidth="1"/>
    <col min="7683" max="7683" width="25.81640625" customWidth="1"/>
    <col min="7684" max="7684" width="18.26953125" customWidth="1"/>
    <col min="7685" max="7685" width="8.1796875" bestFit="1" customWidth="1"/>
    <col min="7687" max="7687" width="8.7265625" customWidth="1"/>
    <col min="7688" max="7688" width="9" customWidth="1"/>
    <col min="7689" max="7689" width="9.453125" customWidth="1"/>
    <col min="7690" max="7690" width="7.7265625" customWidth="1"/>
    <col min="7691" max="7691" width="8" customWidth="1"/>
    <col min="7692" max="7692" width="10.54296875" customWidth="1"/>
    <col min="7693" max="7693" width="10.1796875" customWidth="1"/>
    <col min="7695" max="7695" width="8.1796875" customWidth="1"/>
    <col min="7696" max="7698" width="11.1796875" customWidth="1"/>
    <col min="7700" max="7700" width="9.54296875" bestFit="1" customWidth="1"/>
    <col min="7701" max="7701" width="10.1796875" bestFit="1" customWidth="1"/>
    <col min="7702" max="7702" width="10.26953125" bestFit="1" customWidth="1"/>
    <col min="7703" max="7703" width="10.54296875" bestFit="1" customWidth="1"/>
    <col min="7704" max="7704" width="10.1796875" bestFit="1" customWidth="1"/>
    <col min="7937" max="7937" width="6.1796875" customWidth="1"/>
    <col min="7938" max="7938" width="6.453125" bestFit="1" customWidth="1"/>
    <col min="7939" max="7939" width="25.81640625" customWidth="1"/>
    <col min="7940" max="7940" width="18.26953125" customWidth="1"/>
    <col min="7941" max="7941" width="8.1796875" bestFit="1" customWidth="1"/>
    <col min="7943" max="7943" width="8.7265625" customWidth="1"/>
    <col min="7944" max="7944" width="9" customWidth="1"/>
    <col min="7945" max="7945" width="9.453125" customWidth="1"/>
    <col min="7946" max="7946" width="7.7265625" customWidth="1"/>
    <col min="7947" max="7947" width="8" customWidth="1"/>
    <col min="7948" max="7948" width="10.54296875" customWidth="1"/>
    <col min="7949" max="7949" width="10.1796875" customWidth="1"/>
    <col min="7951" max="7951" width="8.1796875" customWidth="1"/>
    <col min="7952" max="7954" width="11.1796875" customWidth="1"/>
    <col min="7956" max="7956" width="9.54296875" bestFit="1" customWidth="1"/>
    <col min="7957" max="7957" width="10.1796875" bestFit="1" customWidth="1"/>
    <col min="7958" max="7958" width="10.26953125" bestFit="1" customWidth="1"/>
    <col min="7959" max="7959" width="10.54296875" bestFit="1" customWidth="1"/>
    <col min="7960" max="7960" width="10.1796875" bestFit="1" customWidth="1"/>
    <col min="8193" max="8193" width="6.1796875" customWidth="1"/>
    <col min="8194" max="8194" width="6.453125" bestFit="1" customWidth="1"/>
    <col min="8195" max="8195" width="25.81640625" customWidth="1"/>
    <col min="8196" max="8196" width="18.26953125" customWidth="1"/>
    <col min="8197" max="8197" width="8.1796875" bestFit="1" customWidth="1"/>
    <col min="8199" max="8199" width="8.7265625" customWidth="1"/>
    <col min="8200" max="8200" width="9" customWidth="1"/>
    <col min="8201" max="8201" width="9.453125" customWidth="1"/>
    <col min="8202" max="8202" width="7.7265625" customWidth="1"/>
    <col min="8203" max="8203" width="8" customWidth="1"/>
    <col min="8204" max="8204" width="10.54296875" customWidth="1"/>
    <col min="8205" max="8205" width="10.1796875" customWidth="1"/>
    <col min="8207" max="8207" width="8.1796875" customWidth="1"/>
    <col min="8208" max="8210" width="11.1796875" customWidth="1"/>
    <col min="8212" max="8212" width="9.54296875" bestFit="1" customWidth="1"/>
    <col min="8213" max="8213" width="10.1796875" bestFit="1" customWidth="1"/>
    <col min="8214" max="8214" width="10.26953125" bestFit="1" customWidth="1"/>
    <col min="8215" max="8215" width="10.54296875" bestFit="1" customWidth="1"/>
    <col min="8216" max="8216" width="10.1796875" bestFit="1" customWidth="1"/>
    <col min="8449" max="8449" width="6.1796875" customWidth="1"/>
    <col min="8450" max="8450" width="6.453125" bestFit="1" customWidth="1"/>
    <col min="8451" max="8451" width="25.81640625" customWidth="1"/>
    <col min="8452" max="8452" width="18.26953125" customWidth="1"/>
    <col min="8453" max="8453" width="8.1796875" bestFit="1" customWidth="1"/>
    <col min="8455" max="8455" width="8.7265625" customWidth="1"/>
    <col min="8456" max="8456" width="9" customWidth="1"/>
    <col min="8457" max="8457" width="9.453125" customWidth="1"/>
    <col min="8458" max="8458" width="7.7265625" customWidth="1"/>
    <col min="8459" max="8459" width="8" customWidth="1"/>
    <col min="8460" max="8460" width="10.54296875" customWidth="1"/>
    <col min="8461" max="8461" width="10.1796875" customWidth="1"/>
    <col min="8463" max="8463" width="8.1796875" customWidth="1"/>
    <col min="8464" max="8466" width="11.1796875" customWidth="1"/>
    <col min="8468" max="8468" width="9.54296875" bestFit="1" customWidth="1"/>
    <col min="8469" max="8469" width="10.1796875" bestFit="1" customWidth="1"/>
    <col min="8470" max="8470" width="10.26953125" bestFit="1" customWidth="1"/>
    <col min="8471" max="8471" width="10.54296875" bestFit="1" customWidth="1"/>
    <col min="8472" max="8472" width="10.1796875" bestFit="1" customWidth="1"/>
    <col min="8705" max="8705" width="6.1796875" customWidth="1"/>
    <col min="8706" max="8706" width="6.453125" bestFit="1" customWidth="1"/>
    <col min="8707" max="8707" width="25.81640625" customWidth="1"/>
    <col min="8708" max="8708" width="18.26953125" customWidth="1"/>
    <col min="8709" max="8709" width="8.1796875" bestFit="1" customWidth="1"/>
    <col min="8711" max="8711" width="8.7265625" customWidth="1"/>
    <col min="8712" max="8712" width="9" customWidth="1"/>
    <col min="8713" max="8713" width="9.453125" customWidth="1"/>
    <col min="8714" max="8714" width="7.7265625" customWidth="1"/>
    <col min="8715" max="8715" width="8" customWidth="1"/>
    <col min="8716" max="8716" width="10.54296875" customWidth="1"/>
    <col min="8717" max="8717" width="10.1796875" customWidth="1"/>
    <col min="8719" max="8719" width="8.1796875" customWidth="1"/>
    <col min="8720" max="8722" width="11.1796875" customWidth="1"/>
    <col min="8724" max="8724" width="9.54296875" bestFit="1" customWidth="1"/>
    <col min="8725" max="8725" width="10.1796875" bestFit="1" customWidth="1"/>
    <col min="8726" max="8726" width="10.26953125" bestFit="1" customWidth="1"/>
    <col min="8727" max="8727" width="10.54296875" bestFit="1" customWidth="1"/>
    <col min="8728" max="8728" width="10.1796875" bestFit="1" customWidth="1"/>
    <col min="8961" max="8961" width="6.1796875" customWidth="1"/>
    <col min="8962" max="8962" width="6.453125" bestFit="1" customWidth="1"/>
    <col min="8963" max="8963" width="25.81640625" customWidth="1"/>
    <col min="8964" max="8964" width="18.26953125" customWidth="1"/>
    <col min="8965" max="8965" width="8.1796875" bestFit="1" customWidth="1"/>
    <col min="8967" max="8967" width="8.7265625" customWidth="1"/>
    <col min="8968" max="8968" width="9" customWidth="1"/>
    <col min="8969" max="8969" width="9.453125" customWidth="1"/>
    <col min="8970" max="8970" width="7.7265625" customWidth="1"/>
    <col min="8971" max="8971" width="8" customWidth="1"/>
    <col min="8972" max="8972" width="10.54296875" customWidth="1"/>
    <col min="8973" max="8973" width="10.1796875" customWidth="1"/>
    <col min="8975" max="8975" width="8.1796875" customWidth="1"/>
    <col min="8976" max="8978" width="11.1796875" customWidth="1"/>
    <col min="8980" max="8980" width="9.54296875" bestFit="1" customWidth="1"/>
    <col min="8981" max="8981" width="10.1796875" bestFit="1" customWidth="1"/>
    <col min="8982" max="8982" width="10.26953125" bestFit="1" customWidth="1"/>
    <col min="8983" max="8983" width="10.54296875" bestFit="1" customWidth="1"/>
    <col min="8984" max="8984" width="10.1796875" bestFit="1" customWidth="1"/>
    <col min="9217" max="9217" width="6.1796875" customWidth="1"/>
    <col min="9218" max="9218" width="6.453125" bestFit="1" customWidth="1"/>
    <col min="9219" max="9219" width="25.81640625" customWidth="1"/>
    <col min="9220" max="9220" width="18.26953125" customWidth="1"/>
    <col min="9221" max="9221" width="8.1796875" bestFit="1" customWidth="1"/>
    <col min="9223" max="9223" width="8.7265625" customWidth="1"/>
    <col min="9224" max="9224" width="9" customWidth="1"/>
    <col min="9225" max="9225" width="9.453125" customWidth="1"/>
    <col min="9226" max="9226" width="7.7265625" customWidth="1"/>
    <col min="9227" max="9227" width="8" customWidth="1"/>
    <col min="9228" max="9228" width="10.54296875" customWidth="1"/>
    <col min="9229" max="9229" width="10.1796875" customWidth="1"/>
    <col min="9231" max="9231" width="8.1796875" customWidth="1"/>
    <col min="9232" max="9234" width="11.1796875" customWidth="1"/>
    <col min="9236" max="9236" width="9.54296875" bestFit="1" customWidth="1"/>
    <col min="9237" max="9237" width="10.1796875" bestFit="1" customWidth="1"/>
    <col min="9238" max="9238" width="10.26953125" bestFit="1" customWidth="1"/>
    <col min="9239" max="9239" width="10.54296875" bestFit="1" customWidth="1"/>
    <col min="9240" max="9240" width="10.1796875" bestFit="1" customWidth="1"/>
    <col min="9473" max="9473" width="6.1796875" customWidth="1"/>
    <col min="9474" max="9474" width="6.453125" bestFit="1" customWidth="1"/>
    <col min="9475" max="9475" width="25.81640625" customWidth="1"/>
    <col min="9476" max="9476" width="18.26953125" customWidth="1"/>
    <col min="9477" max="9477" width="8.1796875" bestFit="1" customWidth="1"/>
    <col min="9479" max="9479" width="8.7265625" customWidth="1"/>
    <col min="9480" max="9480" width="9" customWidth="1"/>
    <col min="9481" max="9481" width="9.453125" customWidth="1"/>
    <col min="9482" max="9482" width="7.7265625" customWidth="1"/>
    <col min="9483" max="9483" width="8" customWidth="1"/>
    <col min="9484" max="9484" width="10.54296875" customWidth="1"/>
    <col min="9485" max="9485" width="10.1796875" customWidth="1"/>
    <col min="9487" max="9487" width="8.1796875" customWidth="1"/>
    <col min="9488" max="9490" width="11.1796875" customWidth="1"/>
    <col min="9492" max="9492" width="9.54296875" bestFit="1" customWidth="1"/>
    <col min="9493" max="9493" width="10.1796875" bestFit="1" customWidth="1"/>
    <col min="9494" max="9494" width="10.26953125" bestFit="1" customWidth="1"/>
    <col min="9495" max="9495" width="10.54296875" bestFit="1" customWidth="1"/>
    <col min="9496" max="9496" width="10.1796875" bestFit="1" customWidth="1"/>
    <col min="9729" max="9729" width="6.1796875" customWidth="1"/>
    <col min="9730" max="9730" width="6.453125" bestFit="1" customWidth="1"/>
    <col min="9731" max="9731" width="25.81640625" customWidth="1"/>
    <col min="9732" max="9732" width="18.26953125" customWidth="1"/>
    <col min="9733" max="9733" width="8.1796875" bestFit="1" customWidth="1"/>
    <col min="9735" max="9735" width="8.7265625" customWidth="1"/>
    <col min="9736" max="9736" width="9" customWidth="1"/>
    <col min="9737" max="9737" width="9.453125" customWidth="1"/>
    <col min="9738" max="9738" width="7.7265625" customWidth="1"/>
    <col min="9739" max="9739" width="8" customWidth="1"/>
    <col min="9740" max="9740" width="10.54296875" customWidth="1"/>
    <col min="9741" max="9741" width="10.1796875" customWidth="1"/>
    <col min="9743" max="9743" width="8.1796875" customWidth="1"/>
    <col min="9744" max="9746" width="11.1796875" customWidth="1"/>
    <col min="9748" max="9748" width="9.54296875" bestFit="1" customWidth="1"/>
    <col min="9749" max="9749" width="10.1796875" bestFit="1" customWidth="1"/>
    <col min="9750" max="9750" width="10.26953125" bestFit="1" customWidth="1"/>
    <col min="9751" max="9751" width="10.54296875" bestFit="1" customWidth="1"/>
    <col min="9752" max="9752" width="10.1796875" bestFit="1" customWidth="1"/>
    <col min="9985" max="9985" width="6.1796875" customWidth="1"/>
    <col min="9986" max="9986" width="6.453125" bestFit="1" customWidth="1"/>
    <col min="9987" max="9987" width="25.81640625" customWidth="1"/>
    <col min="9988" max="9988" width="18.26953125" customWidth="1"/>
    <col min="9989" max="9989" width="8.1796875" bestFit="1" customWidth="1"/>
    <col min="9991" max="9991" width="8.7265625" customWidth="1"/>
    <col min="9992" max="9992" width="9" customWidth="1"/>
    <col min="9993" max="9993" width="9.453125" customWidth="1"/>
    <col min="9994" max="9994" width="7.7265625" customWidth="1"/>
    <col min="9995" max="9995" width="8" customWidth="1"/>
    <col min="9996" max="9996" width="10.54296875" customWidth="1"/>
    <col min="9997" max="9997" width="10.1796875" customWidth="1"/>
    <col min="9999" max="9999" width="8.1796875" customWidth="1"/>
    <col min="10000" max="10002" width="11.1796875" customWidth="1"/>
    <col min="10004" max="10004" width="9.54296875" bestFit="1" customWidth="1"/>
    <col min="10005" max="10005" width="10.1796875" bestFit="1" customWidth="1"/>
    <col min="10006" max="10006" width="10.26953125" bestFit="1" customWidth="1"/>
    <col min="10007" max="10007" width="10.54296875" bestFit="1" customWidth="1"/>
    <col min="10008" max="10008" width="10.1796875" bestFit="1" customWidth="1"/>
    <col min="10241" max="10241" width="6.1796875" customWidth="1"/>
    <col min="10242" max="10242" width="6.453125" bestFit="1" customWidth="1"/>
    <col min="10243" max="10243" width="25.81640625" customWidth="1"/>
    <col min="10244" max="10244" width="18.26953125" customWidth="1"/>
    <col min="10245" max="10245" width="8.1796875" bestFit="1" customWidth="1"/>
    <col min="10247" max="10247" width="8.7265625" customWidth="1"/>
    <col min="10248" max="10248" width="9" customWidth="1"/>
    <col min="10249" max="10249" width="9.453125" customWidth="1"/>
    <col min="10250" max="10250" width="7.7265625" customWidth="1"/>
    <col min="10251" max="10251" width="8" customWidth="1"/>
    <col min="10252" max="10252" width="10.54296875" customWidth="1"/>
    <col min="10253" max="10253" width="10.1796875" customWidth="1"/>
    <col min="10255" max="10255" width="8.1796875" customWidth="1"/>
    <col min="10256" max="10258" width="11.1796875" customWidth="1"/>
    <col min="10260" max="10260" width="9.54296875" bestFit="1" customWidth="1"/>
    <col min="10261" max="10261" width="10.1796875" bestFit="1" customWidth="1"/>
    <col min="10262" max="10262" width="10.26953125" bestFit="1" customWidth="1"/>
    <col min="10263" max="10263" width="10.54296875" bestFit="1" customWidth="1"/>
    <col min="10264" max="10264" width="10.1796875" bestFit="1" customWidth="1"/>
    <col min="10497" max="10497" width="6.1796875" customWidth="1"/>
    <col min="10498" max="10498" width="6.453125" bestFit="1" customWidth="1"/>
    <col min="10499" max="10499" width="25.81640625" customWidth="1"/>
    <col min="10500" max="10500" width="18.26953125" customWidth="1"/>
    <col min="10501" max="10501" width="8.1796875" bestFit="1" customWidth="1"/>
    <col min="10503" max="10503" width="8.7265625" customWidth="1"/>
    <col min="10504" max="10504" width="9" customWidth="1"/>
    <col min="10505" max="10505" width="9.453125" customWidth="1"/>
    <col min="10506" max="10506" width="7.7265625" customWidth="1"/>
    <col min="10507" max="10507" width="8" customWidth="1"/>
    <col min="10508" max="10508" width="10.54296875" customWidth="1"/>
    <col min="10509" max="10509" width="10.1796875" customWidth="1"/>
    <col min="10511" max="10511" width="8.1796875" customWidth="1"/>
    <col min="10512" max="10514" width="11.1796875" customWidth="1"/>
    <col min="10516" max="10516" width="9.54296875" bestFit="1" customWidth="1"/>
    <col min="10517" max="10517" width="10.1796875" bestFit="1" customWidth="1"/>
    <col min="10518" max="10518" width="10.26953125" bestFit="1" customWidth="1"/>
    <col min="10519" max="10519" width="10.54296875" bestFit="1" customWidth="1"/>
    <col min="10520" max="10520" width="10.1796875" bestFit="1" customWidth="1"/>
    <col min="10753" max="10753" width="6.1796875" customWidth="1"/>
    <col min="10754" max="10754" width="6.453125" bestFit="1" customWidth="1"/>
    <col min="10755" max="10755" width="25.81640625" customWidth="1"/>
    <col min="10756" max="10756" width="18.26953125" customWidth="1"/>
    <col min="10757" max="10757" width="8.1796875" bestFit="1" customWidth="1"/>
    <col min="10759" max="10759" width="8.7265625" customWidth="1"/>
    <col min="10760" max="10760" width="9" customWidth="1"/>
    <col min="10761" max="10761" width="9.453125" customWidth="1"/>
    <col min="10762" max="10762" width="7.7265625" customWidth="1"/>
    <col min="10763" max="10763" width="8" customWidth="1"/>
    <col min="10764" max="10764" width="10.54296875" customWidth="1"/>
    <col min="10765" max="10765" width="10.1796875" customWidth="1"/>
    <col min="10767" max="10767" width="8.1796875" customWidth="1"/>
    <col min="10768" max="10770" width="11.1796875" customWidth="1"/>
    <col min="10772" max="10772" width="9.54296875" bestFit="1" customWidth="1"/>
    <col min="10773" max="10773" width="10.1796875" bestFit="1" customWidth="1"/>
    <col min="10774" max="10774" width="10.26953125" bestFit="1" customWidth="1"/>
    <col min="10775" max="10775" width="10.54296875" bestFit="1" customWidth="1"/>
    <col min="10776" max="10776" width="10.1796875" bestFit="1" customWidth="1"/>
    <col min="11009" max="11009" width="6.1796875" customWidth="1"/>
    <col min="11010" max="11010" width="6.453125" bestFit="1" customWidth="1"/>
    <col min="11011" max="11011" width="25.81640625" customWidth="1"/>
    <col min="11012" max="11012" width="18.26953125" customWidth="1"/>
    <col min="11013" max="11013" width="8.1796875" bestFit="1" customWidth="1"/>
    <col min="11015" max="11015" width="8.7265625" customWidth="1"/>
    <col min="11016" max="11016" width="9" customWidth="1"/>
    <col min="11017" max="11017" width="9.453125" customWidth="1"/>
    <col min="11018" max="11018" width="7.7265625" customWidth="1"/>
    <col min="11019" max="11019" width="8" customWidth="1"/>
    <col min="11020" max="11020" width="10.54296875" customWidth="1"/>
    <col min="11021" max="11021" width="10.1796875" customWidth="1"/>
    <col min="11023" max="11023" width="8.1796875" customWidth="1"/>
    <col min="11024" max="11026" width="11.1796875" customWidth="1"/>
    <col min="11028" max="11028" width="9.54296875" bestFit="1" customWidth="1"/>
    <col min="11029" max="11029" width="10.1796875" bestFit="1" customWidth="1"/>
    <col min="11030" max="11030" width="10.26953125" bestFit="1" customWidth="1"/>
    <col min="11031" max="11031" width="10.54296875" bestFit="1" customWidth="1"/>
    <col min="11032" max="11032" width="10.1796875" bestFit="1" customWidth="1"/>
    <col min="11265" max="11265" width="6.1796875" customWidth="1"/>
    <col min="11266" max="11266" width="6.453125" bestFit="1" customWidth="1"/>
    <col min="11267" max="11267" width="25.81640625" customWidth="1"/>
    <col min="11268" max="11268" width="18.26953125" customWidth="1"/>
    <col min="11269" max="11269" width="8.1796875" bestFit="1" customWidth="1"/>
    <col min="11271" max="11271" width="8.7265625" customWidth="1"/>
    <col min="11272" max="11272" width="9" customWidth="1"/>
    <col min="11273" max="11273" width="9.453125" customWidth="1"/>
    <col min="11274" max="11274" width="7.7265625" customWidth="1"/>
    <col min="11275" max="11275" width="8" customWidth="1"/>
    <col min="11276" max="11276" width="10.54296875" customWidth="1"/>
    <col min="11277" max="11277" width="10.1796875" customWidth="1"/>
    <col min="11279" max="11279" width="8.1796875" customWidth="1"/>
    <col min="11280" max="11282" width="11.1796875" customWidth="1"/>
    <col min="11284" max="11284" width="9.54296875" bestFit="1" customWidth="1"/>
    <col min="11285" max="11285" width="10.1796875" bestFit="1" customWidth="1"/>
    <col min="11286" max="11286" width="10.26953125" bestFit="1" customWidth="1"/>
    <col min="11287" max="11287" width="10.54296875" bestFit="1" customWidth="1"/>
    <col min="11288" max="11288" width="10.1796875" bestFit="1" customWidth="1"/>
    <col min="11521" max="11521" width="6.1796875" customWidth="1"/>
    <col min="11522" max="11522" width="6.453125" bestFit="1" customWidth="1"/>
    <col min="11523" max="11523" width="25.81640625" customWidth="1"/>
    <col min="11524" max="11524" width="18.26953125" customWidth="1"/>
    <col min="11525" max="11525" width="8.1796875" bestFit="1" customWidth="1"/>
    <col min="11527" max="11527" width="8.7265625" customWidth="1"/>
    <col min="11528" max="11528" width="9" customWidth="1"/>
    <col min="11529" max="11529" width="9.453125" customWidth="1"/>
    <col min="11530" max="11530" width="7.7265625" customWidth="1"/>
    <col min="11531" max="11531" width="8" customWidth="1"/>
    <col min="11532" max="11532" width="10.54296875" customWidth="1"/>
    <col min="11533" max="11533" width="10.1796875" customWidth="1"/>
    <col min="11535" max="11535" width="8.1796875" customWidth="1"/>
    <col min="11536" max="11538" width="11.1796875" customWidth="1"/>
    <col min="11540" max="11540" width="9.54296875" bestFit="1" customWidth="1"/>
    <col min="11541" max="11541" width="10.1796875" bestFit="1" customWidth="1"/>
    <col min="11542" max="11542" width="10.26953125" bestFit="1" customWidth="1"/>
    <col min="11543" max="11543" width="10.54296875" bestFit="1" customWidth="1"/>
    <col min="11544" max="11544" width="10.1796875" bestFit="1" customWidth="1"/>
    <col min="11777" max="11777" width="6.1796875" customWidth="1"/>
    <col min="11778" max="11778" width="6.453125" bestFit="1" customWidth="1"/>
    <col min="11779" max="11779" width="25.81640625" customWidth="1"/>
    <col min="11780" max="11780" width="18.26953125" customWidth="1"/>
    <col min="11781" max="11781" width="8.1796875" bestFit="1" customWidth="1"/>
    <col min="11783" max="11783" width="8.7265625" customWidth="1"/>
    <col min="11784" max="11784" width="9" customWidth="1"/>
    <col min="11785" max="11785" width="9.453125" customWidth="1"/>
    <col min="11786" max="11786" width="7.7265625" customWidth="1"/>
    <col min="11787" max="11787" width="8" customWidth="1"/>
    <col min="11788" max="11788" width="10.54296875" customWidth="1"/>
    <col min="11789" max="11789" width="10.1796875" customWidth="1"/>
    <col min="11791" max="11791" width="8.1796875" customWidth="1"/>
    <col min="11792" max="11794" width="11.1796875" customWidth="1"/>
    <col min="11796" max="11796" width="9.54296875" bestFit="1" customWidth="1"/>
    <col min="11797" max="11797" width="10.1796875" bestFit="1" customWidth="1"/>
    <col min="11798" max="11798" width="10.26953125" bestFit="1" customWidth="1"/>
    <col min="11799" max="11799" width="10.54296875" bestFit="1" customWidth="1"/>
    <col min="11800" max="11800" width="10.1796875" bestFit="1" customWidth="1"/>
    <col min="12033" max="12033" width="6.1796875" customWidth="1"/>
    <col min="12034" max="12034" width="6.453125" bestFit="1" customWidth="1"/>
    <col min="12035" max="12035" width="25.81640625" customWidth="1"/>
    <col min="12036" max="12036" width="18.26953125" customWidth="1"/>
    <col min="12037" max="12037" width="8.1796875" bestFit="1" customWidth="1"/>
    <col min="12039" max="12039" width="8.7265625" customWidth="1"/>
    <col min="12040" max="12040" width="9" customWidth="1"/>
    <col min="12041" max="12041" width="9.453125" customWidth="1"/>
    <col min="12042" max="12042" width="7.7265625" customWidth="1"/>
    <col min="12043" max="12043" width="8" customWidth="1"/>
    <col min="12044" max="12044" width="10.54296875" customWidth="1"/>
    <col min="12045" max="12045" width="10.1796875" customWidth="1"/>
    <col min="12047" max="12047" width="8.1796875" customWidth="1"/>
    <col min="12048" max="12050" width="11.1796875" customWidth="1"/>
    <col min="12052" max="12052" width="9.54296875" bestFit="1" customWidth="1"/>
    <col min="12053" max="12053" width="10.1796875" bestFit="1" customWidth="1"/>
    <col min="12054" max="12054" width="10.26953125" bestFit="1" customWidth="1"/>
    <col min="12055" max="12055" width="10.54296875" bestFit="1" customWidth="1"/>
    <col min="12056" max="12056" width="10.1796875" bestFit="1" customWidth="1"/>
    <col min="12289" max="12289" width="6.1796875" customWidth="1"/>
    <col min="12290" max="12290" width="6.453125" bestFit="1" customWidth="1"/>
    <col min="12291" max="12291" width="25.81640625" customWidth="1"/>
    <col min="12292" max="12292" width="18.26953125" customWidth="1"/>
    <col min="12293" max="12293" width="8.1796875" bestFit="1" customWidth="1"/>
    <col min="12295" max="12295" width="8.7265625" customWidth="1"/>
    <col min="12296" max="12296" width="9" customWidth="1"/>
    <col min="12297" max="12297" width="9.453125" customWidth="1"/>
    <col min="12298" max="12298" width="7.7265625" customWidth="1"/>
    <col min="12299" max="12299" width="8" customWidth="1"/>
    <col min="12300" max="12300" width="10.54296875" customWidth="1"/>
    <col min="12301" max="12301" width="10.1796875" customWidth="1"/>
    <col min="12303" max="12303" width="8.1796875" customWidth="1"/>
    <col min="12304" max="12306" width="11.1796875" customWidth="1"/>
    <col min="12308" max="12308" width="9.54296875" bestFit="1" customWidth="1"/>
    <col min="12309" max="12309" width="10.1796875" bestFit="1" customWidth="1"/>
    <col min="12310" max="12310" width="10.26953125" bestFit="1" customWidth="1"/>
    <col min="12311" max="12311" width="10.54296875" bestFit="1" customWidth="1"/>
    <col min="12312" max="12312" width="10.1796875" bestFit="1" customWidth="1"/>
    <col min="12545" max="12545" width="6.1796875" customWidth="1"/>
    <col min="12546" max="12546" width="6.453125" bestFit="1" customWidth="1"/>
    <col min="12547" max="12547" width="25.81640625" customWidth="1"/>
    <col min="12548" max="12548" width="18.26953125" customWidth="1"/>
    <col min="12549" max="12549" width="8.1796875" bestFit="1" customWidth="1"/>
    <col min="12551" max="12551" width="8.7265625" customWidth="1"/>
    <col min="12552" max="12552" width="9" customWidth="1"/>
    <col min="12553" max="12553" width="9.453125" customWidth="1"/>
    <col min="12554" max="12554" width="7.7265625" customWidth="1"/>
    <col min="12555" max="12555" width="8" customWidth="1"/>
    <col min="12556" max="12556" width="10.54296875" customWidth="1"/>
    <col min="12557" max="12557" width="10.1796875" customWidth="1"/>
    <col min="12559" max="12559" width="8.1796875" customWidth="1"/>
    <col min="12560" max="12562" width="11.1796875" customWidth="1"/>
    <col min="12564" max="12564" width="9.54296875" bestFit="1" customWidth="1"/>
    <col min="12565" max="12565" width="10.1796875" bestFit="1" customWidth="1"/>
    <col min="12566" max="12566" width="10.26953125" bestFit="1" customWidth="1"/>
    <col min="12567" max="12567" width="10.54296875" bestFit="1" customWidth="1"/>
    <col min="12568" max="12568" width="10.1796875" bestFit="1" customWidth="1"/>
    <col min="12801" max="12801" width="6.1796875" customWidth="1"/>
    <col min="12802" max="12802" width="6.453125" bestFit="1" customWidth="1"/>
    <col min="12803" max="12803" width="25.81640625" customWidth="1"/>
    <col min="12804" max="12804" width="18.26953125" customWidth="1"/>
    <col min="12805" max="12805" width="8.1796875" bestFit="1" customWidth="1"/>
    <col min="12807" max="12807" width="8.7265625" customWidth="1"/>
    <col min="12808" max="12808" width="9" customWidth="1"/>
    <col min="12809" max="12809" width="9.453125" customWidth="1"/>
    <col min="12810" max="12810" width="7.7265625" customWidth="1"/>
    <col min="12811" max="12811" width="8" customWidth="1"/>
    <col min="12812" max="12812" width="10.54296875" customWidth="1"/>
    <col min="12813" max="12813" width="10.1796875" customWidth="1"/>
    <col min="12815" max="12815" width="8.1796875" customWidth="1"/>
    <col min="12816" max="12818" width="11.1796875" customWidth="1"/>
    <col min="12820" max="12820" width="9.54296875" bestFit="1" customWidth="1"/>
    <col min="12821" max="12821" width="10.1796875" bestFit="1" customWidth="1"/>
    <col min="12822" max="12822" width="10.26953125" bestFit="1" customWidth="1"/>
    <col min="12823" max="12823" width="10.54296875" bestFit="1" customWidth="1"/>
    <col min="12824" max="12824" width="10.1796875" bestFit="1" customWidth="1"/>
    <col min="13057" max="13057" width="6.1796875" customWidth="1"/>
    <col min="13058" max="13058" width="6.453125" bestFit="1" customWidth="1"/>
    <col min="13059" max="13059" width="25.81640625" customWidth="1"/>
    <col min="13060" max="13060" width="18.26953125" customWidth="1"/>
    <col min="13061" max="13061" width="8.1796875" bestFit="1" customWidth="1"/>
    <col min="13063" max="13063" width="8.7265625" customWidth="1"/>
    <col min="13064" max="13064" width="9" customWidth="1"/>
    <col min="13065" max="13065" width="9.453125" customWidth="1"/>
    <col min="13066" max="13066" width="7.7265625" customWidth="1"/>
    <col min="13067" max="13067" width="8" customWidth="1"/>
    <col min="13068" max="13068" width="10.54296875" customWidth="1"/>
    <col min="13069" max="13069" width="10.1796875" customWidth="1"/>
    <col min="13071" max="13071" width="8.1796875" customWidth="1"/>
    <col min="13072" max="13074" width="11.1796875" customWidth="1"/>
    <col min="13076" max="13076" width="9.54296875" bestFit="1" customWidth="1"/>
    <col min="13077" max="13077" width="10.1796875" bestFit="1" customWidth="1"/>
    <col min="13078" max="13078" width="10.26953125" bestFit="1" customWidth="1"/>
    <col min="13079" max="13079" width="10.54296875" bestFit="1" customWidth="1"/>
    <col min="13080" max="13080" width="10.1796875" bestFit="1" customWidth="1"/>
    <col min="13313" max="13313" width="6.1796875" customWidth="1"/>
    <col min="13314" max="13314" width="6.453125" bestFit="1" customWidth="1"/>
    <col min="13315" max="13315" width="25.81640625" customWidth="1"/>
    <col min="13316" max="13316" width="18.26953125" customWidth="1"/>
    <col min="13317" max="13317" width="8.1796875" bestFit="1" customWidth="1"/>
    <col min="13319" max="13319" width="8.7265625" customWidth="1"/>
    <col min="13320" max="13320" width="9" customWidth="1"/>
    <col min="13321" max="13321" width="9.453125" customWidth="1"/>
    <col min="13322" max="13322" width="7.7265625" customWidth="1"/>
    <col min="13323" max="13323" width="8" customWidth="1"/>
    <col min="13324" max="13324" width="10.54296875" customWidth="1"/>
    <col min="13325" max="13325" width="10.1796875" customWidth="1"/>
    <col min="13327" max="13327" width="8.1796875" customWidth="1"/>
    <col min="13328" max="13330" width="11.1796875" customWidth="1"/>
    <col min="13332" max="13332" width="9.54296875" bestFit="1" customWidth="1"/>
    <col min="13333" max="13333" width="10.1796875" bestFit="1" customWidth="1"/>
    <col min="13334" max="13334" width="10.26953125" bestFit="1" customWidth="1"/>
    <col min="13335" max="13335" width="10.54296875" bestFit="1" customWidth="1"/>
    <col min="13336" max="13336" width="10.1796875" bestFit="1" customWidth="1"/>
    <col min="13569" max="13569" width="6.1796875" customWidth="1"/>
    <col min="13570" max="13570" width="6.453125" bestFit="1" customWidth="1"/>
    <col min="13571" max="13571" width="25.81640625" customWidth="1"/>
    <col min="13572" max="13572" width="18.26953125" customWidth="1"/>
    <col min="13573" max="13573" width="8.1796875" bestFit="1" customWidth="1"/>
    <col min="13575" max="13575" width="8.7265625" customWidth="1"/>
    <col min="13576" max="13576" width="9" customWidth="1"/>
    <col min="13577" max="13577" width="9.453125" customWidth="1"/>
    <col min="13578" max="13578" width="7.7265625" customWidth="1"/>
    <col min="13579" max="13579" width="8" customWidth="1"/>
    <col min="13580" max="13580" width="10.54296875" customWidth="1"/>
    <col min="13581" max="13581" width="10.1796875" customWidth="1"/>
    <col min="13583" max="13583" width="8.1796875" customWidth="1"/>
    <col min="13584" max="13586" width="11.1796875" customWidth="1"/>
    <col min="13588" max="13588" width="9.54296875" bestFit="1" customWidth="1"/>
    <col min="13589" max="13589" width="10.1796875" bestFit="1" customWidth="1"/>
    <col min="13590" max="13590" width="10.26953125" bestFit="1" customWidth="1"/>
    <col min="13591" max="13591" width="10.54296875" bestFit="1" customWidth="1"/>
    <col min="13592" max="13592" width="10.1796875" bestFit="1" customWidth="1"/>
    <col min="13825" max="13825" width="6.1796875" customWidth="1"/>
    <col min="13826" max="13826" width="6.453125" bestFit="1" customWidth="1"/>
    <col min="13827" max="13827" width="25.81640625" customWidth="1"/>
    <col min="13828" max="13828" width="18.26953125" customWidth="1"/>
    <col min="13829" max="13829" width="8.1796875" bestFit="1" customWidth="1"/>
    <col min="13831" max="13831" width="8.7265625" customWidth="1"/>
    <col min="13832" max="13832" width="9" customWidth="1"/>
    <col min="13833" max="13833" width="9.453125" customWidth="1"/>
    <col min="13834" max="13834" width="7.7265625" customWidth="1"/>
    <col min="13835" max="13835" width="8" customWidth="1"/>
    <col min="13836" max="13836" width="10.54296875" customWidth="1"/>
    <col min="13837" max="13837" width="10.1796875" customWidth="1"/>
    <col min="13839" max="13839" width="8.1796875" customWidth="1"/>
    <col min="13840" max="13842" width="11.1796875" customWidth="1"/>
    <col min="13844" max="13844" width="9.54296875" bestFit="1" customWidth="1"/>
    <col min="13845" max="13845" width="10.1796875" bestFit="1" customWidth="1"/>
    <col min="13846" max="13846" width="10.26953125" bestFit="1" customWidth="1"/>
    <col min="13847" max="13847" width="10.54296875" bestFit="1" customWidth="1"/>
    <col min="13848" max="13848" width="10.1796875" bestFit="1" customWidth="1"/>
    <col min="14081" max="14081" width="6.1796875" customWidth="1"/>
    <col min="14082" max="14082" width="6.453125" bestFit="1" customWidth="1"/>
    <col min="14083" max="14083" width="25.81640625" customWidth="1"/>
    <col min="14084" max="14084" width="18.26953125" customWidth="1"/>
    <col min="14085" max="14085" width="8.1796875" bestFit="1" customWidth="1"/>
    <col min="14087" max="14087" width="8.7265625" customWidth="1"/>
    <col min="14088" max="14088" width="9" customWidth="1"/>
    <col min="14089" max="14089" width="9.453125" customWidth="1"/>
    <col min="14090" max="14090" width="7.7265625" customWidth="1"/>
    <col min="14091" max="14091" width="8" customWidth="1"/>
    <col min="14092" max="14092" width="10.54296875" customWidth="1"/>
    <col min="14093" max="14093" width="10.1796875" customWidth="1"/>
    <col min="14095" max="14095" width="8.1796875" customWidth="1"/>
    <col min="14096" max="14098" width="11.1796875" customWidth="1"/>
    <col min="14100" max="14100" width="9.54296875" bestFit="1" customWidth="1"/>
    <col min="14101" max="14101" width="10.1796875" bestFit="1" customWidth="1"/>
    <col min="14102" max="14102" width="10.26953125" bestFit="1" customWidth="1"/>
    <col min="14103" max="14103" width="10.54296875" bestFit="1" customWidth="1"/>
    <col min="14104" max="14104" width="10.1796875" bestFit="1" customWidth="1"/>
    <col min="14337" max="14337" width="6.1796875" customWidth="1"/>
    <col min="14338" max="14338" width="6.453125" bestFit="1" customWidth="1"/>
    <col min="14339" max="14339" width="25.81640625" customWidth="1"/>
    <col min="14340" max="14340" width="18.26953125" customWidth="1"/>
    <col min="14341" max="14341" width="8.1796875" bestFit="1" customWidth="1"/>
    <col min="14343" max="14343" width="8.7265625" customWidth="1"/>
    <col min="14344" max="14344" width="9" customWidth="1"/>
    <col min="14345" max="14345" width="9.453125" customWidth="1"/>
    <col min="14346" max="14346" width="7.7265625" customWidth="1"/>
    <col min="14347" max="14347" width="8" customWidth="1"/>
    <col min="14348" max="14348" width="10.54296875" customWidth="1"/>
    <col min="14349" max="14349" width="10.1796875" customWidth="1"/>
    <col min="14351" max="14351" width="8.1796875" customWidth="1"/>
    <col min="14352" max="14354" width="11.1796875" customWidth="1"/>
    <col min="14356" max="14356" width="9.54296875" bestFit="1" customWidth="1"/>
    <col min="14357" max="14357" width="10.1796875" bestFit="1" customWidth="1"/>
    <col min="14358" max="14358" width="10.26953125" bestFit="1" customWidth="1"/>
    <col min="14359" max="14359" width="10.54296875" bestFit="1" customWidth="1"/>
    <col min="14360" max="14360" width="10.1796875" bestFit="1" customWidth="1"/>
    <col min="14593" max="14593" width="6.1796875" customWidth="1"/>
    <col min="14594" max="14594" width="6.453125" bestFit="1" customWidth="1"/>
    <col min="14595" max="14595" width="25.81640625" customWidth="1"/>
    <col min="14596" max="14596" width="18.26953125" customWidth="1"/>
    <col min="14597" max="14597" width="8.1796875" bestFit="1" customWidth="1"/>
    <col min="14599" max="14599" width="8.7265625" customWidth="1"/>
    <col min="14600" max="14600" width="9" customWidth="1"/>
    <col min="14601" max="14601" width="9.453125" customWidth="1"/>
    <col min="14602" max="14602" width="7.7265625" customWidth="1"/>
    <col min="14603" max="14603" width="8" customWidth="1"/>
    <col min="14604" max="14604" width="10.54296875" customWidth="1"/>
    <col min="14605" max="14605" width="10.1796875" customWidth="1"/>
    <col min="14607" max="14607" width="8.1796875" customWidth="1"/>
    <col min="14608" max="14610" width="11.1796875" customWidth="1"/>
    <col min="14612" max="14612" width="9.54296875" bestFit="1" customWidth="1"/>
    <col min="14613" max="14613" width="10.1796875" bestFit="1" customWidth="1"/>
    <col min="14614" max="14614" width="10.26953125" bestFit="1" customWidth="1"/>
    <col min="14615" max="14615" width="10.54296875" bestFit="1" customWidth="1"/>
    <col min="14616" max="14616" width="10.1796875" bestFit="1" customWidth="1"/>
    <col min="14849" max="14849" width="6.1796875" customWidth="1"/>
    <col min="14850" max="14850" width="6.453125" bestFit="1" customWidth="1"/>
    <col min="14851" max="14851" width="25.81640625" customWidth="1"/>
    <col min="14852" max="14852" width="18.26953125" customWidth="1"/>
    <col min="14853" max="14853" width="8.1796875" bestFit="1" customWidth="1"/>
    <col min="14855" max="14855" width="8.7265625" customWidth="1"/>
    <col min="14856" max="14856" width="9" customWidth="1"/>
    <col min="14857" max="14857" width="9.453125" customWidth="1"/>
    <col min="14858" max="14858" width="7.7265625" customWidth="1"/>
    <col min="14859" max="14859" width="8" customWidth="1"/>
    <col min="14860" max="14860" width="10.54296875" customWidth="1"/>
    <col min="14861" max="14861" width="10.1796875" customWidth="1"/>
    <col min="14863" max="14863" width="8.1796875" customWidth="1"/>
    <col min="14864" max="14866" width="11.1796875" customWidth="1"/>
    <col min="14868" max="14868" width="9.54296875" bestFit="1" customWidth="1"/>
    <col min="14869" max="14869" width="10.1796875" bestFit="1" customWidth="1"/>
    <col min="14870" max="14870" width="10.26953125" bestFit="1" customWidth="1"/>
    <col min="14871" max="14871" width="10.54296875" bestFit="1" customWidth="1"/>
    <col min="14872" max="14872" width="10.1796875" bestFit="1" customWidth="1"/>
    <col min="15105" max="15105" width="6.1796875" customWidth="1"/>
    <col min="15106" max="15106" width="6.453125" bestFit="1" customWidth="1"/>
    <col min="15107" max="15107" width="25.81640625" customWidth="1"/>
    <col min="15108" max="15108" width="18.26953125" customWidth="1"/>
    <col min="15109" max="15109" width="8.1796875" bestFit="1" customWidth="1"/>
    <col min="15111" max="15111" width="8.7265625" customWidth="1"/>
    <col min="15112" max="15112" width="9" customWidth="1"/>
    <col min="15113" max="15113" width="9.453125" customWidth="1"/>
    <col min="15114" max="15114" width="7.7265625" customWidth="1"/>
    <col min="15115" max="15115" width="8" customWidth="1"/>
    <col min="15116" max="15116" width="10.54296875" customWidth="1"/>
    <col min="15117" max="15117" width="10.1796875" customWidth="1"/>
    <col min="15119" max="15119" width="8.1796875" customWidth="1"/>
    <col min="15120" max="15122" width="11.1796875" customWidth="1"/>
    <col min="15124" max="15124" width="9.54296875" bestFit="1" customWidth="1"/>
    <col min="15125" max="15125" width="10.1796875" bestFit="1" customWidth="1"/>
    <col min="15126" max="15126" width="10.26953125" bestFit="1" customWidth="1"/>
    <col min="15127" max="15127" width="10.54296875" bestFit="1" customWidth="1"/>
    <col min="15128" max="15128" width="10.1796875" bestFit="1" customWidth="1"/>
    <col min="15361" max="15361" width="6.1796875" customWidth="1"/>
    <col min="15362" max="15362" width="6.453125" bestFit="1" customWidth="1"/>
    <col min="15363" max="15363" width="25.81640625" customWidth="1"/>
    <col min="15364" max="15364" width="18.26953125" customWidth="1"/>
    <col min="15365" max="15365" width="8.1796875" bestFit="1" customWidth="1"/>
    <col min="15367" max="15367" width="8.7265625" customWidth="1"/>
    <col min="15368" max="15368" width="9" customWidth="1"/>
    <col min="15369" max="15369" width="9.453125" customWidth="1"/>
    <col min="15370" max="15370" width="7.7265625" customWidth="1"/>
    <col min="15371" max="15371" width="8" customWidth="1"/>
    <col min="15372" max="15372" width="10.54296875" customWidth="1"/>
    <col min="15373" max="15373" width="10.1796875" customWidth="1"/>
    <col min="15375" max="15375" width="8.1796875" customWidth="1"/>
    <col min="15376" max="15378" width="11.1796875" customWidth="1"/>
    <col min="15380" max="15380" width="9.54296875" bestFit="1" customWidth="1"/>
    <col min="15381" max="15381" width="10.1796875" bestFit="1" customWidth="1"/>
    <col min="15382" max="15382" width="10.26953125" bestFit="1" customWidth="1"/>
    <col min="15383" max="15383" width="10.54296875" bestFit="1" customWidth="1"/>
    <col min="15384" max="15384" width="10.1796875" bestFit="1" customWidth="1"/>
    <col min="15617" max="15617" width="6.1796875" customWidth="1"/>
    <col min="15618" max="15618" width="6.453125" bestFit="1" customWidth="1"/>
    <col min="15619" max="15619" width="25.81640625" customWidth="1"/>
    <col min="15620" max="15620" width="18.26953125" customWidth="1"/>
    <col min="15621" max="15621" width="8.1796875" bestFit="1" customWidth="1"/>
    <col min="15623" max="15623" width="8.7265625" customWidth="1"/>
    <col min="15624" max="15624" width="9" customWidth="1"/>
    <col min="15625" max="15625" width="9.453125" customWidth="1"/>
    <col min="15626" max="15626" width="7.7265625" customWidth="1"/>
    <col min="15627" max="15627" width="8" customWidth="1"/>
    <col min="15628" max="15628" width="10.54296875" customWidth="1"/>
    <col min="15629" max="15629" width="10.1796875" customWidth="1"/>
    <col min="15631" max="15631" width="8.1796875" customWidth="1"/>
    <col min="15632" max="15634" width="11.1796875" customWidth="1"/>
    <col min="15636" max="15636" width="9.54296875" bestFit="1" customWidth="1"/>
    <col min="15637" max="15637" width="10.1796875" bestFit="1" customWidth="1"/>
    <col min="15638" max="15638" width="10.26953125" bestFit="1" customWidth="1"/>
    <col min="15639" max="15639" width="10.54296875" bestFit="1" customWidth="1"/>
    <col min="15640" max="15640" width="10.1796875" bestFit="1" customWidth="1"/>
    <col min="15873" max="15873" width="6.1796875" customWidth="1"/>
    <col min="15874" max="15874" width="6.453125" bestFit="1" customWidth="1"/>
    <col min="15875" max="15875" width="25.81640625" customWidth="1"/>
    <col min="15876" max="15876" width="18.26953125" customWidth="1"/>
    <col min="15877" max="15877" width="8.1796875" bestFit="1" customWidth="1"/>
    <col min="15879" max="15879" width="8.7265625" customWidth="1"/>
    <col min="15880" max="15880" width="9" customWidth="1"/>
    <col min="15881" max="15881" width="9.453125" customWidth="1"/>
    <col min="15882" max="15882" width="7.7265625" customWidth="1"/>
    <col min="15883" max="15883" width="8" customWidth="1"/>
    <col min="15884" max="15884" width="10.54296875" customWidth="1"/>
    <col min="15885" max="15885" width="10.1796875" customWidth="1"/>
    <col min="15887" max="15887" width="8.1796875" customWidth="1"/>
    <col min="15888" max="15890" width="11.1796875" customWidth="1"/>
    <col min="15892" max="15892" width="9.54296875" bestFit="1" customWidth="1"/>
    <col min="15893" max="15893" width="10.1796875" bestFit="1" customWidth="1"/>
    <col min="15894" max="15894" width="10.26953125" bestFit="1" customWidth="1"/>
    <col min="15895" max="15895" width="10.54296875" bestFit="1" customWidth="1"/>
    <col min="15896" max="15896" width="10.1796875" bestFit="1" customWidth="1"/>
    <col min="16129" max="16129" width="6.1796875" customWidth="1"/>
    <col min="16130" max="16130" width="6.453125" bestFit="1" customWidth="1"/>
    <col min="16131" max="16131" width="25.81640625" customWidth="1"/>
    <col min="16132" max="16132" width="18.26953125" customWidth="1"/>
    <col min="16133" max="16133" width="8.1796875" bestFit="1" customWidth="1"/>
    <col min="16135" max="16135" width="8.7265625" customWidth="1"/>
    <col min="16136" max="16136" width="9" customWidth="1"/>
    <col min="16137" max="16137" width="9.453125" customWidth="1"/>
    <col min="16138" max="16138" width="7.7265625" customWidth="1"/>
    <col min="16139" max="16139" width="8" customWidth="1"/>
    <col min="16140" max="16140" width="10.54296875" customWidth="1"/>
    <col min="16141" max="16141" width="10.1796875" customWidth="1"/>
    <col min="16143" max="16143" width="8.1796875" customWidth="1"/>
    <col min="16144" max="16146" width="11.1796875" customWidth="1"/>
    <col min="16148" max="16148" width="9.54296875" bestFit="1" customWidth="1"/>
    <col min="16149" max="16149" width="10.1796875" bestFit="1" customWidth="1"/>
    <col min="16150" max="16150" width="10.26953125" bestFit="1" customWidth="1"/>
    <col min="16151" max="16151" width="10.54296875" bestFit="1" customWidth="1"/>
    <col min="16152" max="16152" width="10.1796875" bestFit="1" customWidth="1"/>
  </cols>
  <sheetData>
    <row r="1" spans="1:24" ht="22.5" customHeight="1" x14ac:dyDescent="0.25">
      <c r="A1" s="653" t="s">
        <v>375</v>
      </c>
      <c r="O1" s="127">
        <v>82311</v>
      </c>
    </row>
    <row r="2" spans="1:24" ht="15.75" customHeight="1" x14ac:dyDescent="0.25">
      <c r="A2" s="654" t="s">
        <v>376</v>
      </c>
    </row>
    <row r="3" spans="1:24" ht="26.25" customHeight="1" x14ac:dyDescent="0.25">
      <c r="A3" s="655" t="s">
        <v>377</v>
      </c>
      <c r="B3" s="656" t="s">
        <v>15</v>
      </c>
      <c r="C3" s="657" t="s">
        <v>378</v>
      </c>
      <c r="D3" s="657" t="s">
        <v>379</v>
      </c>
      <c r="E3" s="658" t="s">
        <v>380</v>
      </c>
      <c r="F3" s="659" t="s">
        <v>381</v>
      </c>
      <c r="G3" s="660" t="s">
        <v>382</v>
      </c>
      <c r="H3" s="661" t="s">
        <v>383</v>
      </c>
      <c r="I3" s="659" t="s">
        <v>384</v>
      </c>
      <c r="J3" s="659" t="s">
        <v>385</v>
      </c>
      <c r="K3" s="662" t="s">
        <v>386</v>
      </c>
      <c r="L3" s="659" t="s">
        <v>387</v>
      </c>
      <c r="M3" s="662" t="s">
        <v>388</v>
      </c>
      <c r="N3" s="659" t="s">
        <v>38</v>
      </c>
      <c r="O3" s="662" t="s">
        <v>130</v>
      </c>
      <c r="P3" s="663"/>
      <c r="Q3" s="663"/>
      <c r="R3" s="663"/>
      <c r="S3" s="663"/>
      <c r="T3" s="663"/>
      <c r="U3" s="663"/>
      <c r="V3" s="663"/>
      <c r="W3" s="663"/>
      <c r="X3" s="663"/>
    </row>
    <row r="4" spans="1:24" ht="14.25" customHeight="1" x14ac:dyDescent="0.25">
      <c r="A4" s="354" t="s">
        <v>389</v>
      </c>
      <c r="B4" s="1" t="s">
        <v>316</v>
      </c>
      <c r="C4" t="s">
        <v>390</v>
      </c>
      <c r="D4" t="s">
        <v>391</v>
      </c>
      <c r="E4" s="1" t="s">
        <v>392</v>
      </c>
      <c r="F4" s="14">
        <f>'[2]raw data'!E11</f>
        <v>17238</v>
      </c>
      <c r="G4" s="14">
        <f>'[2]raw data'!F11</f>
        <v>17238</v>
      </c>
      <c r="H4" s="664">
        <f t="shared" ref="H4:H9" si="0">G4/F4</f>
        <v>1</v>
      </c>
      <c r="I4" s="14">
        <f>'[2]raw data'!H11</f>
        <v>4140</v>
      </c>
      <c r="J4" s="180">
        <f t="shared" ref="J4:J9" si="1">I4/G4</f>
        <v>0.24016707274625826</v>
      </c>
      <c r="K4" s="665">
        <f>'[2]raw data'!I11</f>
        <v>4040</v>
      </c>
      <c r="L4" s="14">
        <f>F4-M4</f>
        <v>15320.66</v>
      </c>
      <c r="M4" s="665">
        <f>'[2]raw data'!K11</f>
        <v>1917.34</v>
      </c>
      <c r="N4" s="666">
        <f t="shared" ref="N4:N9" si="2">L4/F4</f>
        <v>0.8887724794059636</v>
      </c>
      <c r="O4" s="667">
        <f t="shared" ref="O4:O9" si="3">M4/F4</f>
        <v>0.11122752059403643</v>
      </c>
      <c r="P4" s="663"/>
      <c r="Q4" s="663"/>
      <c r="R4" s="663"/>
      <c r="S4" s="663"/>
      <c r="T4" s="663"/>
      <c r="U4" s="663"/>
      <c r="V4" s="663"/>
      <c r="W4" s="663"/>
      <c r="X4" s="663"/>
    </row>
    <row r="5" spans="1:24" ht="14.25" customHeight="1" x14ac:dyDescent="0.25">
      <c r="A5" s="354" t="s">
        <v>389</v>
      </c>
      <c r="B5" s="1" t="s">
        <v>316</v>
      </c>
      <c r="C5" t="s">
        <v>393</v>
      </c>
      <c r="D5" t="s">
        <v>391</v>
      </c>
      <c r="E5" s="1" t="s">
        <v>392</v>
      </c>
      <c r="F5" s="14">
        <f>'[2]raw data'!E12</f>
        <v>19972</v>
      </c>
      <c r="G5" s="14">
        <f>'[2]raw data'!F12</f>
        <v>19972</v>
      </c>
      <c r="H5" s="664">
        <f t="shared" si="0"/>
        <v>1</v>
      </c>
      <c r="I5" s="14">
        <f>'[2]raw data'!H12</f>
        <v>6373</v>
      </c>
      <c r="J5" s="180">
        <f t="shared" si="1"/>
        <v>0.31909673542960143</v>
      </c>
      <c r="K5" s="665">
        <f>'[2]raw data'!I12</f>
        <v>6049</v>
      </c>
      <c r="L5" s="14">
        <f>F5-M5</f>
        <v>18902.189999999999</v>
      </c>
      <c r="M5" s="665">
        <f>'[2]raw data'!K12</f>
        <v>1069.81</v>
      </c>
      <c r="N5" s="666">
        <f t="shared" si="2"/>
        <v>0.94643450831163622</v>
      </c>
      <c r="O5" s="667">
        <f t="shared" si="3"/>
        <v>5.3565491688363706E-2</v>
      </c>
      <c r="Q5" s="663"/>
      <c r="R5" s="663"/>
      <c r="S5" s="663"/>
      <c r="T5" s="663"/>
      <c r="U5" s="663"/>
      <c r="V5" s="663"/>
      <c r="W5" s="663"/>
      <c r="X5" s="663"/>
    </row>
    <row r="6" spans="1:24" ht="14.25" customHeight="1" x14ac:dyDescent="0.25">
      <c r="A6" s="354" t="s">
        <v>389</v>
      </c>
      <c r="B6" s="1" t="s">
        <v>316</v>
      </c>
      <c r="C6" t="s">
        <v>394</v>
      </c>
      <c r="D6" t="s">
        <v>391</v>
      </c>
      <c r="E6" s="1" t="s">
        <v>392</v>
      </c>
      <c r="F6" s="14">
        <f>'[2]raw data'!E10</f>
        <v>9095</v>
      </c>
      <c r="G6" s="14">
        <f>'[2]raw data'!F10</f>
        <v>9095</v>
      </c>
      <c r="H6" s="664">
        <f t="shared" si="0"/>
        <v>1</v>
      </c>
      <c r="I6" s="14">
        <f>'[2]raw data'!H10</f>
        <v>2060</v>
      </c>
      <c r="J6" s="180">
        <f t="shared" si="1"/>
        <v>0.22649807586586038</v>
      </c>
      <c r="K6" s="665">
        <f>'[2]raw data'!I10</f>
        <v>2025</v>
      </c>
      <c r="L6" s="14">
        <f>F6-M6</f>
        <v>7179.34</v>
      </c>
      <c r="M6" s="665">
        <f>'[2]raw data'!K10</f>
        <v>1915.66</v>
      </c>
      <c r="N6" s="666">
        <f t="shared" si="2"/>
        <v>0.789372182517867</v>
      </c>
      <c r="O6" s="667">
        <f t="shared" si="3"/>
        <v>0.21062781748213305</v>
      </c>
      <c r="Q6" s="663"/>
      <c r="R6" s="663"/>
      <c r="S6" s="663"/>
      <c r="T6" s="663"/>
      <c r="U6" s="663"/>
      <c r="V6" s="663"/>
      <c r="W6" s="663"/>
      <c r="X6" s="663"/>
    </row>
    <row r="7" spans="1:24" ht="14.25" customHeight="1" x14ac:dyDescent="0.25">
      <c r="A7" s="354" t="s">
        <v>389</v>
      </c>
      <c r="B7" s="1" t="s">
        <v>316</v>
      </c>
      <c r="C7" t="s">
        <v>395</v>
      </c>
      <c r="D7" t="s">
        <v>391</v>
      </c>
      <c r="E7" s="1" t="s">
        <v>392</v>
      </c>
      <c r="F7" s="14">
        <f>'[2]raw data'!E14</f>
        <v>5276</v>
      </c>
      <c r="G7" s="14">
        <f>'[2]raw data'!F14</f>
        <v>5276</v>
      </c>
      <c r="H7" s="664">
        <f t="shared" si="0"/>
        <v>1</v>
      </c>
      <c r="I7" s="14">
        <f>'[2]raw data'!H14</f>
        <v>2747</v>
      </c>
      <c r="J7" s="180">
        <f t="shared" si="1"/>
        <v>0.52065959059893863</v>
      </c>
      <c r="K7" s="665">
        <f>'[2]raw data'!I14</f>
        <v>2707</v>
      </c>
      <c r="L7" s="14">
        <f>F7-M7</f>
        <v>4735.92</v>
      </c>
      <c r="M7" s="665">
        <f>'[2]raw data'!K14</f>
        <v>540.08000000000004</v>
      </c>
      <c r="N7" s="666">
        <f t="shared" si="2"/>
        <v>0.89763457164518579</v>
      </c>
      <c r="O7" s="667">
        <f t="shared" si="3"/>
        <v>0.10236542835481426</v>
      </c>
      <c r="P7" s="663"/>
      <c r="Q7" s="663"/>
      <c r="R7" s="663"/>
      <c r="S7" s="663"/>
      <c r="T7" s="663"/>
      <c r="U7" s="663"/>
      <c r="V7" s="663"/>
      <c r="W7" s="663"/>
      <c r="X7" s="663"/>
    </row>
    <row r="8" spans="1:24" ht="14.25" customHeight="1" x14ac:dyDescent="0.25">
      <c r="A8" s="400" t="s">
        <v>389</v>
      </c>
      <c r="B8" s="111" t="s">
        <v>316</v>
      </c>
      <c r="C8" s="110" t="s">
        <v>396</v>
      </c>
      <c r="D8" s="110" t="s">
        <v>391</v>
      </c>
      <c r="E8" s="111" t="s">
        <v>392</v>
      </c>
      <c r="F8" s="668">
        <f>'[2]raw data'!E13</f>
        <v>146</v>
      </c>
      <c r="G8" s="668">
        <f>'[2]raw data'!F13</f>
        <v>146</v>
      </c>
      <c r="H8" s="669">
        <f t="shared" si="0"/>
        <v>1</v>
      </c>
      <c r="I8" s="668">
        <f>'[2]raw data'!H13</f>
        <v>83</v>
      </c>
      <c r="J8" s="670">
        <f t="shared" si="1"/>
        <v>0.56849315068493156</v>
      </c>
      <c r="K8" s="671">
        <f>'[2]raw data'!I13</f>
        <v>81</v>
      </c>
      <c r="L8" s="668">
        <f>F8-M8</f>
        <v>114.9</v>
      </c>
      <c r="M8" s="671">
        <f>'[2]raw data'!K13</f>
        <v>31.1</v>
      </c>
      <c r="N8" s="672">
        <f t="shared" si="2"/>
        <v>0.78698630136986303</v>
      </c>
      <c r="O8" s="673">
        <f t="shared" si="3"/>
        <v>0.213013698630137</v>
      </c>
      <c r="P8" s="663"/>
      <c r="Q8" s="663"/>
      <c r="R8" s="663"/>
      <c r="S8" s="663"/>
      <c r="T8" s="663"/>
      <c r="U8" s="663"/>
      <c r="V8" s="663"/>
      <c r="W8" s="663"/>
      <c r="X8" s="663"/>
    </row>
    <row r="9" spans="1:24" ht="14.25" customHeight="1" x14ac:dyDescent="0.3">
      <c r="E9" s="88" t="s">
        <v>397</v>
      </c>
      <c r="F9" s="14">
        <f>SUM(F4:F8)</f>
        <v>51727</v>
      </c>
      <c r="G9" s="14">
        <f>SUM(G4:G8)</f>
        <v>51727</v>
      </c>
      <c r="H9" s="664">
        <f t="shared" si="0"/>
        <v>1</v>
      </c>
      <c r="I9" s="14">
        <f>SUM(I4:I8)</f>
        <v>15403</v>
      </c>
      <c r="J9" s="180">
        <f t="shared" si="1"/>
        <v>0.29777485645794266</v>
      </c>
      <c r="K9" s="14">
        <f>SUM(K4:K8)</f>
        <v>14902</v>
      </c>
      <c r="L9" s="674">
        <f>SUM(L4:L8)</f>
        <v>46253.01</v>
      </c>
      <c r="M9" s="665">
        <f>SUM(M4:M8)</f>
        <v>5473.99</v>
      </c>
      <c r="N9" s="666">
        <f t="shared" si="2"/>
        <v>0.89417538229551297</v>
      </c>
      <c r="O9" s="666">
        <f t="shared" si="3"/>
        <v>0.10582461770448702</v>
      </c>
      <c r="P9" s="663"/>
      <c r="Q9" s="663"/>
      <c r="R9" s="663"/>
      <c r="S9" s="663"/>
      <c r="T9" s="663"/>
      <c r="U9" s="663"/>
      <c r="V9" s="663"/>
      <c r="W9" s="663"/>
      <c r="X9" s="663"/>
    </row>
    <row r="10" spans="1:24" ht="14.25" customHeight="1" x14ac:dyDescent="0.3">
      <c r="A10" s="654" t="s">
        <v>398</v>
      </c>
      <c r="E10" s="11"/>
      <c r="F10" s="14"/>
      <c r="G10" s="14"/>
      <c r="H10" s="180"/>
      <c r="I10" s="14"/>
      <c r="J10" s="180"/>
      <c r="K10" s="14"/>
      <c r="L10" s="14"/>
      <c r="M10" s="14"/>
      <c r="N10" s="666"/>
      <c r="O10" s="666"/>
      <c r="P10" s="663"/>
      <c r="Q10" s="663"/>
      <c r="R10" s="663"/>
      <c r="S10" s="663"/>
      <c r="T10" s="663"/>
      <c r="U10" s="663"/>
      <c r="V10" s="663"/>
      <c r="W10" s="663"/>
      <c r="X10" s="663"/>
    </row>
    <row r="11" spans="1:24" ht="27" customHeight="1" x14ac:dyDescent="0.25">
      <c r="A11" s="655" t="s">
        <v>377</v>
      </c>
      <c r="B11" s="656" t="s">
        <v>15</v>
      </c>
      <c r="C11" s="657" t="s">
        <v>378</v>
      </c>
      <c r="D11" s="657" t="s">
        <v>379</v>
      </c>
      <c r="E11" s="658" t="s">
        <v>380</v>
      </c>
      <c r="F11" s="675" t="s">
        <v>381</v>
      </c>
      <c r="G11" s="676" t="s">
        <v>382</v>
      </c>
      <c r="H11" s="661" t="s">
        <v>383</v>
      </c>
      <c r="I11" s="675" t="s">
        <v>384</v>
      </c>
      <c r="J11" s="659" t="s">
        <v>385</v>
      </c>
      <c r="K11" s="677" t="s">
        <v>386</v>
      </c>
      <c r="L11" s="678" t="s">
        <v>387</v>
      </c>
      <c r="M11" s="675" t="s">
        <v>388</v>
      </c>
      <c r="N11" s="661" t="s">
        <v>38</v>
      </c>
      <c r="O11" s="662" t="s">
        <v>130</v>
      </c>
    </row>
    <row r="12" spans="1:24" ht="14.25" customHeight="1" x14ac:dyDescent="0.25">
      <c r="A12" s="354" t="s">
        <v>389</v>
      </c>
      <c r="B12" s="1" t="s">
        <v>321</v>
      </c>
      <c r="C12" t="s">
        <v>399</v>
      </c>
      <c r="D12" t="s">
        <v>400</v>
      </c>
      <c r="E12" s="1" t="s">
        <v>392</v>
      </c>
      <c r="F12" s="14">
        <f>'[2]raw data'!E22</f>
        <v>16372</v>
      </c>
      <c r="G12" s="14">
        <f>'[2]raw data'!F22</f>
        <v>1415</v>
      </c>
      <c r="H12" s="664">
        <f t="shared" ref="H12:H20" si="4">G12/F12</f>
        <v>8.6428047886635717E-2</v>
      </c>
      <c r="I12" s="14">
        <f>'[2]raw data'!H22</f>
        <v>130</v>
      </c>
      <c r="J12" s="180">
        <f t="shared" ref="J12:J21" si="5">I12/G12</f>
        <v>9.187279151943463E-2</v>
      </c>
      <c r="K12" s="14">
        <f>'[2]raw data'!I22</f>
        <v>117</v>
      </c>
      <c r="L12" s="679">
        <f t="shared" ref="L12:L20" si="6">F12-M12</f>
        <v>3226.3899999999994</v>
      </c>
      <c r="M12" s="14">
        <f>'[2]raw data'!K22</f>
        <v>13145.61</v>
      </c>
      <c r="N12" s="680">
        <f t="shared" ref="N12:N20" si="7">L12/F12</f>
        <v>0.19706755436110429</v>
      </c>
      <c r="O12" s="667">
        <f t="shared" ref="O12:O20" si="8">M12/F12</f>
        <v>0.80293244563889576</v>
      </c>
    </row>
    <row r="13" spans="1:24" ht="14.25" customHeight="1" x14ac:dyDescent="0.25">
      <c r="A13" s="354" t="s">
        <v>389</v>
      </c>
      <c r="B13" s="1" t="s">
        <v>321</v>
      </c>
      <c r="C13" t="s">
        <v>401</v>
      </c>
      <c r="D13" t="s">
        <v>400</v>
      </c>
      <c r="E13" s="1" t="s">
        <v>392</v>
      </c>
      <c r="F13" s="14">
        <f>'[2]raw data'!E17</f>
        <v>7192</v>
      </c>
      <c r="G13" s="14">
        <f>'[2]raw data'!F17</f>
        <v>1496</v>
      </c>
      <c r="H13" s="664">
        <f t="shared" si="4"/>
        <v>0.20800889877641823</v>
      </c>
      <c r="I13" s="14">
        <f>'[2]raw data'!H17</f>
        <v>19</v>
      </c>
      <c r="J13" s="180">
        <f t="shared" si="5"/>
        <v>1.2700534759358289E-2</v>
      </c>
      <c r="K13" s="14">
        <f>'[2]raw data'!I17</f>
        <v>19</v>
      </c>
      <c r="L13" s="679">
        <f t="shared" si="6"/>
        <v>301.22999999999956</v>
      </c>
      <c r="M13" s="14">
        <f>'[2]raw data'!K17</f>
        <v>6890.77</v>
      </c>
      <c r="N13" s="680">
        <f t="shared" si="7"/>
        <v>4.188403781979972E-2</v>
      </c>
      <c r="O13" s="667">
        <f t="shared" si="8"/>
        <v>0.95811596218020023</v>
      </c>
    </row>
    <row r="14" spans="1:24" ht="14.25" customHeight="1" x14ac:dyDescent="0.25">
      <c r="A14" s="354" t="s">
        <v>389</v>
      </c>
      <c r="B14" s="1" t="s">
        <v>321</v>
      </c>
      <c r="C14" t="s">
        <v>402</v>
      </c>
      <c r="D14" t="s">
        <v>400</v>
      </c>
      <c r="E14" s="1" t="s">
        <v>392</v>
      </c>
      <c r="F14" s="14">
        <f>'[2]raw data'!E16</f>
        <v>370</v>
      </c>
      <c r="G14" s="14">
        <f>'[2]raw data'!F16</f>
        <v>83</v>
      </c>
      <c r="H14" s="664">
        <f t="shared" si="4"/>
        <v>0.22432432432432434</v>
      </c>
      <c r="I14" s="14">
        <f>'[2]raw data'!H16</f>
        <v>3</v>
      </c>
      <c r="J14" s="180">
        <f t="shared" si="5"/>
        <v>3.614457831325301E-2</v>
      </c>
      <c r="K14" s="14">
        <f>'[2]raw data'!I16</f>
        <v>3</v>
      </c>
      <c r="L14" s="679">
        <f t="shared" si="6"/>
        <v>40.180000000000007</v>
      </c>
      <c r="M14" s="14">
        <f>'[2]raw data'!K16</f>
        <v>329.82</v>
      </c>
      <c r="N14" s="680">
        <f t="shared" si="7"/>
        <v>0.10859459459459461</v>
      </c>
      <c r="O14" s="667">
        <f t="shared" si="8"/>
        <v>0.89140540540540536</v>
      </c>
    </row>
    <row r="15" spans="1:24" ht="15" customHeight="1" x14ac:dyDescent="0.25">
      <c r="A15" s="354" t="s">
        <v>389</v>
      </c>
      <c r="B15" s="1" t="s">
        <v>321</v>
      </c>
      <c r="C15" t="s">
        <v>403</v>
      </c>
      <c r="D15" t="s">
        <v>404</v>
      </c>
      <c r="E15" s="1" t="s">
        <v>392</v>
      </c>
      <c r="F15" s="14">
        <f>'[2]raw data'!E21</f>
        <v>144</v>
      </c>
      <c r="G15" s="14">
        <f>'[2]raw data'!F21</f>
        <v>144</v>
      </c>
      <c r="H15" s="664">
        <f t="shared" si="4"/>
        <v>1</v>
      </c>
      <c r="I15" s="14">
        <f>'[2]raw data'!H21</f>
        <v>1</v>
      </c>
      <c r="J15" s="180">
        <f t="shared" si="5"/>
        <v>6.9444444444444441E-3</v>
      </c>
      <c r="K15" s="14">
        <f>'[2]raw data'!I21</f>
        <v>1</v>
      </c>
      <c r="L15" s="679">
        <f t="shared" si="6"/>
        <v>4.0500000000000114</v>
      </c>
      <c r="M15" s="14">
        <f>'[2]raw data'!K21</f>
        <v>139.94999999999999</v>
      </c>
      <c r="N15" s="680">
        <f t="shared" si="7"/>
        <v>2.812500000000008E-2</v>
      </c>
      <c r="O15" s="667">
        <f t="shared" si="8"/>
        <v>0.97187499999999993</v>
      </c>
    </row>
    <row r="16" spans="1:24" ht="14.25" customHeight="1" x14ac:dyDescent="0.25">
      <c r="A16" s="354" t="s">
        <v>389</v>
      </c>
      <c r="B16" s="1" t="s">
        <v>321</v>
      </c>
      <c r="C16" t="s">
        <v>405</v>
      </c>
      <c r="D16" t="s">
        <v>404</v>
      </c>
      <c r="E16" s="1" t="s">
        <v>392</v>
      </c>
      <c r="F16" s="14">
        <f>'[2]raw data'!E18</f>
        <v>166</v>
      </c>
      <c r="G16" s="14">
        <f>'[2]raw data'!F18</f>
        <v>166</v>
      </c>
      <c r="H16" s="664">
        <f t="shared" si="4"/>
        <v>1</v>
      </c>
      <c r="I16" s="14">
        <f>'[2]raw data'!H18</f>
        <v>2</v>
      </c>
      <c r="J16" s="180">
        <f t="shared" si="5"/>
        <v>1.2048192771084338E-2</v>
      </c>
      <c r="K16" s="14">
        <f>'[2]raw data'!I18</f>
        <v>2</v>
      </c>
      <c r="L16" s="679">
        <f t="shared" si="6"/>
        <v>5.1100000000000136</v>
      </c>
      <c r="M16" s="14">
        <f>'[2]raw data'!K18</f>
        <v>160.88999999999999</v>
      </c>
      <c r="N16" s="680">
        <f t="shared" si="7"/>
        <v>3.0783132530120563E-2</v>
      </c>
      <c r="O16" s="667">
        <f t="shared" si="8"/>
        <v>0.96921686746987945</v>
      </c>
    </row>
    <row r="17" spans="1:15" ht="14.25" customHeight="1" x14ac:dyDescent="0.25">
      <c r="A17" s="354" t="s">
        <v>389</v>
      </c>
      <c r="B17" s="1" t="s">
        <v>321</v>
      </c>
      <c r="C17" t="s">
        <v>117</v>
      </c>
      <c r="D17" t="s">
        <v>400</v>
      </c>
      <c r="E17" s="1" t="s">
        <v>392</v>
      </c>
      <c r="F17" s="14">
        <f>'[2]raw data'!E19</f>
        <v>44914</v>
      </c>
      <c r="G17" s="14">
        <f>'[2]raw data'!F19</f>
        <v>5077</v>
      </c>
      <c r="H17" s="664">
        <f t="shared" si="4"/>
        <v>0.11303825087945853</v>
      </c>
      <c r="I17" s="14">
        <v>1388</v>
      </c>
      <c r="J17" s="180">
        <f t="shared" si="5"/>
        <v>0.27338979712428602</v>
      </c>
      <c r="K17" s="14">
        <f>'[2]raw data'!I19</f>
        <v>1276</v>
      </c>
      <c r="L17" s="679">
        <f t="shared" si="6"/>
        <v>34980.6</v>
      </c>
      <c r="M17" s="14">
        <f>'[2]raw data'!K19</f>
        <v>9933.4</v>
      </c>
      <c r="N17" s="680">
        <f t="shared" si="7"/>
        <v>0.77883510709355652</v>
      </c>
      <c r="O17" s="667">
        <f t="shared" si="8"/>
        <v>0.22116489290644342</v>
      </c>
    </row>
    <row r="18" spans="1:15" ht="14.25" customHeight="1" x14ac:dyDescent="0.25">
      <c r="A18" s="354" t="s">
        <v>389</v>
      </c>
      <c r="B18" s="1" t="s">
        <v>321</v>
      </c>
      <c r="C18" t="s">
        <v>406</v>
      </c>
      <c r="D18" t="s">
        <v>400</v>
      </c>
      <c r="E18" s="1" t="s">
        <v>392</v>
      </c>
      <c r="F18" s="14">
        <f>'[2]raw data'!E20</f>
        <v>13097</v>
      </c>
      <c r="G18" s="14">
        <f>'[2]raw data'!F20</f>
        <v>789</v>
      </c>
      <c r="H18" s="664">
        <f t="shared" si="4"/>
        <v>6.0242803695502785E-2</v>
      </c>
      <c r="I18" s="14">
        <f>'[2]raw data'!H20</f>
        <v>341</v>
      </c>
      <c r="J18" s="180">
        <f t="shared" si="5"/>
        <v>0.43219264892268694</v>
      </c>
      <c r="K18" s="14">
        <f>'[2]raw data'!I20</f>
        <v>330</v>
      </c>
      <c r="L18" s="679">
        <f t="shared" si="6"/>
        <v>9247.82</v>
      </c>
      <c r="M18" s="14">
        <f>'[2]raw data'!K20</f>
        <v>3849.18</v>
      </c>
      <c r="N18" s="680">
        <f t="shared" si="7"/>
        <v>0.70610216080018318</v>
      </c>
      <c r="O18" s="667">
        <f t="shared" si="8"/>
        <v>0.29389783919981671</v>
      </c>
    </row>
    <row r="19" spans="1:15" ht="14.25" customHeight="1" x14ac:dyDescent="0.25">
      <c r="A19" s="354" t="s">
        <v>389</v>
      </c>
      <c r="B19" s="1" t="s">
        <v>321</v>
      </c>
      <c r="C19" t="s">
        <v>119</v>
      </c>
      <c r="D19" t="s">
        <v>400</v>
      </c>
      <c r="E19" s="1" t="s">
        <v>392</v>
      </c>
      <c r="F19" s="14">
        <f>'[2]raw data'!E15</f>
        <v>7573</v>
      </c>
      <c r="G19" s="14">
        <f>'[2]raw data'!F15</f>
        <v>1435</v>
      </c>
      <c r="H19" s="664">
        <f t="shared" si="4"/>
        <v>0.18948897398653108</v>
      </c>
      <c r="I19" s="14">
        <f>'[2]raw data'!H15</f>
        <v>142</v>
      </c>
      <c r="J19" s="180">
        <f t="shared" si="5"/>
        <v>9.8954703832752608E-2</v>
      </c>
      <c r="K19" s="14">
        <f>'[2]raw data'!I15</f>
        <v>134</v>
      </c>
      <c r="L19" s="679">
        <f t="shared" si="6"/>
        <v>2438.5100000000002</v>
      </c>
      <c r="M19" s="14">
        <f>'[2]raw data'!K15</f>
        <v>5134.49</v>
      </c>
      <c r="N19" s="680">
        <f t="shared" si="7"/>
        <v>0.32200052819226199</v>
      </c>
      <c r="O19" s="667">
        <f t="shared" si="8"/>
        <v>0.67799947180773801</v>
      </c>
    </row>
    <row r="20" spans="1:15" ht="14.25" customHeight="1" x14ac:dyDescent="0.25">
      <c r="A20" s="400" t="s">
        <v>389</v>
      </c>
      <c r="B20" s="111" t="s">
        <v>407</v>
      </c>
      <c r="C20" s="110" t="s">
        <v>318</v>
      </c>
      <c r="D20" s="110" t="s">
        <v>391</v>
      </c>
      <c r="E20" s="111" t="s">
        <v>392</v>
      </c>
      <c r="F20" s="668">
        <f>'[2]raw data'!E27</f>
        <v>7115</v>
      </c>
      <c r="G20" s="668">
        <f>'[2]raw data'!F27</f>
        <v>7115</v>
      </c>
      <c r="H20" s="669">
        <f t="shared" si="4"/>
        <v>1</v>
      </c>
      <c r="I20" s="668">
        <f>'[2]raw data'!H27</f>
        <v>999</v>
      </c>
      <c r="J20" s="670">
        <f t="shared" si="5"/>
        <v>0.1404075895994378</v>
      </c>
      <c r="K20" s="668">
        <f>'[2]raw data'!I27</f>
        <v>948</v>
      </c>
      <c r="L20" s="681">
        <f t="shared" si="6"/>
        <v>2684.49</v>
      </c>
      <c r="M20" s="668">
        <f>'[2]raw data'!K27</f>
        <v>4430.51</v>
      </c>
      <c r="N20" s="682">
        <f t="shared" si="7"/>
        <v>0.37730007027406881</v>
      </c>
      <c r="O20" s="673">
        <f t="shared" si="8"/>
        <v>0.62269992972593113</v>
      </c>
    </row>
    <row r="21" spans="1:15" ht="14.25" customHeight="1" x14ac:dyDescent="0.3">
      <c r="E21" s="88" t="s">
        <v>408</v>
      </c>
      <c r="F21" s="14">
        <f>SUM(F12:F20)</f>
        <v>96943</v>
      </c>
      <c r="G21" s="14">
        <f t="shared" ref="G21:M21" si="9">SUM(G12:G20)</f>
        <v>17720</v>
      </c>
      <c r="H21" s="664">
        <f>G21/F21</f>
        <v>0.18278782377273242</v>
      </c>
      <c r="I21" s="14">
        <f>SUM(I12:I20)</f>
        <v>3025</v>
      </c>
      <c r="J21" s="180">
        <f t="shared" si="5"/>
        <v>0.17071106094808128</v>
      </c>
      <c r="K21" s="14">
        <f t="shared" si="9"/>
        <v>2830</v>
      </c>
      <c r="L21" s="674">
        <f>SUM(L12:L20)</f>
        <v>52928.38</v>
      </c>
      <c r="M21" s="683">
        <f t="shared" si="9"/>
        <v>44014.62</v>
      </c>
      <c r="N21" s="666">
        <f>L21/F21</f>
        <v>0.54597423228082476</v>
      </c>
      <c r="O21" s="666">
        <f>M21/F21</f>
        <v>0.45402576771917519</v>
      </c>
    </row>
    <row r="22" spans="1:15" ht="14.25" customHeight="1" x14ac:dyDescent="0.25">
      <c r="A22" s="654" t="s">
        <v>409</v>
      </c>
    </row>
    <row r="23" spans="1:15" ht="25.5" customHeight="1" x14ac:dyDescent="0.25">
      <c r="A23" s="655" t="s">
        <v>377</v>
      </c>
      <c r="B23" s="656" t="s">
        <v>15</v>
      </c>
      <c r="C23" s="657" t="s">
        <v>378</v>
      </c>
      <c r="D23" s="657" t="s">
        <v>379</v>
      </c>
      <c r="E23" s="658" t="s">
        <v>380</v>
      </c>
      <c r="F23" s="675" t="s">
        <v>381</v>
      </c>
      <c r="G23" s="676" t="s">
        <v>382</v>
      </c>
      <c r="H23" s="661" t="s">
        <v>383</v>
      </c>
      <c r="I23" s="675" t="s">
        <v>384</v>
      </c>
      <c r="J23" s="659" t="s">
        <v>385</v>
      </c>
      <c r="K23" s="675" t="s">
        <v>386</v>
      </c>
      <c r="L23" s="678" t="s">
        <v>387</v>
      </c>
      <c r="M23" s="675" t="s">
        <v>388</v>
      </c>
      <c r="N23" s="661" t="s">
        <v>38</v>
      </c>
      <c r="O23" s="662" t="s">
        <v>130</v>
      </c>
    </row>
    <row r="24" spans="1:15" ht="15" customHeight="1" x14ac:dyDescent="0.25">
      <c r="A24" s="354" t="s">
        <v>389</v>
      </c>
      <c r="B24" s="1" t="s">
        <v>321</v>
      </c>
      <c r="C24" t="s">
        <v>410</v>
      </c>
      <c r="D24" t="s">
        <v>411</v>
      </c>
      <c r="E24" s="1" t="s">
        <v>392</v>
      </c>
      <c r="F24" s="14">
        <f>'[2]raw data'!E24</f>
        <v>1920</v>
      </c>
      <c r="G24" s="14">
        <f>'[2]raw data'!F24</f>
        <v>1920</v>
      </c>
      <c r="H24" s="664">
        <f t="shared" ref="H24:H29" si="10">G24/F24</f>
        <v>1</v>
      </c>
      <c r="I24" s="14">
        <f>'[2]raw data'!H24</f>
        <v>820</v>
      </c>
      <c r="J24" s="180">
        <f t="shared" ref="J24:J29" si="11">I24/G24</f>
        <v>0.42708333333333331</v>
      </c>
      <c r="K24" s="14">
        <f>'[2]raw data'!I24</f>
        <v>808</v>
      </c>
      <c r="L24" s="679">
        <f>F24-M24</f>
        <v>1409.05</v>
      </c>
      <c r="M24" s="14">
        <f>'[2]raw data'!K24</f>
        <v>510.95</v>
      </c>
      <c r="N24" s="680">
        <f t="shared" ref="N24:N29" si="12">L24/F24</f>
        <v>0.73388020833333334</v>
      </c>
      <c r="O24" s="667">
        <f t="shared" ref="O24:O29" si="13">M24/F24</f>
        <v>0.26611979166666666</v>
      </c>
    </row>
    <row r="25" spans="1:15" ht="15" customHeight="1" x14ac:dyDescent="0.25">
      <c r="A25" s="354" t="s">
        <v>389</v>
      </c>
      <c r="B25" s="1" t="s">
        <v>407</v>
      </c>
      <c r="C25" t="s">
        <v>412</v>
      </c>
      <c r="D25" t="s">
        <v>391</v>
      </c>
      <c r="E25" s="1" t="s">
        <v>392</v>
      </c>
      <c r="F25" s="14">
        <f>'[2]raw data'!E28</f>
        <v>244</v>
      </c>
      <c r="G25" s="14">
        <f>'[2]raw data'!F28</f>
        <v>244</v>
      </c>
      <c r="H25" s="664">
        <f t="shared" si="10"/>
        <v>1</v>
      </c>
      <c r="I25" s="14">
        <f>'[2]raw data'!H28</f>
        <v>119</v>
      </c>
      <c r="J25" s="180">
        <f t="shared" si="11"/>
        <v>0.48770491803278687</v>
      </c>
      <c r="K25" s="14">
        <f>'[2]raw data'!I28</f>
        <v>115</v>
      </c>
      <c r="L25" s="679">
        <f>F25-M25</f>
        <v>180.52</v>
      </c>
      <c r="M25" s="14">
        <f>'[2]raw data'!K28</f>
        <v>63.48</v>
      </c>
      <c r="N25" s="680">
        <f t="shared" si="12"/>
        <v>0.73983606557377057</v>
      </c>
      <c r="O25" s="667">
        <f t="shared" si="13"/>
        <v>0.26016393442622948</v>
      </c>
    </row>
    <row r="26" spans="1:15" ht="15" customHeight="1" x14ac:dyDescent="0.25">
      <c r="A26" s="354" t="s">
        <v>389</v>
      </c>
      <c r="B26" s="1" t="s">
        <v>321</v>
      </c>
      <c r="C26" t="s">
        <v>413</v>
      </c>
      <c r="D26" t="s">
        <v>400</v>
      </c>
      <c r="E26" s="1" t="s">
        <v>392</v>
      </c>
      <c r="F26" s="14">
        <f>'[2]raw data'!E23</f>
        <v>651</v>
      </c>
      <c r="G26" s="14">
        <f>'[2]raw data'!F23</f>
        <v>132</v>
      </c>
      <c r="H26" s="664">
        <f t="shared" si="10"/>
        <v>0.20276497695852536</v>
      </c>
      <c r="I26" s="14">
        <f>'[2]raw data'!H23</f>
        <v>49</v>
      </c>
      <c r="J26" s="180">
        <f t="shared" si="11"/>
        <v>0.37121212121212122</v>
      </c>
      <c r="K26" s="14">
        <f>'[2]raw data'!I23</f>
        <v>46</v>
      </c>
      <c r="L26" s="679">
        <f>F26-M26</f>
        <v>506.93</v>
      </c>
      <c r="M26" s="14">
        <f>'[2]raw data'!K23</f>
        <v>144.07</v>
      </c>
      <c r="N26" s="680">
        <f t="shared" si="12"/>
        <v>0.77869431643625198</v>
      </c>
      <c r="O26" s="667">
        <f t="shared" si="13"/>
        <v>0.22130568356374808</v>
      </c>
    </row>
    <row r="27" spans="1:15" ht="15" customHeight="1" x14ac:dyDescent="0.25">
      <c r="A27" s="354" t="s">
        <v>389</v>
      </c>
      <c r="B27" s="1" t="s">
        <v>321</v>
      </c>
      <c r="C27" t="s">
        <v>97</v>
      </c>
      <c r="D27" t="s">
        <v>400</v>
      </c>
      <c r="E27" s="1" t="s">
        <v>392</v>
      </c>
      <c r="F27" s="14">
        <f>'[2]raw data'!E25</f>
        <v>1086</v>
      </c>
      <c r="G27" s="14">
        <f>'[2]raw data'!F25</f>
        <v>155</v>
      </c>
      <c r="H27" s="664">
        <f t="shared" si="10"/>
        <v>0.1427255985267035</v>
      </c>
      <c r="I27" s="14">
        <f>'[2]raw data'!H25</f>
        <v>38</v>
      </c>
      <c r="J27" s="180">
        <f t="shared" si="11"/>
        <v>0.24516129032258063</v>
      </c>
      <c r="K27" s="14">
        <f>'[2]raw data'!I25</f>
        <v>36</v>
      </c>
      <c r="L27" s="679">
        <f>F27-M27</f>
        <v>544.17999999999995</v>
      </c>
      <c r="M27" s="14">
        <f>'[2]raw data'!K25</f>
        <v>541.82000000000005</v>
      </c>
      <c r="N27" s="680">
        <f t="shared" si="12"/>
        <v>0.5010865561694291</v>
      </c>
      <c r="O27" s="667">
        <f t="shared" si="13"/>
        <v>0.49891344383057096</v>
      </c>
    </row>
    <row r="28" spans="1:15" ht="15" customHeight="1" x14ac:dyDescent="0.25">
      <c r="A28" s="400" t="s">
        <v>389</v>
      </c>
      <c r="B28" s="111" t="s">
        <v>321</v>
      </c>
      <c r="C28" s="110" t="s">
        <v>99</v>
      </c>
      <c r="D28" s="110" t="s">
        <v>400</v>
      </c>
      <c r="E28" s="111" t="s">
        <v>392</v>
      </c>
      <c r="F28" s="668">
        <f>'[2]raw data'!E26</f>
        <v>540</v>
      </c>
      <c r="G28" s="668">
        <f>'[2]raw data'!F26</f>
        <v>85</v>
      </c>
      <c r="H28" s="669">
        <f t="shared" si="10"/>
        <v>0.15740740740740741</v>
      </c>
      <c r="I28" s="668">
        <f>'[2]raw data'!H26</f>
        <v>27</v>
      </c>
      <c r="J28" s="670">
        <f t="shared" si="11"/>
        <v>0.31764705882352939</v>
      </c>
      <c r="K28" s="668">
        <f>'[2]raw data'!I26</f>
        <v>24</v>
      </c>
      <c r="L28" s="681">
        <f>F28-M28</f>
        <v>264.26</v>
      </c>
      <c r="M28" s="668">
        <f>'[2]raw data'!K26</f>
        <v>275.74</v>
      </c>
      <c r="N28" s="682">
        <f t="shared" si="12"/>
        <v>0.48937037037037034</v>
      </c>
      <c r="O28" s="673">
        <f t="shared" si="13"/>
        <v>0.51062962962962966</v>
      </c>
    </row>
    <row r="29" spans="1:15" ht="14.25" customHeight="1" x14ac:dyDescent="0.3">
      <c r="E29" s="88" t="s">
        <v>414</v>
      </c>
      <c r="F29" s="14">
        <f>SUM(F24:F28)</f>
        <v>4441</v>
      </c>
      <c r="G29" s="14">
        <f t="shared" ref="G29:M29" si="14">SUM(G24:G28)</f>
        <v>2536</v>
      </c>
      <c r="H29" s="664">
        <f t="shared" si="10"/>
        <v>0.57104255798243642</v>
      </c>
      <c r="I29" s="14">
        <f>SUM(I24:I28)</f>
        <v>1053</v>
      </c>
      <c r="J29" s="180">
        <f t="shared" si="11"/>
        <v>0.41522082018927448</v>
      </c>
      <c r="K29" s="14">
        <f t="shared" si="14"/>
        <v>1029</v>
      </c>
      <c r="L29" s="674">
        <f t="shared" si="14"/>
        <v>2904.9399999999996</v>
      </c>
      <c r="M29" s="683">
        <f t="shared" si="14"/>
        <v>1536.0600000000002</v>
      </c>
      <c r="N29" s="666">
        <f t="shared" si="12"/>
        <v>0.65411844179238898</v>
      </c>
      <c r="O29" s="666">
        <f t="shared" si="13"/>
        <v>0.34588155820761096</v>
      </c>
    </row>
    <row r="30" spans="1:15" ht="14.25" customHeight="1" x14ac:dyDescent="0.35">
      <c r="A30" s="684" t="s">
        <v>415</v>
      </c>
    </row>
    <row r="31" spans="1:15" ht="26.25" customHeight="1" x14ac:dyDescent="0.25">
      <c r="A31" s="655" t="s">
        <v>377</v>
      </c>
      <c r="B31" s="656" t="s">
        <v>15</v>
      </c>
      <c r="C31" s="657" t="s">
        <v>378</v>
      </c>
      <c r="D31" s="657" t="s">
        <v>379</v>
      </c>
      <c r="E31" s="658" t="s">
        <v>380</v>
      </c>
      <c r="F31" s="675" t="s">
        <v>381</v>
      </c>
      <c r="G31" s="676" t="s">
        <v>382</v>
      </c>
      <c r="H31" s="661" t="s">
        <v>383</v>
      </c>
      <c r="I31" s="675" t="s">
        <v>384</v>
      </c>
      <c r="J31" s="659" t="s">
        <v>385</v>
      </c>
      <c r="K31" s="677" t="s">
        <v>386</v>
      </c>
      <c r="L31" s="675" t="s">
        <v>387</v>
      </c>
      <c r="M31" s="675" t="s">
        <v>388</v>
      </c>
      <c r="N31" s="661" t="s">
        <v>38</v>
      </c>
      <c r="O31" s="662" t="s">
        <v>130</v>
      </c>
    </row>
    <row r="32" spans="1:15" ht="14.25" customHeight="1" x14ac:dyDescent="0.25">
      <c r="A32" s="329" t="s">
        <v>389</v>
      </c>
      <c r="B32" s="7" t="s">
        <v>316</v>
      </c>
      <c r="C32" s="6" t="s">
        <v>416</v>
      </c>
      <c r="D32" s="6" t="s">
        <v>391</v>
      </c>
      <c r="E32" s="7" t="s">
        <v>417</v>
      </c>
      <c r="F32" s="685">
        <f>'[2]raw data'!E30</f>
        <v>5505</v>
      </c>
      <c r="G32" s="686">
        <f>'[2]raw data'!F30</f>
        <v>5505</v>
      </c>
      <c r="H32" s="687">
        <f>G32/F32</f>
        <v>1</v>
      </c>
      <c r="I32" s="686">
        <f>'[2]raw data'!H30</f>
        <v>5391</v>
      </c>
      <c r="J32" s="688">
        <f>I32/G32</f>
        <v>0.97929155313351501</v>
      </c>
      <c r="K32" s="689">
        <f>'[2]raw data'!I30</f>
        <v>5258</v>
      </c>
      <c r="L32" s="674">
        <f>F32-M32</f>
        <v>5478.13</v>
      </c>
      <c r="M32" s="686">
        <f>'[2]raw data'!K30</f>
        <v>26.87</v>
      </c>
      <c r="N32" s="690"/>
      <c r="O32" s="691"/>
    </row>
    <row r="33" spans="1:15" ht="14.25" customHeight="1" x14ac:dyDescent="0.25">
      <c r="A33" s="354" t="s">
        <v>389</v>
      </c>
      <c r="B33" s="1" t="s">
        <v>321</v>
      </c>
      <c r="C33" t="s">
        <v>418</v>
      </c>
      <c r="D33" t="s">
        <v>419</v>
      </c>
      <c r="E33" s="1" t="s">
        <v>417</v>
      </c>
      <c r="F33" s="14">
        <f>'[2]raw data'!E31</f>
        <v>162</v>
      </c>
      <c r="G33" s="14">
        <f>'[2]raw data'!F31</f>
        <v>162</v>
      </c>
      <c r="H33" s="664">
        <f t="shared" ref="H33:H39" si="15">G33/F33</f>
        <v>1</v>
      </c>
      <c r="I33" s="14">
        <f>'[2]raw data'!H31</f>
        <v>37</v>
      </c>
      <c r="J33" s="180">
        <f>I33/G33</f>
        <v>0.22839506172839505</v>
      </c>
      <c r="K33" s="665">
        <f>'[2]raw data'!I31</f>
        <v>37</v>
      </c>
      <c r="L33" s="679">
        <f>F33-M33</f>
        <v>38.61</v>
      </c>
      <c r="M33" s="14">
        <f>'[2]raw data'!K31</f>
        <v>123.39</v>
      </c>
      <c r="N33" s="680">
        <f>L33/F33</f>
        <v>0.23833333333333334</v>
      </c>
      <c r="O33" s="667">
        <f t="shared" ref="O33:O39" si="16">M33/F33</f>
        <v>0.76166666666666671</v>
      </c>
    </row>
    <row r="34" spans="1:15" ht="14.25" customHeight="1" x14ac:dyDescent="0.25">
      <c r="A34" s="354" t="s">
        <v>389</v>
      </c>
      <c r="B34" s="1" t="s">
        <v>321</v>
      </c>
      <c r="C34" t="s">
        <v>420</v>
      </c>
      <c r="D34" t="s">
        <v>400</v>
      </c>
      <c r="E34" s="1" t="s">
        <v>417</v>
      </c>
      <c r="F34" s="14">
        <f>'[2]raw data'!E32</f>
        <v>4282</v>
      </c>
      <c r="G34" s="14">
        <f>'[2]raw data'!F32</f>
        <v>811</v>
      </c>
      <c r="H34" s="664">
        <f t="shared" si="15"/>
        <v>0.18939747781410557</v>
      </c>
      <c r="I34" s="14">
        <f>'[2]raw data'!H32</f>
        <v>47</v>
      </c>
      <c r="J34" s="180">
        <f>I34/G34</f>
        <v>5.7953144266337853E-2</v>
      </c>
      <c r="K34" s="665">
        <f>'[2]raw data'!I32</f>
        <v>43</v>
      </c>
      <c r="L34" s="679">
        <f>F34-M34</f>
        <v>249.73000000000002</v>
      </c>
      <c r="M34" s="14">
        <f>'[2]raw data'!K32</f>
        <v>4032.27</v>
      </c>
      <c r="N34" s="680">
        <f>L34/F34</f>
        <v>5.8320878094348438E-2</v>
      </c>
      <c r="O34" s="667">
        <f t="shared" si="16"/>
        <v>0.94167912190565151</v>
      </c>
    </row>
    <row r="35" spans="1:15" ht="14.25" customHeight="1" x14ac:dyDescent="0.25">
      <c r="A35" s="354" t="s">
        <v>389</v>
      </c>
      <c r="B35" s="1" t="s">
        <v>321</v>
      </c>
      <c r="C35" t="s">
        <v>421</v>
      </c>
      <c r="D35" t="s">
        <v>400</v>
      </c>
      <c r="E35" s="1" t="s">
        <v>422</v>
      </c>
      <c r="F35" s="14">
        <f>'[2]raw data'!E4</f>
        <v>1979</v>
      </c>
      <c r="G35" s="14">
        <f>'[2]raw data'!F4</f>
        <v>1113</v>
      </c>
      <c r="H35" s="664">
        <f t="shared" si="15"/>
        <v>0.56240525517938356</v>
      </c>
      <c r="I35" s="14">
        <f>'[2]raw data'!H4</f>
        <v>21</v>
      </c>
      <c r="J35" s="180">
        <f>I35/G35</f>
        <v>1.8867924528301886E-2</v>
      </c>
      <c r="K35" s="665">
        <f>'[2]raw data'!I4</f>
        <v>16</v>
      </c>
      <c r="L35" s="679">
        <f>F35-M35</f>
        <v>29.1400000000001</v>
      </c>
      <c r="M35" s="14">
        <f>'[2]raw data'!K4</f>
        <v>1949.86</v>
      </c>
      <c r="N35" s="680">
        <f>L35/F35</f>
        <v>1.4724608388074836E-2</v>
      </c>
      <c r="O35" s="667">
        <f t="shared" si="16"/>
        <v>0.98527539161192512</v>
      </c>
    </row>
    <row r="36" spans="1:15" ht="15" customHeight="1" x14ac:dyDescent="0.25">
      <c r="A36" s="354" t="s">
        <v>389</v>
      </c>
      <c r="B36" s="1" t="s">
        <v>321</v>
      </c>
      <c r="C36" t="s">
        <v>423</v>
      </c>
      <c r="D36" t="s">
        <v>404</v>
      </c>
      <c r="E36" s="1" t="s">
        <v>422</v>
      </c>
      <c r="F36" s="14">
        <f>'[2]raw data'!E5</f>
        <v>482</v>
      </c>
      <c r="G36" s="14">
        <f>'[2]raw data'!F5</f>
        <v>482</v>
      </c>
      <c r="H36" s="664">
        <f t="shared" si="15"/>
        <v>1</v>
      </c>
      <c r="I36" s="14">
        <f>'[2]raw data'!H5</f>
        <v>1</v>
      </c>
      <c r="J36" s="180">
        <f>I36/G36</f>
        <v>2.0746887966804979E-3</v>
      </c>
      <c r="K36" s="665">
        <f>'[2]raw data'!I5</f>
        <v>1</v>
      </c>
      <c r="L36" s="679">
        <f>F36-M36</f>
        <v>1.0299999999999727</v>
      </c>
      <c r="M36" s="14">
        <f>'[2]raw data'!K5</f>
        <v>480.97</v>
      </c>
      <c r="N36" s="692">
        <f>L36/F36</f>
        <v>2.1369294605808561E-3</v>
      </c>
      <c r="O36" s="667">
        <f t="shared" si="16"/>
        <v>0.99786307053941914</v>
      </c>
    </row>
    <row r="37" spans="1:15" ht="14.25" customHeight="1" x14ac:dyDescent="0.25">
      <c r="A37" s="354" t="s">
        <v>389</v>
      </c>
      <c r="B37" s="1" t="s">
        <v>321</v>
      </c>
      <c r="C37" t="s">
        <v>424</v>
      </c>
      <c r="D37" t="s">
        <v>425</v>
      </c>
      <c r="E37" s="1" t="s">
        <v>422</v>
      </c>
      <c r="F37" s="14">
        <v>262</v>
      </c>
      <c r="G37" s="14">
        <v>262</v>
      </c>
      <c r="H37" s="664">
        <f>G37/F37</f>
        <v>1</v>
      </c>
      <c r="I37" s="14"/>
      <c r="K37" s="665"/>
      <c r="L37" s="679"/>
      <c r="M37" s="14">
        <v>262</v>
      </c>
      <c r="N37" s="680"/>
      <c r="O37" s="667">
        <f>M37/F37</f>
        <v>1</v>
      </c>
    </row>
    <row r="38" spans="1:15" ht="14.25" customHeight="1" x14ac:dyDescent="0.25">
      <c r="A38" s="400" t="s">
        <v>389</v>
      </c>
      <c r="B38" s="111" t="s">
        <v>316</v>
      </c>
      <c r="C38" s="110" t="s">
        <v>426</v>
      </c>
      <c r="D38" s="110" t="s">
        <v>391</v>
      </c>
      <c r="E38" s="111" t="s">
        <v>422</v>
      </c>
      <c r="F38" s="668">
        <f>'[2]raw data'!E3</f>
        <v>1661</v>
      </c>
      <c r="G38" s="668">
        <f>'[2]raw data'!F3</f>
        <v>1661</v>
      </c>
      <c r="H38" s="669">
        <f>G38/F38</f>
        <v>1</v>
      </c>
      <c r="I38" s="668">
        <f>'[2]raw data'!H3</f>
        <v>1279</v>
      </c>
      <c r="J38" s="670">
        <f>I38/G38</f>
        <v>0.77001806140878992</v>
      </c>
      <c r="K38" s="671">
        <f>'[2]raw data'!I3</f>
        <v>1234</v>
      </c>
      <c r="L38" s="681">
        <f>F38-M38</f>
        <v>1361.01</v>
      </c>
      <c r="M38" s="668">
        <f>'[2]raw data'!K3</f>
        <v>299.99</v>
      </c>
      <c r="N38" s="682">
        <f>L38/F38</f>
        <v>0.8193919325707405</v>
      </c>
      <c r="O38" s="673">
        <f>M38/F38</f>
        <v>0.1806080674292595</v>
      </c>
    </row>
    <row r="39" spans="1:15" ht="14.25" customHeight="1" x14ac:dyDescent="0.3">
      <c r="E39" s="88" t="s">
        <v>427</v>
      </c>
      <c r="F39" s="14">
        <f>SUM(F32:F38)</f>
        <v>14333</v>
      </c>
      <c r="G39" s="14">
        <f>SUM(G32:G38)</f>
        <v>9996</v>
      </c>
      <c r="H39" s="664">
        <f t="shared" si="15"/>
        <v>0.69741156771087698</v>
      </c>
      <c r="I39" s="14">
        <f>SUM(I32:I38)</f>
        <v>6776</v>
      </c>
      <c r="J39" s="180">
        <f>I39/G39</f>
        <v>0.67787114845938379</v>
      </c>
      <c r="K39" s="14">
        <f>SUM(K32:K38)</f>
        <v>6589</v>
      </c>
      <c r="L39" s="674">
        <f>SUM(L32:L38)</f>
        <v>7157.65</v>
      </c>
      <c r="M39" s="683">
        <f>SUM(M32:M38)</f>
        <v>7175.3499999999995</v>
      </c>
      <c r="N39" s="666">
        <f>L39/F39</f>
        <v>0.4993825437800879</v>
      </c>
      <c r="O39" s="666">
        <f t="shared" si="16"/>
        <v>0.50061745621991205</v>
      </c>
    </row>
    <row r="40" spans="1:15" ht="14.25" customHeight="1" x14ac:dyDescent="0.25"/>
    <row r="41" spans="1:15" ht="14.25" customHeight="1" x14ac:dyDescent="0.35">
      <c r="A41" s="684" t="s">
        <v>428</v>
      </c>
      <c r="F41" s="14"/>
      <c r="G41" s="14"/>
      <c r="I41" s="14"/>
      <c r="K41" s="14"/>
      <c r="L41" s="14"/>
      <c r="M41" s="14"/>
    </row>
    <row r="42" spans="1:15" ht="24" customHeight="1" x14ac:dyDescent="0.25">
      <c r="A42" s="655" t="s">
        <v>377</v>
      </c>
      <c r="B42" s="656" t="s">
        <v>15</v>
      </c>
      <c r="C42" s="657" t="s">
        <v>429</v>
      </c>
      <c r="D42" s="657" t="s">
        <v>379</v>
      </c>
      <c r="E42" s="658" t="s">
        <v>380</v>
      </c>
      <c r="F42" s="675" t="s">
        <v>381</v>
      </c>
      <c r="G42" s="676" t="s">
        <v>382</v>
      </c>
      <c r="H42" s="661" t="s">
        <v>383</v>
      </c>
      <c r="I42" s="675" t="s">
        <v>384</v>
      </c>
      <c r="J42" s="659" t="s">
        <v>385</v>
      </c>
      <c r="K42" s="677" t="s">
        <v>386</v>
      </c>
      <c r="L42" s="675" t="s">
        <v>387</v>
      </c>
      <c r="M42" s="675" t="s">
        <v>388</v>
      </c>
      <c r="N42" s="661" t="s">
        <v>38</v>
      </c>
      <c r="O42" s="662" t="s">
        <v>130</v>
      </c>
    </row>
    <row r="43" spans="1:15" ht="15" customHeight="1" x14ac:dyDescent="0.25">
      <c r="A43" s="354" t="s">
        <v>389</v>
      </c>
      <c r="B43" s="1" t="s">
        <v>430</v>
      </c>
      <c r="C43" t="s">
        <v>87</v>
      </c>
      <c r="D43" t="s">
        <v>431</v>
      </c>
      <c r="E43" s="1" t="s">
        <v>392</v>
      </c>
      <c r="F43" s="14">
        <f>'[2]raw data'!E6</f>
        <v>248</v>
      </c>
      <c r="G43" s="14">
        <f>'[2]raw data'!F6</f>
        <v>14</v>
      </c>
      <c r="H43" s="664">
        <f t="shared" ref="H43:H48" si="17">G43/F43</f>
        <v>5.6451612903225805E-2</v>
      </c>
      <c r="I43" s="14">
        <f>'[2]raw data'!H6</f>
        <v>7</v>
      </c>
      <c r="J43" s="180">
        <f t="shared" ref="J43:J48" si="18">I43/G43</f>
        <v>0.5</v>
      </c>
      <c r="K43" s="14">
        <f>'[2]raw data'!I6</f>
        <v>6</v>
      </c>
      <c r="L43" s="14">
        <f>F43-M43</f>
        <v>374.74</v>
      </c>
      <c r="M43" s="14">
        <f>'[2]raw data'!K6</f>
        <v>-126.74</v>
      </c>
      <c r="N43" s="680"/>
      <c r="O43" s="667"/>
    </row>
    <row r="44" spans="1:15" ht="15" customHeight="1" x14ac:dyDescent="0.25">
      <c r="A44" s="354" t="s">
        <v>389</v>
      </c>
      <c r="B44" s="1" t="s">
        <v>430</v>
      </c>
      <c r="C44" t="s">
        <v>81</v>
      </c>
      <c r="D44" t="s">
        <v>432</v>
      </c>
      <c r="E44" s="1" t="s">
        <v>392</v>
      </c>
      <c r="F44" s="14">
        <f>'[2]raw data'!E7</f>
        <v>1194</v>
      </c>
      <c r="G44" s="14">
        <f>'[2]raw data'!F7</f>
        <v>111</v>
      </c>
      <c r="H44" s="664">
        <f t="shared" si="17"/>
        <v>9.2964824120603015E-2</v>
      </c>
      <c r="I44" s="14">
        <f>'[2]raw data'!H7</f>
        <v>26</v>
      </c>
      <c r="J44" s="180">
        <f t="shared" si="18"/>
        <v>0.23423423423423423</v>
      </c>
      <c r="K44" s="14">
        <f>'[2]raw data'!I7</f>
        <v>26</v>
      </c>
      <c r="L44" s="14">
        <f>F44-M44</f>
        <v>867.95</v>
      </c>
      <c r="M44" s="14">
        <f>'[2]raw data'!K7</f>
        <v>326.05</v>
      </c>
      <c r="N44" s="680">
        <f>L44/F44</f>
        <v>0.72692629815745402</v>
      </c>
      <c r="O44" s="667">
        <f>M44/F44</f>
        <v>0.27307370184254609</v>
      </c>
    </row>
    <row r="45" spans="1:15" ht="15" customHeight="1" x14ac:dyDescent="0.25">
      <c r="A45" s="354" t="s">
        <v>389</v>
      </c>
      <c r="B45" s="1" t="s">
        <v>430</v>
      </c>
      <c r="C45" t="s">
        <v>433</v>
      </c>
      <c r="D45" t="s">
        <v>432</v>
      </c>
      <c r="E45" s="1" t="s">
        <v>392</v>
      </c>
      <c r="F45" s="14">
        <f>'[2]raw data'!E8</f>
        <v>2080</v>
      </c>
      <c r="G45" s="14">
        <f>'[2]raw data'!F8</f>
        <v>187</v>
      </c>
      <c r="H45" s="664">
        <f t="shared" si="17"/>
        <v>8.9903846153846154E-2</v>
      </c>
      <c r="I45" s="14">
        <f>'[2]raw data'!H8</f>
        <v>23</v>
      </c>
      <c r="J45" s="180">
        <f t="shared" si="18"/>
        <v>0.12299465240641712</v>
      </c>
      <c r="K45" s="14">
        <f>'[2]raw data'!I8</f>
        <v>21</v>
      </c>
      <c r="L45" s="14">
        <f>F45-M45</f>
        <v>770.15000000000009</v>
      </c>
      <c r="M45" s="14">
        <f>'[2]raw data'!K8</f>
        <v>1309.8499999999999</v>
      </c>
      <c r="N45" s="680">
        <f>L45/F45</f>
        <v>0.37026442307692314</v>
      </c>
      <c r="O45" s="667">
        <f>M45/F45</f>
        <v>0.62973557692307691</v>
      </c>
    </row>
    <row r="46" spans="1:15" ht="15" customHeight="1" x14ac:dyDescent="0.25">
      <c r="A46" s="354" t="s">
        <v>389</v>
      </c>
      <c r="B46" s="1" t="s">
        <v>430</v>
      </c>
      <c r="C46" t="s">
        <v>434</v>
      </c>
      <c r="D46" t="s">
        <v>432</v>
      </c>
      <c r="E46" s="1" t="s">
        <v>392</v>
      </c>
      <c r="F46" s="14">
        <f>'[2]raw data'!E9</f>
        <v>2008</v>
      </c>
      <c r="G46" s="14">
        <f>'[2]raw data'!F9</f>
        <v>126</v>
      </c>
      <c r="H46" s="664">
        <f t="shared" si="17"/>
        <v>6.2749003984063745E-2</v>
      </c>
      <c r="I46" s="14">
        <f>'[2]raw data'!H9</f>
        <v>45</v>
      </c>
      <c r="J46" s="180">
        <f t="shared" si="18"/>
        <v>0.35714285714285715</v>
      </c>
      <c r="K46" s="14">
        <f>'[2]raw data'!I9</f>
        <v>44</v>
      </c>
      <c r="L46" s="14">
        <f>F46-M46</f>
        <v>1946.95</v>
      </c>
      <c r="M46" s="14">
        <f>'[2]raw data'!K9</f>
        <v>61.05</v>
      </c>
      <c r="N46" s="680">
        <f>L46/F46</f>
        <v>0.96959661354581672</v>
      </c>
      <c r="O46" s="667">
        <f>M46/F46</f>
        <v>3.0403386454183265E-2</v>
      </c>
    </row>
    <row r="47" spans="1:15" ht="15" customHeight="1" x14ac:dyDescent="0.25">
      <c r="A47" s="400" t="s">
        <v>389</v>
      </c>
      <c r="B47" s="111" t="s">
        <v>430</v>
      </c>
      <c r="C47" s="110" t="s">
        <v>435</v>
      </c>
      <c r="D47" s="110" t="s">
        <v>432</v>
      </c>
      <c r="E47" s="111" t="s">
        <v>417</v>
      </c>
      <c r="F47" s="668">
        <f>'[2]raw data'!E29</f>
        <v>1117</v>
      </c>
      <c r="G47" s="668">
        <f>'[2]raw data'!F29</f>
        <v>144</v>
      </c>
      <c r="H47" s="669">
        <f t="shared" si="17"/>
        <v>0.12891674127126232</v>
      </c>
      <c r="I47" s="668">
        <f>'[2]raw data'!H29</f>
        <v>87</v>
      </c>
      <c r="J47" s="670">
        <f t="shared" si="18"/>
        <v>0.60416666666666663</v>
      </c>
      <c r="K47" s="668">
        <f>'[2]raw data'!I29</f>
        <v>86</v>
      </c>
      <c r="L47" s="668">
        <f>F47-M47</f>
        <v>720.22</v>
      </c>
      <c r="M47" s="668">
        <f>'[2]raw data'!K29</f>
        <v>396.78</v>
      </c>
      <c r="N47" s="682">
        <f>L47/F47</f>
        <v>0.64478066248880939</v>
      </c>
      <c r="O47" s="673">
        <f>M47/F47</f>
        <v>0.35521933751119067</v>
      </c>
    </row>
    <row r="48" spans="1:15" ht="14.25" customHeight="1" x14ac:dyDescent="0.3">
      <c r="E48" s="88" t="s">
        <v>436</v>
      </c>
      <c r="F48" s="14">
        <f>SUM(F43:F47)</f>
        <v>6647</v>
      </c>
      <c r="G48" s="14">
        <f>SUM(G43:G47)</f>
        <v>582</v>
      </c>
      <c r="H48" s="664">
        <f t="shared" si="17"/>
        <v>8.7558296976079433E-2</v>
      </c>
      <c r="I48" s="14">
        <f>SUM(I43:I47)</f>
        <v>188</v>
      </c>
      <c r="J48" s="180">
        <f t="shared" si="18"/>
        <v>0.32302405498281789</v>
      </c>
      <c r="K48" s="14">
        <f>SUM(K43:K47)</f>
        <v>183</v>
      </c>
      <c r="L48" s="14">
        <f>SUM(L44:L47)</f>
        <v>4305.2700000000004</v>
      </c>
      <c r="M48" s="14">
        <f>SUM(M43:M47)</f>
        <v>1966.9899999999998</v>
      </c>
      <c r="N48" s="680">
        <f>L48/F48</f>
        <v>0.64770121859485486</v>
      </c>
      <c r="O48" s="666">
        <f>M48/F48</f>
        <v>0.29592146833157812</v>
      </c>
    </row>
    <row r="51" spans="4:15" x14ac:dyDescent="0.25">
      <c r="F51" s="14"/>
      <c r="G51" s="14"/>
      <c r="I51" s="14"/>
      <c r="K51" s="14"/>
      <c r="L51" s="14"/>
      <c r="M51" s="14"/>
    </row>
    <row r="52" spans="4:15" ht="25" x14ac:dyDescent="0.25">
      <c r="D52" s="655" t="s">
        <v>437</v>
      </c>
      <c r="E52" s="656" t="s">
        <v>14</v>
      </c>
      <c r="F52" s="675" t="s">
        <v>381</v>
      </c>
      <c r="G52" s="676" t="s">
        <v>382</v>
      </c>
      <c r="H52" s="661" t="s">
        <v>383</v>
      </c>
      <c r="I52" s="675" t="s">
        <v>384</v>
      </c>
      <c r="J52" s="659" t="s">
        <v>385</v>
      </c>
      <c r="K52" s="675" t="s">
        <v>386</v>
      </c>
      <c r="L52" s="678" t="s">
        <v>387</v>
      </c>
      <c r="M52" s="677" t="s">
        <v>388</v>
      </c>
      <c r="N52" s="659" t="s">
        <v>438</v>
      </c>
      <c r="O52" s="662" t="s">
        <v>11</v>
      </c>
    </row>
    <row r="53" spans="4:15" ht="25.5" customHeight="1" x14ac:dyDescent="0.3">
      <c r="D53" s="431" t="s">
        <v>439</v>
      </c>
      <c r="E53" s="1" t="s">
        <v>38</v>
      </c>
      <c r="F53" s="14">
        <f>F4+F5+F6</f>
        <v>46305</v>
      </c>
      <c r="G53" s="14">
        <f t="shared" ref="G53:M53" si="19">G4+G5+G6</f>
        <v>46305</v>
      </c>
      <c r="H53" s="664">
        <f>G53/F53</f>
        <v>1</v>
      </c>
      <c r="I53" s="14">
        <f t="shared" si="19"/>
        <v>12573</v>
      </c>
      <c r="J53" s="180">
        <f>I53/G53</f>
        <v>0.27152575315840621</v>
      </c>
      <c r="K53" s="14">
        <f t="shared" si="19"/>
        <v>12114</v>
      </c>
      <c r="L53" s="679">
        <f t="shared" si="19"/>
        <v>41402.19</v>
      </c>
      <c r="M53" s="665">
        <f t="shared" si="19"/>
        <v>4902.8099999999995</v>
      </c>
      <c r="N53" s="666">
        <f>L53/F53</f>
        <v>0.89411920958859736</v>
      </c>
      <c r="O53" s="667">
        <f>M53/F53</f>
        <v>0.10588079041140265</v>
      </c>
    </row>
    <row r="54" spans="4:15" ht="13" x14ac:dyDescent="0.3">
      <c r="D54" s="431"/>
      <c r="E54" s="1" t="s">
        <v>130</v>
      </c>
      <c r="F54" s="14">
        <f>F21</f>
        <v>96943</v>
      </c>
      <c r="G54" s="14">
        <f>G21</f>
        <v>17720</v>
      </c>
      <c r="H54" s="664">
        <f>G54/F54</f>
        <v>0.18278782377273242</v>
      </c>
      <c r="I54" s="14">
        <f>I21</f>
        <v>3025</v>
      </c>
      <c r="J54" s="180">
        <f>I54/G54</f>
        <v>0.17071106094808128</v>
      </c>
      <c r="K54" s="14">
        <f>K21</f>
        <v>2830</v>
      </c>
      <c r="L54" s="679">
        <f>L21</f>
        <v>52928.38</v>
      </c>
      <c r="M54" s="665">
        <f>M21</f>
        <v>44014.62</v>
      </c>
      <c r="N54" s="666">
        <f>L54/F54</f>
        <v>0.54597423228082476</v>
      </c>
      <c r="O54" s="667">
        <f>M54/F54</f>
        <v>0.45402576771917519</v>
      </c>
    </row>
    <row r="55" spans="4:15" ht="13" x14ac:dyDescent="0.3">
      <c r="D55" s="431"/>
      <c r="F55" s="14"/>
      <c r="G55" s="14"/>
      <c r="H55" s="354"/>
      <c r="I55" s="14"/>
      <c r="K55" s="14"/>
      <c r="L55" s="679"/>
      <c r="M55" s="665"/>
      <c r="O55" s="693"/>
    </row>
    <row r="56" spans="4:15" ht="13" x14ac:dyDescent="0.3">
      <c r="D56" s="431" t="s">
        <v>440</v>
      </c>
      <c r="E56" s="1" t="s">
        <v>38</v>
      </c>
      <c r="F56" s="14">
        <f>F38</f>
        <v>1661</v>
      </c>
      <c r="G56" s="14">
        <f>G38</f>
        <v>1661</v>
      </c>
      <c r="H56" s="664">
        <f>G56/F56</f>
        <v>1</v>
      </c>
      <c r="I56" s="14">
        <f>I38</f>
        <v>1279</v>
      </c>
      <c r="J56" s="180">
        <f>I56/G56</f>
        <v>0.77001806140878992</v>
      </c>
      <c r="K56" s="14">
        <f>K38</f>
        <v>1234</v>
      </c>
      <c r="L56" s="679">
        <f>L38</f>
        <v>1361.01</v>
      </c>
      <c r="M56" s="665">
        <f>M38</f>
        <v>299.99</v>
      </c>
      <c r="N56" s="666">
        <f>L56/F56</f>
        <v>0.8193919325707405</v>
      </c>
      <c r="O56" s="667">
        <f>M56/F56</f>
        <v>0.1806080674292595</v>
      </c>
    </row>
    <row r="57" spans="4:15" ht="13" x14ac:dyDescent="0.3">
      <c r="D57" s="431"/>
      <c r="E57" s="1" t="s">
        <v>130</v>
      </c>
      <c r="F57" s="14">
        <f>F35+F36+F37</f>
        <v>2723</v>
      </c>
      <c r="G57" s="14">
        <f>G35+G36+G37</f>
        <v>1857</v>
      </c>
      <c r="H57" s="664">
        <f>G57/F57</f>
        <v>0.68196841718692613</v>
      </c>
      <c r="I57" s="14">
        <f>I35+I36+I37</f>
        <v>22</v>
      </c>
      <c r="J57" s="180">
        <f>I57/G57</f>
        <v>1.1847065158858373E-2</v>
      </c>
      <c r="K57" s="14">
        <f>K35+K36+K37</f>
        <v>17</v>
      </c>
      <c r="L57" s="679">
        <f>L35+L36+L37</f>
        <v>30.170000000000073</v>
      </c>
      <c r="M57" s="665">
        <f>M35+M36+M37</f>
        <v>2692.83</v>
      </c>
      <c r="N57" s="666">
        <f>L57/F57</f>
        <v>1.1079691516709539E-2</v>
      </c>
      <c r="O57" s="667">
        <f>M57/F57</f>
        <v>0.98892030848329049</v>
      </c>
    </row>
    <row r="58" spans="4:15" ht="13" x14ac:dyDescent="0.3">
      <c r="D58" s="431"/>
      <c r="F58" s="14"/>
      <c r="G58" s="14"/>
      <c r="H58" s="354"/>
      <c r="I58" s="14"/>
      <c r="K58" s="14"/>
      <c r="L58" s="679"/>
      <c r="M58" s="665"/>
      <c r="O58" s="693"/>
    </row>
    <row r="59" spans="4:15" ht="13" x14ac:dyDescent="0.3">
      <c r="D59" s="431" t="s">
        <v>441</v>
      </c>
      <c r="E59" s="1" t="s">
        <v>38</v>
      </c>
      <c r="F59" s="14">
        <f>F32</f>
        <v>5505</v>
      </c>
      <c r="G59" s="14">
        <f>G32</f>
        <v>5505</v>
      </c>
      <c r="H59" s="354"/>
      <c r="I59" s="14">
        <f>I32</f>
        <v>5391</v>
      </c>
      <c r="K59" s="14">
        <f>K32</f>
        <v>5258</v>
      </c>
      <c r="L59" s="679">
        <f>L32</f>
        <v>5478.13</v>
      </c>
      <c r="M59" s="665">
        <f>M32</f>
        <v>26.87</v>
      </c>
      <c r="O59" s="693"/>
    </row>
    <row r="60" spans="4:15" ht="13" x14ac:dyDescent="0.3">
      <c r="D60" s="431"/>
      <c r="E60" s="1" t="s">
        <v>130</v>
      </c>
      <c r="F60" s="14">
        <f>F33+F34</f>
        <v>4444</v>
      </c>
      <c r="G60" s="14">
        <f>G33+G34</f>
        <v>973</v>
      </c>
      <c r="H60" s="664">
        <f>G60/F60</f>
        <v>0.21894689468946896</v>
      </c>
      <c r="I60" s="14">
        <f>I33+I34</f>
        <v>84</v>
      </c>
      <c r="J60" s="180">
        <f>I60/G60</f>
        <v>8.6330935251798566E-2</v>
      </c>
      <c r="K60" s="14">
        <f>K33+K34</f>
        <v>80</v>
      </c>
      <c r="L60" s="679">
        <f>L33+L34</f>
        <v>288.34000000000003</v>
      </c>
      <c r="M60" s="665">
        <f>M33+M34</f>
        <v>4155.66</v>
      </c>
      <c r="N60" s="666">
        <f>L60/F60</f>
        <v>6.4882988298829894E-2</v>
      </c>
      <c r="O60" s="667">
        <f>M60/F60</f>
        <v>0.93511701170117012</v>
      </c>
    </row>
    <row r="61" spans="4:15" ht="13" x14ac:dyDescent="0.3">
      <c r="D61" s="431"/>
      <c r="F61" s="14"/>
      <c r="G61" s="14"/>
      <c r="H61" s="354"/>
      <c r="I61" s="14"/>
      <c r="K61" s="14"/>
      <c r="L61" s="679"/>
      <c r="M61" s="665"/>
      <c r="O61" s="693"/>
    </row>
    <row r="62" spans="4:15" ht="13" x14ac:dyDescent="0.3">
      <c r="D62" s="431" t="s">
        <v>442</v>
      </c>
      <c r="E62" s="1" t="s">
        <v>38</v>
      </c>
      <c r="F62" s="14">
        <f>F7+F8</f>
        <v>5422</v>
      </c>
      <c r="G62" s="14">
        <f>G7+G8</f>
        <v>5422</v>
      </c>
      <c r="H62" s="664">
        <f t="shared" ref="H62:H68" si="20">G62/F62</f>
        <v>1</v>
      </c>
      <c r="I62" s="14">
        <f>I7+I8</f>
        <v>2830</v>
      </c>
      <c r="J62" s="180">
        <f t="shared" ref="J62:J68" si="21">I62/G62</f>
        <v>0.52194762080413126</v>
      </c>
      <c r="K62" s="14">
        <f>K7+K8</f>
        <v>2788</v>
      </c>
      <c r="L62" s="679">
        <f>L7+L8</f>
        <v>4850.82</v>
      </c>
      <c r="M62" s="665">
        <f>M7+M8</f>
        <v>571.18000000000006</v>
      </c>
      <c r="N62" s="666">
        <f>L62/F62</f>
        <v>0.89465510881593502</v>
      </c>
      <c r="O62" s="667">
        <f>M62/F62</f>
        <v>0.10534489118406493</v>
      </c>
    </row>
    <row r="63" spans="4:15" ht="13" x14ac:dyDescent="0.3">
      <c r="D63" s="431"/>
      <c r="E63" s="1" t="s">
        <v>130</v>
      </c>
      <c r="F63" s="14">
        <f>F29</f>
        <v>4441</v>
      </c>
      <c r="G63" s="14">
        <f>G29</f>
        <v>2536</v>
      </c>
      <c r="H63" s="664">
        <f t="shared" si="20"/>
        <v>0.57104255798243642</v>
      </c>
      <c r="I63" s="14">
        <f>I29</f>
        <v>1053</v>
      </c>
      <c r="J63" s="180">
        <f t="shared" si="21"/>
        <v>0.41522082018927448</v>
      </c>
      <c r="K63" s="14">
        <f>K29</f>
        <v>1029</v>
      </c>
      <c r="L63" s="679">
        <f>L29</f>
        <v>2904.9399999999996</v>
      </c>
      <c r="M63" s="665">
        <f>M29</f>
        <v>1536.0600000000002</v>
      </c>
      <c r="N63" s="666">
        <f>L63/F63</f>
        <v>0.65411844179238898</v>
      </c>
      <c r="O63" s="667">
        <f>M63/F63</f>
        <v>0.34588155820761096</v>
      </c>
    </row>
    <row r="64" spans="4:15" ht="13" x14ac:dyDescent="0.3">
      <c r="D64" s="431"/>
      <c r="F64" s="14"/>
      <c r="G64" s="14"/>
      <c r="H64" s="664"/>
      <c r="I64" s="14"/>
      <c r="J64" s="180"/>
      <c r="K64" s="14"/>
      <c r="L64" s="679"/>
      <c r="M64" s="665"/>
      <c r="N64" s="666"/>
      <c r="O64" s="667"/>
    </row>
    <row r="65" spans="4:16" ht="13" x14ac:dyDescent="0.3">
      <c r="D65" s="431" t="s">
        <v>443</v>
      </c>
      <c r="F65" s="14">
        <f>F48-F47</f>
        <v>5530</v>
      </c>
      <c r="G65" s="14">
        <f>G48-G47</f>
        <v>438</v>
      </c>
      <c r="H65" s="664">
        <f t="shared" si="20"/>
        <v>7.9204339963833637E-2</v>
      </c>
      <c r="I65" s="14">
        <f>I48-I47</f>
        <v>101</v>
      </c>
      <c r="J65" s="180">
        <f t="shared" si="21"/>
        <v>0.23059360730593606</v>
      </c>
      <c r="K65" s="14">
        <f>K48-K47</f>
        <v>97</v>
      </c>
      <c r="L65" s="679">
        <f>L48-L47</f>
        <v>3585.05</v>
      </c>
      <c r="M65" s="665">
        <f>M48-M47</f>
        <v>1570.2099999999998</v>
      </c>
      <c r="N65" s="666">
        <f>L65/F65</f>
        <v>0.64829113924050641</v>
      </c>
      <c r="O65" s="667">
        <f>M65/F65</f>
        <v>0.28394394213381552</v>
      </c>
    </row>
    <row r="66" spans="4:16" ht="13" x14ac:dyDescent="0.3">
      <c r="D66" s="431" t="s">
        <v>444</v>
      </c>
      <c r="F66" s="14">
        <f>F47</f>
        <v>1117</v>
      </c>
      <c r="G66" s="14">
        <f>G47</f>
        <v>144</v>
      </c>
      <c r="H66" s="664">
        <f t="shared" si="20"/>
        <v>0.12891674127126232</v>
      </c>
      <c r="I66" s="14">
        <f>I47</f>
        <v>87</v>
      </c>
      <c r="J66" s="180">
        <f t="shared" si="21"/>
        <v>0.60416666666666663</v>
      </c>
      <c r="K66" s="14">
        <f>K47</f>
        <v>86</v>
      </c>
      <c r="L66" s="679">
        <f>L47</f>
        <v>720.22</v>
      </c>
      <c r="M66" s="665">
        <f>M47</f>
        <v>396.78</v>
      </c>
      <c r="N66" s="666">
        <f>L66/F66</f>
        <v>0.64478066248880939</v>
      </c>
      <c r="O66" s="667">
        <f>M66/F66</f>
        <v>0.35521933751119067</v>
      </c>
    </row>
    <row r="67" spans="4:16" x14ac:dyDescent="0.25">
      <c r="D67" s="354"/>
      <c r="F67" s="14"/>
      <c r="G67" s="14"/>
      <c r="H67" s="354"/>
      <c r="I67" s="14"/>
      <c r="K67" s="14"/>
      <c r="L67" s="679"/>
      <c r="M67" s="665"/>
      <c r="O67" s="693"/>
    </row>
    <row r="68" spans="4:16" ht="13" x14ac:dyDescent="0.3">
      <c r="D68" s="354"/>
      <c r="E68" s="11" t="s">
        <v>445</v>
      </c>
      <c r="F68" s="108">
        <f>SUM(F53:F66)</f>
        <v>174091</v>
      </c>
      <c r="G68" s="108">
        <f>SUM(G53:G66)</f>
        <v>82561</v>
      </c>
      <c r="H68" s="694">
        <f t="shared" si="20"/>
        <v>0.47424048342533504</v>
      </c>
      <c r="I68" s="108">
        <f>SUM(I53:I66)</f>
        <v>26445</v>
      </c>
      <c r="J68" s="695">
        <f t="shared" si="21"/>
        <v>0.32030862029287438</v>
      </c>
      <c r="K68" s="108">
        <f>SUM(K53:K66)</f>
        <v>25533</v>
      </c>
      <c r="L68" s="696">
        <f>SUM(L53:L66)</f>
        <v>113549.25000000001</v>
      </c>
      <c r="M68" s="697">
        <f>SUM(M53:M66)</f>
        <v>60167.009999999995</v>
      </c>
      <c r="N68" s="212">
        <f>L68/F68</f>
        <v>0.65224078211969605</v>
      </c>
      <c r="O68" s="698">
        <f>M68/F68</f>
        <v>0.34560666547954805</v>
      </c>
    </row>
    <row r="69" spans="4:16" x14ac:dyDescent="0.25">
      <c r="D69" s="400"/>
      <c r="E69" s="111"/>
      <c r="F69" s="110"/>
      <c r="G69" s="110"/>
      <c r="H69" s="400"/>
      <c r="I69" s="110"/>
      <c r="J69" s="110"/>
      <c r="K69" s="110"/>
      <c r="L69" s="699"/>
      <c r="M69" s="700"/>
      <c r="N69" s="701"/>
      <c r="O69" s="702"/>
    </row>
    <row r="70" spans="4:16" x14ac:dyDescent="0.25">
      <c r="K70" s="14"/>
      <c r="L70" s="703"/>
      <c r="M70" s="703"/>
    </row>
    <row r="71" spans="4:16" x14ac:dyDescent="0.25">
      <c r="E71" s="451" t="s">
        <v>446</v>
      </c>
      <c r="F71" s="444">
        <f>F62+F59+F56+F53</f>
        <v>58893</v>
      </c>
      <c r="G71" s="444">
        <f>G62+G59+G56+G53</f>
        <v>58893</v>
      </c>
      <c r="H71" s="704">
        <f>G71/F71</f>
        <v>1</v>
      </c>
      <c r="I71" s="444">
        <f>I62+I59+I56+I53</f>
        <v>22073</v>
      </c>
      <c r="J71" s="453">
        <f>I71/G71</f>
        <v>0.37479836313313974</v>
      </c>
      <c r="K71" s="444">
        <f t="shared" ref="K71:M72" si="22">K62+K59+K56+K53</f>
        <v>21394</v>
      </c>
      <c r="L71" s="444">
        <f t="shared" si="22"/>
        <v>53092.15</v>
      </c>
      <c r="M71" s="444">
        <f t="shared" si="22"/>
        <v>5800.8499999999995</v>
      </c>
      <c r="N71" s="705">
        <f>L71/F71</f>
        <v>0.90150187628410849</v>
      </c>
      <c r="O71" s="706">
        <f>M71/F71</f>
        <v>9.849812371589152E-2</v>
      </c>
      <c r="P71" s="442"/>
    </row>
    <row r="72" spans="4:16" x14ac:dyDescent="0.25">
      <c r="E72" s="451" t="s">
        <v>447</v>
      </c>
      <c r="F72" s="444">
        <f>F63+F60+F57+F54</f>
        <v>108551</v>
      </c>
      <c r="G72" s="444">
        <f>G63+G60+G57+G54</f>
        <v>23086</v>
      </c>
      <c r="H72" s="704">
        <f>G72/F72</f>
        <v>0.21267422686110676</v>
      </c>
      <c r="I72" s="444">
        <f>I63+I60+I57+I54</f>
        <v>4184</v>
      </c>
      <c r="J72" s="453">
        <f>I72/G72</f>
        <v>0.18123538075023823</v>
      </c>
      <c r="K72" s="444">
        <f t="shared" si="22"/>
        <v>3956</v>
      </c>
      <c r="L72" s="444">
        <f t="shared" si="22"/>
        <v>56151.829999999994</v>
      </c>
      <c r="M72" s="444">
        <f t="shared" si="22"/>
        <v>52399.17</v>
      </c>
      <c r="N72" s="705">
        <f>L72/F72</f>
        <v>0.51728523919632241</v>
      </c>
      <c r="O72" s="706">
        <f>M72/F72</f>
        <v>0.48271476080367753</v>
      </c>
      <c r="P72" s="442"/>
    </row>
    <row r="73" spans="4:16" x14ac:dyDescent="0.25">
      <c r="E73" s="451" t="s">
        <v>432</v>
      </c>
      <c r="F73" s="444">
        <f>F65+F66</f>
        <v>6647</v>
      </c>
      <c r="G73" s="444">
        <f>G65+G66</f>
        <v>582</v>
      </c>
      <c r="H73" s="704">
        <f>G73/F73</f>
        <v>8.7558296976079433E-2</v>
      </c>
      <c r="I73" s="444">
        <f>I65+I66</f>
        <v>188</v>
      </c>
      <c r="J73" s="453">
        <f>I73/G73</f>
        <v>0.32302405498281789</v>
      </c>
      <c r="K73" s="444">
        <f>K65+K66</f>
        <v>183</v>
      </c>
      <c r="L73" s="444">
        <f>L65+L66</f>
        <v>4305.2700000000004</v>
      </c>
      <c r="M73" s="444">
        <f>M65+M66</f>
        <v>1966.9899999999998</v>
      </c>
      <c r="N73" s="705">
        <f>L73/F73</f>
        <v>0.64770121859485486</v>
      </c>
      <c r="O73" s="706">
        <f>M73/F73</f>
        <v>0.29592146833157812</v>
      </c>
      <c r="P73" s="442"/>
    </row>
    <row r="74" spans="4:16" x14ac:dyDescent="0.25">
      <c r="E74" s="451"/>
      <c r="F74" s="442"/>
      <c r="G74" s="442"/>
      <c r="H74" s="442"/>
      <c r="I74" s="442"/>
      <c r="J74" s="442"/>
      <c r="K74" s="442"/>
      <c r="L74" s="442"/>
      <c r="M74" s="442"/>
      <c r="N74" s="613"/>
      <c r="O74" s="613"/>
      <c r="P74" s="442"/>
    </row>
  </sheetData>
  <pageMargins left="0.5" right="0.5" top="0.75" bottom="0.5" header="0.5" footer="0.5"/>
  <pageSetup scale="84"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1B6DB-0CE1-430F-9647-714F9CE97773}">
  <sheetPr>
    <pageSetUpPr fitToPage="1"/>
  </sheetPr>
  <dimension ref="A1:U46"/>
  <sheetViews>
    <sheetView tabSelected="1" workbookViewId="0">
      <selection activeCell="C6" sqref="C6:G6"/>
    </sheetView>
  </sheetViews>
  <sheetFormatPr defaultRowHeight="12.5" x14ac:dyDescent="0.25"/>
  <cols>
    <col min="1" max="1" width="6" customWidth="1"/>
    <col min="2" max="2" width="15.26953125" customWidth="1"/>
    <col min="3" max="8" width="8.7265625" customWidth="1"/>
    <col min="9" max="9" width="1.7265625" customWidth="1"/>
    <col min="10" max="11" width="9.7265625" customWidth="1"/>
    <col min="12" max="12" width="1.26953125" customWidth="1"/>
    <col min="14" max="14" width="6.7265625" customWidth="1"/>
  </cols>
  <sheetData>
    <row r="1" spans="1:21" ht="15.75" customHeight="1" x14ac:dyDescent="0.3">
      <c r="A1" s="432" t="s">
        <v>353</v>
      </c>
      <c r="B1" s="109"/>
      <c r="C1" s="109"/>
      <c r="D1" s="109"/>
      <c r="E1" s="109"/>
      <c r="F1" s="109"/>
      <c r="G1" s="109"/>
      <c r="H1" s="109"/>
      <c r="I1" s="109"/>
      <c r="J1" s="109"/>
      <c r="K1" s="109"/>
    </row>
    <row r="2" spans="1:21" ht="7.9" customHeight="1" x14ac:dyDescent="0.25">
      <c r="A2" s="329"/>
      <c r="B2" s="6"/>
      <c r="C2" s="6"/>
      <c r="D2" s="6"/>
      <c r="E2" s="6"/>
      <c r="F2" s="6"/>
      <c r="G2" s="6"/>
      <c r="H2" s="6"/>
      <c r="I2" s="6"/>
      <c r="J2" s="6"/>
      <c r="K2" s="6"/>
      <c r="L2" s="330"/>
    </row>
    <row r="3" spans="1:21" ht="18" customHeight="1" x14ac:dyDescent="0.3">
      <c r="A3" s="331"/>
      <c r="B3" s="332" t="s">
        <v>48</v>
      </c>
      <c r="C3" s="5">
        <f>D3+1</f>
        <v>2010</v>
      </c>
      <c r="D3" s="5">
        <f>E3+1</f>
        <v>2009</v>
      </c>
      <c r="E3" s="5">
        <f>F3+1</f>
        <v>2008</v>
      </c>
      <c r="F3" s="5">
        <f>G3+1</f>
        <v>2007</v>
      </c>
      <c r="G3" s="5">
        <v>2006</v>
      </c>
      <c r="H3" s="5"/>
      <c r="I3" s="5"/>
      <c r="J3" s="709" t="s">
        <v>258</v>
      </c>
      <c r="K3" s="709" t="s">
        <v>259</v>
      </c>
      <c r="L3" s="334"/>
      <c r="N3" s="109"/>
      <c r="O3" s="5"/>
      <c r="P3" s="5"/>
      <c r="Q3" s="5"/>
      <c r="R3" s="5"/>
      <c r="S3" s="5"/>
    </row>
    <row r="4" spans="1:21" ht="18" customHeight="1" x14ac:dyDescent="0.25">
      <c r="A4" s="331"/>
      <c r="B4" s="127" t="s">
        <v>260</v>
      </c>
      <c r="C4" s="110">
        <v>1</v>
      </c>
      <c r="D4" s="110">
        <v>2</v>
      </c>
      <c r="E4" s="110">
        <v>3</v>
      </c>
      <c r="F4" s="110">
        <v>4</v>
      </c>
      <c r="G4" s="110">
        <v>5</v>
      </c>
      <c r="H4" s="110"/>
      <c r="J4" s="710"/>
      <c r="K4" s="710"/>
      <c r="L4" s="334"/>
      <c r="U4" s="127"/>
    </row>
    <row r="5" spans="1:21" ht="5.25" customHeight="1" x14ac:dyDescent="0.25">
      <c r="A5" s="331"/>
      <c r="B5" s="127"/>
      <c r="J5" s="127"/>
      <c r="K5" s="127"/>
      <c r="L5" s="334"/>
      <c r="U5" s="127"/>
    </row>
    <row r="6" spans="1:21" ht="15" customHeight="1" x14ac:dyDescent="0.25">
      <c r="A6" s="711" t="s">
        <v>261</v>
      </c>
      <c r="B6" s="712"/>
      <c r="C6" s="14">
        <f>'[1]raw inland'!L5</f>
        <v>3</v>
      </c>
      <c r="D6" s="14">
        <f>'[1]raw inland'!M5</f>
        <v>27506</v>
      </c>
      <c r="E6" s="14">
        <f>'[1]raw inland'!N5</f>
        <v>9053</v>
      </c>
      <c r="F6" s="14">
        <f>'[1]raw inland'!O5</f>
        <v>1381</v>
      </c>
      <c r="G6" s="14">
        <f>'[1]raw inland'!P5</f>
        <v>1</v>
      </c>
      <c r="H6" s="14"/>
      <c r="I6" s="14"/>
      <c r="J6" s="335">
        <f>SUM(C6:G6)</f>
        <v>37944</v>
      </c>
      <c r="K6" s="339">
        <f>J6/$J$41</f>
        <v>0.81431882565027036</v>
      </c>
      <c r="L6" s="334"/>
    </row>
    <row r="7" spans="1:21" ht="15" customHeight="1" x14ac:dyDescent="0.25">
      <c r="A7" s="707"/>
      <c r="B7" s="708"/>
      <c r="C7" s="433" t="s">
        <v>271</v>
      </c>
      <c r="D7" s="434" t="s">
        <v>354</v>
      </c>
      <c r="E7" s="434" t="s">
        <v>355</v>
      </c>
      <c r="F7" s="434" t="s">
        <v>302</v>
      </c>
      <c r="G7" s="434" t="s">
        <v>271</v>
      </c>
      <c r="H7" s="3"/>
      <c r="I7" s="3"/>
      <c r="J7" s="12"/>
      <c r="K7" s="1"/>
      <c r="L7" s="340"/>
      <c r="N7" s="180"/>
      <c r="O7" s="180"/>
      <c r="P7" s="180"/>
      <c r="Q7" s="180"/>
      <c r="R7" s="435"/>
    </row>
    <row r="8" spans="1:21" ht="7.5" customHeight="1" x14ac:dyDescent="0.25">
      <c r="A8" s="337"/>
      <c r="B8" s="74"/>
      <c r="C8" s="433"/>
      <c r="D8" s="434"/>
      <c r="E8" s="434"/>
      <c r="F8" s="434"/>
      <c r="G8" s="434"/>
      <c r="H8" s="3"/>
      <c r="I8" s="3"/>
      <c r="J8" s="12"/>
      <c r="K8" s="1"/>
      <c r="L8" s="340"/>
      <c r="N8" s="180"/>
      <c r="O8" s="180"/>
      <c r="P8" s="180"/>
      <c r="Q8" s="180"/>
      <c r="R8" s="435"/>
    </row>
    <row r="9" spans="1:21" ht="15" customHeight="1" x14ac:dyDescent="0.3">
      <c r="A9" s="707" t="s">
        <v>265</v>
      </c>
      <c r="B9" s="708"/>
      <c r="C9" s="108">
        <f>'[1]raw inland'!L7</f>
        <v>46.56</v>
      </c>
      <c r="D9" s="108">
        <v>121939</v>
      </c>
      <c r="E9" s="108">
        <v>76753</v>
      </c>
      <c r="F9" s="108">
        <v>13412</v>
      </c>
      <c r="G9" s="108">
        <f>'[1]raw inland'!P7</f>
        <v>4.29</v>
      </c>
      <c r="H9" s="341"/>
      <c r="I9" s="341"/>
      <c r="J9" s="38">
        <f>SUM(C9:G9)</f>
        <v>212154.85</v>
      </c>
      <c r="K9" s="339">
        <f>J9/$J$44</f>
        <v>0.93172829693622761</v>
      </c>
      <c r="L9" s="334"/>
      <c r="N9" s="180"/>
      <c r="O9" s="180"/>
      <c r="P9" s="180"/>
      <c r="Q9" s="180"/>
      <c r="R9" s="435"/>
    </row>
    <row r="10" spans="1:21" ht="15" customHeight="1" x14ac:dyDescent="0.25">
      <c r="A10" s="707"/>
      <c r="B10" s="708"/>
      <c r="C10" s="433" t="s">
        <v>271</v>
      </c>
      <c r="D10" s="434" t="s">
        <v>356</v>
      </c>
      <c r="E10" s="434" t="s">
        <v>357</v>
      </c>
      <c r="F10" s="434" t="s">
        <v>267</v>
      </c>
      <c r="G10" s="434" t="s">
        <v>271</v>
      </c>
      <c r="H10" s="3"/>
      <c r="I10" s="3"/>
      <c r="J10" s="12"/>
      <c r="K10" s="1"/>
      <c r="L10" s="340"/>
      <c r="N10" s="180"/>
      <c r="O10" s="180"/>
      <c r="P10" s="180"/>
      <c r="Q10" s="180"/>
      <c r="R10" s="435"/>
    </row>
    <row r="11" spans="1:21" ht="18" customHeight="1" x14ac:dyDescent="0.25">
      <c r="A11" s="337"/>
      <c r="B11" s="74"/>
      <c r="C11" s="3"/>
      <c r="D11" s="3"/>
      <c r="E11" s="3"/>
      <c r="F11" s="3"/>
      <c r="G11" s="3"/>
      <c r="H11" s="3"/>
      <c r="I11" s="3"/>
      <c r="J11" s="12"/>
      <c r="K11" s="1"/>
      <c r="L11" s="334"/>
      <c r="N11" s="180"/>
      <c r="O11" s="180"/>
      <c r="P11" s="180"/>
      <c r="Q11" s="180"/>
      <c r="R11" s="180"/>
    </row>
    <row r="12" spans="1:21" ht="18" customHeight="1" x14ac:dyDescent="0.3">
      <c r="A12" s="337"/>
      <c r="B12" s="332" t="s">
        <v>47</v>
      </c>
      <c r="C12" s="5">
        <f>C3</f>
        <v>2010</v>
      </c>
      <c r="D12" s="5">
        <f>D3</f>
        <v>2009</v>
      </c>
      <c r="E12" s="5">
        <f>E3</f>
        <v>2008</v>
      </c>
      <c r="F12" s="5">
        <f>F3</f>
        <v>2007</v>
      </c>
      <c r="G12" s="5">
        <f>G3</f>
        <v>2006</v>
      </c>
      <c r="H12" s="5"/>
      <c r="I12" s="5"/>
      <c r="J12" s="709" t="s">
        <v>258</v>
      </c>
      <c r="K12" s="709" t="s">
        <v>259</v>
      </c>
      <c r="L12" s="334"/>
      <c r="N12" s="180"/>
      <c r="O12" s="180"/>
      <c r="P12" s="180"/>
      <c r="Q12" s="180"/>
      <c r="R12" s="180"/>
    </row>
    <row r="13" spans="1:21" ht="18" customHeight="1" x14ac:dyDescent="0.25">
      <c r="A13" s="337"/>
      <c r="B13" s="74" t="s">
        <v>260</v>
      </c>
      <c r="C13" s="219">
        <v>1</v>
      </c>
      <c r="D13" s="219">
        <v>2</v>
      </c>
      <c r="E13" s="219">
        <v>3</v>
      </c>
      <c r="F13" s="219">
        <v>4</v>
      </c>
      <c r="G13" s="219">
        <v>5</v>
      </c>
      <c r="H13" s="219"/>
      <c r="I13" s="3"/>
      <c r="J13" s="710"/>
      <c r="K13" s="710"/>
      <c r="L13" s="334"/>
      <c r="N13" s="180"/>
      <c r="O13" s="180"/>
      <c r="P13" s="180"/>
      <c r="Q13" s="180"/>
      <c r="R13" s="180"/>
    </row>
    <row r="14" spans="1:21" ht="5.25" customHeight="1" x14ac:dyDescent="0.25">
      <c r="A14" s="337"/>
      <c r="B14" s="74"/>
      <c r="C14" s="3"/>
      <c r="D14" s="3"/>
      <c r="E14" s="3"/>
      <c r="F14" s="3"/>
      <c r="G14" s="3"/>
      <c r="H14" s="3"/>
      <c r="I14" s="3"/>
      <c r="J14" s="12"/>
      <c r="K14" s="1"/>
      <c r="L14" s="334"/>
      <c r="N14" s="180"/>
      <c r="O14" s="180"/>
      <c r="P14" s="180"/>
      <c r="Q14" s="180"/>
      <c r="R14" s="180"/>
    </row>
    <row r="15" spans="1:21" ht="15" customHeight="1" x14ac:dyDescent="0.25">
      <c r="A15" s="711" t="s">
        <v>261</v>
      </c>
      <c r="B15" s="712"/>
      <c r="C15" s="3"/>
      <c r="D15" s="341">
        <f>'[1]raw inland'!M12</f>
        <v>1317</v>
      </c>
      <c r="E15" s="341">
        <f>'[1]raw inland'!N12</f>
        <v>2125</v>
      </c>
      <c r="F15" s="341">
        <f>'[1]raw inland'!O12</f>
        <v>540</v>
      </c>
      <c r="G15" s="341"/>
      <c r="H15" s="341"/>
      <c r="I15" s="341"/>
      <c r="J15" s="38">
        <f>SUM(C15:G15)</f>
        <v>3982</v>
      </c>
      <c r="K15" s="339">
        <f>J15/$J$41</f>
        <v>8.5457979225684613E-2</v>
      </c>
      <c r="L15" s="334"/>
      <c r="N15" s="180"/>
      <c r="O15" s="180"/>
      <c r="P15" s="180"/>
      <c r="Q15" s="180"/>
      <c r="R15" s="180"/>
    </row>
    <row r="16" spans="1:21" ht="15" customHeight="1" x14ac:dyDescent="0.25">
      <c r="A16" s="707"/>
      <c r="B16" s="708"/>
      <c r="C16" s="436"/>
      <c r="D16" s="434" t="s">
        <v>270</v>
      </c>
      <c r="E16" s="434" t="s">
        <v>358</v>
      </c>
      <c r="F16" s="434" t="s">
        <v>296</v>
      </c>
      <c r="G16" s="434"/>
      <c r="H16" s="3"/>
      <c r="I16" s="3"/>
      <c r="J16" s="12"/>
      <c r="K16" s="1"/>
      <c r="L16" s="340"/>
      <c r="N16" s="180"/>
      <c r="O16" s="180"/>
      <c r="P16" s="180"/>
      <c r="Q16" s="180"/>
      <c r="R16" s="180"/>
    </row>
    <row r="17" spans="1:19" ht="7.5" customHeight="1" x14ac:dyDescent="0.25">
      <c r="A17" s="337"/>
      <c r="B17" s="74"/>
      <c r="C17" s="436"/>
      <c r="D17" s="434"/>
      <c r="E17" s="434"/>
      <c r="F17" s="434"/>
      <c r="G17" s="434"/>
      <c r="H17" s="3"/>
      <c r="I17" s="3"/>
      <c r="J17" s="12"/>
      <c r="K17" s="1"/>
      <c r="L17" s="340"/>
      <c r="N17" s="180"/>
      <c r="O17" s="180"/>
      <c r="P17" s="180"/>
      <c r="Q17" s="180"/>
      <c r="R17" s="180"/>
    </row>
    <row r="18" spans="1:19" ht="15" customHeight="1" x14ac:dyDescent="0.3">
      <c r="A18" s="707" t="s">
        <v>265</v>
      </c>
      <c r="B18" s="708"/>
      <c r="C18" s="351"/>
      <c r="D18" s="108">
        <f>'[1]raw inland'!M14</f>
        <v>1880.02</v>
      </c>
      <c r="E18" s="108">
        <f>'[1]raw inland'!N14</f>
        <v>4421.4799999999996</v>
      </c>
      <c r="F18" s="108">
        <f>'[1]raw inland'!O14</f>
        <v>1541.17</v>
      </c>
      <c r="G18" s="108"/>
      <c r="H18" s="341"/>
      <c r="I18" s="341"/>
      <c r="J18" s="38">
        <f>SUM(C18:G18)</f>
        <v>7842.67</v>
      </c>
      <c r="K18" s="339">
        <f>J18/$J$44</f>
        <v>3.4442943739126604E-2</v>
      </c>
      <c r="L18" s="334"/>
      <c r="N18" s="180"/>
      <c r="O18" s="180"/>
      <c r="P18" s="180"/>
      <c r="Q18" s="180"/>
      <c r="R18" s="180"/>
    </row>
    <row r="19" spans="1:19" ht="15" customHeight="1" x14ac:dyDescent="0.25">
      <c r="A19" s="707"/>
      <c r="B19" s="708"/>
      <c r="C19" s="436"/>
      <c r="D19" s="434" t="s">
        <v>355</v>
      </c>
      <c r="E19" s="434" t="s">
        <v>359</v>
      </c>
      <c r="F19" s="434" t="s">
        <v>299</v>
      </c>
      <c r="G19" s="434"/>
      <c r="H19" s="3"/>
      <c r="I19" s="3"/>
      <c r="J19" s="12"/>
      <c r="K19" s="1"/>
      <c r="L19" s="340"/>
      <c r="N19" s="180"/>
      <c r="O19" s="180"/>
      <c r="P19" s="180"/>
      <c r="Q19" s="180"/>
      <c r="R19" s="180"/>
    </row>
    <row r="20" spans="1:19" ht="18" customHeight="1" x14ac:dyDescent="0.25">
      <c r="A20" s="337"/>
      <c r="B20" s="74"/>
      <c r="C20" s="3"/>
      <c r="D20" s="3"/>
      <c r="E20" s="3"/>
      <c r="F20" s="3"/>
      <c r="G20" s="3"/>
      <c r="H20" s="3"/>
      <c r="I20" s="3"/>
      <c r="J20" s="12"/>
      <c r="K20" s="1"/>
      <c r="L20" s="334"/>
      <c r="N20" s="180"/>
      <c r="O20" s="180"/>
      <c r="P20" s="180"/>
      <c r="Q20" s="180"/>
      <c r="R20" s="180"/>
    </row>
    <row r="21" spans="1:19" ht="18" customHeight="1" x14ac:dyDescent="0.3">
      <c r="A21" s="337"/>
      <c r="B21" s="332" t="s">
        <v>360</v>
      </c>
      <c r="C21" s="5">
        <f>D21+1</f>
        <v>2011</v>
      </c>
      <c r="D21" s="5">
        <f>E21+1</f>
        <v>2010</v>
      </c>
      <c r="E21" s="5">
        <f>F21+1</f>
        <v>2009</v>
      </c>
      <c r="F21" s="5">
        <f>G21+1</f>
        <v>2008</v>
      </c>
      <c r="G21" s="5">
        <f>H21+1</f>
        <v>2007</v>
      </c>
      <c r="H21" s="5">
        <v>2006</v>
      </c>
      <c r="I21" s="5"/>
      <c r="J21" s="709" t="s">
        <v>258</v>
      </c>
      <c r="K21" s="709" t="s">
        <v>259</v>
      </c>
      <c r="L21" s="334"/>
      <c r="N21" s="180"/>
      <c r="O21" s="180"/>
      <c r="P21" s="180"/>
      <c r="Q21" s="180"/>
      <c r="R21" s="180"/>
    </row>
    <row r="22" spans="1:19" ht="18" customHeight="1" x14ac:dyDescent="0.25">
      <c r="A22" s="337"/>
      <c r="B22" s="74" t="s">
        <v>260</v>
      </c>
      <c r="C22" s="219">
        <v>1</v>
      </c>
      <c r="D22" s="219">
        <v>2</v>
      </c>
      <c r="E22" s="219">
        <v>3</v>
      </c>
      <c r="F22" s="219">
        <v>4</v>
      </c>
      <c r="G22" s="219">
        <v>5</v>
      </c>
      <c r="H22" s="219">
        <v>6</v>
      </c>
      <c r="I22" s="3"/>
      <c r="J22" s="710"/>
      <c r="K22" s="710"/>
      <c r="L22" s="334"/>
      <c r="N22" s="180"/>
      <c r="O22" s="180"/>
      <c r="P22" s="180"/>
      <c r="Q22" s="180"/>
      <c r="R22" s="180"/>
    </row>
    <row r="23" spans="1:19" ht="5.25" customHeight="1" x14ac:dyDescent="0.25">
      <c r="A23" s="337"/>
      <c r="B23" s="74"/>
      <c r="C23" s="3"/>
      <c r="D23" s="3"/>
      <c r="E23" s="3"/>
      <c r="F23" s="3"/>
      <c r="G23" s="3"/>
      <c r="H23" s="3"/>
      <c r="I23" s="3"/>
      <c r="J23" s="12"/>
      <c r="K23" s="1"/>
      <c r="L23" s="334"/>
      <c r="N23" s="180"/>
      <c r="O23" s="180"/>
      <c r="P23" s="180"/>
      <c r="Q23" s="180"/>
      <c r="R23" s="180"/>
    </row>
    <row r="24" spans="1:19" ht="15" customHeight="1" x14ac:dyDescent="0.25">
      <c r="A24" s="711" t="s">
        <v>261</v>
      </c>
      <c r="B24" s="712"/>
      <c r="C24" s="3"/>
      <c r="D24" s="341">
        <f>'[1]raw inland'!M26</f>
        <v>102</v>
      </c>
      <c r="E24" s="341">
        <f>'[1]raw inland'!N26</f>
        <v>1077</v>
      </c>
      <c r="F24" s="341">
        <f>'[1]raw inland'!O26</f>
        <v>2974</v>
      </c>
      <c r="G24" s="341">
        <f>'[1]raw inland'!P26</f>
        <v>511</v>
      </c>
      <c r="H24" s="341">
        <f>'[1]raw inland'!Q26</f>
        <v>4</v>
      </c>
      <c r="I24" s="341"/>
      <c r="J24" s="38">
        <f>SUM(D24:H24)</f>
        <v>4668</v>
      </c>
      <c r="K24" s="339">
        <f>J24/$J$41</f>
        <v>0.10018027298480556</v>
      </c>
      <c r="L24" s="334"/>
      <c r="N24" s="180"/>
      <c r="O24" s="180"/>
      <c r="P24" s="180"/>
      <c r="Q24" s="180"/>
      <c r="R24" s="180"/>
    </row>
    <row r="25" spans="1:19" ht="15" customHeight="1" x14ac:dyDescent="0.25">
      <c r="A25" s="707"/>
      <c r="B25" s="708"/>
      <c r="C25" s="3"/>
      <c r="D25" s="434" t="s">
        <v>264</v>
      </c>
      <c r="E25" s="434" t="s">
        <v>361</v>
      </c>
      <c r="F25" s="434" t="s">
        <v>362</v>
      </c>
      <c r="G25" s="434" t="s">
        <v>363</v>
      </c>
      <c r="H25" s="434" t="s">
        <v>271</v>
      </c>
      <c r="I25" s="434"/>
      <c r="J25" s="437"/>
      <c r="K25" s="1"/>
      <c r="L25" s="340"/>
      <c r="N25" s="180"/>
      <c r="O25" s="180"/>
      <c r="P25" s="180"/>
      <c r="Q25" s="180"/>
      <c r="R25" s="180"/>
      <c r="S25" s="180"/>
    </row>
    <row r="26" spans="1:19" ht="7.5" customHeight="1" x14ac:dyDescent="0.25">
      <c r="A26" s="337"/>
      <c r="B26" s="74"/>
      <c r="C26" s="3"/>
      <c r="D26" s="434"/>
      <c r="E26" s="434"/>
      <c r="F26" s="434"/>
      <c r="G26" s="434"/>
      <c r="H26" s="434"/>
      <c r="I26" s="434"/>
      <c r="J26" s="437"/>
      <c r="K26" s="1"/>
      <c r="L26" s="340"/>
      <c r="N26" s="180"/>
      <c r="O26" s="180"/>
      <c r="P26" s="180"/>
      <c r="Q26" s="180"/>
      <c r="R26" s="180"/>
    </row>
    <row r="27" spans="1:19" ht="15" customHeight="1" x14ac:dyDescent="0.3">
      <c r="A27" s="707" t="s">
        <v>265</v>
      </c>
      <c r="B27" s="708"/>
      <c r="C27" s="88"/>
      <c r="D27" s="108">
        <f>'[1]raw inland'!M28</f>
        <v>374.58</v>
      </c>
      <c r="E27" s="108">
        <f>'[1]raw inland'!N28</f>
        <v>2273.0500000000002</v>
      </c>
      <c r="F27" s="108">
        <f>'[1]raw inland'!O28</f>
        <v>3941.37</v>
      </c>
      <c r="G27" s="108">
        <f>'[1]raw inland'!P28</f>
        <v>1104.1600000000001</v>
      </c>
      <c r="H27" s="108">
        <f>'[1]raw inland'!Q28</f>
        <v>4.46</v>
      </c>
      <c r="I27" s="108"/>
      <c r="J27" s="38">
        <f>SUM(D27:H27)</f>
        <v>7697.62</v>
      </c>
      <c r="K27" s="339">
        <f>J27/$J$44</f>
        <v>3.3805922292430478E-2</v>
      </c>
      <c r="L27" s="334"/>
      <c r="N27" s="180"/>
      <c r="O27" s="180"/>
      <c r="P27" s="180"/>
      <c r="Q27" s="180"/>
      <c r="R27" s="180"/>
    </row>
    <row r="28" spans="1:19" ht="15" customHeight="1" x14ac:dyDescent="0.25">
      <c r="A28" s="707"/>
      <c r="B28" s="708"/>
      <c r="C28" s="3"/>
      <c r="D28" s="434" t="s">
        <v>283</v>
      </c>
      <c r="E28" s="434" t="s">
        <v>301</v>
      </c>
      <c r="F28" s="434" t="s">
        <v>276</v>
      </c>
      <c r="G28" s="434" t="s">
        <v>296</v>
      </c>
      <c r="H28" s="434" t="s">
        <v>271</v>
      </c>
      <c r="I28" s="434"/>
      <c r="J28" s="437"/>
      <c r="K28" s="1"/>
      <c r="L28" s="340"/>
      <c r="N28" s="180"/>
      <c r="O28" s="180"/>
      <c r="P28" s="180"/>
      <c r="Q28" s="180"/>
      <c r="R28" s="180"/>
    </row>
    <row r="29" spans="1:19" ht="18" customHeight="1" x14ac:dyDescent="0.25">
      <c r="A29" s="337"/>
      <c r="B29" s="74"/>
      <c r="C29" s="3"/>
      <c r="D29" s="436"/>
      <c r="E29" s="436"/>
      <c r="F29" s="436"/>
      <c r="G29" s="436"/>
      <c r="H29" s="436"/>
      <c r="I29" s="436"/>
      <c r="J29" s="438"/>
      <c r="K29" s="1"/>
      <c r="L29" s="334"/>
      <c r="N29" s="180"/>
      <c r="O29" s="180"/>
      <c r="P29" s="180"/>
      <c r="Q29" s="180"/>
      <c r="R29" s="180"/>
    </row>
    <row r="30" spans="1:19" ht="18" customHeight="1" x14ac:dyDescent="0.3">
      <c r="A30" s="337"/>
      <c r="B30" s="332" t="s">
        <v>42</v>
      </c>
      <c r="C30" s="5">
        <f>D30+1</f>
        <v>2011</v>
      </c>
      <c r="D30" s="5">
        <f>E30+1</f>
        <v>2010</v>
      </c>
      <c r="E30" s="5">
        <f>F30+1</f>
        <v>2009</v>
      </c>
      <c r="F30" s="5">
        <f>G30+1</f>
        <v>2008</v>
      </c>
      <c r="G30" s="5">
        <f>H30+1</f>
        <v>2007</v>
      </c>
      <c r="H30" s="5">
        <f>H21</f>
        <v>2006</v>
      </c>
      <c r="I30" s="5"/>
      <c r="J30" s="709" t="s">
        <v>258</v>
      </c>
      <c r="K30" s="709" t="s">
        <v>259</v>
      </c>
      <c r="L30" s="334"/>
      <c r="N30" s="180"/>
      <c r="O30" s="180"/>
      <c r="P30" s="180"/>
      <c r="Q30" s="180"/>
      <c r="R30" s="180"/>
    </row>
    <row r="31" spans="1:19" ht="18" customHeight="1" x14ac:dyDescent="0.25">
      <c r="A31" s="337"/>
      <c r="B31" s="74" t="s">
        <v>260</v>
      </c>
      <c r="C31" s="219">
        <v>1</v>
      </c>
      <c r="D31" s="219">
        <v>2</v>
      </c>
      <c r="E31" s="219">
        <v>3</v>
      </c>
      <c r="F31" s="219">
        <v>4</v>
      </c>
      <c r="G31" s="219">
        <v>5</v>
      </c>
      <c r="H31" s="219">
        <v>6</v>
      </c>
      <c r="I31" s="3"/>
      <c r="J31" s="710"/>
      <c r="K31" s="710"/>
      <c r="L31" s="334"/>
      <c r="N31" s="180"/>
      <c r="O31" s="180"/>
      <c r="P31" s="180"/>
      <c r="Q31" s="180"/>
      <c r="R31" s="180"/>
    </row>
    <row r="32" spans="1:19" ht="5.25" customHeight="1" x14ac:dyDescent="0.25">
      <c r="A32" s="337"/>
      <c r="B32" s="74"/>
      <c r="C32" s="3"/>
      <c r="D32" s="3"/>
      <c r="E32" s="3"/>
      <c r="F32" s="3"/>
      <c r="G32" s="3"/>
      <c r="H32" s="3"/>
      <c r="I32" s="3"/>
      <c r="J32" s="12"/>
      <c r="K32" s="1"/>
      <c r="L32" s="334"/>
      <c r="N32" s="180"/>
      <c r="O32" s="180"/>
      <c r="P32" s="180"/>
      <c r="Q32" s="180"/>
      <c r="R32" s="180"/>
    </row>
    <row r="33" spans="1:19" ht="15" customHeight="1" x14ac:dyDescent="0.25">
      <c r="A33" s="711" t="s">
        <v>261</v>
      </c>
      <c r="B33" s="712"/>
      <c r="C33" s="3"/>
      <c r="D33" s="341">
        <f>'[1]raw inland'!M19</f>
        <v>1</v>
      </c>
      <c r="E33" s="341">
        <f>'[1]raw inland'!N19</f>
        <v>1</v>
      </c>
      <c r="F33" s="341"/>
      <c r="G33" s="341"/>
      <c r="H33" s="341"/>
      <c r="I33" s="341"/>
      <c r="J33" s="38">
        <f>SUM(D33:H33)</f>
        <v>2</v>
      </c>
      <c r="K33" s="339">
        <f>J33/$J$41</f>
        <v>4.292213923941969E-5</v>
      </c>
      <c r="L33" s="334"/>
      <c r="N33" s="180"/>
      <c r="O33" s="180"/>
      <c r="P33" s="180"/>
      <c r="Q33" s="180"/>
      <c r="R33" s="180"/>
    </row>
    <row r="34" spans="1:19" ht="15" customHeight="1" x14ac:dyDescent="0.25">
      <c r="A34" s="707"/>
      <c r="B34" s="708"/>
      <c r="C34" s="3"/>
      <c r="D34" s="434" t="s">
        <v>274</v>
      </c>
      <c r="E34" s="434" t="s">
        <v>274</v>
      </c>
      <c r="F34" s="434"/>
      <c r="G34" s="434"/>
      <c r="H34" s="434"/>
      <c r="I34" s="434"/>
      <c r="J34" s="437"/>
      <c r="K34" s="1"/>
      <c r="L34" s="334"/>
      <c r="N34" s="180"/>
      <c r="O34" s="180"/>
      <c r="P34" s="180"/>
      <c r="Q34" s="180"/>
      <c r="R34" s="180"/>
    </row>
    <row r="35" spans="1:19" ht="7.5" customHeight="1" x14ac:dyDescent="0.25">
      <c r="A35" s="337"/>
      <c r="B35" s="74"/>
      <c r="C35" s="3"/>
      <c r="D35" s="434"/>
      <c r="E35" s="434"/>
      <c r="F35" s="434"/>
      <c r="G35" s="434"/>
      <c r="H35" s="434"/>
      <c r="I35" s="434"/>
      <c r="J35" s="437"/>
      <c r="K35" s="1"/>
      <c r="L35" s="334"/>
      <c r="N35" s="180"/>
      <c r="O35" s="180"/>
      <c r="P35" s="180"/>
      <c r="Q35" s="180"/>
      <c r="R35" s="180"/>
    </row>
    <row r="36" spans="1:19" ht="15" customHeight="1" x14ac:dyDescent="0.3">
      <c r="A36" s="707" t="s">
        <v>265</v>
      </c>
      <c r="B36" s="708"/>
      <c r="C36" s="88"/>
      <c r="D36" s="108">
        <f>'[1]raw inland'!M21</f>
        <v>2.08</v>
      </c>
      <c r="E36" s="108">
        <f>'[1]raw inland'!N21</f>
        <v>2.12</v>
      </c>
      <c r="F36" s="108"/>
      <c r="G36" s="108"/>
      <c r="H36" s="108"/>
      <c r="I36" s="108"/>
      <c r="J36" s="38">
        <f>SUM(D36:H36)</f>
        <v>4.2</v>
      </c>
      <c r="K36" s="339">
        <f>J36/$J$44</f>
        <v>1.8445295250766863E-5</v>
      </c>
      <c r="L36" s="334"/>
      <c r="N36" s="180"/>
      <c r="O36" s="180"/>
      <c r="P36" s="180"/>
      <c r="Q36" s="180"/>
      <c r="R36" s="180"/>
    </row>
    <row r="37" spans="1:19" ht="15" customHeight="1" x14ac:dyDescent="0.25">
      <c r="A37" s="707"/>
      <c r="B37" s="708"/>
      <c r="C37" s="3"/>
      <c r="D37" s="434" t="s">
        <v>274</v>
      </c>
      <c r="E37" s="434" t="s">
        <v>274</v>
      </c>
      <c r="F37" s="434"/>
      <c r="G37" s="434"/>
      <c r="H37" s="434"/>
      <c r="I37" s="434"/>
      <c r="J37" s="437"/>
      <c r="K37" s="1"/>
      <c r="L37" s="334"/>
      <c r="N37" s="180"/>
      <c r="O37" s="180"/>
      <c r="P37" s="180"/>
      <c r="Q37" s="180"/>
      <c r="R37" s="180"/>
    </row>
    <row r="38" spans="1:19" ht="16.899999999999999" customHeight="1" x14ac:dyDescent="0.3">
      <c r="A38" s="337"/>
      <c r="B38" s="332" t="s">
        <v>278</v>
      </c>
      <c r="C38" s="3"/>
      <c r="D38" s="439"/>
      <c r="E38" s="439"/>
      <c r="F38" s="439"/>
      <c r="G38" s="439"/>
      <c r="H38" s="439"/>
      <c r="I38" s="439"/>
      <c r="J38" s="709" t="s">
        <v>258</v>
      </c>
      <c r="K38" s="709" t="s">
        <v>259</v>
      </c>
      <c r="L38" s="334"/>
    </row>
    <row r="39" spans="1:19" x14ac:dyDescent="0.25">
      <c r="A39" s="337"/>
      <c r="B39" s="74" t="s">
        <v>260</v>
      </c>
      <c r="C39" s="219">
        <v>1</v>
      </c>
      <c r="D39" s="219">
        <v>2</v>
      </c>
      <c r="E39" s="219">
        <v>3</v>
      </c>
      <c r="F39" s="219">
        <v>4</v>
      </c>
      <c r="G39" s="219">
        <v>5</v>
      </c>
      <c r="H39" s="219">
        <v>6</v>
      </c>
      <c r="I39" s="3"/>
      <c r="J39" s="710"/>
      <c r="K39" s="710"/>
      <c r="L39" s="334"/>
      <c r="M39" s="127"/>
    </row>
    <row r="40" spans="1:19" x14ac:dyDescent="0.25">
      <c r="A40" s="337"/>
      <c r="B40" s="74"/>
      <c r="C40" s="3"/>
      <c r="D40" s="3"/>
      <c r="E40" s="3"/>
      <c r="F40" s="3"/>
      <c r="G40" s="3"/>
      <c r="H40" s="3"/>
      <c r="I40" s="3"/>
      <c r="J40" s="12"/>
      <c r="K40" s="1"/>
      <c r="L40" s="334"/>
      <c r="M40" s="127"/>
    </row>
    <row r="41" spans="1:19" x14ac:dyDescent="0.25">
      <c r="A41" s="711" t="s">
        <v>261</v>
      </c>
      <c r="B41" s="712"/>
      <c r="C41" s="341">
        <f t="shared" ref="C41:H41" si="0">C33+C24+C15+C6</f>
        <v>3</v>
      </c>
      <c r="D41" s="341">
        <f t="shared" si="0"/>
        <v>28926</v>
      </c>
      <c r="E41" s="341">
        <f t="shared" si="0"/>
        <v>12256</v>
      </c>
      <c r="F41" s="341">
        <f t="shared" si="0"/>
        <v>4895</v>
      </c>
      <c r="G41" s="341">
        <f t="shared" si="0"/>
        <v>512</v>
      </c>
      <c r="H41" s="341">
        <f t="shared" si="0"/>
        <v>4</v>
      </c>
      <c r="I41" s="341"/>
      <c r="J41" s="38">
        <f>SUM(C41:I41)</f>
        <v>46596</v>
      </c>
      <c r="K41" s="339">
        <f>K33+K24+K15+K6</f>
        <v>1</v>
      </c>
      <c r="L41" s="334"/>
    </row>
    <row r="42" spans="1:19" x14ac:dyDescent="0.25">
      <c r="A42" s="707"/>
      <c r="B42" s="708"/>
      <c r="C42" s="434" t="s">
        <v>271</v>
      </c>
      <c r="D42" s="434" t="s">
        <v>272</v>
      </c>
      <c r="E42" s="434" t="s">
        <v>364</v>
      </c>
      <c r="F42" s="434" t="s">
        <v>363</v>
      </c>
      <c r="G42" s="434" t="s">
        <v>268</v>
      </c>
      <c r="H42" s="434" t="s">
        <v>271</v>
      </c>
      <c r="I42" s="434"/>
      <c r="J42" s="437"/>
      <c r="K42" s="336"/>
      <c r="L42" s="334"/>
      <c r="N42" s="150"/>
      <c r="O42" s="180"/>
      <c r="P42" s="180"/>
      <c r="Q42" s="180"/>
      <c r="R42" s="180"/>
      <c r="S42" s="150"/>
    </row>
    <row r="43" spans="1:19" x14ac:dyDescent="0.25">
      <c r="A43" s="337"/>
      <c r="B43" s="74"/>
      <c r="C43" s="434"/>
      <c r="D43" s="434"/>
      <c r="E43" s="434"/>
      <c r="F43" s="434"/>
      <c r="G43" s="434"/>
      <c r="H43" s="434"/>
      <c r="I43" s="434"/>
      <c r="J43" s="437"/>
      <c r="K43" s="336"/>
      <c r="L43" s="334"/>
      <c r="N43" s="180"/>
      <c r="O43" s="180"/>
      <c r="P43" s="180"/>
      <c r="Q43" s="180"/>
      <c r="R43" s="180"/>
      <c r="S43" s="180"/>
    </row>
    <row r="44" spans="1:19" ht="13" x14ac:dyDescent="0.3">
      <c r="A44" s="707" t="s">
        <v>265</v>
      </c>
      <c r="B44" s="708"/>
      <c r="C44" s="108">
        <f t="shared" ref="C44:H44" si="1">C9+C18+C27+C36</f>
        <v>46.56</v>
      </c>
      <c r="D44" s="108">
        <f t="shared" si="1"/>
        <v>124195.68000000001</v>
      </c>
      <c r="E44" s="108">
        <f t="shared" si="1"/>
        <v>83449.649999999994</v>
      </c>
      <c r="F44" s="108">
        <f t="shared" si="1"/>
        <v>18894.54</v>
      </c>
      <c r="G44" s="108">
        <f t="shared" si="1"/>
        <v>1108.45</v>
      </c>
      <c r="H44" s="108">
        <f t="shared" si="1"/>
        <v>4.46</v>
      </c>
      <c r="I44" s="108"/>
      <c r="J44" s="38">
        <f>SUM(C44:H44)+1</f>
        <v>227700.34000000003</v>
      </c>
      <c r="K44" s="339">
        <f>K36+K27+K18+K9</f>
        <v>0.99999560826303546</v>
      </c>
      <c r="L44" s="334"/>
      <c r="N44" s="180"/>
      <c r="O44" s="180"/>
      <c r="P44" s="180"/>
      <c r="Q44" s="180"/>
      <c r="R44" s="180"/>
      <c r="S44" s="180"/>
    </row>
    <row r="45" spans="1:19" x14ac:dyDescent="0.25">
      <c r="A45" s="707"/>
      <c r="B45" s="708"/>
      <c r="C45" s="434" t="s">
        <v>271</v>
      </c>
      <c r="D45" s="434" t="s">
        <v>358</v>
      </c>
      <c r="E45" s="434" t="s">
        <v>365</v>
      </c>
      <c r="F45" s="434" t="s">
        <v>282</v>
      </c>
      <c r="G45" s="434" t="s">
        <v>271</v>
      </c>
      <c r="H45" s="434" t="s">
        <v>271</v>
      </c>
      <c r="I45" s="434"/>
      <c r="J45" s="434"/>
      <c r="L45" s="334"/>
      <c r="N45" s="180"/>
      <c r="O45" s="180"/>
      <c r="P45" s="180"/>
      <c r="Q45" s="180"/>
      <c r="R45" s="327"/>
      <c r="S45" s="150"/>
    </row>
    <row r="46" spans="1:19" x14ac:dyDescent="0.25">
      <c r="A46" s="347"/>
      <c r="B46" s="348"/>
      <c r="C46" s="440"/>
      <c r="D46" s="440" t="s">
        <v>284</v>
      </c>
      <c r="E46" s="440"/>
      <c r="F46" s="440"/>
      <c r="G46" s="440"/>
      <c r="H46" s="440"/>
      <c r="I46" s="440"/>
      <c r="J46" s="440"/>
      <c r="K46" s="110"/>
      <c r="L46" s="350"/>
    </row>
  </sheetData>
  <mergeCells count="30">
    <mergeCell ref="A45:B45"/>
    <mergeCell ref="J30:J31"/>
    <mergeCell ref="K30:K31"/>
    <mergeCell ref="A33:B33"/>
    <mergeCell ref="A34:B34"/>
    <mergeCell ref="A36:B36"/>
    <mergeCell ref="A37:B37"/>
    <mergeCell ref="J38:J39"/>
    <mergeCell ref="K38:K39"/>
    <mergeCell ref="A41:B41"/>
    <mergeCell ref="A42:B42"/>
    <mergeCell ref="A44:B44"/>
    <mergeCell ref="A28:B28"/>
    <mergeCell ref="J12:J13"/>
    <mergeCell ref="K12:K13"/>
    <mergeCell ref="A15:B15"/>
    <mergeCell ref="A16:B16"/>
    <mergeCell ref="A18:B18"/>
    <mergeCell ref="A19:B19"/>
    <mergeCell ref="J21:J22"/>
    <mergeCell ref="K21:K22"/>
    <mergeCell ref="A24:B24"/>
    <mergeCell ref="A25:B25"/>
    <mergeCell ref="A27:B27"/>
    <mergeCell ref="A10:B10"/>
    <mergeCell ref="J3:J4"/>
    <mergeCell ref="K3:K4"/>
    <mergeCell ref="A6:B6"/>
    <mergeCell ref="A7:B7"/>
    <mergeCell ref="A9:B9"/>
  </mergeCells>
  <printOptions horizontalCentered="1"/>
  <pageMargins left="0.5" right="0.28999999999999998" top="0.75" bottom="1" header="0.5" footer="0.5"/>
  <pageSetup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91FBB-954E-4047-BC64-B0B9BB82E532}">
  <sheetPr>
    <pageSetUpPr fitToPage="1"/>
  </sheetPr>
  <dimension ref="A1:AC51"/>
  <sheetViews>
    <sheetView showGridLines="0" showZeros="0" topLeftCell="A9" workbookViewId="0">
      <selection activeCell="AC29" sqref="AC29"/>
    </sheetView>
  </sheetViews>
  <sheetFormatPr defaultRowHeight="12.5" x14ac:dyDescent="0.25"/>
  <cols>
    <col min="1" max="1" width="21.26953125" customWidth="1"/>
    <col min="2" max="2" width="8.81640625" style="1" hidden="1" customWidth="1"/>
    <col min="3" max="3" width="6.54296875" style="1" hidden="1" customWidth="1"/>
    <col min="4" max="4" width="8.453125" style="1" bestFit="1" customWidth="1"/>
    <col min="5" max="25" width="7.1796875" customWidth="1"/>
    <col min="26" max="26" width="6.81640625" customWidth="1"/>
    <col min="27" max="27" width="8.81640625" customWidth="1"/>
    <col min="28" max="28" width="8.453125" customWidth="1"/>
    <col min="29" max="29" width="8.26953125" customWidth="1"/>
    <col min="30" max="30" width="1" customWidth="1"/>
  </cols>
  <sheetData>
    <row r="1" spans="1:29" ht="21.75" customHeight="1" x14ac:dyDescent="0.25">
      <c r="A1" s="352" t="s">
        <v>305</v>
      </c>
    </row>
    <row r="2" spans="1:29" ht="6" customHeight="1" x14ac:dyDescent="0.25">
      <c r="A2" s="329"/>
      <c r="B2" s="7"/>
      <c r="C2" s="7"/>
      <c r="D2" s="7"/>
      <c r="E2" s="6"/>
      <c r="F2" s="6"/>
      <c r="G2" s="6"/>
      <c r="H2" s="6"/>
      <c r="I2" s="6"/>
      <c r="J2" s="353"/>
      <c r="K2" s="353"/>
      <c r="L2" s="6"/>
      <c r="M2" s="6"/>
      <c r="N2" s="6"/>
      <c r="O2" s="6"/>
      <c r="P2" s="6"/>
      <c r="Q2" s="6"/>
      <c r="R2" s="6"/>
      <c r="S2" s="6"/>
      <c r="T2" s="6"/>
      <c r="U2" s="6"/>
      <c r="V2" s="6"/>
      <c r="W2" s="6"/>
      <c r="X2" s="6"/>
      <c r="Y2" s="6"/>
      <c r="Z2" s="6"/>
      <c r="AA2" s="6"/>
      <c r="AB2" s="6"/>
      <c r="AC2" s="330"/>
    </row>
    <row r="3" spans="1:29" ht="16.5" customHeight="1" x14ac:dyDescent="0.3">
      <c r="A3" s="354"/>
      <c r="E3" s="720" t="s">
        <v>41</v>
      </c>
      <c r="F3" s="721"/>
      <c r="G3" s="721"/>
      <c r="H3" s="721"/>
      <c r="I3" s="721"/>
      <c r="J3" s="720" t="s">
        <v>306</v>
      </c>
      <c r="K3" s="721"/>
      <c r="L3" s="721"/>
      <c r="M3" s="721"/>
      <c r="N3" s="721"/>
      <c r="O3" s="721"/>
      <c r="P3" s="721"/>
      <c r="Q3" s="721"/>
      <c r="R3" s="720" t="s">
        <v>307</v>
      </c>
      <c r="S3" s="721"/>
      <c r="T3" s="721"/>
      <c r="U3" s="720" t="s">
        <v>308</v>
      </c>
      <c r="V3" s="721"/>
      <c r="W3" s="721"/>
      <c r="X3" s="721"/>
      <c r="Y3" s="721"/>
      <c r="Z3" s="355"/>
      <c r="AA3" s="722" t="s">
        <v>132</v>
      </c>
      <c r="AB3" s="722"/>
      <c r="AC3" s="356" t="s">
        <v>9</v>
      </c>
    </row>
    <row r="4" spans="1:29" ht="15.75" customHeight="1" x14ac:dyDescent="0.3">
      <c r="A4" s="357" t="s">
        <v>17</v>
      </c>
      <c r="B4" s="24" t="s">
        <v>14</v>
      </c>
      <c r="C4" s="24" t="s">
        <v>15</v>
      </c>
      <c r="D4" s="18" t="s">
        <v>18</v>
      </c>
      <c r="E4" s="19" t="s">
        <v>159</v>
      </c>
      <c r="F4" s="19" t="s">
        <v>309</v>
      </c>
      <c r="G4" s="19" t="s">
        <v>160</v>
      </c>
      <c r="H4" s="19" t="s">
        <v>22</v>
      </c>
      <c r="I4" s="19" t="s">
        <v>310</v>
      </c>
      <c r="J4" s="358" t="s">
        <v>23</v>
      </c>
      <c r="K4" s="19" t="s">
        <v>183</v>
      </c>
      <c r="L4" s="19" t="s">
        <v>253</v>
      </c>
      <c r="M4" s="19" t="s">
        <v>25</v>
      </c>
      <c r="N4" s="19" t="s">
        <v>184</v>
      </c>
      <c r="O4" s="19" t="s">
        <v>311</v>
      </c>
      <c r="P4" s="19" t="s">
        <v>233</v>
      </c>
      <c r="Q4" s="359" t="s">
        <v>312</v>
      </c>
      <c r="R4" s="19" t="s">
        <v>27</v>
      </c>
      <c r="S4" s="19" t="s">
        <v>28</v>
      </c>
      <c r="T4" s="19" t="s">
        <v>313</v>
      </c>
      <c r="U4" s="358" t="s">
        <v>29</v>
      </c>
      <c r="V4" s="19" t="s">
        <v>30</v>
      </c>
      <c r="W4" s="19" t="s">
        <v>234</v>
      </c>
      <c r="X4" s="19" t="s">
        <v>314</v>
      </c>
      <c r="Y4" s="359" t="s">
        <v>33</v>
      </c>
      <c r="Z4" s="200" t="s">
        <v>198</v>
      </c>
      <c r="AA4" s="360" t="s">
        <v>36</v>
      </c>
      <c r="AB4" s="361" t="s">
        <v>37</v>
      </c>
      <c r="AC4" s="362" t="s">
        <v>18</v>
      </c>
    </row>
    <row r="5" spans="1:29" ht="3.75" customHeight="1" x14ac:dyDescent="0.3">
      <c r="A5" s="363"/>
      <c r="B5" s="11"/>
      <c r="C5" s="11"/>
      <c r="D5" s="11"/>
      <c r="E5" s="88"/>
      <c r="F5" s="88"/>
      <c r="G5" s="88"/>
      <c r="H5" s="88"/>
      <c r="I5" s="88"/>
      <c r="J5" s="364"/>
      <c r="K5" s="365"/>
      <c r="L5" s="365"/>
      <c r="M5" s="365"/>
      <c r="N5" s="365"/>
      <c r="O5" s="365"/>
      <c r="P5" s="365"/>
      <c r="Q5" s="366"/>
      <c r="R5" s="365"/>
      <c r="S5" s="365"/>
      <c r="T5" s="365"/>
      <c r="U5" s="364"/>
      <c r="V5" s="365"/>
      <c r="W5" s="365"/>
      <c r="X5" s="365"/>
      <c r="Y5" s="366"/>
      <c r="Z5" s="367"/>
      <c r="AA5" s="368"/>
      <c r="AB5" s="366"/>
      <c r="AC5" s="369"/>
    </row>
    <row r="6" spans="1:29" ht="15" customHeight="1" x14ac:dyDescent="0.3">
      <c r="A6" s="370" t="s">
        <v>39</v>
      </c>
      <c r="B6" s="11"/>
      <c r="C6" s="11"/>
      <c r="D6" s="11"/>
      <c r="E6" s="88"/>
      <c r="F6" s="88"/>
      <c r="G6" s="88"/>
      <c r="H6" s="88"/>
      <c r="I6" s="88"/>
      <c r="J6" s="371"/>
      <c r="K6" s="88"/>
      <c r="L6" s="88"/>
      <c r="M6" s="88"/>
      <c r="N6" s="88"/>
      <c r="O6" s="88"/>
      <c r="P6" s="88"/>
      <c r="Q6" s="372"/>
      <c r="R6" s="88"/>
      <c r="S6" s="88"/>
      <c r="T6" s="88"/>
      <c r="U6" s="371"/>
      <c r="V6" s="88"/>
      <c r="W6" s="88"/>
      <c r="X6" s="88"/>
      <c r="Y6" s="372"/>
      <c r="Z6" s="373"/>
      <c r="AA6" s="374"/>
      <c r="AB6" s="372"/>
      <c r="AC6" s="375"/>
    </row>
    <row r="7" spans="1:29" ht="16.5" customHeight="1" x14ac:dyDescent="0.25">
      <c r="A7" s="354" t="s">
        <v>315</v>
      </c>
      <c r="B7" t="s">
        <v>40</v>
      </c>
      <c r="C7" t="s">
        <v>316</v>
      </c>
      <c r="D7" t="s">
        <v>317</v>
      </c>
      <c r="E7" s="376">
        <f>IF('[3]actual CWTs exp'!E4/'[3]actual CWTs exp'!$AC4&gt;0.0005,'[3]actual CWTs exp'!E4/'[3]actual CWTs exp'!$AC4,IF('[3]actual CWTs exp'!E4/'[3]actual CWTs exp'!$AC4&gt;0,"*     "," "))</f>
        <v>0.98434053815615352</v>
      </c>
      <c r="F7" s="376" t="str">
        <f>IF('[3]actual CWTs exp'!F4/'[3]actual CWTs exp'!$AC4&gt;0.0005,'[3]actual CWTs exp'!F4/'[3]actual CWTs exp'!$AC4,IF('[3]actual CWTs exp'!F4/'[3]actual CWTs exp'!$AC4&gt;0,"-     "," "))</f>
        <v xml:space="preserve">-     </v>
      </c>
      <c r="G7" s="376">
        <f>IF('[3]actual CWTs exp'!G4/'[3]actual CWTs exp'!$AC4&gt;0.0005,'[3]actual CWTs exp'!G4/'[3]actual CWTs exp'!$AC4,IF('[3]actual CWTs exp'!G4/'[3]actual CWTs exp'!$AC4&gt;0,"-     "," "))</f>
        <v>2.0291133656815175E-2</v>
      </c>
      <c r="H7" s="376">
        <f>IF('[3]actual CWTs exp'!H4/'[3]actual CWTs exp'!$AC4&gt;0.0005,'[3]actual CWTs exp'!H4/'[3]actual CWTs exp'!$AC4,IF('[3]actual CWTs exp'!H4/'[3]actual CWTs exp'!$AC4&gt;0,"-     "," "))</f>
        <v>8.8222320247022495E-4</v>
      </c>
      <c r="I7" s="376" t="str">
        <f>IF('[3]actual CWTs exp'!I4/'[3]actual CWTs exp'!$AC4&gt;0.0005,'[3]actual CWTs exp'!I4/'[3]actual CWTs exp'!$AC4,IF('[3]actual CWTs exp'!I4/'[3]actual CWTs exp'!$AC4&gt;0,"-     "," "))</f>
        <v xml:space="preserve"> </v>
      </c>
      <c r="J7" s="377" t="str">
        <f>IF('[3]actual CWTs exp'!J4/'[3]actual CWTs exp'!$AC4&gt;0.0005,'[3]actual CWTs exp'!J4/'[3]actual CWTs exp'!$AC4,IF('[3]actual CWTs exp'!J4/'[3]actual CWTs exp'!$AC4&gt;0,"-     "," "))</f>
        <v xml:space="preserve"> </v>
      </c>
      <c r="K7" s="376" t="str">
        <f>IF('[3]actual CWTs exp'!K4/'[3]actual CWTs exp'!$AC4&gt;0.0005,'[3]actual CWTs exp'!K4/'[3]actual CWTs exp'!$AC4,IF('[3]actual CWTs exp'!K4/'[3]actual CWTs exp'!$AC4&gt;0,"-     "," "))</f>
        <v xml:space="preserve"> </v>
      </c>
      <c r="L7" s="376" t="str">
        <f>IF('[3]actual CWTs exp'!L4/'[3]actual CWTs exp'!$AC4&gt;0.0005,'[3]actual CWTs exp'!L4/'[3]actual CWTs exp'!$AC4,IF('[3]actual CWTs exp'!L4/'[3]actual CWTs exp'!$AC4&gt;0,"-     "," "))</f>
        <v xml:space="preserve"> </v>
      </c>
      <c r="M7" s="376" t="str">
        <f>IF('[3]actual CWTs exp'!M4/'[3]actual CWTs exp'!$AC4&gt;0.0005,'[3]actual CWTs exp'!M4/'[3]actual CWTs exp'!$AC4,IF('[3]actual CWTs exp'!M4/'[3]actual CWTs exp'!$AC4&gt;0,"-     "," "))</f>
        <v xml:space="preserve"> </v>
      </c>
      <c r="N7" s="376" t="str">
        <f>IF('[3]actual CWTs exp'!N4/'[3]actual CWTs exp'!$AC4&gt;0.0005,'[3]actual CWTs exp'!N4/'[3]actual CWTs exp'!$AC4,IF('[3]actual CWTs exp'!N4/'[3]actual CWTs exp'!$AC4&gt;0,"-     "," "))</f>
        <v xml:space="preserve"> </v>
      </c>
      <c r="O7" s="376" t="str">
        <f>IF('[3]actual CWTs exp'!O4/'[3]actual CWTs exp'!$AC4&gt;0.0005,'[3]actual CWTs exp'!O4/'[3]actual CWTs exp'!$AC4,IF('[3]actual CWTs exp'!O4/'[3]actual CWTs exp'!$AC4&gt;0,"-     "," "))</f>
        <v xml:space="preserve"> </v>
      </c>
      <c r="P7" s="376" t="str">
        <f>IF('[3]actual CWTs exp'!P4/'[3]actual CWTs exp'!$AC4&gt;0.0005,'[3]actual CWTs exp'!P4/'[3]actual CWTs exp'!$AC4,IF('[3]actual CWTs exp'!P4/'[3]actual CWTs exp'!$AC4&gt;0,"-     "," "))</f>
        <v xml:space="preserve"> </v>
      </c>
      <c r="Q7" s="378" t="str">
        <f>IF('[3]actual CWTs exp'!Q4/'[3]actual CWTs exp'!$AC4&gt;0.0005,'[3]actual CWTs exp'!Q4/'[3]actual CWTs exp'!$AC4,IF('[3]actual CWTs exp'!Q4/'[3]actual CWTs exp'!$AC4&gt;0,"-     "," "))</f>
        <v xml:space="preserve"> </v>
      </c>
      <c r="R7" s="376" t="str">
        <f>IF('[3]actual CWTs exp'!R4/'[3]actual CWTs exp'!$AC4&gt;0.0005,'[3]actual CWTs exp'!R4/'[3]actual CWTs exp'!$AC4,IF('[3]actual CWTs exp'!R4/'[3]actual CWTs exp'!$AC4&gt;0,"-     "," "))</f>
        <v xml:space="preserve"> </v>
      </c>
      <c r="S7" s="376" t="str">
        <f>IF('[3]actual CWTs exp'!S4/'[3]actual CWTs exp'!$AC4&gt;0.0005,'[3]actual CWTs exp'!S4/'[3]actual CWTs exp'!$AC4,IF('[3]actual CWTs exp'!S4/'[3]actual CWTs exp'!$AC4&gt;0,"-     "," "))</f>
        <v xml:space="preserve"> </v>
      </c>
      <c r="T7" s="144" t="str">
        <f>IF('[3]actual CWTs exp'!T4/'[3]actual CWTs exp'!$AC4&gt;0.0005,'[3]actual CWTs exp'!T4/'[3]actual CWTs exp'!$AC4,IF('[3]actual CWTs exp'!T4/'[3]actual CWTs exp'!$AC4&gt;0,"-     "," "))</f>
        <v xml:space="preserve">-     </v>
      </c>
      <c r="U7" s="377" t="str">
        <f>IF('[3]actual CWTs exp'!U4/'[3]actual CWTs exp'!$AC4&gt;0.0005,'[3]actual CWTs exp'!U4/'[3]actual CWTs exp'!$AC4,IF('[3]actual CWTs exp'!U4/'[3]actual CWTs exp'!$AC4&gt;0,"-     "," "))</f>
        <v xml:space="preserve"> </v>
      </c>
      <c r="V7" s="376" t="str">
        <f>IF('[3]actual CWTs exp'!V4/'[3]actual CWTs exp'!$AC4&gt;0.0005,'[3]actual CWTs exp'!V4/'[3]actual CWTs exp'!$AC4,IF('[3]actual CWTs exp'!V4/'[3]actual CWTs exp'!$AC4&gt;0,"-     "," "))</f>
        <v xml:space="preserve"> </v>
      </c>
      <c r="W7" s="144" t="str">
        <f>IF('[3]actual CWTs exp'!W4/'[3]actual CWTs exp'!$AC4&gt;0.0005,'[3]actual CWTs exp'!W4/'[3]actual CWTs exp'!$AC4,IF('[3]actual CWTs exp'!W4/'[3]actual CWTs exp'!$AC4&gt;0,"-     "," "))</f>
        <v xml:space="preserve">-     </v>
      </c>
      <c r="X7" s="376" t="str">
        <f>IF('[3]actual CWTs exp'!X4/'[3]actual CWTs exp'!$AC4&gt;0.0005,'[3]actual CWTs exp'!X4/'[3]actual CWTs exp'!$AC4,IF('[3]actual CWTs exp'!X4/'[3]actual CWTs exp'!$AC4&gt;0,"-     "," "))</f>
        <v xml:space="preserve"> </v>
      </c>
      <c r="Y7" s="378" t="str">
        <f>IF('[3]actual CWTs exp'!Y4/'[3]actual CWTs exp'!$AC4&gt;0.0005,'[3]actual CWTs exp'!Y4/'[3]actual CWTs exp'!$AC4,IF('[3]actual CWTs exp'!Y4/'[3]actual CWTs exp'!$AC4&gt;0,"-     "," "))</f>
        <v xml:space="preserve"> </v>
      </c>
      <c r="Z7" s="379" t="str">
        <f>IF('[3]actual CWTs exp'!Z4/'[3]actual CWTs exp'!$AC4&gt;0.0005,'[3]actual CWTs exp'!Z4/'[3]actual CWTs exp'!$AC4,IF('[3]actual CWTs exp'!Z4/'[3]actual CWTs exp'!$AC4&gt;0,"-     "," "))</f>
        <v xml:space="preserve"> </v>
      </c>
      <c r="AA7" s="380">
        <v>1</v>
      </c>
      <c r="AB7" s="381">
        <v>9.9999999999999995E-7</v>
      </c>
      <c r="AC7" s="382">
        <f>'[3]actual CWTs exp'!AC4</f>
        <v>4534</v>
      </c>
    </row>
    <row r="8" spans="1:29" ht="16.5" customHeight="1" x14ac:dyDescent="0.25">
      <c r="A8" s="383" t="s">
        <v>46</v>
      </c>
      <c r="B8" t="s">
        <v>45</v>
      </c>
      <c r="C8" t="s">
        <v>316</v>
      </c>
      <c r="D8" t="s">
        <v>47</v>
      </c>
      <c r="E8" s="376" t="str">
        <f>IF('[3]actual CWTs exp'!E5/'[3]actual CWTs exp'!$AC5&gt;0.0005,'[3]actual CWTs exp'!E5/'[3]actual CWTs exp'!$AC5,IF('[3]actual CWTs exp'!E5/'[3]actual CWTs exp'!$AC5&gt;0,"-     "," "))</f>
        <v xml:space="preserve"> </v>
      </c>
      <c r="F8" s="376" t="str">
        <f>IF('[3]actual CWTs exp'!F5/'[3]actual CWTs exp'!$AC5&gt;0.0005,'[3]actual CWTs exp'!F5/'[3]actual CWTs exp'!$AC5,IF('[3]actual CWTs exp'!F5/'[3]actual CWTs exp'!$AC5&gt;0,"-     "," "))</f>
        <v xml:space="preserve"> </v>
      </c>
      <c r="G8" s="376" t="str">
        <f>IF('[3]actual CWTs exp'!G5/'[3]actual CWTs exp'!$AC5&gt;0.0005,'[3]actual CWTs exp'!G5/'[3]actual CWTs exp'!$AC5,IF('[3]actual CWTs exp'!G5/'[3]actual CWTs exp'!$AC5&gt;0,"-     "," "))</f>
        <v xml:space="preserve"> </v>
      </c>
      <c r="H8" s="376" t="str">
        <f>IF('[3]actual CWTs exp'!H5/'[3]actual CWTs exp'!$AC5&gt;0.0005,'[3]actual CWTs exp'!H5/'[3]actual CWTs exp'!$AC5,IF('[3]actual CWTs exp'!H5/'[3]actual CWTs exp'!$AC5&gt;0,"-     "," "))</f>
        <v xml:space="preserve"> </v>
      </c>
      <c r="I8" s="376" t="str">
        <f>IF('[3]actual CWTs exp'!I5/'[3]actual CWTs exp'!$AC5&gt;0.0005,'[3]actual CWTs exp'!I5/'[3]actual CWTs exp'!$AC5,IF('[3]actual CWTs exp'!I5/'[3]actual CWTs exp'!$AC5&gt;0,"-     "," "))</f>
        <v xml:space="preserve"> </v>
      </c>
      <c r="J8" s="377">
        <f>IF('[3]actual CWTs exp'!J5/'[3]actual CWTs exp'!$AC5&gt;0.0005,'[3]actual CWTs exp'!J5/'[3]actual CWTs exp'!$AC5,IF('[3]actual CWTs exp'!J5/'[3]actual CWTs exp'!$AC5&gt;0,"-     "," "))</f>
        <v>0.24225495175215844</v>
      </c>
      <c r="K8" s="376">
        <f>IF('[3]actual CWTs exp'!K5/'[3]actual CWTs exp'!$AC5&gt;0.0005,'[3]actual CWTs exp'!K5/'[3]actual CWTs exp'!$AC5,IF('[3]actual CWTs exp'!K5/'[3]actual CWTs exp'!$AC5&gt;0,"-     "," "))</f>
        <v>0.29507364144235654</v>
      </c>
      <c r="L8" s="376">
        <f>IF('[3]actual CWTs exp'!L5/'[3]actual CWTs exp'!$AC5&gt;0.0005,'[3]actual CWTs exp'!L5/'[3]actual CWTs exp'!$AC5,IF('[3]actual CWTs exp'!L5/'[3]actual CWTs exp'!$AC5&gt;0,"-     "," "))</f>
        <v>6.4499746063991878E-2</v>
      </c>
      <c r="M8" s="376">
        <f>IF('[3]actual CWTs exp'!M5/'[3]actual CWTs exp'!$AC5&gt;0.0005,'[3]actual CWTs exp'!M5/'[3]actual CWTs exp'!$AC5,IF('[3]actual CWTs exp'!M5/'[3]actual CWTs exp'!$AC5&gt;0,"-     "," "))</f>
        <v>0.33113255459624175</v>
      </c>
      <c r="N8" s="376" t="str">
        <f>IF('[3]actual CWTs exp'!N5/'[3]actual CWTs exp'!$AC5&gt;0.0005,'[3]actual CWTs exp'!N5/'[3]actual CWTs exp'!$AC5,IF('[3]actual CWTs exp'!N5/'[3]actual CWTs exp'!$AC5&gt;0,"-     "," "))</f>
        <v xml:space="preserve"> </v>
      </c>
      <c r="O8" s="376" t="str">
        <f>IF('[3]actual CWTs exp'!O5/'[3]actual CWTs exp'!$AC5&gt;0.0005,'[3]actual CWTs exp'!O5/'[3]actual CWTs exp'!$AC5,IF('[3]actual CWTs exp'!O5/'[3]actual CWTs exp'!$AC5&gt;0,"-     "," "))</f>
        <v xml:space="preserve"> </v>
      </c>
      <c r="P8" s="376">
        <f>IF('[3]actual CWTs exp'!P5/'[3]actual CWTs exp'!$AC5&gt;0.0005,'[3]actual CWTs exp'!P5/'[3]actual CWTs exp'!$AC5,IF('[3]actual CWTs exp'!P5/'[3]actual CWTs exp'!$AC5&gt;0,"-     "," "))</f>
        <v>1.5236160487557136E-3</v>
      </c>
      <c r="Q8" s="378" t="str">
        <f>IF('[3]actual CWTs exp'!Q5/'[3]actual CWTs exp'!$AC5&gt;0.0005,'[3]actual CWTs exp'!Q5/'[3]actual CWTs exp'!$AC5,IF('[3]actual CWTs exp'!Q5/'[3]actual CWTs exp'!$AC5&gt;0,"-     "," "))</f>
        <v xml:space="preserve"> </v>
      </c>
      <c r="R8" s="376" t="str">
        <f>IF('[3]actual CWTs exp'!R5/'[3]actual CWTs exp'!$AC5&gt;0.0005,'[3]actual CWTs exp'!R5/'[3]actual CWTs exp'!$AC5,IF('[3]actual CWTs exp'!R5/'[3]actual CWTs exp'!$AC5&gt;0,"-     "," "))</f>
        <v xml:space="preserve"> </v>
      </c>
      <c r="S8" s="376" t="str">
        <f>IF('[3]actual CWTs exp'!S5/'[3]actual CWTs exp'!$AC5&gt;0.0005,'[3]actual CWTs exp'!S5/'[3]actual CWTs exp'!$AC5,IF('[3]actual CWTs exp'!S5/'[3]actual CWTs exp'!$AC5&gt;0,"-     "," "))</f>
        <v xml:space="preserve"> </v>
      </c>
      <c r="T8" s="376" t="str">
        <f>IF('[3]actual CWTs exp'!T5/'[3]actual CWTs exp'!$AC5&gt;0.0005,'[3]actual CWTs exp'!T5/'[3]actual CWTs exp'!$AC5,IF('[3]actual CWTs exp'!T5/'[3]actual CWTs exp'!$AC5&gt;0,"-     "," "))</f>
        <v xml:space="preserve"> </v>
      </c>
      <c r="U8" s="377" t="str">
        <f>IF('[3]actual CWTs exp'!U5/'[3]actual CWTs exp'!$AC5&gt;0.0005,'[3]actual CWTs exp'!U5/'[3]actual CWTs exp'!$AC5,IF('[3]actual CWTs exp'!U5/'[3]actual CWTs exp'!$AC5&gt;0,"-     "," "))</f>
        <v xml:space="preserve"> </v>
      </c>
      <c r="V8" s="376">
        <f>IF('[3]actual CWTs exp'!V5/'[3]actual CWTs exp'!$AC5&gt;0.0005,'[3]actual CWTs exp'!V5/'[3]actual CWTs exp'!$AC5,IF('[3]actual CWTs exp'!V5/'[3]actual CWTs exp'!$AC5&gt;0,"-     "," "))</f>
        <v>2.0314880650076179E-3</v>
      </c>
      <c r="W8" s="376" t="str">
        <f>IF('[3]actual CWTs exp'!W5/'[3]actual CWTs exp'!$AC5&gt;0.0005,'[3]actual CWTs exp'!W5/'[3]actual CWTs exp'!$AC5,IF('[3]actual CWTs exp'!W5/'[3]actual CWTs exp'!$AC5&gt;0,"-     "," "))</f>
        <v xml:space="preserve"> </v>
      </c>
      <c r="X8" s="376" t="str">
        <f>IF('[3]actual CWTs exp'!X5/'[3]actual CWTs exp'!$AC5&gt;0.0005,'[3]actual CWTs exp'!X5/'[3]actual CWTs exp'!$AC5,IF('[3]actual CWTs exp'!X5/'[3]actual CWTs exp'!$AC5&gt;0,"-     "," "))</f>
        <v xml:space="preserve"> </v>
      </c>
      <c r="Y8" s="378" t="str">
        <f>IF('[3]actual CWTs exp'!Y5/'[3]actual CWTs exp'!$AC5&gt;0.0005,'[3]actual CWTs exp'!Y5/'[3]actual CWTs exp'!$AC5,IF('[3]actual CWTs exp'!Y5/'[3]actual CWTs exp'!$AC5&gt;0,"-     "," "))</f>
        <v xml:space="preserve"> </v>
      </c>
      <c r="Z8" s="379" t="str">
        <f>IF('[3]actual CWTs exp'!Z5/'[3]actual CWTs exp'!$AC5&gt;0.0005,'[3]actual CWTs exp'!Z5/'[3]actual CWTs exp'!$AC5,IF('[3]actual CWTs exp'!Z5/'[3]actual CWTs exp'!$AC5&gt;0,"-     "," "))</f>
        <v xml:space="preserve"> </v>
      </c>
      <c r="AA8" s="380">
        <f t="shared" ref="AA8:AA42" si="0">SUM(E8:Z8)</f>
        <v>0.93651599796851204</v>
      </c>
      <c r="AB8" s="381">
        <f t="shared" ref="AB8:AB42" si="1">1-AA8</f>
        <v>6.3484002031487963E-2</v>
      </c>
      <c r="AC8" s="382">
        <f>'[3]actual CWTs exp'!AC5</f>
        <v>1969</v>
      </c>
    </row>
    <row r="9" spans="1:29" ht="16.5" customHeight="1" x14ac:dyDescent="0.25">
      <c r="A9" s="354" t="s">
        <v>315</v>
      </c>
      <c r="B9" t="s">
        <v>40</v>
      </c>
      <c r="C9" t="s">
        <v>316</v>
      </c>
      <c r="D9" t="s">
        <v>48</v>
      </c>
      <c r="E9" s="376">
        <f>IF('[3]actual CWTs exp'!E6/'[3]actual CWTs exp'!$AC6&gt;0.0005,'[3]actual CWTs exp'!E6/'[3]actual CWTs exp'!$AC6,IF('[3]actual CWTs exp'!E6/'[3]actual CWTs exp'!$AC6&gt;0,"-     "," "))</f>
        <v>6.4889098631429921E-3</v>
      </c>
      <c r="F9" s="376" t="str">
        <f>IF('[3]actual CWTs exp'!F6/'[3]actual CWTs exp'!$AC6&gt;0.0005,'[3]actual CWTs exp'!F6/'[3]actual CWTs exp'!$AC6,IF('[3]actual CWTs exp'!F6/'[3]actual CWTs exp'!$AC6&gt;0,"-     "," "))</f>
        <v xml:space="preserve"> </v>
      </c>
      <c r="G9" s="376">
        <f>IF('[3]actual CWTs exp'!G6/'[3]actual CWTs exp'!$AC6&gt;0.0005,'[3]actual CWTs exp'!G6/'[3]actual CWTs exp'!$AC6,IF('[3]actual CWTs exp'!G6/'[3]actual CWTs exp'!$AC6&gt;0,"-     "," "))</f>
        <v>0.86774421897121279</v>
      </c>
      <c r="H9" s="376">
        <f>IF('[3]actual CWTs exp'!H6/'[3]actual CWTs exp'!$AC6&gt;0.0005,'[3]actual CWTs exp'!H6/'[3]actual CWTs exp'!$AC6,IF('[3]actual CWTs exp'!H6/'[3]actual CWTs exp'!$AC6&gt;0,"-     "," "))</f>
        <v>5.2147239263803684E-3</v>
      </c>
      <c r="I9" s="144" t="str">
        <f>IF('[3]actual CWTs exp'!I6/'[3]actual CWTs exp'!$AC6&gt;0.0005,'[3]actual CWTs exp'!I6/'[3]actual CWTs exp'!$AC6,IF('[3]actual CWTs exp'!I6/'[3]actual CWTs exp'!$AC6&gt;0,"-     "," "))</f>
        <v xml:space="preserve">-     </v>
      </c>
      <c r="J9" s="377" t="str">
        <f>IF('[3]actual CWTs exp'!J6/'[3]actual CWTs exp'!$AC6&gt;0.0005,'[3]actual CWTs exp'!J6/'[3]actual CWTs exp'!$AC6,IF('[3]actual CWTs exp'!J6/'[3]actual CWTs exp'!$AC6&gt;0,"-     "," "))</f>
        <v xml:space="preserve"> </v>
      </c>
      <c r="K9" s="376" t="str">
        <f>IF('[3]actual CWTs exp'!K6/'[3]actual CWTs exp'!$AC6&gt;0.0005,'[3]actual CWTs exp'!K6/'[3]actual CWTs exp'!$AC6,IF('[3]actual CWTs exp'!K6/'[3]actual CWTs exp'!$AC6&gt;0,"-     "," "))</f>
        <v xml:space="preserve"> </v>
      </c>
      <c r="L9" s="144" t="str">
        <f>IF('[3]actual CWTs exp'!L6/'[3]actual CWTs exp'!$AC6&gt;0.0005,'[3]actual CWTs exp'!L6/'[3]actual CWTs exp'!$AC6,IF('[3]actual CWTs exp'!L6/'[3]actual CWTs exp'!$AC6&gt;0,"-     "," "))</f>
        <v xml:space="preserve">-     </v>
      </c>
      <c r="M9" s="376">
        <f>IF('[3]actual CWTs exp'!M6/'[3]actual CWTs exp'!$AC6&gt;0.0005,'[3]actual CWTs exp'!M6/'[3]actual CWTs exp'!$AC6,IF('[3]actual CWTs exp'!M6/'[3]actual CWTs exp'!$AC6&gt;0,"-     "," "))</f>
        <v>6.1585653610193485E-3</v>
      </c>
      <c r="N9" s="376" t="str">
        <f>IF('[3]actual CWTs exp'!N6/'[3]actual CWTs exp'!$AC6&gt;0.0005,'[3]actual CWTs exp'!N6/'[3]actual CWTs exp'!$AC6,IF('[3]actual CWTs exp'!N6/'[3]actual CWTs exp'!$AC6&gt;0,"-     "," "))</f>
        <v xml:space="preserve"> </v>
      </c>
      <c r="O9" s="376" t="str">
        <f>IF('[3]actual CWTs exp'!O6/'[3]actual CWTs exp'!$AC6&gt;0.0005,'[3]actual CWTs exp'!O6/'[3]actual CWTs exp'!$AC6,IF('[3]actual CWTs exp'!O6/'[3]actual CWTs exp'!$AC6&gt;0,"-     "," "))</f>
        <v xml:space="preserve"> </v>
      </c>
      <c r="P9" s="144" t="str">
        <f>IF('[3]actual CWTs exp'!P6/'[3]actual CWTs exp'!$AC6&gt;0.0005,'[3]actual CWTs exp'!P6/'[3]actual CWTs exp'!$AC6,IF('[3]actual CWTs exp'!P6/'[3]actual CWTs exp'!$AC6&gt;0,"-     "," "))</f>
        <v xml:space="preserve">-     </v>
      </c>
      <c r="Q9" s="378" t="str">
        <f>IF('[3]actual CWTs exp'!Q6/'[3]actual CWTs exp'!$AC6&gt;0.0005,'[3]actual CWTs exp'!Q6/'[3]actual CWTs exp'!$AC6,IF('[3]actual CWTs exp'!Q6/'[3]actual CWTs exp'!$AC6&gt;0,"-     "," "))</f>
        <v xml:space="preserve"> </v>
      </c>
      <c r="R9" s="376" t="str">
        <f>IF('[3]actual CWTs exp'!R6/'[3]actual CWTs exp'!$AC6&gt;0.0005,'[3]actual CWTs exp'!R6/'[3]actual CWTs exp'!$AC6,IF('[3]actual CWTs exp'!R6/'[3]actual CWTs exp'!$AC6&gt;0,"-     "," "))</f>
        <v xml:space="preserve"> </v>
      </c>
      <c r="S9" s="376" t="str">
        <f>IF('[3]actual CWTs exp'!S6/'[3]actual CWTs exp'!$AC6&gt;0.0005,'[3]actual CWTs exp'!S6/'[3]actual CWTs exp'!$AC6,IF('[3]actual CWTs exp'!S6/'[3]actual CWTs exp'!$AC6&gt;0,"-     "," "))</f>
        <v xml:space="preserve"> </v>
      </c>
      <c r="T9" s="378" t="str">
        <f>IF('[3]actual CWTs exp'!T6/'[3]actual CWTs exp'!$AC6&gt;0.0005,'[3]actual CWTs exp'!T6/'[3]actual CWTs exp'!$AC6,IF('[3]actual CWTs exp'!T6/'[3]actual CWTs exp'!$AC6&gt;0,"-     "," "))</f>
        <v xml:space="preserve"> </v>
      </c>
      <c r="U9" s="377" t="str">
        <f>IF('[3]actual CWTs exp'!U6/'[3]actual CWTs exp'!$AC6&gt;0.0005,'[3]actual CWTs exp'!U6/'[3]actual CWTs exp'!$AC6,IF('[3]actual CWTs exp'!U6/'[3]actual CWTs exp'!$AC6&gt;0,"-     "," "))</f>
        <v xml:space="preserve"> </v>
      </c>
      <c r="V9" s="144" t="str">
        <f>IF('[3]actual CWTs exp'!V6/'[3]actual CWTs exp'!$AC6&gt;0.0005,'[3]actual CWTs exp'!V6/'[3]actual CWTs exp'!$AC6,IF('[3]actual CWTs exp'!V6/'[3]actual CWTs exp'!$AC6&gt;0,"-     "," "))</f>
        <v xml:space="preserve">-     </v>
      </c>
      <c r="W9" s="376" t="str">
        <f>IF('[3]actual CWTs exp'!W6/'[3]actual CWTs exp'!$AC6&gt;0.0005,'[3]actual CWTs exp'!W6/'[3]actual CWTs exp'!$AC6,IF('[3]actual CWTs exp'!W6/'[3]actual CWTs exp'!$AC6&gt;0,"-     "," "))</f>
        <v xml:space="preserve"> </v>
      </c>
      <c r="X9" s="376" t="str">
        <f>IF('[3]actual CWTs exp'!X6/'[3]actual CWTs exp'!$AC6&gt;0.0005,'[3]actual CWTs exp'!X6/'[3]actual CWTs exp'!$AC6,IF('[3]actual CWTs exp'!X6/'[3]actual CWTs exp'!$AC6&gt;0,"-     "," "))</f>
        <v xml:space="preserve"> </v>
      </c>
      <c r="Y9" s="381" t="str">
        <f>IF('[3]actual CWTs exp'!Y6/'[3]actual CWTs exp'!$AC6&gt;0.0005,'[3]actual CWTs exp'!Y6/'[3]actual CWTs exp'!$AC6,IF('[3]actual CWTs exp'!Y6/'[3]actual CWTs exp'!$AC6&gt;0,"-     "," "))</f>
        <v xml:space="preserve">-     </v>
      </c>
      <c r="Z9" s="384" t="str">
        <f>IF('[3]actual CWTs exp'!Z6/'[3]actual CWTs exp'!$AC6&gt;0.0005,'[3]actual CWTs exp'!Z6/'[3]actual CWTs exp'!$AC6,IF('[3]actual CWTs exp'!Z6/'[3]actual CWTs exp'!$AC6&gt;0,"-     "," "))</f>
        <v xml:space="preserve"> </v>
      </c>
      <c r="AA9" s="380">
        <f t="shared" si="0"/>
        <v>0.88560641812175545</v>
      </c>
      <c r="AB9" s="381">
        <f t="shared" si="1"/>
        <v>0.11439358187824455</v>
      </c>
      <c r="AC9" s="382">
        <f>'[3]actual CWTs exp'!AC6</f>
        <v>42380</v>
      </c>
    </row>
    <row r="10" spans="1:29" ht="16.5" customHeight="1" x14ac:dyDescent="0.25">
      <c r="A10" s="383" t="s">
        <v>46</v>
      </c>
      <c r="B10" t="s">
        <v>45</v>
      </c>
      <c r="C10" t="s">
        <v>316</v>
      </c>
      <c r="D10" t="s">
        <v>48</v>
      </c>
      <c r="E10" s="376" t="str">
        <f>IF('[3]actual CWTs exp'!E7/'[3]actual CWTs exp'!$AC7&gt;0.0005,'[3]actual CWTs exp'!E7/'[3]actual CWTs exp'!$AC7,IF('[3]actual CWTs exp'!E7/'[3]actual CWTs exp'!$AC7&gt;0,"-     "," "))</f>
        <v xml:space="preserve"> </v>
      </c>
      <c r="F10" s="376" t="str">
        <f>IF('[3]actual CWTs exp'!F7/'[3]actual CWTs exp'!$AC7&gt;0.0005,'[3]actual CWTs exp'!F7/'[3]actual CWTs exp'!$AC7,IF('[3]actual CWTs exp'!F7/'[3]actual CWTs exp'!$AC7&gt;0,"-     "," "))</f>
        <v xml:space="preserve"> </v>
      </c>
      <c r="G10" s="144" t="str">
        <f>IF('[3]actual CWTs exp'!G7/'[3]actual CWTs exp'!$AC7&gt;0.0005,'[3]actual CWTs exp'!G7/'[3]actual CWTs exp'!$AC7,IF('[3]actual CWTs exp'!G7/'[3]actual CWTs exp'!$AC7&gt;0,"-     "," "))</f>
        <v xml:space="preserve">-     </v>
      </c>
      <c r="H10" s="376">
        <f>IF('[3]actual CWTs exp'!H7/'[3]actual CWTs exp'!$AC7&gt;0.0005,'[3]actual CWTs exp'!H7/'[3]actual CWTs exp'!$AC7,IF('[3]actual CWTs exp'!H7/'[3]actual CWTs exp'!$AC7&gt;0,"-     "," "))</f>
        <v>2.56009320578857E-2</v>
      </c>
      <c r="I10" s="144" t="str">
        <f>IF('[3]actual CWTs exp'!I7/'[3]actual CWTs exp'!$AC7&gt;0.0005,'[3]actual CWTs exp'!I7/'[3]actual CWTs exp'!$AC7,IF('[3]actual CWTs exp'!I7/'[3]actual CWTs exp'!$AC7&gt;0,"-     "," "))</f>
        <v xml:space="preserve">-     </v>
      </c>
      <c r="J10" s="377">
        <f>IF('[3]actual CWTs exp'!J7/'[3]actual CWTs exp'!$AC7&gt;0.0005,'[3]actual CWTs exp'!J7/'[3]actual CWTs exp'!$AC7,IF('[3]actual CWTs exp'!J7/'[3]actual CWTs exp'!$AC7&gt;0,"-     "," "))</f>
        <v>3.2683345597252882E-2</v>
      </c>
      <c r="K10" s="376">
        <f>IF('[3]actual CWTs exp'!K7/'[3]actual CWTs exp'!$AC7&gt;0.0005,'[3]actual CWTs exp'!K7/'[3]actual CWTs exp'!$AC7,IF('[3]actual CWTs exp'!K7/'[3]actual CWTs exp'!$AC7&gt;0,"-     "," "))</f>
        <v>4.0041697326465536E-2</v>
      </c>
      <c r="L10" s="376">
        <f>IF('[3]actual CWTs exp'!L7/'[3]actual CWTs exp'!$AC7&gt;0.0005,'[3]actual CWTs exp'!L7/'[3]actual CWTs exp'!$AC7,IF('[3]actual CWTs exp'!L7/'[3]actual CWTs exp'!$AC7&gt;0,"-     "," "))</f>
        <v>1.6188373804267846E-2</v>
      </c>
      <c r="M10" s="376">
        <f>IF('[3]actual CWTs exp'!M7/'[3]actual CWTs exp'!$AC7&gt;0.0005,'[3]actual CWTs exp'!M7/'[3]actual CWTs exp'!$AC7,IF('[3]actual CWTs exp'!M7/'[3]actual CWTs exp'!$AC7&gt;0,"-     "," "))</f>
        <v>0.83587809663968604</v>
      </c>
      <c r="N10" s="376">
        <f>IF('[3]actual CWTs exp'!N7/'[3]actual CWTs exp'!$AC7&gt;0.0005,'[3]actual CWTs exp'!N7/'[3]actual CWTs exp'!$AC7,IF('[3]actual CWTs exp'!N7/'[3]actual CWTs exp'!$AC7&gt;0,"-     "," "))</f>
        <v>1.2570517537404955E-3</v>
      </c>
      <c r="O10" s="144" t="str">
        <f>IF('[3]actual CWTs exp'!O7/'[3]actual CWTs exp'!$AC7&gt;0.0005,'[3]actual CWTs exp'!O7/'[3]actual CWTs exp'!$AC7,IF('[3]actual CWTs exp'!O7/'[3]actual CWTs exp'!$AC7&gt;0,"-     "," "))</f>
        <v xml:space="preserve">-     </v>
      </c>
      <c r="P10" s="376">
        <f>IF('[3]actual CWTs exp'!P7/'[3]actual CWTs exp'!$AC7&gt;0.0005,'[3]actual CWTs exp'!P7/'[3]actual CWTs exp'!$AC7,IF('[3]actual CWTs exp'!P7/'[3]actual CWTs exp'!$AC7&gt;0,"-     "," "))</f>
        <v>3.5565366691194507E-3</v>
      </c>
      <c r="Q10" s="381" t="str">
        <f>IF('[3]actual CWTs exp'!Q7/'[3]actual CWTs exp'!$AC7&gt;0.0005,'[3]actual CWTs exp'!Q7/'[3]actual CWTs exp'!$AC7,IF('[3]actual CWTs exp'!Q7/'[3]actual CWTs exp'!$AC7&gt;0,"-     "," "))</f>
        <v xml:space="preserve">-     </v>
      </c>
      <c r="R10" s="376">
        <f>IF('[3]actual CWTs exp'!R7/'[3]actual CWTs exp'!$AC7&gt;0.0005,'[3]actual CWTs exp'!R7/'[3]actual CWTs exp'!$AC7,IF('[3]actual CWTs exp'!R7/'[3]actual CWTs exp'!$AC7&gt;0,"-     "," "))</f>
        <v>7.3583517292126564E-4</v>
      </c>
      <c r="S10" s="376">
        <f>IF('[3]actual CWTs exp'!S7/'[3]actual CWTs exp'!$AC7&gt;0.0005,'[3]actual CWTs exp'!S7/'[3]actual CWTs exp'!$AC7,IF('[3]actual CWTs exp'!S7/'[3]actual CWTs exp'!$AC7&gt;0,"-     "," "))</f>
        <v>7.3583517292126564E-4</v>
      </c>
      <c r="T10" s="378" t="str">
        <f>IF('[3]actual CWTs exp'!T7/'[3]actual CWTs exp'!$AC7&gt;0.0005,'[3]actual CWTs exp'!T7/'[3]actual CWTs exp'!$AC7,IF('[3]actual CWTs exp'!T7/'[3]actual CWTs exp'!$AC7&gt;0,"-     "," "))</f>
        <v xml:space="preserve"> </v>
      </c>
      <c r="U10" s="377" t="str">
        <f>IF('[3]actual CWTs exp'!U7/'[3]actual CWTs exp'!$AC7&gt;0.0005,'[3]actual CWTs exp'!U7/'[3]actual CWTs exp'!$AC7,IF('[3]actual CWTs exp'!U7/'[3]actual CWTs exp'!$AC7&gt;0,"-     "," "))</f>
        <v xml:space="preserve"> </v>
      </c>
      <c r="V10" s="376">
        <f>IF('[3]actual CWTs exp'!V7/'[3]actual CWTs exp'!$AC7&gt;0.0005,'[3]actual CWTs exp'!V7/'[3]actual CWTs exp'!$AC7,IF('[3]actual CWTs exp'!V7/'[3]actual CWTs exp'!$AC7&gt;0,"-     "," "))</f>
        <v>8.2781456953642384E-4</v>
      </c>
      <c r="W10" s="144" t="str">
        <f>IF('[3]actual CWTs exp'!W7/'[3]actual CWTs exp'!$AC7&gt;0.0005,'[3]actual CWTs exp'!W7/'[3]actual CWTs exp'!$AC7,IF('[3]actual CWTs exp'!W7/'[3]actual CWTs exp'!$AC7&gt;0,"-     "," "))</f>
        <v xml:space="preserve">-     </v>
      </c>
      <c r="X10" s="376" t="str">
        <f>IF('[3]actual CWTs exp'!X7/'[3]actual CWTs exp'!$AC7&gt;0.0005,'[3]actual CWTs exp'!X7/'[3]actual CWTs exp'!$AC7,IF('[3]actual CWTs exp'!X7/'[3]actual CWTs exp'!$AC7&gt;0,"-     "," "))</f>
        <v xml:space="preserve"> </v>
      </c>
      <c r="Y10" s="381" t="str">
        <f>IF('[3]actual CWTs exp'!Y7/'[3]actual CWTs exp'!$AC7&gt;0.0005,'[3]actual CWTs exp'!Y7/'[3]actual CWTs exp'!$AC7,IF('[3]actual CWTs exp'!Y7/'[3]actual CWTs exp'!$AC7&gt;0,"-     "," "))</f>
        <v xml:space="preserve">-     </v>
      </c>
      <c r="Z10" s="384" t="str">
        <f>IF('[3]actual CWTs exp'!Z7/'[3]actual CWTs exp'!$AC7&gt;0.0005,'[3]actual CWTs exp'!Z7/'[3]actual CWTs exp'!$AC7,IF('[3]actual CWTs exp'!Z7/'[3]actual CWTs exp'!$AC7&gt;0,"-     "," "))</f>
        <v xml:space="preserve"> </v>
      </c>
      <c r="AA10" s="380">
        <f t="shared" si="0"/>
        <v>0.95750551876379697</v>
      </c>
      <c r="AB10" s="381">
        <f t="shared" si="1"/>
        <v>4.249448123620303E-2</v>
      </c>
      <c r="AC10" s="382">
        <f>'[3]actual CWTs exp'!AC7</f>
        <v>32616</v>
      </c>
    </row>
    <row r="11" spans="1:29" ht="16.5" customHeight="1" x14ac:dyDescent="0.25">
      <c r="A11" s="354" t="s">
        <v>307</v>
      </c>
      <c r="B11" t="s">
        <v>50</v>
      </c>
      <c r="C11" t="s">
        <v>316</v>
      </c>
      <c r="D11" t="s">
        <v>48</v>
      </c>
      <c r="E11" s="376" t="str">
        <f>IF('[3]actual CWTs exp'!E8/'[3]actual CWTs exp'!$AC8&gt;0.0005,'[3]actual CWTs exp'!E8/'[3]actual CWTs exp'!$AC8,IF('[3]actual CWTs exp'!E8/'[3]actual CWTs exp'!$AC8&gt;0,"-     "," "))</f>
        <v xml:space="preserve"> </v>
      </c>
      <c r="F11" s="376" t="str">
        <f>IF('[3]actual CWTs exp'!F8/'[3]actual CWTs exp'!$AC8&gt;0.0005,'[3]actual CWTs exp'!F8/'[3]actual CWTs exp'!$AC8,IF('[3]actual CWTs exp'!F8/'[3]actual CWTs exp'!$AC8&gt;0,"-     "," "))</f>
        <v xml:space="preserve"> </v>
      </c>
      <c r="G11" s="376" t="str">
        <f>IF('[3]actual CWTs exp'!G8/'[3]actual CWTs exp'!$AC8&gt;0.0005,'[3]actual CWTs exp'!G8/'[3]actual CWTs exp'!$AC8,IF('[3]actual CWTs exp'!G8/'[3]actual CWTs exp'!$AC8&gt;0,"-     "," "))</f>
        <v xml:space="preserve"> </v>
      </c>
      <c r="H11" s="376">
        <f>IF('[3]actual CWTs exp'!H8/'[3]actual CWTs exp'!$AC8&gt;0.0005,'[3]actual CWTs exp'!H8/'[3]actual CWTs exp'!$AC8,IF('[3]actual CWTs exp'!H8/'[3]actual CWTs exp'!$AC8&gt;0,"-     "," "))</f>
        <v>1.9716088328075709E-2</v>
      </c>
      <c r="I11" s="376" t="str">
        <f>IF('[3]actual CWTs exp'!I8/'[3]actual CWTs exp'!$AC8&gt;0.0005,'[3]actual CWTs exp'!I8/'[3]actual CWTs exp'!$AC8,IF('[3]actual CWTs exp'!I8/'[3]actual CWTs exp'!$AC8&gt;0,"-     "," "))</f>
        <v xml:space="preserve"> </v>
      </c>
      <c r="J11" s="377" t="str">
        <f>IF('[3]actual CWTs exp'!J8/'[3]actual CWTs exp'!$AC8&gt;0.0005,'[3]actual CWTs exp'!J8/'[3]actual CWTs exp'!$AC8,IF('[3]actual CWTs exp'!J8/'[3]actual CWTs exp'!$AC8&gt;0,"-     "," "))</f>
        <v xml:space="preserve"> </v>
      </c>
      <c r="K11" s="376" t="str">
        <f>IF('[3]actual CWTs exp'!K8/'[3]actual CWTs exp'!$AC8&gt;0.0005,'[3]actual CWTs exp'!K8/'[3]actual CWTs exp'!$AC8,IF('[3]actual CWTs exp'!K8/'[3]actual CWTs exp'!$AC8&gt;0,"-     "," "))</f>
        <v xml:space="preserve"> </v>
      </c>
      <c r="L11" s="144" t="str">
        <f>IF('[3]actual CWTs exp'!L8/'[3]actual CWTs exp'!$AC8&gt;0.0005,'[3]actual CWTs exp'!L8/'[3]actual CWTs exp'!$AC8,IF('[3]actual CWTs exp'!L8/'[3]actual CWTs exp'!$AC8&gt;0,"-     "," "))</f>
        <v xml:space="preserve">-     </v>
      </c>
      <c r="M11" s="376">
        <f>IF('[3]actual CWTs exp'!M8/'[3]actual CWTs exp'!$AC8&gt;0.0005,'[3]actual CWTs exp'!M8/'[3]actual CWTs exp'!$AC8,IF('[3]actual CWTs exp'!M8/'[3]actual CWTs exp'!$AC8&gt;0,"-     "," "))</f>
        <v>2.082018927444795E-2</v>
      </c>
      <c r="N11" s="144" t="str">
        <f>IF('[3]actual CWTs exp'!N8/'[3]actual CWTs exp'!$AC8&gt;0.0005,'[3]actual CWTs exp'!N8/'[3]actual CWTs exp'!$AC8,IF('[3]actual CWTs exp'!N8/'[3]actual CWTs exp'!$AC8&gt;0,"-     "," "))</f>
        <v xml:space="preserve">-     </v>
      </c>
      <c r="O11" s="144" t="str">
        <f>IF('[3]actual CWTs exp'!O8/'[3]actual CWTs exp'!$AC8&gt;0.0005,'[3]actual CWTs exp'!O8/'[3]actual CWTs exp'!$AC8,IF('[3]actual CWTs exp'!O8/'[3]actual CWTs exp'!$AC8&gt;0,"-     "," "))</f>
        <v xml:space="preserve">-     </v>
      </c>
      <c r="P11" s="144" t="str">
        <f>IF('[3]actual CWTs exp'!P8/'[3]actual CWTs exp'!$AC8&gt;0.0005,'[3]actual CWTs exp'!P8/'[3]actual CWTs exp'!$AC8,IF('[3]actual CWTs exp'!P8/'[3]actual CWTs exp'!$AC8&gt;0,"-     "," "))</f>
        <v xml:space="preserve">-     </v>
      </c>
      <c r="Q11" s="378" t="str">
        <f>IF('[3]actual CWTs exp'!Q8/'[3]actual CWTs exp'!$AC8&gt;0.0005,'[3]actual CWTs exp'!Q8/'[3]actual CWTs exp'!$AC8,IF('[3]actual CWTs exp'!Q8/'[3]actual CWTs exp'!$AC8&gt;0,"-     "," "))</f>
        <v xml:space="preserve"> </v>
      </c>
      <c r="R11" s="376">
        <f>IF('[3]actual CWTs exp'!R8/'[3]actual CWTs exp'!$AC8&gt;0.0005,'[3]actual CWTs exp'!R8/'[3]actual CWTs exp'!$AC8,IF('[3]actual CWTs exp'!R8/'[3]actual CWTs exp'!$AC8&gt;0,"-     "," "))</f>
        <v>0.25914826498422711</v>
      </c>
      <c r="S11" s="376">
        <f>IF('[3]actual CWTs exp'!S8/'[3]actual CWTs exp'!$AC8&gt;0.0005,'[3]actual CWTs exp'!S8/'[3]actual CWTs exp'!$AC8,IF('[3]actual CWTs exp'!S8/'[3]actual CWTs exp'!$AC8&gt;0,"-     "," "))</f>
        <v>0.37429022082018926</v>
      </c>
      <c r="T11" s="378">
        <f>IF('[3]actual CWTs exp'!T8/'[3]actual CWTs exp'!$AC8&gt;0.0005,'[3]actual CWTs exp'!T8/'[3]actual CWTs exp'!$AC8,IF('[3]actual CWTs exp'!T8/'[3]actual CWTs exp'!$AC8&gt;0,"-     "," "))</f>
        <v>1.1829652996845426E-3</v>
      </c>
      <c r="U11" s="377" t="str">
        <f>IF('[3]actual CWTs exp'!U8/'[3]actual CWTs exp'!$AC8&gt;0.0005,'[3]actual CWTs exp'!U8/'[3]actual CWTs exp'!$AC8,IF('[3]actual CWTs exp'!U8/'[3]actual CWTs exp'!$AC8&gt;0,"-     "," "))</f>
        <v xml:space="preserve"> </v>
      </c>
      <c r="V11" s="376">
        <f>IF('[3]actual CWTs exp'!V8/'[3]actual CWTs exp'!$AC8&gt;0.0005,'[3]actual CWTs exp'!V8/'[3]actual CWTs exp'!$AC8,IF('[3]actual CWTs exp'!V8/'[3]actual CWTs exp'!$AC8&gt;0,"-     "," "))</f>
        <v>6.2933753943217666E-2</v>
      </c>
      <c r="W11" s="376">
        <f>IF('[3]actual CWTs exp'!W8/'[3]actual CWTs exp'!$AC8&gt;0.0005,'[3]actual CWTs exp'!W8/'[3]actual CWTs exp'!$AC8,IF('[3]actual CWTs exp'!W8/'[3]actual CWTs exp'!$AC8&gt;0,"-     "," "))</f>
        <v>5.6782334384858045E-3</v>
      </c>
      <c r="X11" s="376" t="str">
        <f>IF('[3]actual CWTs exp'!X8/'[3]actual CWTs exp'!$AC8&gt;0.0005,'[3]actual CWTs exp'!X8/'[3]actual CWTs exp'!$AC8,IF('[3]actual CWTs exp'!X8/'[3]actual CWTs exp'!$AC8&gt;0,"-     "," "))</f>
        <v xml:space="preserve"> </v>
      </c>
      <c r="Y11" s="378">
        <f>IF('[3]actual CWTs exp'!Y8/'[3]actual CWTs exp'!$AC8&gt;0.0005,'[3]actual CWTs exp'!Y8/'[3]actual CWTs exp'!$AC8,IF('[3]actual CWTs exp'!Y8/'[3]actual CWTs exp'!$AC8&gt;0,"-     "," "))</f>
        <v>2.5078864353312302E-2</v>
      </c>
      <c r="Z11" s="384" t="str">
        <f>IF('[3]actual CWTs exp'!Z8/'[3]actual CWTs exp'!$AC8&gt;0.0005,'[3]actual CWTs exp'!Z8/'[3]actual CWTs exp'!$AC8,IF('[3]actual CWTs exp'!Z8/'[3]actual CWTs exp'!$AC8&gt;0,"-     "," "))</f>
        <v xml:space="preserve"> </v>
      </c>
      <c r="AA11" s="380">
        <f t="shared" si="0"/>
        <v>0.76884858044164028</v>
      </c>
      <c r="AB11" s="381">
        <f t="shared" si="1"/>
        <v>0.23115141955835972</v>
      </c>
      <c r="AC11" s="382">
        <f>'[3]actual CWTs exp'!AC8</f>
        <v>12680</v>
      </c>
    </row>
    <row r="12" spans="1:29" ht="16.5" customHeight="1" x14ac:dyDescent="0.25">
      <c r="A12" s="354" t="s">
        <v>318</v>
      </c>
      <c r="B12" t="s">
        <v>88</v>
      </c>
      <c r="C12" t="s">
        <v>316</v>
      </c>
      <c r="D12" t="s">
        <v>48</v>
      </c>
      <c r="E12" s="376" t="str">
        <f>IF('[3]actual CWTs exp'!E9/'[3]actual CWTs exp'!$AC9&gt;0.0005,'[3]actual CWTs exp'!E9/'[3]actual CWTs exp'!$AC9,IF('[3]actual CWTs exp'!E9/'[3]actual CWTs exp'!$AC9&gt;0,"-     "," "))</f>
        <v xml:space="preserve"> </v>
      </c>
      <c r="F12" s="376" t="str">
        <f>IF('[3]actual CWTs exp'!F9/'[3]actual CWTs exp'!$AC9&gt;0.0005,'[3]actual CWTs exp'!F9/'[3]actual CWTs exp'!$AC9,IF('[3]actual CWTs exp'!F9/'[3]actual CWTs exp'!$AC9&gt;0,"-     "," "))</f>
        <v xml:space="preserve"> </v>
      </c>
      <c r="G12" s="376" t="str">
        <f>IF('[3]actual CWTs exp'!G9/'[3]actual CWTs exp'!$AC9&gt;0.0005,'[3]actual CWTs exp'!G9/'[3]actual CWTs exp'!$AC9,IF('[3]actual CWTs exp'!G9/'[3]actual CWTs exp'!$AC9&gt;0,"-     "," "))</f>
        <v xml:space="preserve"> </v>
      </c>
      <c r="H12" s="376">
        <f>IF('[3]actual CWTs exp'!H9/'[3]actual CWTs exp'!$AC9&gt;0.0005,'[3]actual CWTs exp'!H9/'[3]actual CWTs exp'!$AC9,IF('[3]actual CWTs exp'!H9/'[3]actual CWTs exp'!$AC9&gt;0,"-     "," "))</f>
        <v>3.2933367372989533E-2</v>
      </c>
      <c r="I12" s="376" t="str">
        <f>IF('[3]actual CWTs exp'!I9/'[3]actual CWTs exp'!$AC9&gt;0.0005,'[3]actual CWTs exp'!I9/'[3]actual CWTs exp'!$AC9,IF('[3]actual CWTs exp'!I9/'[3]actual CWTs exp'!$AC9&gt;0,"-     "," "))</f>
        <v xml:space="preserve"> </v>
      </c>
      <c r="J12" s="377" t="str">
        <f>IF('[3]actual CWTs exp'!J9/'[3]actual CWTs exp'!$AC9&gt;0.0005,'[3]actual CWTs exp'!J9/'[3]actual CWTs exp'!$AC9,IF('[3]actual CWTs exp'!J9/'[3]actual CWTs exp'!$AC9&gt;0,"-     "," "))</f>
        <v xml:space="preserve"> </v>
      </c>
      <c r="K12" s="376">
        <f>IF('[3]actual CWTs exp'!K9/'[3]actual CWTs exp'!$AC9&gt;0.0005,'[3]actual CWTs exp'!K9/'[3]actual CWTs exp'!$AC9,IF('[3]actual CWTs exp'!K9/'[3]actual CWTs exp'!$AC9&gt;0,"-     "," "))</f>
        <v>1.7870819504723003E-3</v>
      </c>
      <c r="L12" s="376">
        <f>IF('[3]actual CWTs exp'!L9/'[3]actual CWTs exp'!$AC9&gt;0.0005,'[3]actual CWTs exp'!L9/'[3]actual CWTs exp'!$AC9,IF('[3]actual CWTs exp'!L9/'[3]actual CWTs exp'!$AC9&gt;0,"-     "," "))</f>
        <v>7.6589226448812867E-4</v>
      </c>
      <c r="M12" s="376">
        <f>IF('[3]actual CWTs exp'!M9/'[3]actual CWTs exp'!$AC9&gt;0.0005,'[3]actual CWTs exp'!M9/'[3]actual CWTs exp'!$AC9,IF('[3]actual CWTs exp'!M9/'[3]actual CWTs exp'!$AC9&gt;0,"-     "," "))</f>
        <v>3.3954557058973704E-2</v>
      </c>
      <c r="N12" s="376" t="str">
        <f>IF('[3]actual CWTs exp'!N9/'[3]actual CWTs exp'!$AC9&gt;0.0005,'[3]actual CWTs exp'!N9/'[3]actual CWTs exp'!$AC9,IF('[3]actual CWTs exp'!N9/'[3]actual CWTs exp'!$AC9&gt;0,"-     "," "))</f>
        <v xml:space="preserve"> </v>
      </c>
      <c r="O12" s="376" t="str">
        <f>IF('[3]actual CWTs exp'!O9/'[3]actual CWTs exp'!$AC9&gt;0.0005,'[3]actual CWTs exp'!O9/'[3]actual CWTs exp'!$AC9,IF('[3]actual CWTs exp'!O9/'[3]actual CWTs exp'!$AC9&gt;0,"-     "," "))</f>
        <v xml:space="preserve"> </v>
      </c>
      <c r="P12" s="376">
        <f>IF('[3]actual CWTs exp'!P9/'[3]actual CWTs exp'!$AC9&gt;0.0005,'[3]actual CWTs exp'!P9/'[3]actual CWTs exp'!$AC9,IF('[3]actual CWTs exp'!P9/'[3]actual CWTs exp'!$AC9&gt;0,"-     "," "))</f>
        <v>2.8082716364564719E-3</v>
      </c>
      <c r="Q12" s="378" t="str">
        <f>IF('[3]actual CWTs exp'!Q9/'[3]actual CWTs exp'!$AC9&gt;0.0005,'[3]actual CWTs exp'!Q9/'[3]actual CWTs exp'!$AC9,IF('[3]actual CWTs exp'!Q9/'[3]actual CWTs exp'!$AC9&gt;0,"-     "," "))</f>
        <v xml:space="preserve"> </v>
      </c>
      <c r="R12" s="376">
        <f>IF('[3]actual CWTs exp'!R9/'[3]actual CWTs exp'!$AC9&gt;0.0005,'[3]actual CWTs exp'!R9/'[3]actual CWTs exp'!$AC9,IF('[3]actual CWTs exp'!R9/'[3]actual CWTs exp'!$AC9&gt;0,"-     "," "))</f>
        <v>0.11309675772274699</v>
      </c>
      <c r="S12" s="376">
        <f>IF('[3]actual CWTs exp'!S9/'[3]actual CWTs exp'!$AC9&gt;0.0005,'[3]actual CWTs exp'!S9/'[3]actual CWTs exp'!$AC9,IF('[3]actual CWTs exp'!S9/'[3]actual CWTs exp'!$AC9&gt;0,"-     "," "))</f>
        <v>4.9527699770232324E-2</v>
      </c>
      <c r="T12" s="378" t="str">
        <f>IF('[3]actual CWTs exp'!T9/'[3]actual CWTs exp'!$AC9&gt;0.0005,'[3]actual CWTs exp'!T9/'[3]actual CWTs exp'!$AC9,IF('[3]actual CWTs exp'!T9/'[3]actual CWTs exp'!$AC9&gt;0,"-     "," "))</f>
        <v xml:space="preserve"> </v>
      </c>
      <c r="U12" s="377" t="str">
        <f>IF('[3]actual CWTs exp'!U9/'[3]actual CWTs exp'!$AC9&gt;0.0005,'[3]actual CWTs exp'!U9/'[3]actual CWTs exp'!$AC9,IF('[3]actual CWTs exp'!U9/'[3]actual CWTs exp'!$AC9&gt;0,"-     "," "))</f>
        <v xml:space="preserve"> </v>
      </c>
      <c r="V12" s="376">
        <f>IF('[3]actual CWTs exp'!V9/'[3]actual CWTs exp'!$AC9&gt;0.0005,'[3]actual CWTs exp'!V9/'[3]actual CWTs exp'!$AC9,IF('[3]actual CWTs exp'!V9/'[3]actual CWTs exp'!$AC9&gt;0,"-     "," "))</f>
        <v>1.3530763339290272E-2</v>
      </c>
      <c r="W12" s="376">
        <f>IF('[3]actual CWTs exp'!W9/'[3]actual CWTs exp'!$AC9&gt;0.0005,'[3]actual CWTs exp'!W9/'[3]actual CWTs exp'!$AC9,IF('[3]actual CWTs exp'!W9/'[3]actual CWTs exp'!$AC9&gt;0,"-     "," "))</f>
        <v>1.2764871074802144E-3</v>
      </c>
      <c r="X12" s="376" t="str">
        <f>IF('[3]actual CWTs exp'!X9/'[3]actual CWTs exp'!$AC9&gt;0.0005,'[3]actual CWTs exp'!X9/'[3]actual CWTs exp'!$AC9,IF('[3]actual CWTs exp'!X9/'[3]actual CWTs exp'!$AC9&gt;0,"-     "," "))</f>
        <v xml:space="preserve"> </v>
      </c>
      <c r="Y12" s="378">
        <f>IF('[3]actual CWTs exp'!Y9/'[3]actual CWTs exp'!$AC9&gt;0.0005,'[3]actual CWTs exp'!Y9/'[3]actual CWTs exp'!$AC9,IF('[3]actual CWTs exp'!Y9/'[3]actual CWTs exp'!$AC9&gt;0,"-     "," "))</f>
        <v>7.4036252233852439E-3</v>
      </c>
      <c r="Z12" s="384" t="str">
        <f>IF('[3]actual CWTs exp'!Z9/'[3]actual CWTs exp'!$AC9&gt;0.0005,'[3]actual CWTs exp'!Z9/'[3]actual CWTs exp'!$AC9,IF('[3]actual CWTs exp'!Z9/'[3]actual CWTs exp'!$AC9&gt;0,"-     "," "))</f>
        <v xml:space="preserve"> </v>
      </c>
      <c r="AA12" s="380">
        <f t="shared" si="0"/>
        <v>0.25708450344651518</v>
      </c>
      <c r="AB12" s="381">
        <f t="shared" si="1"/>
        <v>0.74291549655348477</v>
      </c>
      <c r="AC12" s="382">
        <f>'[3]actual CWTs exp'!AC9</f>
        <v>3917</v>
      </c>
    </row>
    <row r="13" spans="1:29" ht="16.5" customHeight="1" x14ac:dyDescent="0.25">
      <c r="A13" s="354" t="s">
        <v>319</v>
      </c>
      <c r="B13" t="s">
        <v>52</v>
      </c>
      <c r="C13" t="s">
        <v>316</v>
      </c>
      <c r="D13" t="s">
        <v>48</v>
      </c>
      <c r="E13" s="144" t="str">
        <f>IF('[3]actual CWTs exp'!E10/'[3]actual CWTs exp'!$AC10&gt;0.0005,'[3]actual CWTs exp'!E10/'[3]actual CWTs exp'!$AC10,IF('[3]actual CWTs exp'!E10/'[3]actual CWTs exp'!$AC10&gt;0,"-     "," "))</f>
        <v xml:space="preserve">-     </v>
      </c>
      <c r="F13" s="376" t="str">
        <f>IF('[3]actual CWTs exp'!F10/'[3]actual CWTs exp'!$AC10&gt;0.0005,'[3]actual CWTs exp'!F10/'[3]actual CWTs exp'!$AC10,IF('[3]actual CWTs exp'!F10/'[3]actual CWTs exp'!$AC10&gt;0,"-     "," "))</f>
        <v xml:space="preserve"> </v>
      </c>
      <c r="G13" s="144" t="str">
        <f>IF('[3]actual CWTs exp'!G10/'[3]actual CWTs exp'!$AC10&gt;0.0005,'[3]actual CWTs exp'!G10/'[3]actual CWTs exp'!$AC10,IF('[3]actual CWTs exp'!G10/'[3]actual CWTs exp'!$AC10&gt;0,"-     "," "))</f>
        <v xml:space="preserve">-     </v>
      </c>
      <c r="H13" s="376">
        <f>IF('[3]actual CWTs exp'!H10/'[3]actual CWTs exp'!$AC10&gt;0.0005,'[3]actual CWTs exp'!H10/'[3]actual CWTs exp'!$AC10,IF('[3]actual CWTs exp'!H10/'[3]actual CWTs exp'!$AC10&gt;0,"-     "," "))</f>
        <v>2.5185278231377967E-2</v>
      </c>
      <c r="I13" s="376" t="str">
        <f>IF('[3]actual CWTs exp'!I10/'[3]actual CWTs exp'!$AC10&gt;0.0005,'[3]actual CWTs exp'!I10/'[3]actual CWTs exp'!$AC10,IF('[3]actual CWTs exp'!I10/'[3]actual CWTs exp'!$AC10&gt;0,"-     "," "))</f>
        <v xml:space="preserve"> </v>
      </c>
      <c r="J13" s="385" t="str">
        <f>IF('[3]actual CWTs exp'!J10/'[3]actual CWTs exp'!$AC10&gt;0.0005,'[3]actual CWTs exp'!J10/'[3]actual CWTs exp'!$AC10,IF('[3]actual CWTs exp'!J10/'[3]actual CWTs exp'!$AC10&gt;0,"-     "," "))</f>
        <v xml:space="preserve">-     </v>
      </c>
      <c r="K13" s="376">
        <f>IF('[3]actual CWTs exp'!K10/'[3]actual CWTs exp'!$AC10&gt;0.0005,'[3]actual CWTs exp'!K10/'[3]actual CWTs exp'!$AC10,IF('[3]actual CWTs exp'!K10/'[3]actual CWTs exp'!$AC10&gt;0,"-     "," "))</f>
        <v>8.1648034166561991E-4</v>
      </c>
      <c r="L13" s="144" t="str">
        <f>IF('[3]actual CWTs exp'!L10/'[3]actual CWTs exp'!$AC10&gt;0.0005,'[3]actual CWTs exp'!L10/'[3]actual CWTs exp'!$AC10,IF('[3]actual CWTs exp'!L10/'[3]actual CWTs exp'!$AC10&gt;0,"-     "," "))</f>
        <v xml:space="preserve">-     </v>
      </c>
      <c r="M13" s="376">
        <f>IF('[3]actual CWTs exp'!M10/'[3]actual CWTs exp'!$AC10&gt;0.0005,'[3]actual CWTs exp'!M10/'[3]actual CWTs exp'!$AC10,IF('[3]actual CWTs exp'!M10/'[3]actual CWTs exp'!$AC10&gt;0,"-     "," "))</f>
        <v>2.0035171460871751E-2</v>
      </c>
      <c r="N13" s="144" t="str">
        <f>IF('[3]actual CWTs exp'!N10/'[3]actual CWTs exp'!$AC10&gt;0.0005,'[3]actual CWTs exp'!N10/'[3]actual CWTs exp'!$AC10,IF('[3]actual CWTs exp'!N10/'[3]actual CWTs exp'!$AC10&gt;0,"-     "," "))</f>
        <v xml:space="preserve">-     </v>
      </c>
      <c r="O13" s="376" t="str">
        <f>IF('[3]actual CWTs exp'!O10/'[3]actual CWTs exp'!$AC10&gt;0.0005,'[3]actual CWTs exp'!O10/'[3]actual CWTs exp'!$AC10,IF('[3]actual CWTs exp'!O10/'[3]actual CWTs exp'!$AC10&gt;0,"-     "," "))</f>
        <v xml:space="preserve"> </v>
      </c>
      <c r="P13" s="376">
        <f>IF('[3]actual CWTs exp'!P10/'[3]actual CWTs exp'!$AC10&gt;0.0005,'[3]actual CWTs exp'!P10/'[3]actual CWTs exp'!$AC10,IF('[3]actual CWTs exp'!P10/'[3]actual CWTs exp'!$AC10&gt;0,"-     "," "))</f>
        <v>7.5367416153749526E-4</v>
      </c>
      <c r="Q13" s="378" t="str">
        <f>IF('[3]actual CWTs exp'!Q10/'[3]actual CWTs exp'!$AC10&gt;0.0005,'[3]actual CWTs exp'!Q10/'[3]actual CWTs exp'!$AC10,IF('[3]actual CWTs exp'!Q10/'[3]actual CWTs exp'!$AC10&gt;0,"-     "," "))</f>
        <v xml:space="preserve"> </v>
      </c>
      <c r="R13" s="376">
        <f>IF('[3]actual CWTs exp'!R10/'[3]actual CWTs exp'!$AC10&gt;0.0005,'[3]actual CWTs exp'!R10/'[3]actual CWTs exp'!$AC10,IF('[3]actual CWTs exp'!R10/'[3]actual CWTs exp'!$AC10&gt;0,"-     "," "))</f>
        <v>1.2561236025624921E-3</v>
      </c>
      <c r="S13" s="376">
        <f>IF('[3]actual CWTs exp'!S10/'[3]actual CWTs exp'!$AC10&gt;0.0005,'[3]actual CWTs exp'!S10/'[3]actual CWTs exp'!$AC10,IF('[3]actual CWTs exp'!S10/'[3]actual CWTs exp'!$AC10&gt;0,"-     "," "))</f>
        <v>3.4794623790981034E-2</v>
      </c>
      <c r="T13" s="378">
        <f>IF('[3]actual CWTs exp'!T10/'[3]actual CWTs exp'!$AC10&gt;0.0005,'[3]actual CWTs exp'!T10/'[3]actual CWTs exp'!$AC10,IF('[3]actual CWTs exp'!T10/'[3]actual CWTs exp'!$AC10&gt;0,"-     "," "))</f>
        <v>1.6329606833312398E-3</v>
      </c>
      <c r="U13" s="377">
        <f>IF('[3]actual CWTs exp'!U10/'[3]actual CWTs exp'!$AC10&gt;0.0005,'[3]actual CWTs exp'!U10/'[3]actual CWTs exp'!$AC10,IF('[3]actual CWTs exp'!U10/'[3]actual CWTs exp'!$AC10&gt;0,"-     "," "))</f>
        <v>1.2247205124984298E-2</v>
      </c>
      <c r="V13" s="376">
        <f>IF('[3]actual CWTs exp'!V10/'[3]actual CWTs exp'!$AC10&gt;0.0005,'[3]actual CWTs exp'!V10/'[3]actual CWTs exp'!$AC10,IF('[3]actual CWTs exp'!V10/'[3]actual CWTs exp'!$AC10&gt;0,"-     "," "))</f>
        <v>0.77270443411631706</v>
      </c>
      <c r="W13" s="376">
        <f>IF('[3]actual CWTs exp'!W10/'[3]actual CWTs exp'!$AC10&gt;0.0005,'[3]actual CWTs exp'!W10/'[3]actual CWTs exp'!$AC10,IF('[3]actual CWTs exp'!W10/'[3]actual CWTs exp'!$AC10&gt;0,"-     "," "))</f>
        <v>7.128501444542143E-2</v>
      </c>
      <c r="X13" s="376" t="str">
        <f>IF('[3]actual CWTs exp'!X10/'[3]actual CWTs exp'!$AC10&gt;0.0005,'[3]actual CWTs exp'!X10/'[3]actual CWTs exp'!$AC10,IF('[3]actual CWTs exp'!X10/'[3]actual CWTs exp'!$AC10&gt;0,"-     "," "))</f>
        <v xml:space="preserve">-     </v>
      </c>
      <c r="Y13" s="378">
        <f>IF('[3]actual CWTs exp'!Y10/'[3]actual CWTs exp'!$AC10&gt;0.0005,'[3]actual CWTs exp'!Y10/'[3]actual CWTs exp'!$AC10,IF('[3]actual CWTs exp'!Y10/'[3]actual CWTs exp'!$AC10&gt;0,"-     "," "))</f>
        <v>3.6113553573671651E-2</v>
      </c>
      <c r="Z13" s="384" t="str">
        <f>IF('[3]actual CWTs exp'!Z10/'[3]actual CWTs exp'!$AC10&gt;0.0005,'[3]actual CWTs exp'!Z10/'[3]actual CWTs exp'!$AC10,IF('[3]actual CWTs exp'!Z10/'[3]actual CWTs exp'!$AC10&gt;0,"-     "," "))</f>
        <v xml:space="preserve"> </v>
      </c>
      <c r="AA13" s="380">
        <f t="shared" si="0"/>
        <v>0.97682451953272209</v>
      </c>
      <c r="AB13" s="381">
        <f t="shared" si="1"/>
        <v>2.3175480467277909E-2</v>
      </c>
      <c r="AC13" s="382">
        <f>'[3]actual CWTs exp'!AC10</f>
        <v>15922</v>
      </c>
    </row>
    <row r="14" spans="1:29" ht="16.5" customHeight="1" x14ac:dyDescent="0.25">
      <c r="A14" s="354" t="s">
        <v>320</v>
      </c>
      <c r="B14" t="s">
        <v>54</v>
      </c>
      <c r="C14" t="s">
        <v>316</v>
      </c>
      <c r="D14" t="s">
        <v>48</v>
      </c>
      <c r="E14" s="376">
        <f>IF('[3]actual CWTs exp'!E11/'[3]actual CWTs exp'!$AC11&gt;0.0005,'[3]actual CWTs exp'!E11/'[3]actual CWTs exp'!$AC11,IF('[3]actual CWTs exp'!E11/'[3]actual CWTs exp'!$AC11&gt;0,"-     "," "))</f>
        <v>2.2883295194508009E-3</v>
      </c>
      <c r="F14" s="376" t="str">
        <f>IF('[3]actual CWTs exp'!F11/'[3]actual CWTs exp'!$AC11&gt;0.0005,'[3]actual CWTs exp'!F11/'[3]actual CWTs exp'!$AC11,IF('[3]actual CWTs exp'!F11/'[3]actual CWTs exp'!$AC11&gt;0,"-     "," "))</f>
        <v xml:space="preserve"> </v>
      </c>
      <c r="G14" s="376" t="str">
        <f>IF('[3]actual CWTs exp'!G11/'[3]actual CWTs exp'!$AC11&gt;0.0005,'[3]actual CWTs exp'!G11/'[3]actual CWTs exp'!$AC11,IF('[3]actual CWTs exp'!G11/'[3]actual CWTs exp'!$AC11&gt;0,"-     "," "))</f>
        <v xml:space="preserve"> </v>
      </c>
      <c r="H14" s="376">
        <f>IF('[3]actual CWTs exp'!H11/'[3]actual CWTs exp'!$AC11&gt;0.0005,'[3]actual CWTs exp'!H11/'[3]actual CWTs exp'!$AC11,IF('[3]actual CWTs exp'!H11/'[3]actual CWTs exp'!$AC11&gt;0,"-     "," "))</f>
        <v>3.6613272311212815E-2</v>
      </c>
      <c r="I14" s="376" t="str">
        <f>IF('[3]actual CWTs exp'!I11/'[3]actual CWTs exp'!$AC11&gt;0.0005,'[3]actual CWTs exp'!I11/'[3]actual CWTs exp'!$AC11,IF('[3]actual CWTs exp'!I11/'[3]actual CWTs exp'!$AC11&gt;0,"-     "," "))</f>
        <v xml:space="preserve"> </v>
      </c>
      <c r="J14" s="377" t="str">
        <f>IF('[3]actual CWTs exp'!J11/'[3]actual CWTs exp'!$AC11&gt;0.0005,'[3]actual CWTs exp'!J11/'[3]actual CWTs exp'!$AC11,IF('[3]actual CWTs exp'!J11/'[3]actual CWTs exp'!$AC11&gt;0,"-     "," "))</f>
        <v xml:space="preserve"> </v>
      </c>
      <c r="K14" s="376" t="str">
        <f>IF('[3]actual CWTs exp'!K11/'[3]actual CWTs exp'!$AC11&gt;0.0005,'[3]actual CWTs exp'!K11/'[3]actual CWTs exp'!$AC11,IF('[3]actual CWTs exp'!K11/'[3]actual CWTs exp'!$AC11&gt;0,"-     "," "))</f>
        <v xml:space="preserve"> </v>
      </c>
      <c r="L14" s="376" t="str">
        <f>IF('[3]actual CWTs exp'!L11/'[3]actual CWTs exp'!$AC11&gt;0.0005,'[3]actual CWTs exp'!L11/'[3]actual CWTs exp'!$AC11,IF('[3]actual CWTs exp'!L11/'[3]actual CWTs exp'!$AC11&gt;0,"-     "," "))</f>
        <v xml:space="preserve"> </v>
      </c>
      <c r="M14" s="376">
        <f>IF('[3]actual CWTs exp'!M11/'[3]actual CWTs exp'!$AC11&gt;0.0005,'[3]actual CWTs exp'!M11/'[3]actual CWTs exp'!$AC11,IF('[3]actual CWTs exp'!M11/'[3]actual CWTs exp'!$AC11&gt;0,"-     "," "))</f>
        <v>6.4073226544622428E-2</v>
      </c>
      <c r="N14" s="376" t="str">
        <f>IF('[3]actual CWTs exp'!N11/'[3]actual CWTs exp'!$AC11&gt;0.0005,'[3]actual CWTs exp'!N11/'[3]actual CWTs exp'!$AC11,IF('[3]actual CWTs exp'!N11/'[3]actual CWTs exp'!$AC11&gt;0,"-     "," "))</f>
        <v xml:space="preserve"> </v>
      </c>
      <c r="O14" s="376" t="str">
        <f>IF('[3]actual CWTs exp'!O11/'[3]actual CWTs exp'!$AC11&gt;0.0005,'[3]actual CWTs exp'!O11/'[3]actual CWTs exp'!$AC11,IF('[3]actual CWTs exp'!O11/'[3]actual CWTs exp'!$AC11&gt;0,"-     "," "))</f>
        <v xml:space="preserve"> </v>
      </c>
      <c r="P14" s="376">
        <f>IF('[3]actual CWTs exp'!P11/'[3]actual CWTs exp'!$AC11&gt;0.0005,'[3]actual CWTs exp'!P11/'[3]actual CWTs exp'!$AC11,IF('[3]actual CWTs exp'!P11/'[3]actual CWTs exp'!$AC11&gt;0,"-     "," "))</f>
        <v>2.2883295194508009E-3</v>
      </c>
      <c r="Q14" s="378" t="str">
        <f>IF('[3]actual CWTs exp'!Q11/'[3]actual CWTs exp'!$AC11&gt;0.0005,'[3]actual CWTs exp'!Q11/'[3]actual CWTs exp'!$AC11,IF('[3]actual CWTs exp'!Q11/'[3]actual CWTs exp'!$AC11&gt;0,"-     "," "))</f>
        <v xml:space="preserve"> </v>
      </c>
      <c r="R14" s="376" t="str">
        <f>IF('[3]actual CWTs exp'!R11/'[3]actual CWTs exp'!$AC11&gt;0.0005,'[3]actual CWTs exp'!R11/'[3]actual CWTs exp'!$AC11,IF('[3]actual CWTs exp'!R11/'[3]actual CWTs exp'!$AC11&gt;0,"-     "," "))</f>
        <v xml:space="preserve"> </v>
      </c>
      <c r="S14" s="376">
        <f>IF('[3]actual CWTs exp'!S11/'[3]actual CWTs exp'!$AC11&gt;0.0005,'[3]actual CWTs exp'!S11/'[3]actual CWTs exp'!$AC11,IF('[3]actual CWTs exp'!S11/'[3]actual CWTs exp'!$AC11&gt;0,"-     "," "))</f>
        <v>9.1533180778032037E-3</v>
      </c>
      <c r="T14" s="378" t="str">
        <f>IF('[3]actual CWTs exp'!T11/'[3]actual CWTs exp'!$AC11&gt;0.0005,'[3]actual CWTs exp'!T11/'[3]actual CWTs exp'!$AC11,IF('[3]actual CWTs exp'!T11/'[3]actual CWTs exp'!$AC11&gt;0,"-     "," "))</f>
        <v xml:space="preserve"> </v>
      </c>
      <c r="U14" s="377" t="str">
        <f>IF('[3]actual CWTs exp'!U11/'[3]actual CWTs exp'!$AC11&gt;0.0005,'[3]actual CWTs exp'!U11/'[3]actual CWTs exp'!$AC11,IF('[3]actual CWTs exp'!U11/'[3]actual CWTs exp'!$AC11&gt;0,"-     "," "))</f>
        <v xml:space="preserve"> </v>
      </c>
      <c r="V14" s="376">
        <f>IF('[3]actual CWTs exp'!V11/'[3]actual CWTs exp'!$AC11&gt;0.0005,'[3]actual CWTs exp'!V11/'[3]actual CWTs exp'!$AC11,IF('[3]actual CWTs exp'!V11/'[3]actual CWTs exp'!$AC11&gt;0,"-     "," "))</f>
        <v>0.39588100686498856</v>
      </c>
      <c r="W14" s="376">
        <f>IF('[3]actual CWTs exp'!W11/'[3]actual CWTs exp'!$AC11&gt;0.0005,'[3]actual CWTs exp'!W11/'[3]actual CWTs exp'!$AC11,IF('[3]actual CWTs exp'!W11/'[3]actual CWTs exp'!$AC11&gt;0,"-     "," "))</f>
        <v>3.8901601830663615E-2</v>
      </c>
      <c r="X14" s="376" t="str">
        <f>IF('[3]actual CWTs exp'!X11/'[3]actual CWTs exp'!$AC11&gt;0.0005,'[3]actual CWTs exp'!X11/'[3]actual CWTs exp'!$AC11,IF('[3]actual CWTs exp'!X11/'[3]actual CWTs exp'!$AC11&gt;0,"-     "," "))</f>
        <v xml:space="preserve"> </v>
      </c>
      <c r="Y14" s="378">
        <f>IF('[3]actual CWTs exp'!Y11/'[3]actual CWTs exp'!$AC11&gt;0.0005,'[3]actual CWTs exp'!Y11/'[3]actual CWTs exp'!$AC11,IF('[3]actual CWTs exp'!Y11/'[3]actual CWTs exp'!$AC11&gt;0,"-     "," "))</f>
        <v>0.32951945080091533</v>
      </c>
      <c r="Z14" s="384" t="str">
        <f>IF('[3]actual CWTs exp'!Z11/'[3]actual CWTs exp'!$AC11&gt;0.0005,'[3]actual CWTs exp'!Z11/'[3]actual CWTs exp'!$AC11,IF('[3]actual CWTs exp'!Z11/'[3]actual CWTs exp'!$AC11&gt;0,"-     "," "))</f>
        <v xml:space="preserve"> </v>
      </c>
      <c r="AA14" s="380">
        <f t="shared" si="0"/>
        <v>0.87871853546910761</v>
      </c>
      <c r="AB14" s="381">
        <f t="shared" si="1"/>
        <v>0.12128146453089239</v>
      </c>
      <c r="AC14" s="382">
        <f>'[3]actual CWTs exp'!AC11</f>
        <v>437</v>
      </c>
    </row>
    <row r="15" spans="1:29" ht="18" customHeight="1" x14ac:dyDescent="0.3">
      <c r="A15" s="715" t="s">
        <v>193</v>
      </c>
      <c r="B15" s="716"/>
      <c r="C15" s="716"/>
      <c r="D15" s="716"/>
      <c r="E15" s="386">
        <f>IF('[3]actual CWTs exp'!E12/'[3]actual CWTs exp'!$AC12&gt;0.0005,'[3]actual CWTs exp'!E12/'[3]actual CWTs exp'!$AC12,IF('[3]actual CWTs exp'!E12/'[3]actual CWTs exp'!$AC12&gt;0,"-     "," "))</f>
        <v>2.565955239365644E-3</v>
      </c>
      <c r="F15" s="386" t="str">
        <f>IF('[3]actual CWTs exp'!F12/'[3]actual CWTs exp'!$AC12&gt;0.0005,'[3]actual CWTs exp'!F12/'[3]actual CWTs exp'!$AC12,IF('[3]actual CWTs exp'!F12/'[3]actual CWTs exp'!$AC12&gt;0,"-     "," "))</f>
        <v xml:space="preserve"> </v>
      </c>
      <c r="G15" s="386">
        <f>IF('[3]actual CWTs exp'!G12/'[3]actual CWTs exp'!$AC12&gt;0.0005,'[3]actual CWTs exp'!G12/'[3]actual CWTs exp'!$AC12,IF('[3]actual CWTs exp'!G12/'[3]actual CWTs exp'!$AC12&gt;0,"-     "," "))</f>
        <v>0.34073477100933747</v>
      </c>
      <c r="H15" s="386">
        <f>IF('[3]actual CWTs exp'!H12/'[3]actual CWTs exp'!$AC12&gt;0.0005,'[3]actual CWTs exp'!H12/'[3]actual CWTs exp'!$AC12,IF('[3]actual CWTs exp'!H12/'[3]actual CWTs exp'!$AC12&gt;0,"-     "," "))</f>
        <v>1.7155772936119758E-2</v>
      </c>
      <c r="I15" s="386" t="str">
        <f>IF('[3]actual CWTs exp'!I12/'[3]actual CWTs exp'!$AC12&gt;0.0005,'[3]actual CWTs exp'!I12/'[3]actual CWTs exp'!$AC12,IF('[3]actual CWTs exp'!I12/'[3]actual CWTs exp'!$AC12&gt;0,"-     "," "))</f>
        <v xml:space="preserve">-     </v>
      </c>
      <c r="J15" s="387">
        <f>IF('[3]actual CWTs exp'!J12/'[3]actual CWTs exp'!$AC12&gt;0.0005,'[3]actual CWTs exp'!J12/'[3]actual CWTs exp'!$AC12,IF('[3]actual CWTs exp'!J12/'[3]actual CWTs exp'!$AC12&gt;0,"-     "," "))</f>
        <v>9.884022528531199E-3</v>
      </c>
      <c r="K15" s="386">
        <f>IF('[3]actual CWTs exp'!K12/'[3]actual CWTs exp'!$AC12&gt;0.0005,'[3]actual CWTs exp'!K12/'[3]actual CWTs exp'!$AC12,IF('[3]actual CWTs exp'!K12/'[3]actual CWTs exp'!$AC12&gt;0,"-     "," "))</f>
        <v>1.2283236994219654E-2</v>
      </c>
      <c r="L15" s="386">
        <f>IF('[3]actual CWTs exp'!L12/'[3]actual CWTs exp'!$AC12&gt;0.0005,'[3]actual CWTs exp'!L12/'[3]actual CWTs exp'!$AC12,IF('[3]actual CWTs exp'!L12/'[3]actual CWTs exp'!$AC12&gt;0,"-     "," "))</f>
        <v>5.0114865866310952E-3</v>
      </c>
      <c r="M15" s="386">
        <f>IF('[3]actual CWTs exp'!M12/'[3]actual CWTs exp'!$AC12&gt;0.0005,'[3]actual CWTs exp'!M12/'[3]actual CWTs exp'!$AC12,IF('[3]actual CWTs exp'!M12/'[3]actual CWTs exp'!$AC12&gt;0,"-     "," "))</f>
        <v>0.26185712168371128</v>
      </c>
      <c r="N15" s="168" t="str">
        <f>IF('[3]actual CWTs exp'!N12/'[3]actual CWTs exp'!$AC12&gt;0.0005,'[3]actual CWTs exp'!N12/'[3]actual CWTs exp'!$AC12,IF('[3]actual CWTs exp'!N12/'[3]actual CWTs exp'!$AC12&gt;0,"-     "," "))</f>
        <v xml:space="preserve">-     </v>
      </c>
      <c r="O15" s="168" t="str">
        <f>IF('[3]actual CWTs exp'!O12/'[3]actual CWTs exp'!$AC12&gt;0.0005,'[3]actual CWTs exp'!O12/'[3]actual CWTs exp'!$AC12,IF('[3]actual CWTs exp'!O12/'[3]actual CWTs exp'!$AC12&gt;0,"-     "," "))</f>
        <v xml:space="preserve">-     </v>
      </c>
      <c r="P15" s="386">
        <f>IF('[3]actual CWTs exp'!P12/'[3]actual CWTs exp'!$AC12&gt;0.0005,'[3]actual CWTs exp'!P12/'[3]actual CWTs exp'!$AC12,IF('[3]actual CWTs exp'!P12/'[3]actual CWTs exp'!$AC12&gt;0,"-     "," "))</f>
        <v>1.3431895657329183E-3</v>
      </c>
      <c r="Q15" s="388" t="str">
        <f>IF('[3]actual CWTs exp'!Q12/'[3]actual CWTs exp'!$AC12&gt;0.0005,'[3]actual CWTs exp'!Q12/'[3]actual CWTs exp'!$AC12,IF('[3]actual CWTs exp'!Q12/'[3]actual CWTs exp'!$AC12&gt;0,"-     "," "))</f>
        <v xml:space="preserve">-     </v>
      </c>
      <c r="R15" s="386">
        <f>IF('[3]actual CWTs exp'!R12/'[3]actual CWTs exp'!$AC12&gt;0.0005,'[3]actual CWTs exp'!R12/'[3]actual CWTs exp'!$AC12,IF('[3]actual CWTs exp'!R12/'[3]actual CWTs exp'!$AC12&gt;0,"-     "," "))</f>
        <v>3.4950718838002076E-2</v>
      </c>
      <c r="S15" s="386">
        <f>IF('[3]actual CWTs exp'!S12/'[3]actual CWTs exp'!$AC12&gt;0.0005,'[3]actual CWTs exp'!S12/'[3]actual CWTs exp'!$AC12,IF('[3]actual CWTs exp'!S12/'[3]actual CWTs exp'!$AC12&gt;0,"-     "," "))</f>
        <v>5.1152364013635689E-2</v>
      </c>
      <c r="T15" s="389" t="str">
        <f>IF('[3]actual CWTs exp'!T12/'[3]actual CWTs exp'!$AC12&gt;0.0005,'[3]actual CWTs exp'!T12/'[3]actual CWTs exp'!$AC12,IF('[3]actual CWTs exp'!T12/'[3]actual CWTs exp'!$AC12&gt;0,"-     "," "))</f>
        <v xml:space="preserve">-     </v>
      </c>
      <c r="U15" s="387">
        <f>IF('[3]actual CWTs exp'!U12/'[3]actual CWTs exp'!$AC12&gt;0.0005,'[3]actual CWTs exp'!U12/'[3]actual CWTs exp'!$AC12,IF('[3]actual CWTs exp'!U12/'[3]actual CWTs exp'!$AC12&gt;0,"-     "," "))</f>
        <v>1.8063583815028901E-3</v>
      </c>
      <c r="V15" s="386">
        <f>IF('[3]actual CWTs exp'!V12/'[3]actual CWTs exp'!$AC12&gt;0.0005,'[3]actual CWTs exp'!V12/'[3]actual CWTs exp'!$AC12,IF('[3]actual CWTs exp'!V12/'[3]actual CWTs exp'!$AC12&gt;0,"-     "," "))</f>
        <v>0.12379576107899808</v>
      </c>
      <c r="W15" s="386">
        <f>IF('[3]actual CWTs exp'!W12/'[3]actual CWTs exp'!$AC12&gt;0.0005,'[3]actual CWTs exp'!W12/'[3]actual CWTs exp'!$AC12,IF('[3]actual CWTs exp'!W12/'[3]actual CWTs exp'!$AC12&gt;0,"-     "," "))</f>
        <v>1.1393952867941308E-2</v>
      </c>
      <c r="X15" s="386" t="str">
        <f>IF('[3]actual CWTs exp'!X12/'[3]actual CWTs exp'!$AC12&gt;0.0005,'[3]actual CWTs exp'!X12/'[3]actual CWTs exp'!$AC12,IF('[3]actual CWTs exp'!X12/'[3]actual CWTs exp'!$AC12&gt;0,"-     "," "))</f>
        <v xml:space="preserve">-     </v>
      </c>
      <c r="Y15" s="388">
        <f>IF('[3]actual CWTs exp'!Y12/'[3]actual CWTs exp'!$AC12&gt;0.0005,'[3]actual CWTs exp'!Y12/'[3]actual CWTs exp'!$AC12,IF('[3]actual CWTs exp'!Y12/'[3]actual CWTs exp'!$AC12&gt;0,"-     "," "))</f>
        <v>9.9951830443159931E-3</v>
      </c>
      <c r="Z15" s="390" t="str">
        <f>IF('[3]actual CWTs exp'!Z12/'[3]actual CWTs exp'!$AC12&gt;0.0005,'[3]actual CWTs exp'!Z12/'[3]actual CWTs exp'!$AC12,IF('[3]actual CWTs exp'!Z12/'[3]actual CWTs exp'!$AC12&gt;0,"-     "," "))</f>
        <v xml:space="preserve"> </v>
      </c>
      <c r="AA15" s="391">
        <f>IF('[3]actual CWTs exp'!AA12&gt;0,'[3]actual CWTs exp'!AA12/'[3]actual CWTs exp'!$AC12," ")</f>
        <v>0.8850785534311546</v>
      </c>
      <c r="AB15" s="389">
        <f>IF('[3]actual CWTs exp'!AB12&gt;0,'[3]actual CWTs exp'!AB12/'[3]actual CWTs exp'!$AC12," ")</f>
        <v>0.11492144656884541</v>
      </c>
      <c r="AC15" s="392">
        <f>'[3]actual CWTs exp'!AC12</f>
        <v>107952</v>
      </c>
    </row>
    <row r="16" spans="1:29" ht="16.5" customHeight="1" x14ac:dyDescent="0.25">
      <c r="A16" s="354"/>
      <c r="B16"/>
      <c r="C16"/>
      <c r="D16"/>
      <c r="E16" s="376"/>
      <c r="F16" s="376"/>
      <c r="G16" s="376"/>
      <c r="H16" s="376"/>
      <c r="I16" s="376"/>
      <c r="J16" s="377"/>
      <c r="K16" s="376"/>
      <c r="L16" s="376"/>
      <c r="M16" s="376"/>
      <c r="N16" s="376"/>
      <c r="O16" s="376"/>
      <c r="P16" s="376"/>
      <c r="Q16" s="378"/>
      <c r="R16" s="376"/>
      <c r="S16" s="376"/>
      <c r="T16" s="378"/>
      <c r="U16" s="377"/>
      <c r="V16" s="376"/>
      <c r="W16" s="376"/>
      <c r="X16" s="376"/>
      <c r="Y16" s="378"/>
      <c r="Z16" s="384"/>
      <c r="AA16" s="380"/>
      <c r="AB16" s="381"/>
      <c r="AC16" s="382"/>
    </row>
    <row r="17" spans="1:29" ht="16.5" customHeight="1" x14ac:dyDescent="0.3">
      <c r="A17" s="370" t="s">
        <v>63</v>
      </c>
      <c r="B17"/>
      <c r="C17"/>
      <c r="D17"/>
      <c r="E17" s="12"/>
      <c r="F17" s="376"/>
      <c r="G17" s="376"/>
      <c r="H17" s="376"/>
      <c r="I17" s="376"/>
      <c r="J17" s="377"/>
      <c r="K17" s="376"/>
      <c r="L17" s="376"/>
      <c r="M17" s="376"/>
      <c r="N17" s="376"/>
      <c r="O17" s="376"/>
      <c r="P17" s="376"/>
      <c r="Q17" s="378"/>
      <c r="R17" s="376"/>
      <c r="S17" s="376"/>
      <c r="T17" s="378"/>
      <c r="U17" s="377"/>
      <c r="V17" s="376"/>
      <c r="W17" s="376"/>
      <c r="X17" s="376"/>
      <c r="Y17" s="378"/>
      <c r="Z17" s="384"/>
      <c r="AA17" s="380"/>
      <c r="AB17" s="381"/>
      <c r="AC17" s="382">
        <f>'[3]actual CWTs exp'!AC13</f>
        <v>0</v>
      </c>
    </row>
    <row r="18" spans="1:29" ht="16.5" customHeight="1" x14ac:dyDescent="0.25">
      <c r="A18" s="383" t="s">
        <v>65</v>
      </c>
      <c r="B18" t="s">
        <v>64</v>
      </c>
      <c r="C18" t="s">
        <v>321</v>
      </c>
      <c r="D18" t="s">
        <v>317</v>
      </c>
      <c r="E18" s="376">
        <f>IF('[3]actual CWTs exp'!E14/'[3]actual CWTs exp'!$AC14&gt;0.0005,'[3]actual CWTs exp'!E14/'[3]actual CWTs exp'!$AC14,IF('[3]actual CWTs exp'!E14/'[3]actual CWTs exp'!$AC14&gt;0,"-     "," "))</f>
        <v>0.37154362416107384</v>
      </c>
      <c r="F18" s="376">
        <f>IF('[3]actual CWTs exp'!F14/'[3]actual CWTs exp'!$AC14&gt;0.0005,'[3]actual CWTs exp'!F14/'[3]actual CWTs exp'!$AC14,IF('[3]actual CWTs exp'!F14/'[3]actual CWTs exp'!$AC14&gt;0,"-     "," "))</f>
        <v>3.9731543624161071E-2</v>
      </c>
      <c r="G18" s="376" t="str">
        <f>IF('[3]actual CWTs exp'!G14/'[3]actual CWTs exp'!$AC14&gt;0.0005,'[3]actual CWTs exp'!G14/'[3]actual CWTs exp'!$AC14,IF('[3]actual CWTs exp'!G14/'[3]actual CWTs exp'!$AC14&gt;0,"-     "," "))</f>
        <v xml:space="preserve"> </v>
      </c>
      <c r="H18" s="376" t="str">
        <f>IF('[3]actual CWTs exp'!H14/'[3]actual CWTs exp'!$AC14&gt;0.0005,'[3]actual CWTs exp'!H14/'[3]actual CWTs exp'!$AC14,IF('[3]actual CWTs exp'!H14/'[3]actual CWTs exp'!$AC14&gt;0,"-     "," "))</f>
        <v xml:space="preserve"> </v>
      </c>
      <c r="I18" s="376" t="str">
        <f>IF('[3]actual CWTs exp'!I14/'[3]actual CWTs exp'!$AC14&gt;0.0005,'[3]actual CWTs exp'!I14/'[3]actual CWTs exp'!$AC14,IF('[3]actual CWTs exp'!I14/'[3]actual CWTs exp'!$AC14&gt;0,"-     "," "))</f>
        <v xml:space="preserve"> </v>
      </c>
      <c r="J18" s="377" t="str">
        <f>IF('[3]actual CWTs exp'!J14/'[3]actual CWTs exp'!$AC14&gt;0.0005,'[3]actual CWTs exp'!J14/'[3]actual CWTs exp'!$AC14,IF('[3]actual CWTs exp'!J14/'[3]actual CWTs exp'!$AC14&gt;0,"-     "," "))</f>
        <v xml:space="preserve"> </v>
      </c>
      <c r="K18" s="376" t="str">
        <f>IF('[3]actual CWTs exp'!K14/'[3]actual CWTs exp'!$AC14&gt;0.0005,'[3]actual CWTs exp'!K14/'[3]actual CWTs exp'!$AC14,IF('[3]actual CWTs exp'!K14/'[3]actual CWTs exp'!$AC14&gt;0,"-     "," "))</f>
        <v xml:space="preserve"> </v>
      </c>
      <c r="L18" s="376" t="str">
        <f>IF('[3]actual CWTs exp'!L14/'[3]actual CWTs exp'!$AC14&gt;0.0005,'[3]actual CWTs exp'!L14/'[3]actual CWTs exp'!$AC14,IF('[3]actual CWTs exp'!L14/'[3]actual CWTs exp'!$AC14&gt;0,"-     "," "))</f>
        <v xml:space="preserve"> </v>
      </c>
      <c r="M18" s="376" t="str">
        <f>IF('[3]actual CWTs exp'!M14/'[3]actual CWTs exp'!$AC14&gt;0.0005,'[3]actual CWTs exp'!M14/'[3]actual CWTs exp'!$AC14,IF('[3]actual CWTs exp'!M14/'[3]actual CWTs exp'!$AC14&gt;0,"-     "," "))</f>
        <v xml:space="preserve"> </v>
      </c>
      <c r="N18" s="376" t="str">
        <f>IF('[3]actual CWTs exp'!N14/'[3]actual CWTs exp'!$AC14&gt;0.0005,'[3]actual CWTs exp'!N14/'[3]actual CWTs exp'!$AC14,IF('[3]actual CWTs exp'!N14/'[3]actual CWTs exp'!$AC14&gt;0,"-     "," "))</f>
        <v xml:space="preserve"> </v>
      </c>
      <c r="O18" s="376" t="str">
        <f>IF('[3]actual CWTs exp'!O14/'[3]actual CWTs exp'!$AC14&gt;0.0005,'[3]actual CWTs exp'!O14/'[3]actual CWTs exp'!$AC14,IF('[3]actual CWTs exp'!O14/'[3]actual CWTs exp'!$AC14&gt;0,"-     "," "))</f>
        <v xml:space="preserve"> </v>
      </c>
      <c r="P18" s="376" t="str">
        <f>IF('[3]actual CWTs exp'!P14/'[3]actual CWTs exp'!$AC14&gt;0.0005,'[3]actual CWTs exp'!P14/'[3]actual CWTs exp'!$AC14,IF('[3]actual CWTs exp'!P14/'[3]actual CWTs exp'!$AC14&gt;0,"-     "," "))</f>
        <v xml:space="preserve"> </v>
      </c>
      <c r="Q18" s="378" t="str">
        <f>IF('[3]actual CWTs exp'!Q14/'[3]actual CWTs exp'!$AC14&gt;0.0005,'[3]actual CWTs exp'!Q14/'[3]actual CWTs exp'!$AC14,IF('[3]actual CWTs exp'!Q14/'[3]actual CWTs exp'!$AC14&gt;0,"-     "," "))</f>
        <v xml:space="preserve"> </v>
      </c>
      <c r="R18" s="376" t="str">
        <f>IF('[3]actual CWTs exp'!R14/'[3]actual CWTs exp'!$AC14&gt;0.0005,'[3]actual CWTs exp'!R14/'[3]actual CWTs exp'!$AC14,IF('[3]actual CWTs exp'!R14/'[3]actual CWTs exp'!$AC14&gt;0,"-     "," "))</f>
        <v xml:space="preserve"> </v>
      </c>
      <c r="S18" s="376">
        <f>IF('[3]actual CWTs exp'!S14/'[3]actual CWTs exp'!$AC14&gt;0.0005,'[3]actual CWTs exp'!S14/'[3]actual CWTs exp'!$AC14,IF('[3]actual CWTs exp'!S14/'[3]actual CWTs exp'!$AC14&gt;0,"-     "," "))</f>
        <v>2.1744966442953019E-2</v>
      </c>
      <c r="T18" s="378">
        <f>IF('[3]actual CWTs exp'!T14/'[3]actual CWTs exp'!$AC14&gt;0.0005,'[3]actual CWTs exp'!T14/'[3]actual CWTs exp'!$AC14,IF('[3]actual CWTs exp'!T14/'[3]actual CWTs exp'!$AC14&gt;0,"-     "," "))</f>
        <v>1.0738255033557046E-2</v>
      </c>
      <c r="U18" s="377" t="str">
        <f>IF('[3]actual CWTs exp'!U14/'[3]actual CWTs exp'!$AC14&gt;0.0005,'[3]actual CWTs exp'!U14/'[3]actual CWTs exp'!$AC14,IF('[3]actual CWTs exp'!U14/'[3]actual CWTs exp'!$AC14&gt;0,"-     "," "))</f>
        <v xml:space="preserve"> </v>
      </c>
      <c r="V18" s="376" t="str">
        <f>IF('[3]actual CWTs exp'!V14/'[3]actual CWTs exp'!$AC14&gt;0.0005,'[3]actual CWTs exp'!V14/'[3]actual CWTs exp'!$AC14,IF('[3]actual CWTs exp'!V14/'[3]actual CWTs exp'!$AC14&gt;0,"-     "," "))</f>
        <v xml:space="preserve"> </v>
      </c>
      <c r="W18" s="376" t="str">
        <f>IF('[3]actual CWTs exp'!W14/'[3]actual CWTs exp'!$AC14&gt;0.0005,'[3]actual CWTs exp'!W14/'[3]actual CWTs exp'!$AC14,IF('[3]actual CWTs exp'!W14/'[3]actual CWTs exp'!$AC14&gt;0,"-     "," "))</f>
        <v xml:space="preserve"> </v>
      </c>
      <c r="X18" s="376" t="str">
        <f>IF('[3]actual CWTs exp'!X14/'[3]actual CWTs exp'!$AC14&gt;0.0005,'[3]actual CWTs exp'!X14/'[3]actual CWTs exp'!$AC14,IF('[3]actual CWTs exp'!X14/'[3]actual CWTs exp'!$AC14&gt;0,"-     "," "))</f>
        <v xml:space="preserve"> </v>
      </c>
      <c r="Y18" s="378" t="str">
        <f>IF('[3]actual CWTs exp'!Y14/'[3]actual CWTs exp'!$AC14&gt;0.0005,'[3]actual CWTs exp'!Y14/'[3]actual CWTs exp'!$AC14,IF('[3]actual CWTs exp'!Y14/'[3]actual CWTs exp'!$AC14&gt;0,"-     "," "))</f>
        <v xml:space="preserve"> </v>
      </c>
      <c r="Z18" s="384" t="str">
        <f>IF('[3]actual CWTs exp'!Z14/'[3]actual CWTs exp'!$AC14&gt;0.0005,'[3]actual CWTs exp'!Z14/'[3]actual CWTs exp'!$AC14,IF('[3]actual CWTs exp'!Z14/'[3]actual CWTs exp'!$AC14&gt;0,"-     "," "))</f>
        <v xml:space="preserve"> </v>
      </c>
      <c r="AA18" s="380">
        <f>SUM(E18:Z18)</f>
        <v>0.44375838926174499</v>
      </c>
      <c r="AB18" s="381">
        <f t="shared" si="1"/>
        <v>0.55624161073825507</v>
      </c>
      <c r="AC18" s="382">
        <f>'[3]actual CWTs exp'!AC14</f>
        <v>3725</v>
      </c>
    </row>
    <row r="19" spans="1:29" ht="16.5" customHeight="1" x14ac:dyDescent="0.25">
      <c r="A19" s="393" t="s">
        <v>67</v>
      </c>
      <c r="B19" s="394"/>
      <c r="C19" s="394"/>
      <c r="D19" s="79" t="s">
        <v>47</v>
      </c>
      <c r="E19" s="376" t="str">
        <f>IF('[3]actual CWTs exp'!E15/'[3]actual CWTs exp'!$AC15&gt;0.0005,'[3]actual CWTs exp'!E15/'[3]actual CWTs exp'!$AC15,IF('[3]actual CWTs exp'!E15/'[3]actual CWTs exp'!$AC15&gt;0,"-     "," "))</f>
        <v xml:space="preserve"> </v>
      </c>
      <c r="F19" s="376" t="str">
        <f>IF('[3]actual CWTs exp'!F15/'[3]actual CWTs exp'!$AC15&gt;0.0005,'[3]actual CWTs exp'!F15/'[3]actual CWTs exp'!$AC15,IF('[3]actual CWTs exp'!F15/'[3]actual CWTs exp'!$AC15&gt;0,"-     "," "))</f>
        <v xml:space="preserve"> </v>
      </c>
      <c r="G19" s="376" t="str">
        <f>IF('[3]actual CWTs exp'!G15/'[3]actual CWTs exp'!$AC15&gt;0.0005,'[3]actual CWTs exp'!G15/'[3]actual CWTs exp'!$AC15,IF('[3]actual CWTs exp'!G15/'[3]actual CWTs exp'!$AC15&gt;0,"-     "," "))</f>
        <v xml:space="preserve"> </v>
      </c>
      <c r="H19" s="376" t="str">
        <f>IF('[3]actual CWTs exp'!H15/'[3]actual CWTs exp'!$AC15&gt;0.0005,'[3]actual CWTs exp'!H15/'[3]actual CWTs exp'!$AC15,IF('[3]actual CWTs exp'!H15/'[3]actual CWTs exp'!$AC15&gt;0,"-     "," "))</f>
        <v xml:space="preserve"> </v>
      </c>
      <c r="I19" s="376" t="str">
        <f>IF('[3]actual CWTs exp'!I15/'[3]actual CWTs exp'!$AC15&gt;0.0005,'[3]actual CWTs exp'!I15/'[3]actual CWTs exp'!$AC15,IF('[3]actual CWTs exp'!I15/'[3]actual CWTs exp'!$AC15&gt;0,"-     "," "))</f>
        <v xml:space="preserve"> </v>
      </c>
      <c r="J19" s="377" t="str">
        <f>IF('[3]actual CWTs exp'!J15/'[3]actual CWTs exp'!$AC15&gt;0.0005,'[3]actual CWTs exp'!J15/'[3]actual CWTs exp'!$AC15,IF('[3]actual CWTs exp'!J15/'[3]actual CWTs exp'!$AC15&gt;0,"-     "," "))</f>
        <v xml:space="preserve"> </v>
      </c>
      <c r="K19" s="376" t="str">
        <f>IF('[3]actual CWTs exp'!K15/'[3]actual CWTs exp'!$AC15&gt;0.0005,'[3]actual CWTs exp'!K15/'[3]actual CWTs exp'!$AC15,IF('[3]actual CWTs exp'!K15/'[3]actual CWTs exp'!$AC15&gt;0,"-     "," "))</f>
        <v xml:space="preserve"> </v>
      </c>
      <c r="L19" s="376" t="str">
        <f>IF('[3]actual CWTs exp'!L15/'[3]actual CWTs exp'!$AC15&gt;0.0005,'[3]actual CWTs exp'!L15/'[3]actual CWTs exp'!$AC15,IF('[3]actual CWTs exp'!L15/'[3]actual CWTs exp'!$AC15&gt;0,"-     "," "))</f>
        <v xml:space="preserve"> </v>
      </c>
      <c r="M19" s="376" t="str">
        <f>IF('[3]actual CWTs exp'!M15/'[3]actual CWTs exp'!$AC15&gt;0.0005,'[3]actual CWTs exp'!M15/'[3]actual CWTs exp'!$AC15,IF('[3]actual CWTs exp'!M15/'[3]actual CWTs exp'!$AC15&gt;0,"-     "," "))</f>
        <v xml:space="preserve"> </v>
      </c>
      <c r="N19" s="376" t="str">
        <f>IF('[3]actual CWTs exp'!N15/'[3]actual CWTs exp'!$AC15&gt;0.0005,'[3]actual CWTs exp'!N15/'[3]actual CWTs exp'!$AC15,IF('[3]actual CWTs exp'!N15/'[3]actual CWTs exp'!$AC15&gt;0,"-     "," "))</f>
        <v xml:space="preserve"> </v>
      </c>
      <c r="O19" s="376" t="str">
        <f>IF('[3]actual CWTs exp'!O15/'[3]actual CWTs exp'!$AC15&gt;0.0005,'[3]actual CWTs exp'!O15/'[3]actual CWTs exp'!$AC15,IF('[3]actual CWTs exp'!O15/'[3]actual CWTs exp'!$AC15&gt;0,"-     "," "))</f>
        <v xml:space="preserve"> </v>
      </c>
      <c r="P19" s="376" t="str">
        <f>IF('[3]actual CWTs exp'!P15/'[3]actual CWTs exp'!$AC15&gt;0.0005,'[3]actual CWTs exp'!P15/'[3]actual CWTs exp'!$AC15,IF('[3]actual CWTs exp'!P15/'[3]actual CWTs exp'!$AC15&gt;0,"-     "," "))</f>
        <v xml:space="preserve"> </v>
      </c>
      <c r="Q19" s="378" t="str">
        <f>IF('[3]actual CWTs exp'!Q15/'[3]actual CWTs exp'!$AC15&gt;0.0005,'[3]actual CWTs exp'!Q15/'[3]actual CWTs exp'!$AC15,IF('[3]actual CWTs exp'!Q15/'[3]actual CWTs exp'!$AC15&gt;0,"-     "," "))</f>
        <v xml:space="preserve"> </v>
      </c>
      <c r="R19" s="376" t="str">
        <f>IF('[3]actual CWTs exp'!R15/'[3]actual CWTs exp'!$AC15&gt;0.0005,'[3]actual CWTs exp'!R15/'[3]actual CWTs exp'!$AC15,IF('[3]actual CWTs exp'!R15/'[3]actual CWTs exp'!$AC15&gt;0,"-     "," "))</f>
        <v xml:space="preserve"> </v>
      </c>
      <c r="S19" s="376" t="str">
        <f>IF('[3]actual CWTs exp'!S15/'[3]actual CWTs exp'!$AC15&gt;0.0005,'[3]actual CWTs exp'!S15/'[3]actual CWTs exp'!$AC15,IF('[3]actual CWTs exp'!S15/'[3]actual CWTs exp'!$AC15&gt;0,"-     "," "))</f>
        <v xml:space="preserve"> </v>
      </c>
      <c r="T19" s="378" t="str">
        <f>IF('[3]actual CWTs exp'!T15/'[3]actual CWTs exp'!$AC15&gt;0.0005,'[3]actual CWTs exp'!T15/'[3]actual CWTs exp'!$AC15,IF('[3]actual CWTs exp'!T15/'[3]actual CWTs exp'!$AC15&gt;0,"-     "," "))</f>
        <v xml:space="preserve"> </v>
      </c>
      <c r="U19" s="377" t="str">
        <f>IF('[3]actual CWTs exp'!U15/'[3]actual CWTs exp'!$AC15&gt;0.0005,'[3]actual CWTs exp'!U15/'[3]actual CWTs exp'!$AC15,IF('[3]actual CWTs exp'!U15/'[3]actual CWTs exp'!$AC15&gt;0,"-     "," "))</f>
        <v xml:space="preserve"> </v>
      </c>
      <c r="V19" s="376" t="str">
        <f>IF('[3]actual CWTs exp'!V15/'[3]actual CWTs exp'!$AC15&gt;0.0005,'[3]actual CWTs exp'!V15/'[3]actual CWTs exp'!$AC15,IF('[3]actual CWTs exp'!V15/'[3]actual CWTs exp'!$AC15&gt;0,"-     "," "))</f>
        <v xml:space="preserve"> </v>
      </c>
      <c r="W19" s="376" t="str">
        <f>IF('[3]actual CWTs exp'!W15/'[3]actual CWTs exp'!$AC15&gt;0.0005,'[3]actual CWTs exp'!W15/'[3]actual CWTs exp'!$AC15,IF('[3]actual CWTs exp'!W15/'[3]actual CWTs exp'!$AC15&gt;0,"-     "," "))</f>
        <v xml:space="preserve"> </v>
      </c>
      <c r="X19" s="376" t="str">
        <f>IF('[3]actual CWTs exp'!X15/'[3]actual CWTs exp'!$AC15&gt;0.0005,'[3]actual CWTs exp'!X15/'[3]actual CWTs exp'!$AC15,IF('[3]actual CWTs exp'!X15/'[3]actual CWTs exp'!$AC15&gt;0,"-     "," "))</f>
        <v xml:space="preserve"> </v>
      </c>
      <c r="Y19" s="378" t="str">
        <f>IF('[3]actual CWTs exp'!Y15/'[3]actual CWTs exp'!$AC15&gt;0.0005,'[3]actual CWTs exp'!Y15/'[3]actual CWTs exp'!$AC15,IF('[3]actual CWTs exp'!Y15/'[3]actual CWTs exp'!$AC15&gt;0,"-     "," "))</f>
        <v xml:space="preserve"> </v>
      </c>
      <c r="Z19" s="384" t="str">
        <f>IF('[3]actual CWTs exp'!Z15/'[3]actual CWTs exp'!$AC15&gt;0.0005,'[3]actual CWTs exp'!Z15/'[3]actual CWTs exp'!$AC15,IF('[3]actual CWTs exp'!Z15/'[3]actual CWTs exp'!$AC15&gt;0,"-     "," "))</f>
        <v xml:space="preserve"> </v>
      </c>
      <c r="AA19" s="395">
        <v>9.9999999999999995E-7</v>
      </c>
      <c r="AB19" s="396">
        <v>1</v>
      </c>
      <c r="AC19" s="382">
        <f>'[3]actual CWTs exp'!AC15</f>
        <v>4497</v>
      </c>
    </row>
    <row r="20" spans="1:29" ht="16.5" customHeight="1" x14ac:dyDescent="0.25">
      <c r="A20" s="354" t="s">
        <v>71</v>
      </c>
      <c r="B20" t="s">
        <v>70</v>
      </c>
      <c r="C20" t="s">
        <v>321</v>
      </c>
      <c r="D20" t="s">
        <v>48</v>
      </c>
      <c r="E20" s="376" t="str">
        <f>IF('[3]actual CWTs exp'!E16/'[3]actual CWTs exp'!$AC16&gt;0.0005,'[3]actual CWTs exp'!E16/'[3]actual CWTs exp'!$AC16,IF('[3]actual CWTs exp'!E16/'[3]actual CWTs exp'!$AC16&gt;0,"-     "," "))</f>
        <v xml:space="preserve"> </v>
      </c>
      <c r="F20" s="376" t="str">
        <f>IF('[3]actual CWTs exp'!F16/'[3]actual CWTs exp'!$AC16&gt;0.0005,'[3]actual CWTs exp'!F16/'[3]actual CWTs exp'!$AC16,IF('[3]actual CWTs exp'!F16/'[3]actual CWTs exp'!$AC16&gt;0,"-     "," "))</f>
        <v xml:space="preserve"> </v>
      </c>
      <c r="G20" s="376">
        <f>IF('[3]actual CWTs exp'!G16/'[3]actual CWTs exp'!$AC16&gt;0.0005,'[3]actual CWTs exp'!G16/'[3]actual CWTs exp'!$AC16,IF('[3]actual CWTs exp'!G16/'[3]actual CWTs exp'!$AC16&gt;0,"-     "," "))</f>
        <v>2.3135715761206363E-2</v>
      </c>
      <c r="H20" s="376" t="str">
        <f>IF('[3]actual CWTs exp'!H16/'[3]actual CWTs exp'!$AC16&gt;0.0005,'[3]actual CWTs exp'!H16/'[3]actual CWTs exp'!$AC16,IF('[3]actual CWTs exp'!H16/'[3]actual CWTs exp'!$AC16&gt;0,"-     "," "))</f>
        <v xml:space="preserve"> </v>
      </c>
      <c r="I20" s="376">
        <f>IF('[3]actual CWTs exp'!I16/'[3]actual CWTs exp'!$AC16&gt;0.0005,'[3]actual CWTs exp'!I16/'[3]actual CWTs exp'!$AC16,IF('[3]actual CWTs exp'!I16/'[3]actual CWTs exp'!$AC16&gt;0,"-     "," "))</f>
        <v>8.262755629002272E-4</v>
      </c>
      <c r="J20" s="377" t="str">
        <f>IF('[3]actual CWTs exp'!J16/'[3]actual CWTs exp'!$AC16&gt;0.0005,'[3]actual CWTs exp'!J16/'[3]actual CWTs exp'!$AC16,IF('[3]actual CWTs exp'!J16/'[3]actual CWTs exp'!$AC16&gt;0,"-     "," "))</f>
        <v xml:space="preserve"> </v>
      </c>
      <c r="K20" s="376">
        <f>IF('[3]actual CWTs exp'!K16/'[3]actual CWTs exp'!$AC16&gt;0.0005,'[3]actual CWTs exp'!K16/'[3]actual CWTs exp'!$AC16,IF('[3]actual CWTs exp'!K16/'[3]actual CWTs exp'!$AC16&gt;0,"-     "," "))</f>
        <v>4.54451559595125E-3</v>
      </c>
      <c r="L20" s="376">
        <f>IF('[3]actual CWTs exp'!L16/'[3]actual CWTs exp'!$AC16&gt;0.0005,'[3]actual CWTs exp'!L16/'[3]actual CWTs exp'!$AC16,IF('[3]actual CWTs exp'!L16/'[3]actual CWTs exp'!$AC16&gt;0,"-     "," "))</f>
        <v>8.262755629002272E-4</v>
      </c>
      <c r="M20" s="376">
        <f>IF('[3]actual CWTs exp'!M16/'[3]actual CWTs exp'!$AC16&gt;0.0005,'[3]actual CWTs exp'!M16/'[3]actual CWTs exp'!$AC16,IF('[3]actual CWTs exp'!M16/'[3]actual CWTs exp'!$AC16&gt;0,"-     "," "))</f>
        <v>4.9576533774013637E-2</v>
      </c>
      <c r="N20" s="376" t="str">
        <f>IF('[3]actual CWTs exp'!N16/'[3]actual CWTs exp'!$AC16&gt;0.0005,'[3]actual CWTs exp'!N16/'[3]actual CWTs exp'!$AC16,IF('[3]actual CWTs exp'!N16/'[3]actual CWTs exp'!$AC16&gt;0,"-     "," "))</f>
        <v xml:space="preserve"> </v>
      </c>
      <c r="O20" s="376" t="str">
        <f>IF('[3]actual CWTs exp'!O16/'[3]actual CWTs exp'!$AC16&gt;0.0005,'[3]actual CWTs exp'!O16/'[3]actual CWTs exp'!$AC16,IF('[3]actual CWTs exp'!O16/'[3]actual CWTs exp'!$AC16&gt;0,"-     "," "))</f>
        <v xml:space="preserve"> </v>
      </c>
      <c r="P20" s="376">
        <f>IF('[3]actual CWTs exp'!P16/'[3]actual CWTs exp'!$AC16&gt;0.0005,'[3]actual CWTs exp'!P16/'[3]actual CWTs exp'!$AC16,IF('[3]actual CWTs exp'!P16/'[3]actual CWTs exp'!$AC16&gt;0,"-     "," "))</f>
        <v>2.272257797975625E-3</v>
      </c>
      <c r="Q20" s="378" t="str">
        <f>IF('[3]actual CWTs exp'!Q16/'[3]actual CWTs exp'!$AC16&gt;0.0005,'[3]actual CWTs exp'!Q16/'[3]actual CWTs exp'!$AC16,IF('[3]actual CWTs exp'!Q16/'[3]actual CWTs exp'!$AC16&gt;0,"-     "," "))</f>
        <v xml:space="preserve"> </v>
      </c>
      <c r="R20" s="376" t="str">
        <f>IF('[3]actual CWTs exp'!R16/'[3]actual CWTs exp'!$AC16&gt;0.0005,'[3]actual CWTs exp'!R16/'[3]actual CWTs exp'!$AC16,IF('[3]actual CWTs exp'!R16/'[3]actual CWTs exp'!$AC16&gt;0,"-     "," "))</f>
        <v xml:space="preserve"> </v>
      </c>
      <c r="S20" s="376" t="str">
        <f>IF('[3]actual CWTs exp'!S16/'[3]actual CWTs exp'!$AC16&gt;0.0005,'[3]actual CWTs exp'!S16/'[3]actual CWTs exp'!$AC16,IF('[3]actual CWTs exp'!S16/'[3]actual CWTs exp'!$AC16&gt;0,"-     "," "))</f>
        <v xml:space="preserve"> </v>
      </c>
      <c r="T20" s="378" t="str">
        <f>IF('[3]actual CWTs exp'!T16/'[3]actual CWTs exp'!$AC16&gt;0.0005,'[3]actual CWTs exp'!T16/'[3]actual CWTs exp'!$AC16,IF('[3]actual CWTs exp'!T16/'[3]actual CWTs exp'!$AC16&gt;0,"-     "," "))</f>
        <v xml:space="preserve"> </v>
      </c>
      <c r="U20" s="377" t="str">
        <f>IF('[3]actual CWTs exp'!U16/'[3]actual CWTs exp'!$AC16&gt;0.0005,'[3]actual CWTs exp'!U16/'[3]actual CWTs exp'!$AC16,IF('[3]actual CWTs exp'!U16/'[3]actual CWTs exp'!$AC16&gt;0,"-     "," "))</f>
        <v xml:space="preserve"> </v>
      </c>
      <c r="V20" s="376" t="str">
        <f>IF('[3]actual CWTs exp'!V16/'[3]actual CWTs exp'!$AC16&gt;0.0005,'[3]actual CWTs exp'!V16/'[3]actual CWTs exp'!$AC16,IF('[3]actual CWTs exp'!V16/'[3]actual CWTs exp'!$AC16&gt;0,"-     "," "))</f>
        <v xml:space="preserve"> </v>
      </c>
      <c r="W20" s="376" t="str">
        <f>IF('[3]actual CWTs exp'!W16/'[3]actual CWTs exp'!$AC16&gt;0.0005,'[3]actual CWTs exp'!W16/'[3]actual CWTs exp'!$AC16,IF('[3]actual CWTs exp'!W16/'[3]actual CWTs exp'!$AC16&gt;0,"-     "," "))</f>
        <v xml:space="preserve"> </v>
      </c>
      <c r="X20" s="376" t="str">
        <f>IF('[3]actual CWTs exp'!X16/'[3]actual CWTs exp'!$AC16&gt;0.0005,'[3]actual CWTs exp'!X16/'[3]actual CWTs exp'!$AC16,IF('[3]actual CWTs exp'!X16/'[3]actual CWTs exp'!$AC16&gt;0,"-     "," "))</f>
        <v xml:space="preserve"> </v>
      </c>
      <c r="Y20" s="378" t="str">
        <f>IF('[3]actual CWTs exp'!Y16/'[3]actual CWTs exp'!$AC16&gt;0.0005,'[3]actual CWTs exp'!Y16/'[3]actual CWTs exp'!$AC16,IF('[3]actual CWTs exp'!Y16/'[3]actual CWTs exp'!$AC16&gt;0,"-     "," "))</f>
        <v xml:space="preserve"> </v>
      </c>
      <c r="Z20" s="384" t="str">
        <f>IF('[3]actual CWTs exp'!Z16/'[3]actual CWTs exp'!$AC16&gt;0.0005,'[3]actual CWTs exp'!Z16/'[3]actual CWTs exp'!$AC16,IF('[3]actual CWTs exp'!Z16/'[3]actual CWTs exp'!$AC16&gt;0,"-     "," "))</f>
        <v xml:space="preserve"> </v>
      </c>
      <c r="AA20" s="380">
        <f t="shared" si="0"/>
        <v>8.1181574054947331E-2</v>
      </c>
      <c r="AB20" s="381">
        <f t="shared" si="1"/>
        <v>0.9188184259450527</v>
      </c>
      <c r="AC20" s="382">
        <f>'[3]actual CWTs exp'!AC16</f>
        <v>4841</v>
      </c>
    </row>
    <row r="21" spans="1:29" ht="16.5" customHeight="1" x14ac:dyDescent="0.35">
      <c r="A21" s="397" t="s">
        <v>322</v>
      </c>
      <c r="B21" t="s">
        <v>74</v>
      </c>
      <c r="C21" t="s">
        <v>321</v>
      </c>
      <c r="D21" t="s">
        <v>48</v>
      </c>
      <c r="E21" s="376" t="str">
        <f>IF('[3]actual CWTs exp'!E17/'[3]actual CWTs exp'!$AC17&gt;0.0005,'[3]actual CWTs exp'!E17/'[3]actual CWTs exp'!$AC17,IF('[3]actual CWTs exp'!E17/'[3]actual CWTs exp'!$AC17&gt;0,"-     "," "))</f>
        <v xml:space="preserve"> </v>
      </c>
      <c r="F21" s="376" t="str">
        <f>IF('[3]actual CWTs exp'!F17/'[3]actual CWTs exp'!$AC17&gt;0.0005,'[3]actual CWTs exp'!F17/'[3]actual CWTs exp'!$AC17,IF('[3]actual CWTs exp'!F17/'[3]actual CWTs exp'!$AC17&gt;0,"-     "," "))</f>
        <v xml:space="preserve"> </v>
      </c>
      <c r="G21" s="376">
        <f>IF('[3]actual CWTs exp'!G17/'[3]actual CWTs exp'!$AC17&gt;0.0005,'[3]actual CWTs exp'!G17/'[3]actual CWTs exp'!$AC17,IF('[3]actual CWTs exp'!G17/'[3]actual CWTs exp'!$AC17&gt;0,"-     "," "))</f>
        <v>7.0895522388059698E-2</v>
      </c>
      <c r="H21" s="376">
        <f>IF('[3]actual CWTs exp'!H17/'[3]actual CWTs exp'!$AC17&gt;0.0005,'[3]actual CWTs exp'!H17/'[3]actual CWTs exp'!$AC17,IF('[3]actual CWTs exp'!H17/'[3]actual CWTs exp'!$AC17&gt;0,"-     "," "))</f>
        <v>1.1194029850746268E-2</v>
      </c>
      <c r="I21" s="376" t="str">
        <f>IF('[3]actual CWTs exp'!I17/'[3]actual CWTs exp'!$AC17&gt;0.0005,'[3]actual CWTs exp'!I17/'[3]actual CWTs exp'!$AC17,IF('[3]actual CWTs exp'!I17/'[3]actual CWTs exp'!$AC17&gt;0,"-     "," "))</f>
        <v xml:space="preserve"> </v>
      </c>
      <c r="J21" s="377" t="str">
        <f>IF('[3]actual CWTs exp'!J17/'[3]actual CWTs exp'!$AC17&gt;0.0005,'[3]actual CWTs exp'!J17/'[3]actual CWTs exp'!$AC17,IF('[3]actual CWTs exp'!J17/'[3]actual CWTs exp'!$AC17&gt;0,"-     "," "))</f>
        <v xml:space="preserve"> </v>
      </c>
      <c r="K21" s="376" t="str">
        <f>IF('[3]actual CWTs exp'!K17/'[3]actual CWTs exp'!$AC17&gt;0.0005,'[3]actual CWTs exp'!K17/'[3]actual CWTs exp'!$AC17,IF('[3]actual CWTs exp'!K17/'[3]actual CWTs exp'!$AC17&gt;0,"-     "," "))</f>
        <v xml:space="preserve"> </v>
      </c>
      <c r="L21" s="376" t="str">
        <f>IF('[3]actual CWTs exp'!L17/'[3]actual CWTs exp'!$AC17&gt;0.0005,'[3]actual CWTs exp'!L17/'[3]actual CWTs exp'!$AC17,IF('[3]actual CWTs exp'!L17/'[3]actual CWTs exp'!$AC17&gt;0,"-     "," "))</f>
        <v xml:space="preserve"> </v>
      </c>
      <c r="M21" s="376">
        <f>IF('[3]actual CWTs exp'!M17/'[3]actual CWTs exp'!$AC17&gt;0.0005,'[3]actual CWTs exp'!M17/'[3]actual CWTs exp'!$AC17,IF('[3]actual CWTs exp'!M17/'[3]actual CWTs exp'!$AC17&gt;0,"-     "," "))</f>
        <v>1.3526119402985074E-2</v>
      </c>
      <c r="N21" s="376" t="str">
        <f>IF('[3]actual CWTs exp'!N17/'[3]actual CWTs exp'!$AC17&gt;0.0005,'[3]actual CWTs exp'!N17/'[3]actual CWTs exp'!$AC17,IF('[3]actual CWTs exp'!N17/'[3]actual CWTs exp'!$AC17&gt;0,"-     "," "))</f>
        <v xml:space="preserve">-     </v>
      </c>
      <c r="O21" s="376" t="str">
        <f>IF('[3]actual CWTs exp'!O17/'[3]actual CWTs exp'!$AC17&gt;0.0005,'[3]actual CWTs exp'!O17/'[3]actual CWTs exp'!$AC17,IF('[3]actual CWTs exp'!O17/'[3]actual CWTs exp'!$AC17&gt;0,"-     "," "))</f>
        <v xml:space="preserve"> </v>
      </c>
      <c r="P21" s="376" t="str">
        <f>IF('[3]actual CWTs exp'!P17/'[3]actual CWTs exp'!$AC17&gt;0.0005,'[3]actual CWTs exp'!P17/'[3]actual CWTs exp'!$AC17,IF('[3]actual CWTs exp'!P17/'[3]actual CWTs exp'!$AC17&gt;0,"-     "," "))</f>
        <v xml:space="preserve">-     </v>
      </c>
      <c r="Q21" s="378" t="str">
        <f>IF('[3]actual CWTs exp'!Q17/'[3]actual CWTs exp'!$AC17&gt;0.0005,'[3]actual CWTs exp'!Q17/'[3]actual CWTs exp'!$AC17,IF('[3]actual CWTs exp'!Q17/'[3]actual CWTs exp'!$AC17&gt;0,"-     "," "))</f>
        <v xml:space="preserve"> </v>
      </c>
      <c r="R21" s="376" t="str">
        <f>IF('[3]actual CWTs exp'!R17/'[3]actual CWTs exp'!$AC17&gt;0.0005,'[3]actual CWTs exp'!R17/'[3]actual CWTs exp'!$AC17,IF('[3]actual CWTs exp'!R17/'[3]actual CWTs exp'!$AC17&gt;0,"-     "," "))</f>
        <v xml:space="preserve"> </v>
      </c>
      <c r="S21" s="376" t="str">
        <f>IF('[3]actual CWTs exp'!S17/'[3]actual CWTs exp'!$AC17&gt;0.0005,'[3]actual CWTs exp'!S17/'[3]actual CWTs exp'!$AC17,IF('[3]actual CWTs exp'!S17/'[3]actual CWTs exp'!$AC17&gt;0,"-     "," "))</f>
        <v xml:space="preserve"> </v>
      </c>
      <c r="T21" s="378" t="str">
        <f>IF('[3]actual CWTs exp'!T17/'[3]actual CWTs exp'!$AC17&gt;0.0005,'[3]actual CWTs exp'!T17/'[3]actual CWTs exp'!$AC17,IF('[3]actual CWTs exp'!T17/'[3]actual CWTs exp'!$AC17&gt;0,"-     "," "))</f>
        <v xml:space="preserve"> </v>
      </c>
      <c r="U21" s="377" t="str">
        <f>IF('[3]actual CWTs exp'!U17/'[3]actual CWTs exp'!$AC17&gt;0.0005,'[3]actual CWTs exp'!U17/'[3]actual CWTs exp'!$AC17,IF('[3]actual CWTs exp'!U17/'[3]actual CWTs exp'!$AC17&gt;0,"-     "," "))</f>
        <v xml:space="preserve"> </v>
      </c>
      <c r="V21" s="376" t="str">
        <f>IF('[3]actual CWTs exp'!V17/'[3]actual CWTs exp'!$AC17&gt;0.0005,'[3]actual CWTs exp'!V17/'[3]actual CWTs exp'!$AC17,IF('[3]actual CWTs exp'!V17/'[3]actual CWTs exp'!$AC17&gt;0,"-     "," "))</f>
        <v xml:space="preserve"> </v>
      </c>
      <c r="W21" s="376" t="str">
        <f>IF('[3]actual CWTs exp'!W17/'[3]actual CWTs exp'!$AC17&gt;0.0005,'[3]actual CWTs exp'!W17/'[3]actual CWTs exp'!$AC17,IF('[3]actual CWTs exp'!W17/'[3]actual CWTs exp'!$AC17&gt;0,"-     "," "))</f>
        <v xml:space="preserve"> </v>
      </c>
      <c r="X21" s="376" t="str">
        <f>IF('[3]actual CWTs exp'!X17/'[3]actual CWTs exp'!$AC17&gt;0.0005,'[3]actual CWTs exp'!X17/'[3]actual CWTs exp'!$AC17,IF('[3]actual CWTs exp'!X17/'[3]actual CWTs exp'!$AC17&gt;0,"-     "," "))</f>
        <v xml:space="preserve"> </v>
      </c>
      <c r="Y21" s="378" t="str">
        <f>IF('[3]actual CWTs exp'!Y17/'[3]actual CWTs exp'!$AC17&gt;0.0005,'[3]actual CWTs exp'!Y17/'[3]actual CWTs exp'!$AC17,IF('[3]actual CWTs exp'!Y17/'[3]actual CWTs exp'!$AC17&gt;0,"-     "," "))</f>
        <v xml:space="preserve"> </v>
      </c>
      <c r="Z21" s="384" t="str">
        <f>IF('[3]actual CWTs exp'!Z17/'[3]actual CWTs exp'!$AC17&gt;0.0005,'[3]actual CWTs exp'!Z17/'[3]actual CWTs exp'!$AC17,IF('[3]actual CWTs exp'!Z17/'[3]actual CWTs exp'!$AC17&gt;0,"-     "," "))</f>
        <v xml:space="preserve"> </v>
      </c>
      <c r="AA21" s="380">
        <f t="shared" si="0"/>
        <v>9.561567164179105E-2</v>
      </c>
      <c r="AB21" s="381">
        <f t="shared" si="1"/>
        <v>0.90438432835820892</v>
      </c>
      <c r="AC21" s="382">
        <f>'[3]actual CWTs exp'!AC17</f>
        <v>2144</v>
      </c>
    </row>
    <row r="22" spans="1:29" ht="16.5" customHeight="1" x14ac:dyDescent="0.35">
      <c r="A22" s="397" t="s">
        <v>323</v>
      </c>
      <c r="B22" t="s">
        <v>78</v>
      </c>
      <c r="C22" t="s">
        <v>321</v>
      </c>
      <c r="D22" t="s">
        <v>48</v>
      </c>
      <c r="E22" s="376" t="str">
        <f>IF('[3]actual CWTs exp'!E18/'[3]actual CWTs exp'!$AC18&gt;0.0005,'[3]actual CWTs exp'!E18/'[3]actual CWTs exp'!$AC18,IF('[3]actual CWTs exp'!E18/'[3]actual CWTs exp'!$AC18&gt;0,"-     "," "))</f>
        <v xml:space="preserve"> </v>
      </c>
      <c r="F22" s="376" t="str">
        <f>IF('[3]actual CWTs exp'!F18/'[3]actual CWTs exp'!$AC18&gt;0.0005,'[3]actual CWTs exp'!F18/'[3]actual CWTs exp'!$AC18,IF('[3]actual CWTs exp'!F18/'[3]actual CWTs exp'!$AC18&gt;0,"-     "," "))</f>
        <v xml:space="preserve"> </v>
      </c>
      <c r="G22" s="376">
        <f>IF('[3]actual CWTs exp'!G18/'[3]actual CWTs exp'!$AC18&gt;0.0005,'[3]actual CWTs exp'!G18/'[3]actual CWTs exp'!$AC18,IF('[3]actual CWTs exp'!G18/'[3]actual CWTs exp'!$AC18&gt;0,"-     "," "))</f>
        <v>6.1952861952861954E-2</v>
      </c>
      <c r="H22" s="376">
        <f>IF('[3]actual CWTs exp'!H18/'[3]actual CWTs exp'!$AC18&gt;0.0005,'[3]actual CWTs exp'!H18/'[3]actual CWTs exp'!$AC18,IF('[3]actual CWTs exp'!H18/'[3]actual CWTs exp'!$AC18&gt;0,"-     "," "))</f>
        <v>8.0808080808080808E-3</v>
      </c>
      <c r="I22" s="376" t="str">
        <f>IF('[3]actual CWTs exp'!I18/'[3]actual CWTs exp'!$AC18&gt;0.0005,'[3]actual CWTs exp'!I18/'[3]actual CWTs exp'!$AC18,IF('[3]actual CWTs exp'!I18/'[3]actual CWTs exp'!$AC18&gt;0,"-     "," "))</f>
        <v xml:space="preserve"> </v>
      </c>
      <c r="J22" s="377" t="str">
        <f>IF('[3]actual CWTs exp'!J18/'[3]actual CWTs exp'!$AC18&gt;0.0005,'[3]actual CWTs exp'!J18/'[3]actual CWTs exp'!$AC18,IF('[3]actual CWTs exp'!J18/'[3]actual CWTs exp'!$AC18&gt;0,"-     "," "))</f>
        <v xml:space="preserve"> </v>
      </c>
      <c r="K22" s="376" t="str">
        <f>IF('[3]actual CWTs exp'!K18/'[3]actual CWTs exp'!$AC18&gt;0.0005,'[3]actual CWTs exp'!K18/'[3]actual CWTs exp'!$AC18,IF('[3]actual CWTs exp'!K18/'[3]actual CWTs exp'!$AC18&gt;0,"-     "," "))</f>
        <v xml:space="preserve"> </v>
      </c>
      <c r="L22" s="376" t="str">
        <f>IF('[3]actual CWTs exp'!L18/'[3]actual CWTs exp'!$AC18&gt;0.0005,'[3]actual CWTs exp'!L18/'[3]actual CWTs exp'!$AC18,IF('[3]actual CWTs exp'!L18/'[3]actual CWTs exp'!$AC18&gt;0,"-     "," "))</f>
        <v xml:space="preserve"> </v>
      </c>
      <c r="M22" s="376">
        <f>IF('[3]actual CWTs exp'!M18/'[3]actual CWTs exp'!$AC18&gt;0.0005,'[3]actual CWTs exp'!M18/'[3]actual CWTs exp'!$AC18,IF('[3]actual CWTs exp'!M18/'[3]actual CWTs exp'!$AC18&gt;0,"-     "," "))</f>
        <v>2.6936026936026937E-3</v>
      </c>
      <c r="N22" s="376" t="str">
        <f>IF('[3]actual CWTs exp'!N18/'[3]actual CWTs exp'!$AC18&gt;0.0005,'[3]actual CWTs exp'!N18/'[3]actual CWTs exp'!$AC18,IF('[3]actual CWTs exp'!N18/'[3]actual CWTs exp'!$AC18&gt;0,"-     "," "))</f>
        <v xml:space="preserve"> </v>
      </c>
      <c r="O22" s="376" t="str">
        <f>IF('[3]actual CWTs exp'!O18/'[3]actual CWTs exp'!$AC18&gt;0.0005,'[3]actual CWTs exp'!O18/'[3]actual CWTs exp'!$AC18,IF('[3]actual CWTs exp'!O18/'[3]actual CWTs exp'!$AC18&gt;0,"-     "," "))</f>
        <v xml:space="preserve"> </v>
      </c>
      <c r="P22" s="376">
        <f>IF('[3]actual CWTs exp'!P18/'[3]actual CWTs exp'!$AC18&gt;0.0005,'[3]actual CWTs exp'!P18/'[3]actual CWTs exp'!$AC18,IF('[3]actual CWTs exp'!P18/'[3]actual CWTs exp'!$AC18&gt;0,"-     "," "))</f>
        <v>6.7340067340067344E-4</v>
      </c>
      <c r="Q22" s="378" t="str">
        <f>IF('[3]actual CWTs exp'!Q18/'[3]actual CWTs exp'!$AC18&gt;0.0005,'[3]actual CWTs exp'!Q18/'[3]actual CWTs exp'!$AC18,IF('[3]actual CWTs exp'!Q18/'[3]actual CWTs exp'!$AC18&gt;0,"-     "," "))</f>
        <v xml:space="preserve"> </v>
      </c>
      <c r="R22" s="376" t="str">
        <f>IF('[3]actual CWTs exp'!R18/'[3]actual CWTs exp'!$AC18&gt;0.0005,'[3]actual CWTs exp'!R18/'[3]actual CWTs exp'!$AC18,IF('[3]actual CWTs exp'!R18/'[3]actual CWTs exp'!$AC18&gt;0,"-     "," "))</f>
        <v xml:space="preserve"> </v>
      </c>
      <c r="S22" s="376" t="str">
        <f>IF('[3]actual CWTs exp'!S18/'[3]actual CWTs exp'!$AC18&gt;0.0005,'[3]actual CWTs exp'!S18/'[3]actual CWTs exp'!$AC18,IF('[3]actual CWTs exp'!S18/'[3]actual CWTs exp'!$AC18&gt;0,"-     "," "))</f>
        <v xml:space="preserve"> </v>
      </c>
      <c r="T22" s="378" t="str">
        <f>IF('[3]actual CWTs exp'!T18/'[3]actual CWTs exp'!$AC18&gt;0.0005,'[3]actual CWTs exp'!T18/'[3]actual CWTs exp'!$AC18,IF('[3]actual CWTs exp'!T18/'[3]actual CWTs exp'!$AC18&gt;0,"-     "," "))</f>
        <v xml:space="preserve"> </v>
      </c>
      <c r="U22" s="377" t="str">
        <f>IF('[3]actual CWTs exp'!U18/'[3]actual CWTs exp'!$AC18&gt;0.0005,'[3]actual CWTs exp'!U18/'[3]actual CWTs exp'!$AC18,IF('[3]actual CWTs exp'!U18/'[3]actual CWTs exp'!$AC18&gt;0,"-     "," "))</f>
        <v xml:space="preserve"> </v>
      </c>
      <c r="V22" s="376" t="str">
        <f>IF('[3]actual CWTs exp'!V18/'[3]actual CWTs exp'!$AC18&gt;0.0005,'[3]actual CWTs exp'!V18/'[3]actual CWTs exp'!$AC18,IF('[3]actual CWTs exp'!V18/'[3]actual CWTs exp'!$AC18&gt;0,"-     "," "))</f>
        <v xml:space="preserve"> </v>
      </c>
      <c r="W22" s="376" t="str">
        <f>IF('[3]actual CWTs exp'!W18/'[3]actual CWTs exp'!$AC18&gt;0.0005,'[3]actual CWTs exp'!W18/'[3]actual CWTs exp'!$AC18,IF('[3]actual CWTs exp'!W18/'[3]actual CWTs exp'!$AC18&gt;0,"-     "," "))</f>
        <v xml:space="preserve"> </v>
      </c>
      <c r="X22" s="376" t="str">
        <f>IF('[3]actual CWTs exp'!X18/'[3]actual CWTs exp'!$AC18&gt;0.0005,'[3]actual CWTs exp'!X18/'[3]actual CWTs exp'!$AC18,IF('[3]actual CWTs exp'!X18/'[3]actual CWTs exp'!$AC18&gt;0,"-     "," "))</f>
        <v xml:space="preserve"> </v>
      </c>
      <c r="Y22" s="378" t="str">
        <f>IF('[3]actual CWTs exp'!Y18/'[3]actual CWTs exp'!$AC18&gt;0.0005,'[3]actual CWTs exp'!Y18/'[3]actual CWTs exp'!$AC18,IF('[3]actual CWTs exp'!Y18/'[3]actual CWTs exp'!$AC18&gt;0,"-     "," "))</f>
        <v xml:space="preserve"> </v>
      </c>
      <c r="Z22" s="384" t="str">
        <f>IF('[3]actual CWTs exp'!Z18/'[3]actual CWTs exp'!$AC18&gt;0.0005,'[3]actual CWTs exp'!Z18/'[3]actual CWTs exp'!$AC18,IF('[3]actual CWTs exp'!Z18/'[3]actual CWTs exp'!$AC18&gt;0,"-     "," "))</f>
        <v xml:space="preserve"> </v>
      </c>
      <c r="AA22" s="380">
        <f t="shared" si="0"/>
        <v>7.3400673400673397E-2</v>
      </c>
      <c r="AB22" s="381">
        <f t="shared" si="1"/>
        <v>0.92659932659932664</v>
      </c>
      <c r="AC22" s="382">
        <f>'[3]actual CWTs exp'!AC18</f>
        <v>1485</v>
      </c>
    </row>
    <row r="23" spans="1:29" ht="16.5" customHeight="1" x14ac:dyDescent="0.35">
      <c r="A23" s="397" t="s">
        <v>324</v>
      </c>
      <c r="B23"/>
      <c r="C23"/>
      <c r="D23" s="3" t="s">
        <v>48</v>
      </c>
      <c r="E23" s="376">
        <f>IF('[3]actual CWTs exp'!E19/'[3]actual CWTs exp'!$AC19&gt;0.0005,'[3]actual CWTs exp'!E19/'[3]actual CWTs exp'!$AC19,IF('[3]actual CWTs exp'!E19/'[3]actual CWTs exp'!$AC19&gt;0,"-     "," "))</f>
        <v>6.4889098631429921E-3</v>
      </c>
      <c r="F23" s="376" t="str">
        <f>IF('[3]actual CWTs exp'!F19/'[3]actual CWTs exp'!$AC19&gt;0.0005,'[3]actual CWTs exp'!F19/'[3]actual CWTs exp'!$AC19,IF('[3]actual CWTs exp'!F19/'[3]actual CWTs exp'!$AC19&gt;0,"-     "," "))</f>
        <v xml:space="preserve"> </v>
      </c>
      <c r="G23" s="376">
        <f>IF('[3]actual CWTs exp'!G19/'[3]actual CWTs exp'!$AC19&gt;0.0005,'[3]actual CWTs exp'!G19/'[3]actual CWTs exp'!$AC19,IF('[3]actual CWTs exp'!G19/'[3]actual CWTs exp'!$AC19&gt;0,"-     "," "))</f>
        <v>0.86774421897121279</v>
      </c>
      <c r="H23" s="376">
        <f>IF('[3]actual CWTs exp'!H19/'[3]actual CWTs exp'!$AC19&gt;0.0005,'[3]actual CWTs exp'!H19/'[3]actual CWTs exp'!$AC19,IF('[3]actual CWTs exp'!H19/'[3]actual CWTs exp'!$AC19&gt;0,"-     "," "))</f>
        <v>5.2147239263803684E-3</v>
      </c>
      <c r="I23" s="376" t="str">
        <f>IF('[3]actual CWTs exp'!I19/'[3]actual CWTs exp'!$AC19&gt;0.0005,'[3]actual CWTs exp'!I19/'[3]actual CWTs exp'!$AC19,IF('[3]actual CWTs exp'!I19/'[3]actual CWTs exp'!$AC19&gt;0,"-     "," "))</f>
        <v xml:space="preserve">-     </v>
      </c>
      <c r="J23" s="377" t="str">
        <f>IF('[3]actual CWTs exp'!J19/'[3]actual CWTs exp'!$AC19&gt;0.0005,'[3]actual CWTs exp'!J19/'[3]actual CWTs exp'!$AC19,IF('[3]actual CWTs exp'!J19/'[3]actual CWTs exp'!$AC19&gt;0,"-     "," "))</f>
        <v xml:space="preserve"> </v>
      </c>
      <c r="K23" s="376" t="str">
        <f>IF('[3]actual CWTs exp'!K19/'[3]actual CWTs exp'!$AC19&gt;0.0005,'[3]actual CWTs exp'!K19/'[3]actual CWTs exp'!$AC19,IF('[3]actual CWTs exp'!K19/'[3]actual CWTs exp'!$AC19&gt;0,"-     "," "))</f>
        <v xml:space="preserve"> </v>
      </c>
      <c r="L23" s="376" t="str">
        <f>IF('[3]actual CWTs exp'!L19/'[3]actual CWTs exp'!$AC19&gt;0.0005,'[3]actual CWTs exp'!L19/'[3]actual CWTs exp'!$AC19,IF('[3]actual CWTs exp'!L19/'[3]actual CWTs exp'!$AC19&gt;0,"-     "," "))</f>
        <v xml:space="preserve">-     </v>
      </c>
      <c r="M23" s="376">
        <f>IF('[3]actual CWTs exp'!M19/'[3]actual CWTs exp'!$AC19&gt;0.0005,'[3]actual CWTs exp'!M19/'[3]actual CWTs exp'!$AC19,IF('[3]actual CWTs exp'!M19/'[3]actual CWTs exp'!$AC19&gt;0,"-     "," "))</f>
        <v>6.1585653610193485E-3</v>
      </c>
      <c r="N23" s="376" t="str">
        <f>IF('[3]actual CWTs exp'!N19/'[3]actual CWTs exp'!$AC19&gt;0.0005,'[3]actual CWTs exp'!N19/'[3]actual CWTs exp'!$AC19,IF('[3]actual CWTs exp'!N19/'[3]actual CWTs exp'!$AC19&gt;0,"-     "," "))</f>
        <v xml:space="preserve"> </v>
      </c>
      <c r="O23" s="376" t="str">
        <f>IF('[3]actual CWTs exp'!O19/'[3]actual CWTs exp'!$AC19&gt;0.0005,'[3]actual CWTs exp'!O19/'[3]actual CWTs exp'!$AC19,IF('[3]actual CWTs exp'!O19/'[3]actual CWTs exp'!$AC19&gt;0,"-     "," "))</f>
        <v xml:space="preserve"> </v>
      </c>
      <c r="P23" s="376" t="str">
        <f>IF('[3]actual CWTs exp'!P19/'[3]actual CWTs exp'!$AC19&gt;0.0005,'[3]actual CWTs exp'!P19/'[3]actual CWTs exp'!$AC19,IF('[3]actual CWTs exp'!P19/'[3]actual CWTs exp'!$AC19&gt;0,"-     "," "))</f>
        <v xml:space="preserve">-     </v>
      </c>
      <c r="Q23" s="378" t="str">
        <f>IF('[3]actual CWTs exp'!Q19/'[3]actual CWTs exp'!$AC19&gt;0.0005,'[3]actual CWTs exp'!Q19/'[3]actual CWTs exp'!$AC19,IF('[3]actual CWTs exp'!Q19/'[3]actual CWTs exp'!$AC19&gt;0,"-     "," "))</f>
        <v xml:space="preserve"> </v>
      </c>
      <c r="R23" s="376" t="str">
        <f>IF('[3]actual CWTs exp'!R19/'[3]actual CWTs exp'!$AC19&gt;0.0005,'[3]actual CWTs exp'!R19/'[3]actual CWTs exp'!$AC19,IF('[3]actual CWTs exp'!R19/'[3]actual CWTs exp'!$AC19&gt;0,"-     "," "))</f>
        <v xml:space="preserve"> </v>
      </c>
      <c r="S23" s="376" t="str">
        <f>IF('[3]actual CWTs exp'!S19/'[3]actual CWTs exp'!$AC19&gt;0.0005,'[3]actual CWTs exp'!S19/'[3]actual CWTs exp'!$AC19,IF('[3]actual CWTs exp'!S19/'[3]actual CWTs exp'!$AC19&gt;0,"-     "," "))</f>
        <v xml:space="preserve"> </v>
      </c>
      <c r="T23" s="378" t="str">
        <f>IF('[3]actual CWTs exp'!T19/'[3]actual CWTs exp'!$AC19&gt;0.0005,'[3]actual CWTs exp'!T19/'[3]actual CWTs exp'!$AC19,IF('[3]actual CWTs exp'!T19/'[3]actual CWTs exp'!$AC19&gt;0,"-     "," "))</f>
        <v xml:space="preserve"> </v>
      </c>
      <c r="U23" s="377" t="str">
        <f>IF('[3]actual CWTs exp'!U19/'[3]actual CWTs exp'!$AC19&gt;0.0005,'[3]actual CWTs exp'!U19/'[3]actual CWTs exp'!$AC19,IF('[3]actual CWTs exp'!U19/'[3]actual CWTs exp'!$AC19&gt;0,"-     "," "))</f>
        <v xml:space="preserve"> </v>
      </c>
      <c r="V23" s="376" t="str">
        <f>IF('[3]actual CWTs exp'!V19/'[3]actual CWTs exp'!$AC19&gt;0.0005,'[3]actual CWTs exp'!V19/'[3]actual CWTs exp'!$AC19,IF('[3]actual CWTs exp'!V19/'[3]actual CWTs exp'!$AC19&gt;0,"-     "," "))</f>
        <v xml:space="preserve">-     </v>
      </c>
      <c r="W23" s="376" t="str">
        <f>IF('[3]actual CWTs exp'!W19/'[3]actual CWTs exp'!$AC19&gt;0.0005,'[3]actual CWTs exp'!W19/'[3]actual CWTs exp'!$AC19,IF('[3]actual CWTs exp'!W19/'[3]actual CWTs exp'!$AC19&gt;0,"-     "," "))</f>
        <v xml:space="preserve"> </v>
      </c>
      <c r="X23" s="376" t="str">
        <f>IF('[3]actual CWTs exp'!X19/'[3]actual CWTs exp'!$AC19&gt;0.0005,'[3]actual CWTs exp'!X19/'[3]actual CWTs exp'!$AC19,IF('[3]actual CWTs exp'!X19/'[3]actual CWTs exp'!$AC19&gt;0,"-     "," "))</f>
        <v xml:space="preserve"> </v>
      </c>
      <c r="Y23" s="378" t="str">
        <f>IF('[3]actual CWTs exp'!Y19/'[3]actual CWTs exp'!$AC19&gt;0.0005,'[3]actual CWTs exp'!Y19/'[3]actual CWTs exp'!$AC19,IF('[3]actual CWTs exp'!Y19/'[3]actual CWTs exp'!$AC19&gt;0,"-     "," "))</f>
        <v xml:space="preserve">-     </v>
      </c>
      <c r="Z23" s="384" t="str">
        <f>IF('[3]actual CWTs exp'!Z19/'[3]actual CWTs exp'!$AC19&gt;0.0005,'[3]actual CWTs exp'!Z19/'[3]actual CWTs exp'!$AC19,IF('[3]actual CWTs exp'!Z19/'[3]actual CWTs exp'!$AC19&gt;0,"-     "," "))</f>
        <v xml:space="preserve"> </v>
      </c>
      <c r="AA23" s="380">
        <f>SUM(E23:Z23)</f>
        <v>0.88560641812175545</v>
      </c>
      <c r="AB23" s="381">
        <f>1-AA23</f>
        <v>0.11439358187824455</v>
      </c>
      <c r="AC23" s="382">
        <f>'[3]actual CWTs exp'!AC19</f>
        <v>12867</v>
      </c>
    </row>
    <row r="24" spans="1:29" ht="16.5" customHeight="1" x14ac:dyDescent="0.25">
      <c r="A24" s="397" t="s">
        <v>67</v>
      </c>
      <c r="B24" t="s">
        <v>66</v>
      </c>
      <c r="C24" t="s">
        <v>321</v>
      </c>
      <c r="D24" t="s">
        <v>48</v>
      </c>
      <c r="E24" s="376" t="str">
        <f>IF('[3]actual CWTs exp'!E20/'[3]actual CWTs exp'!$AC20&gt;0.0005,'[3]actual CWTs exp'!E20/'[3]actual CWTs exp'!$AC20,IF('[3]actual CWTs exp'!E20/'[3]actual CWTs exp'!$AC20&gt;0,"-     "," "))</f>
        <v xml:space="preserve"> </v>
      </c>
      <c r="F24" s="376" t="str">
        <f>IF('[3]actual CWTs exp'!F20/'[3]actual CWTs exp'!$AC20&gt;0.0005,'[3]actual CWTs exp'!F20/'[3]actual CWTs exp'!$AC20,IF('[3]actual CWTs exp'!F20/'[3]actual CWTs exp'!$AC20&gt;0,"-     "," "))</f>
        <v xml:space="preserve"> </v>
      </c>
      <c r="G24" s="376" t="str">
        <f>IF('[3]actual CWTs exp'!G20/'[3]actual CWTs exp'!$AC20&gt;0.0005,'[3]actual CWTs exp'!G20/'[3]actual CWTs exp'!$AC20,IF('[3]actual CWTs exp'!G20/'[3]actual CWTs exp'!$AC20&gt;0,"-     "," "))</f>
        <v xml:space="preserve"> </v>
      </c>
      <c r="H24" s="376">
        <f>IF('[3]actual CWTs exp'!H20/'[3]actual CWTs exp'!$AC20&gt;0.0005,'[3]actual CWTs exp'!H20/'[3]actual CWTs exp'!$AC20,IF('[3]actual CWTs exp'!H20/'[3]actual CWTs exp'!$AC20&gt;0,"-     "," "))</f>
        <v>4.0572792362768499E-2</v>
      </c>
      <c r="I24" s="376" t="str">
        <f>IF('[3]actual CWTs exp'!I20/'[3]actual CWTs exp'!$AC20&gt;0.0005,'[3]actual CWTs exp'!I20/'[3]actual CWTs exp'!$AC20,IF('[3]actual CWTs exp'!I20/'[3]actual CWTs exp'!$AC20&gt;0,"-     "," "))</f>
        <v xml:space="preserve"> </v>
      </c>
      <c r="J24" s="377" t="str">
        <f>IF('[3]actual CWTs exp'!J20/'[3]actual CWTs exp'!$AC20&gt;0.0005,'[3]actual CWTs exp'!J20/'[3]actual CWTs exp'!$AC20,IF('[3]actual CWTs exp'!J20/'[3]actual CWTs exp'!$AC20&gt;0,"-     "," "))</f>
        <v xml:space="preserve"> </v>
      </c>
      <c r="K24" s="376" t="str">
        <f>IF('[3]actual CWTs exp'!K20/'[3]actual CWTs exp'!$AC20&gt;0.0005,'[3]actual CWTs exp'!K20/'[3]actual CWTs exp'!$AC20,IF('[3]actual CWTs exp'!K20/'[3]actual CWTs exp'!$AC20&gt;0,"-     "," "))</f>
        <v xml:space="preserve"> </v>
      </c>
      <c r="L24" s="376" t="str">
        <f>IF('[3]actual CWTs exp'!L20/'[3]actual CWTs exp'!$AC20&gt;0.0005,'[3]actual CWTs exp'!L20/'[3]actual CWTs exp'!$AC20,IF('[3]actual CWTs exp'!L20/'[3]actual CWTs exp'!$AC20&gt;0,"-     "," "))</f>
        <v xml:space="preserve"> </v>
      </c>
      <c r="M24" s="376">
        <f>IF('[3]actual CWTs exp'!M20/'[3]actual CWTs exp'!$AC20&gt;0.0005,'[3]actual CWTs exp'!M20/'[3]actual CWTs exp'!$AC20,IF('[3]actual CWTs exp'!M20/'[3]actual CWTs exp'!$AC20&gt;0,"-     "," "))</f>
        <v>2.1479713603818614E-2</v>
      </c>
      <c r="N24" s="376" t="str">
        <f>IF('[3]actual CWTs exp'!N20/'[3]actual CWTs exp'!$AC20&gt;0.0005,'[3]actual CWTs exp'!N20/'[3]actual CWTs exp'!$AC20,IF('[3]actual CWTs exp'!N20/'[3]actual CWTs exp'!$AC20&gt;0,"-     "," "))</f>
        <v xml:space="preserve"> </v>
      </c>
      <c r="O24" s="376" t="str">
        <f>IF('[3]actual CWTs exp'!O20/'[3]actual CWTs exp'!$AC20&gt;0.0005,'[3]actual CWTs exp'!O20/'[3]actual CWTs exp'!$AC20,IF('[3]actual CWTs exp'!O20/'[3]actual CWTs exp'!$AC20&gt;0,"-     "," "))</f>
        <v xml:space="preserve"> </v>
      </c>
      <c r="P24" s="376" t="str">
        <f>IF('[3]actual CWTs exp'!P20/'[3]actual CWTs exp'!$AC20&gt;0.0005,'[3]actual CWTs exp'!P20/'[3]actual CWTs exp'!$AC20,IF('[3]actual CWTs exp'!P20/'[3]actual CWTs exp'!$AC20&gt;0,"-     "," "))</f>
        <v xml:space="preserve"> </v>
      </c>
      <c r="Q24" s="378" t="str">
        <f>IF('[3]actual CWTs exp'!Q20/'[3]actual CWTs exp'!$AC20&gt;0.0005,'[3]actual CWTs exp'!Q20/'[3]actual CWTs exp'!$AC20,IF('[3]actual CWTs exp'!Q20/'[3]actual CWTs exp'!$AC20&gt;0,"-     "," "))</f>
        <v xml:space="preserve"> </v>
      </c>
      <c r="R24" s="376" t="str">
        <f>IF('[3]actual CWTs exp'!R20/'[3]actual CWTs exp'!$AC20&gt;0.0005,'[3]actual CWTs exp'!R20/'[3]actual CWTs exp'!$AC20,IF('[3]actual CWTs exp'!R20/'[3]actual CWTs exp'!$AC20&gt;0,"-     "," "))</f>
        <v xml:space="preserve"> </v>
      </c>
      <c r="S24" s="376" t="str">
        <f>IF('[3]actual CWTs exp'!S20/'[3]actual CWTs exp'!$AC20&gt;0.0005,'[3]actual CWTs exp'!S20/'[3]actual CWTs exp'!$AC20,IF('[3]actual CWTs exp'!S20/'[3]actual CWTs exp'!$AC20&gt;0,"-     "," "))</f>
        <v xml:space="preserve"> </v>
      </c>
      <c r="T24" s="378" t="str">
        <f>IF('[3]actual CWTs exp'!T20/'[3]actual CWTs exp'!$AC20&gt;0.0005,'[3]actual CWTs exp'!T20/'[3]actual CWTs exp'!$AC20,IF('[3]actual CWTs exp'!T20/'[3]actual CWTs exp'!$AC20&gt;0,"-     "," "))</f>
        <v xml:space="preserve"> </v>
      </c>
      <c r="U24" s="377" t="str">
        <f>IF('[3]actual CWTs exp'!U20/'[3]actual CWTs exp'!$AC20&gt;0.0005,'[3]actual CWTs exp'!U20/'[3]actual CWTs exp'!$AC20,IF('[3]actual CWTs exp'!U20/'[3]actual CWTs exp'!$AC20&gt;0,"-     "," "))</f>
        <v xml:space="preserve"> </v>
      </c>
      <c r="V24" s="376">
        <f>IF('[3]actual CWTs exp'!V20/'[3]actual CWTs exp'!$AC20&gt;0.0005,'[3]actual CWTs exp'!V20/'[3]actual CWTs exp'!$AC20,IF('[3]actual CWTs exp'!V20/'[3]actual CWTs exp'!$AC20&gt;0,"-     "," "))</f>
        <v>4.7732696897374704E-3</v>
      </c>
      <c r="W24" s="376" t="str">
        <f>IF('[3]actual CWTs exp'!W20/'[3]actual CWTs exp'!$AC20&gt;0.0005,'[3]actual CWTs exp'!W20/'[3]actual CWTs exp'!$AC20,IF('[3]actual CWTs exp'!W20/'[3]actual CWTs exp'!$AC20&gt;0,"-     "," "))</f>
        <v xml:space="preserve"> </v>
      </c>
      <c r="X24" s="376" t="str">
        <f>IF('[3]actual CWTs exp'!X20/'[3]actual CWTs exp'!$AC20&gt;0.0005,'[3]actual CWTs exp'!X20/'[3]actual CWTs exp'!$AC20,IF('[3]actual CWTs exp'!X20/'[3]actual CWTs exp'!$AC20&gt;0,"-     "," "))</f>
        <v xml:space="preserve"> </v>
      </c>
      <c r="Y24" s="378" t="str">
        <f>IF('[3]actual CWTs exp'!Y20/'[3]actual CWTs exp'!$AC20&gt;0.0005,'[3]actual CWTs exp'!Y20/'[3]actual CWTs exp'!$AC20,IF('[3]actual CWTs exp'!Y20/'[3]actual CWTs exp'!$AC20&gt;0,"-     "," "))</f>
        <v xml:space="preserve"> </v>
      </c>
      <c r="Z24" s="384" t="str">
        <f>IF('[3]actual CWTs exp'!Z20/'[3]actual CWTs exp'!$AC20&gt;0.0005,'[3]actual CWTs exp'!Z20/'[3]actual CWTs exp'!$AC20,IF('[3]actual CWTs exp'!Z20/'[3]actual CWTs exp'!$AC20&gt;0,"-     "," "))</f>
        <v xml:space="preserve"> </v>
      </c>
      <c r="AA24" s="380">
        <f t="shared" si="0"/>
        <v>6.6825775656324582E-2</v>
      </c>
      <c r="AB24" s="381">
        <f t="shared" si="1"/>
        <v>0.93317422434367536</v>
      </c>
      <c r="AC24" s="382">
        <f>'[3]actual CWTs exp'!AC20</f>
        <v>419</v>
      </c>
    </row>
    <row r="25" spans="1:29" ht="16.5" customHeight="1" x14ac:dyDescent="0.25">
      <c r="A25" s="397" t="s">
        <v>325</v>
      </c>
      <c r="B25" t="s">
        <v>64</v>
      </c>
      <c r="C25" t="s">
        <v>321</v>
      </c>
      <c r="D25" t="s">
        <v>48</v>
      </c>
      <c r="E25" s="376" t="str">
        <f>IF('[3]actual CWTs exp'!E21/'[3]actual CWTs exp'!$AC21&gt;0.0005,'[3]actual CWTs exp'!E21/'[3]actual CWTs exp'!$AC21,IF('[3]actual CWTs exp'!E21/'[3]actual CWTs exp'!$AC21&gt;0,"-     "," "))</f>
        <v xml:space="preserve"> </v>
      </c>
      <c r="F25" s="376" t="str">
        <f>IF('[3]actual CWTs exp'!F21/'[3]actual CWTs exp'!$AC21&gt;0.0005,'[3]actual CWTs exp'!F21/'[3]actual CWTs exp'!$AC21,IF('[3]actual CWTs exp'!F21/'[3]actual CWTs exp'!$AC21&gt;0,"-     "," "))</f>
        <v xml:space="preserve"> </v>
      </c>
      <c r="G25" s="376">
        <f>IF('[3]actual CWTs exp'!G21/'[3]actual CWTs exp'!$AC21&gt;0.0005,'[3]actual CWTs exp'!G21/'[3]actual CWTs exp'!$AC21,IF('[3]actual CWTs exp'!G21/'[3]actual CWTs exp'!$AC21&gt;0,"-     "," "))</f>
        <v>0.12387791741472172</v>
      </c>
      <c r="H25" s="376">
        <f>IF('[3]actual CWTs exp'!H21/'[3]actual CWTs exp'!$AC21&gt;0.0005,'[3]actual CWTs exp'!H21/'[3]actual CWTs exp'!$AC21,IF('[3]actual CWTs exp'!H21/'[3]actual CWTs exp'!$AC21&gt;0,"-     "," "))</f>
        <v>1.2378342624964565E-2</v>
      </c>
      <c r="I25" s="376">
        <f>IF('[3]actual CWTs exp'!I21/'[3]actual CWTs exp'!$AC21&gt;0.0005,'[3]actual CWTs exp'!I21/'[3]actual CWTs exp'!$AC21,IF('[3]actual CWTs exp'!I21/'[3]actual CWTs exp'!$AC21&gt;0,"-     "," "))</f>
        <v>2.3622791269016347E-3</v>
      </c>
      <c r="J25" s="377" t="str">
        <f>IF('[3]actual CWTs exp'!J21/'[3]actual CWTs exp'!$AC21&gt;0.0005,'[3]actual CWTs exp'!J21/'[3]actual CWTs exp'!$AC21,IF('[3]actual CWTs exp'!J21/'[3]actual CWTs exp'!$AC21&gt;0,"-     "," "))</f>
        <v xml:space="preserve"> </v>
      </c>
      <c r="K25" s="376">
        <f>IF('[3]actual CWTs exp'!K21/'[3]actual CWTs exp'!$AC21&gt;0.0005,'[3]actual CWTs exp'!K21/'[3]actual CWTs exp'!$AC21,IF('[3]actual CWTs exp'!K21/'[3]actual CWTs exp'!$AC21&gt;0,"-     "," "))</f>
        <v>3.4961731078144193E-3</v>
      </c>
      <c r="L25" s="376">
        <f>IF('[3]actual CWTs exp'!L21/'[3]actual CWTs exp'!$AC21&gt;0.0005,'[3]actual CWTs exp'!L21/'[3]actual CWTs exp'!$AC21,IF('[3]actual CWTs exp'!L21/'[3]actual CWTs exp'!$AC21&gt;0,"-     "," "))</f>
        <v>3.5906642728904849E-3</v>
      </c>
      <c r="M25" s="376">
        <f>IF('[3]actual CWTs exp'!M21/'[3]actual CWTs exp'!$AC21&gt;0.0005,'[3]actual CWTs exp'!M21/'[3]actual CWTs exp'!$AC21,IF('[3]actual CWTs exp'!M21/'[3]actual CWTs exp'!$AC21&gt;0,"-     "," "))</f>
        <v>0.11650760653878862</v>
      </c>
      <c r="N25" s="376" t="str">
        <f>IF('[3]actual CWTs exp'!N21/'[3]actual CWTs exp'!$AC21&gt;0.0005,'[3]actual CWTs exp'!N21/'[3]actual CWTs exp'!$AC21,IF('[3]actual CWTs exp'!N21/'[3]actual CWTs exp'!$AC21&gt;0,"-     "," "))</f>
        <v xml:space="preserve"> </v>
      </c>
      <c r="O25" s="376" t="str">
        <f>IF('[3]actual CWTs exp'!O21/'[3]actual CWTs exp'!$AC21&gt;0.0005,'[3]actual CWTs exp'!O21/'[3]actual CWTs exp'!$AC21,IF('[3]actual CWTs exp'!O21/'[3]actual CWTs exp'!$AC21&gt;0,"-     "," "))</f>
        <v xml:space="preserve"> </v>
      </c>
      <c r="P25" s="376" t="str">
        <f>IF('[3]actual CWTs exp'!P21/'[3]actual CWTs exp'!$AC21&gt;0.0005,'[3]actual CWTs exp'!P21/'[3]actual CWTs exp'!$AC21,IF('[3]actual CWTs exp'!P21/'[3]actual CWTs exp'!$AC21&gt;0,"-     "," "))</f>
        <v xml:space="preserve"> </v>
      </c>
      <c r="Q25" s="378" t="str">
        <f>IF('[3]actual CWTs exp'!Q21/'[3]actual CWTs exp'!$AC21&gt;0.0005,'[3]actual CWTs exp'!Q21/'[3]actual CWTs exp'!$AC21,IF('[3]actual CWTs exp'!Q21/'[3]actual CWTs exp'!$AC21&gt;0,"-     "," "))</f>
        <v xml:space="preserve"> </v>
      </c>
      <c r="R25" s="376" t="str">
        <f>IF('[3]actual CWTs exp'!R21/'[3]actual CWTs exp'!$AC21&gt;0.0005,'[3]actual CWTs exp'!R21/'[3]actual CWTs exp'!$AC21,IF('[3]actual CWTs exp'!R21/'[3]actual CWTs exp'!$AC21&gt;0,"-     "," "))</f>
        <v xml:space="preserve"> </v>
      </c>
      <c r="S25" s="376" t="str">
        <f>IF('[3]actual CWTs exp'!S21/'[3]actual CWTs exp'!$AC21&gt;0.0005,'[3]actual CWTs exp'!S21/'[3]actual CWTs exp'!$AC21,IF('[3]actual CWTs exp'!S21/'[3]actual CWTs exp'!$AC21&gt;0,"-     "," "))</f>
        <v xml:space="preserve"> </v>
      </c>
      <c r="T25" s="378">
        <f>IF('[3]actual CWTs exp'!T21/'[3]actual CWTs exp'!$AC21&gt;0.0005,'[3]actual CWTs exp'!T21/'[3]actual CWTs exp'!$AC21,IF('[3]actual CWTs exp'!T21/'[3]actual CWTs exp'!$AC21&gt;0,"-     "," "))</f>
        <v>1.1338939809127846E-3</v>
      </c>
      <c r="U25" s="377" t="str">
        <f>IF('[3]actual CWTs exp'!U21/'[3]actual CWTs exp'!$AC21&gt;0.0005,'[3]actual CWTs exp'!U21/'[3]actual CWTs exp'!$AC21,IF('[3]actual CWTs exp'!U21/'[3]actual CWTs exp'!$AC21&gt;0,"-     "," "))</f>
        <v xml:space="preserve"> </v>
      </c>
      <c r="V25" s="376">
        <f>IF('[3]actual CWTs exp'!V21/'[3]actual CWTs exp'!$AC21&gt;0.0005,'[3]actual CWTs exp'!V21/'[3]actual CWTs exp'!$AC21,IF('[3]actual CWTs exp'!V21/'[3]actual CWTs exp'!$AC21&gt;0,"-     "," "))</f>
        <v>4.5355759236511382E-3</v>
      </c>
      <c r="W25" s="376" t="str">
        <f>IF('[3]actual CWTs exp'!W21/'[3]actual CWTs exp'!$AC21&gt;0.0005,'[3]actual CWTs exp'!W21/'[3]actual CWTs exp'!$AC21,IF('[3]actual CWTs exp'!W21/'[3]actual CWTs exp'!$AC21&gt;0,"-     "," "))</f>
        <v xml:space="preserve"> </v>
      </c>
      <c r="X25" s="376" t="str">
        <f>IF('[3]actual CWTs exp'!X21/'[3]actual CWTs exp'!$AC21&gt;0.0005,'[3]actual CWTs exp'!X21/'[3]actual CWTs exp'!$AC21,IF('[3]actual CWTs exp'!X21/'[3]actual CWTs exp'!$AC21&gt;0,"-     "," "))</f>
        <v xml:space="preserve"> </v>
      </c>
      <c r="Y25" s="378">
        <f>IF('[3]actual CWTs exp'!Y21/'[3]actual CWTs exp'!$AC21&gt;0.0005,'[3]actual CWTs exp'!Y21/'[3]actual CWTs exp'!$AC21,IF('[3]actual CWTs exp'!Y21/'[3]actual CWTs exp'!$AC21&gt;0,"-     "," "))</f>
        <v>1.2283851459888499E-3</v>
      </c>
      <c r="Z25" s="384" t="str">
        <f>IF('[3]actual CWTs exp'!Z21/'[3]actual CWTs exp'!$AC21&gt;0.0005,'[3]actual CWTs exp'!Z21/'[3]actual CWTs exp'!$AC21,IF('[3]actual CWTs exp'!Z21/'[3]actual CWTs exp'!$AC21&gt;0,"-     "," "))</f>
        <v xml:space="preserve"> </v>
      </c>
      <c r="AA25" s="380">
        <f t="shared" si="0"/>
        <v>0.26911083813663417</v>
      </c>
      <c r="AB25" s="381">
        <f t="shared" si="1"/>
        <v>0.73088916186336583</v>
      </c>
      <c r="AC25" s="382">
        <f>'[3]actual CWTs exp'!AC21</f>
        <v>10583</v>
      </c>
    </row>
    <row r="26" spans="1:29" ht="16.5" customHeight="1" x14ac:dyDescent="0.25">
      <c r="A26" s="397" t="s">
        <v>81</v>
      </c>
      <c r="B26" t="s">
        <v>80</v>
      </c>
      <c r="C26" t="s">
        <v>321</v>
      </c>
      <c r="D26" t="s">
        <v>48</v>
      </c>
      <c r="E26" s="376" t="str">
        <f>IF('[3]actual CWTs exp'!E22/'[3]actual CWTs exp'!$AC22&gt;0.0005,'[3]actual CWTs exp'!E22/'[3]actual CWTs exp'!$AC22,IF('[3]actual CWTs exp'!E22/'[3]actual CWTs exp'!$AC22&gt;0,"-     "," "))</f>
        <v xml:space="preserve"> </v>
      </c>
      <c r="F26" s="376" t="str">
        <f>IF('[3]actual CWTs exp'!F22/'[3]actual CWTs exp'!$AC22&gt;0.0005,'[3]actual CWTs exp'!F22/'[3]actual CWTs exp'!$AC22,IF('[3]actual CWTs exp'!F22/'[3]actual CWTs exp'!$AC22&gt;0,"-     "," "))</f>
        <v xml:space="preserve"> </v>
      </c>
      <c r="G26" s="376" t="str">
        <f>IF('[3]actual CWTs exp'!G22/'[3]actual CWTs exp'!$AC22&gt;0.0005,'[3]actual CWTs exp'!G22/'[3]actual CWTs exp'!$AC22,IF('[3]actual CWTs exp'!G22/'[3]actual CWTs exp'!$AC22&gt;0,"-     "," "))</f>
        <v xml:space="preserve"> </v>
      </c>
      <c r="H26" s="376">
        <f>IF('[3]actual CWTs exp'!H22/'[3]actual CWTs exp'!$AC22&gt;0.0005,'[3]actual CWTs exp'!H22/'[3]actual CWTs exp'!$AC22,IF('[3]actual CWTs exp'!H22/'[3]actual CWTs exp'!$AC22&gt;0,"-     "," "))</f>
        <v>3.1444944913193343E-2</v>
      </c>
      <c r="I26" s="376" t="str">
        <f>IF('[3]actual CWTs exp'!I22/'[3]actual CWTs exp'!$AC22&gt;0.0005,'[3]actual CWTs exp'!I22/'[3]actual CWTs exp'!$AC22,IF('[3]actual CWTs exp'!I22/'[3]actual CWTs exp'!$AC22&gt;0,"-     "," "))</f>
        <v xml:space="preserve"> </v>
      </c>
      <c r="J26" s="377">
        <f>IF('[3]actual CWTs exp'!J22/'[3]actual CWTs exp'!$AC22&gt;0.0005,'[3]actual CWTs exp'!J22/'[3]actual CWTs exp'!$AC22,IF('[3]actual CWTs exp'!J22/'[3]actual CWTs exp'!$AC22&gt;0,"-     "," "))</f>
        <v>4.1616443570386345E-2</v>
      </c>
      <c r="K26" s="376">
        <f>IF('[3]actual CWTs exp'!K22/'[3]actual CWTs exp'!$AC22&gt;0.0005,'[3]actual CWTs exp'!K22/'[3]actual CWTs exp'!$AC22,IF('[3]actual CWTs exp'!K22/'[3]actual CWTs exp'!$AC22&gt;0,"-     "," "))</f>
        <v>4.2504599378290937E-2</v>
      </c>
      <c r="L26" s="376">
        <f>IF('[3]actual CWTs exp'!L22/'[3]actual CWTs exp'!$AC22&gt;0.0005,'[3]actual CWTs exp'!L22/'[3]actual CWTs exp'!$AC22,IF('[3]actual CWTs exp'!L22/'[3]actual CWTs exp'!$AC22&gt;0,"-     "," "))</f>
        <v>1.8186047495189157E-2</v>
      </c>
      <c r="M26" s="376">
        <f>IF('[3]actual CWTs exp'!M22/'[3]actual CWTs exp'!$AC22&gt;0.0005,'[3]actual CWTs exp'!M22/'[3]actual CWTs exp'!$AC22,IF('[3]actual CWTs exp'!M22/'[3]actual CWTs exp'!$AC22&gt;0,"-     "," "))</f>
        <v>0.75806212861341959</v>
      </c>
      <c r="N26" s="376" t="str">
        <f>IF('[3]actual CWTs exp'!N22/'[3]actual CWTs exp'!$AC22&gt;0.0005,'[3]actual CWTs exp'!N22/'[3]actual CWTs exp'!$AC22,IF('[3]actual CWTs exp'!N22/'[3]actual CWTs exp'!$AC22&gt;0,"-     "," "))</f>
        <v xml:space="preserve">-     </v>
      </c>
      <c r="O26" s="376" t="str">
        <f>IF('[3]actual CWTs exp'!O22/'[3]actual CWTs exp'!$AC22&gt;0.0005,'[3]actual CWTs exp'!O22/'[3]actual CWTs exp'!$AC22,IF('[3]actual CWTs exp'!O22/'[3]actual CWTs exp'!$AC22&gt;0,"-     "," "))</f>
        <v xml:space="preserve">-     </v>
      </c>
      <c r="P26" s="376">
        <f>IF('[3]actual CWTs exp'!P22/'[3]actual CWTs exp'!$AC22&gt;0.0005,'[3]actual CWTs exp'!P22/'[3]actual CWTs exp'!$AC22,IF('[3]actual CWTs exp'!P22/'[3]actual CWTs exp'!$AC22&gt;0,"-     "," "))</f>
        <v>2.66446742371376E-3</v>
      </c>
      <c r="Q26" s="378" t="str">
        <f>IF('[3]actual CWTs exp'!Q22/'[3]actual CWTs exp'!$AC22&gt;0.0005,'[3]actual CWTs exp'!Q22/'[3]actual CWTs exp'!$AC22,IF('[3]actual CWTs exp'!Q22/'[3]actual CWTs exp'!$AC22&gt;0,"-     "," "))</f>
        <v xml:space="preserve"> </v>
      </c>
      <c r="R26" s="376" t="str">
        <f>IF('[3]actual CWTs exp'!R22/'[3]actual CWTs exp'!$AC22&gt;0.0005,'[3]actual CWTs exp'!R22/'[3]actual CWTs exp'!$AC22,IF('[3]actual CWTs exp'!R22/'[3]actual CWTs exp'!$AC22&gt;0,"-     "," "))</f>
        <v xml:space="preserve"> </v>
      </c>
      <c r="S26" s="376">
        <f>IF('[3]actual CWTs exp'!S22/'[3]actual CWTs exp'!$AC22&gt;0.0005,'[3]actual CWTs exp'!S22/'[3]actual CWTs exp'!$AC22,IF('[3]actual CWTs exp'!S22/'[3]actual CWTs exp'!$AC22&gt;0,"-     "," "))</f>
        <v>8.0356954048510227E-4</v>
      </c>
      <c r="T26" s="378" t="str">
        <f>IF('[3]actual CWTs exp'!T22/'[3]actual CWTs exp'!$AC22&gt;0.0005,'[3]actual CWTs exp'!T22/'[3]actual CWTs exp'!$AC22,IF('[3]actual CWTs exp'!T22/'[3]actual CWTs exp'!$AC22&gt;0,"-     "," "))</f>
        <v xml:space="preserve">-     </v>
      </c>
      <c r="U26" s="377" t="str">
        <f>IF('[3]actual CWTs exp'!U22/'[3]actual CWTs exp'!$AC22&gt;0.0005,'[3]actual CWTs exp'!U22/'[3]actual CWTs exp'!$AC22,IF('[3]actual CWTs exp'!U22/'[3]actual CWTs exp'!$AC22&gt;0,"-     "," "))</f>
        <v xml:space="preserve"> </v>
      </c>
      <c r="V26" s="376" t="str">
        <f>IF('[3]actual CWTs exp'!V22/'[3]actual CWTs exp'!$AC22&gt;0.0005,'[3]actual CWTs exp'!V22/'[3]actual CWTs exp'!$AC22,IF('[3]actual CWTs exp'!V22/'[3]actual CWTs exp'!$AC22&gt;0,"-     "," "))</f>
        <v xml:space="preserve">-     </v>
      </c>
      <c r="W26" s="376" t="str">
        <f>IF('[3]actual CWTs exp'!W22/'[3]actual CWTs exp'!$AC22&gt;0.0005,'[3]actual CWTs exp'!W22/'[3]actual CWTs exp'!$AC22,IF('[3]actual CWTs exp'!W22/'[3]actual CWTs exp'!$AC22&gt;0,"-     "," "))</f>
        <v xml:space="preserve"> </v>
      </c>
      <c r="X26" s="376" t="str">
        <f>IF('[3]actual CWTs exp'!X22/'[3]actual CWTs exp'!$AC22&gt;0.0005,'[3]actual CWTs exp'!X22/'[3]actual CWTs exp'!$AC22,IF('[3]actual CWTs exp'!X22/'[3]actual CWTs exp'!$AC22&gt;0,"-     "," "))</f>
        <v xml:space="preserve"> </v>
      </c>
      <c r="Y26" s="378" t="str">
        <f>IF('[3]actual CWTs exp'!Y22/'[3]actual CWTs exp'!$AC22&gt;0.0005,'[3]actual CWTs exp'!Y22/'[3]actual CWTs exp'!$AC22,IF('[3]actual CWTs exp'!Y22/'[3]actual CWTs exp'!$AC22&gt;0,"-     "," "))</f>
        <v xml:space="preserve">-     </v>
      </c>
      <c r="Z26" s="384" t="str">
        <f>IF('[3]actual CWTs exp'!Z22/'[3]actual CWTs exp'!$AC22&gt;0.0005,'[3]actual CWTs exp'!Z22/'[3]actual CWTs exp'!$AC22,IF('[3]actual CWTs exp'!Z22/'[3]actual CWTs exp'!$AC22&gt;0,"-     "," "))</f>
        <v xml:space="preserve"> </v>
      </c>
      <c r="AA26" s="380">
        <f t="shared" si="0"/>
        <v>0.89528220093467814</v>
      </c>
      <c r="AB26" s="381">
        <f t="shared" si="1"/>
        <v>0.10471779906532186</v>
      </c>
      <c r="AC26" s="382">
        <f>'[3]actual CWTs exp'!AC22</f>
        <v>47289</v>
      </c>
    </row>
    <row r="27" spans="1:29" ht="16.5" customHeight="1" x14ac:dyDescent="0.25">
      <c r="A27" s="397" t="s">
        <v>326</v>
      </c>
      <c r="B27" t="s">
        <v>82</v>
      </c>
      <c r="C27" t="s">
        <v>321</v>
      </c>
      <c r="D27" t="s">
        <v>48</v>
      </c>
      <c r="E27" s="376" t="str">
        <f>IF('[3]actual CWTs exp'!E23/'[3]actual CWTs exp'!$AC23&gt;0.0005,'[3]actual CWTs exp'!E23/'[3]actual CWTs exp'!$AC23,IF('[3]actual CWTs exp'!E23/'[3]actual CWTs exp'!$AC23&gt;0,"-     "," "))</f>
        <v xml:space="preserve"> </v>
      </c>
      <c r="F27" s="376" t="str">
        <f>IF('[3]actual CWTs exp'!F23/'[3]actual CWTs exp'!$AC23&gt;0.0005,'[3]actual CWTs exp'!F23/'[3]actual CWTs exp'!$AC23,IF('[3]actual CWTs exp'!F23/'[3]actual CWTs exp'!$AC23&gt;0,"-     "," "))</f>
        <v xml:space="preserve"> </v>
      </c>
      <c r="G27" s="376" t="str">
        <f>IF('[3]actual CWTs exp'!G23/'[3]actual CWTs exp'!$AC23&gt;0.0005,'[3]actual CWTs exp'!G23/'[3]actual CWTs exp'!$AC23,IF('[3]actual CWTs exp'!G23/'[3]actual CWTs exp'!$AC23&gt;0,"-     "," "))</f>
        <v xml:space="preserve"> </v>
      </c>
      <c r="H27" s="376">
        <f>IF('[3]actual CWTs exp'!H23/'[3]actual CWTs exp'!$AC23&gt;0.0005,'[3]actual CWTs exp'!H23/'[3]actual CWTs exp'!$AC23,IF('[3]actual CWTs exp'!H23/'[3]actual CWTs exp'!$AC23&gt;0,"-     "," "))</f>
        <v>8.869610255082222E-2</v>
      </c>
      <c r="I27" s="376" t="str">
        <f>IF('[3]actual CWTs exp'!I23/'[3]actual CWTs exp'!$AC23&gt;0.0005,'[3]actual CWTs exp'!I23/'[3]actual CWTs exp'!$AC23,IF('[3]actual CWTs exp'!I23/'[3]actual CWTs exp'!$AC23&gt;0,"-     "," "))</f>
        <v xml:space="preserve"> </v>
      </c>
      <c r="J27" s="377">
        <f>IF('[3]actual CWTs exp'!J23/'[3]actual CWTs exp'!$AC23&gt;0.0005,'[3]actual CWTs exp'!J23/'[3]actual CWTs exp'!$AC23,IF('[3]actual CWTs exp'!J23/'[3]actual CWTs exp'!$AC23&gt;0,"-     "," "))</f>
        <v>4.2729509258060336E-3</v>
      </c>
      <c r="K27" s="376">
        <f>IF('[3]actual CWTs exp'!K23/'[3]actual CWTs exp'!$AC23&gt;0.0005,'[3]actual CWTs exp'!K23/'[3]actual CWTs exp'!$AC23,IF('[3]actual CWTs exp'!K23/'[3]actual CWTs exp'!$AC23&gt;0,"-     "," "))</f>
        <v>1.7221287064612196E-2</v>
      </c>
      <c r="L27" s="376">
        <f>IF('[3]actual CWTs exp'!L23/'[3]actual CWTs exp'!$AC23&gt;0.0005,'[3]actual CWTs exp'!L23/'[3]actual CWTs exp'!$AC23,IF('[3]actual CWTs exp'!L23/'[3]actual CWTs exp'!$AC23&gt;0,"-     "," "))</f>
        <v>1.3077819500194226E-2</v>
      </c>
      <c r="M27" s="376">
        <f>IF('[3]actual CWTs exp'!M23/'[3]actual CWTs exp'!$AC23&gt;0.0005,'[3]actual CWTs exp'!M23/'[3]actual CWTs exp'!$AC23,IF('[3]actual CWTs exp'!M23/'[3]actual CWTs exp'!$AC23&gt;0,"-     "," "))</f>
        <v>0.48349087142302216</v>
      </c>
      <c r="N27" s="376" t="str">
        <f>IF('[3]actual CWTs exp'!N23/'[3]actual CWTs exp'!$AC23&gt;0.0005,'[3]actual CWTs exp'!N23/'[3]actual CWTs exp'!$AC23,IF('[3]actual CWTs exp'!N23/'[3]actual CWTs exp'!$AC23&gt;0,"-     "," "))</f>
        <v xml:space="preserve"> </v>
      </c>
      <c r="O27" s="376" t="str">
        <f>IF('[3]actual CWTs exp'!O23/'[3]actual CWTs exp'!$AC23&gt;0.0005,'[3]actual CWTs exp'!O23/'[3]actual CWTs exp'!$AC23,IF('[3]actual CWTs exp'!O23/'[3]actual CWTs exp'!$AC23&gt;0,"-     "," "))</f>
        <v xml:space="preserve"> </v>
      </c>
      <c r="P27" s="376">
        <f>IF('[3]actual CWTs exp'!P23/'[3]actual CWTs exp'!$AC23&gt;0.0005,'[3]actual CWTs exp'!P23/'[3]actual CWTs exp'!$AC23,IF('[3]actual CWTs exp'!P23/'[3]actual CWTs exp'!$AC23&gt;0,"-     "," "))</f>
        <v>1.502006992101515E-2</v>
      </c>
      <c r="Q27" s="378" t="str">
        <f>IF('[3]actual CWTs exp'!Q23/'[3]actual CWTs exp'!$AC23&gt;0.0005,'[3]actual CWTs exp'!Q23/'[3]actual CWTs exp'!$AC23,IF('[3]actual CWTs exp'!Q23/'[3]actual CWTs exp'!$AC23&gt;0,"-     "," "))</f>
        <v xml:space="preserve"> </v>
      </c>
      <c r="R27" s="376">
        <f>IF('[3]actual CWTs exp'!R23/'[3]actual CWTs exp'!$AC23&gt;0.0005,'[3]actual CWTs exp'!R23/'[3]actual CWTs exp'!$AC23,IF('[3]actual CWTs exp'!R23/'[3]actual CWTs exp'!$AC23&gt;0,"-     "," "))</f>
        <v>8.4164184902240056E-3</v>
      </c>
      <c r="S27" s="376" t="str">
        <f>IF('[3]actual CWTs exp'!S23/'[3]actual CWTs exp'!$AC23&gt;0.0005,'[3]actual CWTs exp'!S23/'[3]actual CWTs exp'!$AC23,IF('[3]actual CWTs exp'!S23/'[3]actual CWTs exp'!$AC23&gt;0,"-     "," "))</f>
        <v xml:space="preserve"> </v>
      </c>
      <c r="T27" s="378" t="str">
        <f>IF('[3]actual CWTs exp'!T23/'[3]actual CWTs exp'!$AC23&gt;0.0005,'[3]actual CWTs exp'!T23/'[3]actual CWTs exp'!$AC23,IF('[3]actual CWTs exp'!T23/'[3]actual CWTs exp'!$AC23&gt;0,"-     "," "))</f>
        <v xml:space="preserve"> </v>
      </c>
      <c r="U27" s="377" t="str">
        <f>IF('[3]actual CWTs exp'!U23/'[3]actual CWTs exp'!$AC23&gt;0.0005,'[3]actual CWTs exp'!U23/'[3]actual CWTs exp'!$AC23,IF('[3]actual CWTs exp'!U23/'[3]actual CWTs exp'!$AC23&gt;0,"-     "," "))</f>
        <v xml:space="preserve"> </v>
      </c>
      <c r="V27" s="376">
        <f>IF('[3]actual CWTs exp'!V23/'[3]actual CWTs exp'!$AC23&gt;0.0005,'[3]actual CWTs exp'!V23/'[3]actual CWTs exp'!$AC23,IF('[3]actual CWTs exp'!V23/'[3]actual CWTs exp'!$AC23&gt;0,"-     "," "))</f>
        <v>1.2559886054641978E-2</v>
      </c>
      <c r="W27" s="376" t="str">
        <f>IF('[3]actual CWTs exp'!W23/'[3]actual CWTs exp'!$AC23&gt;0.0005,'[3]actual CWTs exp'!W23/'[3]actual CWTs exp'!$AC23,IF('[3]actual CWTs exp'!W23/'[3]actual CWTs exp'!$AC23&gt;0,"-     "," "))</f>
        <v xml:space="preserve"> </v>
      </c>
      <c r="X27" s="376" t="str">
        <f>IF('[3]actual CWTs exp'!X23/'[3]actual CWTs exp'!$AC23&gt;0.0005,'[3]actual CWTs exp'!X23/'[3]actual CWTs exp'!$AC23,IF('[3]actual CWTs exp'!X23/'[3]actual CWTs exp'!$AC23&gt;0,"-     "," "))</f>
        <v xml:space="preserve"> </v>
      </c>
      <c r="Y27" s="378">
        <f>IF('[3]actual CWTs exp'!Y23/'[3]actual CWTs exp'!$AC23&gt;0.0005,'[3]actual CWTs exp'!Y23/'[3]actual CWTs exp'!$AC23,IF('[3]actual CWTs exp'!Y23/'[3]actual CWTs exp'!$AC23&gt;0,"-     "," "))</f>
        <v>2.3307005049851095E-3</v>
      </c>
      <c r="Z27" s="384" t="str">
        <f>IF('[3]actual CWTs exp'!Z23/'[3]actual CWTs exp'!$AC23&gt;0.0005,'[3]actual CWTs exp'!Z23/'[3]actual CWTs exp'!$AC23,IF('[3]actual CWTs exp'!Z23/'[3]actual CWTs exp'!$AC23&gt;0,"-     "," "))</f>
        <v xml:space="preserve"> </v>
      </c>
      <c r="AA27" s="380">
        <f t="shared" si="0"/>
        <v>0.64508610643532305</v>
      </c>
      <c r="AB27" s="381">
        <f t="shared" si="1"/>
        <v>0.35491389356467695</v>
      </c>
      <c r="AC27" s="382">
        <f>'[3]actual CWTs exp'!AC23</f>
        <v>7723</v>
      </c>
    </row>
    <row r="28" spans="1:29" ht="16.5" customHeight="1" x14ac:dyDescent="0.25">
      <c r="A28" s="397" t="s">
        <v>327</v>
      </c>
      <c r="B28" t="s">
        <v>84</v>
      </c>
      <c r="C28" t="s">
        <v>321</v>
      </c>
      <c r="D28" t="s">
        <v>48</v>
      </c>
      <c r="E28" s="376" t="str">
        <f>IF('[3]actual CWTs exp'!E24/'[3]actual CWTs exp'!$AC24&gt;0.0005,'[3]actual CWTs exp'!E24/'[3]actual CWTs exp'!$AC24,IF('[3]actual CWTs exp'!E24/'[3]actual CWTs exp'!$AC24&gt;0,"-     "," "))</f>
        <v xml:space="preserve"> </v>
      </c>
      <c r="F28" s="376" t="str">
        <f>IF('[3]actual CWTs exp'!F24/'[3]actual CWTs exp'!$AC24&gt;0.0005,'[3]actual CWTs exp'!F24/'[3]actual CWTs exp'!$AC24,IF('[3]actual CWTs exp'!F24/'[3]actual CWTs exp'!$AC24&gt;0,"-     "," "))</f>
        <v xml:space="preserve"> </v>
      </c>
      <c r="G28" s="376" t="str">
        <f>IF('[3]actual CWTs exp'!G24/'[3]actual CWTs exp'!$AC24&gt;0.0005,'[3]actual CWTs exp'!G24/'[3]actual CWTs exp'!$AC24,IF('[3]actual CWTs exp'!G24/'[3]actual CWTs exp'!$AC24&gt;0,"-     "," "))</f>
        <v xml:space="preserve"> </v>
      </c>
      <c r="H28" s="376">
        <f>IF('[3]actual CWTs exp'!H24/'[3]actual CWTs exp'!$AC24&gt;0.0005,'[3]actual CWTs exp'!H24/'[3]actual CWTs exp'!$AC24,IF('[3]actual CWTs exp'!H24/'[3]actual CWTs exp'!$AC24&gt;0,"-     "," "))</f>
        <v>5.7939914163090127E-2</v>
      </c>
      <c r="I28" s="376" t="str">
        <f>IF('[3]actual CWTs exp'!I24/'[3]actual CWTs exp'!$AC24&gt;0.0005,'[3]actual CWTs exp'!I24/'[3]actual CWTs exp'!$AC24,IF('[3]actual CWTs exp'!I24/'[3]actual CWTs exp'!$AC24&gt;0,"-     "," "))</f>
        <v xml:space="preserve"> </v>
      </c>
      <c r="J28" s="377">
        <f>IF('[3]actual CWTs exp'!J24/'[3]actual CWTs exp'!$AC24&gt;0.0005,'[3]actual CWTs exp'!J24/'[3]actual CWTs exp'!$AC24,IF('[3]actual CWTs exp'!J24/'[3]actual CWTs exp'!$AC24&gt;0,"-     "," "))</f>
        <v>5.0071530758226037E-3</v>
      </c>
      <c r="K28" s="376">
        <f>IF('[3]actual CWTs exp'!K24/'[3]actual CWTs exp'!$AC24&gt;0.0005,'[3]actual CWTs exp'!K24/'[3]actual CWTs exp'!$AC24,IF('[3]actual CWTs exp'!K24/'[3]actual CWTs exp'!$AC24&gt;0,"-     "," "))</f>
        <v>1.0014306151645207E-2</v>
      </c>
      <c r="L28" s="376">
        <f>IF('[3]actual CWTs exp'!L24/'[3]actual CWTs exp'!$AC24&gt;0.0005,'[3]actual CWTs exp'!L24/'[3]actual CWTs exp'!$AC24,IF('[3]actual CWTs exp'!L24/'[3]actual CWTs exp'!$AC24&gt;0,"-     "," "))</f>
        <v>5.0071530758226037E-3</v>
      </c>
      <c r="M28" s="376">
        <f>IF('[3]actual CWTs exp'!M24/'[3]actual CWTs exp'!$AC24&gt;0.0005,'[3]actual CWTs exp'!M24/'[3]actual CWTs exp'!$AC24,IF('[3]actual CWTs exp'!M24/'[3]actual CWTs exp'!$AC24&gt;0,"-     "," "))</f>
        <v>0.17381974248927037</v>
      </c>
      <c r="N28" s="376" t="str">
        <f>IF('[3]actual CWTs exp'!N24/'[3]actual CWTs exp'!$AC24&gt;0.0005,'[3]actual CWTs exp'!N24/'[3]actual CWTs exp'!$AC24,IF('[3]actual CWTs exp'!N24/'[3]actual CWTs exp'!$AC24&gt;0,"-     "," "))</f>
        <v xml:space="preserve"> </v>
      </c>
      <c r="O28" s="376" t="str">
        <f>IF('[3]actual CWTs exp'!O24/'[3]actual CWTs exp'!$AC24&gt;0.0005,'[3]actual CWTs exp'!O24/'[3]actual CWTs exp'!$AC24,IF('[3]actual CWTs exp'!O24/'[3]actual CWTs exp'!$AC24&gt;0,"-     "," "))</f>
        <v xml:space="preserve"> </v>
      </c>
      <c r="P28" s="376">
        <f>IF('[3]actual CWTs exp'!P24/'[3]actual CWTs exp'!$AC24&gt;0.0005,'[3]actual CWTs exp'!P24/'[3]actual CWTs exp'!$AC24,IF('[3]actual CWTs exp'!P24/'[3]actual CWTs exp'!$AC24&gt;0,"-     "," "))</f>
        <v>5.0071530758226037E-3</v>
      </c>
      <c r="Q28" s="378" t="str">
        <f>IF('[3]actual CWTs exp'!Q24/'[3]actual CWTs exp'!$AC24&gt;0.0005,'[3]actual CWTs exp'!Q24/'[3]actual CWTs exp'!$AC24,IF('[3]actual CWTs exp'!Q24/'[3]actual CWTs exp'!$AC24&gt;0,"-     "," "))</f>
        <v xml:space="preserve"> </v>
      </c>
      <c r="R28" s="376">
        <f>IF('[3]actual CWTs exp'!R24/'[3]actual CWTs exp'!$AC24&gt;0.0005,'[3]actual CWTs exp'!R24/'[3]actual CWTs exp'!$AC24,IF('[3]actual CWTs exp'!R24/'[3]actual CWTs exp'!$AC24&gt;0,"-     "," "))</f>
        <v>3.8626609442060089E-2</v>
      </c>
      <c r="S28" s="376">
        <f>IF('[3]actual CWTs exp'!S24/'[3]actual CWTs exp'!$AC24&gt;0.0005,'[3]actual CWTs exp'!S24/'[3]actual CWTs exp'!$AC24,IF('[3]actual CWTs exp'!S24/'[3]actual CWTs exp'!$AC24&gt;0,"-     "," "))</f>
        <v>1.9313304721030045E-2</v>
      </c>
      <c r="T28" s="378" t="str">
        <f>IF('[3]actual CWTs exp'!T24/'[3]actual CWTs exp'!$AC24&gt;0.0005,'[3]actual CWTs exp'!T24/'[3]actual CWTs exp'!$AC24,IF('[3]actual CWTs exp'!T24/'[3]actual CWTs exp'!$AC24&gt;0,"-     "," "))</f>
        <v xml:space="preserve"> </v>
      </c>
      <c r="U28" s="377" t="str">
        <f>IF('[3]actual CWTs exp'!U24/'[3]actual CWTs exp'!$AC24&gt;0.0005,'[3]actual CWTs exp'!U24/'[3]actual CWTs exp'!$AC24,IF('[3]actual CWTs exp'!U24/'[3]actual CWTs exp'!$AC24&gt;0,"-     "," "))</f>
        <v xml:space="preserve"> </v>
      </c>
      <c r="V28" s="376">
        <f>IF('[3]actual CWTs exp'!V24/'[3]actual CWTs exp'!$AC24&gt;0.0005,'[3]actual CWTs exp'!V24/'[3]actual CWTs exp'!$AC24,IF('[3]actual CWTs exp'!V24/'[3]actual CWTs exp'!$AC24&gt;0,"-     "," "))</f>
        <v>1.9313304721030045E-2</v>
      </c>
      <c r="W28" s="376">
        <f>IF('[3]actual CWTs exp'!W24/'[3]actual CWTs exp'!$AC24&gt;0.0005,'[3]actual CWTs exp'!W24/'[3]actual CWTs exp'!$AC24,IF('[3]actual CWTs exp'!W24/'[3]actual CWTs exp'!$AC24&gt;0,"-     "," "))</f>
        <v>5.0071530758226037E-3</v>
      </c>
      <c r="X28" s="376" t="str">
        <f>IF('[3]actual CWTs exp'!X24/'[3]actual CWTs exp'!$AC24&gt;0.0005,'[3]actual CWTs exp'!X24/'[3]actual CWTs exp'!$AC24,IF('[3]actual CWTs exp'!X24/'[3]actual CWTs exp'!$AC24&gt;0,"-     "," "))</f>
        <v xml:space="preserve"> </v>
      </c>
      <c r="Y28" s="378" t="str">
        <f>IF('[3]actual CWTs exp'!Y24/'[3]actual CWTs exp'!$AC24&gt;0.0005,'[3]actual CWTs exp'!Y24/'[3]actual CWTs exp'!$AC24,IF('[3]actual CWTs exp'!Y24/'[3]actual CWTs exp'!$AC24&gt;0,"-     "," "))</f>
        <v xml:space="preserve"> </v>
      </c>
      <c r="Z28" s="384" t="str">
        <f>IF('[3]actual CWTs exp'!Z24/'[3]actual CWTs exp'!$AC24&gt;0.0005,'[3]actual CWTs exp'!Z24/'[3]actual CWTs exp'!$AC24,IF('[3]actual CWTs exp'!Z24/'[3]actual CWTs exp'!$AC24&gt;0,"-     "," "))</f>
        <v xml:space="preserve"> </v>
      </c>
      <c r="AA28" s="380">
        <f t="shared" si="0"/>
        <v>0.33905579399141633</v>
      </c>
      <c r="AB28" s="381">
        <f t="shared" si="1"/>
        <v>0.66094420600858372</v>
      </c>
      <c r="AC28" s="382">
        <f>'[3]actual CWTs exp'!AC24</f>
        <v>1398</v>
      </c>
    </row>
    <row r="29" spans="1:29" ht="16.5" customHeight="1" x14ac:dyDescent="0.25">
      <c r="A29" s="397" t="s">
        <v>87</v>
      </c>
      <c r="B29" t="s">
        <v>118</v>
      </c>
      <c r="C29" t="s">
        <v>321</v>
      </c>
      <c r="D29" t="s">
        <v>48</v>
      </c>
      <c r="E29" s="376" t="str">
        <f>IF('[3]actual CWTs exp'!E25/'[3]actual CWTs exp'!$AC25&gt;0.0005,'[3]actual CWTs exp'!E25/'[3]actual CWTs exp'!$AC25,IF('[3]actual CWTs exp'!E25/'[3]actual CWTs exp'!$AC25&gt;0,"-     "," "))</f>
        <v xml:space="preserve"> </v>
      </c>
      <c r="F29" s="376" t="str">
        <f>IF('[3]actual CWTs exp'!F25/'[3]actual CWTs exp'!$AC25&gt;0.0005,'[3]actual CWTs exp'!F25/'[3]actual CWTs exp'!$AC25,IF('[3]actual CWTs exp'!F25/'[3]actual CWTs exp'!$AC25&gt;0,"-     "," "))</f>
        <v xml:space="preserve"> </v>
      </c>
      <c r="G29" s="376" t="str">
        <f>IF('[3]actual CWTs exp'!G25/'[3]actual CWTs exp'!$AC25&gt;0.0005,'[3]actual CWTs exp'!G25/'[3]actual CWTs exp'!$AC25,IF('[3]actual CWTs exp'!G25/'[3]actual CWTs exp'!$AC25&gt;0,"-     "," "))</f>
        <v xml:space="preserve"> </v>
      </c>
      <c r="H29" s="376">
        <f>IF('[3]actual CWTs exp'!H25/'[3]actual CWTs exp'!$AC25&gt;0.0005,'[3]actual CWTs exp'!H25/'[3]actual CWTs exp'!$AC25,IF('[3]actual CWTs exp'!H25/'[3]actual CWTs exp'!$AC25&gt;0,"-     "," "))</f>
        <v>0.11482176360225141</v>
      </c>
      <c r="I29" s="376" t="str">
        <f>IF('[3]actual CWTs exp'!I25/'[3]actual CWTs exp'!$AC25&gt;0.0005,'[3]actual CWTs exp'!I25/'[3]actual CWTs exp'!$AC25,IF('[3]actual CWTs exp'!I25/'[3]actual CWTs exp'!$AC25&gt;0,"-     "," "))</f>
        <v xml:space="preserve"> </v>
      </c>
      <c r="J29" s="377" t="str">
        <f>IF('[3]actual CWTs exp'!J25/'[3]actual CWTs exp'!$AC25&gt;0.0005,'[3]actual CWTs exp'!J25/'[3]actual CWTs exp'!$AC25,IF('[3]actual CWTs exp'!J25/'[3]actual CWTs exp'!$AC25&gt;0,"-     "," "))</f>
        <v xml:space="preserve"> </v>
      </c>
      <c r="K29" s="376" t="str">
        <f>IF('[3]actual CWTs exp'!K25/'[3]actual CWTs exp'!$AC25&gt;0.0005,'[3]actual CWTs exp'!K25/'[3]actual CWTs exp'!$AC25,IF('[3]actual CWTs exp'!K25/'[3]actual CWTs exp'!$AC25&gt;0,"-     "," "))</f>
        <v xml:space="preserve"> </v>
      </c>
      <c r="L29" s="376" t="str">
        <f>IF('[3]actual CWTs exp'!L25/'[3]actual CWTs exp'!$AC25&gt;0.0005,'[3]actual CWTs exp'!L25/'[3]actual CWTs exp'!$AC25,IF('[3]actual CWTs exp'!L25/'[3]actual CWTs exp'!$AC25&gt;0,"-     "," "))</f>
        <v xml:space="preserve">-     </v>
      </c>
      <c r="M29" s="376">
        <f>IF('[3]actual CWTs exp'!M25/'[3]actual CWTs exp'!$AC25&gt;0.0005,'[3]actual CWTs exp'!M25/'[3]actual CWTs exp'!$AC25,IF('[3]actual CWTs exp'!M25/'[3]actual CWTs exp'!$AC25&gt;0,"-     "," "))</f>
        <v>4.5684803001876176E-2</v>
      </c>
      <c r="N29" s="376" t="str">
        <f>IF('[3]actual CWTs exp'!N25/'[3]actual CWTs exp'!$AC25&gt;0.0005,'[3]actual CWTs exp'!N25/'[3]actual CWTs exp'!$AC25,IF('[3]actual CWTs exp'!N25/'[3]actual CWTs exp'!$AC25&gt;0,"-     "," "))</f>
        <v xml:space="preserve"> </v>
      </c>
      <c r="O29" s="376">
        <f>IF('[3]actual CWTs exp'!O25/'[3]actual CWTs exp'!$AC25&gt;0.0005,'[3]actual CWTs exp'!O25/'[3]actual CWTs exp'!$AC25,IF('[3]actual CWTs exp'!O25/'[3]actual CWTs exp'!$AC25&gt;0,"-     "," "))</f>
        <v>8.9118198874296435E-4</v>
      </c>
      <c r="P29" s="376" t="str">
        <f>IF('[3]actual CWTs exp'!P25/'[3]actual CWTs exp'!$AC25&gt;0.0005,'[3]actual CWTs exp'!P25/'[3]actual CWTs exp'!$AC25,IF('[3]actual CWTs exp'!P25/'[3]actual CWTs exp'!$AC25&gt;0,"-     "," "))</f>
        <v xml:space="preserve"> </v>
      </c>
      <c r="Q29" s="378" t="str">
        <f>IF('[3]actual CWTs exp'!Q25/'[3]actual CWTs exp'!$AC25&gt;0.0005,'[3]actual CWTs exp'!Q25/'[3]actual CWTs exp'!$AC25,IF('[3]actual CWTs exp'!Q25/'[3]actual CWTs exp'!$AC25&gt;0,"-     "," "))</f>
        <v xml:space="preserve"> </v>
      </c>
      <c r="R29" s="376">
        <f>IF('[3]actual CWTs exp'!R25/'[3]actual CWTs exp'!$AC25&gt;0.0005,'[3]actual CWTs exp'!R25/'[3]actual CWTs exp'!$AC25,IF('[3]actual CWTs exp'!R25/'[3]actual CWTs exp'!$AC25&gt;0,"-     "," "))</f>
        <v>0.17026266416510319</v>
      </c>
      <c r="S29" s="376">
        <f>IF('[3]actual CWTs exp'!S25/'[3]actual CWTs exp'!$AC25&gt;0.0005,'[3]actual CWTs exp'!S25/'[3]actual CWTs exp'!$AC25,IF('[3]actual CWTs exp'!S25/'[3]actual CWTs exp'!$AC25&gt;0,"-     "," "))</f>
        <v>0.30619136960600374</v>
      </c>
      <c r="T29" s="378">
        <f>IF('[3]actual CWTs exp'!T25/'[3]actual CWTs exp'!$AC25&gt;0.0005,'[3]actual CWTs exp'!T25/'[3]actual CWTs exp'!$AC25,IF('[3]actual CWTs exp'!T25/'[3]actual CWTs exp'!$AC25&gt;0,"-     "," "))</f>
        <v>8.4427767354596623E-4</v>
      </c>
      <c r="U29" s="377" t="str">
        <f>IF('[3]actual CWTs exp'!U25/'[3]actual CWTs exp'!$AC25&gt;0.0005,'[3]actual CWTs exp'!U25/'[3]actual CWTs exp'!$AC25,IF('[3]actual CWTs exp'!U25/'[3]actual CWTs exp'!$AC25&gt;0,"-     "," "))</f>
        <v xml:space="preserve"> </v>
      </c>
      <c r="V29" s="376">
        <f>IF('[3]actual CWTs exp'!V25/'[3]actual CWTs exp'!$AC25&gt;0.0005,'[3]actual CWTs exp'!V25/'[3]actual CWTs exp'!$AC25,IF('[3]actual CWTs exp'!V25/'[3]actual CWTs exp'!$AC25&gt;0,"-     "," "))</f>
        <v>1.5947467166979361E-2</v>
      </c>
      <c r="W29" s="376">
        <f>IF('[3]actual CWTs exp'!W25/'[3]actual CWTs exp'!$AC25&gt;0.0005,'[3]actual CWTs exp'!W25/'[3]actual CWTs exp'!$AC25,IF('[3]actual CWTs exp'!W25/'[3]actual CWTs exp'!$AC25&gt;0,"-     "," "))</f>
        <v>3.8930581613508442E-3</v>
      </c>
      <c r="X29" s="376" t="str">
        <f>IF('[3]actual CWTs exp'!X25/'[3]actual CWTs exp'!$AC25&gt;0.0005,'[3]actual CWTs exp'!X25/'[3]actual CWTs exp'!$AC25,IF('[3]actual CWTs exp'!X25/'[3]actual CWTs exp'!$AC25&gt;0,"-     "," "))</f>
        <v xml:space="preserve"> </v>
      </c>
      <c r="Y29" s="378">
        <f>IF('[3]actual CWTs exp'!Y25/'[3]actual CWTs exp'!$AC25&gt;0.0005,'[3]actual CWTs exp'!Y25/'[3]actual CWTs exp'!$AC25,IF('[3]actual CWTs exp'!Y25/'[3]actual CWTs exp'!$AC25&gt;0,"-     "," "))</f>
        <v>4.5497185741088181E-3</v>
      </c>
      <c r="Z29" s="384">
        <f>IF('[3]actual CWTs exp'!Z25/'[3]actual CWTs exp'!$AC25&gt;0.0005,'[3]actual CWTs exp'!Z25/'[3]actual CWTs exp'!$AC25,IF('[3]actual CWTs exp'!Z25/'[3]actual CWTs exp'!$AC25&gt;0,"-     "," "))</f>
        <v>1.078799249530957E-3</v>
      </c>
      <c r="AA29" s="380">
        <f t="shared" si="0"/>
        <v>0.66416510318949351</v>
      </c>
      <c r="AB29" s="381">
        <f t="shared" si="1"/>
        <v>0.33583489681050649</v>
      </c>
      <c r="AC29" s="382">
        <f>'[3]actual CWTs exp'!AC25</f>
        <v>21320</v>
      </c>
    </row>
    <row r="30" spans="1:29" ht="16.5" customHeight="1" x14ac:dyDescent="0.25">
      <c r="A30" s="397" t="s">
        <v>91</v>
      </c>
      <c r="B30" t="s">
        <v>90</v>
      </c>
      <c r="C30" t="s">
        <v>321</v>
      </c>
      <c r="D30" t="s">
        <v>48</v>
      </c>
      <c r="E30" s="376" t="str">
        <f>IF('[3]actual CWTs exp'!E26/'[3]actual CWTs exp'!$AC26&gt;0.0005,'[3]actual CWTs exp'!E26/'[3]actual CWTs exp'!$AC26,IF('[3]actual CWTs exp'!E26/'[3]actual CWTs exp'!$AC26&gt;0,"-     "," "))</f>
        <v xml:space="preserve"> </v>
      </c>
      <c r="F30" s="376" t="str">
        <f>IF('[3]actual CWTs exp'!F26/'[3]actual CWTs exp'!$AC26&gt;0.0005,'[3]actual CWTs exp'!F26/'[3]actual CWTs exp'!$AC26,IF('[3]actual CWTs exp'!F26/'[3]actual CWTs exp'!$AC26&gt;0,"-     "," "))</f>
        <v xml:space="preserve"> </v>
      </c>
      <c r="G30" s="376" t="str">
        <f>IF('[3]actual CWTs exp'!G26/'[3]actual CWTs exp'!$AC26&gt;0.0005,'[3]actual CWTs exp'!G26/'[3]actual CWTs exp'!$AC26,IF('[3]actual CWTs exp'!G26/'[3]actual CWTs exp'!$AC26&gt;0,"-     "," "))</f>
        <v xml:space="preserve"> </v>
      </c>
      <c r="H30" s="376">
        <f>IF('[3]actual CWTs exp'!H26/'[3]actual CWTs exp'!$AC26&gt;0.0005,'[3]actual CWTs exp'!H26/'[3]actual CWTs exp'!$AC26,IF('[3]actual CWTs exp'!H26/'[3]actual CWTs exp'!$AC26&gt;0,"-     "," "))</f>
        <v>2.5563909774436091E-2</v>
      </c>
      <c r="I30" s="376" t="str">
        <f>IF('[3]actual CWTs exp'!I26/'[3]actual CWTs exp'!$AC26&gt;0.0005,'[3]actual CWTs exp'!I26/'[3]actual CWTs exp'!$AC26,IF('[3]actual CWTs exp'!I26/'[3]actual CWTs exp'!$AC26&gt;0,"-     "," "))</f>
        <v xml:space="preserve"> </v>
      </c>
      <c r="J30" s="377" t="str">
        <f>IF('[3]actual CWTs exp'!J26/'[3]actual CWTs exp'!$AC26&gt;0.0005,'[3]actual CWTs exp'!J26/'[3]actual CWTs exp'!$AC26,IF('[3]actual CWTs exp'!J26/'[3]actual CWTs exp'!$AC26&gt;0,"-     "," "))</f>
        <v xml:space="preserve"> </v>
      </c>
      <c r="K30" s="376">
        <f>IF('[3]actual CWTs exp'!K26/'[3]actual CWTs exp'!$AC26&gt;0.0005,'[3]actual CWTs exp'!K26/'[3]actual CWTs exp'!$AC26,IF('[3]actual CWTs exp'!K26/'[3]actual CWTs exp'!$AC26&gt;0,"-     "," "))</f>
        <v>7.5187969924812035E-4</v>
      </c>
      <c r="L30" s="376" t="str">
        <f>IF('[3]actual CWTs exp'!L26/'[3]actual CWTs exp'!$AC26&gt;0.0005,'[3]actual CWTs exp'!L26/'[3]actual CWTs exp'!$AC26,IF('[3]actual CWTs exp'!L26/'[3]actual CWTs exp'!$AC26&gt;0,"-     "," "))</f>
        <v xml:space="preserve">-     </v>
      </c>
      <c r="M30" s="376">
        <f>IF('[3]actual CWTs exp'!M26/'[3]actual CWTs exp'!$AC26&gt;0.0005,'[3]actual CWTs exp'!M26/'[3]actual CWTs exp'!$AC26,IF('[3]actual CWTs exp'!M26/'[3]actual CWTs exp'!$AC26&gt;0,"-     "," "))</f>
        <v>1.9924812030075189E-2</v>
      </c>
      <c r="N30" s="376" t="str">
        <f>IF('[3]actual CWTs exp'!N26/'[3]actual CWTs exp'!$AC26&gt;0.0005,'[3]actual CWTs exp'!N26/'[3]actual CWTs exp'!$AC26,IF('[3]actual CWTs exp'!N26/'[3]actual CWTs exp'!$AC26&gt;0,"-     "," "))</f>
        <v xml:space="preserve"> </v>
      </c>
      <c r="O30" s="376" t="str">
        <f>IF('[3]actual CWTs exp'!O26/'[3]actual CWTs exp'!$AC26&gt;0.0005,'[3]actual CWTs exp'!O26/'[3]actual CWTs exp'!$AC26,IF('[3]actual CWTs exp'!O26/'[3]actual CWTs exp'!$AC26&gt;0,"-     "," "))</f>
        <v xml:space="preserve"> </v>
      </c>
      <c r="P30" s="376">
        <f>IF('[3]actual CWTs exp'!P26/'[3]actual CWTs exp'!$AC26&gt;0.0005,'[3]actual CWTs exp'!P26/'[3]actual CWTs exp'!$AC26,IF('[3]actual CWTs exp'!P26/'[3]actual CWTs exp'!$AC26&gt;0,"-     "," "))</f>
        <v>7.5187969924812035E-4</v>
      </c>
      <c r="Q30" s="378" t="str">
        <f>IF('[3]actual CWTs exp'!Q26/'[3]actual CWTs exp'!$AC26&gt;0.0005,'[3]actual CWTs exp'!Q26/'[3]actual CWTs exp'!$AC26,IF('[3]actual CWTs exp'!Q26/'[3]actual CWTs exp'!$AC26&gt;0,"-     "," "))</f>
        <v xml:space="preserve"> </v>
      </c>
      <c r="R30" s="376">
        <f>IF('[3]actual CWTs exp'!R26/'[3]actual CWTs exp'!$AC26&gt;0.0005,'[3]actual CWTs exp'!R26/'[3]actual CWTs exp'!$AC26,IF('[3]actual CWTs exp'!R26/'[3]actual CWTs exp'!$AC26&gt;0,"-     "," "))</f>
        <v>1.1278195488721805E-3</v>
      </c>
      <c r="S30" s="376">
        <f>IF('[3]actual CWTs exp'!S26/'[3]actual CWTs exp'!$AC26&gt;0.0005,'[3]actual CWTs exp'!S26/'[3]actual CWTs exp'!$AC26,IF('[3]actual CWTs exp'!S26/'[3]actual CWTs exp'!$AC26&gt;0,"-     "," "))</f>
        <v>3.1203007518796993E-2</v>
      </c>
      <c r="T30" s="378">
        <f>IF('[3]actual CWTs exp'!T26/'[3]actual CWTs exp'!$AC26&gt;0.0005,'[3]actual CWTs exp'!T26/'[3]actual CWTs exp'!$AC26,IF('[3]actual CWTs exp'!T26/'[3]actual CWTs exp'!$AC26&gt;0,"-     "," "))</f>
        <v>1.5037593984962407E-3</v>
      </c>
      <c r="U30" s="377">
        <f>IF('[3]actual CWTs exp'!U26/'[3]actual CWTs exp'!$AC26&gt;0.0005,'[3]actual CWTs exp'!U26/'[3]actual CWTs exp'!$AC26,IF('[3]actual CWTs exp'!U26/'[3]actual CWTs exp'!$AC26&gt;0,"-     "," "))</f>
        <v>1.0902255639097745E-2</v>
      </c>
      <c r="V30" s="376">
        <f>IF('[3]actual CWTs exp'!V26/'[3]actual CWTs exp'!$AC26&gt;0.0005,'[3]actual CWTs exp'!V26/'[3]actual CWTs exp'!$AC26,IF('[3]actual CWTs exp'!V26/'[3]actual CWTs exp'!$AC26&gt;0,"-     "," "))</f>
        <v>0.69172932330827064</v>
      </c>
      <c r="W30" s="376">
        <f>IF('[3]actual CWTs exp'!W26/'[3]actual CWTs exp'!$AC26&gt;0.0005,'[3]actual CWTs exp'!W26/'[3]actual CWTs exp'!$AC26,IF('[3]actual CWTs exp'!W26/'[3]actual CWTs exp'!$AC26&gt;0,"-     "," "))</f>
        <v>6.3909774436090222E-2</v>
      </c>
      <c r="X30" s="376" t="str">
        <f>IF('[3]actual CWTs exp'!X26/'[3]actual CWTs exp'!$AC26&gt;0.0005,'[3]actual CWTs exp'!X26/'[3]actual CWTs exp'!$AC26,IF('[3]actual CWTs exp'!X26/'[3]actual CWTs exp'!$AC26&gt;0,"-     "," "))</f>
        <v xml:space="preserve"> </v>
      </c>
      <c r="Y30" s="378">
        <f>IF('[3]actual CWTs exp'!Y26/'[3]actual CWTs exp'!$AC26&gt;0.0005,'[3]actual CWTs exp'!Y26/'[3]actual CWTs exp'!$AC26,IF('[3]actual CWTs exp'!Y26/'[3]actual CWTs exp'!$AC26&gt;0,"-     "," "))</f>
        <v>3.2330827067669175E-2</v>
      </c>
      <c r="Z30" s="384" t="str">
        <f>IF('[3]actual CWTs exp'!Z26/'[3]actual CWTs exp'!$AC26&gt;0.0005,'[3]actual CWTs exp'!Z26/'[3]actual CWTs exp'!$AC26,IF('[3]actual CWTs exp'!Z26/'[3]actual CWTs exp'!$AC26&gt;0,"-     "," "))</f>
        <v xml:space="preserve"> </v>
      </c>
      <c r="AA30" s="380">
        <f t="shared" si="0"/>
        <v>0.87969924812030076</v>
      </c>
      <c r="AB30" s="381">
        <f t="shared" si="1"/>
        <v>0.12030075187969924</v>
      </c>
      <c r="AC30" s="382">
        <f>'[3]actual CWTs exp'!AC26</f>
        <v>2660</v>
      </c>
    </row>
    <row r="31" spans="1:29" ht="16.5" customHeight="1" x14ac:dyDescent="0.35">
      <c r="A31" s="397" t="s">
        <v>328</v>
      </c>
      <c r="B31" t="s">
        <v>96</v>
      </c>
      <c r="C31" t="s">
        <v>321</v>
      </c>
      <c r="D31" t="s">
        <v>48</v>
      </c>
      <c r="E31" s="376" t="str">
        <f>IF('[3]actual CWTs exp'!E27/'[3]actual CWTs exp'!$AC27&gt;0.0005,'[3]actual CWTs exp'!E27/'[3]actual CWTs exp'!$AC27,IF('[3]actual CWTs exp'!E27/'[3]actual CWTs exp'!$AC27&gt;0,"-     "," "))</f>
        <v xml:space="preserve"> </v>
      </c>
      <c r="F31" s="376" t="str">
        <f>IF('[3]actual CWTs exp'!F27/'[3]actual CWTs exp'!$AC27&gt;0.0005,'[3]actual CWTs exp'!F27/'[3]actual CWTs exp'!$AC27,IF('[3]actual CWTs exp'!F27/'[3]actual CWTs exp'!$AC27&gt;0,"-     "," "))</f>
        <v xml:space="preserve"> </v>
      </c>
      <c r="G31" s="376" t="str">
        <f>IF('[3]actual CWTs exp'!G27/'[3]actual CWTs exp'!$AC27&gt;0.0005,'[3]actual CWTs exp'!G27/'[3]actual CWTs exp'!$AC27,IF('[3]actual CWTs exp'!G27/'[3]actual CWTs exp'!$AC27&gt;0,"-     "," "))</f>
        <v xml:space="preserve"> </v>
      </c>
      <c r="H31" s="376">
        <f>IF('[3]actual CWTs exp'!H27/'[3]actual CWTs exp'!$AC27&gt;0.0005,'[3]actual CWTs exp'!H27/'[3]actual CWTs exp'!$AC27,IF('[3]actual CWTs exp'!H27/'[3]actual CWTs exp'!$AC27&gt;0,"-     "," "))</f>
        <v>8.6021505376344086E-3</v>
      </c>
      <c r="I31" s="376" t="str">
        <f>IF('[3]actual CWTs exp'!I27/'[3]actual CWTs exp'!$AC27&gt;0.0005,'[3]actual CWTs exp'!I27/'[3]actual CWTs exp'!$AC27,IF('[3]actual CWTs exp'!I27/'[3]actual CWTs exp'!$AC27&gt;0,"-     "," "))</f>
        <v xml:space="preserve"> </v>
      </c>
      <c r="J31" s="377" t="str">
        <f>IF('[3]actual CWTs exp'!J27/'[3]actual CWTs exp'!$AC27&gt;0.0005,'[3]actual CWTs exp'!J27/'[3]actual CWTs exp'!$AC27,IF('[3]actual CWTs exp'!J27/'[3]actual CWTs exp'!$AC27&gt;0,"-     "," "))</f>
        <v xml:space="preserve"> </v>
      </c>
      <c r="K31" s="376" t="str">
        <f>IF('[3]actual CWTs exp'!K27/'[3]actual CWTs exp'!$AC27&gt;0.0005,'[3]actual CWTs exp'!K27/'[3]actual CWTs exp'!$AC27,IF('[3]actual CWTs exp'!K27/'[3]actual CWTs exp'!$AC27&gt;0,"-     "," "))</f>
        <v xml:space="preserve"> </v>
      </c>
      <c r="L31" s="376" t="str">
        <f>IF('[3]actual CWTs exp'!L27/'[3]actual CWTs exp'!$AC27&gt;0.0005,'[3]actual CWTs exp'!L27/'[3]actual CWTs exp'!$AC27,IF('[3]actual CWTs exp'!L27/'[3]actual CWTs exp'!$AC27&gt;0,"-     "," "))</f>
        <v xml:space="preserve"> </v>
      </c>
      <c r="M31" s="376" t="str">
        <f>IF('[3]actual CWTs exp'!M27/'[3]actual CWTs exp'!$AC27&gt;0.0005,'[3]actual CWTs exp'!M27/'[3]actual CWTs exp'!$AC27,IF('[3]actual CWTs exp'!M27/'[3]actual CWTs exp'!$AC27&gt;0,"-     "," "))</f>
        <v xml:space="preserve"> </v>
      </c>
      <c r="N31" s="376" t="str">
        <f>IF('[3]actual CWTs exp'!N27/'[3]actual CWTs exp'!$AC27&gt;0.0005,'[3]actual CWTs exp'!N27/'[3]actual CWTs exp'!$AC27,IF('[3]actual CWTs exp'!N27/'[3]actual CWTs exp'!$AC27&gt;0,"-     "," "))</f>
        <v xml:space="preserve"> </v>
      </c>
      <c r="O31" s="376" t="str">
        <f>IF('[3]actual CWTs exp'!O27/'[3]actual CWTs exp'!$AC27&gt;0.0005,'[3]actual CWTs exp'!O27/'[3]actual CWTs exp'!$AC27,IF('[3]actual CWTs exp'!O27/'[3]actual CWTs exp'!$AC27&gt;0,"-     "," "))</f>
        <v xml:space="preserve"> </v>
      </c>
      <c r="P31" s="376" t="str">
        <f>IF('[3]actual CWTs exp'!P27/'[3]actual CWTs exp'!$AC27&gt;0.0005,'[3]actual CWTs exp'!P27/'[3]actual CWTs exp'!$AC27,IF('[3]actual CWTs exp'!P27/'[3]actual CWTs exp'!$AC27&gt;0,"-     "," "))</f>
        <v xml:space="preserve"> </v>
      </c>
      <c r="Q31" s="378" t="str">
        <f>IF('[3]actual CWTs exp'!Q27/'[3]actual CWTs exp'!$AC27&gt;0.0005,'[3]actual CWTs exp'!Q27/'[3]actual CWTs exp'!$AC27,IF('[3]actual CWTs exp'!Q27/'[3]actual CWTs exp'!$AC27&gt;0,"-     "," "))</f>
        <v xml:space="preserve"> </v>
      </c>
      <c r="R31" s="376" t="str">
        <f>IF('[3]actual CWTs exp'!R27/'[3]actual CWTs exp'!$AC27&gt;0.0005,'[3]actual CWTs exp'!R27/'[3]actual CWTs exp'!$AC27,IF('[3]actual CWTs exp'!R27/'[3]actual CWTs exp'!$AC27&gt;0,"-     "," "))</f>
        <v xml:space="preserve"> </v>
      </c>
      <c r="S31" s="376">
        <f>IF('[3]actual CWTs exp'!S27/'[3]actual CWTs exp'!$AC27&gt;0.0005,'[3]actual CWTs exp'!S27/'[3]actual CWTs exp'!$AC27,IF('[3]actual CWTs exp'!S27/'[3]actual CWTs exp'!$AC27&gt;0,"-     "," "))</f>
        <v>1.7204301075268817E-2</v>
      </c>
      <c r="T31" s="378">
        <f>IF('[3]actual CWTs exp'!T27/'[3]actual CWTs exp'!$AC27&gt;0.0005,'[3]actual CWTs exp'!T27/'[3]actual CWTs exp'!$AC27,IF('[3]actual CWTs exp'!T27/'[3]actual CWTs exp'!$AC27&gt;0,"-     "," "))</f>
        <v>2.1505376344086021E-3</v>
      </c>
      <c r="U31" s="377" t="str">
        <f>IF('[3]actual CWTs exp'!U27/'[3]actual CWTs exp'!$AC27&gt;0.0005,'[3]actual CWTs exp'!U27/'[3]actual CWTs exp'!$AC27,IF('[3]actual CWTs exp'!U27/'[3]actual CWTs exp'!$AC27&gt;0,"-     "," "))</f>
        <v xml:space="preserve"> </v>
      </c>
      <c r="V31" s="376">
        <f>IF('[3]actual CWTs exp'!V27/'[3]actual CWTs exp'!$AC27&gt;0.0005,'[3]actual CWTs exp'!V27/'[3]actual CWTs exp'!$AC27,IF('[3]actual CWTs exp'!V27/'[3]actual CWTs exp'!$AC27&gt;0,"-     "," "))</f>
        <v>6.236559139784946E-2</v>
      </c>
      <c r="W31" s="376">
        <f>IF('[3]actual CWTs exp'!W27/'[3]actual CWTs exp'!$AC27&gt;0.0005,'[3]actual CWTs exp'!W27/'[3]actual CWTs exp'!$AC27,IF('[3]actual CWTs exp'!W27/'[3]actual CWTs exp'!$AC27&gt;0,"-     "," "))</f>
        <v>1.935483870967742E-2</v>
      </c>
      <c r="X31" s="376" t="str">
        <f>IF('[3]actual CWTs exp'!X27/'[3]actual CWTs exp'!$AC27&gt;0.0005,'[3]actual CWTs exp'!X27/'[3]actual CWTs exp'!$AC27,IF('[3]actual CWTs exp'!X27/'[3]actual CWTs exp'!$AC27&gt;0,"-     "," "))</f>
        <v xml:space="preserve"> </v>
      </c>
      <c r="Y31" s="378">
        <f>IF('[3]actual CWTs exp'!Y27/'[3]actual CWTs exp'!$AC27&gt;0.0005,'[3]actual CWTs exp'!Y27/'[3]actual CWTs exp'!$AC27,IF('[3]actual CWTs exp'!Y27/'[3]actual CWTs exp'!$AC27&gt;0,"-     "," "))</f>
        <v>2.5806451612903226E-2</v>
      </c>
      <c r="Z31" s="384" t="str">
        <f>IF('[3]actual CWTs exp'!Z27/'[3]actual CWTs exp'!$AC27&gt;0.0005,'[3]actual CWTs exp'!Z27/'[3]actual CWTs exp'!$AC27,IF('[3]actual CWTs exp'!Z27/'[3]actual CWTs exp'!$AC27&gt;0,"-     "," "))</f>
        <v xml:space="preserve"> </v>
      </c>
      <c r="AA31" s="380">
        <f t="shared" si="0"/>
        <v>0.13548387096774195</v>
      </c>
      <c r="AB31" s="381">
        <f t="shared" si="1"/>
        <v>0.86451612903225805</v>
      </c>
      <c r="AC31" s="382">
        <f>'[3]actual CWTs exp'!AC27</f>
        <v>465</v>
      </c>
    </row>
    <row r="32" spans="1:29" ht="16.5" customHeight="1" x14ac:dyDescent="0.25">
      <c r="A32" s="397" t="s">
        <v>97</v>
      </c>
      <c r="B32" t="s">
        <v>98</v>
      </c>
      <c r="C32" t="s">
        <v>321</v>
      </c>
      <c r="D32" t="s">
        <v>48</v>
      </c>
      <c r="E32" s="376" t="str">
        <f>IF('[3]actual CWTs exp'!E28/'[3]actual CWTs exp'!$AC28&gt;0.0005,'[3]actual CWTs exp'!E28/'[3]actual CWTs exp'!$AC28,IF('[3]actual CWTs exp'!E28/'[3]actual CWTs exp'!$AC28&gt;0,"-     "," "))</f>
        <v xml:space="preserve"> </v>
      </c>
      <c r="F32" s="376" t="str">
        <f>IF('[3]actual CWTs exp'!F28/'[3]actual CWTs exp'!$AC28&gt;0.0005,'[3]actual CWTs exp'!F28/'[3]actual CWTs exp'!$AC28,IF('[3]actual CWTs exp'!F28/'[3]actual CWTs exp'!$AC28&gt;0,"-     "," "))</f>
        <v xml:space="preserve"> </v>
      </c>
      <c r="G32" s="376" t="str">
        <f>IF('[3]actual CWTs exp'!G28/'[3]actual CWTs exp'!$AC28&gt;0.0005,'[3]actual CWTs exp'!G28/'[3]actual CWTs exp'!$AC28,IF('[3]actual CWTs exp'!G28/'[3]actual CWTs exp'!$AC28&gt;0,"-     "," "))</f>
        <v xml:space="preserve"> </v>
      </c>
      <c r="H32" s="376">
        <f>IF('[3]actual CWTs exp'!H28/'[3]actual CWTs exp'!$AC28&gt;0.0005,'[3]actual CWTs exp'!H28/'[3]actual CWTs exp'!$AC28,IF('[3]actual CWTs exp'!H28/'[3]actual CWTs exp'!$AC28&gt;0,"-     "," "))</f>
        <v>0.21354656632173094</v>
      </c>
      <c r="I32" s="376" t="str">
        <f>IF('[3]actual CWTs exp'!I28/'[3]actual CWTs exp'!$AC28&gt;0.0005,'[3]actual CWTs exp'!I28/'[3]actual CWTs exp'!$AC28,IF('[3]actual CWTs exp'!I28/'[3]actual CWTs exp'!$AC28&gt;0,"-     "," "))</f>
        <v xml:space="preserve"> </v>
      </c>
      <c r="J32" s="377" t="str">
        <f>IF('[3]actual CWTs exp'!J28/'[3]actual CWTs exp'!$AC28&gt;0.0005,'[3]actual CWTs exp'!J28/'[3]actual CWTs exp'!$AC28,IF('[3]actual CWTs exp'!J28/'[3]actual CWTs exp'!$AC28&gt;0,"-     "," "))</f>
        <v xml:space="preserve"> </v>
      </c>
      <c r="K32" s="376" t="str">
        <f>IF('[3]actual CWTs exp'!K28/'[3]actual CWTs exp'!$AC28&gt;0.0005,'[3]actual CWTs exp'!K28/'[3]actual CWTs exp'!$AC28,IF('[3]actual CWTs exp'!K28/'[3]actual CWTs exp'!$AC28&gt;0,"-     "," "))</f>
        <v xml:space="preserve"> </v>
      </c>
      <c r="L32" s="376" t="str">
        <f>IF('[3]actual CWTs exp'!L28/'[3]actual CWTs exp'!$AC28&gt;0.0005,'[3]actual CWTs exp'!L28/'[3]actual CWTs exp'!$AC28,IF('[3]actual CWTs exp'!L28/'[3]actual CWTs exp'!$AC28&gt;0,"-     "," "))</f>
        <v xml:space="preserve"> </v>
      </c>
      <c r="M32" s="376">
        <f>IF('[3]actual CWTs exp'!M28/'[3]actual CWTs exp'!$AC28&gt;0.0005,'[3]actual CWTs exp'!M28/'[3]actual CWTs exp'!$AC28,IF('[3]actual CWTs exp'!M28/'[3]actual CWTs exp'!$AC28&gt;0,"-     "," "))</f>
        <v>3.3866415804327372E-2</v>
      </c>
      <c r="N32" s="376" t="str">
        <f>IF('[3]actual CWTs exp'!N28/'[3]actual CWTs exp'!$AC28&gt;0.0005,'[3]actual CWTs exp'!N28/'[3]actual CWTs exp'!$AC28,IF('[3]actual CWTs exp'!N28/'[3]actual CWTs exp'!$AC28&gt;0,"-     "," "))</f>
        <v xml:space="preserve"> </v>
      </c>
      <c r="O32" s="376" t="str">
        <f>IF('[3]actual CWTs exp'!O28/'[3]actual CWTs exp'!$AC28&gt;0.0005,'[3]actual CWTs exp'!O28/'[3]actual CWTs exp'!$AC28,IF('[3]actual CWTs exp'!O28/'[3]actual CWTs exp'!$AC28&gt;0,"-     "," "))</f>
        <v xml:space="preserve"> </v>
      </c>
      <c r="P32" s="376" t="str">
        <f>IF('[3]actual CWTs exp'!P28/'[3]actual CWTs exp'!$AC28&gt;0.0005,'[3]actual CWTs exp'!P28/'[3]actual CWTs exp'!$AC28,IF('[3]actual CWTs exp'!P28/'[3]actual CWTs exp'!$AC28&gt;0,"-     "," "))</f>
        <v xml:space="preserve"> </v>
      </c>
      <c r="Q32" s="378" t="str">
        <f>IF('[3]actual CWTs exp'!Q28/'[3]actual CWTs exp'!$AC28&gt;0.0005,'[3]actual CWTs exp'!Q28/'[3]actual CWTs exp'!$AC28,IF('[3]actual CWTs exp'!Q28/'[3]actual CWTs exp'!$AC28&gt;0,"-     "," "))</f>
        <v xml:space="preserve"> </v>
      </c>
      <c r="R32" s="376" t="str">
        <f>IF('[3]actual CWTs exp'!R28/'[3]actual CWTs exp'!$AC28&gt;0.0005,'[3]actual CWTs exp'!R28/'[3]actual CWTs exp'!$AC28,IF('[3]actual CWTs exp'!R28/'[3]actual CWTs exp'!$AC28&gt;0,"-     "," "))</f>
        <v xml:space="preserve"> </v>
      </c>
      <c r="S32" s="376">
        <f>IF('[3]actual CWTs exp'!S28/'[3]actual CWTs exp'!$AC28&gt;0.0005,'[3]actual CWTs exp'!S28/'[3]actual CWTs exp'!$AC28,IF('[3]actual CWTs exp'!S28/'[3]actual CWTs exp'!$AC28&gt;0,"-     "," "))</f>
        <v>3.2925682031984947E-2</v>
      </c>
      <c r="T32" s="378">
        <f>IF('[3]actual CWTs exp'!T28/'[3]actual CWTs exp'!$AC28&gt;0.0005,'[3]actual CWTs exp'!T28/'[3]actual CWTs exp'!$AC28,IF('[3]actual CWTs exp'!T28/'[3]actual CWTs exp'!$AC28&gt;0,"-     "," "))</f>
        <v>1.8814675446848542E-3</v>
      </c>
      <c r="U32" s="377">
        <f>IF('[3]actual CWTs exp'!U28/'[3]actual CWTs exp'!$AC28&gt;0.0005,'[3]actual CWTs exp'!U28/'[3]actual CWTs exp'!$AC28,IF('[3]actual CWTs exp'!U28/'[3]actual CWTs exp'!$AC28&gt;0,"-     "," "))</f>
        <v>1.8814675446848542E-3</v>
      </c>
      <c r="V32" s="376">
        <f>IF('[3]actual CWTs exp'!V28/'[3]actual CWTs exp'!$AC28&gt;0.0005,'[3]actual CWTs exp'!V28/'[3]actual CWTs exp'!$AC28,IF('[3]actual CWTs exp'!V28/'[3]actual CWTs exp'!$AC28&gt;0,"-     "," "))</f>
        <v>0.25682031984948261</v>
      </c>
      <c r="W32" s="376">
        <f>IF('[3]actual CWTs exp'!W28/'[3]actual CWTs exp'!$AC28&gt;0.0005,'[3]actual CWTs exp'!W28/'[3]actual CWTs exp'!$AC28,IF('[3]actual CWTs exp'!W28/'[3]actual CWTs exp'!$AC28&gt;0,"-     "," "))</f>
        <v>0.1561618062088429</v>
      </c>
      <c r="X32" s="376" t="str">
        <f>IF('[3]actual CWTs exp'!X28/'[3]actual CWTs exp'!$AC28&gt;0.0005,'[3]actual CWTs exp'!X28/'[3]actual CWTs exp'!$AC28,IF('[3]actual CWTs exp'!X28/'[3]actual CWTs exp'!$AC28&gt;0,"-     "," "))</f>
        <v xml:space="preserve"> </v>
      </c>
      <c r="Y32" s="378">
        <f>IF('[3]actual CWTs exp'!Y28/'[3]actual CWTs exp'!$AC28&gt;0.0005,'[3]actual CWTs exp'!Y28/'[3]actual CWTs exp'!$AC28,IF('[3]actual CWTs exp'!Y28/'[3]actual CWTs exp'!$AC28&gt;0,"-     "," "))</f>
        <v>0.1288805268109125</v>
      </c>
      <c r="Z32" s="384" t="str">
        <f>IF('[3]actual CWTs exp'!Z28/'[3]actual CWTs exp'!$AC28&gt;0.0005,'[3]actual CWTs exp'!Z28/'[3]actual CWTs exp'!$AC28,IF('[3]actual CWTs exp'!Z28/'[3]actual CWTs exp'!$AC28&gt;0,"-     "," "))</f>
        <v xml:space="preserve"> </v>
      </c>
      <c r="AA32" s="380">
        <f t="shared" si="0"/>
        <v>0.82596425211665103</v>
      </c>
      <c r="AB32" s="381">
        <f t="shared" si="1"/>
        <v>0.17403574788334897</v>
      </c>
      <c r="AC32" s="382">
        <f>'[3]actual CWTs exp'!AC28</f>
        <v>1063</v>
      </c>
    </row>
    <row r="33" spans="1:29" ht="16.5" customHeight="1" x14ac:dyDescent="0.25">
      <c r="A33" s="383" t="s">
        <v>99</v>
      </c>
      <c r="B33" t="s">
        <v>5</v>
      </c>
      <c r="C33" t="s">
        <v>321</v>
      </c>
      <c r="D33" t="s">
        <v>48</v>
      </c>
      <c r="E33" s="376" t="str">
        <f>IF('[3]actual CWTs exp'!E29/'[3]actual CWTs exp'!$AC29&gt;0.0005,'[3]actual CWTs exp'!E29/'[3]actual CWTs exp'!$AC29,IF('[3]actual CWTs exp'!E29/'[3]actual CWTs exp'!$AC29&gt;0,"-     "," "))</f>
        <v xml:space="preserve"> </v>
      </c>
      <c r="F33" s="376" t="str">
        <f>IF('[3]actual CWTs exp'!F29/'[3]actual CWTs exp'!$AC29&gt;0.0005,'[3]actual CWTs exp'!F29/'[3]actual CWTs exp'!$AC29,IF('[3]actual CWTs exp'!F29/'[3]actual CWTs exp'!$AC29&gt;0,"-     "," "))</f>
        <v xml:space="preserve"> </v>
      </c>
      <c r="G33" s="376" t="str">
        <f>IF('[3]actual CWTs exp'!G29/'[3]actual CWTs exp'!$AC29&gt;0.0005,'[3]actual CWTs exp'!G29/'[3]actual CWTs exp'!$AC29,IF('[3]actual CWTs exp'!G29/'[3]actual CWTs exp'!$AC29&gt;0,"-     "," "))</f>
        <v xml:space="preserve"> </v>
      </c>
      <c r="H33" s="376">
        <f>IF('[3]actual CWTs exp'!H29/'[3]actual CWTs exp'!$AC29&gt;0.0005,'[3]actual CWTs exp'!H29/'[3]actual CWTs exp'!$AC29,IF('[3]actual CWTs exp'!H29/'[3]actual CWTs exp'!$AC29&gt;0,"-     "," "))</f>
        <v>8.656036446469248E-2</v>
      </c>
      <c r="I33" s="376" t="str">
        <f>IF('[3]actual CWTs exp'!I29/'[3]actual CWTs exp'!$AC29&gt;0.0005,'[3]actual CWTs exp'!I29/'[3]actual CWTs exp'!$AC29,IF('[3]actual CWTs exp'!I29/'[3]actual CWTs exp'!$AC29&gt;0,"-     "," "))</f>
        <v xml:space="preserve"> </v>
      </c>
      <c r="J33" s="377" t="str">
        <f>IF('[3]actual CWTs exp'!J29/'[3]actual CWTs exp'!$AC29&gt;0.0005,'[3]actual CWTs exp'!J29/'[3]actual CWTs exp'!$AC29,IF('[3]actual CWTs exp'!J29/'[3]actual CWTs exp'!$AC29&gt;0,"-     "," "))</f>
        <v xml:space="preserve"> </v>
      </c>
      <c r="K33" s="376">
        <f>IF('[3]actual CWTs exp'!K29/'[3]actual CWTs exp'!$AC29&gt;0.0005,'[3]actual CWTs exp'!K29/'[3]actual CWTs exp'!$AC29,IF('[3]actual CWTs exp'!K29/'[3]actual CWTs exp'!$AC29&gt;0,"-     "," "))</f>
        <v>2.2779043280182231E-3</v>
      </c>
      <c r="L33" s="376">
        <f>IF('[3]actual CWTs exp'!L29/'[3]actual CWTs exp'!$AC29&gt;0.0005,'[3]actual CWTs exp'!L29/'[3]actual CWTs exp'!$AC29,IF('[3]actual CWTs exp'!L29/'[3]actual CWTs exp'!$AC29&gt;0,"-     "," "))</f>
        <v>4.5558086560364463E-3</v>
      </c>
      <c r="M33" s="376">
        <f>IF('[3]actual CWTs exp'!M29/'[3]actual CWTs exp'!$AC29&gt;0.0005,'[3]actual CWTs exp'!M29/'[3]actual CWTs exp'!$AC29,IF('[3]actual CWTs exp'!M29/'[3]actual CWTs exp'!$AC29&gt;0,"-     "," "))</f>
        <v>0.13895216400911162</v>
      </c>
      <c r="N33" s="376" t="str">
        <f>IF('[3]actual CWTs exp'!N29/'[3]actual CWTs exp'!$AC29&gt;0.0005,'[3]actual CWTs exp'!N29/'[3]actual CWTs exp'!$AC29,IF('[3]actual CWTs exp'!N29/'[3]actual CWTs exp'!$AC29&gt;0,"-     "," "))</f>
        <v xml:space="preserve"> </v>
      </c>
      <c r="O33" s="376" t="str">
        <f>IF('[3]actual CWTs exp'!O29/'[3]actual CWTs exp'!$AC29&gt;0.0005,'[3]actual CWTs exp'!O29/'[3]actual CWTs exp'!$AC29,IF('[3]actual CWTs exp'!O29/'[3]actual CWTs exp'!$AC29&gt;0,"-     "," "))</f>
        <v xml:space="preserve"> </v>
      </c>
      <c r="P33" s="376" t="str">
        <f>IF('[3]actual CWTs exp'!P29/'[3]actual CWTs exp'!$AC29&gt;0.0005,'[3]actual CWTs exp'!P29/'[3]actual CWTs exp'!$AC29,IF('[3]actual CWTs exp'!P29/'[3]actual CWTs exp'!$AC29&gt;0,"-     "," "))</f>
        <v xml:space="preserve"> </v>
      </c>
      <c r="Q33" s="378" t="str">
        <f>IF('[3]actual CWTs exp'!Q29/'[3]actual CWTs exp'!$AC29&gt;0.0005,'[3]actual CWTs exp'!Q29/'[3]actual CWTs exp'!$AC29,IF('[3]actual CWTs exp'!Q29/'[3]actual CWTs exp'!$AC29&gt;0,"-     "," "))</f>
        <v xml:space="preserve"> </v>
      </c>
      <c r="R33" s="376" t="str">
        <f>IF('[3]actual CWTs exp'!R29/'[3]actual CWTs exp'!$AC29&gt;0.0005,'[3]actual CWTs exp'!R29/'[3]actual CWTs exp'!$AC29,IF('[3]actual CWTs exp'!R29/'[3]actual CWTs exp'!$AC29&gt;0,"-     "," "))</f>
        <v xml:space="preserve"> </v>
      </c>
      <c r="S33" s="376">
        <f>IF('[3]actual CWTs exp'!S29/'[3]actual CWTs exp'!$AC29&gt;0.0005,'[3]actual CWTs exp'!S29/'[3]actual CWTs exp'!$AC29,IF('[3]actual CWTs exp'!S29/'[3]actual CWTs exp'!$AC29&gt;0,"-     "," "))</f>
        <v>9.1116173120728925E-3</v>
      </c>
      <c r="T33" s="378">
        <f>IF('[3]actual CWTs exp'!T29/'[3]actual CWTs exp'!$AC29&gt;0.0005,'[3]actual CWTs exp'!T29/'[3]actual CWTs exp'!$AC29,IF('[3]actual CWTs exp'!T29/'[3]actual CWTs exp'!$AC29&gt;0,"-     "," "))</f>
        <v>2.2779043280182231E-3</v>
      </c>
      <c r="U33" s="377" t="str">
        <f>IF('[3]actual CWTs exp'!U29/'[3]actual CWTs exp'!$AC29&gt;0.0005,'[3]actual CWTs exp'!U29/'[3]actual CWTs exp'!$AC29,IF('[3]actual CWTs exp'!U29/'[3]actual CWTs exp'!$AC29&gt;0,"-     "," "))</f>
        <v xml:space="preserve"> </v>
      </c>
      <c r="V33" s="376">
        <f>IF('[3]actual CWTs exp'!V29/'[3]actual CWTs exp'!$AC29&gt;0.0005,'[3]actual CWTs exp'!V29/'[3]actual CWTs exp'!$AC29,IF('[3]actual CWTs exp'!V29/'[3]actual CWTs exp'!$AC29&gt;0,"-     "," "))</f>
        <v>0.21070615034168566</v>
      </c>
      <c r="W33" s="376">
        <f>IF('[3]actual CWTs exp'!W29/'[3]actual CWTs exp'!$AC29&gt;0.0005,'[3]actual CWTs exp'!W29/'[3]actual CWTs exp'!$AC29,IF('[3]actual CWTs exp'!W29/'[3]actual CWTs exp'!$AC29&gt;0,"-     "," "))</f>
        <v>5.2391799544419138E-2</v>
      </c>
      <c r="X33" s="376" t="str">
        <f>IF('[3]actual CWTs exp'!X29/'[3]actual CWTs exp'!$AC29&gt;0.0005,'[3]actual CWTs exp'!X29/'[3]actual CWTs exp'!$AC29,IF('[3]actual CWTs exp'!X29/'[3]actual CWTs exp'!$AC29&gt;0,"-     "," "))</f>
        <v xml:space="preserve"> </v>
      </c>
      <c r="Y33" s="378">
        <f>IF('[3]actual CWTs exp'!Y29/'[3]actual CWTs exp'!$AC29&gt;0.0005,'[3]actual CWTs exp'!Y29/'[3]actual CWTs exp'!$AC29,IF('[3]actual CWTs exp'!Y29/'[3]actual CWTs exp'!$AC29&gt;0,"-     "," "))</f>
        <v>0.21867881548974943</v>
      </c>
      <c r="Z33" s="384" t="str">
        <f>IF('[3]actual CWTs exp'!Z29/'[3]actual CWTs exp'!$AC29&gt;0.0005,'[3]actual CWTs exp'!Z29/'[3]actual CWTs exp'!$AC29,IF('[3]actual CWTs exp'!Z29/'[3]actual CWTs exp'!$AC29&gt;0,"-     "," "))</f>
        <v xml:space="preserve"> </v>
      </c>
      <c r="AA33" s="380">
        <f t="shared" si="0"/>
        <v>0.7255125284738041</v>
      </c>
      <c r="AB33" s="381">
        <f t="shared" si="1"/>
        <v>0.2744874715261959</v>
      </c>
      <c r="AC33" s="382">
        <f>'[3]actual CWTs exp'!AC29</f>
        <v>878</v>
      </c>
    </row>
    <row r="34" spans="1:29" ht="16.5" customHeight="1" x14ac:dyDescent="0.25">
      <c r="A34" s="383" t="s">
        <v>100</v>
      </c>
      <c r="B34"/>
      <c r="C34"/>
      <c r="D34" t="s">
        <v>48</v>
      </c>
      <c r="E34" s="376" t="str">
        <f>IF('[3]actual CWTs exp'!E30/'[3]actual CWTs exp'!$AC30&gt;0.0005,'[3]actual CWTs exp'!E30/'[3]actual CWTs exp'!$AC30,IF('[3]actual CWTs exp'!E30/'[3]actual CWTs exp'!$AC30&gt;0,"-     "," "))</f>
        <v xml:space="preserve"> </v>
      </c>
      <c r="F34" s="376" t="str">
        <f>IF('[3]actual CWTs exp'!F30/'[3]actual CWTs exp'!$AC30&gt;0.0005,'[3]actual CWTs exp'!F30/'[3]actual CWTs exp'!$AC30,IF('[3]actual CWTs exp'!F30/'[3]actual CWTs exp'!$AC30&gt;0,"-     "," "))</f>
        <v xml:space="preserve"> </v>
      </c>
      <c r="G34" s="376" t="str">
        <f>IF('[3]actual CWTs exp'!G30/'[3]actual CWTs exp'!$AC30&gt;0.0005,'[3]actual CWTs exp'!G30/'[3]actual CWTs exp'!$AC30,IF('[3]actual CWTs exp'!G30/'[3]actual CWTs exp'!$AC30&gt;0,"-     "," "))</f>
        <v xml:space="preserve"> </v>
      </c>
      <c r="H34" s="376">
        <f>IF('[3]actual CWTs exp'!H30/'[3]actual CWTs exp'!$AC30&gt;0.0005,'[3]actual CWTs exp'!H30/'[3]actual CWTs exp'!$AC30,IF('[3]actual CWTs exp'!H30/'[3]actual CWTs exp'!$AC30&gt;0,"-     "," "))</f>
        <v>0.15665634674922602</v>
      </c>
      <c r="I34" s="376" t="str">
        <f>IF('[3]actual CWTs exp'!I30/'[3]actual CWTs exp'!$AC30&gt;0.0005,'[3]actual CWTs exp'!I30/'[3]actual CWTs exp'!$AC30,IF('[3]actual CWTs exp'!I30/'[3]actual CWTs exp'!$AC30&gt;0,"-     "," "))</f>
        <v xml:space="preserve"> </v>
      </c>
      <c r="J34" s="377" t="str">
        <f>IF('[3]actual CWTs exp'!J30/'[3]actual CWTs exp'!$AC30&gt;0.0005,'[3]actual CWTs exp'!J30/'[3]actual CWTs exp'!$AC30,IF('[3]actual CWTs exp'!J30/'[3]actual CWTs exp'!$AC30&gt;0,"-     "," "))</f>
        <v xml:space="preserve"> </v>
      </c>
      <c r="K34" s="376" t="str">
        <f>IF('[3]actual CWTs exp'!K30/'[3]actual CWTs exp'!$AC30&gt;0.0005,'[3]actual CWTs exp'!K30/'[3]actual CWTs exp'!$AC30,IF('[3]actual CWTs exp'!K30/'[3]actual CWTs exp'!$AC30&gt;0,"-     "," "))</f>
        <v xml:space="preserve"> </v>
      </c>
      <c r="L34" s="376" t="str">
        <f>IF('[3]actual CWTs exp'!L30/'[3]actual CWTs exp'!$AC30&gt;0.0005,'[3]actual CWTs exp'!L30/'[3]actual CWTs exp'!$AC30,IF('[3]actual CWTs exp'!L30/'[3]actual CWTs exp'!$AC30&gt;0,"-     "," "))</f>
        <v xml:space="preserve"> </v>
      </c>
      <c r="M34" s="376">
        <f>IF('[3]actual CWTs exp'!M30/'[3]actual CWTs exp'!$AC30&gt;0.0005,'[3]actual CWTs exp'!M30/'[3]actual CWTs exp'!$AC30,IF('[3]actual CWTs exp'!M30/'[3]actual CWTs exp'!$AC30&gt;0,"-     "," "))</f>
        <v>2.0433436532507739E-2</v>
      </c>
      <c r="N34" s="376">
        <f>IF('[3]actual CWTs exp'!N30/'[3]actual CWTs exp'!$AC30&gt;0.0005,'[3]actual CWTs exp'!N30/'[3]actual CWTs exp'!$AC30,IF('[3]actual CWTs exp'!N30/'[3]actual CWTs exp'!$AC30&gt;0,"-     "," "))</f>
        <v>4.9535603715170282E-3</v>
      </c>
      <c r="O34" s="376" t="str">
        <f>IF('[3]actual CWTs exp'!O30/'[3]actual CWTs exp'!$AC30&gt;0.0005,'[3]actual CWTs exp'!O30/'[3]actual CWTs exp'!$AC30,IF('[3]actual CWTs exp'!O30/'[3]actual CWTs exp'!$AC30&gt;0,"-     "," "))</f>
        <v xml:space="preserve"> </v>
      </c>
      <c r="P34" s="376" t="str">
        <f>IF('[3]actual CWTs exp'!P30/'[3]actual CWTs exp'!$AC30&gt;0.0005,'[3]actual CWTs exp'!P30/'[3]actual CWTs exp'!$AC30,IF('[3]actual CWTs exp'!P30/'[3]actual CWTs exp'!$AC30&gt;0,"-     "," "))</f>
        <v xml:space="preserve"> </v>
      </c>
      <c r="Q34" s="378" t="str">
        <f>IF('[3]actual CWTs exp'!Q30/'[3]actual CWTs exp'!$AC30&gt;0.0005,'[3]actual CWTs exp'!Q30/'[3]actual CWTs exp'!$AC30,IF('[3]actual CWTs exp'!Q30/'[3]actual CWTs exp'!$AC30&gt;0,"-     "," "))</f>
        <v xml:space="preserve"> </v>
      </c>
      <c r="R34" s="376" t="str">
        <f>IF('[3]actual CWTs exp'!R30/'[3]actual CWTs exp'!$AC30&gt;0.0005,'[3]actual CWTs exp'!R30/'[3]actual CWTs exp'!$AC30,IF('[3]actual CWTs exp'!R30/'[3]actual CWTs exp'!$AC30&gt;0,"-     "," "))</f>
        <v xml:space="preserve"> </v>
      </c>
      <c r="S34" s="376">
        <f>IF('[3]actual CWTs exp'!S30/'[3]actual CWTs exp'!$AC30&gt;0.0005,'[3]actual CWTs exp'!S30/'[3]actual CWTs exp'!$AC30,IF('[3]actual CWTs exp'!S30/'[3]actual CWTs exp'!$AC30&gt;0,"-     "," "))</f>
        <v>5.0773993808049533E-2</v>
      </c>
      <c r="T34" s="378">
        <f>IF('[3]actual CWTs exp'!T30/'[3]actual CWTs exp'!$AC30&gt;0.0005,'[3]actual CWTs exp'!T30/'[3]actual CWTs exp'!$AC30,IF('[3]actual CWTs exp'!T30/'[3]actual CWTs exp'!$AC30&gt;0,"-     "," "))</f>
        <v>2.4767801857585141E-3</v>
      </c>
      <c r="U34" s="377" t="str">
        <f>IF('[3]actual CWTs exp'!U30/'[3]actual CWTs exp'!$AC30&gt;0.0005,'[3]actual CWTs exp'!U30/'[3]actual CWTs exp'!$AC30,IF('[3]actual CWTs exp'!U30/'[3]actual CWTs exp'!$AC30&gt;0,"-     "," "))</f>
        <v xml:space="preserve"> </v>
      </c>
      <c r="V34" s="376">
        <f>IF('[3]actual CWTs exp'!V30/'[3]actual CWTs exp'!$AC30&gt;0.0005,'[3]actual CWTs exp'!V30/'[3]actual CWTs exp'!$AC30,IF('[3]actual CWTs exp'!V30/'[3]actual CWTs exp'!$AC30&gt;0,"-     "," "))</f>
        <v>0.25448916408668731</v>
      </c>
      <c r="W34" s="376">
        <f>IF('[3]actual CWTs exp'!W30/'[3]actual CWTs exp'!$AC30&gt;0.0005,'[3]actual CWTs exp'!W30/'[3]actual CWTs exp'!$AC30,IF('[3]actual CWTs exp'!W30/'[3]actual CWTs exp'!$AC30&gt;0,"-     "," "))</f>
        <v>0.15479876160990713</v>
      </c>
      <c r="X34" s="376" t="str">
        <f>IF('[3]actual CWTs exp'!X30/'[3]actual CWTs exp'!$AC30&gt;0.0005,'[3]actual CWTs exp'!X30/'[3]actual CWTs exp'!$AC30,IF('[3]actual CWTs exp'!X30/'[3]actual CWTs exp'!$AC30&gt;0,"-     "," "))</f>
        <v xml:space="preserve"> </v>
      </c>
      <c r="Y34" s="378">
        <f>IF('[3]actual CWTs exp'!Y30/'[3]actual CWTs exp'!$AC30&gt;0.0005,'[3]actual CWTs exp'!Y30/'[3]actual CWTs exp'!$AC30,IF('[3]actual CWTs exp'!Y30/'[3]actual CWTs exp'!$AC30&gt;0,"-     "," "))</f>
        <v>0.24643962848297213</v>
      </c>
      <c r="Z34" s="384" t="str">
        <f>IF('[3]actual CWTs exp'!Z30/'[3]actual CWTs exp'!$AC30&gt;0.0005,'[3]actual CWTs exp'!Z30/'[3]actual CWTs exp'!$AC30,IF('[3]actual CWTs exp'!Z30/'[3]actual CWTs exp'!$AC30&gt;0,"-     "," "))</f>
        <v xml:space="preserve"> </v>
      </c>
      <c r="AA34" s="380">
        <f>SUM(E34:Z34)</f>
        <v>0.89102167182662551</v>
      </c>
      <c r="AB34" s="381">
        <f>1-AA34</f>
        <v>0.10897832817337449</v>
      </c>
      <c r="AC34" s="382">
        <f>'[3]actual CWTs exp'!AC30</f>
        <v>1615</v>
      </c>
    </row>
    <row r="35" spans="1:29" ht="18" customHeight="1" x14ac:dyDescent="0.3">
      <c r="A35" s="713" t="s">
        <v>329</v>
      </c>
      <c r="B35" s="714"/>
      <c r="C35" s="714"/>
      <c r="D35" s="714"/>
      <c r="E35" s="386">
        <f>IF('[3]actual CWTs exp'!E31/'[3]actual CWTs exp'!$AC31&gt;0.0005,'[3]actual CWTs exp'!E31/'[3]actual CWTs exp'!$AC31,IF('[3]actual CWTs exp'!E31/'[3]actual CWTs exp'!$AC31&gt;0,"-     "," "))</f>
        <v>7.4113054971826516E-4</v>
      </c>
      <c r="F35" s="386" t="str">
        <f>IF('[3]actual CWTs exp'!F31/'[3]actual CWTs exp'!$AC31&gt;0.0005,'[3]actual CWTs exp'!F31/'[3]actual CWTs exp'!$AC31,IF('[3]actual CWTs exp'!F31/'[3]actual CWTs exp'!$AC31&gt;0,"-     "," "))</f>
        <v xml:space="preserve"> </v>
      </c>
      <c r="G35" s="386">
        <f>IF('[3]actual CWTs exp'!G31/'[3]actual CWTs exp'!$AC31&gt;0.0005,'[3]actual CWTs exp'!G31/'[3]actual CWTs exp'!$AC31,IF('[3]actual CWTs exp'!G31/'[3]actual CWTs exp'!$AC31&gt;0,"-     "," "))</f>
        <v>0.11174074053315043</v>
      </c>
      <c r="H35" s="386">
        <f>IF('[3]actual CWTs exp'!H31/'[3]actual CWTs exp'!$AC31&gt;0.0005,'[3]actual CWTs exp'!H31/'[3]actual CWTs exp'!$AC31,IF('[3]actual CWTs exp'!H31/'[3]actual CWTs exp'!$AC31&gt;0,"-     "," "))</f>
        <v>4.917712197096237E-2</v>
      </c>
      <c r="I35" s="168" t="str">
        <f>IF('[3]actual CWTs exp'!I31/'[3]actual CWTs exp'!$AC31&gt;0.0005,'[3]actual CWTs exp'!I31/'[3]actual CWTs exp'!$AC31,IF('[3]actual CWTs exp'!I31/'[3]actual CWTs exp'!$AC31&gt;0,"-     "," "))</f>
        <v xml:space="preserve">-     </v>
      </c>
      <c r="J35" s="387">
        <f>IF('[3]actual CWTs exp'!J31/'[3]actual CWTs exp'!$AC31&gt;0.0005,'[3]actual CWTs exp'!J31/'[3]actual CWTs exp'!$AC31,IF('[3]actual CWTs exp'!J31/'[3]actual CWTs exp'!$AC31&gt;0,"-     "," "))</f>
        <v>1.7824172702741087E-2</v>
      </c>
      <c r="K35" s="386">
        <f>IF('[3]actual CWTs exp'!K31/'[3]actual CWTs exp'!$AC31&gt;0.0005,'[3]actual CWTs exp'!K31/'[3]actual CWTs exp'!$AC31,IF('[3]actual CWTs exp'!K31/'[3]actual CWTs exp'!$AC31&gt;0,"-     "," "))</f>
        <v>1.9706007669365148E-2</v>
      </c>
      <c r="L35" s="386">
        <f>IF('[3]actual CWTs exp'!L31/'[3]actual CWTs exp'!$AC31&gt;0.0005,'[3]actual CWTs exp'!L31/'[3]actual CWTs exp'!$AC31,IF('[3]actual CWTs exp'!L31/'[3]actual CWTs exp'!$AC31&gt;0,"-     "," "))</f>
        <v>9.1038845723882874E-3</v>
      </c>
      <c r="M35" s="386">
        <f>IF('[3]actual CWTs exp'!M31/'[3]actual CWTs exp'!$AC31&gt;0.0005,'[3]actual CWTs exp'!M31/'[3]actual CWTs exp'!$AC31,IF('[3]actual CWTs exp'!M31/'[3]actual CWTs exp'!$AC31&gt;0,"-     "," "))</f>
        <v>0.37817996609590465</v>
      </c>
      <c r="N35" s="168" t="str">
        <f>IF('[3]actual CWTs exp'!N31/'[3]actual CWTs exp'!$AC31&gt;0.0005,'[3]actual CWTs exp'!N31/'[3]actual CWTs exp'!$AC31,IF('[3]actual CWTs exp'!N31/'[3]actual CWTs exp'!$AC31&gt;0,"-     "," "))</f>
        <v xml:space="preserve">-     </v>
      </c>
      <c r="O35" s="168" t="str">
        <f>IF('[3]actual CWTs exp'!O31/'[3]actual CWTs exp'!$AC31&gt;0.0005,'[3]actual CWTs exp'!O31/'[3]actual CWTs exp'!$AC31,IF('[3]actual CWTs exp'!O31/'[3]actual CWTs exp'!$AC31&gt;0,"-     "," "))</f>
        <v xml:space="preserve">-     </v>
      </c>
      <c r="P35" s="386">
        <f>IF('[3]actual CWTs exp'!P31/'[3]actual CWTs exp'!$AC31&gt;0.0005,'[3]actual CWTs exp'!P31/'[3]actual CWTs exp'!$AC31,IF('[3]actual CWTs exp'!P31/'[3]actual CWTs exp'!$AC31&gt;0,"-     "," "))</f>
        <v>2.3364440489095114E-3</v>
      </c>
      <c r="Q35" s="388" t="str">
        <f>IF('[3]actual CWTs exp'!Q31/'[3]actual CWTs exp'!$AC31&gt;0.0005,'[3]actual CWTs exp'!Q31/'[3]actual CWTs exp'!$AC31,IF('[3]actual CWTs exp'!Q31/'[3]actual CWTs exp'!$AC31&gt;0,"-     "," "))</f>
        <v xml:space="preserve"> </v>
      </c>
      <c r="R35" s="386">
        <f>IF('[3]actual CWTs exp'!R31/'[3]actual CWTs exp'!$AC31&gt;0.0005,'[3]actual CWTs exp'!R31/'[3]actual CWTs exp'!$AC31,IF('[3]actual CWTs exp'!R31/'[3]actual CWTs exp'!$AC31&gt;0,"-     "," "))</f>
        <v>3.3304928277233345E-2</v>
      </c>
      <c r="S35" s="386">
        <f>IF('[3]actual CWTs exp'!S31/'[3]actual CWTs exp'!$AC31&gt;0.0005,'[3]actual CWTs exp'!S31/'[3]actual CWTs exp'!$AC31,IF('[3]actual CWTs exp'!S31/'[3]actual CWTs exp'!$AC31&gt;0,"-     "," "))</f>
        <v>6.0369620792501064E-2</v>
      </c>
      <c r="T35" s="388" t="str">
        <f>IF('[3]actual CWTs exp'!T31/'[3]actual CWTs exp'!$AC31&gt;0.0005,'[3]actual CWTs exp'!T31/'[3]actual CWTs exp'!$AC31,IF('[3]actual CWTs exp'!T31/'[3]actual CWTs exp'!$AC31&gt;0,"-     "," "))</f>
        <v xml:space="preserve">-     </v>
      </c>
      <c r="U35" s="398" t="str">
        <f>IF('[3]actual CWTs exp'!U31/'[3]actual CWTs exp'!$AC31&gt;0.0005,'[3]actual CWTs exp'!U31/'[3]actual CWTs exp'!$AC31,IF('[3]actual CWTs exp'!U31/'[3]actual CWTs exp'!$AC31&gt;0,"-     "," "))</f>
        <v xml:space="preserve">-     </v>
      </c>
      <c r="V35" s="386">
        <f>IF('[3]actual CWTs exp'!V31/'[3]actual CWTs exp'!$AC31&gt;0.0005,'[3]actual CWTs exp'!V31/'[3]actual CWTs exp'!$AC31,IF('[3]actual CWTs exp'!V31/'[3]actual CWTs exp'!$AC31&gt;0,"-     "," "))</f>
        <v>2.8724933442824837E-2</v>
      </c>
      <c r="W35" s="386">
        <f>IF('[3]actual CWTs exp'!W31/'[3]actual CWTs exp'!$AC31&gt;0.0005,'[3]actual CWTs exp'!W31/'[3]actual CWTs exp'!$AC31,IF('[3]actual CWTs exp'!W31/'[3]actual CWTs exp'!$AC31&gt;0,"-     "," "))</f>
        <v>6.4088907825592956E-3</v>
      </c>
      <c r="X35" s="386" t="str">
        <f>IF('[3]actual CWTs exp'!X31/'[3]actual CWTs exp'!$AC31&gt;0.0005,'[3]actual CWTs exp'!X31/'[3]actual CWTs exp'!$AC31,IF('[3]actual CWTs exp'!X31/'[3]actual CWTs exp'!$AC31&gt;0,"-     "," "))</f>
        <v xml:space="preserve"> </v>
      </c>
      <c r="Y35" s="388">
        <f>IF('[3]actual CWTs exp'!Y31/'[3]actual CWTs exp'!$AC31&gt;0.0005,'[3]actual CWTs exp'!Y31/'[3]actual CWTs exp'!$AC31,IF('[3]actual CWTs exp'!Y31/'[3]actual CWTs exp'!$AC31&gt;0,"-     "," "))</f>
        <v>8.5357834503885718E-3</v>
      </c>
      <c r="Z35" s="399" t="str">
        <f>IF('[3]actual CWTs exp'!Z31/'[3]actual CWTs exp'!$AC31&gt;0.0005,'[3]actual CWTs exp'!Z31/'[3]actual CWTs exp'!$AC31,IF('[3]actual CWTs exp'!Z31/'[3]actual CWTs exp'!$AC31&gt;0,"-     "," "))</f>
        <v xml:space="preserve">-     </v>
      </c>
      <c r="AA35" s="391">
        <f>IF('[3]actual CWTs exp'!AA31&gt;0,'[3]actual CWTs exp'!AA31/'[3]actual CWTs exp'!$AC31," ")</f>
        <v>0.72788139191678425</v>
      </c>
      <c r="AB35" s="389">
        <f>IF('[3]actual CWTs exp'!AB31&gt;0,'[3]actual CWTs exp'!AB31/'[3]actual CWTs exp'!$AC31," ")</f>
        <v>0.2721186080832157</v>
      </c>
      <c r="AC35" s="392">
        <f>'[3]actual CWTs exp'!AC31</f>
        <v>112656</v>
      </c>
    </row>
    <row r="36" spans="1:29" ht="16.5" customHeight="1" x14ac:dyDescent="0.25">
      <c r="A36" s="354"/>
      <c r="B36"/>
      <c r="C36"/>
      <c r="D36"/>
      <c r="E36" s="376"/>
      <c r="F36" s="376"/>
      <c r="G36" s="376"/>
      <c r="H36" s="376"/>
      <c r="I36" s="376"/>
      <c r="J36" s="377"/>
      <c r="K36" s="376"/>
      <c r="L36" s="376"/>
      <c r="M36" s="376"/>
      <c r="N36" s="376"/>
      <c r="O36" s="376"/>
      <c r="P36" s="376"/>
      <c r="Q36" s="378"/>
      <c r="R36" s="376"/>
      <c r="S36" s="376"/>
      <c r="T36" s="378"/>
      <c r="U36" s="377"/>
      <c r="V36" s="376"/>
      <c r="W36" s="376"/>
      <c r="X36" s="376"/>
      <c r="Y36" s="378"/>
      <c r="Z36" s="384"/>
      <c r="AA36" s="380"/>
      <c r="AB36" s="381"/>
      <c r="AC36" s="382"/>
    </row>
    <row r="37" spans="1:29" ht="16.5" customHeight="1" x14ac:dyDescent="0.3">
      <c r="A37" s="370" t="s">
        <v>112</v>
      </c>
      <c r="B37"/>
      <c r="C37"/>
      <c r="D37"/>
      <c r="E37" s="12"/>
      <c r="F37" s="376"/>
      <c r="G37" s="376"/>
      <c r="H37" s="376"/>
      <c r="I37" s="376"/>
      <c r="J37" s="377"/>
      <c r="K37" s="376"/>
      <c r="L37" s="376"/>
      <c r="M37" s="376"/>
      <c r="N37" s="376"/>
      <c r="O37" s="376"/>
      <c r="P37" s="376"/>
      <c r="Q37" s="378"/>
      <c r="R37" s="376"/>
      <c r="S37" s="376"/>
      <c r="T37" s="378"/>
      <c r="U37" s="377"/>
      <c r="V37" s="376"/>
      <c r="W37" s="376"/>
      <c r="X37" s="376"/>
      <c r="Y37" s="378"/>
      <c r="Z37" s="384"/>
      <c r="AA37" s="380"/>
      <c r="AB37" s="381"/>
      <c r="AC37" s="382">
        <f>'[3]actual CWTs exp'!AC32</f>
        <v>0</v>
      </c>
    </row>
    <row r="38" spans="1:29" ht="16.5" customHeight="1" x14ac:dyDescent="0.25">
      <c r="A38" s="383" t="s">
        <v>330</v>
      </c>
      <c r="B38" t="s">
        <v>331</v>
      </c>
      <c r="C38" t="s">
        <v>332</v>
      </c>
      <c r="D38" t="s">
        <v>317</v>
      </c>
      <c r="E38" s="376">
        <f>IF('[3]actual CWTs exp'!E33/'[3]actual CWTs exp'!$AC33&gt;0.0005,'[3]actual CWTs exp'!E33/'[3]actual CWTs exp'!$AC33,IF('[3]actual CWTs exp'!E33/'[3]actual CWTs exp'!$AC33&gt;0,"-     "," "))</f>
        <v>0.65086705202312134</v>
      </c>
      <c r="F38" s="376" t="str">
        <f>IF('[3]actual CWTs exp'!F33/'[3]actual CWTs exp'!$AC33&gt;0.0005,'[3]actual CWTs exp'!F33/'[3]actual CWTs exp'!$AC33,IF('[3]actual CWTs exp'!F33/'[3]actual CWTs exp'!$AC33&gt;0,"-     "," "))</f>
        <v xml:space="preserve"> </v>
      </c>
      <c r="G38" s="376">
        <f>IF('[3]actual CWTs exp'!G33/'[3]actual CWTs exp'!$AC33&gt;0.0005,'[3]actual CWTs exp'!G33/'[3]actual CWTs exp'!$AC33,IF('[3]actual CWTs exp'!G33/'[3]actual CWTs exp'!$AC33&gt;0,"-     "," "))</f>
        <v>2.1965317919075144E-2</v>
      </c>
      <c r="H38" s="376" t="str">
        <f>IF('[3]actual CWTs exp'!H33/'[3]actual CWTs exp'!$AC33&gt;0.0005,'[3]actual CWTs exp'!H33/'[3]actual CWTs exp'!$AC33,IF('[3]actual CWTs exp'!H33/'[3]actual CWTs exp'!$AC33&gt;0,"-     "," "))</f>
        <v xml:space="preserve"> </v>
      </c>
      <c r="I38" s="376" t="str">
        <f>IF('[3]actual CWTs exp'!I33/'[3]actual CWTs exp'!$AC33&gt;0.0005,'[3]actual CWTs exp'!I33/'[3]actual CWTs exp'!$AC33,IF('[3]actual CWTs exp'!I33/'[3]actual CWTs exp'!$AC33&gt;0,"-     "," "))</f>
        <v xml:space="preserve"> </v>
      </c>
      <c r="J38" s="377" t="str">
        <f>IF('[3]actual CWTs exp'!J33/'[3]actual CWTs exp'!$AC33&gt;0.0005,'[3]actual CWTs exp'!J33/'[3]actual CWTs exp'!$AC33,IF('[3]actual CWTs exp'!J33/'[3]actual CWTs exp'!$AC33&gt;0,"-     "," "))</f>
        <v xml:space="preserve"> </v>
      </c>
      <c r="K38" s="376">
        <f>IF('[3]actual CWTs exp'!K33/'[3]actual CWTs exp'!$AC33&gt;0.0005,'[3]actual CWTs exp'!K33/'[3]actual CWTs exp'!$AC33,IF('[3]actual CWTs exp'!K33/'[3]actual CWTs exp'!$AC33&gt;0,"-     "," "))</f>
        <v>5.7803468208092483E-3</v>
      </c>
      <c r="L38" s="376" t="str">
        <f>IF('[3]actual CWTs exp'!L33/'[3]actual CWTs exp'!$AC33&gt;0.0005,'[3]actual CWTs exp'!L33/'[3]actual CWTs exp'!$AC33,IF('[3]actual CWTs exp'!L33/'[3]actual CWTs exp'!$AC33&gt;0,"-     "," "))</f>
        <v xml:space="preserve"> </v>
      </c>
      <c r="M38" s="376" t="str">
        <f>IF('[3]actual CWTs exp'!M33/'[3]actual CWTs exp'!$AC33&gt;0.0005,'[3]actual CWTs exp'!M33/'[3]actual CWTs exp'!$AC33,IF('[3]actual CWTs exp'!M33/'[3]actual CWTs exp'!$AC33&gt;0,"-     "," "))</f>
        <v xml:space="preserve"> </v>
      </c>
      <c r="N38" s="376" t="str">
        <f>IF('[3]actual CWTs exp'!N33/'[3]actual CWTs exp'!$AC33&gt;0.0005,'[3]actual CWTs exp'!N33/'[3]actual CWTs exp'!$AC33,IF('[3]actual CWTs exp'!N33/'[3]actual CWTs exp'!$AC33&gt;0,"-     "," "))</f>
        <v xml:space="preserve"> </v>
      </c>
      <c r="O38" s="376" t="str">
        <f>IF('[3]actual CWTs exp'!O33/'[3]actual CWTs exp'!$AC33&gt;0.0005,'[3]actual CWTs exp'!O33/'[3]actual CWTs exp'!$AC33,IF('[3]actual CWTs exp'!O33/'[3]actual CWTs exp'!$AC33&gt;0,"-     "," "))</f>
        <v xml:space="preserve"> </v>
      </c>
      <c r="P38" s="376" t="str">
        <f>IF('[3]actual CWTs exp'!P33/'[3]actual CWTs exp'!$AC33&gt;0.0005,'[3]actual CWTs exp'!P33/'[3]actual CWTs exp'!$AC33,IF('[3]actual CWTs exp'!P33/'[3]actual CWTs exp'!$AC33&gt;0,"-     "," "))</f>
        <v xml:space="preserve"> </v>
      </c>
      <c r="Q38" s="378" t="str">
        <f>IF('[3]actual CWTs exp'!Q33/'[3]actual CWTs exp'!$AC33&gt;0.0005,'[3]actual CWTs exp'!Q33/'[3]actual CWTs exp'!$AC33,IF('[3]actual CWTs exp'!Q33/'[3]actual CWTs exp'!$AC33&gt;0,"-     "," "))</f>
        <v xml:space="preserve"> </v>
      </c>
      <c r="R38" s="376" t="str">
        <f>IF('[3]actual CWTs exp'!R33/'[3]actual CWTs exp'!$AC33&gt;0.0005,'[3]actual CWTs exp'!R33/'[3]actual CWTs exp'!$AC33,IF('[3]actual CWTs exp'!R33/'[3]actual CWTs exp'!$AC33&gt;0,"-     "," "))</f>
        <v xml:space="preserve"> </v>
      </c>
      <c r="S38" s="376" t="str">
        <f>IF('[3]actual CWTs exp'!S33/'[3]actual CWTs exp'!$AC33&gt;0.0005,'[3]actual CWTs exp'!S33/'[3]actual CWTs exp'!$AC33,IF('[3]actual CWTs exp'!S33/'[3]actual CWTs exp'!$AC33&gt;0,"-     "," "))</f>
        <v xml:space="preserve"> </v>
      </c>
      <c r="T38" s="378" t="str">
        <f>IF('[3]actual CWTs exp'!T33/'[3]actual CWTs exp'!$AC33&gt;0.0005,'[3]actual CWTs exp'!T33/'[3]actual CWTs exp'!$AC33,IF('[3]actual CWTs exp'!T33/'[3]actual CWTs exp'!$AC33&gt;0,"-     "," "))</f>
        <v xml:space="preserve"> </v>
      </c>
      <c r="U38" s="377" t="str">
        <f>IF('[3]actual CWTs exp'!U33/'[3]actual CWTs exp'!$AC33&gt;0.0005,'[3]actual CWTs exp'!U33/'[3]actual CWTs exp'!$AC33,IF('[3]actual CWTs exp'!U33/'[3]actual CWTs exp'!$AC33&gt;0,"-     "," "))</f>
        <v xml:space="preserve"> </v>
      </c>
      <c r="V38" s="376">
        <f>IF('[3]actual CWTs exp'!V33/'[3]actual CWTs exp'!$AC33&gt;0.0005,'[3]actual CWTs exp'!V33/'[3]actual CWTs exp'!$AC33,IF('[3]actual CWTs exp'!V33/'[3]actual CWTs exp'!$AC33&gt;0,"-     "," "))</f>
        <v>5.7803468208092483E-3</v>
      </c>
      <c r="W38" s="376" t="str">
        <f>IF('[3]actual CWTs exp'!W33/'[3]actual CWTs exp'!$AC33&gt;0.0005,'[3]actual CWTs exp'!W33/'[3]actual CWTs exp'!$AC33,IF('[3]actual CWTs exp'!W33/'[3]actual CWTs exp'!$AC33&gt;0,"-     "," "))</f>
        <v xml:space="preserve"> </v>
      </c>
      <c r="X38" s="376" t="str">
        <f>IF('[3]actual CWTs exp'!X33/'[3]actual CWTs exp'!$AC33&gt;0.0005,'[3]actual CWTs exp'!X33/'[3]actual CWTs exp'!$AC33,IF('[3]actual CWTs exp'!X33/'[3]actual CWTs exp'!$AC33&gt;0,"-     "," "))</f>
        <v xml:space="preserve"> </v>
      </c>
      <c r="Y38" s="378" t="str">
        <f>IF('[3]actual CWTs exp'!Y33/'[3]actual CWTs exp'!$AC33&gt;0.0005,'[3]actual CWTs exp'!Y33/'[3]actual CWTs exp'!$AC33,IF('[3]actual CWTs exp'!Y33/'[3]actual CWTs exp'!$AC33&gt;0,"-     "," "))</f>
        <v xml:space="preserve"> </v>
      </c>
      <c r="Z38" s="384" t="str">
        <f>IF('[3]actual CWTs exp'!Z33/'[3]actual CWTs exp'!$AC33&gt;0.0005,'[3]actual CWTs exp'!Z33/'[3]actual CWTs exp'!$AC33,IF('[3]actual CWTs exp'!Z33/'[3]actual CWTs exp'!$AC33&gt;0,"-     "," "))</f>
        <v xml:space="preserve"> </v>
      </c>
      <c r="AA38" s="380">
        <f>SUM(E38:Z38)</f>
        <v>0.68439306358381513</v>
      </c>
      <c r="AB38" s="381">
        <f>1-AA38</f>
        <v>0.31560693641618487</v>
      </c>
      <c r="AC38" s="382">
        <f>'[3]actual CWTs exp'!AC33</f>
        <v>1730</v>
      </c>
    </row>
    <row r="39" spans="1:29" ht="16.5" customHeight="1" x14ac:dyDescent="0.25">
      <c r="A39" s="383" t="s">
        <v>333</v>
      </c>
      <c r="B39" t="s">
        <v>331</v>
      </c>
      <c r="C39" t="s">
        <v>332</v>
      </c>
      <c r="D39" t="s">
        <v>48</v>
      </c>
      <c r="E39" s="376">
        <f>IF('[3]actual CWTs exp'!E34/'[3]actual CWTs exp'!$AC34&gt;0.0005,'[3]actual CWTs exp'!E34/'[3]actual CWTs exp'!$AC34,IF('[3]actual CWTs exp'!E34/'[3]actual CWTs exp'!$AC34&gt;0,"-     "," "))</f>
        <v>3.1045015272144609E-3</v>
      </c>
      <c r="F39" s="376" t="str">
        <f>IF('[3]actual CWTs exp'!F34/'[3]actual CWTs exp'!$AC34&gt;0.0005,'[3]actual CWTs exp'!F34/'[3]actual CWTs exp'!$AC34,IF('[3]actual CWTs exp'!F34/'[3]actual CWTs exp'!$AC34&gt;0,"-     "," "))</f>
        <v xml:space="preserve"> </v>
      </c>
      <c r="G39" s="376">
        <f>IF('[3]actual CWTs exp'!G34/'[3]actual CWTs exp'!$AC34&gt;0.0005,'[3]actual CWTs exp'!G34/'[3]actual CWTs exp'!$AC34,IF('[3]actual CWTs exp'!G34/'[3]actual CWTs exp'!$AC34&gt;0,"-     "," "))</f>
        <v>0.6962595763857593</v>
      </c>
      <c r="H39" s="376">
        <f>IF('[3]actual CWTs exp'!H34/'[3]actual CWTs exp'!$AC34&gt;0.0005,'[3]actual CWTs exp'!H34/'[3]actual CWTs exp'!$AC34,IF('[3]actual CWTs exp'!H34/'[3]actual CWTs exp'!$AC34&gt;0,"-     "," "))</f>
        <v>1.5021781583295779E-2</v>
      </c>
      <c r="I39" s="376" t="str">
        <f>IF('[3]actual CWTs exp'!I34/'[3]actual CWTs exp'!$AC34&gt;0.0005,'[3]actual CWTs exp'!I34/'[3]actual CWTs exp'!$AC34,IF('[3]actual CWTs exp'!I34/'[3]actual CWTs exp'!$AC34&gt;0,"-     "," "))</f>
        <v xml:space="preserve"> </v>
      </c>
      <c r="J39" s="377" t="str">
        <f>IF('[3]actual CWTs exp'!J34/'[3]actual CWTs exp'!$AC34&gt;0.0005,'[3]actual CWTs exp'!J34/'[3]actual CWTs exp'!$AC34,IF('[3]actual CWTs exp'!J34/'[3]actual CWTs exp'!$AC34&gt;0,"-     "," "))</f>
        <v xml:space="preserve"> </v>
      </c>
      <c r="K39" s="376">
        <f>IF('[3]actual CWTs exp'!K34/'[3]actual CWTs exp'!$AC34&gt;0.0005,'[3]actual CWTs exp'!K34/'[3]actual CWTs exp'!$AC34,IF('[3]actual CWTs exp'!K34/'[3]actual CWTs exp'!$AC34&gt;0,"-     "," "))</f>
        <v>2.2532672374943668E-3</v>
      </c>
      <c r="L39" s="376">
        <f>IF('[3]actual CWTs exp'!L34/'[3]actual CWTs exp'!$AC34&gt;0.0005,'[3]actual CWTs exp'!L34/'[3]actual CWTs exp'!$AC34,IF('[3]actual CWTs exp'!L34/'[3]actual CWTs exp'!$AC34&gt;0,"-     "," "))</f>
        <v>1.5021781583295778E-3</v>
      </c>
      <c r="M39" s="376">
        <f>IF('[3]actual CWTs exp'!M34/'[3]actual CWTs exp'!$AC34&gt;0.0005,'[3]actual CWTs exp'!M34/'[3]actual CWTs exp'!$AC34,IF('[3]actual CWTs exp'!M34/'[3]actual CWTs exp'!$AC34&gt;0,"-     "," "))</f>
        <v>2.7790295929097191E-2</v>
      </c>
      <c r="N39" s="376" t="str">
        <f>IF('[3]actual CWTs exp'!N34/'[3]actual CWTs exp'!$AC34&gt;0.0005,'[3]actual CWTs exp'!N34/'[3]actual CWTs exp'!$AC34,IF('[3]actual CWTs exp'!N34/'[3]actual CWTs exp'!$AC34&gt;0,"-     "," "))</f>
        <v xml:space="preserve"> </v>
      </c>
      <c r="O39" s="376" t="str">
        <f>IF('[3]actual CWTs exp'!O34/'[3]actual CWTs exp'!$AC34&gt;0.0005,'[3]actual CWTs exp'!O34/'[3]actual CWTs exp'!$AC34,IF('[3]actual CWTs exp'!O34/'[3]actual CWTs exp'!$AC34&gt;0,"-     "," "))</f>
        <v xml:space="preserve"> </v>
      </c>
      <c r="P39" s="376" t="str">
        <f>IF('[3]actual CWTs exp'!P34/'[3]actual CWTs exp'!$AC34&gt;0.0005,'[3]actual CWTs exp'!P34/'[3]actual CWTs exp'!$AC34,IF('[3]actual CWTs exp'!P34/'[3]actual CWTs exp'!$AC34&gt;0,"-     "," "))</f>
        <v xml:space="preserve"> </v>
      </c>
      <c r="Q39" s="378" t="str">
        <f>IF('[3]actual CWTs exp'!Q34/'[3]actual CWTs exp'!$AC34&gt;0.0005,'[3]actual CWTs exp'!Q34/'[3]actual CWTs exp'!$AC34,IF('[3]actual CWTs exp'!Q34/'[3]actual CWTs exp'!$AC34&gt;0,"-     "," "))</f>
        <v xml:space="preserve"> </v>
      </c>
      <c r="R39" s="376" t="str">
        <f>IF('[3]actual CWTs exp'!R34/'[3]actual CWTs exp'!$AC34&gt;0.0005,'[3]actual CWTs exp'!R34/'[3]actual CWTs exp'!$AC34,IF('[3]actual CWTs exp'!R34/'[3]actual CWTs exp'!$AC34&gt;0,"-     "," "))</f>
        <v xml:space="preserve"> </v>
      </c>
      <c r="S39" s="376" t="str">
        <f>IF('[3]actual CWTs exp'!S34/'[3]actual CWTs exp'!$AC34&gt;0.0005,'[3]actual CWTs exp'!S34/'[3]actual CWTs exp'!$AC34,IF('[3]actual CWTs exp'!S34/'[3]actual CWTs exp'!$AC34&gt;0,"-     "," "))</f>
        <v xml:space="preserve"> </v>
      </c>
      <c r="T39" s="378" t="str">
        <f>IF('[3]actual CWTs exp'!T34/'[3]actual CWTs exp'!$AC34&gt;0.0005,'[3]actual CWTs exp'!T34/'[3]actual CWTs exp'!$AC34,IF('[3]actual CWTs exp'!T34/'[3]actual CWTs exp'!$AC34&gt;0,"-     "," "))</f>
        <v xml:space="preserve"> </v>
      </c>
      <c r="U39" s="377" t="str">
        <f>IF('[3]actual CWTs exp'!U34/'[3]actual CWTs exp'!$AC34&gt;0.0005,'[3]actual CWTs exp'!U34/'[3]actual CWTs exp'!$AC34,IF('[3]actual CWTs exp'!U34/'[3]actual CWTs exp'!$AC34&gt;0,"-     "," "))</f>
        <v xml:space="preserve"> </v>
      </c>
      <c r="V39" s="376" t="str">
        <f>IF('[3]actual CWTs exp'!V34/'[3]actual CWTs exp'!$AC34&gt;0.0005,'[3]actual CWTs exp'!V34/'[3]actual CWTs exp'!$AC34,IF('[3]actual CWTs exp'!V34/'[3]actual CWTs exp'!$AC34&gt;0,"-     "," "))</f>
        <v xml:space="preserve"> </v>
      </c>
      <c r="W39" s="376" t="str">
        <f>IF('[3]actual CWTs exp'!W34/'[3]actual CWTs exp'!$AC34&gt;0.0005,'[3]actual CWTs exp'!W34/'[3]actual CWTs exp'!$AC34,IF('[3]actual CWTs exp'!W34/'[3]actual CWTs exp'!$AC34&gt;0,"-     "," "))</f>
        <v xml:space="preserve"> </v>
      </c>
      <c r="X39" s="376" t="str">
        <f>IF('[3]actual CWTs exp'!X34/'[3]actual CWTs exp'!$AC34&gt;0.0005,'[3]actual CWTs exp'!X34/'[3]actual CWTs exp'!$AC34,IF('[3]actual CWTs exp'!X34/'[3]actual CWTs exp'!$AC34&gt;0,"-     "," "))</f>
        <v xml:space="preserve"> </v>
      </c>
      <c r="Y39" s="378" t="str">
        <f>IF('[3]actual CWTs exp'!Y34/'[3]actual CWTs exp'!$AC34&gt;0.0005,'[3]actual CWTs exp'!Y34/'[3]actual CWTs exp'!$AC34,IF('[3]actual CWTs exp'!Y34/'[3]actual CWTs exp'!$AC34&gt;0,"-     "," "))</f>
        <v xml:space="preserve"> </v>
      </c>
      <c r="Z39" s="384">
        <f>IF('[3]actual CWTs exp'!Z34/'[3]actual CWTs exp'!$AC34&gt;0.0005,'[3]actual CWTs exp'!Z34/'[3]actual CWTs exp'!$AC34,IF('[3]actual CWTs exp'!Z34/'[3]actual CWTs exp'!$AC34&gt;0,"-     "," "))</f>
        <v>7.5108907916478891E-4</v>
      </c>
      <c r="AA39" s="380">
        <f t="shared" si="0"/>
        <v>0.74668268990035547</v>
      </c>
      <c r="AB39" s="381">
        <f t="shared" si="1"/>
        <v>0.25331731009964453</v>
      </c>
      <c r="AC39" s="382">
        <f>'[3]actual CWTs exp'!AC34</f>
        <v>19971</v>
      </c>
    </row>
    <row r="40" spans="1:29" ht="16.5" customHeight="1" x14ac:dyDescent="0.25">
      <c r="A40" s="383" t="s">
        <v>334</v>
      </c>
      <c r="B40" t="s">
        <v>335</v>
      </c>
      <c r="C40" t="s">
        <v>332</v>
      </c>
      <c r="D40" t="s">
        <v>48</v>
      </c>
      <c r="E40" s="376">
        <f>IF('[3]actual CWTs exp'!E35/'[3]actual CWTs exp'!$AC35&gt;0.0005,'[3]actual CWTs exp'!E35/'[3]actual CWTs exp'!$AC35,IF('[3]actual CWTs exp'!E35/'[3]actual CWTs exp'!$AC35&gt;0,"-     "," "))</f>
        <v>1.5637583892617449E-2</v>
      </c>
      <c r="F40" s="376" t="str">
        <f>IF('[3]actual CWTs exp'!F35/'[3]actual CWTs exp'!$AC35&gt;0.0005,'[3]actual CWTs exp'!F35/'[3]actual CWTs exp'!$AC35,IF('[3]actual CWTs exp'!F35/'[3]actual CWTs exp'!$AC35&gt;0,"-     "," "))</f>
        <v xml:space="preserve"> </v>
      </c>
      <c r="G40" s="376">
        <f>IF('[3]actual CWTs exp'!G35/'[3]actual CWTs exp'!$AC35&gt;0.0005,'[3]actual CWTs exp'!G35/'[3]actual CWTs exp'!$AC35,IF('[3]actual CWTs exp'!G35/'[3]actual CWTs exp'!$AC35&gt;0,"-     "," "))</f>
        <v>4.0939597315436241E-2</v>
      </c>
      <c r="H40" s="376">
        <f>IF('[3]actual CWTs exp'!H35/'[3]actual CWTs exp'!$AC35&gt;0.0005,'[3]actual CWTs exp'!H35/'[3]actual CWTs exp'!$AC35,IF('[3]actual CWTs exp'!H35/'[3]actual CWTs exp'!$AC35&gt;0,"-     "," "))</f>
        <v>9.020134228187919E-2</v>
      </c>
      <c r="I40" s="376" t="str">
        <f>IF('[3]actual CWTs exp'!I35/'[3]actual CWTs exp'!$AC35&gt;0.0005,'[3]actual CWTs exp'!I35/'[3]actual CWTs exp'!$AC35,IF('[3]actual CWTs exp'!I35/'[3]actual CWTs exp'!$AC35&gt;0,"-     "," "))</f>
        <v xml:space="preserve"> </v>
      </c>
      <c r="J40" s="377" t="str">
        <f>IF('[3]actual CWTs exp'!J35/'[3]actual CWTs exp'!$AC35&gt;0.0005,'[3]actual CWTs exp'!J35/'[3]actual CWTs exp'!$AC35,IF('[3]actual CWTs exp'!J35/'[3]actual CWTs exp'!$AC35&gt;0,"-     "," "))</f>
        <v xml:space="preserve"> </v>
      </c>
      <c r="K40" s="376">
        <f>IF('[3]actual CWTs exp'!K35/'[3]actual CWTs exp'!$AC35&gt;0.0005,'[3]actual CWTs exp'!K35/'[3]actual CWTs exp'!$AC35,IF('[3]actual CWTs exp'!K35/'[3]actual CWTs exp'!$AC35&gt;0,"-     "," "))</f>
        <v>3.4899328859060402E-3</v>
      </c>
      <c r="L40" s="376">
        <f>IF('[3]actual CWTs exp'!L35/'[3]actual CWTs exp'!$AC35&gt;0.0005,'[3]actual CWTs exp'!L35/'[3]actual CWTs exp'!$AC35,IF('[3]actual CWTs exp'!L35/'[3]actual CWTs exp'!$AC35&gt;0,"-     "," "))</f>
        <v>5.2348993288590601E-3</v>
      </c>
      <c r="M40" s="376">
        <f>IF('[3]actual CWTs exp'!M35/'[3]actual CWTs exp'!$AC35&gt;0.0005,'[3]actual CWTs exp'!M35/'[3]actual CWTs exp'!$AC35,IF('[3]actual CWTs exp'!M35/'[3]actual CWTs exp'!$AC35&gt;0,"-     "," "))</f>
        <v>0.36382550335570468</v>
      </c>
      <c r="N40" s="376" t="str">
        <f>IF('[3]actual CWTs exp'!N35/'[3]actual CWTs exp'!$AC35&gt;0.0005,'[3]actual CWTs exp'!N35/'[3]actual CWTs exp'!$AC35,IF('[3]actual CWTs exp'!N35/'[3]actual CWTs exp'!$AC35&gt;0,"-     "," "))</f>
        <v xml:space="preserve"> </v>
      </c>
      <c r="O40" s="376" t="str">
        <f>IF('[3]actual CWTs exp'!O35/'[3]actual CWTs exp'!$AC35&gt;0.0005,'[3]actual CWTs exp'!O35/'[3]actual CWTs exp'!$AC35,IF('[3]actual CWTs exp'!O35/'[3]actual CWTs exp'!$AC35&gt;0,"-     "," "))</f>
        <v xml:space="preserve"> </v>
      </c>
      <c r="P40" s="376">
        <f>IF('[3]actual CWTs exp'!P35/'[3]actual CWTs exp'!$AC35&gt;0.0005,'[3]actual CWTs exp'!P35/'[3]actual CWTs exp'!$AC35,IF('[3]actual CWTs exp'!P35/'[3]actual CWTs exp'!$AC35&gt;0,"-     "," "))</f>
        <v>1.7449664429530201E-3</v>
      </c>
      <c r="Q40" s="378" t="str">
        <f>IF('[3]actual CWTs exp'!Q35/'[3]actual CWTs exp'!$AC35&gt;0.0005,'[3]actual CWTs exp'!Q35/'[3]actual CWTs exp'!$AC35,IF('[3]actual CWTs exp'!Q35/'[3]actual CWTs exp'!$AC35&gt;0,"-     "," "))</f>
        <v xml:space="preserve"> </v>
      </c>
      <c r="R40" s="376">
        <f>IF('[3]actual CWTs exp'!R35/'[3]actual CWTs exp'!$AC35&gt;0.0005,'[3]actual CWTs exp'!R35/'[3]actual CWTs exp'!$AC35,IF('[3]actual CWTs exp'!R35/'[3]actual CWTs exp'!$AC35&gt;0,"-     "," "))</f>
        <v>0.15899328859060402</v>
      </c>
      <c r="S40" s="376">
        <f>IF('[3]actual CWTs exp'!S35/'[3]actual CWTs exp'!$AC35&gt;0.0005,'[3]actual CWTs exp'!S35/'[3]actual CWTs exp'!$AC35,IF('[3]actual CWTs exp'!S35/'[3]actual CWTs exp'!$AC35&gt;0,"-     "," "))</f>
        <v>6.1342281879194632E-2</v>
      </c>
      <c r="T40" s="378">
        <f>IF('[3]actual CWTs exp'!T35/'[3]actual CWTs exp'!$AC35&gt;0.0005,'[3]actual CWTs exp'!T35/'[3]actual CWTs exp'!$AC35,IF('[3]actual CWTs exp'!T35/'[3]actual CWTs exp'!$AC35&gt;0,"-     "," "))</f>
        <v>1.6778523489932886E-3</v>
      </c>
      <c r="U40" s="377" t="str">
        <f>IF('[3]actual CWTs exp'!U35/'[3]actual CWTs exp'!$AC35&gt;0.0005,'[3]actual CWTs exp'!U35/'[3]actual CWTs exp'!$AC35,IF('[3]actual CWTs exp'!U35/'[3]actual CWTs exp'!$AC35&gt;0,"-     "," "))</f>
        <v xml:space="preserve"> </v>
      </c>
      <c r="V40" s="376">
        <f>IF('[3]actual CWTs exp'!V35/'[3]actual CWTs exp'!$AC35&gt;0.0005,'[3]actual CWTs exp'!V35/'[3]actual CWTs exp'!$AC35,IF('[3]actual CWTs exp'!V35/'[3]actual CWTs exp'!$AC35&gt;0,"-     "," "))</f>
        <v>4.4161073825503355E-2</v>
      </c>
      <c r="W40" s="376">
        <f>IF('[3]actual CWTs exp'!W35/'[3]actual CWTs exp'!$AC35&gt;0.0005,'[3]actual CWTs exp'!W35/'[3]actual CWTs exp'!$AC35,IF('[3]actual CWTs exp'!W35/'[3]actual CWTs exp'!$AC35&gt;0,"-     "," "))</f>
        <v>8.4563758389261737E-3</v>
      </c>
      <c r="X40" s="376" t="str">
        <f>IF('[3]actual CWTs exp'!X35/'[3]actual CWTs exp'!$AC35&gt;0.0005,'[3]actual CWTs exp'!X35/'[3]actual CWTs exp'!$AC35,IF('[3]actual CWTs exp'!X35/'[3]actual CWTs exp'!$AC35&gt;0,"-     "," "))</f>
        <v xml:space="preserve"> </v>
      </c>
      <c r="Y40" s="378">
        <f>IF('[3]actual CWTs exp'!Y35/'[3]actual CWTs exp'!$AC35&gt;0.0005,'[3]actual CWTs exp'!Y35/'[3]actual CWTs exp'!$AC35,IF('[3]actual CWTs exp'!Y35/'[3]actual CWTs exp'!$AC35&gt;0,"-     "," "))</f>
        <v>1.4295302013422819E-2</v>
      </c>
      <c r="Z40" s="384">
        <f>IF('[3]actual CWTs exp'!Z35/'[3]actual CWTs exp'!$AC35&gt;0.0005,'[3]actual CWTs exp'!Z35/'[3]actual CWTs exp'!$AC35,IF('[3]actual CWTs exp'!Z35/'[3]actual CWTs exp'!$AC35&gt;0,"-     "," "))</f>
        <v>1.7449664429530201E-3</v>
      </c>
      <c r="AA40" s="380">
        <f t="shared" si="0"/>
        <v>0.81174496644295291</v>
      </c>
      <c r="AB40" s="381">
        <f t="shared" si="1"/>
        <v>0.18825503355704709</v>
      </c>
      <c r="AC40" s="382">
        <f>'[3]actual CWTs exp'!AC35</f>
        <v>14900</v>
      </c>
    </row>
    <row r="41" spans="1:29" ht="16.5" customHeight="1" x14ac:dyDescent="0.25">
      <c r="A41" s="383" t="s">
        <v>336</v>
      </c>
      <c r="B41" t="s">
        <v>80</v>
      </c>
      <c r="C41" t="s">
        <v>332</v>
      </c>
      <c r="D41" t="s">
        <v>48</v>
      </c>
      <c r="E41" s="376" t="str">
        <f>IF('[3]actual CWTs exp'!E36/'[3]actual CWTs exp'!$AC36&gt;0.0005,'[3]actual CWTs exp'!E36/'[3]actual CWTs exp'!$AC36,IF('[3]actual CWTs exp'!E36/'[3]actual CWTs exp'!$AC36&gt;0,"-     "," "))</f>
        <v xml:space="preserve"> </v>
      </c>
      <c r="F41" s="376" t="str">
        <f>IF('[3]actual CWTs exp'!F36/'[3]actual CWTs exp'!$AC36&gt;0.0005,'[3]actual CWTs exp'!F36/'[3]actual CWTs exp'!$AC36,IF('[3]actual CWTs exp'!F36/'[3]actual CWTs exp'!$AC36&gt;0,"-     "," "))</f>
        <v xml:space="preserve"> </v>
      </c>
      <c r="G41" s="376" t="str">
        <f>IF('[3]actual CWTs exp'!G36/'[3]actual CWTs exp'!$AC36&gt;0.0005,'[3]actual CWTs exp'!G36/'[3]actual CWTs exp'!$AC36,IF('[3]actual CWTs exp'!G36/'[3]actual CWTs exp'!$AC36&gt;0,"-     "," "))</f>
        <v xml:space="preserve"> </v>
      </c>
      <c r="H41" s="376">
        <f>IF('[3]actual CWTs exp'!H36/'[3]actual CWTs exp'!$AC36&gt;0.0005,'[3]actual CWTs exp'!H36/'[3]actual CWTs exp'!$AC36,IF('[3]actual CWTs exp'!H36/'[3]actual CWTs exp'!$AC36&gt;0,"-     "," "))</f>
        <v>7.0886676149834044E-2</v>
      </c>
      <c r="I41" s="376" t="str">
        <f>IF('[3]actual CWTs exp'!I36/'[3]actual CWTs exp'!$AC36&gt;0.0005,'[3]actual CWTs exp'!I36/'[3]actual CWTs exp'!$AC36,IF('[3]actual CWTs exp'!I36/'[3]actual CWTs exp'!$AC36&gt;0,"-     "," "))</f>
        <v xml:space="preserve"> </v>
      </c>
      <c r="J41" s="377">
        <f>IF('[3]actual CWTs exp'!J36/'[3]actual CWTs exp'!$AC36&gt;0.0005,'[3]actual CWTs exp'!J36/'[3]actual CWTs exp'!$AC36,IF('[3]actual CWTs exp'!J36/'[3]actual CWTs exp'!$AC36&gt;0,"-     "," "))</f>
        <v>4.5045045045045045E-3</v>
      </c>
      <c r="K41" s="376" t="str">
        <f>IF('[3]actual CWTs exp'!K36/'[3]actual CWTs exp'!$AC36&gt;0.0005,'[3]actual CWTs exp'!K36/'[3]actual CWTs exp'!$AC36,IF('[3]actual CWTs exp'!K36/'[3]actual CWTs exp'!$AC36&gt;0,"-     "," "))</f>
        <v xml:space="preserve"> </v>
      </c>
      <c r="L41" s="376">
        <f>IF('[3]actual CWTs exp'!L36/'[3]actual CWTs exp'!$AC36&gt;0.0005,'[3]actual CWTs exp'!L36/'[3]actual CWTs exp'!$AC36,IF('[3]actual CWTs exp'!L36/'[3]actual CWTs exp'!$AC36&gt;0,"-     "," "))</f>
        <v>9.4831673779042207E-3</v>
      </c>
      <c r="M41" s="376">
        <f>IF('[3]actual CWTs exp'!M36/'[3]actual CWTs exp'!$AC36&gt;0.0005,'[3]actual CWTs exp'!M36/'[3]actual CWTs exp'!$AC36,IF('[3]actual CWTs exp'!M36/'[3]actual CWTs exp'!$AC36&gt;0,"-     "," "))</f>
        <v>0.73921289710763394</v>
      </c>
      <c r="N41" s="376" t="str">
        <f>IF('[3]actual CWTs exp'!N36/'[3]actual CWTs exp'!$AC36&gt;0.0005,'[3]actual CWTs exp'!N36/'[3]actual CWTs exp'!$AC36,IF('[3]actual CWTs exp'!N36/'[3]actual CWTs exp'!$AC36&gt;0,"-     "," "))</f>
        <v xml:space="preserve"> </v>
      </c>
      <c r="O41" s="376" t="str">
        <f>IF('[3]actual CWTs exp'!O36/'[3]actual CWTs exp'!$AC36&gt;0.0005,'[3]actual CWTs exp'!O36/'[3]actual CWTs exp'!$AC36,IF('[3]actual CWTs exp'!O36/'[3]actual CWTs exp'!$AC36&gt;0,"-     "," "))</f>
        <v xml:space="preserve"> </v>
      </c>
      <c r="P41" s="376">
        <f>IF('[3]actual CWTs exp'!P36/'[3]actual CWTs exp'!$AC36&gt;0.0005,'[3]actual CWTs exp'!P36/'[3]actual CWTs exp'!$AC36,IF('[3]actual CWTs exp'!P36/'[3]actual CWTs exp'!$AC36&gt;0,"-     "," "))</f>
        <v>9.2460881934566148E-3</v>
      </c>
      <c r="Q41" s="378" t="str">
        <f>IF('[3]actual CWTs exp'!Q36/'[3]actual CWTs exp'!$AC36&gt;0.0005,'[3]actual CWTs exp'!Q36/'[3]actual CWTs exp'!$AC36,IF('[3]actual CWTs exp'!Q36/'[3]actual CWTs exp'!$AC36&gt;0,"-     "," "))</f>
        <v xml:space="preserve"> </v>
      </c>
      <c r="R41" s="376" t="str">
        <f>IF('[3]actual CWTs exp'!R36/'[3]actual CWTs exp'!$AC36&gt;0.0005,'[3]actual CWTs exp'!R36/'[3]actual CWTs exp'!$AC36,IF('[3]actual CWTs exp'!R36/'[3]actual CWTs exp'!$AC36&gt;0,"-     "," "))</f>
        <v xml:space="preserve"> </v>
      </c>
      <c r="S41" s="376" t="str">
        <f>IF('[3]actual CWTs exp'!S36/'[3]actual CWTs exp'!$AC36&gt;0.0005,'[3]actual CWTs exp'!S36/'[3]actual CWTs exp'!$AC36,IF('[3]actual CWTs exp'!S36/'[3]actual CWTs exp'!$AC36&gt;0,"-     "," "))</f>
        <v xml:space="preserve"> </v>
      </c>
      <c r="T41" s="378" t="str">
        <f>IF('[3]actual CWTs exp'!T36/'[3]actual CWTs exp'!$AC36&gt;0.0005,'[3]actual CWTs exp'!T36/'[3]actual CWTs exp'!$AC36,IF('[3]actual CWTs exp'!T36/'[3]actual CWTs exp'!$AC36&gt;0,"-     "," "))</f>
        <v xml:space="preserve"> </v>
      </c>
      <c r="U41" s="377" t="str">
        <f>IF('[3]actual CWTs exp'!U36/'[3]actual CWTs exp'!$AC36&gt;0.0005,'[3]actual CWTs exp'!U36/'[3]actual CWTs exp'!$AC36,IF('[3]actual CWTs exp'!U36/'[3]actual CWTs exp'!$AC36&gt;0,"-     "," "))</f>
        <v xml:space="preserve"> </v>
      </c>
      <c r="V41" s="376" t="str">
        <f>IF('[3]actual CWTs exp'!V36/'[3]actual CWTs exp'!$AC36&gt;0.0005,'[3]actual CWTs exp'!V36/'[3]actual CWTs exp'!$AC36,IF('[3]actual CWTs exp'!V36/'[3]actual CWTs exp'!$AC36&gt;0,"-     "," "))</f>
        <v xml:space="preserve"> </v>
      </c>
      <c r="W41" s="376" t="str">
        <f>IF('[3]actual CWTs exp'!W36/'[3]actual CWTs exp'!$AC36&gt;0.0005,'[3]actual CWTs exp'!W36/'[3]actual CWTs exp'!$AC36,IF('[3]actual CWTs exp'!W36/'[3]actual CWTs exp'!$AC36&gt;0,"-     "," "))</f>
        <v xml:space="preserve"> </v>
      </c>
      <c r="X41" s="376" t="str">
        <f>IF('[3]actual CWTs exp'!X36/'[3]actual CWTs exp'!$AC36&gt;0.0005,'[3]actual CWTs exp'!X36/'[3]actual CWTs exp'!$AC36,IF('[3]actual CWTs exp'!X36/'[3]actual CWTs exp'!$AC36&gt;0,"-     "," "))</f>
        <v xml:space="preserve"> </v>
      </c>
      <c r="Y41" s="378" t="str">
        <f>IF('[3]actual CWTs exp'!Y36/'[3]actual CWTs exp'!$AC36&gt;0.0005,'[3]actual CWTs exp'!Y36/'[3]actual CWTs exp'!$AC36,IF('[3]actual CWTs exp'!Y36/'[3]actual CWTs exp'!$AC36&gt;0,"-     "," "))</f>
        <v xml:space="preserve"> </v>
      </c>
      <c r="Z41" s="384" t="str">
        <f>IF('[3]actual CWTs exp'!Z36/'[3]actual CWTs exp'!$AC36&gt;0.0005,'[3]actual CWTs exp'!Z36/'[3]actual CWTs exp'!$AC36,IF('[3]actual CWTs exp'!Z36/'[3]actual CWTs exp'!$AC36&gt;0,"-     "," "))</f>
        <v xml:space="preserve"> </v>
      </c>
      <c r="AA41" s="380">
        <f t="shared" si="0"/>
        <v>0.83333333333333337</v>
      </c>
      <c r="AB41" s="381">
        <f t="shared" si="1"/>
        <v>0.16666666666666663</v>
      </c>
      <c r="AC41" s="382">
        <f>'[3]actual CWTs exp'!AC36</f>
        <v>4218</v>
      </c>
    </row>
    <row r="42" spans="1:29" ht="16.5" customHeight="1" x14ac:dyDescent="0.25">
      <c r="A42" s="383" t="s">
        <v>337</v>
      </c>
      <c r="B42" t="s">
        <v>118</v>
      </c>
      <c r="C42" t="s">
        <v>332</v>
      </c>
      <c r="D42" t="s">
        <v>48</v>
      </c>
      <c r="E42" s="376" t="str">
        <f>IF('[3]actual CWTs exp'!E37/'[3]actual CWTs exp'!$AC37&gt;0.0005,'[3]actual CWTs exp'!E37/'[3]actual CWTs exp'!$AC37,IF('[3]actual CWTs exp'!E37/'[3]actual CWTs exp'!$AC37&gt;0,"-     "," "))</f>
        <v xml:space="preserve"> </v>
      </c>
      <c r="F42" s="376" t="str">
        <f>IF('[3]actual CWTs exp'!F37/'[3]actual CWTs exp'!$AC37&gt;0.0005,'[3]actual CWTs exp'!F37/'[3]actual CWTs exp'!$AC37,IF('[3]actual CWTs exp'!F37/'[3]actual CWTs exp'!$AC37&gt;0,"-     "," "))</f>
        <v xml:space="preserve"> </v>
      </c>
      <c r="G42" s="376" t="str">
        <f>IF('[3]actual CWTs exp'!G37/'[3]actual CWTs exp'!$AC37&gt;0.0005,'[3]actual CWTs exp'!G37/'[3]actual CWTs exp'!$AC37,IF('[3]actual CWTs exp'!G37/'[3]actual CWTs exp'!$AC37&gt;0,"-     "," "))</f>
        <v xml:space="preserve"> </v>
      </c>
      <c r="H42" s="376">
        <f>IF('[3]actual CWTs exp'!H37/'[3]actual CWTs exp'!$AC37&gt;0.0005,'[3]actual CWTs exp'!H37/'[3]actual CWTs exp'!$AC37,IF('[3]actual CWTs exp'!H37/'[3]actual CWTs exp'!$AC37&gt;0,"-     "," "))</f>
        <v>0.10517958058941665</v>
      </c>
      <c r="I42" s="376" t="str">
        <f>IF('[3]actual CWTs exp'!I37/'[3]actual CWTs exp'!$AC37&gt;0.0005,'[3]actual CWTs exp'!I37/'[3]actual CWTs exp'!$AC37,IF('[3]actual CWTs exp'!I37/'[3]actual CWTs exp'!$AC37&gt;0,"-     "," "))</f>
        <v xml:space="preserve"> </v>
      </c>
      <c r="J42" s="377" t="str">
        <f>IF('[3]actual CWTs exp'!J37/'[3]actual CWTs exp'!$AC37&gt;0.0005,'[3]actual CWTs exp'!J37/'[3]actual CWTs exp'!$AC37,IF('[3]actual CWTs exp'!J37/'[3]actual CWTs exp'!$AC37&gt;0,"-     "," "))</f>
        <v xml:space="preserve"> </v>
      </c>
      <c r="K42" s="376">
        <f>IF('[3]actual CWTs exp'!K37/'[3]actual CWTs exp'!$AC37&gt;0.0005,'[3]actual CWTs exp'!K37/'[3]actual CWTs exp'!$AC37,IF('[3]actual CWTs exp'!K37/'[3]actual CWTs exp'!$AC37&gt;0,"-     "," "))</f>
        <v>1.7747886600345617E-3</v>
      </c>
      <c r="L42" s="376" t="str">
        <f>IF('[3]actual CWTs exp'!L37/'[3]actual CWTs exp'!$AC37&gt;0.0005,'[3]actual CWTs exp'!L37/'[3]actual CWTs exp'!$AC37,IF('[3]actual CWTs exp'!L37/'[3]actual CWTs exp'!$AC37&gt;0,"-     "," "))</f>
        <v xml:space="preserve"> </v>
      </c>
      <c r="M42" s="376">
        <f>IF('[3]actual CWTs exp'!M37/'[3]actual CWTs exp'!$AC37&gt;0.0005,'[3]actual CWTs exp'!M37/'[3]actual CWTs exp'!$AC37,IF('[3]actual CWTs exp'!M37/'[3]actual CWTs exp'!$AC37&gt;0,"-     "," "))</f>
        <v>7.7670356358880949E-2</v>
      </c>
      <c r="N42" s="376" t="str">
        <f>IF('[3]actual CWTs exp'!N37/'[3]actual CWTs exp'!$AC37&gt;0.0005,'[3]actual CWTs exp'!N37/'[3]actual CWTs exp'!$AC37,IF('[3]actual CWTs exp'!N37/'[3]actual CWTs exp'!$AC37&gt;0,"-     "," "))</f>
        <v xml:space="preserve"> </v>
      </c>
      <c r="O42" s="376" t="str">
        <f>IF('[3]actual CWTs exp'!O37/'[3]actual CWTs exp'!$AC37&gt;0.0005,'[3]actual CWTs exp'!O37/'[3]actual CWTs exp'!$AC37,IF('[3]actual CWTs exp'!O37/'[3]actual CWTs exp'!$AC37&gt;0,"-     "," "))</f>
        <v xml:space="preserve"> </v>
      </c>
      <c r="P42" s="376">
        <f>IF('[3]actual CWTs exp'!P37/'[3]actual CWTs exp'!$AC37&gt;0.0005,'[3]actual CWTs exp'!P37/'[3]actual CWTs exp'!$AC37,IF('[3]actual CWTs exp'!P37/'[3]actual CWTs exp'!$AC37&gt;0,"-     "," "))</f>
        <v>3.5962822848068748E-3</v>
      </c>
      <c r="Q42" s="378" t="str">
        <f>IF('[3]actual CWTs exp'!Q37/'[3]actual CWTs exp'!$AC37&gt;0.0005,'[3]actual CWTs exp'!Q37/'[3]actual CWTs exp'!$AC37,IF('[3]actual CWTs exp'!Q37/'[3]actual CWTs exp'!$AC37&gt;0,"-     "," "))</f>
        <v xml:space="preserve"> </v>
      </c>
      <c r="R42" s="376">
        <f>IF('[3]actual CWTs exp'!R37/'[3]actual CWTs exp'!$AC37&gt;0.0005,'[3]actual CWTs exp'!R37/'[3]actual CWTs exp'!$AC37,IF('[3]actual CWTs exp'!R37/'[3]actual CWTs exp'!$AC37&gt;0,"-     "," "))</f>
        <v>0.42398766988930925</v>
      </c>
      <c r="S42" s="376">
        <f>IF('[3]actual CWTs exp'!S37/'[3]actual CWTs exp'!$AC37&gt;0.0005,'[3]actual CWTs exp'!S37/'[3]actual CWTs exp'!$AC37,IF('[3]actual CWTs exp'!S37/'[3]actual CWTs exp'!$AC37&gt;0,"-     "," "))</f>
        <v>0.29508196721311475</v>
      </c>
      <c r="T42" s="378" t="str">
        <f>IF('[3]actual CWTs exp'!T37/'[3]actual CWTs exp'!$AC37&gt;0.0005,'[3]actual CWTs exp'!T37/'[3]actual CWTs exp'!$AC37,IF('[3]actual CWTs exp'!T37/'[3]actual CWTs exp'!$AC37&gt;0,"-     "," "))</f>
        <v xml:space="preserve"> </v>
      </c>
      <c r="U42" s="377" t="str">
        <f>IF('[3]actual CWTs exp'!U37/'[3]actual CWTs exp'!$AC37&gt;0.0005,'[3]actual CWTs exp'!U37/'[3]actual CWTs exp'!$AC37,IF('[3]actual CWTs exp'!U37/'[3]actual CWTs exp'!$AC37&gt;0,"-     "," "))</f>
        <v xml:space="preserve"> </v>
      </c>
      <c r="V42" s="376">
        <f>IF('[3]actual CWTs exp'!V37/'[3]actual CWTs exp'!$AC37&gt;0.0005,'[3]actual CWTs exp'!V37/'[3]actual CWTs exp'!$AC37,IF('[3]actual CWTs exp'!V37/'[3]actual CWTs exp'!$AC37&gt;0,"-     "," "))</f>
        <v>3.5122133482789218E-2</v>
      </c>
      <c r="W42" s="376">
        <f>IF('[3]actual CWTs exp'!W37/'[3]actual CWTs exp'!$AC37&gt;0.0005,'[3]actual CWTs exp'!W37/'[3]actual CWTs exp'!$AC37,IF('[3]actual CWTs exp'!W37/'[3]actual CWTs exp'!$AC37&gt;0,"-     "," "))</f>
        <v>1.7747886600345617E-3</v>
      </c>
      <c r="X42" s="376" t="str">
        <f>IF('[3]actual CWTs exp'!X37/'[3]actual CWTs exp'!$AC37&gt;0.0005,'[3]actual CWTs exp'!X37/'[3]actual CWTs exp'!$AC37,IF('[3]actual CWTs exp'!X37/'[3]actual CWTs exp'!$AC37&gt;0,"-     "," "))</f>
        <v xml:space="preserve"> </v>
      </c>
      <c r="Y42" s="378">
        <f>IF('[3]actual CWTs exp'!Y37/'[3]actual CWTs exp'!$AC37&gt;0.0005,'[3]actual CWTs exp'!Y37/'[3]actual CWTs exp'!$AC37,IF('[3]actual CWTs exp'!Y37/'[3]actual CWTs exp'!$AC37&gt;0,"-     "," "))</f>
        <v>3.6429872495446266E-3</v>
      </c>
      <c r="Z42" s="384" t="str">
        <f>IF('[3]actual CWTs exp'!Z37/'[3]actual CWTs exp'!$AC37&gt;0.0005,'[3]actual CWTs exp'!Z37/'[3]actual CWTs exp'!$AC37,IF('[3]actual CWTs exp'!Z37/'[3]actual CWTs exp'!$AC37&gt;0,"-     "," "))</f>
        <v xml:space="preserve"> </v>
      </c>
      <c r="AA42" s="380">
        <f t="shared" si="0"/>
        <v>0.9478305543879314</v>
      </c>
      <c r="AB42" s="381">
        <f t="shared" si="1"/>
        <v>5.2169445612068599E-2</v>
      </c>
      <c r="AC42" s="382">
        <f>'[3]actual CWTs exp'!AC37</f>
        <v>21411</v>
      </c>
    </row>
    <row r="43" spans="1:29" ht="18" customHeight="1" x14ac:dyDescent="0.3">
      <c r="A43" s="715" t="s">
        <v>338</v>
      </c>
      <c r="B43" s="716"/>
      <c r="C43" s="716"/>
      <c r="D43" s="716"/>
      <c r="E43" s="386">
        <f>IF('[3]actual CWTs exp'!E38/'[3]actual CWTs exp'!$AC38&gt;0.0005,'[3]actual CWTs exp'!E38/'[3]actual CWTs exp'!$AC38,IF('[3]actual CWTs exp'!E38/'[3]actual CWTs exp'!$AC38&gt;0,"-     "," "))</f>
        <v>4.8760330578512395E-3</v>
      </c>
      <c r="F43" s="386" t="str">
        <f>IF('[3]actual CWTs exp'!F38/'[3]actual CWTs exp'!$AC38&gt;0.0005,'[3]actual CWTs exp'!F38/'[3]actual CWTs exp'!$AC38,IF('[3]actual CWTs exp'!F38/'[3]actual CWTs exp'!$AC38&gt;0,"-     "," "))</f>
        <v xml:space="preserve"> </v>
      </c>
      <c r="G43" s="386">
        <f>IF('[3]actual CWTs exp'!G38/'[3]actual CWTs exp'!$AC38&gt;0.0005,'[3]actual CWTs exp'!G38/'[3]actual CWTs exp'!$AC38,IF('[3]actual CWTs exp'!G38/'[3]actual CWTs exp'!$AC38&gt;0,"-     "," "))</f>
        <v>0.23991735537190081</v>
      </c>
      <c r="H43" s="386">
        <f>IF('[3]actual CWTs exp'!H38/'[3]actual CWTs exp'!$AC38&gt;0.0005,'[3]actual CWTs exp'!H38/'[3]actual CWTs exp'!$AC38,IF('[3]actual CWTs exp'!H38/'[3]actual CWTs exp'!$AC38&gt;0,"-     "," "))</f>
        <v>6.9338842975206608E-2</v>
      </c>
      <c r="I43" s="386" t="str">
        <f>IF('[3]actual CWTs exp'!I38/'[3]actual CWTs exp'!$AC38&gt;0.0005,'[3]actual CWTs exp'!I38/'[3]actual CWTs exp'!$AC38,IF('[3]actual CWTs exp'!I38/'[3]actual CWTs exp'!$AC38&gt;0,"-     "," "))</f>
        <v xml:space="preserve"> </v>
      </c>
      <c r="J43" s="398" t="str">
        <f>IF('[3]actual CWTs exp'!J38/'[3]actual CWTs exp'!$AC38&gt;0.0005,'[3]actual CWTs exp'!J38/'[3]actual CWTs exp'!$AC38,IF('[3]actual CWTs exp'!J38/'[3]actual CWTs exp'!$AC38&gt;0,"-     "," "))</f>
        <v xml:space="preserve">-     </v>
      </c>
      <c r="K43" s="386">
        <f>IF('[3]actual CWTs exp'!K38/'[3]actual CWTs exp'!$AC38&gt;0.0005,'[3]actual CWTs exp'!K38/'[3]actual CWTs exp'!$AC38,IF('[3]actual CWTs exp'!K38/'[3]actual CWTs exp'!$AC38&gt;0,"-     "," "))</f>
        <v>2.231404958677686E-3</v>
      </c>
      <c r="L43" s="386">
        <f>IF('[3]actual CWTs exp'!L38/'[3]actual CWTs exp'!$AC38&gt;0.0005,'[3]actual CWTs exp'!L38/'[3]actual CWTs exp'!$AC38,IF('[3]actual CWTs exp'!L38/'[3]actual CWTs exp'!$AC38&gt;0,"-     "," "))</f>
        <v>2.4462809917355373E-3</v>
      </c>
      <c r="M43" s="386">
        <f>IF('[3]actual CWTs exp'!M38/'[3]actual CWTs exp'!$AC38&gt;0.0005,'[3]actual CWTs exp'!M38/'[3]actual CWTs exp'!$AC38,IF('[3]actual CWTs exp'!M38/'[3]actual CWTs exp'!$AC38&gt;0,"-     "," "))</f>
        <v>0.17780165289256197</v>
      </c>
      <c r="N43" s="386" t="str">
        <f>IF('[3]actual CWTs exp'!N38/'[3]actual CWTs exp'!$AC38&gt;0.0005,'[3]actual CWTs exp'!N38/'[3]actual CWTs exp'!$AC38,IF('[3]actual CWTs exp'!N38/'[3]actual CWTs exp'!$AC38&gt;0,"-     "," "))</f>
        <v xml:space="preserve"> </v>
      </c>
      <c r="O43" s="386" t="str">
        <f>IF('[3]actual CWTs exp'!O38/'[3]actual CWTs exp'!$AC38&gt;0.0005,'[3]actual CWTs exp'!O38/'[3]actual CWTs exp'!$AC38,IF('[3]actual CWTs exp'!O38/'[3]actual CWTs exp'!$AC38&gt;0,"-     "," "))</f>
        <v xml:space="preserve"> </v>
      </c>
      <c r="P43" s="386">
        <f>IF('[3]actual CWTs exp'!P38/'[3]actual CWTs exp'!$AC38&gt;0.0005,'[3]actual CWTs exp'!P38/'[3]actual CWTs exp'!$AC38,IF('[3]actual CWTs exp'!P38/'[3]actual CWTs exp'!$AC38&gt;0,"-     "," "))</f>
        <v>2.347107438016529E-3</v>
      </c>
      <c r="Q43" s="388" t="str">
        <f>IF('[3]actual CWTs exp'!Q38/'[3]actual CWTs exp'!$AC38&gt;0.0005,'[3]actual CWTs exp'!Q38/'[3]actual CWTs exp'!$AC38,IF('[3]actual CWTs exp'!Q38/'[3]actual CWTs exp'!$AC38&gt;0,"-     "," "))</f>
        <v xml:space="preserve"> </v>
      </c>
      <c r="R43" s="386">
        <f>IF('[3]actual CWTs exp'!R38/'[3]actual CWTs exp'!$AC38&gt;0.0005,'[3]actual CWTs exp'!R38/'[3]actual CWTs exp'!$AC38,IF('[3]actual CWTs exp'!R38/'[3]actual CWTs exp'!$AC38&gt;0,"-     "," "))</f>
        <v>0.18920661157024793</v>
      </c>
      <c r="S43" s="386">
        <f>IF('[3]actual CWTs exp'!S38/'[3]actual CWTs exp'!$AC38&gt;0.0005,'[3]actual CWTs exp'!S38/'[3]actual CWTs exp'!$AC38,IF('[3]actual CWTs exp'!S38/'[3]actual CWTs exp'!$AC38&gt;0,"-     "," "))</f>
        <v>0.11953719008264463</v>
      </c>
      <c r="T43" s="389" t="str">
        <f>IF('[3]actual CWTs exp'!T38/'[3]actual CWTs exp'!$AC38&gt;0.0005,'[3]actual CWTs exp'!T38/'[3]actual CWTs exp'!$AC38,IF('[3]actual CWTs exp'!T38/'[3]actual CWTs exp'!$AC38&gt;0,"-     "," "))</f>
        <v xml:space="preserve">-     </v>
      </c>
      <c r="U43" s="387" t="str">
        <f>IF('[3]actual CWTs exp'!U38/'[3]actual CWTs exp'!$AC38&gt;0.0005,'[3]actual CWTs exp'!U38/'[3]actual CWTs exp'!$AC38,IF('[3]actual CWTs exp'!U38/'[3]actual CWTs exp'!$AC38&gt;0,"-     "," "))</f>
        <v xml:space="preserve"> </v>
      </c>
      <c r="V43" s="386">
        <f>IF('[3]actual CWTs exp'!V38/'[3]actual CWTs exp'!$AC38&gt;0.0005,'[3]actual CWTs exp'!V38/'[3]actual CWTs exp'!$AC38,IF('[3]actual CWTs exp'!V38/'[3]actual CWTs exp'!$AC38&gt;0,"-     "," "))</f>
        <v>2.3305785123966943E-2</v>
      </c>
      <c r="W43" s="386">
        <f>IF('[3]actual CWTs exp'!W38/'[3]actual CWTs exp'!$AC38&gt;0.0005,'[3]actual CWTs exp'!W38/'[3]actual CWTs exp'!$AC38,IF('[3]actual CWTs exp'!W38/'[3]actual CWTs exp'!$AC38&gt;0,"-     "," "))</f>
        <v>2.7107438016528928E-3</v>
      </c>
      <c r="X43" s="386" t="str">
        <f>IF('[3]actual CWTs exp'!X38/'[3]actual CWTs exp'!$AC38&gt;0.0005,'[3]actual CWTs exp'!X38/'[3]actual CWTs exp'!$AC38,IF('[3]actual CWTs exp'!X38/'[3]actual CWTs exp'!$AC38&gt;0,"-     "," "))</f>
        <v xml:space="preserve"> </v>
      </c>
      <c r="Y43" s="388">
        <f>IF('[3]actual CWTs exp'!Y38/'[3]actual CWTs exp'!$AC38&gt;0.0005,'[3]actual CWTs exp'!Y38/'[3]actual CWTs exp'!$AC38,IF('[3]actual CWTs exp'!Y38/'[3]actual CWTs exp'!$AC38&gt;0,"-     "," "))</f>
        <v>4.8099173553719007E-3</v>
      </c>
      <c r="Z43" s="390">
        <f>IF('[3]actual CWTs exp'!Z38/'[3]actual CWTs exp'!$AC38&gt;0.0005,'[3]actual CWTs exp'!Z38/'[3]actual CWTs exp'!$AC38,IF('[3]actual CWTs exp'!Z38/'[3]actual CWTs exp'!$AC38&gt;0,"-     "," "))</f>
        <v>6.7768595041322319E-4</v>
      </c>
      <c r="AA43" s="391">
        <f>IF('[3]actual CWTs exp'!AA38&gt;0,'[3]actual CWTs exp'!AA38/'[3]actual CWTs exp'!$AC38," ")</f>
        <v>0.83990082644628095</v>
      </c>
      <c r="AB43" s="389">
        <f>IF('[3]actual CWTs exp'!AB38&gt;0,'[3]actual CWTs exp'!AB38/'[3]actual CWTs exp'!$AC38," ")</f>
        <v>0.160099173553719</v>
      </c>
      <c r="AC43" s="392">
        <f>'[3]actual CWTs exp'!AC38</f>
        <v>60500</v>
      </c>
    </row>
    <row r="44" spans="1:29" ht="3.75" customHeight="1" x14ac:dyDescent="0.25">
      <c r="A44" s="400">
        <f>'[3]actual CWTs exp'!A39</f>
        <v>0</v>
      </c>
      <c r="B44" s="111">
        <f>[3]inland_taf_hatchgrp_table11_raw!D31</f>
        <v>0</v>
      </c>
      <c r="C44" s="111">
        <f>[3]inland_taf_hatchgrp_table11_raw!E30</f>
        <v>99</v>
      </c>
      <c r="D44" s="111"/>
      <c r="E44" s="215" t="str">
        <f>IF('[3]actual CWTs exp'!E39&gt;0,'[3]actual CWTs exp'!E39/'[3]actual CWTs exp'!$AC39," ")</f>
        <v xml:space="preserve"> </v>
      </c>
      <c r="F44" s="215" t="str">
        <f>IF('[3]actual CWTs exp'!F39&gt;0,'[3]actual CWTs exp'!F39/'[3]actual CWTs exp'!$AC39," ")</f>
        <v xml:space="preserve"> </v>
      </c>
      <c r="G44" s="215" t="str">
        <f>IF('[3]actual CWTs exp'!G39&gt;0,'[3]actual CWTs exp'!G39/'[3]actual CWTs exp'!$AC39," ")</f>
        <v xml:space="preserve"> </v>
      </c>
      <c r="H44" s="215" t="str">
        <f>IF('[3]actual CWTs exp'!H39&gt;0,'[3]actual CWTs exp'!H39/'[3]actual CWTs exp'!$AC39," ")</f>
        <v xml:space="preserve"> </v>
      </c>
      <c r="I44" s="215" t="str">
        <f>IF('[3]actual CWTs exp'!I39&gt;0,'[3]actual CWTs exp'!I39/'[3]actual CWTs exp'!$AC39," ")</f>
        <v xml:space="preserve"> </v>
      </c>
      <c r="J44" s="401" t="str">
        <f>IF('[3]actual CWTs exp'!J39&gt;0,'[3]actual CWTs exp'!J39/'[3]actual CWTs exp'!$AC39," ")</f>
        <v xml:space="preserve"> </v>
      </c>
      <c r="K44" s="215" t="str">
        <f>IF('[3]actual CWTs exp'!K39&gt;0,'[3]actual CWTs exp'!K39/'[3]actual CWTs exp'!$AC39," ")</f>
        <v xml:space="preserve"> </v>
      </c>
      <c r="L44" s="215" t="str">
        <f>IF('[3]actual CWTs exp'!L39&gt;0,'[3]actual CWTs exp'!L39/'[3]actual CWTs exp'!$AC39," ")</f>
        <v xml:space="preserve"> </v>
      </c>
      <c r="M44" s="215" t="str">
        <f>IF('[3]actual CWTs exp'!M39&gt;0,'[3]actual CWTs exp'!M39/'[3]actual CWTs exp'!$AC39," ")</f>
        <v xml:space="preserve"> </v>
      </c>
      <c r="N44" s="215" t="str">
        <f>IF('[3]actual CWTs exp'!N39&gt;0,'[3]actual CWTs exp'!N39/'[3]actual CWTs exp'!$AC39," ")</f>
        <v xml:space="preserve"> </v>
      </c>
      <c r="O44" s="215" t="str">
        <f>IF('[3]actual CWTs exp'!O39&gt;0,'[3]actual CWTs exp'!O39/'[3]actual CWTs exp'!$AC39," ")</f>
        <v xml:space="preserve"> </v>
      </c>
      <c r="P44" s="215" t="str">
        <f>IF('[3]actual CWTs exp'!P39&gt;0,'[3]actual CWTs exp'!P39/'[3]actual CWTs exp'!$AC39," ")</f>
        <v xml:space="preserve"> </v>
      </c>
      <c r="Q44" s="402" t="str">
        <f>IF('[3]actual CWTs exp'!Q39&gt;0,'[3]actual CWTs exp'!Q39/'[3]actual CWTs exp'!$AC39," ")</f>
        <v xml:space="preserve"> </v>
      </c>
      <c r="R44" s="215" t="str">
        <f>IF('[3]actual CWTs exp'!R39&gt;0,'[3]actual CWTs exp'!R39/'[3]actual CWTs exp'!$AC39," ")</f>
        <v xml:space="preserve"> </v>
      </c>
      <c r="S44" s="215" t="str">
        <f>IF('[3]actual CWTs exp'!S39&gt;0,'[3]actual CWTs exp'!S39/'[3]actual CWTs exp'!$AC39," ")</f>
        <v xml:space="preserve"> </v>
      </c>
      <c r="T44" s="402" t="str">
        <f>IF('[3]actual CWTs exp'!T39&gt;0,'[3]actual CWTs exp'!T39/'[3]actual CWTs exp'!$AC39," ")</f>
        <v xml:space="preserve"> </v>
      </c>
      <c r="U44" s="401" t="str">
        <f>IF('[3]actual CWTs exp'!U39&gt;0,'[3]actual CWTs exp'!U39/'[3]actual CWTs exp'!$AC39," ")</f>
        <v xml:space="preserve"> </v>
      </c>
      <c r="V44" s="215" t="str">
        <f>IF('[3]actual CWTs exp'!V39&gt;0,'[3]actual CWTs exp'!V39/'[3]actual CWTs exp'!$AC39," ")</f>
        <v xml:space="preserve"> </v>
      </c>
      <c r="W44" s="215" t="str">
        <f>IF('[3]actual CWTs exp'!W39&gt;0,'[3]actual CWTs exp'!W39/'[3]actual CWTs exp'!$AC39," ")</f>
        <v xml:space="preserve"> </v>
      </c>
      <c r="X44" s="215" t="str">
        <f>IF('[3]actual CWTs exp'!X39&gt;0,'[3]actual CWTs exp'!X39/'[3]actual CWTs exp'!$AC39," ")</f>
        <v xml:space="preserve"> </v>
      </c>
      <c r="Y44" s="402" t="str">
        <f>IF('[3]actual CWTs exp'!Y39&gt;0,'[3]actual CWTs exp'!Y39/'[3]actual CWTs exp'!$AC39," ")</f>
        <v xml:space="preserve"> </v>
      </c>
      <c r="Z44" s="403"/>
      <c r="AA44" s="404"/>
      <c r="AB44" s="405"/>
      <c r="AC44" s="406"/>
    </row>
    <row r="45" spans="1:29" x14ac:dyDescent="0.25">
      <c r="A45" s="717" t="s">
        <v>339</v>
      </c>
      <c r="B45" s="718"/>
      <c r="C45" s="718"/>
      <c r="D45" s="718"/>
      <c r="E45" s="718"/>
      <c r="F45" s="718"/>
      <c r="G45" s="718"/>
      <c r="H45" s="718"/>
      <c r="I45" s="718"/>
      <c r="J45" s="718"/>
      <c r="K45" s="718"/>
      <c r="L45" s="718"/>
      <c r="M45" s="718"/>
      <c r="N45" s="718"/>
      <c r="O45" s="718"/>
      <c r="P45" s="718"/>
      <c r="Q45" s="718"/>
      <c r="R45" s="718"/>
      <c r="S45" s="718"/>
      <c r="T45" s="718"/>
      <c r="U45" s="718"/>
      <c r="V45" s="718"/>
      <c r="W45" s="718"/>
      <c r="X45" s="718"/>
      <c r="Y45" s="718"/>
      <c r="Z45" s="718"/>
      <c r="AA45" s="718"/>
      <c r="AB45" s="718"/>
      <c r="AC45" s="718"/>
    </row>
    <row r="46" spans="1:29" x14ac:dyDescent="0.25">
      <c r="A46" s="719" t="s">
        <v>340</v>
      </c>
      <c r="B46" s="719"/>
      <c r="C46" s="719"/>
      <c r="D46" s="719"/>
      <c r="E46" s="719"/>
      <c r="F46" s="719"/>
      <c r="G46" s="719"/>
      <c r="H46" s="719"/>
      <c r="I46" s="719"/>
      <c r="J46" s="719"/>
      <c r="K46" s="719"/>
      <c r="L46" s="719"/>
      <c r="M46" s="719"/>
      <c r="N46" s="719"/>
      <c r="O46" s="719"/>
      <c r="P46" s="719"/>
      <c r="Q46" s="719"/>
      <c r="R46" s="719"/>
      <c r="S46" s="719"/>
      <c r="T46" s="719"/>
      <c r="U46" s="719"/>
      <c r="V46" s="719"/>
      <c r="W46" s="719"/>
      <c r="X46" s="719"/>
      <c r="Y46" s="719"/>
      <c r="Z46" s="719"/>
      <c r="AA46" s="719"/>
      <c r="AB46" s="719"/>
      <c r="AC46" s="719"/>
    </row>
    <row r="47" spans="1:29" x14ac:dyDescent="0.25">
      <c r="A47" s="3" t="s">
        <v>142</v>
      </c>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row>
    <row r="48" spans="1:29" x14ac:dyDescent="0.25">
      <c r="A48" s="407" t="s">
        <v>341</v>
      </c>
      <c r="B48" s="12"/>
      <c r="C48" s="12"/>
      <c r="D48" s="12"/>
      <c r="E48" s="3"/>
      <c r="F48" s="3"/>
      <c r="G48" s="3"/>
      <c r="H48" s="3"/>
      <c r="I48" s="3"/>
      <c r="J48" s="3"/>
      <c r="K48" s="3"/>
      <c r="L48" s="3"/>
      <c r="M48" s="3"/>
      <c r="N48" s="3"/>
      <c r="O48" s="3"/>
      <c r="P48" s="3"/>
      <c r="Q48" s="3"/>
      <c r="R48" s="3"/>
      <c r="S48" s="3"/>
      <c r="T48" s="3"/>
      <c r="U48" s="3"/>
      <c r="V48" s="3"/>
      <c r="W48" s="3"/>
      <c r="X48" s="3"/>
      <c r="Y48" s="3"/>
      <c r="Z48" s="3"/>
      <c r="AA48" s="3"/>
      <c r="AB48" s="3"/>
      <c r="AC48" s="3"/>
    </row>
    <row r="49" spans="1:29" x14ac:dyDescent="0.25">
      <c r="A49" s="3" t="s">
        <v>342</v>
      </c>
      <c r="B49" s="12"/>
      <c r="C49" s="12"/>
      <c r="D49" s="12"/>
      <c r="E49" s="3"/>
      <c r="F49" s="3"/>
      <c r="G49" s="3"/>
      <c r="H49" s="3"/>
      <c r="I49" s="3"/>
      <c r="J49" s="3"/>
      <c r="K49" s="3"/>
      <c r="L49" s="3"/>
      <c r="M49" s="3"/>
      <c r="N49" s="3"/>
      <c r="O49" s="3"/>
      <c r="P49" s="3"/>
      <c r="Q49" s="3"/>
      <c r="R49" s="3"/>
      <c r="S49" s="3"/>
      <c r="T49" s="3"/>
      <c r="U49" s="3"/>
      <c r="V49" s="3"/>
      <c r="W49" s="3"/>
      <c r="X49" s="3"/>
      <c r="Y49" s="3"/>
      <c r="Z49" s="3"/>
      <c r="AA49" s="3"/>
      <c r="AB49" s="3"/>
      <c r="AC49" s="3"/>
    </row>
    <row r="51" spans="1:29" x14ac:dyDescent="0.25">
      <c r="O51" s="408"/>
    </row>
  </sheetData>
  <mergeCells count="10">
    <mergeCell ref="A35:D35"/>
    <mergeCell ref="A43:D43"/>
    <mergeCell ref="A45:AC45"/>
    <mergeCell ref="A46:AC46"/>
    <mergeCell ref="E3:I3"/>
    <mergeCell ref="J3:Q3"/>
    <mergeCell ref="R3:T3"/>
    <mergeCell ref="U3:Y3"/>
    <mergeCell ref="AA3:AB3"/>
    <mergeCell ref="A15:D15"/>
  </mergeCells>
  <pageMargins left="0.6" right="0.25" top="0.75" bottom="1" header="0.5" footer="0.5"/>
  <pageSetup scale="61"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AFA61-545A-4312-A432-46EF668BDCDA}">
  <sheetPr>
    <pageSetUpPr fitToPage="1"/>
  </sheetPr>
  <dimension ref="A1:T49"/>
  <sheetViews>
    <sheetView showZeros="0" workbookViewId="0">
      <selection activeCell="C6" sqref="C6:G6"/>
    </sheetView>
  </sheetViews>
  <sheetFormatPr defaultRowHeight="12.5" x14ac:dyDescent="0.25"/>
  <cols>
    <col min="1" max="1" width="6" customWidth="1"/>
    <col min="2" max="2" width="15.26953125" customWidth="1"/>
    <col min="3" max="7" width="9.7265625" customWidth="1"/>
    <col min="8" max="8" width="1.7265625" customWidth="1"/>
    <col min="9" max="10" width="9.7265625" customWidth="1"/>
    <col min="11" max="11" width="1.26953125" customWidth="1"/>
    <col min="13" max="13" width="6.7265625" customWidth="1"/>
  </cols>
  <sheetData>
    <row r="1" spans="1:20" ht="15.75" customHeight="1" x14ac:dyDescent="0.3">
      <c r="A1" s="432" t="s">
        <v>366</v>
      </c>
      <c r="B1" s="109"/>
      <c r="C1" s="109"/>
      <c r="D1" s="109"/>
      <c r="E1" s="109"/>
      <c r="F1" s="109"/>
      <c r="G1" s="109"/>
      <c r="H1" s="109"/>
      <c r="I1" s="109"/>
      <c r="J1" s="109"/>
    </row>
    <row r="2" spans="1:20" ht="7.9" customHeight="1" x14ac:dyDescent="0.25">
      <c r="A2" s="329"/>
      <c r="B2" s="6"/>
      <c r="C2" s="6"/>
      <c r="D2" s="6"/>
      <c r="E2" s="6"/>
      <c r="F2" s="6"/>
      <c r="G2" s="6"/>
      <c r="H2" s="6"/>
      <c r="I2" s="6"/>
      <c r="J2" s="6"/>
      <c r="K2" s="330"/>
    </row>
    <row r="3" spans="1:20" ht="18" customHeight="1" x14ac:dyDescent="0.3">
      <c r="A3" s="331"/>
      <c r="B3" s="332" t="s">
        <v>48</v>
      </c>
      <c r="C3" s="5">
        <f>D3+1</f>
        <v>2011</v>
      </c>
      <c r="D3" s="5">
        <f>E3+1</f>
        <v>2010</v>
      </c>
      <c r="E3" s="5">
        <f>F3+1</f>
        <v>2009</v>
      </c>
      <c r="F3" s="5">
        <f>G3+1</f>
        <v>2008</v>
      </c>
      <c r="G3" s="5">
        <f>'[4]raw inland'!P4</f>
        <v>2007</v>
      </c>
      <c r="H3" s="5"/>
      <c r="I3" s="709" t="s">
        <v>258</v>
      </c>
      <c r="J3" s="709" t="s">
        <v>259</v>
      </c>
      <c r="K3" s="334"/>
      <c r="M3" s="109"/>
      <c r="N3" s="5"/>
      <c r="O3" s="5"/>
      <c r="P3" s="5"/>
      <c r="Q3" s="5"/>
      <c r="R3" s="5"/>
    </row>
    <row r="4" spans="1:20" ht="18" customHeight="1" x14ac:dyDescent="0.25">
      <c r="A4" s="331"/>
      <c r="B4" s="127" t="s">
        <v>260</v>
      </c>
      <c r="C4" s="110">
        <v>1</v>
      </c>
      <c r="D4" s="110">
        <v>2</v>
      </c>
      <c r="E4" s="110">
        <v>3</v>
      </c>
      <c r="F4" s="110">
        <v>4</v>
      </c>
      <c r="G4" s="110">
        <v>5</v>
      </c>
      <c r="I4" s="710"/>
      <c r="J4" s="710"/>
      <c r="K4" s="334"/>
      <c r="T4" s="127"/>
    </row>
    <row r="5" spans="1:20" ht="5.25" customHeight="1" x14ac:dyDescent="0.25">
      <c r="A5" s="331"/>
      <c r="B5" s="127"/>
      <c r="I5" s="127"/>
      <c r="J5" s="127"/>
      <c r="K5" s="334"/>
      <c r="T5" s="127"/>
    </row>
    <row r="6" spans="1:20" ht="15" customHeight="1" x14ac:dyDescent="0.25">
      <c r="A6" s="711" t="s">
        <v>261</v>
      </c>
      <c r="B6" s="712"/>
      <c r="C6" s="14">
        <f>'[4]raw inland'!L5</f>
        <v>4</v>
      </c>
      <c r="D6" s="14">
        <f>'[4]raw inland'!M5</f>
        <v>3760</v>
      </c>
      <c r="E6" s="14">
        <f>'[4]raw inland'!N5</f>
        <v>24383</v>
      </c>
      <c r="F6" s="14">
        <f>'[4]raw inland'!O5</f>
        <v>410</v>
      </c>
      <c r="G6" s="14">
        <f>'[4]raw inland'!P5</f>
        <v>4</v>
      </c>
      <c r="H6" s="14"/>
      <c r="I6" s="335">
        <f>SUM(C6:G6)</f>
        <v>28561</v>
      </c>
      <c r="J6" s="339">
        <f>I6/$I$41</f>
        <v>0.7063260460975368</v>
      </c>
      <c r="K6" s="334"/>
    </row>
    <row r="7" spans="1:20" ht="15" customHeight="1" x14ac:dyDescent="0.25">
      <c r="A7" s="707"/>
      <c r="B7" s="708"/>
      <c r="C7" s="433" t="s">
        <v>271</v>
      </c>
      <c r="D7" s="434" t="s">
        <v>367</v>
      </c>
      <c r="E7" s="434" t="s">
        <v>368</v>
      </c>
      <c r="F7" s="434" t="s">
        <v>268</v>
      </c>
      <c r="G7" s="434" t="s">
        <v>271</v>
      </c>
      <c r="H7" s="3"/>
      <c r="I7" s="12"/>
      <c r="J7" s="1"/>
      <c r="K7" s="340"/>
      <c r="M7" s="452">
        <f>C6/$I6</f>
        <v>1.4005111865831029E-4</v>
      </c>
      <c r="N7" s="453">
        <f>D6/$I6</f>
        <v>0.13164805153881168</v>
      </c>
      <c r="O7" s="453">
        <f>E6/$I6</f>
        <v>0.85371660656139492</v>
      </c>
      <c r="P7" s="453">
        <f>F6/$I6</f>
        <v>1.4355239662476805E-2</v>
      </c>
      <c r="Q7" s="452">
        <f>G6/$I6</f>
        <v>1.4005111865831029E-4</v>
      </c>
    </row>
    <row r="8" spans="1:20" ht="7.5" customHeight="1" x14ac:dyDescent="0.25">
      <c r="A8" s="337"/>
      <c r="B8" s="74"/>
      <c r="C8" s="433"/>
      <c r="D8" s="434"/>
      <c r="E8" s="434"/>
      <c r="F8" s="434"/>
      <c r="G8" s="434"/>
      <c r="H8" s="3"/>
      <c r="I8" s="12"/>
      <c r="J8" s="1"/>
      <c r="K8" s="340"/>
      <c r="M8" s="452"/>
      <c r="N8" s="453"/>
      <c r="O8" s="453"/>
      <c r="P8" s="453"/>
      <c r="Q8" s="452"/>
    </row>
    <row r="9" spans="1:20" ht="15" customHeight="1" x14ac:dyDescent="0.3">
      <c r="A9" s="707" t="s">
        <v>265</v>
      </c>
      <c r="B9" s="708"/>
      <c r="C9" s="108">
        <f>'[4]raw inland'!L7</f>
        <v>22.9</v>
      </c>
      <c r="D9" s="108">
        <f>'[4]raw inland'!M7</f>
        <v>38898.480000000003</v>
      </c>
      <c r="E9" s="108">
        <f>'[4]raw inland'!N7</f>
        <v>256673.91</v>
      </c>
      <c r="F9" s="108">
        <f>'[4]raw inland'!O7</f>
        <v>5382.81</v>
      </c>
      <c r="G9" s="108">
        <f>'[4]raw inland'!P7</f>
        <v>16.260000000000002</v>
      </c>
      <c r="H9" s="341"/>
      <c r="I9" s="38">
        <f>SUM(C9:G9)</f>
        <v>300994.36000000004</v>
      </c>
      <c r="J9" s="339">
        <f>I9/$I$44</f>
        <v>0.93426897313131796</v>
      </c>
      <c r="K9" s="334"/>
      <c r="M9" s="452"/>
      <c r="N9" s="453"/>
      <c r="O9" s="453"/>
      <c r="P9" s="453"/>
      <c r="Q9" s="452"/>
    </row>
    <row r="10" spans="1:20" ht="15" customHeight="1" x14ac:dyDescent="0.25">
      <c r="A10" s="707"/>
      <c r="B10" s="708"/>
      <c r="C10" s="433" t="s">
        <v>271</v>
      </c>
      <c r="D10" s="434" t="s">
        <v>367</v>
      </c>
      <c r="E10" s="434" t="s">
        <v>368</v>
      </c>
      <c r="F10" s="434" t="s">
        <v>264</v>
      </c>
      <c r="G10" s="434" t="s">
        <v>271</v>
      </c>
      <c r="H10" s="3"/>
      <c r="I10" s="12"/>
      <c r="J10" s="1"/>
      <c r="K10" s="340"/>
      <c r="M10" s="452">
        <f>C9/$I9</f>
        <v>7.6081159793160222E-5</v>
      </c>
      <c r="N10" s="453">
        <f>D9/$I9</f>
        <v>0.12923325207821168</v>
      </c>
      <c r="O10" s="453">
        <f>E9/$I9</f>
        <v>0.85275322102380913</v>
      </c>
      <c r="P10" s="453">
        <f>F9/$I9</f>
        <v>1.7883424792411392E-2</v>
      </c>
      <c r="Q10" s="452">
        <f>G9/$I9</f>
        <v>5.4020945774532117E-5</v>
      </c>
    </row>
    <row r="11" spans="1:20" ht="18" customHeight="1" x14ac:dyDescent="0.25">
      <c r="A11" s="337"/>
      <c r="B11" s="74"/>
      <c r="C11" s="3"/>
      <c r="D11" s="3"/>
      <c r="E11" s="3"/>
      <c r="F11" s="3"/>
      <c r="G11" s="3"/>
      <c r="H11" s="3"/>
      <c r="I11" s="12"/>
      <c r="J11" s="1"/>
      <c r="K11" s="334"/>
      <c r="M11" s="453"/>
      <c r="N11" s="453"/>
      <c r="O11" s="453"/>
      <c r="P11" s="453"/>
      <c r="Q11" s="453"/>
    </row>
    <row r="12" spans="1:20" ht="18" customHeight="1" x14ac:dyDescent="0.3">
      <c r="A12" s="337"/>
      <c r="B12" s="332" t="s">
        <v>47</v>
      </c>
      <c r="C12" s="5">
        <f>C3</f>
        <v>2011</v>
      </c>
      <c r="D12" s="5">
        <f>D3</f>
        <v>2010</v>
      </c>
      <c r="E12" s="5">
        <f>E3</f>
        <v>2009</v>
      </c>
      <c r="F12" s="5">
        <f>F3</f>
        <v>2008</v>
      </c>
      <c r="G12" s="5">
        <f>G3</f>
        <v>2007</v>
      </c>
      <c r="H12" s="5"/>
      <c r="I12" s="709" t="s">
        <v>258</v>
      </c>
      <c r="J12" s="709" t="s">
        <v>259</v>
      </c>
      <c r="K12" s="334"/>
      <c r="M12" s="453"/>
      <c r="N12" s="453"/>
      <c r="O12" s="453"/>
      <c r="P12" s="453"/>
      <c r="Q12" s="453"/>
    </row>
    <row r="13" spans="1:20" ht="18" customHeight="1" x14ac:dyDescent="0.25">
      <c r="A13" s="337"/>
      <c r="B13" s="74" t="s">
        <v>260</v>
      </c>
      <c r="C13" s="219">
        <v>1</v>
      </c>
      <c r="D13" s="219">
        <v>2</v>
      </c>
      <c r="E13" s="219">
        <v>3</v>
      </c>
      <c r="F13" s="219">
        <v>4</v>
      </c>
      <c r="G13" s="219">
        <v>5</v>
      </c>
      <c r="H13" s="3"/>
      <c r="I13" s="710"/>
      <c r="J13" s="710"/>
      <c r="K13" s="334"/>
      <c r="M13" s="453"/>
      <c r="N13" s="453"/>
      <c r="O13" s="453"/>
      <c r="P13" s="453"/>
      <c r="Q13" s="453"/>
    </row>
    <row r="14" spans="1:20" ht="5.25" customHeight="1" x14ac:dyDescent="0.25">
      <c r="A14" s="337"/>
      <c r="B14" s="74"/>
      <c r="C14" s="3"/>
      <c r="D14" s="3"/>
      <c r="E14" s="3"/>
      <c r="F14" s="3"/>
      <c r="G14" s="3"/>
      <c r="H14" s="3"/>
      <c r="I14" s="12"/>
      <c r="J14" s="1"/>
      <c r="K14" s="334"/>
      <c r="M14" s="453"/>
      <c r="N14" s="453"/>
      <c r="O14" s="453"/>
      <c r="P14" s="453"/>
      <c r="Q14" s="453"/>
    </row>
    <row r="15" spans="1:20" ht="15" customHeight="1" x14ac:dyDescent="0.25">
      <c r="A15" s="711" t="s">
        <v>261</v>
      </c>
      <c r="B15" s="712"/>
      <c r="C15" s="3"/>
      <c r="D15" s="341">
        <f>'[4]raw inland'!M12</f>
        <v>611</v>
      </c>
      <c r="E15" s="341">
        <f>'[4]raw inland'!N12</f>
        <v>7501</v>
      </c>
      <c r="F15" s="341">
        <f>'[4]raw inland'!O12</f>
        <v>178</v>
      </c>
      <c r="G15" s="341"/>
      <c r="H15" s="341"/>
      <c r="I15" s="38">
        <f>SUM(C15:G15)</f>
        <v>8290</v>
      </c>
      <c r="J15" s="339">
        <f>I15/$I$41</f>
        <v>0.20501533287169849</v>
      </c>
      <c r="K15" s="334"/>
      <c r="M15" s="453"/>
      <c r="N15" s="453"/>
      <c r="O15" s="453"/>
      <c r="P15" s="453"/>
      <c r="Q15" s="453"/>
    </row>
    <row r="16" spans="1:20" ht="15" customHeight="1" x14ac:dyDescent="0.25">
      <c r="A16" s="707"/>
      <c r="B16" s="708"/>
      <c r="C16" s="436"/>
      <c r="D16" s="434" t="s">
        <v>281</v>
      </c>
      <c r="E16" s="434" t="s">
        <v>369</v>
      </c>
      <c r="F16" s="434" t="s">
        <v>264</v>
      </c>
      <c r="G16" s="434"/>
      <c r="H16" s="3"/>
      <c r="I16" s="12"/>
      <c r="J16" s="1"/>
      <c r="K16" s="340"/>
      <c r="M16" s="453">
        <f>C15/$I15</f>
        <v>0</v>
      </c>
      <c r="N16" s="453">
        <f>D15/$I15</f>
        <v>7.3703256936067552E-2</v>
      </c>
      <c r="O16" s="453">
        <f>E15/$I15</f>
        <v>0.90482509047044635</v>
      </c>
      <c r="P16" s="453">
        <f>F15/$I15</f>
        <v>2.1471652593486129E-2</v>
      </c>
      <c r="Q16" s="453">
        <f>G15/$I15</f>
        <v>0</v>
      </c>
    </row>
    <row r="17" spans="1:18" ht="7.5" customHeight="1" x14ac:dyDescent="0.25">
      <c r="A17" s="337"/>
      <c r="B17" s="74"/>
      <c r="C17" s="436"/>
      <c r="D17" s="434"/>
      <c r="E17" s="434"/>
      <c r="F17" s="434"/>
      <c r="G17" s="434"/>
      <c r="H17" s="3"/>
      <c r="I17" s="12"/>
      <c r="J17" s="1"/>
      <c r="K17" s="340"/>
      <c r="M17" s="453"/>
      <c r="N17" s="453"/>
      <c r="O17" s="453"/>
      <c r="P17" s="453"/>
      <c r="Q17" s="453"/>
    </row>
    <row r="18" spans="1:18" ht="15" customHeight="1" x14ac:dyDescent="0.3">
      <c r="A18" s="707" t="s">
        <v>265</v>
      </c>
      <c r="B18" s="708"/>
      <c r="C18" s="351"/>
      <c r="D18" s="108">
        <f>'[4]raw inland'!M14</f>
        <v>938.64</v>
      </c>
      <c r="E18" s="108">
        <f>'[4]raw inland'!N14</f>
        <v>14732.66</v>
      </c>
      <c r="F18" s="108">
        <f>'[4]raw inland'!O14</f>
        <v>512.14</v>
      </c>
      <c r="G18" s="108"/>
      <c r="H18" s="341"/>
      <c r="I18" s="38">
        <f>SUM(C18:G18)</f>
        <v>16183.439999999999</v>
      </c>
      <c r="J18" s="339">
        <f>I18/$I$44</f>
        <v>5.0232455752766574E-2</v>
      </c>
      <c r="K18" s="334"/>
      <c r="M18" s="453"/>
      <c r="N18" s="453"/>
      <c r="O18" s="453"/>
      <c r="P18" s="453"/>
      <c r="Q18" s="453"/>
    </row>
    <row r="19" spans="1:18" ht="15" customHeight="1" x14ac:dyDescent="0.25">
      <c r="A19" s="707"/>
      <c r="B19" s="708"/>
      <c r="C19" s="436"/>
      <c r="D19" s="434" t="s">
        <v>267</v>
      </c>
      <c r="E19" s="434" t="s">
        <v>370</v>
      </c>
      <c r="F19" s="434" t="s">
        <v>294</v>
      </c>
      <c r="G19" s="434"/>
      <c r="H19" s="3"/>
      <c r="I19" s="12"/>
      <c r="J19" s="1"/>
      <c r="K19" s="340"/>
      <c r="M19" s="453">
        <f>C18/$I18</f>
        <v>0</v>
      </c>
      <c r="N19" s="453">
        <f>D18/$I18</f>
        <v>5.8000029659948694E-2</v>
      </c>
      <c r="O19" s="453">
        <f>E18/$I18</f>
        <v>0.9103540409208426</v>
      </c>
      <c r="P19" s="453">
        <f>F18/$I18</f>
        <v>3.1645929419208775E-2</v>
      </c>
      <c r="Q19" s="453">
        <f>G18/$I18</f>
        <v>0</v>
      </c>
    </row>
    <row r="20" spans="1:18" ht="18" customHeight="1" x14ac:dyDescent="0.25">
      <c r="A20" s="337"/>
      <c r="B20" s="74"/>
      <c r="C20" s="3"/>
      <c r="D20" s="3"/>
      <c r="E20" s="3"/>
      <c r="F20" s="3"/>
      <c r="G20" s="3"/>
      <c r="H20" s="3"/>
      <c r="I20" s="12"/>
      <c r="J20" s="1"/>
      <c r="K20" s="334"/>
      <c r="M20" s="453"/>
      <c r="N20" s="453"/>
      <c r="O20" s="453"/>
      <c r="P20" s="453"/>
      <c r="Q20" s="453"/>
    </row>
    <row r="21" spans="1:18" ht="18" customHeight="1" x14ac:dyDescent="0.3">
      <c r="A21" s="337"/>
      <c r="B21" s="332" t="s">
        <v>360</v>
      </c>
      <c r="C21" s="5"/>
      <c r="D21" s="5">
        <f>E21+1</f>
        <v>2011</v>
      </c>
      <c r="E21" s="5">
        <f>F21+1</f>
        <v>2010</v>
      </c>
      <c r="F21" s="5">
        <f>G21+1</f>
        <v>2009</v>
      </c>
      <c r="G21" s="5">
        <f>'[4]raw ocean'!O16</f>
        <v>2008</v>
      </c>
      <c r="H21" s="5"/>
      <c r="I21" s="709" t="s">
        <v>258</v>
      </c>
      <c r="J21" s="709" t="s">
        <v>259</v>
      </c>
      <c r="K21" s="334"/>
      <c r="M21" s="453"/>
      <c r="N21" s="453"/>
      <c r="O21" s="453"/>
      <c r="P21" s="453"/>
      <c r="Q21" s="453"/>
    </row>
    <row r="22" spans="1:18" ht="18" customHeight="1" x14ac:dyDescent="0.25">
      <c r="A22" s="337"/>
      <c r="B22" s="74" t="s">
        <v>260</v>
      </c>
      <c r="C22" s="219"/>
      <c r="D22" s="219">
        <v>2</v>
      </c>
      <c r="E22" s="219">
        <v>3</v>
      </c>
      <c r="F22" s="219">
        <v>4</v>
      </c>
      <c r="G22" s="219">
        <v>5</v>
      </c>
      <c r="H22" s="3"/>
      <c r="I22" s="710"/>
      <c r="J22" s="710"/>
      <c r="K22" s="334"/>
      <c r="M22" s="453"/>
      <c r="N22" s="453"/>
      <c r="O22" s="453"/>
      <c r="P22" s="453"/>
      <c r="Q22" s="453"/>
    </row>
    <row r="23" spans="1:18" ht="5.25" customHeight="1" x14ac:dyDescent="0.25">
      <c r="A23" s="337"/>
      <c r="B23" s="74"/>
      <c r="C23" s="3"/>
      <c r="D23" s="3"/>
      <c r="E23" s="3"/>
      <c r="F23" s="3"/>
      <c r="G23" s="3"/>
      <c r="H23" s="3"/>
      <c r="I23" s="12"/>
      <c r="J23" s="1"/>
      <c r="K23" s="334"/>
      <c r="M23" s="453"/>
      <c r="N23" s="453"/>
      <c r="O23" s="453"/>
      <c r="P23" s="453"/>
      <c r="Q23" s="453"/>
    </row>
    <row r="24" spans="1:18" ht="15" customHeight="1" x14ac:dyDescent="0.25">
      <c r="A24" s="711" t="s">
        <v>261</v>
      </c>
      <c r="B24" s="712"/>
      <c r="C24" s="3"/>
      <c r="D24" s="341">
        <f>'[4]raw inland'!M26</f>
        <v>366</v>
      </c>
      <c r="E24" s="341">
        <f>'[4]raw inland'!N26</f>
        <v>2719</v>
      </c>
      <c r="F24" s="341">
        <f>'[4]raw inland'!O26</f>
        <v>186</v>
      </c>
      <c r="G24" s="341">
        <f>'[4]raw inland'!P26</f>
        <v>2</v>
      </c>
      <c r="H24" s="341"/>
      <c r="I24" s="38">
        <f>SUM(D24:G24)</f>
        <v>3273</v>
      </c>
      <c r="J24" s="339">
        <f>I24/$I$41</f>
        <v>8.0942724305074681E-2</v>
      </c>
      <c r="K24" s="334"/>
      <c r="M24" s="453"/>
      <c r="N24" s="453"/>
      <c r="O24" s="453"/>
      <c r="P24" s="453"/>
      <c r="Q24" s="453"/>
    </row>
    <row r="25" spans="1:18" ht="15" customHeight="1" x14ac:dyDescent="0.25">
      <c r="A25" s="707"/>
      <c r="B25" s="708"/>
      <c r="C25" s="3"/>
      <c r="D25" s="434" t="s">
        <v>363</v>
      </c>
      <c r="E25" s="434" t="s">
        <v>280</v>
      </c>
      <c r="F25" s="434" t="s">
        <v>267</v>
      </c>
      <c r="G25" s="433" t="s">
        <v>271</v>
      </c>
      <c r="H25" s="434"/>
      <c r="I25" s="437"/>
      <c r="J25" s="1"/>
      <c r="K25" s="340"/>
      <c r="M25" s="453">
        <f>C24/$I24</f>
        <v>0</v>
      </c>
      <c r="N25" s="453">
        <f>D24/$I24</f>
        <v>0.11182401466544455</v>
      </c>
      <c r="O25" s="453">
        <f>E24/$I24</f>
        <v>0.83073632752826154</v>
      </c>
      <c r="P25" s="453">
        <f>F24/$I24</f>
        <v>5.6828597616865262E-2</v>
      </c>
      <c r="Q25" s="453">
        <f>G24/$I24</f>
        <v>6.1106018942865871E-4</v>
      </c>
      <c r="R25" s="180"/>
    </row>
    <row r="26" spans="1:18" ht="7.5" customHeight="1" x14ac:dyDescent="0.25">
      <c r="A26" s="337"/>
      <c r="B26" s="74"/>
      <c r="C26" s="3"/>
      <c r="D26" s="434"/>
      <c r="E26" s="434"/>
      <c r="F26" s="434"/>
      <c r="G26" s="434"/>
      <c r="H26" s="434"/>
      <c r="I26" s="437"/>
      <c r="J26" s="1"/>
      <c r="K26" s="340"/>
      <c r="M26" s="453"/>
      <c r="N26" s="453"/>
      <c r="O26" s="453"/>
      <c r="P26" s="453"/>
      <c r="Q26" s="453"/>
    </row>
    <row r="27" spans="1:18" ht="15" customHeight="1" x14ac:dyDescent="0.3">
      <c r="A27" s="707" t="s">
        <v>265</v>
      </c>
      <c r="B27" s="708"/>
      <c r="C27" s="88"/>
      <c r="D27" s="108">
        <f>'[4]raw inland'!M28</f>
        <v>467.42</v>
      </c>
      <c r="E27" s="108">
        <f>'[4]raw inland'!N28</f>
        <v>3432.38</v>
      </c>
      <c r="F27" s="108">
        <f>'[4]raw inland'!O28</f>
        <v>323.91000000000003</v>
      </c>
      <c r="G27" s="108">
        <f>'[4]raw inland'!P28</f>
        <v>2.0299999999999998</v>
      </c>
      <c r="H27" s="108"/>
      <c r="I27" s="38">
        <f>SUM(D27:G27)</f>
        <v>4225.74</v>
      </c>
      <c r="J27" s="339">
        <f>I27/$I$44</f>
        <v>1.3116450987719287E-2</v>
      </c>
      <c r="K27" s="334"/>
      <c r="M27" s="453"/>
      <c r="N27" s="453"/>
      <c r="O27" s="453"/>
      <c r="P27" s="453"/>
      <c r="Q27" s="453"/>
    </row>
    <row r="28" spans="1:18" ht="15" customHeight="1" x14ac:dyDescent="0.25">
      <c r="A28" s="707"/>
      <c r="B28" s="708"/>
      <c r="C28" s="3"/>
      <c r="D28" s="434" t="s">
        <v>363</v>
      </c>
      <c r="E28" s="434" t="s">
        <v>371</v>
      </c>
      <c r="F28" s="434" t="s">
        <v>282</v>
      </c>
      <c r="G28" s="433" t="s">
        <v>271</v>
      </c>
      <c r="H28" s="434"/>
      <c r="I28" s="437"/>
      <c r="J28" s="1"/>
      <c r="K28" s="340"/>
      <c r="M28" s="453">
        <f>C27/$I27</f>
        <v>0</v>
      </c>
      <c r="N28" s="453">
        <f>D27/$I27</f>
        <v>0.1106125790985721</v>
      </c>
      <c r="O28" s="453">
        <f>E27/$I27</f>
        <v>0.81225536829052436</v>
      </c>
      <c r="P28" s="453">
        <f>F27/$I27</f>
        <v>7.6651663377301976E-2</v>
      </c>
      <c r="Q28" s="453">
        <f>G27/$I27</f>
        <v>4.8038923360168868E-4</v>
      </c>
    </row>
    <row r="29" spans="1:18" ht="18" customHeight="1" x14ac:dyDescent="0.25">
      <c r="A29" s="337"/>
      <c r="B29" s="74"/>
      <c r="C29" s="3"/>
      <c r="D29" s="436"/>
      <c r="E29" s="436"/>
      <c r="F29" s="436"/>
      <c r="G29" s="436"/>
      <c r="H29" s="436"/>
      <c r="I29" s="438"/>
      <c r="J29" s="1"/>
      <c r="K29" s="334"/>
      <c r="M29" s="453"/>
      <c r="N29" s="453"/>
      <c r="O29" s="453"/>
      <c r="P29" s="453"/>
      <c r="Q29" s="453"/>
    </row>
    <row r="30" spans="1:18" ht="18" customHeight="1" x14ac:dyDescent="0.3">
      <c r="A30" s="337"/>
      <c r="B30" s="332" t="s">
        <v>42</v>
      </c>
      <c r="C30" s="5"/>
      <c r="D30" s="5">
        <f>E30+1</f>
        <v>2010</v>
      </c>
      <c r="E30" s="5">
        <f>F30+1</f>
        <v>2009</v>
      </c>
      <c r="F30" s="5">
        <f>G30+1</f>
        <v>2008</v>
      </c>
      <c r="G30" s="5">
        <v>2007</v>
      </c>
      <c r="H30" s="5"/>
      <c r="I30" s="709" t="s">
        <v>258</v>
      </c>
      <c r="J30" s="709" t="s">
        <v>259</v>
      </c>
      <c r="K30" s="334"/>
      <c r="M30" s="453"/>
      <c r="N30" s="453"/>
      <c r="O30" s="453"/>
      <c r="P30" s="453"/>
      <c r="Q30" s="453"/>
    </row>
    <row r="31" spans="1:18" ht="18" customHeight="1" x14ac:dyDescent="0.25">
      <c r="A31" s="337"/>
      <c r="B31" s="74" t="s">
        <v>260</v>
      </c>
      <c r="C31" s="219"/>
      <c r="D31" s="219">
        <v>2</v>
      </c>
      <c r="E31" s="219">
        <v>3</v>
      </c>
      <c r="F31" s="219">
        <v>4</v>
      </c>
      <c r="G31" s="219">
        <v>5</v>
      </c>
      <c r="H31" s="3"/>
      <c r="I31" s="710"/>
      <c r="J31" s="710"/>
      <c r="K31" s="334"/>
      <c r="M31" s="453"/>
      <c r="N31" s="453"/>
      <c r="O31" s="453"/>
      <c r="P31" s="453"/>
      <c r="Q31" s="453"/>
    </row>
    <row r="32" spans="1:18" ht="5.25" customHeight="1" x14ac:dyDescent="0.25">
      <c r="A32" s="337"/>
      <c r="B32" s="74"/>
      <c r="C32" s="3"/>
      <c r="D32" s="3"/>
      <c r="E32" s="3"/>
      <c r="F32" s="3"/>
      <c r="G32" s="3"/>
      <c r="H32" s="3"/>
      <c r="I32" s="12"/>
      <c r="J32" s="1"/>
      <c r="K32" s="334"/>
      <c r="M32" s="453"/>
      <c r="N32" s="453"/>
      <c r="O32" s="453"/>
      <c r="P32" s="453"/>
      <c r="Q32" s="453"/>
    </row>
    <row r="33" spans="1:18" ht="15" customHeight="1" x14ac:dyDescent="0.25">
      <c r="A33" s="711" t="s">
        <v>261</v>
      </c>
      <c r="B33" s="712"/>
      <c r="C33" s="3"/>
      <c r="D33" s="341">
        <f>'[4]raw inland'!M19</f>
        <v>1</v>
      </c>
      <c r="E33" s="341">
        <f>'[4]raw inland'!N19</f>
        <v>311</v>
      </c>
      <c r="F33" s="341"/>
      <c r="G33" s="341"/>
      <c r="H33" s="341"/>
      <c r="I33" s="38">
        <f>SUM(D33:G33)</f>
        <v>312</v>
      </c>
      <c r="J33" s="339">
        <f>I33/$I$41</f>
        <v>7.7158967256899793E-3</v>
      </c>
      <c r="K33" s="334"/>
      <c r="M33" s="453"/>
      <c r="N33" s="453"/>
      <c r="O33" s="453"/>
      <c r="P33" s="453"/>
      <c r="Q33" s="453"/>
    </row>
    <row r="34" spans="1:18" ht="15" customHeight="1" x14ac:dyDescent="0.25">
      <c r="A34" s="707"/>
      <c r="B34" s="708"/>
      <c r="C34" s="3"/>
      <c r="D34" s="433" t="s">
        <v>271</v>
      </c>
      <c r="E34" s="434" t="s">
        <v>372</v>
      </c>
      <c r="F34" s="434"/>
      <c r="G34" s="434"/>
      <c r="H34" s="434"/>
      <c r="I34" s="437"/>
      <c r="J34" s="1"/>
      <c r="K34" s="334"/>
      <c r="M34" s="453">
        <f>C33/$I33</f>
        <v>0</v>
      </c>
      <c r="N34" s="453">
        <f>D33/$I33</f>
        <v>3.205128205128205E-3</v>
      </c>
      <c r="O34" s="453">
        <f>E33/$I33</f>
        <v>0.99679487179487181</v>
      </c>
      <c r="P34" s="453">
        <f>F33/$I33</f>
        <v>0</v>
      </c>
      <c r="Q34" s="453">
        <f>G33/$I33</f>
        <v>0</v>
      </c>
    </row>
    <row r="35" spans="1:18" ht="7.5" customHeight="1" x14ac:dyDescent="0.25">
      <c r="A35" s="337"/>
      <c r="B35" s="74"/>
      <c r="C35" s="3"/>
      <c r="D35" s="434"/>
      <c r="E35" s="434"/>
      <c r="F35" s="434"/>
      <c r="G35" s="434"/>
      <c r="H35" s="434"/>
      <c r="I35" s="437"/>
      <c r="J35" s="1"/>
      <c r="K35" s="334"/>
      <c r="M35" s="453"/>
      <c r="N35" s="453"/>
      <c r="O35" s="453"/>
      <c r="P35" s="453"/>
      <c r="Q35" s="453"/>
    </row>
    <row r="36" spans="1:18" ht="15" customHeight="1" x14ac:dyDescent="0.3">
      <c r="A36" s="707" t="s">
        <v>265</v>
      </c>
      <c r="B36" s="708"/>
      <c r="C36" s="88"/>
      <c r="D36" s="108">
        <f>'[4]raw inland'!M21</f>
        <v>2.66</v>
      </c>
      <c r="E36" s="108">
        <f>'[4]raw inland'!N21</f>
        <v>764.79</v>
      </c>
      <c r="F36" s="108"/>
      <c r="G36" s="108"/>
      <c r="H36" s="108"/>
      <c r="I36" s="38">
        <f>SUM(D36:G36)</f>
        <v>767.44999999999993</v>
      </c>
      <c r="J36" s="441">
        <f>I36/$I$44</f>
        <v>2.3821201281965208E-3</v>
      </c>
      <c r="K36" s="334"/>
      <c r="M36" s="453"/>
      <c r="N36" s="453"/>
      <c r="O36" s="453"/>
      <c r="P36" s="453"/>
      <c r="Q36" s="453"/>
    </row>
    <row r="37" spans="1:18" ht="15" customHeight="1" x14ac:dyDescent="0.25">
      <c r="A37" s="707"/>
      <c r="B37" s="708"/>
      <c r="C37" s="3"/>
      <c r="D37" s="433" t="s">
        <v>271</v>
      </c>
      <c r="E37" s="434" t="s">
        <v>372</v>
      </c>
      <c r="F37" s="434"/>
      <c r="G37" s="434"/>
      <c r="H37" s="434"/>
      <c r="I37" s="437"/>
      <c r="J37" s="1"/>
      <c r="K37" s="334"/>
      <c r="M37" s="453">
        <f>C36/$I36</f>
        <v>0</v>
      </c>
      <c r="N37" s="453">
        <f>D36/$I36</f>
        <v>3.4660238452016421E-3</v>
      </c>
      <c r="O37" s="453">
        <f>E36/$I36</f>
        <v>0.99653397615479844</v>
      </c>
      <c r="P37" s="453">
        <f>F36/$I36</f>
        <v>0</v>
      </c>
      <c r="Q37" s="453">
        <f>G36/$I36</f>
        <v>0</v>
      </c>
    </row>
    <row r="38" spans="1:18" ht="16.899999999999999" customHeight="1" x14ac:dyDescent="0.3">
      <c r="A38" s="337"/>
      <c r="B38" s="332" t="s">
        <v>278</v>
      </c>
      <c r="C38" s="3"/>
      <c r="D38" s="439"/>
      <c r="E38" s="439"/>
      <c r="F38" s="439"/>
      <c r="G38" s="439"/>
      <c r="H38" s="439"/>
      <c r="I38" s="709" t="s">
        <v>258</v>
      </c>
      <c r="J38" s="709" t="s">
        <v>259</v>
      </c>
      <c r="K38" s="334"/>
      <c r="M38" s="442"/>
      <c r="N38" s="442"/>
      <c r="O38" s="442"/>
      <c r="P38" s="442"/>
      <c r="Q38" s="442"/>
    </row>
    <row r="39" spans="1:18" x14ac:dyDescent="0.25">
      <c r="A39" s="337"/>
      <c r="B39" s="74" t="s">
        <v>260</v>
      </c>
      <c r="C39" s="219">
        <v>1</v>
      </c>
      <c r="D39" s="219">
        <v>2</v>
      </c>
      <c r="E39" s="219">
        <v>3</v>
      </c>
      <c r="F39" s="219">
        <v>4</v>
      </c>
      <c r="G39" s="219">
        <v>5</v>
      </c>
      <c r="H39" s="3"/>
      <c r="I39" s="710"/>
      <c r="J39" s="710"/>
      <c r="K39" s="334"/>
      <c r="L39" s="127"/>
      <c r="M39" s="442"/>
      <c r="N39" s="442"/>
      <c r="O39" s="442"/>
      <c r="P39" s="442"/>
      <c r="Q39" s="442"/>
    </row>
    <row r="40" spans="1:18" x14ac:dyDescent="0.25">
      <c r="A40" s="337"/>
      <c r="B40" s="74"/>
      <c r="C40" s="3"/>
      <c r="D40" s="3"/>
      <c r="E40" s="3"/>
      <c r="F40" s="3"/>
      <c r="G40" s="3"/>
      <c r="H40" s="3"/>
      <c r="I40" s="12"/>
      <c r="J40" s="1"/>
      <c r="K40" s="334"/>
      <c r="L40" s="127"/>
      <c r="M40" s="442"/>
      <c r="N40" s="442"/>
      <c r="O40" s="442"/>
      <c r="P40" s="442"/>
      <c r="Q40" s="442"/>
    </row>
    <row r="41" spans="1:18" x14ac:dyDescent="0.25">
      <c r="A41" s="711" t="s">
        <v>261</v>
      </c>
      <c r="B41" s="712"/>
      <c r="C41" s="341">
        <f>C33+C24+C15+C6</f>
        <v>4</v>
      </c>
      <c r="D41" s="341">
        <f>D33+D24+D15+D6</f>
        <v>4738</v>
      </c>
      <c r="E41" s="341">
        <f>E33+E24+E15+E6</f>
        <v>34914</v>
      </c>
      <c r="F41" s="341">
        <f>F33+F24+F15+F6</f>
        <v>774</v>
      </c>
      <c r="G41" s="341">
        <f>G33+G24+G15+G6</f>
        <v>6</v>
      </c>
      <c r="H41" s="341"/>
      <c r="I41" s="38">
        <f>SUM(C41:H41)</f>
        <v>40436</v>
      </c>
      <c r="J41" s="339">
        <f>J33+J24+J15+J6</f>
        <v>1</v>
      </c>
      <c r="K41" s="334"/>
      <c r="M41" s="442"/>
      <c r="N41" s="442"/>
      <c r="O41" s="442"/>
      <c r="P41" s="442"/>
      <c r="Q41" s="442"/>
    </row>
    <row r="42" spans="1:18" x14ac:dyDescent="0.25">
      <c r="A42" s="707"/>
      <c r="B42" s="708"/>
      <c r="C42" s="434" t="s">
        <v>271</v>
      </c>
      <c r="D42" s="434" t="s">
        <v>262</v>
      </c>
      <c r="E42" s="434" t="s">
        <v>263</v>
      </c>
      <c r="F42" s="434" t="s">
        <v>264</v>
      </c>
      <c r="G42" s="433" t="s">
        <v>271</v>
      </c>
      <c r="H42" s="434"/>
      <c r="I42" s="437"/>
      <c r="J42" s="336"/>
      <c r="K42" s="334"/>
      <c r="M42" s="454">
        <f>C41/$I41</f>
        <v>9.8921752893461277E-5</v>
      </c>
      <c r="N42" s="452">
        <f>D41/$I41</f>
        <v>0.11717281630230487</v>
      </c>
      <c r="O42" s="452">
        <f>E41/$I41</f>
        <v>0.86343852013057676</v>
      </c>
      <c r="P42" s="452">
        <f>F41/$I41</f>
        <v>1.9141359184884757E-2</v>
      </c>
      <c r="Q42" s="454">
        <f>G41/$I41</f>
        <v>1.483826293401919E-4</v>
      </c>
      <c r="R42" s="150"/>
    </row>
    <row r="43" spans="1:18" x14ac:dyDescent="0.25">
      <c r="A43" s="337"/>
      <c r="B43" s="74"/>
      <c r="C43" s="434"/>
      <c r="D43" s="434"/>
      <c r="E43" s="434"/>
      <c r="F43" s="434"/>
      <c r="G43" s="434"/>
      <c r="H43" s="434"/>
      <c r="I43" s="437"/>
      <c r="J43" s="336"/>
      <c r="K43" s="334"/>
      <c r="M43" s="453"/>
      <c r="N43" s="452"/>
      <c r="O43" s="453"/>
      <c r="P43" s="453"/>
      <c r="Q43" s="453"/>
      <c r="R43" s="180"/>
    </row>
    <row r="44" spans="1:18" ht="13" x14ac:dyDescent="0.3">
      <c r="A44" s="707" t="s">
        <v>265</v>
      </c>
      <c r="B44" s="708"/>
      <c r="C44" s="108">
        <f t="shared" ref="C44:G44" si="0">C9+C18+C27+C36</f>
        <v>22.9</v>
      </c>
      <c r="D44" s="108">
        <f t="shared" si="0"/>
        <v>40307.200000000004</v>
      </c>
      <c r="E44" s="108">
        <f t="shared" si="0"/>
        <v>275603.74</v>
      </c>
      <c r="F44" s="108">
        <f t="shared" si="0"/>
        <v>6218.8600000000006</v>
      </c>
      <c r="G44" s="108">
        <f t="shared" si="0"/>
        <v>18.290000000000003</v>
      </c>
      <c r="H44" s="108"/>
      <c r="I44" s="38">
        <f>SUM(C44:G44)</f>
        <v>322170.98999999993</v>
      </c>
      <c r="J44" s="339">
        <f>J36+J27+J18+J9</f>
        <v>1.0000000000000004</v>
      </c>
      <c r="K44" s="334"/>
      <c r="M44" s="453"/>
      <c r="N44" s="452"/>
      <c r="O44" s="453"/>
      <c r="P44" s="453"/>
      <c r="Q44" s="453"/>
      <c r="R44" s="180"/>
    </row>
    <row r="45" spans="1:18" x14ac:dyDescent="0.25">
      <c r="A45" s="707"/>
      <c r="B45" s="708"/>
      <c r="C45" s="434" t="s">
        <v>271</v>
      </c>
      <c r="D45" s="434" t="s">
        <v>262</v>
      </c>
      <c r="E45" s="434" t="s">
        <v>263</v>
      </c>
      <c r="F45" s="434" t="s">
        <v>264</v>
      </c>
      <c r="G45" s="433" t="s">
        <v>271</v>
      </c>
      <c r="H45" s="434"/>
      <c r="I45" s="434"/>
      <c r="K45" s="334"/>
      <c r="M45" s="454">
        <f>C44/$I44</f>
        <v>7.1080267034595517E-5</v>
      </c>
      <c r="N45" s="452">
        <f>D44/$I44</f>
        <v>0.12511120259462222</v>
      </c>
      <c r="O45" s="452">
        <f>E44/$I44</f>
        <v>0.85545796659097095</v>
      </c>
      <c r="P45" s="452">
        <f>F44/$I44</f>
        <v>1.9302979451998461E-2</v>
      </c>
      <c r="Q45" s="454">
        <f>G44/$I44</f>
        <v>5.6771095373919316E-5</v>
      </c>
      <c r="R45" s="150"/>
    </row>
    <row r="46" spans="1:18" x14ac:dyDescent="0.25">
      <c r="A46" s="347"/>
      <c r="B46" s="348"/>
      <c r="C46" s="440"/>
      <c r="D46" s="440" t="s">
        <v>284</v>
      </c>
      <c r="E46" s="440"/>
      <c r="F46" s="440"/>
      <c r="G46" s="440"/>
      <c r="H46" s="440"/>
      <c r="I46" s="440"/>
      <c r="J46" s="110"/>
      <c r="K46" s="350"/>
      <c r="M46" s="442"/>
      <c r="N46" s="442"/>
      <c r="O46" s="442"/>
      <c r="P46" s="442"/>
      <c r="Q46" s="442"/>
    </row>
    <row r="47" spans="1:18" x14ac:dyDescent="0.25">
      <c r="M47" s="442"/>
      <c r="N47" s="442"/>
      <c r="O47" s="442"/>
      <c r="P47" s="442"/>
      <c r="Q47" s="442"/>
    </row>
    <row r="48" spans="1:18" x14ac:dyDescent="0.25">
      <c r="M48" s="442"/>
      <c r="N48" s="442"/>
      <c r="O48" s="442"/>
      <c r="P48" s="442"/>
      <c r="Q48" s="442"/>
    </row>
    <row r="49" spans="13:17" x14ac:dyDescent="0.25">
      <c r="M49" s="442"/>
      <c r="N49" s="442"/>
      <c r="O49" s="442"/>
      <c r="P49" s="442"/>
      <c r="Q49" s="442"/>
    </row>
  </sheetData>
  <mergeCells count="30">
    <mergeCell ref="A45:B45"/>
    <mergeCell ref="I30:I31"/>
    <mergeCell ref="J30:J31"/>
    <mergeCell ref="A33:B33"/>
    <mergeCell ref="A34:B34"/>
    <mergeCell ref="A36:B36"/>
    <mergeCell ref="A37:B37"/>
    <mergeCell ref="I38:I39"/>
    <mergeCell ref="J38:J39"/>
    <mergeCell ref="A41:B41"/>
    <mergeCell ref="A42:B42"/>
    <mergeCell ref="A44:B44"/>
    <mergeCell ref="A28:B28"/>
    <mergeCell ref="I12:I13"/>
    <mergeCell ref="J12:J13"/>
    <mergeCell ref="A15:B15"/>
    <mergeCell ref="A16:B16"/>
    <mergeCell ref="A18:B18"/>
    <mergeCell ref="A19:B19"/>
    <mergeCell ref="I21:I22"/>
    <mergeCell ref="J21:J22"/>
    <mergeCell ref="A24:B24"/>
    <mergeCell ref="A25:B25"/>
    <mergeCell ref="A27:B27"/>
    <mergeCell ref="A10:B10"/>
    <mergeCell ref="I3:I4"/>
    <mergeCell ref="J3:J4"/>
    <mergeCell ref="A6:B6"/>
    <mergeCell ref="A7:B7"/>
    <mergeCell ref="A9:B9"/>
  </mergeCells>
  <printOptions horizontalCentered="1"/>
  <pageMargins left="0.5" right="0.28999999999999998" top="0.75" bottom="1" header="0.5" footer="0.5"/>
  <pageSetup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5AA8A-5244-494F-84B6-57A2269797DC}">
  <sheetPr>
    <pageSetUpPr fitToPage="1"/>
  </sheetPr>
  <dimension ref="A1:AC52"/>
  <sheetViews>
    <sheetView showGridLines="0" showZeros="0" zoomScaleNormal="100" zoomScalePageLayoutView="75" workbookViewId="0">
      <selection activeCell="Z12" sqref="Z12"/>
    </sheetView>
  </sheetViews>
  <sheetFormatPr defaultRowHeight="12.5" x14ac:dyDescent="0.25"/>
  <cols>
    <col min="1" max="1" width="21.26953125" customWidth="1"/>
    <col min="2" max="2" width="8.81640625" style="1" hidden="1" customWidth="1"/>
    <col min="3" max="3" width="6.54296875" style="1" hidden="1" customWidth="1"/>
    <col min="4" max="4" width="8.453125" style="1" bestFit="1" customWidth="1"/>
    <col min="5" max="5" width="7.1796875" style="1" customWidth="1"/>
    <col min="6" max="22" width="7.1796875" customWidth="1"/>
    <col min="23" max="23" width="7" customWidth="1"/>
    <col min="24" max="25" width="9" customWidth="1"/>
    <col min="26" max="26" width="9.54296875" customWidth="1"/>
    <col min="27" max="27" width="1" customWidth="1"/>
  </cols>
  <sheetData>
    <row r="1" spans="1:29" ht="21.75" customHeight="1" x14ac:dyDescent="0.25">
      <c r="A1" s="409" t="s">
        <v>343</v>
      </c>
    </row>
    <row r="2" spans="1:29" ht="6" customHeight="1" x14ac:dyDescent="0.25">
      <c r="A2" s="329"/>
      <c r="B2" s="7"/>
      <c r="C2" s="7"/>
      <c r="D2" s="7"/>
      <c r="E2" s="7"/>
      <c r="F2" s="6"/>
      <c r="G2" s="6"/>
      <c r="H2" s="6"/>
      <c r="I2" s="353"/>
      <c r="J2" s="353"/>
      <c r="K2" s="6"/>
      <c r="L2" s="6"/>
      <c r="M2" s="6"/>
      <c r="N2" s="6"/>
      <c r="O2" s="6"/>
      <c r="P2" s="6"/>
      <c r="Q2" s="6"/>
      <c r="R2" s="6"/>
      <c r="S2" s="6"/>
      <c r="T2" s="6"/>
      <c r="U2" s="6"/>
      <c r="V2" s="6"/>
      <c r="W2" s="6"/>
      <c r="X2" s="6"/>
      <c r="Y2" s="6"/>
      <c r="Z2" s="330"/>
    </row>
    <row r="3" spans="1:29" ht="16.5" customHeight="1" x14ac:dyDescent="0.3">
      <c r="A3" s="354"/>
      <c r="F3" s="720" t="s">
        <v>40</v>
      </c>
      <c r="G3" s="720"/>
      <c r="H3" s="720"/>
      <c r="I3" s="720" t="s">
        <v>2</v>
      </c>
      <c r="J3" s="721"/>
      <c r="K3" s="721"/>
      <c r="L3" s="721"/>
      <c r="M3" s="721"/>
      <c r="N3" s="721"/>
      <c r="O3" s="721"/>
      <c r="P3" s="720" t="s">
        <v>246</v>
      </c>
      <c r="Q3" s="720"/>
      <c r="R3" s="410"/>
      <c r="S3" s="103" t="s">
        <v>4</v>
      </c>
      <c r="T3" s="410"/>
      <c r="U3" s="720" t="s">
        <v>5</v>
      </c>
      <c r="V3" s="720"/>
      <c r="W3" s="355"/>
      <c r="X3" s="722" t="s">
        <v>132</v>
      </c>
      <c r="Y3" s="722"/>
      <c r="Z3" s="356" t="s">
        <v>9</v>
      </c>
    </row>
    <row r="4" spans="1:29" ht="15.75" customHeight="1" x14ac:dyDescent="0.3">
      <c r="A4" s="357" t="s">
        <v>17</v>
      </c>
      <c r="B4" s="24" t="s">
        <v>14</v>
      </c>
      <c r="C4" s="24" t="s">
        <v>15</v>
      </c>
      <c r="D4" s="18" t="s">
        <v>18</v>
      </c>
      <c r="E4" s="204" t="s">
        <v>19</v>
      </c>
      <c r="F4" s="358" t="s">
        <v>159</v>
      </c>
      <c r="G4" s="19" t="s">
        <v>160</v>
      </c>
      <c r="H4" s="19" t="s">
        <v>22</v>
      </c>
      <c r="I4" s="358" t="s">
        <v>23</v>
      </c>
      <c r="J4" s="19" t="s">
        <v>183</v>
      </c>
      <c r="K4" s="19" t="s">
        <v>253</v>
      </c>
      <c r="L4" s="19" t="s">
        <v>25</v>
      </c>
      <c r="M4" s="19" t="s">
        <v>184</v>
      </c>
      <c r="N4" s="19" t="s">
        <v>233</v>
      </c>
      <c r="O4" s="359" t="s">
        <v>344</v>
      </c>
      <c r="P4" s="19" t="s">
        <v>27</v>
      </c>
      <c r="Q4" s="19" t="s">
        <v>28</v>
      </c>
      <c r="R4" s="358" t="s">
        <v>29</v>
      </c>
      <c r="S4" s="19" t="s">
        <v>30</v>
      </c>
      <c r="T4" s="19" t="s">
        <v>234</v>
      </c>
      <c r="U4" s="358" t="s">
        <v>33</v>
      </c>
      <c r="V4" s="19" t="s">
        <v>207</v>
      </c>
      <c r="W4" s="411" t="s">
        <v>198</v>
      </c>
      <c r="X4" s="360" t="s">
        <v>345</v>
      </c>
      <c r="Y4" s="361" t="s">
        <v>37</v>
      </c>
      <c r="Z4" s="362" t="s">
        <v>18</v>
      </c>
    </row>
    <row r="5" spans="1:29" ht="3.75" customHeight="1" x14ac:dyDescent="0.3">
      <c r="A5" s="363"/>
      <c r="B5" s="11"/>
      <c r="C5" s="11"/>
      <c r="D5" s="11"/>
      <c r="E5" s="11"/>
      <c r="F5" s="371"/>
      <c r="G5" s="88"/>
      <c r="H5" s="88"/>
      <c r="I5" s="364"/>
      <c r="J5" s="365"/>
      <c r="K5" s="365"/>
      <c r="L5" s="365"/>
      <c r="M5" s="365"/>
      <c r="N5" s="365"/>
      <c r="O5" s="366"/>
      <c r="P5" s="365"/>
      <c r="Q5" s="365"/>
      <c r="R5" s="364"/>
      <c r="S5" s="365"/>
      <c r="T5" s="365"/>
      <c r="U5" s="364"/>
      <c r="V5" s="365"/>
      <c r="W5" s="412"/>
      <c r="X5" s="368"/>
      <c r="Y5" s="366"/>
      <c r="Z5" s="369"/>
    </row>
    <row r="6" spans="1:29" ht="15" customHeight="1" x14ac:dyDescent="0.3">
      <c r="A6" s="370" t="s">
        <v>39</v>
      </c>
      <c r="B6" s="11"/>
      <c r="C6" s="11"/>
      <c r="D6" s="11"/>
      <c r="E6"/>
      <c r="F6" s="413"/>
      <c r="I6" s="413"/>
      <c r="P6" s="413"/>
      <c r="R6" s="413"/>
      <c r="U6" s="413"/>
      <c r="W6" s="414"/>
      <c r="X6" s="374"/>
      <c r="Y6" s="372"/>
      <c r="Z6" s="375"/>
    </row>
    <row r="7" spans="1:29" ht="15" customHeight="1" x14ac:dyDescent="0.25">
      <c r="A7" s="383" t="s">
        <v>46</v>
      </c>
      <c r="B7" t="s">
        <v>45</v>
      </c>
      <c r="C7" t="s">
        <v>316</v>
      </c>
      <c r="D7" t="s">
        <v>47</v>
      </c>
      <c r="E7" s="210" t="str">
        <f>IF('[5]actual CWTs exp'!E5/'[5]actual CWTs exp'!$Z5&gt;0.0005,'[5]actual CWTs exp'!E5/'[5]actual CWTs exp'!$Z5,IF('[5]actual CWTs exp'!E5/'[5]actual CWTs exp'!$Z5&gt;0,"*     "," "))</f>
        <v xml:space="preserve"> </v>
      </c>
      <c r="F7" s="415" t="str">
        <f>IF('[5]actual CWTs exp'!F5/'[5]actual CWTs exp'!$Z5&gt;0.0005,'[5]actual CWTs exp'!F5/'[5]actual CWTs exp'!$Z5,IF('[5]actual CWTs exp'!F5/'[5]actual CWTs exp'!$Z5&gt;0,"-     "," "))</f>
        <v xml:space="preserve"> </v>
      </c>
      <c r="G7" s="210" t="str">
        <f>IF('[5]actual CWTs exp'!G5/'[5]actual CWTs exp'!$Z5&gt;0.0005,'[5]actual CWTs exp'!G5/'[5]actual CWTs exp'!$Z5,IF('[5]actual CWTs exp'!G5/'[5]actual CWTs exp'!$Z5&gt;0,"-     "," "))</f>
        <v xml:space="preserve"> </v>
      </c>
      <c r="H7" s="210">
        <f>IF('[5]actual CWTs exp'!H5/'[5]actual CWTs exp'!$Z5&gt;0.0005,'[5]actual CWTs exp'!H5/'[5]actual CWTs exp'!$Z5,IF('[5]actual CWTs exp'!H5/'[5]actual CWTs exp'!$Z5&gt;0,"-     "," "))</f>
        <v>1.0700909577314071E-3</v>
      </c>
      <c r="I7" s="415">
        <f>IF('[5]actual CWTs exp'!I5/'[5]actual CWTs exp'!$Z5&gt;0.0005,'[5]actual CWTs exp'!I5/'[5]actual CWTs exp'!$Z5,IF('[5]actual CWTs exp'!I5/'[5]actual CWTs exp'!$Z5&gt;0,"-     "," "))</f>
        <v>0.398876404494382</v>
      </c>
      <c r="J7" s="210">
        <f>IF('[5]actual CWTs exp'!J5/'[5]actual CWTs exp'!$Z5&gt;0.0005,'[5]actual CWTs exp'!J5/'[5]actual CWTs exp'!$Z5,IF('[5]actual CWTs exp'!J5/'[5]actual CWTs exp'!$Z5&gt;0,"-     "," "))</f>
        <v>0.43927233814874267</v>
      </c>
      <c r="K7" s="210">
        <f>IF('[5]actual CWTs exp'!K5/'[5]actual CWTs exp'!$Z5&gt;0.0005,'[5]actual CWTs exp'!K5/'[5]actual CWTs exp'!$Z5,IF('[5]actual CWTs exp'!K5/'[5]actual CWTs exp'!$Z5&gt;0,"-     "," "))</f>
        <v>1.3376136971642589E-3</v>
      </c>
      <c r="L7" s="210">
        <f>IF('[5]actual CWTs exp'!L5/'[5]actual CWTs exp'!$Z5&gt;0.0005,'[5]actual CWTs exp'!L5/'[5]actual CWTs exp'!$Z5,IF('[5]actual CWTs exp'!L5/'[5]actual CWTs exp'!$Z5&gt;0,"-     "," "))</f>
        <v>0.14392723381487427</v>
      </c>
      <c r="M7" s="210" t="str">
        <f>IF('[5]actual CWTs exp'!M5/'[5]actual CWTs exp'!$Z5&gt;0.0005,'[5]actual CWTs exp'!M5/'[5]actual CWTs exp'!$Z5,IF('[5]actual CWTs exp'!M5/'[5]actual CWTs exp'!$Z5&gt;0,"-     "," "))</f>
        <v xml:space="preserve"> </v>
      </c>
      <c r="N7" s="210" t="str">
        <f>IF('[5]actual CWTs exp'!N5/'[5]actual CWTs exp'!$Z5&gt;0.0005,'[5]actual CWTs exp'!N5/'[5]actual CWTs exp'!$Z5,IF('[5]actual CWTs exp'!N5/'[5]actual CWTs exp'!$Z5&gt;0,"-     "," "))</f>
        <v xml:space="preserve">-     </v>
      </c>
      <c r="O7" s="416" t="str">
        <f>IF('[5]actual CWTs exp'!O5/'[5]actual CWTs exp'!$Z5&gt;0.0005,'[5]actual CWTs exp'!O5/'[5]actual CWTs exp'!$Z5,IF('[5]actual CWTs exp'!O5/'[5]actual CWTs exp'!$Z5&gt;0,"-     "," "))</f>
        <v xml:space="preserve"> </v>
      </c>
      <c r="P7" s="210">
        <f>IF('[5]actual CWTs exp'!P5/'[5]actual CWTs exp'!$Z5&gt;0.0005,'[5]actual CWTs exp'!P5/'[5]actual CWTs exp'!$Z5,IF('[5]actual CWTs exp'!P5/'[5]actual CWTs exp'!$Z5&gt;0,"-     "," "))</f>
        <v>1.3376136971642589E-3</v>
      </c>
      <c r="Q7" s="210" t="str">
        <f>IF('[5]actual CWTs exp'!Q5/'[5]actual CWTs exp'!$Z5&gt;0.0005,'[5]actual CWTs exp'!Q5/'[5]actual CWTs exp'!$Z5,IF('[5]actual CWTs exp'!Q5/'[5]actual CWTs exp'!$Z5&gt;0,"-     "," "))</f>
        <v xml:space="preserve"> </v>
      </c>
      <c r="R7" s="415" t="str">
        <f>IF('[5]actual CWTs exp'!R5/'[5]actual CWTs exp'!$Z5&gt;0.0005,'[5]actual CWTs exp'!R5/'[5]actual CWTs exp'!$Z5,IF('[5]actual CWTs exp'!R5/'[5]actual CWTs exp'!$Z5&gt;0,"-     "," "))</f>
        <v xml:space="preserve"> </v>
      </c>
      <c r="S7" s="210" t="str">
        <f>IF('[5]actual CWTs exp'!S5/'[5]actual CWTs exp'!$Z5&gt;0.0005,'[5]actual CWTs exp'!S5/'[5]actual CWTs exp'!$Z5,IF('[5]actual CWTs exp'!S5/'[5]actual CWTs exp'!$Z5&gt;0,"-     "," "))</f>
        <v xml:space="preserve"> </v>
      </c>
      <c r="T7" s="210" t="str">
        <f>IF('[5]actual CWTs exp'!T5/'[5]actual CWTs exp'!$Z5&gt;0.0005,'[5]actual CWTs exp'!T5/'[5]actual CWTs exp'!$Z5,IF('[5]actual CWTs exp'!T5/'[5]actual CWTs exp'!$Z5&gt;0,"-     "," "))</f>
        <v xml:space="preserve"> </v>
      </c>
      <c r="U7" s="415" t="str">
        <f>IF('[5]actual CWTs exp'!U5/'[5]actual CWTs exp'!$Z5&gt;0.0005,'[5]actual CWTs exp'!U5/'[5]actual CWTs exp'!$Z5,IF('[5]actual CWTs exp'!U5/'[5]actual CWTs exp'!$Z5&gt;0,"-     "," "))</f>
        <v xml:space="preserve"> </v>
      </c>
      <c r="V7" s="210" t="str">
        <f>IF('[5]actual CWTs exp'!V5/'[5]actual CWTs exp'!$Z5&gt;0.0005,'[5]actual CWTs exp'!V5/'[5]actual CWTs exp'!$Z5,IF('[5]actual CWTs exp'!V5/'[5]actual CWTs exp'!$Z5&gt;0,"-     "," "))</f>
        <v xml:space="preserve"> </v>
      </c>
      <c r="W7" s="417" t="str">
        <f>IF('[5]actual CWTs exp'!W5/'[5]actual CWTs exp'!$Z5&gt;0.0005,'[5]actual CWTs exp'!W5/'[5]actual CWTs exp'!$Z5,IF('[5]actual CWTs exp'!W5/'[5]actual CWTs exp'!$Z5&gt;0,"-     "," "))</f>
        <v xml:space="preserve"> </v>
      </c>
      <c r="X7" s="380">
        <f>SUM(E7:W7)</f>
        <v>0.98582129481005887</v>
      </c>
      <c r="Y7" s="381">
        <f>1-X7</f>
        <v>1.4178705189941132E-2</v>
      </c>
      <c r="Z7" s="382">
        <f>'[5]actual CWTs exp'!Z5</f>
        <v>3738</v>
      </c>
    </row>
    <row r="8" spans="1:29" ht="16.5" customHeight="1" x14ac:dyDescent="0.25">
      <c r="A8" s="354" t="s">
        <v>315</v>
      </c>
      <c r="B8" t="s">
        <v>40</v>
      </c>
      <c r="C8" t="s">
        <v>316</v>
      </c>
      <c r="D8" t="s">
        <v>317</v>
      </c>
      <c r="E8" s="210" t="str">
        <f>IF('[5]actual CWTs exp'!E4/'[5]actual CWTs exp'!$Z4&gt;0.0005,'[5]actual CWTs exp'!E4/'[5]actual CWTs exp'!$Z4,IF('[5]actual CWTs exp'!E4/'[5]actual CWTs exp'!$Z4&gt;0,"*     "," "))</f>
        <v xml:space="preserve"> </v>
      </c>
      <c r="F8" s="415">
        <f>IF('[5]actual CWTs exp'!F4/'[5]actual CWTs exp'!$Z4&gt;0.0005,'[5]actual CWTs exp'!F4/'[5]actual CWTs exp'!$Z4,IF('[5]actual CWTs exp'!F4/'[5]actual CWTs exp'!$Z4&gt;0,"*     "," "))</f>
        <v>0.99410774410774416</v>
      </c>
      <c r="G8" s="210" t="str">
        <f>IF('[5]actual CWTs exp'!G4/'[5]actual CWTs exp'!$Z4&gt;0.0005,'[5]actual CWTs exp'!G4/'[5]actual CWTs exp'!$Z4,IF('[5]actual CWTs exp'!G4/'[5]actual CWTs exp'!$Z4&gt;0,"-     "," "))</f>
        <v xml:space="preserve"> </v>
      </c>
      <c r="H8" s="210" t="str">
        <f>IF('[5]actual CWTs exp'!H4/'[5]actual CWTs exp'!$Z4&gt;0.0005,'[5]actual CWTs exp'!H4/'[5]actual CWTs exp'!$Z4,IF('[5]actual CWTs exp'!H4/'[5]actual CWTs exp'!$Z4&gt;0,"-     "," "))</f>
        <v xml:space="preserve"> </v>
      </c>
      <c r="I8" s="415" t="str">
        <f>IF('[5]actual CWTs exp'!I4/'[5]actual CWTs exp'!$Z4&gt;0.0005,'[5]actual CWTs exp'!I4/'[5]actual CWTs exp'!$Z4,IF('[5]actual CWTs exp'!I4/'[5]actual CWTs exp'!$Z4&gt;0,"-     "," "))</f>
        <v xml:space="preserve"> </v>
      </c>
      <c r="J8" s="210" t="str">
        <f>IF('[5]actual CWTs exp'!J4/'[5]actual CWTs exp'!$Z4&gt;0.0005,'[5]actual CWTs exp'!J4/'[5]actual CWTs exp'!$Z4,IF('[5]actual CWTs exp'!J4/'[5]actual CWTs exp'!$Z4&gt;0,"-     "," "))</f>
        <v xml:space="preserve"> </v>
      </c>
      <c r="K8" s="210" t="str">
        <f>IF('[5]actual CWTs exp'!K4/'[5]actual CWTs exp'!$Z4&gt;0.0005,'[5]actual CWTs exp'!K4/'[5]actual CWTs exp'!$Z4,IF('[5]actual CWTs exp'!K4/'[5]actual CWTs exp'!$Z4&gt;0,"-     "," "))</f>
        <v xml:space="preserve"> </v>
      </c>
      <c r="L8" s="210" t="str">
        <f>IF('[5]actual CWTs exp'!L4/'[5]actual CWTs exp'!$Z4&gt;0.0005,'[5]actual CWTs exp'!L4/'[5]actual CWTs exp'!$Z4,IF('[5]actual CWTs exp'!L4/'[5]actual CWTs exp'!$Z4&gt;0,"-     "," "))</f>
        <v xml:space="preserve"> </v>
      </c>
      <c r="M8" s="210" t="str">
        <f>IF('[5]actual CWTs exp'!M4/'[5]actual CWTs exp'!$Z4&gt;0.0005,'[5]actual CWTs exp'!M4/'[5]actual CWTs exp'!$Z4,IF('[5]actual CWTs exp'!M4/'[5]actual CWTs exp'!$Z4&gt;0,"-     "," "))</f>
        <v xml:space="preserve"> </v>
      </c>
      <c r="N8" s="210" t="str">
        <f>IF('[5]actual CWTs exp'!N4/'[5]actual CWTs exp'!$Z4&gt;0.0005,'[5]actual CWTs exp'!N4/'[5]actual CWTs exp'!$Z4,IF('[5]actual CWTs exp'!N4/'[5]actual CWTs exp'!$Z4&gt;0,"-     "," "))</f>
        <v xml:space="preserve"> </v>
      </c>
      <c r="O8" s="416" t="str">
        <f>IF('[5]actual CWTs exp'!O4/'[5]actual CWTs exp'!$Z4&gt;0.0005,'[5]actual CWTs exp'!O4/'[5]actual CWTs exp'!$Z4,IF('[5]actual CWTs exp'!O4/'[5]actual CWTs exp'!$Z4&gt;0,"-     "," "))</f>
        <v xml:space="preserve"> </v>
      </c>
      <c r="P8" s="210" t="str">
        <f>IF('[5]actual CWTs exp'!P4/'[5]actual CWTs exp'!$Z4&gt;0.0005,'[5]actual CWTs exp'!P4/'[5]actual CWTs exp'!$Z4,IF('[5]actual CWTs exp'!P4/'[5]actual CWTs exp'!$Z4&gt;0,"-     "," "))</f>
        <v xml:space="preserve"> </v>
      </c>
      <c r="Q8" s="210" t="str">
        <f>IF('[5]actual CWTs exp'!Q4/'[5]actual CWTs exp'!$Z4&gt;0.0005,'[5]actual CWTs exp'!Q4/'[5]actual CWTs exp'!$Z4,IF('[5]actual CWTs exp'!Q4/'[5]actual CWTs exp'!$Z4&gt;0,"-     "," "))</f>
        <v xml:space="preserve"> </v>
      </c>
      <c r="R8" s="418" t="str">
        <f>IF('[5]actual CWTs exp'!R4/'[5]actual CWTs exp'!$Z4&gt;0.0005,'[5]actual CWTs exp'!R4/'[5]actual CWTs exp'!$Z4,IF('[5]actual CWTs exp'!R4/'[5]actual CWTs exp'!$Z4&gt;0,"-     "," "))</f>
        <v xml:space="preserve"> </v>
      </c>
      <c r="S8" s="210" t="str">
        <f>IF('[5]actual CWTs exp'!S4/'[5]actual CWTs exp'!$Z4&gt;0.0005,'[5]actual CWTs exp'!S4/'[5]actual CWTs exp'!$Z4,IF('[5]actual CWTs exp'!S4/'[5]actual CWTs exp'!$Z4&gt;0,"-     "," "))</f>
        <v xml:space="preserve">-     </v>
      </c>
      <c r="T8" s="210" t="str">
        <f>IF('[5]actual CWTs exp'!T4/'[5]actual CWTs exp'!$Z4&gt;0.0005,'[5]actual CWTs exp'!T4/'[5]actual CWTs exp'!$Z4,IF('[5]actual CWTs exp'!T4/'[5]actual CWTs exp'!$Z4&gt;0,"-     "," "))</f>
        <v xml:space="preserve"> </v>
      </c>
      <c r="U8" s="415" t="str">
        <f>IF('[5]actual CWTs exp'!U4/'[5]actual CWTs exp'!$Z4&gt;0.0005,'[5]actual CWTs exp'!U4/'[5]actual CWTs exp'!$Z4,IF('[5]actual CWTs exp'!U4/'[5]actual CWTs exp'!$Z4&gt;0,"-     "," "))</f>
        <v xml:space="preserve"> </v>
      </c>
      <c r="V8" s="210" t="str">
        <f>IF('[5]actual CWTs exp'!V4/'[5]actual CWTs exp'!$Z4&gt;0.0005,'[5]actual CWTs exp'!V4/'[5]actual CWTs exp'!$Z4,IF('[5]actual CWTs exp'!V4/'[5]actual CWTs exp'!$Z4&gt;0,"-     "," "))</f>
        <v xml:space="preserve"> </v>
      </c>
      <c r="W8" s="417" t="str">
        <f>IF('[5]actual CWTs exp'!W4/'[5]actual CWTs exp'!$Z4&gt;0.0005,'[5]actual CWTs exp'!W4/'[5]actual CWTs exp'!$Z4,IF('[5]actual CWTs exp'!W4/'[5]actual CWTs exp'!$Z4&gt;0,"-     "," "))</f>
        <v xml:space="preserve"> </v>
      </c>
      <c r="X8" s="380">
        <f>SUM(E8:W8)</f>
        <v>0.99410774410774416</v>
      </c>
      <c r="Y8" s="381">
        <f>1-X8</f>
        <v>5.8922558922558377E-3</v>
      </c>
      <c r="Z8" s="382">
        <f>'[5]actual CWTs exp'!Z4</f>
        <v>3564</v>
      </c>
    </row>
    <row r="9" spans="1:29" ht="16.5" customHeight="1" x14ac:dyDescent="0.25">
      <c r="A9" s="354" t="s">
        <v>315</v>
      </c>
      <c r="B9" t="s">
        <v>40</v>
      </c>
      <c r="C9" t="s">
        <v>316</v>
      </c>
      <c r="D9" t="s">
        <v>48</v>
      </c>
      <c r="E9" s="210" t="str">
        <f>IF('[5]actual CWTs exp'!E6/'[5]actual CWTs exp'!$Z6&gt;0.0005,'[5]actual CWTs exp'!E6/'[5]actual CWTs exp'!$Z6,IF('[5]actual CWTs exp'!E6/'[5]actual CWTs exp'!$Z6&gt;0,"*     "," "))</f>
        <v xml:space="preserve"> </v>
      </c>
      <c r="F9" s="415" t="str">
        <f>IF('[5]actual CWTs exp'!F6/'[5]actual CWTs exp'!$Z6&gt;0.0005,'[5]actual CWTs exp'!F6/'[5]actual CWTs exp'!$Z6,IF('[5]actual CWTs exp'!F6/'[5]actual CWTs exp'!$Z6&gt;0,"-     "," "))</f>
        <v xml:space="preserve"> </v>
      </c>
      <c r="G9" s="210">
        <f>IF('[5]actual CWTs exp'!G6/'[5]actual CWTs exp'!$Z6&gt;0.0005,'[5]actual CWTs exp'!G6/'[5]actual CWTs exp'!$Z6,IF('[5]actual CWTs exp'!G6/'[5]actual CWTs exp'!$Z6&gt;0,"-     "," "))</f>
        <v>0.89247707292766554</v>
      </c>
      <c r="H9" s="210">
        <f>IF('[5]actual CWTs exp'!H6/'[5]actual CWTs exp'!$Z6&gt;0.0005,'[5]actual CWTs exp'!H6/'[5]actual CWTs exp'!$Z6,IF('[5]actual CWTs exp'!H6/'[5]actual CWTs exp'!$Z6&gt;0,"-     "," "))</f>
        <v>1.471129091577786E-2</v>
      </c>
      <c r="I9" s="415" t="str">
        <f>IF('[5]actual CWTs exp'!I6/'[5]actual CWTs exp'!$Z6&gt;0.0005,'[5]actual CWTs exp'!I6/'[5]actual CWTs exp'!$Z6,IF('[5]actual CWTs exp'!I6/'[5]actual CWTs exp'!$Z6&gt;0,"-     "," "))</f>
        <v xml:space="preserve"> </v>
      </c>
      <c r="J9" s="210" t="str">
        <f>IF('[5]actual CWTs exp'!J6/'[5]actual CWTs exp'!$Z6&gt;0.0005,'[5]actual CWTs exp'!J6/'[5]actual CWTs exp'!$Z6,IF('[5]actual CWTs exp'!J6/'[5]actual CWTs exp'!$Z6&gt;0,"-     "," "))</f>
        <v xml:space="preserve">-     </v>
      </c>
      <c r="K9" s="151" t="str">
        <f>IF('[5]actual CWTs exp'!K6/'[5]actual CWTs exp'!$Z6&gt;0.0005,'[5]actual CWTs exp'!K6/'[5]actual CWTs exp'!$Z6,IF('[5]actual CWTs exp'!K6/'[5]actual CWTs exp'!$Z6&gt;0,"-     "," "))</f>
        <v xml:space="preserve"> </v>
      </c>
      <c r="L9" s="210">
        <f>IF('[5]actual CWTs exp'!L6/'[5]actual CWTs exp'!$Z6&gt;0.0005,'[5]actual CWTs exp'!L6/'[5]actual CWTs exp'!$Z6,IF('[5]actual CWTs exp'!L6/'[5]actual CWTs exp'!$Z6&gt;0,"-     "," "))</f>
        <v>6.6082169678131188E-3</v>
      </c>
      <c r="M9" s="210" t="str">
        <f>IF('[5]actual CWTs exp'!M6/'[5]actual CWTs exp'!$Z6&gt;0.0005,'[5]actual CWTs exp'!M6/'[5]actual CWTs exp'!$Z6,IF('[5]actual CWTs exp'!M6/'[5]actual CWTs exp'!$Z6&gt;0,"-     "," "))</f>
        <v xml:space="preserve"> </v>
      </c>
      <c r="N9" s="151" t="str">
        <f>IF('[5]actual CWTs exp'!N6/'[5]actual CWTs exp'!$Z6&gt;0.0005,'[5]actual CWTs exp'!N6/'[5]actual CWTs exp'!$Z6,IF('[5]actual CWTs exp'!N6/'[5]actual CWTs exp'!$Z6&gt;0,"-     "," "))</f>
        <v xml:space="preserve"> </v>
      </c>
      <c r="O9" s="416" t="str">
        <f>IF('[5]actual CWTs exp'!O6/'[5]actual CWTs exp'!$Z6&gt;0.0005,'[5]actual CWTs exp'!O6/'[5]actual CWTs exp'!$Z6,IF('[5]actual CWTs exp'!O6/'[5]actual CWTs exp'!$Z6&gt;0,"-     "," "))</f>
        <v xml:space="preserve"> </v>
      </c>
      <c r="P9" s="210" t="str">
        <f>IF('[5]actual CWTs exp'!P6/'[5]actual CWTs exp'!$Z6&gt;0.0005,'[5]actual CWTs exp'!P6/'[5]actual CWTs exp'!$Z6,IF('[5]actual CWTs exp'!P6/'[5]actual CWTs exp'!$Z6&gt;0,"-     "," "))</f>
        <v xml:space="preserve"> </v>
      </c>
      <c r="Q9" s="210" t="str">
        <f>IF('[5]actual CWTs exp'!Q6/'[5]actual CWTs exp'!$Z6&gt;0.0005,'[5]actual CWTs exp'!Q6/'[5]actual CWTs exp'!$Z6,IF('[5]actual CWTs exp'!Q6/'[5]actual CWTs exp'!$Z6&gt;0,"-     "," "))</f>
        <v xml:space="preserve"> </v>
      </c>
      <c r="R9" s="415" t="str">
        <f>IF('[5]actual CWTs exp'!R6/'[5]actual CWTs exp'!$Z6&gt;0.0005,'[5]actual CWTs exp'!R6/'[5]actual CWTs exp'!$Z6,IF('[5]actual CWTs exp'!R6/'[5]actual CWTs exp'!$Z6&gt;0,"-     "," "))</f>
        <v xml:space="preserve"> </v>
      </c>
      <c r="S9" s="210" t="str">
        <f>IF('[5]actual CWTs exp'!S6/'[5]actual CWTs exp'!$Z6&gt;0.0005,'[5]actual CWTs exp'!S6/'[5]actual CWTs exp'!$Z6,IF('[5]actual CWTs exp'!S6/'[5]actual CWTs exp'!$Z6&gt;0,"-     "," "))</f>
        <v xml:space="preserve">-     </v>
      </c>
      <c r="T9" s="151" t="str">
        <f>IF('[5]actual CWTs exp'!T6/'[5]actual CWTs exp'!$Z6&gt;0.0005,'[5]actual CWTs exp'!T6/'[5]actual CWTs exp'!$Z6,IF('[5]actual CWTs exp'!T6/'[5]actual CWTs exp'!$Z6&gt;0,"-     "," "))</f>
        <v xml:space="preserve"> </v>
      </c>
      <c r="U9" s="418" t="str">
        <f>IF('[5]actual CWTs exp'!U6/'[5]actual CWTs exp'!$Z6&gt;0.0005,'[5]actual CWTs exp'!U6/'[5]actual CWTs exp'!$Z6,IF('[5]actual CWTs exp'!U6/'[5]actual CWTs exp'!$Z6&gt;0,"-     "," "))</f>
        <v xml:space="preserve"> </v>
      </c>
      <c r="V9" s="151" t="str">
        <f>IF('[5]actual CWTs exp'!V6/'[5]actual CWTs exp'!$Z6&gt;0.0005,'[5]actual CWTs exp'!V6/'[5]actual CWTs exp'!$Z6,IF('[5]actual CWTs exp'!V6/'[5]actual CWTs exp'!$Z6&gt;0,"-     "," "))</f>
        <v xml:space="preserve">-     </v>
      </c>
      <c r="W9" s="417" t="str">
        <f>IF('[5]actual CWTs exp'!W6/'[5]actual CWTs exp'!$Z6&gt;0.0005,'[5]actual CWTs exp'!W6/'[5]actual CWTs exp'!$Z6,IF('[5]actual CWTs exp'!W6/'[5]actual CWTs exp'!$Z6&gt;0,"-     "," "))</f>
        <v xml:space="preserve"> </v>
      </c>
      <c r="X9" s="380">
        <f t="shared" ref="X9:X14" si="0">SUM(E9:W9)</f>
        <v>0.91379658081125648</v>
      </c>
      <c r="Y9" s="381">
        <f t="shared" ref="Y9:Y44" si="1">1-X9</f>
        <v>8.6203419188743524E-2</v>
      </c>
      <c r="Z9" s="382">
        <f>'[5]actual CWTs exp'!Z6</f>
        <v>84289</v>
      </c>
    </row>
    <row r="10" spans="1:29" ht="16.5" customHeight="1" x14ac:dyDescent="0.25">
      <c r="A10" s="383" t="s">
        <v>46</v>
      </c>
      <c r="B10" t="s">
        <v>45</v>
      </c>
      <c r="C10" t="s">
        <v>316</v>
      </c>
      <c r="D10" t="s">
        <v>48</v>
      </c>
      <c r="E10" s="210" t="str">
        <f>IF('[5]actual CWTs exp'!E7/'[5]actual CWTs exp'!$Z7&gt;0.0005,'[5]actual CWTs exp'!E7/'[5]actual CWTs exp'!$Z7,IF('[5]actual CWTs exp'!E7/'[5]actual CWTs exp'!$Z7&gt;0,"*     "," "))</f>
        <v xml:space="preserve"> </v>
      </c>
      <c r="F10" s="415" t="str">
        <f>IF('[5]actual CWTs exp'!F7/'[5]actual CWTs exp'!$Z7&gt;0.0005,'[5]actual CWTs exp'!F7/'[5]actual CWTs exp'!$Z7,IF('[5]actual CWTs exp'!F7/'[5]actual CWTs exp'!$Z7&gt;0,"-     "," "))</f>
        <v xml:space="preserve"> </v>
      </c>
      <c r="G10" s="151" t="str">
        <f>IF('[5]actual CWTs exp'!G7/'[5]actual CWTs exp'!$Z7&gt;0.0005,'[5]actual CWTs exp'!G7/'[5]actual CWTs exp'!$Z7,IF('[5]actual CWTs exp'!G7/'[5]actual CWTs exp'!$Z7&gt;0,"-     "," "))</f>
        <v xml:space="preserve"> </v>
      </c>
      <c r="H10" s="210">
        <f>IF('[5]actual CWTs exp'!H7/'[5]actual CWTs exp'!$Z7&gt;0.0005,'[5]actual CWTs exp'!H7/'[5]actual CWTs exp'!$Z7,IF('[5]actual CWTs exp'!H7/'[5]actual CWTs exp'!$Z7&gt;0,"-     "," "))</f>
        <v>2.0113374919949717E-2</v>
      </c>
      <c r="I10" s="415">
        <f>IF('[5]actual CWTs exp'!I7/'[5]actual CWTs exp'!$Z7&gt;0.0005,'[5]actual CWTs exp'!I7/'[5]actual CWTs exp'!$Z7,IF('[5]actual CWTs exp'!I7/'[5]actual CWTs exp'!$Z7&gt;0,"-     "," "))</f>
        <v>4.4306349469889234E-2</v>
      </c>
      <c r="J10" s="210">
        <f>IF('[5]actual CWTs exp'!J7/'[5]actual CWTs exp'!$Z7&gt;0.0005,'[5]actual CWTs exp'!J7/'[5]actual CWTs exp'!$Z7,IF('[5]actual CWTs exp'!J7/'[5]actual CWTs exp'!$Z7&gt;0,"-     "," "))</f>
        <v>6.4396005787339006E-2</v>
      </c>
      <c r="K10" s="210">
        <f>IF('[5]actual CWTs exp'!K7/'[5]actual CWTs exp'!$Z7&gt;0.0005,'[5]actual CWTs exp'!K7/'[5]actual CWTs exp'!$Z7,IF('[5]actual CWTs exp'!K7/'[5]actual CWTs exp'!$Z7&gt;0,"-     "," "))</f>
        <v>6.1668366499845824E-4</v>
      </c>
      <c r="L10" s="210">
        <f>IF('[5]actual CWTs exp'!L7/'[5]actual CWTs exp'!$Z7&gt;0.0005,'[5]actual CWTs exp'!L7/'[5]actual CWTs exp'!$Z7,IF('[5]actual CWTs exp'!L7/'[5]actual CWTs exp'!$Z7&gt;0,"-     "," "))</f>
        <v>0.81255188444296866</v>
      </c>
      <c r="M10" s="210">
        <f>IF('[5]actual CWTs exp'!M7/'[5]actual CWTs exp'!$Z7&gt;0.0005,'[5]actual CWTs exp'!M7/'[5]actual CWTs exp'!$Z7,IF('[5]actual CWTs exp'!M7/'[5]actual CWTs exp'!$Z7&gt;0,"-     "," "))</f>
        <v>7.5899527999810255E-4</v>
      </c>
      <c r="N10" s="210">
        <f>IF('[5]actual CWTs exp'!N7/'[5]actual CWTs exp'!$Z7&gt;0.0005,'[5]actual CWTs exp'!N7/'[5]actual CWTs exp'!$Z7,IF('[5]actual CWTs exp'!N7/'[5]actual CWTs exp'!$Z7&gt;0,"-     "," "))</f>
        <v>7.4476411849813805E-3</v>
      </c>
      <c r="O10" s="419" t="str">
        <f>IF('[5]actual CWTs exp'!O7/'[5]actual CWTs exp'!$Z7&gt;0.0005,'[5]actual CWTs exp'!O7/'[5]actual CWTs exp'!$Z7,IF('[5]actual CWTs exp'!O7/'[5]actual CWTs exp'!$Z7&gt;0,"-     "," "))</f>
        <v xml:space="preserve">-     </v>
      </c>
      <c r="P10" s="210">
        <f>IF('[5]actual CWTs exp'!P7/'[5]actual CWTs exp'!$Z7&gt;0.0005,'[5]actual CWTs exp'!P7/'[5]actual CWTs exp'!$Z7,IF('[5]actual CWTs exp'!P7/'[5]actual CWTs exp'!$Z7&gt;0,"-     "," "))</f>
        <v>1.114774317497213E-3</v>
      </c>
      <c r="Q10" s="210">
        <f>IF('[5]actual CWTs exp'!Q7/'[5]actual CWTs exp'!$Z7&gt;0.0005,'[5]actual CWTs exp'!Q7/'[5]actual CWTs exp'!$Z7,IF('[5]actual CWTs exp'!Q7/'[5]actual CWTs exp'!$Z7&gt;0,"-     "," "))</f>
        <v>1.1384929199971538E-3</v>
      </c>
      <c r="R10" s="415" t="str">
        <f>IF('[5]actual CWTs exp'!R7/'[5]actual CWTs exp'!$Z7&gt;0.0005,'[5]actual CWTs exp'!R7/'[5]actual CWTs exp'!$Z7,IF('[5]actual CWTs exp'!R7/'[5]actual CWTs exp'!$Z7&gt;0,"-     "," "))</f>
        <v xml:space="preserve"> </v>
      </c>
      <c r="S10" s="210">
        <f>IF('[5]actual CWTs exp'!S7/'[5]actual CWTs exp'!$Z7&gt;0.0005,'[5]actual CWTs exp'!S7/'[5]actual CWTs exp'!$Z7,IF('[5]actual CWTs exp'!S7/'[5]actual CWTs exp'!$Z7&gt;0,"-     "," "))</f>
        <v>3.7949763999905128E-3</v>
      </c>
      <c r="T10" s="210" t="str">
        <f>IF('[5]actual CWTs exp'!T7/'[5]actual CWTs exp'!$Z7&gt;0.0005,'[5]actual CWTs exp'!T7/'[5]actual CWTs exp'!$Z7,IF('[5]actual CWTs exp'!T7/'[5]actual CWTs exp'!$Z7&gt;0,"-     "," "))</f>
        <v xml:space="preserve">-     </v>
      </c>
      <c r="U10" s="415" t="str">
        <f>IF('[5]actual CWTs exp'!U7/'[5]actual CWTs exp'!$Z7&gt;0.0005,'[5]actual CWTs exp'!U7/'[5]actual CWTs exp'!$Z7,IF('[5]actual CWTs exp'!U7/'[5]actual CWTs exp'!$Z7&gt;0,"-     "," "))</f>
        <v xml:space="preserve"> </v>
      </c>
      <c r="V10" s="151">
        <f>IF('[5]actual CWTs exp'!V7/'[5]actual CWTs exp'!$Z7&gt;0.0005,'[5]actual CWTs exp'!V7/'[5]actual CWTs exp'!$Z7,IF('[5]actual CWTs exp'!V7/'[5]actual CWTs exp'!$Z7&gt;0,"-     "," "))</f>
        <v>2.0160812124949599E-3</v>
      </c>
      <c r="W10" s="417" t="str">
        <f>IF('[5]actual CWTs exp'!W7/'[5]actual CWTs exp'!$Z7&gt;0.0005,'[5]actual CWTs exp'!W7/'[5]actual CWTs exp'!$Z7,IF('[5]actual CWTs exp'!W7/'[5]actual CWTs exp'!$Z7&gt;0,"-     "," "))</f>
        <v xml:space="preserve">-     </v>
      </c>
      <c r="X10" s="380">
        <f t="shared" si="0"/>
        <v>0.95825525960010438</v>
      </c>
      <c r="Y10" s="381">
        <f t="shared" si="1"/>
        <v>4.1744740399895619E-2</v>
      </c>
      <c r="Z10" s="382">
        <f>'[5]actual CWTs exp'!Z7</f>
        <v>42161</v>
      </c>
    </row>
    <row r="11" spans="1:29" ht="16.5" customHeight="1" x14ac:dyDescent="0.25">
      <c r="A11" s="354" t="s">
        <v>307</v>
      </c>
      <c r="B11" t="s">
        <v>50</v>
      </c>
      <c r="C11" t="s">
        <v>316</v>
      </c>
      <c r="D11" t="s">
        <v>48</v>
      </c>
      <c r="E11" s="210" t="str">
        <f>IF('[5]actual CWTs exp'!E8/'[5]actual CWTs exp'!$Z8&gt;0.0005,'[5]actual CWTs exp'!E8/'[5]actual CWTs exp'!$Z8,IF('[5]actual CWTs exp'!E8/'[5]actual CWTs exp'!$Z8&gt;0,"*     "," "))</f>
        <v xml:space="preserve"> </v>
      </c>
      <c r="F11" s="415" t="str">
        <f>IF('[5]actual CWTs exp'!F8/'[5]actual CWTs exp'!$Z8&gt;0.0005,'[5]actual CWTs exp'!F8/'[5]actual CWTs exp'!$Z8,IF('[5]actual CWTs exp'!F8/'[5]actual CWTs exp'!$Z8&gt;0,"-     "," "))</f>
        <v xml:space="preserve"> </v>
      </c>
      <c r="G11" s="210" t="str">
        <f>IF('[5]actual CWTs exp'!G8/'[5]actual CWTs exp'!$Z8&gt;0.0005,'[5]actual CWTs exp'!G8/'[5]actual CWTs exp'!$Z8,IF('[5]actual CWTs exp'!G8/'[5]actual CWTs exp'!$Z8&gt;0,"-     "," "))</f>
        <v xml:space="preserve"> </v>
      </c>
      <c r="H11" s="210">
        <f>IF('[5]actual CWTs exp'!H8/'[5]actual CWTs exp'!$Z8&gt;0.0005,'[5]actual CWTs exp'!H8/'[5]actual CWTs exp'!$Z8,IF('[5]actual CWTs exp'!H8/'[5]actual CWTs exp'!$Z8&gt;0,"-     "," "))</f>
        <v>4.7531597709841202E-3</v>
      </c>
      <c r="I11" s="415" t="str">
        <f>IF('[5]actual CWTs exp'!I8/'[5]actual CWTs exp'!$Z8&gt;0.0005,'[5]actual CWTs exp'!I8/'[5]actual CWTs exp'!$Z8,IF('[5]actual CWTs exp'!I8/'[5]actual CWTs exp'!$Z8&gt;0,"-     "," "))</f>
        <v xml:space="preserve"> </v>
      </c>
      <c r="J11" s="210" t="str">
        <f>IF('[5]actual CWTs exp'!J8/'[5]actual CWTs exp'!$Z8&gt;0.0005,'[5]actual CWTs exp'!J8/'[5]actual CWTs exp'!$Z8,IF('[5]actual CWTs exp'!J8/'[5]actual CWTs exp'!$Z8&gt;0,"-     "," "))</f>
        <v xml:space="preserve"> </v>
      </c>
      <c r="K11" s="151" t="str">
        <f>IF('[5]actual CWTs exp'!K8/'[5]actual CWTs exp'!$Z8&gt;0.0005,'[5]actual CWTs exp'!K8/'[5]actual CWTs exp'!$Z8,IF('[5]actual CWTs exp'!K8/'[5]actual CWTs exp'!$Z8&gt;0,"-     "," "))</f>
        <v xml:space="preserve"> </v>
      </c>
      <c r="L11" s="210">
        <f>IF('[5]actual CWTs exp'!L8/'[5]actual CWTs exp'!$Z8&gt;0.0005,'[5]actual CWTs exp'!L8/'[5]actual CWTs exp'!$Z8,IF('[5]actual CWTs exp'!L8/'[5]actual CWTs exp'!$Z8&gt;0,"-     "," "))</f>
        <v>3.4568434698066326E-3</v>
      </c>
      <c r="M11" s="151" t="str">
        <f>IF('[5]actual CWTs exp'!M8/'[5]actual CWTs exp'!$Z8&gt;0.0005,'[5]actual CWTs exp'!M8/'[5]actual CWTs exp'!$Z8,IF('[5]actual CWTs exp'!M8/'[5]actual CWTs exp'!$Z8&gt;0,"-     "," "))</f>
        <v xml:space="preserve"> </v>
      </c>
      <c r="N11" s="151" t="str">
        <f>IF('[5]actual CWTs exp'!N8/'[5]actual CWTs exp'!$Z8&gt;0.0005,'[5]actual CWTs exp'!N8/'[5]actual CWTs exp'!$Z8,IF('[5]actual CWTs exp'!N8/'[5]actual CWTs exp'!$Z8&gt;0,"-     "," "))</f>
        <v xml:space="preserve"> </v>
      </c>
      <c r="O11" s="416" t="str">
        <f>IF('[5]actual CWTs exp'!O8/'[5]actual CWTs exp'!$Z8&gt;0.0005,'[5]actual CWTs exp'!O8/'[5]actual CWTs exp'!$Z8,IF('[5]actual CWTs exp'!O8/'[5]actual CWTs exp'!$Z8&gt;0,"-     "," "))</f>
        <v xml:space="preserve"> </v>
      </c>
      <c r="P11" s="210">
        <f>IF('[5]actual CWTs exp'!P8/'[5]actual CWTs exp'!$Z8&gt;0.0005,'[5]actual CWTs exp'!P8/'[5]actual CWTs exp'!$Z8,IF('[5]actual CWTs exp'!P8/'[5]actual CWTs exp'!$Z8&gt;0,"-     "," "))</f>
        <v>0.35086961218537321</v>
      </c>
      <c r="Q11" s="210">
        <f>IF('[5]actual CWTs exp'!Q8/'[5]actual CWTs exp'!$Z8&gt;0.0005,'[5]actual CWTs exp'!Q8/'[5]actual CWTs exp'!$Z8,IF('[5]actual CWTs exp'!Q8/'[5]actual CWTs exp'!$Z8&gt;0,"-     "," "))</f>
        <v>0.32634762882143242</v>
      </c>
      <c r="R11" s="415">
        <f>IF('[5]actual CWTs exp'!R8/'[5]actual CWTs exp'!$Z8&gt;0.0005,'[5]actual CWTs exp'!R8/'[5]actual CWTs exp'!$Z8,IF('[5]actual CWTs exp'!R8/'[5]actual CWTs exp'!$Z8&gt;0,"-     "," "))</f>
        <v>5.4013179215728639E-4</v>
      </c>
      <c r="S11" s="210">
        <f>IF('[5]actual CWTs exp'!S8/'[5]actual CWTs exp'!$Z8&gt;0.0005,'[5]actual CWTs exp'!S8/'[5]actual CWTs exp'!$Z8,IF('[5]actual CWTs exp'!S8/'[5]actual CWTs exp'!$Z8&gt;0,"-     "," "))</f>
        <v>0.14983255914443125</v>
      </c>
      <c r="T11" s="210">
        <f>IF('[5]actual CWTs exp'!T8/'[5]actual CWTs exp'!$Z8&gt;0.0005,'[5]actual CWTs exp'!T8/'[5]actual CWTs exp'!$Z8,IF('[5]actual CWTs exp'!T8/'[5]actual CWTs exp'!$Z8&gt;0,"-     "," "))</f>
        <v>3.0247380360808036E-3</v>
      </c>
      <c r="U11" s="415" t="str">
        <f>IF('[5]actual CWTs exp'!U8/'[5]actual CWTs exp'!$Z8&gt;0.0005,'[5]actual CWTs exp'!U8/'[5]actual CWTs exp'!$Z8,IF('[5]actual CWTs exp'!U8/'[5]actual CWTs exp'!$Z8&gt;0,"-     "," "))</f>
        <v xml:space="preserve"> </v>
      </c>
      <c r="V11" s="210">
        <f>IF('[5]actual CWTs exp'!V8/'[5]actual CWTs exp'!$Z8&gt;0.0005,'[5]actual CWTs exp'!V8/'[5]actual CWTs exp'!$Z8,IF('[5]actual CWTs exp'!V8/'[5]actual CWTs exp'!$Z8&gt;0,"-     "," "))</f>
        <v>1.3611321162363616E-2</v>
      </c>
      <c r="W11" s="417" t="str">
        <f>IF('[5]actual CWTs exp'!W8/'[5]actual CWTs exp'!$Z8&gt;0.0005,'[5]actual CWTs exp'!W8/'[5]actual CWTs exp'!$Z8,IF('[5]actual CWTs exp'!W8/'[5]actual CWTs exp'!$Z8&gt;0,"-     "," "))</f>
        <v xml:space="preserve"> </v>
      </c>
      <c r="X11" s="380">
        <f t="shared" si="0"/>
        <v>0.8524359943826294</v>
      </c>
      <c r="Y11" s="381">
        <f t="shared" si="1"/>
        <v>0.1475640056173706</v>
      </c>
      <c r="Z11" s="382">
        <f>'[5]actual CWTs exp'!Z8</f>
        <v>9257</v>
      </c>
    </row>
    <row r="12" spans="1:29" ht="16.5" customHeight="1" x14ac:dyDescent="0.25">
      <c r="A12" s="354" t="s">
        <v>318</v>
      </c>
      <c r="B12" t="s">
        <v>88</v>
      </c>
      <c r="C12" t="s">
        <v>316</v>
      </c>
      <c r="D12" t="s">
        <v>48</v>
      </c>
      <c r="E12" s="210" t="str">
        <f>IF('[5]actual CWTs exp'!E9/'[5]actual CWTs exp'!$Z9&gt;0.0005,'[5]actual CWTs exp'!E9/'[5]actual CWTs exp'!$Z9,IF('[5]actual CWTs exp'!E9/'[5]actual CWTs exp'!$Z9&gt;0,"*     "," "))</f>
        <v xml:space="preserve"> </v>
      </c>
      <c r="F12" s="415" t="str">
        <f>IF('[5]actual CWTs exp'!F9/'[5]actual CWTs exp'!$Z9&gt;0.0005,'[5]actual CWTs exp'!F9/'[5]actual CWTs exp'!$Z9,IF('[5]actual CWTs exp'!F9/'[5]actual CWTs exp'!$Z9&gt;0,"-     "," "))</f>
        <v xml:space="preserve"> </v>
      </c>
      <c r="G12" s="210" t="str">
        <f>IF('[5]actual CWTs exp'!G9/'[5]actual CWTs exp'!$Z9&gt;0.0005,'[5]actual CWTs exp'!G9/'[5]actual CWTs exp'!$Z9,IF('[5]actual CWTs exp'!G9/'[5]actual CWTs exp'!$Z9&gt;0,"-     "," "))</f>
        <v xml:space="preserve"> </v>
      </c>
      <c r="H12" s="210">
        <f>IF('[5]actual CWTs exp'!H9/'[5]actual CWTs exp'!$Z9&gt;0.0005,'[5]actual CWTs exp'!H9/'[5]actual CWTs exp'!$Z9,IF('[5]actual CWTs exp'!H9/'[5]actual CWTs exp'!$Z9&gt;0,"-     "," "))</f>
        <v>5.5314810094315575E-2</v>
      </c>
      <c r="I12" s="415" t="str">
        <f>IF('[5]actual CWTs exp'!I9/'[5]actual CWTs exp'!$Z9&gt;0.0005,'[5]actual CWTs exp'!I9/'[5]actual CWTs exp'!$Z9,IF('[5]actual CWTs exp'!I9/'[5]actual CWTs exp'!$Z9&gt;0,"-     "," "))</f>
        <v xml:space="preserve"> </v>
      </c>
      <c r="J12" s="210">
        <f>IF('[5]actual CWTs exp'!J9/'[5]actual CWTs exp'!$Z9&gt;0.0005,'[5]actual CWTs exp'!J9/'[5]actual CWTs exp'!$Z9,IF('[5]actual CWTs exp'!J9/'[5]actual CWTs exp'!$Z9&gt;0,"-     "," "))</f>
        <v>9.4315574815192448E-3</v>
      </c>
      <c r="K12" s="210" t="str">
        <f>IF('[5]actual CWTs exp'!K9/'[5]actual CWTs exp'!$Z9&gt;0.0005,'[5]actual CWTs exp'!K9/'[5]actual CWTs exp'!$Z9,IF('[5]actual CWTs exp'!K9/'[5]actual CWTs exp'!$Z9&gt;0,"-     "," "))</f>
        <v xml:space="preserve">-     </v>
      </c>
      <c r="L12" s="210">
        <f>IF('[5]actual CWTs exp'!L9/'[5]actual CWTs exp'!$Z9&gt;0.0005,'[5]actual CWTs exp'!L9/'[5]actual CWTs exp'!$Z9,IF('[5]actual CWTs exp'!L9/'[5]actual CWTs exp'!$Z9&gt;0,"-     "," "))</f>
        <v>3.5941881213357126E-2</v>
      </c>
      <c r="M12" s="210" t="str">
        <f>IF('[5]actual CWTs exp'!M9/'[5]actual CWTs exp'!$Z9&gt;0.0005,'[5]actual CWTs exp'!M9/'[5]actual CWTs exp'!$Z9,IF('[5]actual CWTs exp'!M9/'[5]actual CWTs exp'!$Z9&gt;0,"-     "," "))</f>
        <v xml:space="preserve"> </v>
      </c>
      <c r="N12" s="210" t="str">
        <f>IF('[5]actual CWTs exp'!N9/'[5]actual CWTs exp'!$Z9&gt;0.0005,'[5]actual CWTs exp'!N9/'[5]actual CWTs exp'!$Z9,IF('[5]actual CWTs exp'!N9/'[5]actual CWTs exp'!$Z9&gt;0,"-     "," "))</f>
        <v xml:space="preserve"> </v>
      </c>
      <c r="O12" s="416" t="str">
        <f>IF('[5]actual CWTs exp'!O9/'[5]actual CWTs exp'!$Z9&gt;0.0005,'[5]actual CWTs exp'!O9/'[5]actual CWTs exp'!$Z9,IF('[5]actual CWTs exp'!O9/'[5]actual CWTs exp'!$Z9&gt;0,"-     "," "))</f>
        <v xml:space="preserve"> </v>
      </c>
      <c r="P12" s="210">
        <f>IF('[5]actual CWTs exp'!P9/'[5]actual CWTs exp'!$Z9&gt;0.0005,'[5]actual CWTs exp'!P9/'[5]actual CWTs exp'!$Z9,IF('[5]actual CWTs exp'!P9/'[5]actual CWTs exp'!$Z9&gt;0,"-     "," "))</f>
        <v>0.3652816721896508</v>
      </c>
      <c r="Q12" s="210">
        <f>IF('[5]actual CWTs exp'!Q9/'[5]actual CWTs exp'!$Z9&gt;0.0005,'[5]actual CWTs exp'!Q9/'[5]actual CWTs exp'!$Z9,IF('[5]actual CWTs exp'!Q9/'[5]actual CWTs exp'!$Z9&gt;0,"-     "," "))</f>
        <v>7.8766250318633699E-2</v>
      </c>
      <c r="R12" s="415" t="str">
        <f>IF('[5]actual CWTs exp'!R9/'[5]actual CWTs exp'!$Z9&gt;0.0005,'[5]actual CWTs exp'!R9/'[5]actual CWTs exp'!$Z9,IF('[5]actual CWTs exp'!R9/'[5]actual CWTs exp'!$Z9&gt;0,"-     "," "))</f>
        <v xml:space="preserve">-     </v>
      </c>
      <c r="S12" s="210">
        <f>IF('[5]actual CWTs exp'!S9/'[5]actual CWTs exp'!$Z9&gt;0.0005,'[5]actual CWTs exp'!S9/'[5]actual CWTs exp'!$Z9,IF('[5]actual CWTs exp'!S9/'[5]actual CWTs exp'!$Z9&gt;0,"-     "," "))</f>
        <v>0.11394341065511089</v>
      </c>
      <c r="T12" s="210">
        <f>IF('[5]actual CWTs exp'!T9/'[5]actual CWTs exp'!$Z9&gt;0.0005,'[5]actual CWTs exp'!T9/'[5]actual CWTs exp'!$Z9,IF('[5]actual CWTs exp'!T9/'[5]actual CWTs exp'!$Z9&gt;0,"-     "," "))</f>
        <v>3.3137904664797351E-3</v>
      </c>
      <c r="U12" s="415" t="str">
        <f>IF('[5]actual CWTs exp'!U9/'[5]actual CWTs exp'!$Z9&gt;0.0005,'[5]actual CWTs exp'!U9/'[5]actual CWTs exp'!$Z9,IF('[5]actual CWTs exp'!U9/'[5]actual CWTs exp'!$Z9&gt;0,"-     "," "))</f>
        <v xml:space="preserve"> </v>
      </c>
      <c r="V12" s="210">
        <f>IF('[5]actual CWTs exp'!V9/'[5]actual CWTs exp'!$Z9&gt;0.0005,'[5]actual CWTs exp'!V9/'[5]actual CWTs exp'!$Z9,IF('[5]actual CWTs exp'!V9/'[5]actual CWTs exp'!$Z9&gt;0,"-     "," "))</f>
        <v>8.1570226867193479E-3</v>
      </c>
      <c r="W12" s="417" t="str">
        <f>IF('[5]actual CWTs exp'!W9/'[5]actual CWTs exp'!$Z9&gt;0.0005,'[5]actual CWTs exp'!W9/'[5]actual CWTs exp'!$Z9,IF('[5]actual CWTs exp'!W9/'[5]actual CWTs exp'!$Z9&gt;0,"-     "," "))</f>
        <v xml:space="preserve"> </v>
      </c>
      <c r="X12" s="380">
        <f t="shared" si="0"/>
        <v>0.67015039510578644</v>
      </c>
      <c r="Y12" s="381">
        <f t="shared" si="1"/>
        <v>0.32984960489421356</v>
      </c>
      <c r="Z12" s="382">
        <f>'[5]actual CWTs exp'!Z9</f>
        <v>3923</v>
      </c>
    </row>
    <row r="13" spans="1:29" ht="16.5" customHeight="1" x14ac:dyDescent="0.25">
      <c r="A13" s="354" t="s">
        <v>319</v>
      </c>
      <c r="B13" t="s">
        <v>52</v>
      </c>
      <c r="C13" t="s">
        <v>316</v>
      </c>
      <c r="D13" t="s">
        <v>48</v>
      </c>
      <c r="E13" s="210" t="str">
        <f>IF('[5]actual CWTs exp'!E10/'[5]actual CWTs exp'!$Z10&gt;0.0005,'[5]actual CWTs exp'!E10/'[5]actual CWTs exp'!$Z10,IF('[5]actual CWTs exp'!E10/'[5]actual CWTs exp'!$Z10&gt;0,"*     "," "))</f>
        <v xml:space="preserve"> </v>
      </c>
      <c r="F13" s="418" t="str">
        <f>IF('[5]actual CWTs exp'!F10/'[5]actual CWTs exp'!$Z10&gt;0.0005,'[5]actual CWTs exp'!F10/'[5]actual CWTs exp'!$Z10,IF('[5]actual CWTs exp'!F10/'[5]actual CWTs exp'!$Z10&gt;0,"-     "," "))</f>
        <v xml:space="preserve"> </v>
      </c>
      <c r="G13" s="151" t="str">
        <f>IF('[5]actual CWTs exp'!G10/'[5]actual CWTs exp'!$Z10&gt;0.0005,'[5]actual CWTs exp'!G10/'[5]actual CWTs exp'!$Z10,IF('[5]actual CWTs exp'!G10/'[5]actual CWTs exp'!$Z10&gt;0,"-     "," "))</f>
        <v xml:space="preserve"> </v>
      </c>
      <c r="H13" s="210">
        <f>IF('[5]actual CWTs exp'!H10/'[5]actual CWTs exp'!$Z10&gt;0.0005,'[5]actual CWTs exp'!H10/'[5]actual CWTs exp'!$Z10,IF('[5]actual CWTs exp'!H10/'[5]actual CWTs exp'!$Z10&gt;0,"-     "," "))</f>
        <v>1.4652567975830815E-2</v>
      </c>
      <c r="I13" s="418" t="str">
        <f>IF('[5]actual CWTs exp'!I10/'[5]actual CWTs exp'!$Z10&gt;0.0005,'[5]actual CWTs exp'!I10/'[5]actual CWTs exp'!$Z10,IF('[5]actual CWTs exp'!I10/'[5]actual CWTs exp'!$Z10&gt;0,"-     "," "))</f>
        <v xml:space="preserve"> </v>
      </c>
      <c r="J13" s="210" t="str">
        <f>IF('[5]actual CWTs exp'!J10/'[5]actual CWTs exp'!$Z10&gt;0.0005,'[5]actual CWTs exp'!J10/'[5]actual CWTs exp'!$Z10,IF('[5]actual CWTs exp'!J10/'[5]actual CWTs exp'!$Z10&gt;0,"-     "," "))</f>
        <v xml:space="preserve">-     </v>
      </c>
      <c r="K13" s="151" t="str">
        <f>IF('[5]actual CWTs exp'!K10/'[5]actual CWTs exp'!$Z10&gt;0.0005,'[5]actual CWTs exp'!K10/'[5]actual CWTs exp'!$Z10,IF('[5]actual CWTs exp'!K10/'[5]actual CWTs exp'!$Z10&gt;0,"-     "," "))</f>
        <v xml:space="preserve"> </v>
      </c>
      <c r="L13" s="210">
        <f>IF('[5]actual CWTs exp'!L10/'[5]actual CWTs exp'!$Z10&gt;0.0005,'[5]actual CWTs exp'!L10/'[5]actual CWTs exp'!$Z10,IF('[5]actual CWTs exp'!L10/'[5]actual CWTs exp'!$Z10&gt;0,"-     "," "))</f>
        <v>4.9848942598187309E-3</v>
      </c>
      <c r="M13" s="151" t="str">
        <f>IF('[5]actual CWTs exp'!M10/'[5]actual CWTs exp'!$Z10&gt;0.0005,'[5]actual CWTs exp'!M10/'[5]actual CWTs exp'!$Z10,IF('[5]actual CWTs exp'!M10/'[5]actual CWTs exp'!$Z10&gt;0,"-     "," "))</f>
        <v xml:space="preserve">-     </v>
      </c>
      <c r="N13" s="210" t="str">
        <f>IF('[5]actual CWTs exp'!N10/'[5]actual CWTs exp'!$Z10&gt;0.0005,'[5]actual CWTs exp'!N10/'[5]actual CWTs exp'!$Z10,IF('[5]actual CWTs exp'!N10/'[5]actual CWTs exp'!$Z10&gt;0,"-     "," "))</f>
        <v xml:space="preserve">-     </v>
      </c>
      <c r="O13" s="416" t="str">
        <f>IF('[5]actual CWTs exp'!O10/'[5]actual CWTs exp'!$Z10&gt;0.0005,'[5]actual CWTs exp'!O10/'[5]actual CWTs exp'!$Z10,IF('[5]actual CWTs exp'!O10/'[5]actual CWTs exp'!$Z10&gt;0,"-     "," "))</f>
        <v xml:space="preserve"> </v>
      </c>
      <c r="P13" s="210" t="str">
        <f>IF('[5]actual CWTs exp'!P10/'[5]actual CWTs exp'!$Z10&gt;0.0005,'[5]actual CWTs exp'!P10/'[5]actual CWTs exp'!$Z10,IF('[5]actual CWTs exp'!P10/'[5]actual CWTs exp'!$Z10&gt;0,"-     "," "))</f>
        <v xml:space="preserve"> </v>
      </c>
      <c r="Q13" s="210">
        <f>IF('[5]actual CWTs exp'!Q10/'[5]actual CWTs exp'!$Z10&gt;0.0005,'[5]actual CWTs exp'!Q10/'[5]actual CWTs exp'!$Z10,IF('[5]actual CWTs exp'!Q10/'[5]actual CWTs exp'!$Z10&gt;0,"-     "," "))</f>
        <v>1.4803625377643504E-2</v>
      </c>
      <c r="R13" s="415">
        <f>IF('[5]actual CWTs exp'!R10/'[5]actual CWTs exp'!$Z10&gt;0.0005,'[5]actual CWTs exp'!R10/'[5]actual CWTs exp'!$Z10,IF('[5]actual CWTs exp'!R10/'[5]actual CWTs exp'!$Z10&gt;0,"-     "," "))</f>
        <v>6.5709969788519632E-2</v>
      </c>
      <c r="S13" s="210">
        <f>IF('[5]actual CWTs exp'!S10/'[5]actual CWTs exp'!$Z10&gt;0.0005,'[5]actual CWTs exp'!S10/'[5]actual CWTs exp'!$Z10,IF('[5]actual CWTs exp'!S10/'[5]actual CWTs exp'!$Z10&gt;0,"-     "," "))</f>
        <v>0.81178247734138975</v>
      </c>
      <c r="T13" s="210">
        <f>IF('[5]actual CWTs exp'!T10/'[5]actual CWTs exp'!$Z10&gt;0.0005,'[5]actual CWTs exp'!T10/'[5]actual CWTs exp'!$Z10,IF('[5]actual CWTs exp'!T10/'[5]actual CWTs exp'!$Z10&gt;0,"-     "," "))</f>
        <v>2.7190332326283987E-2</v>
      </c>
      <c r="U13" s="415" t="str">
        <f>IF('[5]actual CWTs exp'!U10/'[5]actual CWTs exp'!$Z10&gt;0.0005,'[5]actual CWTs exp'!U10/'[5]actual CWTs exp'!$Z10,IF('[5]actual CWTs exp'!U10/'[5]actual CWTs exp'!$Z10&gt;0,"-     "," "))</f>
        <v xml:space="preserve"> </v>
      </c>
      <c r="V13" s="210">
        <f>IF('[5]actual CWTs exp'!V10/'[5]actual CWTs exp'!$Z10&gt;0.0005,'[5]actual CWTs exp'!V10/'[5]actual CWTs exp'!$Z10,IF('[5]actual CWTs exp'!V10/'[5]actual CWTs exp'!$Z10&gt;0,"-     "," "))</f>
        <v>1.8731117824773415E-2</v>
      </c>
      <c r="W13" s="417" t="str">
        <f>IF('[5]actual CWTs exp'!W10/'[5]actual CWTs exp'!$Z10&gt;0.0005,'[5]actual CWTs exp'!W10/'[5]actual CWTs exp'!$Z10,IF('[5]actual CWTs exp'!W10/'[5]actual CWTs exp'!$Z10&gt;0,"-     "," "))</f>
        <v xml:space="preserve"> </v>
      </c>
      <c r="X13" s="380">
        <f t="shared" si="0"/>
        <v>0.95785498489425991</v>
      </c>
      <c r="Y13" s="381">
        <f t="shared" si="1"/>
        <v>4.2145015105740091E-2</v>
      </c>
      <c r="Z13" s="382">
        <f>'[5]actual CWTs exp'!Z10</f>
        <v>6620</v>
      </c>
    </row>
    <row r="14" spans="1:29" ht="16.5" customHeight="1" x14ac:dyDescent="0.25">
      <c r="A14" s="354" t="s">
        <v>320</v>
      </c>
      <c r="B14" t="s">
        <v>54</v>
      </c>
      <c r="C14" t="s">
        <v>316</v>
      </c>
      <c r="D14" t="s">
        <v>48</v>
      </c>
      <c r="E14" s="210" t="str">
        <f>IF('[5]actual CWTs exp'!E11/'[5]actual CWTs exp'!$Z11&gt;0.0005,'[5]actual CWTs exp'!E11/'[5]actual CWTs exp'!$Z11,IF('[5]actual CWTs exp'!E11/'[5]actual CWTs exp'!$Z11&gt;0,"*     "," "))</f>
        <v xml:space="preserve"> </v>
      </c>
      <c r="F14" s="415">
        <f>IF('[5]actual CWTs exp'!F11/'[5]actual CWTs exp'!$Z11&gt;0.0005,'[5]actual CWTs exp'!F11/'[5]actual CWTs exp'!$Z11,IF('[5]actual CWTs exp'!F11/'[5]actual CWTs exp'!$Z11&gt;0,"-     "," "))</f>
        <v>1E-3</v>
      </c>
      <c r="G14" s="210" t="str">
        <f>IF('[5]actual CWTs exp'!G11/'[5]actual CWTs exp'!$Z11&gt;0.0005,'[5]actual CWTs exp'!G11/'[5]actual CWTs exp'!$Z11,IF('[5]actual CWTs exp'!G11/'[5]actual CWTs exp'!$Z11&gt;0,"-     "," "))</f>
        <v xml:space="preserve"> </v>
      </c>
      <c r="H14" s="210">
        <f>IF('[5]actual CWTs exp'!H11/'[5]actual CWTs exp'!$Z11&gt;0.0005,'[5]actual CWTs exp'!H11/'[5]actual CWTs exp'!$Z11,IF('[5]actual CWTs exp'!H11/'[5]actual CWTs exp'!$Z11&gt;0,"-     "," "))</f>
        <v>1.6E-2</v>
      </c>
      <c r="I14" s="415" t="str">
        <f>IF('[5]actual CWTs exp'!I11/'[5]actual CWTs exp'!$Z11&gt;0.0005,'[5]actual CWTs exp'!I11/'[5]actual CWTs exp'!$Z11,IF('[5]actual CWTs exp'!I11/'[5]actual CWTs exp'!$Z11&gt;0,"-     "," "))</f>
        <v xml:space="preserve"> </v>
      </c>
      <c r="J14" s="210" t="str">
        <f>IF('[5]actual CWTs exp'!J11/'[5]actual CWTs exp'!$Z11&gt;0.0005,'[5]actual CWTs exp'!J11/'[5]actual CWTs exp'!$Z11,IF('[5]actual CWTs exp'!J11/'[5]actual CWTs exp'!$Z11&gt;0,"-     "," "))</f>
        <v xml:space="preserve"> </v>
      </c>
      <c r="K14" s="210" t="str">
        <f>IF('[5]actual CWTs exp'!K11/'[5]actual CWTs exp'!$Z11&gt;0.0005,'[5]actual CWTs exp'!K11/'[5]actual CWTs exp'!$Z11,IF('[5]actual CWTs exp'!K11/'[5]actual CWTs exp'!$Z11&gt;0,"-     "," "))</f>
        <v xml:space="preserve"> </v>
      </c>
      <c r="L14" s="210">
        <f>IF('[5]actual CWTs exp'!L11/'[5]actual CWTs exp'!$Z11&gt;0.0005,'[5]actual CWTs exp'!L11/'[5]actual CWTs exp'!$Z11,IF('[5]actual CWTs exp'!L11/'[5]actual CWTs exp'!$Z11&gt;0,"-     "," "))</f>
        <v>8.0000000000000002E-3</v>
      </c>
      <c r="M14" s="210" t="str">
        <f>IF('[5]actual CWTs exp'!M11/'[5]actual CWTs exp'!$Z11&gt;0.0005,'[5]actual CWTs exp'!M11/'[5]actual CWTs exp'!$Z11,IF('[5]actual CWTs exp'!M11/'[5]actual CWTs exp'!$Z11&gt;0,"-     "," "))</f>
        <v xml:space="preserve"> </v>
      </c>
      <c r="N14" s="210">
        <f>IF('[5]actual CWTs exp'!N11/'[5]actual CWTs exp'!$Z11&gt;0.0005,'[5]actual CWTs exp'!N11/'[5]actual CWTs exp'!$Z11,IF('[5]actual CWTs exp'!N11/'[5]actual CWTs exp'!$Z11&gt;0,"-     "," "))</f>
        <v>1E-3</v>
      </c>
      <c r="O14" s="416" t="str">
        <f>IF('[5]actual CWTs exp'!O11/'[5]actual CWTs exp'!$Z11&gt;0.0005,'[5]actual CWTs exp'!O11/'[5]actual CWTs exp'!$Z11,IF('[5]actual CWTs exp'!O11/'[5]actual CWTs exp'!$Z11&gt;0,"-     "," "))</f>
        <v xml:space="preserve"> </v>
      </c>
      <c r="P14" s="210">
        <f>IF('[5]actual CWTs exp'!P11/'[5]actual CWTs exp'!$Z11&gt;0.0005,'[5]actual CWTs exp'!P11/'[5]actual CWTs exp'!$Z11,IF('[5]actual CWTs exp'!P11/'[5]actual CWTs exp'!$Z11&gt;0,"-     "," "))</f>
        <v>4.0000000000000001E-3</v>
      </c>
      <c r="Q14" s="210">
        <f>IF('[5]actual CWTs exp'!Q11/'[5]actual CWTs exp'!$Z11&gt;0.0005,'[5]actual CWTs exp'!Q11/'[5]actual CWTs exp'!$Z11,IF('[5]actual CWTs exp'!Q11/'[5]actual CWTs exp'!$Z11&gt;0,"-     "," "))</f>
        <v>3.7999999999999999E-2</v>
      </c>
      <c r="R14" s="415" t="str">
        <f>IF('[5]actual CWTs exp'!R11/'[5]actual CWTs exp'!$Z11&gt;0.0005,'[5]actual CWTs exp'!R11/'[5]actual CWTs exp'!$Z11,IF('[5]actual CWTs exp'!R11/'[5]actual CWTs exp'!$Z11&gt;0,"-     "," "))</f>
        <v xml:space="preserve"> </v>
      </c>
      <c r="S14" s="210">
        <f>IF('[5]actual CWTs exp'!S11/'[5]actual CWTs exp'!$Z11&gt;0.0005,'[5]actual CWTs exp'!S11/'[5]actual CWTs exp'!$Z11,IF('[5]actual CWTs exp'!S11/'[5]actual CWTs exp'!$Z11&gt;0,"-     "," "))</f>
        <v>0.57999999999999996</v>
      </c>
      <c r="T14" s="210">
        <f>IF('[5]actual CWTs exp'!T11/'[5]actual CWTs exp'!$Z11&gt;0.0005,'[5]actual CWTs exp'!T11/'[5]actual CWTs exp'!$Z11,IF('[5]actual CWTs exp'!T11/'[5]actual CWTs exp'!$Z11&gt;0,"-     "," "))</f>
        <v>1.4E-2</v>
      </c>
      <c r="U14" s="415">
        <f>IF('[5]actual CWTs exp'!U11/'[5]actual CWTs exp'!$Z11&gt;0.0005,'[5]actual CWTs exp'!U11/'[5]actual CWTs exp'!$Z11,IF('[5]actual CWTs exp'!U11/'[5]actual CWTs exp'!$Z11&gt;0,"-     "," "))</f>
        <v>2.8000000000000001E-2</v>
      </c>
      <c r="V14" s="210">
        <f>IF('[5]actual CWTs exp'!V11/'[5]actual CWTs exp'!$Z11&gt;0.0005,'[5]actual CWTs exp'!V11/'[5]actual CWTs exp'!$Z11,IF('[5]actual CWTs exp'!V11/'[5]actual CWTs exp'!$Z11&gt;0,"-     "," "))</f>
        <v>9.9000000000000005E-2</v>
      </c>
      <c r="W14" s="417" t="str">
        <f>IF('[5]actual CWTs exp'!W11/'[5]actual CWTs exp'!$Z11&gt;0.0005,'[5]actual CWTs exp'!W11/'[5]actual CWTs exp'!$Z11,IF('[5]actual CWTs exp'!W11/'[5]actual CWTs exp'!$Z11&gt;0,"-     "," "))</f>
        <v xml:space="preserve"> </v>
      </c>
      <c r="X14" s="380">
        <f t="shared" si="0"/>
        <v>0.78899999999999992</v>
      </c>
      <c r="Y14" s="381">
        <f t="shared" si="1"/>
        <v>0.21100000000000008</v>
      </c>
      <c r="Z14" s="382">
        <f>'[5]actual CWTs exp'!Z11</f>
        <v>1000</v>
      </c>
      <c r="AC14" s="327"/>
    </row>
    <row r="15" spans="1:29" ht="18" customHeight="1" x14ac:dyDescent="0.3">
      <c r="A15" s="715" t="s">
        <v>193</v>
      </c>
      <c r="B15" s="716"/>
      <c r="C15" s="716"/>
      <c r="D15" s="716"/>
      <c r="E15" s="420" t="str">
        <f>IF('[5]actual CWTs exp'!E12/'[5]actual CWTs exp'!$Z12&gt;0.0005,'[5]actual CWTs exp'!E12/'[5]actual CWTs exp'!$Z12,IF('[5]actual CWTs exp'!E12/'[5]actual CWTs exp'!$Z12&gt;0,"-     "," "))</f>
        <v xml:space="preserve"> </v>
      </c>
      <c r="F15" s="421" t="str">
        <f>IF('[5]actual CWTs exp'!F12/'[5]actual CWTs exp'!$Z12&gt;0.0005,'[5]actual CWTs exp'!F12/'[5]actual CWTs exp'!$Z12,IF('[5]actual CWTs exp'!F12/'[5]actual CWTs exp'!$Z12&gt;0,"-     "," "))</f>
        <v xml:space="preserve">-     </v>
      </c>
      <c r="G15" s="420">
        <f>IF('[5]actual CWTs exp'!G12/'[5]actual CWTs exp'!$Z12&gt;0.0005,'[5]actual CWTs exp'!G12/'[5]actual CWTs exp'!$Z12,IF('[5]actual CWTs exp'!G12/'[5]actual CWTs exp'!$Z12&gt;0,"-     "," "))</f>
        <v>0.5108726655348047</v>
      </c>
      <c r="H15" s="420">
        <f>IF('[5]actual CWTs exp'!H12/'[5]actual CWTs exp'!$Z12&gt;0.0005,'[5]actual CWTs exp'!H12/'[5]actual CWTs exp'!$Z12,IF('[5]actual CWTs exp'!H12/'[5]actual CWTs exp'!$Z12&gt;0,"-     "," "))</f>
        <v>1.6719864176570457E-2</v>
      </c>
      <c r="I15" s="421">
        <f>IF('[5]actual CWTs exp'!I12/'[5]actual CWTs exp'!$Z12&gt;0.0005,'[5]actual CWTs exp'!I12/'[5]actual CWTs exp'!$Z12,IF('[5]actual CWTs exp'!I12/'[5]actual CWTs exp'!$Z12&gt;0,"-     "," "))</f>
        <v>1.268590831918506E-2</v>
      </c>
      <c r="J15" s="420">
        <f>IF('[5]actual CWTs exp'!J12/'[5]actual CWTs exp'!$Z12&gt;0.0005,'[5]actual CWTs exp'!J12/'[5]actual CWTs exp'!$Z12,IF('[5]actual CWTs exp'!J12/'[5]actual CWTs exp'!$Z12&gt;0,"-     "," "))</f>
        <v>1.8811544991511036E-2</v>
      </c>
      <c r="K15" s="420" t="str">
        <f>IF('[5]actual CWTs exp'!K12/'[5]actual CWTs exp'!$Z12&gt;0.0005,'[5]actual CWTs exp'!K12/'[5]actual CWTs exp'!$Z12,IF('[5]actual CWTs exp'!K12/'[5]actual CWTs exp'!$Z12&gt;0,"-     "," "))</f>
        <v xml:space="preserve">-     </v>
      </c>
      <c r="L15" s="420">
        <f>IF('[5]actual CWTs exp'!L12/'[5]actual CWTs exp'!$Z12&gt;0.0005,'[5]actual CWTs exp'!L12/'[5]actual CWTs exp'!$Z12,IF('[5]actual CWTs exp'!L12/'[5]actual CWTs exp'!$Z12&gt;0,"-     "," "))</f>
        <v>0.23788794567062818</v>
      </c>
      <c r="M15" s="422" t="str">
        <f>IF('[5]actual CWTs exp'!M12/'[5]actual CWTs exp'!$Z12&gt;0.0005,'[5]actual CWTs exp'!M12/'[5]actual CWTs exp'!$Z12,IF('[5]actual CWTs exp'!M12/'[5]actual CWTs exp'!$Z12&gt;0,"-     "," "))</f>
        <v xml:space="preserve">-     </v>
      </c>
      <c r="N15" s="420">
        <f>IF('[5]actual CWTs exp'!N12/'[5]actual CWTs exp'!$Z12&gt;0.0005,'[5]actual CWTs exp'!N12/'[5]actual CWTs exp'!$Z12,IF('[5]actual CWTs exp'!N12/'[5]actual CWTs exp'!$Z12&gt;0,"-     "," "))</f>
        <v>2.1528013582342953E-3</v>
      </c>
      <c r="O15" s="423" t="str">
        <f>IF('[5]actual CWTs exp'!O12/'[5]actual CWTs exp'!$Z12&gt;0.0005,'[5]actual CWTs exp'!O12/'[5]actual CWTs exp'!$Z12,IF('[5]actual CWTs exp'!O12/'[5]actual CWTs exp'!$Z12&gt;0,"-     "," "))</f>
        <v xml:space="preserve">-     </v>
      </c>
      <c r="P15" s="420">
        <f>IF('[5]actual CWTs exp'!P12/'[5]actual CWTs exp'!$Z12&gt;0.0005,'[5]actual CWTs exp'!P12/'[5]actual CWTs exp'!$Z12,IF('[5]actual CWTs exp'!P12/'[5]actual CWTs exp'!$Z12&gt;0,"-     "," "))</f>
        <v>3.2135823429541598E-2</v>
      </c>
      <c r="Q15" s="420">
        <f>IF('[5]actual CWTs exp'!Q12/'[5]actual CWTs exp'!$Z12&gt;0.0005,'[5]actual CWTs exp'!Q12/'[5]actual CWTs exp'!$Z12,IF('[5]actual CWTs exp'!Q12/'[5]actual CWTs exp'!$Z12&gt;0,"-     "," "))</f>
        <v>2.3864176570458404E-2</v>
      </c>
      <c r="R15" s="424">
        <f>IF('[5]actual CWTs exp'!R12/'[5]actual CWTs exp'!$Z12&gt;0.0005,'[5]actual CWTs exp'!R12/'[5]actual CWTs exp'!$Z12,IF('[5]actual CWTs exp'!R12/'[5]actual CWTs exp'!$Z12&gt;0,"-     "," "))</f>
        <v>2.9949066213921902E-3</v>
      </c>
      <c r="S15" s="420">
        <f>IF('[5]actual CWTs exp'!S12/'[5]actual CWTs exp'!$Z12&gt;0.0005,'[5]actual CWTs exp'!S12/'[5]actual CWTs exp'!$Z12,IF('[5]actual CWTs exp'!S12/'[5]actual CWTs exp'!$Z12&gt;0,"-     "," "))</f>
        <v>5.4044142614601019E-2</v>
      </c>
      <c r="T15" s="420">
        <f>IF('[5]actual CWTs exp'!T12/'[5]actual CWTs exp'!$Z12&gt;0.0005,'[5]actual CWTs exp'!T12/'[5]actual CWTs exp'!$Z12,IF('[5]actual CWTs exp'!T12/'[5]actual CWTs exp'!$Z12&gt;0,"-     "," "))</f>
        <v>1.629881154499151E-3</v>
      </c>
      <c r="U15" s="421" t="str">
        <f>IF('[5]actual CWTs exp'!U12/'[5]actual CWTs exp'!$Z12&gt;0.0005,'[5]actual CWTs exp'!U12/'[5]actual CWTs exp'!$Z12,IF('[5]actual CWTs exp'!U12/'[5]actual CWTs exp'!$Z12&gt;0,"-     "," "))</f>
        <v xml:space="preserve">-     </v>
      </c>
      <c r="V15" s="420">
        <f>IF('[5]actual CWTs exp'!V12/'[5]actual CWTs exp'!$Z12&gt;0.0005,'[5]actual CWTs exp'!V12/'[5]actual CWTs exp'!$Z12,IF('[5]actual CWTs exp'!V12/'[5]actual CWTs exp'!$Z12&gt;0,"-     "," "))</f>
        <v>3.1782682512733447E-3</v>
      </c>
      <c r="W15" s="425" t="str">
        <f>IF('[5]actual CWTs exp'!W12/'[5]actual CWTs exp'!$Z12&gt;0.0005,'[5]actual CWTs exp'!W12/'[5]actual CWTs exp'!$Z12,IF('[5]actual CWTs exp'!W12/'[5]actual CWTs exp'!$Z12&gt;0,"-     "," "))</f>
        <v xml:space="preserve">-     </v>
      </c>
      <c r="X15" s="391">
        <f>IF('[5]actual CWTs exp'!X12&gt;0,'[5]actual CWTs exp'!X12/'[5]actual CWTs exp'!$Z12," ")</f>
        <v>0.91764346349745329</v>
      </c>
      <c r="Y15" s="389">
        <f>IF('[5]actual CWTs exp'!Y12&gt;0,'[5]actual CWTs exp'!Y12/'[5]actual CWTs exp'!$Z12," ")</f>
        <v>8.2356536502546693E-2</v>
      </c>
      <c r="Z15" s="392">
        <f>'[5]actual CWTs exp'!Z12</f>
        <v>147250</v>
      </c>
    </row>
    <row r="16" spans="1:29" ht="16.5" customHeight="1" x14ac:dyDescent="0.25">
      <c r="A16" s="354"/>
      <c r="B16"/>
      <c r="C16"/>
      <c r="D16"/>
      <c r="E16" s="37"/>
      <c r="F16" s="415"/>
      <c r="G16" s="210"/>
      <c r="H16" s="210"/>
      <c r="I16" s="415"/>
      <c r="J16" s="210"/>
      <c r="K16" s="210"/>
      <c r="L16" s="210"/>
      <c r="M16" s="210"/>
      <c r="N16" s="210"/>
      <c r="O16" s="416"/>
      <c r="P16" s="210"/>
      <c r="Q16" s="210"/>
      <c r="R16" s="415"/>
      <c r="S16" s="210"/>
      <c r="T16" s="210"/>
      <c r="U16" s="415"/>
      <c r="V16" s="210"/>
      <c r="W16" s="417"/>
      <c r="X16" s="380"/>
      <c r="Y16" s="381"/>
      <c r="Z16" s="382"/>
    </row>
    <row r="17" spans="1:29" ht="16.5" customHeight="1" x14ac:dyDescent="0.3">
      <c r="A17" s="370" t="s">
        <v>63</v>
      </c>
      <c r="B17"/>
      <c r="C17"/>
      <c r="D17"/>
      <c r="E17" s="37"/>
      <c r="F17" s="426"/>
      <c r="G17" s="210"/>
      <c r="H17" s="210"/>
      <c r="I17" s="415"/>
      <c r="J17" s="210"/>
      <c r="K17" s="210"/>
      <c r="L17" s="210"/>
      <c r="M17" s="210"/>
      <c r="N17" s="210"/>
      <c r="O17" s="416"/>
      <c r="P17" s="210"/>
      <c r="Q17" s="210"/>
      <c r="R17" s="415"/>
      <c r="S17" s="210"/>
      <c r="T17" s="210"/>
      <c r="U17" s="415"/>
      <c r="V17" s="210"/>
      <c r="W17" s="417"/>
      <c r="X17" s="380"/>
      <c r="Y17" s="381"/>
      <c r="Z17" s="382">
        <f>'[5]actual CWTs exp'!Z13</f>
        <v>0</v>
      </c>
    </row>
    <row r="18" spans="1:29" ht="16.5" customHeight="1" x14ac:dyDescent="0.25">
      <c r="A18" s="354" t="s">
        <v>67</v>
      </c>
      <c r="B18"/>
      <c r="C18"/>
      <c r="D18" s="3" t="s">
        <v>47</v>
      </c>
      <c r="E18" s="210" t="str">
        <f>IF('[5]actual CWTs exp'!E14/'[5]actual CWTs exp'!$Z14&gt;0.0005,'[5]actual CWTs exp'!E14/'[5]actual CWTs exp'!$Z14,IF('[5]actual CWTs exp'!E14/'[5]actual CWTs exp'!$Z14&gt;0,"-     "," "))</f>
        <v xml:space="preserve"> </v>
      </c>
      <c r="F18" s="415" t="str">
        <f>IF('[5]actual CWTs exp'!F14/'[5]actual CWTs exp'!$Z14&gt;0.0005,'[5]actual CWTs exp'!F14/'[5]actual CWTs exp'!$Z14,IF('[5]actual CWTs exp'!F14/'[5]actual CWTs exp'!$Z14&gt;0,"-     "," "))</f>
        <v xml:space="preserve"> </v>
      </c>
      <c r="G18" s="210" t="str">
        <f>IF('[5]actual CWTs exp'!G14/'[5]actual CWTs exp'!$Z14&gt;0.0005,'[5]actual CWTs exp'!G14/'[5]actual CWTs exp'!$Z14,IF('[5]actual CWTs exp'!G14/'[5]actual CWTs exp'!$Z14&gt;0,"-     "," "))</f>
        <v xml:space="preserve"> </v>
      </c>
      <c r="H18" s="210" t="str">
        <f>IF('[5]actual CWTs exp'!H14/'[5]actual CWTs exp'!$Z14&gt;0.0005,'[5]actual CWTs exp'!H14/'[5]actual CWTs exp'!$Z14,IF('[5]actual CWTs exp'!H14/'[5]actual CWTs exp'!$Z14&gt;0,"-     "," "))</f>
        <v xml:space="preserve"> </v>
      </c>
      <c r="I18" s="415" t="str">
        <f>IF('[5]actual CWTs exp'!I14/'[5]actual CWTs exp'!$Z14&gt;0.0005,'[5]actual CWTs exp'!I14/'[5]actual CWTs exp'!$Z14,IF('[5]actual CWTs exp'!I14/'[5]actual CWTs exp'!$Z14&gt;0,"-     "," "))</f>
        <v xml:space="preserve"> </v>
      </c>
      <c r="J18" s="210" t="str">
        <f>IF('[5]actual CWTs exp'!J14/'[5]actual CWTs exp'!$Z14&gt;0.0005,'[5]actual CWTs exp'!J14/'[5]actual CWTs exp'!$Z14,IF('[5]actual CWTs exp'!J14/'[5]actual CWTs exp'!$Z14&gt;0,"-     "," "))</f>
        <v xml:space="preserve"> </v>
      </c>
      <c r="K18" s="210" t="str">
        <f>IF('[5]actual CWTs exp'!K14/'[5]actual CWTs exp'!$Z14&gt;0.0005,'[5]actual CWTs exp'!K14/'[5]actual CWTs exp'!$Z14,IF('[5]actual CWTs exp'!K14/'[5]actual CWTs exp'!$Z14&gt;0,"-     "," "))</f>
        <v xml:space="preserve"> </v>
      </c>
      <c r="L18" s="210" t="str">
        <f>IF('[5]actual CWTs exp'!L14/'[5]actual CWTs exp'!$Z14&gt;0.0005,'[5]actual CWTs exp'!L14/'[5]actual CWTs exp'!$Z14,IF('[5]actual CWTs exp'!L14/'[5]actual CWTs exp'!$Z14&gt;0,"-     "," "))</f>
        <v xml:space="preserve"> </v>
      </c>
      <c r="M18" s="210" t="str">
        <f>IF('[5]actual CWTs exp'!M14/'[5]actual CWTs exp'!$Z14&gt;0.0005,'[5]actual CWTs exp'!M14/'[5]actual CWTs exp'!$Z14,IF('[5]actual CWTs exp'!M14/'[5]actual CWTs exp'!$Z14&gt;0,"-     "," "))</f>
        <v xml:space="preserve"> </v>
      </c>
      <c r="N18" s="210" t="str">
        <f>IF('[5]actual CWTs exp'!N14/'[5]actual CWTs exp'!$Z14&gt;0.0005,'[5]actual CWTs exp'!N14/'[5]actual CWTs exp'!$Z14,IF('[5]actual CWTs exp'!N14/'[5]actual CWTs exp'!$Z14&gt;0,"-     "," "))</f>
        <v xml:space="preserve"> </v>
      </c>
      <c r="O18" s="416" t="str">
        <f>IF('[5]actual CWTs exp'!O14/'[5]actual CWTs exp'!$Z14&gt;0.0005,'[5]actual CWTs exp'!O14/'[5]actual CWTs exp'!$Z14,IF('[5]actual CWTs exp'!O14/'[5]actual CWTs exp'!$Z14&gt;0,"-     "," "))</f>
        <v xml:space="preserve"> </v>
      </c>
      <c r="P18" s="210" t="str">
        <f>IF('[5]actual CWTs exp'!P14/'[5]actual CWTs exp'!$Z14&gt;0.0005,'[5]actual CWTs exp'!P14/'[5]actual CWTs exp'!$Z14,IF('[5]actual CWTs exp'!P14/'[5]actual CWTs exp'!$Z14&gt;0,"-     "," "))</f>
        <v xml:space="preserve"> </v>
      </c>
      <c r="Q18" s="210" t="str">
        <f>IF('[5]actual CWTs exp'!Q14/'[5]actual CWTs exp'!$Z14&gt;0.0005,'[5]actual CWTs exp'!Q14/'[5]actual CWTs exp'!$Z14,IF('[5]actual CWTs exp'!Q14/'[5]actual CWTs exp'!$Z14&gt;0,"-     "," "))</f>
        <v xml:space="preserve"> </v>
      </c>
      <c r="R18" s="415" t="str">
        <f>IF('[5]actual CWTs exp'!R14/'[5]actual CWTs exp'!$Z14&gt;0.0005,'[5]actual CWTs exp'!R14/'[5]actual CWTs exp'!$Z14,IF('[5]actual CWTs exp'!R14/'[5]actual CWTs exp'!$Z14&gt;0,"-     "," "))</f>
        <v xml:space="preserve"> </v>
      </c>
      <c r="S18" s="210" t="str">
        <f>IF('[5]actual CWTs exp'!S14/'[5]actual CWTs exp'!$Z14&gt;0.0005,'[5]actual CWTs exp'!S14/'[5]actual CWTs exp'!$Z14,IF('[5]actual CWTs exp'!S14/'[5]actual CWTs exp'!$Z14&gt;0,"-     "," "))</f>
        <v xml:space="preserve"> </v>
      </c>
      <c r="T18" s="210" t="str">
        <f>IF('[5]actual CWTs exp'!T14/'[5]actual CWTs exp'!$Z14&gt;0.0005,'[5]actual CWTs exp'!T14/'[5]actual CWTs exp'!$Z14,IF('[5]actual CWTs exp'!T14/'[5]actual CWTs exp'!$Z14&gt;0,"-     "," "))</f>
        <v xml:space="preserve"> </v>
      </c>
      <c r="U18" s="415" t="str">
        <f>IF('[5]actual CWTs exp'!U14/'[5]actual CWTs exp'!$Z14&gt;0.0005,'[5]actual CWTs exp'!U14/'[5]actual CWTs exp'!$Z14,IF('[5]actual CWTs exp'!U14/'[5]actual CWTs exp'!$Z14&gt;0,"-     "," "))</f>
        <v xml:space="preserve"> </v>
      </c>
      <c r="V18" s="210" t="str">
        <f>IF('[5]actual CWTs exp'!V14/'[5]actual CWTs exp'!$Z14&gt;0.0005,'[5]actual CWTs exp'!V14/'[5]actual CWTs exp'!$Z14,IF('[5]actual CWTs exp'!V14/'[5]actual CWTs exp'!$Z14&gt;0,"-     "," "))</f>
        <v xml:space="preserve"> </v>
      </c>
      <c r="W18" s="427" t="str">
        <f>IF('[5]actual CWTs exp'!W14/'[5]actual CWTs exp'!$Z14&gt;0.0005,'[5]actual CWTs exp'!W14/'[5]actual CWTs exp'!$Z14,IF('[5]actual CWTs exp'!W14/'[5]actual CWTs exp'!$Z14&gt;0,"-     "," "))</f>
        <v xml:space="preserve"> </v>
      </c>
      <c r="X18" s="380">
        <v>1.0000000000000001E-5</v>
      </c>
      <c r="Y18" s="381">
        <v>1</v>
      </c>
      <c r="Z18" s="382">
        <v>16140</v>
      </c>
    </row>
    <row r="19" spans="1:29" ht="16.5" customHeight="1" x14ac:dyDescent="0.25">
      <c r="A19" s="397" t="s">
        <v>65</v>
      </c>
      <c r="B19" t="s">
        <v>64</v>
      </c>
      <c r="C19" t="s">
        <v>321</v>
      </c>
      <c r="D19" s="3" t="s">
        <v>42</v>
      </c>
      <c r="E19" s="210">
        <f>IF('[5]actual CWTs exp'!E15/'[5]actual CWTs exp'!$Z15&gt;0.0005,'[5]actual CWTs exp'!E15/'[5]actual CWTs exp'!$Z15,IF('[5]actual CWTs exp'!E15/'[5]actual CWTs exp'!$Z15&gt;0,"-     "," "))</f>
        <v>0.28715836765256458</v>
      </c>
      <c r="F19" s="415" t="str">
        <f>IF('[5]actual CWTs exp'!F15/'[5]actual CWTs exp'!$Z15&gt;0.0005,'[5]actual CWTs exp'!F15/'[5]actual CWTs exp'!$Z15,IF('[5]actual CWTs exp'!F15/'[5]actual CWTs exp'!$Z15&gt;0,"-     "," "))</f>
        <v xml:space="preserve"> </v>
      </c>
      <c r="G19" s="210" t="str">
        <f>IF('[5]actual CWTs exp'!G15/'[5]actual CWTs exp'!$Z15&gt;0.0005,'[5]actual CWTs exp'!G15/'[5]actual CWTs exp'!$Z15,IF('[5]actual CWTs exp'!G15/'[5]actual CWTs exp'!$Z15&gt;0,"-     "," "))</f>
        <v xml:space="preserve"> </v>
      </c>
      <c r="H19" s="210" t="str">
        <f>IF('[5]actual CWTs exp'!H15/'[5]actual CWTs exp'!$Z15&gt;0.0005,'[5]actual CWTs exp'!H15/'[5]actual CWTs exp'!$Z15,IF('[5]actual CWTs exp'!H15/'[5]actual CWTs exp'!$Z15&gt;0,"-     "," "))</f>
        <v xml:space="preserve"> </v>
      </c>
      <c r="I19" s="415" t="str">
        <f>IF('[5]actual CWTs exp'!I15/'[5]actual CWTs exp'!$Z15&gt;0.0005,'[5]actual CWTs exp'!I15/'[5]actual CWTs exp'!$Z15,IF('[5]actual CWTs exp'!I15/'[5]actual CWTs exp'!$Z15&gt;0,"-     "," "))</f>
        <v xml:space="preserve"> </v>
      </c>
      <c r="J19" s="210" t="str">
        <f>IF('[5]actual CWTs exp'!J15/'[5]actual CWTs exp'!$Z15&gt;0.0005,'[5]actual CWTs exp'!J15/'[5]actual CWTs exp'!$Z15,IF('[5]actual CWTs exp'!J15/'[5]actual CWTs exp'!$Z15&gt;0,"-     "," "))</f>
        <v xml:space="preserve"> </v>
      </c>
      <c r="K19" s="210" t="str">
        <f>IF('[5]actual CWTs exp'!K15/'[5]actual CWTs exp'!$Z15&gt;0.0005,'[5]actual CWTs exp'!K15/'[5]actual CWTs exp'!$Z15,IF('[5]actual CWTs exp'!K15/'[5]actual CWTs exp'!$Z15&gt;0,"-     "," "))</f>
        <v xml:space="preserve"> </v>
      </c>
      <c r="L19" s="210" t="str">
        <f>IF('[5]actual CWTs exp'!L15/'[5]actual CWTs exp'!$Z15&gt;0.0005,'[5]actual CWTs exp'!L15/'[5]actual CWTs exp'!$Z15,IF('[5]actual CWTs exp'!L15/'[5]actual CWTs exp'!$Z15&gt;0,"-     "," "))</f>
        <v xml:space="preserve"> </v>
      </c>
      <c r="M19" s="210" t="str">
        <f>IF('[5]actual CWTs exp'!M15/'[5]actual CWTs exp'!$Z15&gt;0.0005,'[5]actual CWTs exp'!M15/'[5]actual CWTs exp'!$Z15,IF('[5]actual CWTs exp'!M15/'[5]actual CWTs exp'!$Z15&gt;0,"-     "," "))</f>
        <v xml:space="preserve"> </v>
      </c>
      <c r="N19" s="210" t="str">
        <f>IF('[5]actual CWTs exp'!N15/'[5]actual CWTs exp'!$Z15&gt;0.0005,'[5]actual CWTs exp'!N15/'[5]actual CWTs exp'!$Z15,IF('[5]actual CWTs exp'!N15/'[5]actual CWTs exp'!$Z15&gt;0,"-     "," "))</f>
        <v xml:space="preserve"> </v>
      </c>
      <c r="O19" s="416" t="str">
        <f>IF('[5]actual CWTs exp'!O15/'[5]actual CWTs exp'!$Z15&gt;0.0005,'[5]actual CWTs exp'!O15/'[5]actual CWTs exp'!$Z15,IF('[5]actual CWTs exp'!O15/'[5]actual CWTs exp'!$Z15&gt;0,"-     "," "))</f>
        <v xml:space="preserve"> </v>
      </c>
      <c r="P19" s="210" t="str">
        <f>IF('[5]actual CWTs exp'!P15/'[5]actual CWTs exp'!$Z15&gt;0.0005,'[5]actual CWTs exp'!P15/'[5]actual CWTs exp'!$Z15,IF('[5]actual CWTs exp'!P15/'[5]actual CWTs exp'!$Z15&gt;0,"-     "," "))</f>
        <v xml:space="preserve"> </v>
      </c>
      <c r="Q19" s="210" t="str">
        <f>IF('[5]actual CWTs exp'!Q15/'[5]actual CWTs exp'!$Z15&gt;0.0005,'[5]actual CWTs exp'!Q15/'[5]actual CWTs exp'!$Z15,IF('[5]actual CWTs exp'!Q15/'[5]actual CWTs exp'!$Z15&gt;0,"-     "," "))</f>
        <v xml:space="preserve"> </v>
      </c>
      <c r="R19" s="415" t="str">
        <f>IF('[5]actual CWTs exp'!R15/'[5]actual CWTs exp'!$Z15&gt;0.0005,'[5]actual CWTs exp'!R15/'[5]actual CWTs exp'!$Z15,IF('[5]actual CWTs exp'!R15/'[5]actual CWTs exp'!$Z15&gt;0,"-     "," "))</f>
        <v xml:space="preserve"> </v>
      </c>
      <c r="S19" s="210" t="str">
        <f>IF('[5]actual CWTs exp'!S15/'[5]actual CWTs exp'!$Z15&gt;0.0005,'[5]actual CWTs exp'!S15/'[5]actual CWTs exp'!$Z15,IF('[5]actual CWTs exp'!S15/'[5]actual CWTs exp'!$Z15&gt;0,"-     "," "))</f>
        <v xml:space="preserve"> </v>
      </c>
      <c r="T19" s="210" t="str">
        <f>IF('[5]actual CWTs exp'!T15/'[5]actual CWTs exp'!$Z15&gt;0.0005,'[5]actual CWTs exp'!T15/'[5]actual CWTs exp'!$Z15,IF('[5]actual CWTs exp'!T15/'[5]actual CWTs exp'!$Z15&gt;0,"-     "," "))</f>
        <v xml:space="preserve"> </v>
      </c>
      <c r="U19" s="415" t="str">
        <f>IF('[5]actual CWTs exp'!U15/'[5]actual CWTs exp'!$Z15&gt;0.0005,'[5]actual CWTs exp'!U15/'[5]actual CWTs exp'!$Z15,IF('[5]actual CWTs exp'!U15/'[5]actual CWTs exp'!$Z15&gt;0,"-     "," "))</f>
        <v xml:space="preserve"> </v>
      </c>
      <c r="V19" s="210" t="str">
        <f>IF('[5]actual CWTs exp'!V15/'[5]actual CWTs exp'!$Z15&gt;0.0005,'[5]actual CWTs exp'!V15/'[5]actual CWTs exp'!$Z15,IF('[5]actual CWTs exp'!V15/'[5]actual CWTs exp'!$Z15&gt;0,"-     "," "))</f>
        <v xml:space="preserve"> </v>
      </c>
      <c r="W19" s="417" t="str">
        <f>IF('[5]actual CWTs exp'!W15/'[5]actual CWTs exp'!$Z15&gt;0.0005,'[5]actual CWTs exp'!W15/'[5]actual CWTs exp'!$Z15,IF('[5]actual CWTs exp'!W15/'[5]actual CWTs exp'!$Z15&gt;0,"-     "," "))</f>
        <v xml:space="preserve"> </v>
      </c>
      <c r="X19" s="380">
        <f t="shared" ref="X19:X36" si="2">SUM(E19:W19)</f>
        <v>0.28715836765256458</v>
      </c>
      <c r="Y19" s="381">
        <f>1-X19</f>
        <v>0.71284163234743536</v>
      </c>
      <c r="Z19" s="382">
        <f>'[5]actual CWTs exp'!Z15</f>
        <v>2671</v>
      </c>
      <c r="AC19" s="327"/>
    </row>
    <row r="20" spans="1:29" ht="16.5" customHeight="1" x14ac:dyDescent="0.25">
      <c r="A20" s="397" t="s">
        <v>65</v>
      </c>
      <c r="B20" t="s">
        <v>64</v>
      </c>
      <c r="C20" t="s">
        <v>321</v>
      </c>
      <c r="D20" t="s">
        <v>317</v>
      </c>
      <c r="E20" s="210" t="str">
        <f>IF('[5]actual CWTs exp'!E16/'[5]actual CWTs exp'!$Z16&gt;0.0005,'[5]actual CWTs exp'!E16/'[5]actual CWTs exp'!$Z16,IF('[5]actual CWTs exp'!E16/'[5]actual CWTs exp'!$Z16&gt;0,"-     "," "))</f>
        <v xml:space="preserve"> </v>
      </c>
      <c r="F20" s="415">
        <f>IF('[5]actual CWTs exp'!F16/'[5]actual CWTs exp'!$Z16&gt;0.0005,'[5]actual CWTs exp'!F16/'[5]actual CWTs exp'!$Z16,IF('[5]actual CWTs exp'!F16/'[5]actual CWTs exp'!$Z16&gt;0,"-     "," "))</f>
        <v>4.1897838148077293E-2</v>
      </c>
      <c r="G20" s="210" t="str">
        <f>IF('[5]actual CWTs exp'!G16/'[5]actual CWTs exp'!$Z16&gt;0.0005,'[5]actual CWTs exp'!G16/'[5]actual CWTs exp'!$Z16,IF('[5]actual CWTs exp'!G16/'[5]actual CWTs exp'!$Z16&gt;0,"-     "," "))</f>
        <v xml:space="preserve"> </v>
      </c>
      <c r="H20" s="210" t="str">
        <f>IF('[5]actual CWTs exp'!H16/'[5]actual CWTs exp'!$Z16&gt;0.0005,'[5]actual CWTs exp'!H16/'[5]actual CWTs exp'!$Z16,IF('[5]actual CWTs exp'!H16/'[5]actual CWTs exp'!$Z16&gt;0,"-     "," "))</f>
        <v xml:space="preserve"> </v>
      </c>
      <c r="I20" s="415" t="str">
        <f>IF('[5]actual CWTs exp'!I16/'[5]actual CWTs exp'!$Z16&gt;0.0005,'[5]actual CWTs exp'!I16/'[5]actual CWTs exp'!$Z16,IF('[5]actual CWTs exp'!I16/'[5]actual CWTs exp'!$Z16&gt;0,"-     "," "))</f>
        <v xml:space="preserve"> </v>
      </c>
      <c r="J20" s="210" t="str">
        <f>IF('[5]actual CWTs exp'!J16/'[5]actual CWTs exp'!$Z16&gt;0.0005,'[5]actual CWTs exp'!J16/'[5]actual CWTs exp'!$Z16,IF('[5]actual CWTs exp'!J16/'[5]actual CWTs exp'!$Z16&gt;0,"-     "," "))</f>
        <v xml:space="preserve"> </v>
      </c>
      <c r="K20" s="210" t="str">
        <f>IF('[5]actual CWTs exp'!K16/'[5]actual CWTs exp'!$Z16&gt;0.0005,'[5]actual CWTs exp'!K16/'[5]actual CWTs exp'!$Z16,IF('[5]actual CWTs exp'!K16/'[5]actual CWTs exp'!$Z16&gt;0,"-     "," "))</f>
        <v xml:space="preserve"> </v>
      </c>
      <c r="L20" s="210" t="str">
        <f>IF('[5]actual CWTs exp'!L16/'[5]actual CWTs exp'!$Z16&gt;0.0005,'[5]actual CWTs exp'!L16/'[5]actual CWTs exp'!$Z16,IF('[5]actual CWTs exp'!L16/'[5]actual CWTs exp'!$Z16&gt;0,"-     "," "))</f>
        <v xml:space="preserve"> </v>
      </c>
      <c r="M20" s="210" t="str">
        <f>IF('[5]actual CWTs exp'!M16/'[5]actual CWTs exp'!$Z16&gt;0.0005,'[5]actual CWTs exp'!M16/'[5]actual CWTs exp'!$Z16,IF('[5]actual CWTs exp'!M16/'[5]actual CWTs exp'!$Z16&gt;0,"-     "," "))</f>
        <v xml:space="preserve"> </v>
      </c>
      <c r="N20" s="210" t="str">
        <f>IF('[5]actual CWTs exp'!N16/'[5]actual CWTs exp'!$Z16&gt;0.0005,'[5]actual CWTs exp'!N16/'[5]actual CWTs exp'!$Z16,IF('[5]actual CWTs exp'!N16/'[5]actual CWTs exp'!$Z16&gt;0,"-     "," "))</f>
        <v xml:space="preserve"> </v>
      </c>
      <c r="O20" s="416" t="str">
        <f>IF('[5]actual CWTs exp'!O16/'[5]actual CWTs exp'!$Z16&gt;0.0005,'[5]actual CWTs exp'!O16/'[5]actual CWTs exp'!$Z16,IF('[5]actual CWTs exp'!O16/'[5]actual CWTs exp'!$Z16&gt;0,"-     "," "))</f>
        <v xml:space="preserve"> </v>
      </c>
      <c r="P20" s="210" t="str">
        <f>IF('[5]actual CWTs exp'!P16/'[5]actual CWTs exp'!$Z16&gt;0.0005,'[5]actual CWTs exp'!P16/'[5]actual CWTs exp'!$Z16,IF('[5]actual CWTs exp'!P16/'[5]actual CWTs exp'!$Z16&gt;0,"-     "," "))</f>
        <v xml:space="preserve"> </v>
      </c>
      <c r="Q20" s="210" t="str">
        <f>IF('[5]actual CWTs exp'!Q16/'[5]actual CWTs exp'!$Z16&gt;0.0005,'[5]actual CWTs exp'!Q16/'[5]actual CWTs exp'!$Z16,IF('[5]actual CWTs exp'!Q16/'[5]actual CWTs exp'!$Z16&gt;0,"-     "," "))</f>
        <v xml:space="preserve"> </v>
      </c>
      <c r="R20" s="415" t="str">
        <f>IF('[5]actual CWTs exp'!R16/'[5]actual CWTs exp'!$Z16&gt;0.0005,'[5]actual CWTs exp'!R16/'[5]actual CWTs exp'!$Z16,IF('[5]actual CWTs exp'!R16/'[5]actual CWTs exp'!$Z16&gt;0,"-     "," "))</f>
        <v xml:space="preserve"> </v>
      </c>
      <c r="S20" s="210" t="str">
        <f>IF('[5]actual CWTs exp'!S16/'[5]actual CWTs exp'!$Z16&gt;0.0005,'[5]actual CWTs exp'!S16/'[5]actual CWTs exp'!$Z16,IF('[5]actual CWTs exp'!S16/'[5]actual CWTs exp'!$Z16&gt;0,"-     "," "))</f>
        <v xml:space="preserve"> </v>
      </c>
      <c r="T20" s="210" t="str">
        <f>IF('[5]actual CWTs exp'!T16/'[5]actual CWTs exp'!$Z16&gt;0.0005,'[5]actual CWTs exp'!T16/'[5]actual CWTs exp'!$Z16,IF('[5]actual CWTs exp'!T16/'[5]actual CWTs exp'!$Z16&gt;0,"-     "," "))</f>
        <v xml:space="preserve"> </v>
      </c>
      <c r="U20" s="415" t="str">
        <f>IF('[5]actual CWTs exp'!U16/'[5]actual CWTs exp'!$Z16&gt;0.0005,'[5]actual CWTs exp'!U16/'[5]actual CWTs exp'!$Z16,IF('[5]actual CWTs exp'!U16/'[5]actual CWTs exp'!$Z16&gt;0,"-     "," "))</f>
        <v xml:space="preserve"> </v>
      </c>
      <c r="V20" s="210" t="str">
        <f>IF('[5]actual CWTs exp'!V16/'[5]actual CWTs exp'!$Z16&gt;0.0005,'[5]actual CWTs exp'!V16/'[5]actual CWTs exp'!$Z16,IF('[5]actual CWTs exp'!V16/'[5]actual CWTs exp'!$Z16&gt;0,"-     "," "))</f>
        <v xml:space="preserve"> </v>
      </c>
      <c r="W20" s="417" t="str">
        <f>IF('[5]actual CWTs exp'!W16/'[5]actual CWTs exp'!$Z16&gt;0.0005,'[5]actual CWTs exp'!W16/'[5]actual CWTs exp'!$Z16,IF('[5]actual CWTs exp'!W16/'[5]actual CWTs exp'!$Z16&gt;0,"-     "," "))</f>
        <v xml:space="preserve"> </v>
      </c>
      <c r="X20" s="380">
        <f t="shared" si="2"/>
        <v>4.1897838148077293E-2</v>
      </c>
      <c r="Y20" s="381">
        <f t="shared" si="1"/>
        <v>0.95810216185192276</v>
      </c>
      <c r="Z20" s="382">
        <f>'[5]actual CWTs exp'!Z16</f>
        <v>5227</v>
      </c>
      <c r="AC20" s="327"/>
    </row>
    <row r="21" spans="1:29" ht="16.5" customHeight="1" x14ac:dyDescent="0.25">
      <c r="A21" s="397" t="s">
        <v>65</v>
      </c>
      <c r="B21" t="s">
        <v>64</v>
      </c>
      <c r="C21" t="s">
        <v>321</v>
      </c>
      <c r="D21" t="s">
        <v>48</v>
      </c>
      <c r="E21" s="210" t="str">
        <f>IF('[5]actual CWTs exp'!E17/'[5]actual CWTs exp'!$Z17&gt;0.0005,'[5]actual CWTs exp'!E17/'[5]actual CWTs exp'!$Z17,IF('[5]actual CWTs exp'!E17/'[5]actual CWTs exp'!$Z17&gt;0,"-     "," "))</f>
        <v xml:space="preserve"> </v>
      </c>
      <c r="F21" s="415" t="str">
        <f>IF('[5]actual CWTs exp'!F17/'[5]actual CWTs exp'!$Z17&gt;0.0005,'[5]actual CWTs exp'!F17/'[5]actual CWTs exp'!$Z17,IF('[5]actual CWTs exp'!F17/'[5]actual CWTs exp'!$Z17&gt;0,"-     "," "))</f>
        <v xml:space="preserve"> </v>
      </c>
      <c r="G21" s="210">
        <f>IF('[5]actual CWTs exp'!G17/'[5]actual CWTs exp'!$Z17&gt;0.0005,'[5]actual CWTs exp'!G17/'[5]actual CWTs exp'!$Z17,IF('[5]actual CWTs exp'!G17/'[5]actual CWTs exp'!$Z17&gt;0,"-     "," "))</f>
        <v>0.24394918653889014</v>
      </c>
      <c r="H21" s="210">
        <f>IF('[5]actual CWTs exp'!H17/'[5]actual CWTs exp'!$Z17&gt;0.0005,'[5]actual CWTs exp'!H17/'[5]actual CWTs exp'!$Z17,IF('[5]actual CWTs exp'!H17/'[5]actual CWTs exp'!$Z17&gt;0,"-     "," "))</f>
        <v>5.0991753955872521E-2</v>
      </c>
      <c r="I21" s="415" t="str">
        <f>IF('[5]actual CWTs exp'!I17/'[5]actual CWTs exp'!$Z17&gt;0.0005,'[5]actual CWTs exp'!I17/'[5]actual CWTs exp'!$Z17,IF('[5]actual CWTs exp'!I17/'[5]actual CWTs exp'!$Z17&gt;0,"-     "," "))</f>
        <v xml:space="preserve"> </v>
      </c>
      <c r="J21" s="210">
        <f>IF('[5]actual CWTs exp'!J17/'[5]actual CWTs exp'!$Z17&gt;0.0005,'[5]actual CWTs exp'!J17/'[5]actual CWTs exp'!$Z17,IF('[5]actual CWTs exp'!J17/'[5]actual CWTs exp'!$Z17&gt;0,"-     "," "))</f>
        <v>3.989302429240027E-2</v>
      </c>
      <c r="K21" s="210" t="str">
        <f>IF('[5]actual CWTs exp'!K17/'[5]actual CWTs exp'!$Z17&gt;0.0005,'[5]actual CWTs exp'!K17/'[5]actual CWTs exp'!$Z17,IF('[5]actual CWTs exp'!K17/'[5]actual CWTs exp'!$Z17&gt;0,"-     "," "))</f>
        <v xml:space="preserve"> </v>
      </c>
      <c r="L21" s="210">
        <f>IF('[5]actual CWTs exp'!L17/'[5]actual CWTs exp'!$Z17&gt;0.0005,'[5]actual CWTs exp'!L17/'[5]actual CWTs exp'!$Z17,IF('[5]actual CWTs exp'!L17/'[5]actual CWTs exp'!$Z17&gt;0,"-     "," "))</f>
        <v>0.33055493648317363</v>
      </c>
      <c r="M21" s="210">
        <f>IF('[5]actual CWTs exp'!M17/'[5]actual CWTs exp'!$Z17&gt;0.0005,'[5]actual CWTs exp'!M17/'[5]actual CWTs exp'!$Z17,IF('[5]actual CWTs exp'!M17/'[5]actual CWTs exp'!$Z17&gt;0,"-     "," "))</f>
        <v>5.3487853799866279E-4</v>
      </c>
      <c r="N21" s="210">
        <f>IF('[5]actual CWTs exp'!N17/'[5]actual CWTs exp'!$Z17&gt;0.0005,'[5]actual CWTs exp'!N17/'[5]actual CWTs exp'!$Z17,IF('[5]actual CWTs exp'!N17/'[5]actual CWTs exp'!$Z17&gt;0,"-     "," "))</f>
        <v>5.3933585914865169E-3</v>
      </c>
      <c r="O21" s="416" t="str">
        <f>IF('[5]actual CWTs exp'!O17/'[5]actual CWTs exp'!$Z17&gt;0.0005,'[5]actual CWTs exp'!O17/'[5]actual CWTs exp'!$Z17,IF('[5]actual CWTs exp'!O17/'[5]actual CWTs exp'!$Z17&gt;0,"-     "," "))</f>
        <v xml:space="preserve"> </v>
      </c>
      <c r="P21" s="210" t="str">
        <f>IF('[5]actual CWTs exp'!P17/'[5]actual CWTs exp'!$Z17&gt;0.0005,'[5]actual CWTs exp'!P17/'[5]actual CWTs exp'!$Z17,IF('[5]actual CWTs exp'!P17/'[5]actual CWTs exp'!$Z17&gt;0,"-     "," "))</f>
        <v xml:space="preserve"> </v>
      </c>
      <c r="Q21" s="210" t="str">
        <f>IF('[5]actual CWTs exp'!Q17/'[5]actual CWTs exp'!$Z17&gt;0.0005,'[5]actual CWTs exp'!Q17/'[5]actual CWTs exp'!$Z17,IF('[5]actual CWTs exp'!Q17/'[5]actual CWTs exp'!$Z17&gt;0,"-     "," "))</f>
        <v xml:space="preserve"> </v>
      </c>
      <c r="R21" s="415" t="str">
        <f>IF('[5]actual CWTs exp'!R17/'[5]actual CWTs exp'!$Z17&gt;0.0005,'[5]actual CWTs exp'!R17/'[5]actual CWTs exp'!$Z17,IF('[5]actual CWTs exp'!R17/'[5]actual CWTs exp'!$Z17&gt;0,"-     "," "))</f>
        <v xml:space="preserve"> </v>
      </c>
      <c r="S21" s="210">
        <f>IF('[5]actual CWTs exp'!S17/'[5]actual CWTs exp'!$Z17&gt;0.0005,'[5]actual CWTs exp'!S17/'[5]actual CWTs exp'!$Z17,IF('[5]actual CWTs exp'!S17/'[5]actual CWTs exp'!$Z17&gt;0,"-     "," "))</f>
        <v>2.6298194784934253E-3</v>
      </c>
      <c r="T21" s="210" t="str">
        <f>IF('[5]actual CWTs exp'!T17/'[5]actual CWTs exp'!$Z17&gt;0.0005,'[5]actual CWTs exp'!T17/'[5]actual CWTs exp'!$Z17,IF('[5]actual CWTs exp'!T17/'[5]actual CWTs exp'!$Z17&gt;0,"-     "," "))</f>
        <v xml:space="preserve"> </v>
      </c>
      <c r="U21" s="415" t="str">
        <f>IF('[5]actual CWTs exp'!U17/'[5]actual CWTs exp'!$Z17&gt;0.0005,'[5]actual CWTs exp'!U17/'[5]actual CWTs exp'!$Z17,IF('[5]actual CWTs exp'!U17/'[5]actual CWTs exp'!$Z17&gt;0,"-     "," "))</f>
        <v xml:space="preserve"> </v>
      </c>
      <c r="V21" s="210" t="str">
        <f>IF('[5]actual CWTs exp'!V17/'[5]actual CWTs exp'!$Z17&gt;0.0005,'[5]actual CWTs exp'!V17/'[5]actual CWTs exp'!$Z17,IF('[5]actual CWTs exp'!V17/'[5]actual CWTs exp'!$Z17&gt;0,"-     "," "))</f>
        <v xml:space="preserve"> </v>
      </c>
      <c r="W21" s="417" t="str">
        <f>IF('[5]actual CWTs exp'!W17/'[5]actual CWTs exp'!$Z17&gt;0.0005,'[5]actual CWTs exp'!W17/'[5]actual CWTs exp'!$Z17,IF('[5]actual CWTs exp'!W17/'[5]actual CWTs exp'!$Z17&gt;0,"-     "," "))</f>
        <v xml:space="preserve"> </v>
      </c>
      <c r="X21" s="380">
        <f>SUM(E21:W21)</f>
        <v>0.67394695787831516</v>
      </c>
      <c r="Y21" s="381">
        <f>1-X21</f>
        <v>0.32605304212168484</v>
      </c>
      <c r="Z21" s="382">
        <f>'[5]actual CWTs exp'!Z17</f>
        <v>22435</v>
      </c>
      <c r="AC21" s="327"/>
    </row>
    <row r="22" spans="1:29" ht="16.5" customHeight="1" x14ac:dyDescent="0.25">
      <c r="A22" s="354" t="s">
        <v>71</v>
      </c>
      <c r="B22" t="s">
        <v>70</v>
      </c>
      <c r="C22" t="s">
        <v>321</v>
      </c>
      <c r="D22" t="s">
        <v>48</v>
      </c>
      <c r="E22" s="210" t="str">
        <f>IF('[5]actual CWTs exp'!E18/'[5]actual CWTs exp'!$Z18&gt;0.0005,'[5]actual CWTs exp'!E18/'[5]actual CWTs exp'!$Z18,IF('[5]actual CWTs exp'!E18/'[5]actual CWTs exp'!$Z18&gt;0,"-     "," "))</f>
        <v xml:space="preserve"> </v>
      </c>
      <c r="F22" s="415" t="str">
        <f>IF('[5]actual CWTs exp'!F18/'[5]actual CWTs exp'!$Z18&gt;0.0005,'[5]actual CWTs exp'!F18/'[5]actual CWTs exp'!$Z18,IF('[5]actual CWTs exp'!F18/'[5]actual CWTs exp'!$Z18&gt;0,"-     "," "))</f>
        <v xml:space="preserve"> </v>
      </c>
      <c r="G22" s="210">
        <f>IF('[5]actual CWTs exp'!G18/'[5]actual CWTs exp'!$Z18&gt;0.0005,'[5]actual CWTs exp'!G18/'[5]actual CWTs exp'!$Z18,IF('[5]actual CWTs exp'!G18/'[5]actual CWTs exp'!$Z18&gt;0,"-     "," "))</f>
        <v>9.3434674354606215E-2</v>
      </c>
      <c r="H22" s="210">
        <f>IF('[5]actual CWTs exp'!H18/'[5]actual CWTs exp'!$Z18&gt;0.0005,'[5]actual CWTs exp'!H18/'[5]actual CWTs exp'!$Z18,IF('[5]actual CWTs exp'!H18/'[5]actual CWTs exp'!$Z18&gt;0,"-     "," "))</f>
        <v>4.3637793211898833E-2</v>
      </c>
      <c r="I22" s="415" t="str">
        <f>IF('[5]actual CWTs exp'!I18/'[5]actual CWTs exp'!$Z18&gt;0.0005,'[5]actual CWTs exp'!I18/'[5]actual CWTs exp'!$Z18,IF('[5]actual CWTs exp'!I18/'[5]actual CWTs exp'!$Z18&gt;0,"-     "," "))</f>
        <v xml:space="preserve"> </v>
      </c>
      <c r="J22" s="210">
        <f>IF('[5]actual CWTs exp'!J18/'[5]actual CWTs exp'!$Z18&gt;0.0005,'[5]actual CWTs exp'!J18/'[5]actual CWTs exp'!$Z18,IF('[5]actual CWTs exp'!J18/'[5]actual CWTs exp'!$Z18&gt;0,"-     "," "))</f>
        <v>4.8486436902109818E-3</v>
      </c>
      <c r="K22" s="210" t="str">
        <f>IF('[5]actual CWTs exp'!K18/'[5]actual CWTs exp'!$Z18&gt;0.0005,'[5]actual CWTs exp'!K18/'[5]actual CWTs exp'!$Z18,IF('[5]actual CWTs exp'!K18/'[5]actual CWTs exp'!$Z18&gt;0,"-     "," "))</f>
        <v xml:space="preserve"> </v>
      </c>
      <c r="L22" s="210">
        <f>IF('[5]actual CWTs exp'!L18/'[5]actual CWTs exp'!$Z18&gt;0.0005,'[5]actual CWTs exp'!L18/'[5]actual CWTs exp'!$Z18,IF('[5]actual CWTs exp'!L18/'[5]actual CWTs exp'!$Z18&gt;0,"-     "," "))</f>
        <v>0.24387367317520639</v>
      </c>
      <c r="M22" s="210" t="str">
        <f>IF('[5]actual CWTs exp'!M18/'[5]actual CWTs exp'!$Z18&gt;0.0005,'[5]actual CWTs exp'!M18/'[5]actual CWTs exp'!$Z18,IF('[5]actual CWTs exp'!M18/'[5]actual CWTs exp'!$Z18&gt;0,"-     "," "))</f>
        <v xml:space="preserve"> </v>
      </c>
      <c r="N22" s="210">
        <f>IF('[5]actual CWTs exp'!N18/'[5]actual CWTs exp'!$Z18&gt;0.0005,'[5]actual CWTs exp'!N18/'[5]actual CWTs exp'!$Z18,IF('[5]actual CWTs exp'!N18/'[5]actual CWTs exp'!$Z18&gt;0,"-     "," "))</f>
        <v>6.2901323548683E-3</v>
      </c>
      <c r="O22" s="416" t="str">
        <f>IF('[5]actual CWTs exp'!O18/'[5]actual CWTs exp'!$Z18&gt;0.0005,'[5]actual CWTs exp'!O18/'[5]actual CWTs exp'!$Z18,IF('[5]actual CWTs exp'!O18/'[5]actual CWTs exp'!$Z18&gt;0,"-     "," "))</f>
        <v xml:space="preserve"> </v>
      </c>
      <c r="P22" s="210" t="str">
        <f>IF('[5]actual CWTs exp'!P18/'[5]actual CWTs exp'!$Z18&gt;0.0005,'[5]actual CWTs exp'!P18/'[5]actual CWTs exp'!$Z18,IF('[5]actual CWTs exp'!P18/'[5]actual CWTs exp'!$Z18&gt;0,"-     "," "))</f>
        <v xml:space="preserve"> </v>
      </c>
      <c r="Q22" s="210" t="str">
        <f>IF('[5]actual CWTs exp'!Q18/'[5]actual CWTs exp'!$Z18&gt;0.0005,'[5]actual CWTs exp'!Q18/'[5]actual CWTs exp'!$Z18,IF('[5]actual CWTs exp'!Q18/'[5]actual CWTs exp'!$Z18&gt;0,"-     "," "))</f>
        <v xml:space="preserve"> </v>
      </c>
      <c r="R22" s="415" t="str">
        <f>IF('[5]actual CWTs exp'!R18/'[5]actual CWTs exp'!$Z18&gt;0.0005,'[5]actual CWTs exp'!R18/'[5]actual CWTs exp'!$Z18,IF('[5]actual CWTs exp'!R18/'[5]actual CWTs exp'!$Z18&gt;0,"-     "," "))</f>
        <v xml:space="preserve"> </v>
      </c>
      <c r="S22" s="210">
        <f>IF('[5]actual CWTs exp'!S18/'[5]actual CWTs exp'!$Z18&gt;0.0005,'[5]actual CWTs exp'!S18/'[5]actual CWTs exp'!$Z18,IF('[5]actual CWTs exp'!S18/'[5]actual CWTs exp'!$Z18&gt;0,"-     "," "))</f>
        <v>2.3587996330756127E-3</v>
      </c>
      <c r="T22" s="210" t="str">
        <f>IF('[5]actual CWTs exp'!T18/'[5]actual CWTs exp'!$Z18&gt;0.0005,'[5]actual CWTs exp'!T18/'[5]actual CWTs exp'!$Z18,IF('[5]actual CWTs exp'!T18/'[5]actual CWTs exp'!$Z18&gt;0,"-     "," "))</f>
        <v xml:space="preserve"> </v>
      </c>
      <c r="U22" s="415" t="str">
        <f>IF('[5]actual CWTs exp'!U18/'[5]actual CWTs exp'!$Z18&gt;0.0005,'[5]actual CWTs exp'!U18/'[5]actual CWTs exp'!$Z18,IF('[5]actual CWTs exp'!U18/'[5]actual CWTs exp'!$Z18&gt;0,"-     "," "))</f>
        <v xml:space="preserve"> </v>
      </c>
      <c r="V22" s="210">
        <f>IF('[5]actual CWTs exp'!V18/'[5]actual CWTs exp'!$Z18&gt;0.0005,'[5]actual CWTs exp'!V18/'[5]actual CWTs exp'!$Z18,IF('[5]actual CWTs exp'!V18/'[5]actual CWTs exp'!$Z18&gt;0,"-     "," "))</f>
        <v>1.572533088717075E-3</v>
      </c>
      <c r="W22" s="417" t="str">
        <f>IF('[5]actual CWTs exp'!W18/'[5]actual CWTs exp'!$Z18&gt;0.0005,'[5]actual CWTs exp'!W18/'[5]actual CWTs exp'!$Z18,IF('[5]actual CWTs exp'!W18/'[5]actual CWTs exp'!$Z18&gt;0,"-     "," "))</f>
        <v xml:space="preserve"> </v>
      </c>
      <c r="X22" s="380">
        <f t="shared" si="2"/>
        <v>0.39601624950858338</v>
      </c>
      <c r="Y22" s="381">
        <f t="shared" si="1"/>
        <v>0.60398375049141662</v>
      </c>
      <c r="Z22" s="382">
        <f>'[5]actual CWTs exp'!Z18</f>
        <v>7631</v>
      </c>
      <c r="AC22" s="327"/>
    </row>
    <row r="23" spans="1:29" ht="16.5" customHeight="1" x14ac:dyDescent="0.25">
      <c r="A23" s="397" t="s">
        <v>75</v>
      </c>
      <c r="B23" t="s">
        <v>74</v>
      </c>
      <c r="C23" t="s">
        <v>321</v>
      </c>
      <c r="D23" t="s">
        <v>48</v>
      </c>
      <c r="E23" s="210" t="str">
        <f>IF('[5]actual CWTs exp'!E19/'[5]actual CWTs exp'!$Z19&gt;0.0005,'[5]actual CWTs exp'!E19/'[5]actual CWTs exp'!$Z19,IF('[5]actual CWTs exp'!E19/'[5]actual CWTs exp'!$Z19&gt;0,"-     "," "))</f>
        <v xml:space="preserve"> </v>
      </c>
      <c r="F23" s="415" t="str">
        <f>IF('[5]actual CWTs exp'!F19/'[5]actual CWTs exp'!$Z19&gt;0.0005,'[5]actual CWTs exp'!F19/'[5]actual CWTs exp'!$Z19,IF('[5]actual CWTs exp'!F19/'[5]actual CWTs exp'!$Z19&gt;0,"-     "," "))</f>
        <v xml:space="preserve"> </v>
      </c>
      <c r="G23" s="210">
        <f>IF('[5]actual CWTs exp'!G19/'[5]actual CWTs exp'!$Z19&gt;0.0005,'[5]actual CWTs exp'!G19/'[5]actual CWTs exp'!$Z19,IF('[5]actual CWTs exp'!G19/'[5]actual CWTs exp'!$Z19&gt;0,"-     "," "))</f>
        <v>0.10211267605633803</v>
      </c>
      <c r="H23" s="210">
        <f>IF('[5]actual CWTs exp'!H19/'[5]actual CWTs exp'!$Z19&gt;0.0005,'[5]actual CWTs exp'!H19/'[5]actual CWTs exp'!$Z19,IF('[5]actual CWTs exp'!H19/'[5]actual CWTs exp'!$Z19&gt;0,"-     "," "))</f>
        <v>7.0031298904538339E-2</v>
      </c>
      <c r="I23" s="415" t="str">
        <f>IF('[5]actual CWTs exp'!I19/'[5]actual CWTs exp'!$Z19&gt;0.0005,'[5]actual CWTs exp'!I19/'[5]actual CWTs exp'!$Z19,IF('[5]actual CWTs exp'!I19/'[5]actual CWTs exp'!$Z19&gt;0,"-     "," "))</f>
        <v xml:space="preserve"> </v>
      </c>
      <c r="J23" s="210" t="str">
        <f>IF('[5]actual CWTs exp'!J19/'[5]actual CWTs exp'!$Z19&gt;0.0005,'[5]actual CWTs exp'!J19/'[5]actual CWTs exp'!$Z19,IF('[5]actual CWTs exp'!J19/'[5]actual CWTs exp'!$Z19&gt;0,"-     "," "))</f>
        <v xml:space="preserve"> </v>
      </c>
      <c r="K23" s="210" t="str">
        <f>IF('[5]actual CWTs exp'!K19/'[5]actual CWTs exp'!$Z19&gt;0.0005,'[5]actual CWTs exp'!K19/'[5]actual CWTs exp'!$Z19,IF('[5]actual CWTs exp'!K19/'[5]actual CWTs exp'!$Z19&gt;0,"-     "," "))</f>
        <v xml:space="preserve"> </v>
      </c>
      <c r="L23" s="210">
        <f>IF('[5]actual CWTs exp'!L19/'[5]actual CWTs exp'!$Z19&gt;0.0005,'[5]actual CWTs exp'!L19/'[5]actual CWTs exp'!$Z19,IF('[5]actual CWTs exp'!L19/'[5]actual CWTs exp'!$Z19&gt;0,"-     "," "))</f>
        <v>0.14710485133020346</v>
      </c>
      <c r="M23" s="210">
        <f>IF('[5]actual CWTs exp'!M19/'[5]actual CWTs exp'!$Z19&gt;0.0005,'[5]actual CWTs exp'!M19/'[5]actual CWTs exp'!$Z19,IF('[5]actual CWTs exp'!M19/'[5]actual CWTs exp'!$Z19&gt;0,"-     "," "))</f>
        <v>1.5649452269170579E-3</v>
      </c>
      <c r="N23" s="210" t="str">
        <f>IF('[5]actual CWTs exp'!N19/'[5]actual CWTs exp'!$Z19&gt;0.0005,'[5]actual CWTs exp'!N19/'[5]actual CWTs exp'!$Z19,IF('[5]actual CWTs exp'!N19/'[5]actual CWTs exp'!$Z19&gt;0,"-     "," "))</f>
        <v xml:space="preserve"> </v>
      </c>
      <c r="O23" s="416" t="str">
        <f>IF('[5]actual CWTs exp'!O19/'[5]actual CWTs exp'!$Z19&gt;0.0005,'[5]actual CWTs exp'!O19/'[5]actual CWTs exp'!$Z19,IF('[5]actual CWTs exp'!O19/'[5]actual CWTs exp'!$Z19&gt;0,"-     "," "))</f>
        <v xml:space="preserve"> </v>
      </c>
      <c r="P23" s="210" t="str">
        <f>IF('[5]actual CWTs exp'!P19/'[5]actual CWTs exp'!$Z19&gt;0.0005,'[5]actual CWTs exp'!P19/'[5]actual CWTs exp'!$Z19,IF('[5]actual CWTs exp'!P19/'[5]actual CWTs exp'!$Z19&gt;0,"-     "," "))</f>
        <v xml:space="preserve"> </v>
      </c>
      <c r="Q23" s="210" t="str">
        <f>IF('[5]actual CWTs exp'!Q19/'[5]actual CWTs exp'!$Z19&gt;0.0005,'[5]actual CWTs exp'!Q19/'[5]actual CWTs exp'!$Z19,IF('[5]actual CWTs exp'!Q19/'[5]actual CWTs exp'!$Z19&gt;0,"-     "," "))</f>
        <v xml:space="preserve"> </v>
      </c>
      <c r="R23" s="415" t="str">
        <f>IF('[5]actual CWTs exp'!R19/'[5]actual CWTs exp'!$Z19&gt;0.0005,'[5]actual CWTs exp'!R19/'[5]actual CWTs exp'!$Z19,IF('[5]actual CWTs exp'!R19/'[5]actual CWTs exp'!$Z19&gt;0,"-     "," "))</f>
        <v xml:space="preserve"> </v>
      </c>
      <c r="S23" s="210" t="str">
        <f>IF('[5]actual CWTs exp'!S19/'[5]actual CWTs exp'!$Z19&gt;0.0005,'[5]actual CWTs exp'!S19/'[5]actual CWTs exp'!$Z19,IF('[5]actual CWTs exp'!S19/'[5]actual CWTs exp'!$Z19&gt;0,"-     "," "))</f>
        <v xml:space="preserve"> </v>
      </c>
      <c r="T23" s="210" t="str">
        <f>IF('[5]actual CWTs exp'!T19/'[5]actual CWTs exp'!$Z19&gt;0.0005,'[5]actual CWTs exp'!T19/'[5]actual CWTs exp'!$Z19,IF('[5]actual CWTs exp'!T19/'[5]actual CWTs exp'!$Z19&gt;0,"-     "," "))</f>
        <v xml:space="preserve"> </v>
      </c>
      <c r="U23" s="415" t="str">
        <f>IF('[5]actual CWTs exp'!U19/'[5]actual CWTs exp'!$Z19&gt;0.0005,'[5]actual CWTs exp'!U19/'[5]actual CWTs exp'!$Z19,IF('[5]actual CWTs exp'!U19/'[5]actual CWTs exp'!$Z19&gt;0,"-     "," "))</f>
        <v xml:space="preserve"> </v>
      </c>
      <c r="V23" s="210" t="str">
        <f>IF('[5]actual CWTs exp'!V19/'[5]actual CWTs exp'!$Z19&gt;0.0005,'[5]actual CWTs exp'!V19/'[5]actual CWTs exp'!$Z19,IF('[5]actual CWTs exp'!V19/'[5]actual CWTs exp'!$Z19&gt;0,"-     "," "))</f>
        <v xml:space="preserve"> </v>
      </c>
      <c r="W23" s="417" t="str">
        <f>IF('[5]actual CWTs exp'!W19/'[5]actual CWTs exp'!$Z19&gt;0.0005,'[5]actual CWTs exp'!W19/'[5]actual CWTs exp'!$Z19,IF('[5]actual CWTs exp'!W19/'[5]actual CWTs exp'!$Z19&gt;0,"-     "," "))</f>
        <v xml:space="preserve"> </v>
      </c>
      <c r="X23" s="380">
        <f t="shared" si="2"/>
        <v>0.32081377151799689</v>
      </c>
      <c r="Y23" s="381">
        <f t="shared" si="1"/>
        <v>0.67918622848200316</v>
      </c>
      <c r="Z23" s="382">
        <f>'[5]actual CWTs exp'!Z19</f>
        <v>2556</v>
      </c>
      <c r="AC23" s="327"/>
    </row>
    <row r="24" spans="1:29" ht="16.5" customHeight="1" x14ac:dyDescent="0.35">
      <c r="A24" s="397" t="s">
        <v>323</v>
      </c>
      <c r="B24" t="s">
        <v>78</v>
      </c>
      <c r="C24" t="s">
        <v>321</v>
      </c>
      <c r="D24" t="s">
        <v>48</v>
      </c>
      <c r="E24" s="210" t="str">
        <f>IF('[5]actual CWTs exp'!E20/'[5]actual CWTs exp'!$Z20&gt;0.0005,'[5]actual CWTs exp'!E20/'[5]actual CWTs exp'!$Z20,IF('[5]actual CWTs exp'!E20/'[5]actual CWTs exp'!$Z20&gt;0,"-     "," "))</f>
        <v xml:space="preserve"> </v>
      </c>
      <c r="F24" s="415" t="str">
        <f>IF('[5]actual CWTs exp'!F20/'[5]actual CWTs exp'!$Z20&gt;0.0005,'[5]actual CWTs exp'!F20/'[5]actual CWTs exp'!$Z20,IF('[5]actual CWTs exp'!F20/'[5]actual CWTs exp'!$Z20&gt;0,"-     "," "))</f>
        <v xml:space="preserve"> </v>
      </c>
      <c r="G24" s="210">
        <f>IF('[5]actual CWTs exp'!G20/'[5]actual CWTs exp'!$Z20&gt;0.0005,'[5]actual CWTs exp'!G20/'[5]actual CWTs exp'!$Z20,IF('[5]actual CWTs exp'!G20/'[5]actual CWTs exp'!$Z20&gt;0,"-     "," "))</f>
        <v>8.988764044943821E-3</v>
      </c>
      <c r="H24" s="210">
        <f>IF('[5]actual CWTs exp'!H20/'[5]actual CWTs exp'!$Z20&gt;0.0005,'[5]actual CWTs exp'!H20/'[5]actual CWTs exp'!$Z20,IF('[5]actual CWTs exp'!H20/'[5]actual CWTs exp'!$Z20&gt;0,"-     "," "))</f>
        <v>4.4943820224719105E-3</v>
      </c>
      <c r="I24" s="415" t="str">
        <f>IF('[5]actual CWTs exp'!I20/'[5]actual CWTs exp'!$Z20&gt;0.0005,'[5]actual CWTs exp'!I20/'[5]actual CWTs exp'!$Z20,IF('[5]actual CWTs exp'!I20/'[5]actual CWTs exp'!$Z20&gt;0,"-     "," "))</f>
        <v xml:space="preserve"> </v>
      </c>
      <c r="J24" s="210" t="str">
        <f>IF('[5]actual CWTs exp'!J20/'[5]actual CWTs exp'!$Z20&gt;0.0005,'[5]actual CWTs exp'!J20/'[5]actual CWTs exp'!$Z20,IF('[5]actual CWTs exp'!J20/'[5]actual CWTs exp'!$Z20&gt;0,"-     "," "))</f>
        <v xml:space="preserve"> </v>
      </c>
      <c r="K24" s="210" t="str">
        <f>IF('[5]actual CWTs exp'!K20/'[5]actual CWTs exp'!$Z20&gt;0.0005,'[5]actual CWTs exp'!K20/'[5]actual CWTs exp'!$Z20,IF('[5]actual CWTs exp'!K20/'[5]actual CWTs exp'!$Z20&gt;0,"-     "," "))</f>
        <v xml:space="preserve"> </v>
      </c>
      <c r="L24" s="210">
        <f>IF('[5]actual CWTs exp'!L20/'[5]actual CWTs exp'!$Z20&gt;0.0005,'[5]actual CWTs exp'!L20/'[5]actual CWTs exp'!$Z20,IF('[5]actual CWTs exp'!L20/'[5]actual CWTs exp'!$Z20&gt;0,"-     "," "))</f>
        <v>8.988764044943821E-3</v>
      </c>
      <c r="M24" s="210" t="str">
        <f>IF('[5]actual CWTs exp'!M20/'[5]actual CWTs exp'!$Z20&gt;0.0005,'[5]actual CWTs exp'!M20/'[5]actual CWTs exp'!$Z20,IF('[5]actual CWTs exp'!M20/'[5]actual CWTs exp'!$Z20&gt;0,"-     "," "))</f>
        <v xml:space="preserve"> </v>
      </c>
      <c r="N24" s="210">
        <f>IF('[5]actual CWTs exp'!N20/'[5]actual CWTs exp'!$Z20&gt;0.0005,'[5]actual CWTs exp'!N20/'[5]actual CWTs exp'!$Z20,IF('[5]actual CWTs exp'!N20/'[5]actual CWTs exp'!$Z20&gt;0,"-     "," "))</f>
        <v>1.1235955056179776E-3</v>
      </c>
      <c r="O24" s="416" t="str">
        <f>IF('[5]actual CWTs exp'!O20/'[5]actual CWTs exp'!$Z20&gt;0.0005,'[5]actual CWTs exp'!O20/'[5]actual CWTs exp'!$Z20,IF('[5]actual CWTs exp'!O20/'[5]actual CWTs exp'!$Z20&gt;0,"-     "," "))</f>
        <v xml:space="preserve"> </v>
      </c>
      <c r="P24" s="210" t="str">
        <f>IF('[5]actual CWTs exp'!P20/'[5]actual CWTs exp'!$Z20&gt;0.0005,'[5]actual CWTs exp'!P20/'[5]actual CWTs exp'!$Z20,IF('[5]actual CWTs exp'!P20/'[5]actual CWTs exp'!$Z20&gt;0,"-     "," "))</f>
        <v xml:space="preserve"> </v>
      </c>
      <c r="Q24" s="210" t="str">
        <f>IF('[5]actual CWTs exp'!Q20/'[5]actual CWTs exp'!$Z20&gt;0.0005,'[5]actual CWTs exp'!Q20/'[5]actual CWTs exp'!$Z20,IF('[5]actual CWTs exp'!Q20/'[5]actual CWTs exp'!$Z20&gt;0,"-     "," "))</f>
        <v xml:space="preserve"> </v>
      </c>
      <c r="R24" s="415" t="str">
        <f>IF('[5]actual CWTs exp'!R20/'[5]actual CWTs exp'!$Z20&gt;0.0005,'[5]actual CWTs exp'!R20/'[5]actual CWTs exp'!$Z20,IF('[5]actual CWTs exp'!R20/'[5]actual CWTs exp'!$Z20&gt;0,"-     "," "))</f>
        <v xml:space="preserve"> </v>
      </c>
      <c r="S24" s="210">
        <f>IF('[5]actual CWTs exp'!S20/'[5]actual CWTs exp'!$Z20&gt;0.0005,'[5]actual CWTs exp'!S20/'[5]actual CWTs exp'!$Z20,IF('[5]actual CWTs exp'!S20/'[5]actual CWTs exp'!$Z20&gt;0,"-     "," "))</f>
        <v>3.3707865168539327E-3</v>
      </c>
      <c r="T24" s="210" t="str">
        <f>IF('[5]actual CWTs exp'!T20/'[5]actual CWTs exp'!$Z20&gt;0.0005,'[5]actual CWTs exp'!T20/'[5]actual CWTs exp'!$Z20,IF('[5]actual CWTs exp'!T20/'[5]actual CWTs exp'!$Z20&gt;0,"-     "," "))</f>
        <v xml:space="preserve"> </v>
      </c>
      <c r="U24" s="415" t="str">
        <f>IF('[5]actual CWTs exp'!U20/'[5]actual CWTs exp'!$Z20&gt;0.0005,'[5]actual CWTs exp'!U20/'[5]actual CWTs exp'!$Z20,IF('[5]actual CWTs exp'!U20/'[5]actual CWTs exp'!$Z20&gt;0,"-     "," "))</f>
        <v xml:space="preserve"> </v>
      </c>
      <c r="V24" s="210" t="str">
        <f>IF('[5]actual CWTs exp'!V20/'[5]actual CWTs exp'!$Z20&gt;0.0005,'[5]actual CWTs exp'!V20/'[5]actual CWTs exp'!$Z20,IF('[5]actual CWTs exp'!V20/'[5]actual CWTs exp'!$Z20&gt;0,"-     "," "))</f>
        <v xml:space="preserve"> </v>
      </c>
      <c r="W24" s="417" t="str">
        <f>IF('[5]actual CWTs exp'!W20/'[5]actual CWTs exp'!$Z20&gt;0.0005,'[5]actual CWTs exp'!W20/'[5]actual CWTs exp'!$Z20,IF('[5]actual CWTs exp'!W20/'[5]actual CWTs exp'!$Z20&gt;0,"-     "," "))</f>
        <v xml:space="preserve"> </v>
      </c>
      <c r="X24" s="380">
        <f t="shared" si="2"/>
        <v>2.6966292134831458E-2</v>
      </c>
      <c r="Y24" s="381">
        <f t="shared" si="1"/>
        <v>0.97303370786516852</v>
      </c>
      <c r="Z24" s="382">
        <f>'[5]actual CWTs exp'!Z20</f>
        <v>890</v>
      </c>
      <c r="AC24" s="327"/>
    </row>
    <row r="25" spans="1:29" ht="16.5" customHeight="1" x14ac:dyDescent="0.35">
      <c r="A25" s="383" t="s">
        <v>324</v>
      </c>
      <c r="B25"/>
      <c r="C25"/>
      <c r="D25" s="3" t="s">
        <v>48</v>
      </c>
      <c r="E25" s="210" t="str">
        <f>IF('[5]actual CWTs exp'!E21/'[5]actual CWTs exp'!$Z21&gt;0.0005,'[5]actual CWTs exp'!E21/'[5]actual CWTs exp'!$Z21,IF('[5]actual CWTs exp'!E21/'[5]actual CWTs exp'!$Z21&gt;0,"-     "," "))</f>
        <v xml:space="preserve"> </v>
      </c>
      <c r="F25" s="415" t="str">
        <f>IF('[5]actual CWTs exp'!F21/'[5]actual CWTs exp'!$Z21&gt;0.0005,'[5]actual CWTs exp'!F21/'[5]actual CWTs exp'!$Z21,IF('[5]actual CWTs exp'!F21/'[5]actual CWTs exp'!$Z21&gt;0,"-     "," "))</f>
        <v xml:space="preserve"> </v>
      </c>
      <c r="G25" s="210">
        <f>IF('[5]actual CWTs exp'!G21/'[5]actual CWTs exp'!$Z21&gt;0.0005,'[5]actual CWTs exp'!G21/'[5]actual CWTs exp'!$Z21,IF('[5]actual CWTs exp'!G21/'[5]actual CWTs exp'!$Z21&gt;0,"-     "," "))</f>
        <v>0.89247707292766554</v>
      </c>
      <c r="H25" s="210">
        <f>IF('[5]actual CWTs exp'!H21/'[5]actual CWTs exp'!$Z21&gt;0.0005,'[5]actual CWTs exp'!H21/'[5]actual CWTs exp'!$Z21,IF('[5]actual CWTs exp'!H21/'[5]actual CWTs exp'!$Z21&gt;0,"-     "," "))</f>
        <v>1.471129091577786E-2</v>
      </c>
      <c r="I25" s="415" t="str">
        <f>IF('[5]actual CWTs exp'!I21/'[5]actual CWTs exp'!$Z21&gt;0.0005,'[5]actual CWTs exp'!I21/'[5]actual CWTs exp'!$Z21,IF('[5]actual CWTs exp'!I21/'[5]actual CWTs exp'!$Z21&gt;0,"-     "," "))</f>
        <v xml:space="preserve"> </v>
      </c>
      <c r="J25" s="210" t="str">
        <f>IF('[5]actual CWTs exp'!J21/'[5]actual CWTs exp'!$Z21&gt;0.0005,'[5]actual CWTs exp'!J21/'[5]actual CWTs exp'!$Z21,IF('[5]actual CWTs exp'!J21/'[5]actual CWTs exp'!$Z21&gt;0,"-     "," "))</f>
        <v xml:space="preserve">-     </v>
      </c>
      <c r="K25" s="210" t="str">
        <f>IF('[5]actual CWTs exp'!K21/'[5]actual CWTs exp'!$Z21&gt;0.0005,'[5]actual CWTs exp'!K21/'[5]actual CWTs exp'!$Z21,IF('[5]actual CWTs exp'!K21/'[5]actual CWTs exp'!$Z21&gt;0,"-     "," "))</f>
        <v xml:space="preserve"> </v>
      </c>
      <c r="L25" s="210">
        <f>IF('[5]actual CWTs exp'!L21/'[5]actual CWTs exp'!$Z21&gt;0.0005,'[5]actual CWTs exp'!L21/'[5]actual CWTs exp'!$Z21,IF('[5]actual CWTs exp'!L21/'[5]actual CWTs exp'!$Z21&gt;0,"-     "," "))</f>
        <v>6.6082169678131188E-3</v>
      </c>
      <c r="M25" s="210" t="str">
        <f>IF('[5]actual CWTs exp'!M21/'[5]actual CWTs exp'!$Z21&gt;0.0005,'[5]actual CWTs exp'!M21/'[5]actual CWTs exp'!$Z21,IF('[5]actual CWTs exp'!M21/'[5]actual CWTs exp'!$Z21&gt;0,"-     "," "))</f>
        <v xml:space="preserve"> </v>
      </c>
      <c r="N25" s="210" t="str">
        <f>IF('[5]actual CWTs exp'!N21/'[5]actual CWTs exp'!$Z21&gt;0.0005,'[5]actual CWTs exp'!N21/'[5]actual CWTs exp'!$Z21,IF('[5]actual CWTs exp'!N21/'[5]actual CWTs exp'!$Z21&gt;0,"-     "," "))</f>
        <v xml:space="preserve"> </v>
      </c>
      <c r="O25" s="416" t="str">
        <f>IF('[5]actual CWTs exp'!O21/'[5]actual CWTs exp'!$Z21&gt;0.0005,'[5]actual CWTs exp'!O21/'[5]actual CWTs exp'!$Z21,IF('[5]actual CWTs exp'!O21/'[5]actual CWTs exp'!$Z21&gt;0,"-     "," "))</f>
        <v xml:space="preserve"> </v>
      </c>
      <c r="P25" s="210" t="str">
        <f>IF('[5]actual CWTs exp'!P21/'[5]actual CWTs exp'!$Z21&gt;0.0005,'[5]actual CWTs exp'!P21/'[5]actual CWTs exp'!$Z21,IF('[5]actual CWTs exp'!P21/'[5]actual CWTs exp'!$Z21&gt;0,"-     "," "))</f>
        <v xml:space="preserve"> </v>
      </c>
      <c r="Q25" s="210" t="str">
        <f>IF('[5]actual CWTs exp'!Q21/'[5]actual CWTs exp'!$Z21&gt;0.0005,'[5]actual CWTs exp'!Q21/'[5]actual CWTs exp'!$Z21,IF('[5]actual CWTs exp'!Q21/'[5]actual CWTs exp'!$Z21&gt;0,"-     "," "))</f>
        <v xml:space="preserve"> </v>
      </c>
      <c r="R25" s="415" t="str">
        <f>IF('[5]actual CWTs exp'!R21/'[5]actual CWTs exp'!$Z21&gt;0.0005,'[5]actual CWTs exp'!R21/'[5]actual CWTs exp'!$Z21,IF('[5]actual CWTs exp'!R21/'[5]actual CWTs exp'!$Z21&gt;0,"-     "," "))</f>
        <v xml:space="preserve"> </v>
      </c>
      <c r="S25" s="210" t="str">
        <f>IF('[5]actual CWTs exp'!S21/'[5]actual CWTs exp'!$Z21&gt;0.0005,'[5]actual CWTs exp'!S21/'[5]actual CWTs exp'!$Z21,IF('[5]actual CWTs exp'!S21/'[5]actual CWTs exp'!$Z21&gt;0,"-     "," "))</f>
        <v xml:space="preserve">-     </v>
      </c>
      <c r="T25" s="210" t="str">
        <f>IF('[5]actual CWTs exp'!T21/'[5]actual CWTs exp'!$Z21&gt;0.0005,'[5]actual CWTs exp'!T21/'[5]actual CWTs exp'!$Z21,IF('[5]actual CWTs exp'!T21/'[5]actual CWTs exp'!$Z21&gt;0,"-     "," "))</f>
        <v xml:space="preserve"> </v>
      </c>
      <c r="U25" s="415" t="str">
        <f>IF('[5]actual CWTs exp'!U21/'[5]actual CWTs exp'!$Z21&gt;0.0005,'[5]actual CWTs exp'!U21/'[5]actual CWTs exp'!$Z21,IF('[5]actual CWTs exp'!U21/'[5]actual CWTs exp'!$Z21&gt;0,"-     "," "))</f>
        <v xml:space="preserve"> </v>
      </c>
      <c r="V25" s="210" t="str">
        <f>IF('[5]actual CWTs exp'!V21/'[5]actual CWTs exp'!$Z21&gt;0.0005,'[5]actual CWTs exp'!V21/'[5]actual CWTs exp'!$Z21,IF('[5]actual CWTs exp'!V21/'[5]actual CWTs exp'!$Z21&gt;0,"-     "," "))</f>
        <v xml:space="preserve">-     </v>
      </c>
      <c r="W25" s="427" t="str">
        <f>IF('[5]actual CWTs exp'!W21/'[5]actual CWTs exp'!$Z21&gt;0.0005,'[5]actual CWTs exp'!W21/'[5]actual CWTs exp'!$Z21,IF('[5]actual CWTs exp'!W21/'[5]actual CWTs exp'!$Z21&gt;0,"-     "," "))</f>
        <v xml:space="preserve"> </v>
      </c>
      <c r="X25" s="380">
        <f t="shared" si="2"/>
        <v>0.91379658081125648</v>
      </c>
      <c r="Y25" s="381">
        <f>1-X25</f>
        <v>8.6203419188743524E-2</v>
      </c>
      <c r="Z25" s="382">
        <f>'[5]actual CWTs exp'!Z21</f>
        <v>31360</v>
      </c>
      <c r="AC25" s="327"/>
    </row>
    <row r="26" spans="1:29" ht="16.5" customHeight="1" x14ac:dyDescent="0.25">
      <c r="A26" s="397" t="s">
        <v>67</v>
      </c>
      <c r="B26" t="s">
        <v>66</v>
      </c>
      <c r="C26" t="s">
        <v>321</v>
      </c>
      <c r="D26" t="s">
        <v>48</v>
      </c>
      <c r="E26" s="210" t="str">
        <f>IF('[5]actual CWTs exp'!E22/'[5]actual CWTs exp'!$Z22&gt;0.0005,'[5]actual CWTs exp'!E22/'[5]actual CWTs exp'!$Z22,IF('[5]actual CWTs exp'!E22/'[5]actual CWTs exp'!$Z22&gt;0,"-     "," "))</f>
        <v xml:space="preserve"> </v>
      </c>
      <c r="F26" s="415" t="str">
        <f>IF('[5]actual CWTs exp'!F22/'[5]actual CWTs exp'!$Z22&gt;0.0005,'[5]actual CWTs exp'!F22/'[5]actual CWTs exp'!$Z22,IF('[5]actual CWTs exp'!F22/'[5]actual CWTs exp'!$Z22&gt;0,"-     "," "))</f>
        <v xml:space="preserve"> </v>
      </c>
      <c r="G26" s="210" t="str">
        <f>IF('[5]actual CWTs exp'!G22/'[5]actual CWTs exp'!$Z22&gt;0.0005,'[5]actual CWTs exp'!G22/'[5]actual CWTs exp'!$Z22,IF('[5]actual CWTs exp'!G22/'[5]actual CWTs exp'!$Z22&gt;0,"-     "," "))</f>
        <v xml:space="preserve"> </v>
      </c>
      <c r="H26" s="210" t="str">
        <f>IF('[5]actual CWTs exp'!H22/'[5]actual CWTs exp'!$Z22&gt;0.0005,'[5]actual CWTs exp'!H22/'[5]actual CWTs exp'!$Z22,IF('[5]actual CWTs exp'!H22/'[5]actual CWTs exp'!$Z22&gt;0,"-     "," "))</f>
        <v xml:space="preserve"> </v>
      </c>
      <c r="I26" s="415" t="str">
        <f>IF('[5]actual CWTs exp'!I22/'[5]actual CWTs exp'!$Z22&gt;0.0005,'[5]actual CWTs exp'!I22/'[5]actual CWTs exp'!$Z22,IF('[5]actual CWTs exp'!I22/'[5]actual CWTs exp'!$Z22&gt;0,"-     "," "))</f>
        <v xml:space="preserve"> </v>
      </c>
      <c r="J26" s="210" t="str">
        <f>IF('[5]actual CWTs exp'!J22/'[5]actual CWTs exp'!$Z22&gt;0.0005,'[5]actual CWTs exp'!J22/'[5]actual CWTs exp'!$Z22,IF('[5]actual CWTs exp'!J22/'[5]actual CWTs exp'!$Z22&gt;0,"-     "," "))</f>
        <v xml:space="preserve"> </v>
      </c>
      <c r="K26" s="210" t="str">
        <f>IF('[5]actual CWTs exp'!K22/'[5]actual CWTs exp'!$Z22&gt;0.0005,'[5]actual CWTs exp'!K22/'[5]actual CWTs exp'!$Z22,IF('[5]actual CWTs exp'!K22/'[5]actual CWTs exp'!$Z22&gt;0,"-     "," "))</f>
        <v xml:space="preserve"> </v>
      </c>
      <c r="L26" s="210">
        <f>IF('[5]actual CWTs exp'!L22/'[5]actual CWTs exp'!$Z22&gt;0.0005,'[5]actual CWTs exp'!L22/'[5]actual CWTs exp'!$Z22,IF('[5]actual CWTs exp'!L22/'[5]actual CWTs exp'!$Z22&gt;0,"-     "," "))</f>
        <v>3.3210332103321034E-2</v>
      </c>
      <c r="M26" s="210" t="str">
        <f>IF('[5]actual CWTs exp'!M22/'[5]actual CWTs exp'!$Z22&gt;0.0005,'[5]actual CWTs exp'!M22/'[5]actual CWTs exp'!$Z22,IF('[5]actual CWTs exp'!M22/'[5]actual CWTs exp'!$Z22&gt;0,"-     "," "))</f>
        <v xml:space="preserve"> </v>
      </c>
      <c r="N26" s="210" t="str">
        <f>IF('[5]actual CWTs exp'!N22/'[5]actual CWTs exp'!$Z22&gt;0.0005,'[5]actual CWTs exp'!N22/'[5]actual CWTs exp'!$Z22,IF('[5]actual CWTs exp'!N22/'[5]actual CWTs exp'!$Z22&gt;0,"-     "," "))</f>
        <v xml:space="preserve"> </v>
      </c>
      <c r="O26" s="416" t="str">
        <f>IF('[5]actual CWTs exp'!O22/'[5]actual CWTs exp'!$Z22&gt;0.0005,'[5]actual CWTs exp'!O22/'[5]actual CWTs exp'!$Z22,IF('[5]actual CWTs exp'!O22/'[5]actual CWTs exp'!$Z22&gt;0,"-     "," "))</f>
        <v xml:space="preserve"> </v>
      </c>
      <c r="P26" s="210">
        <f>IF('[5]actual CWTs exp'!P22/'[5]actual CWTs exp'!$Z22&gt;0.0005,'[5]actual CWTs exp'!P22/'[5]actual CWTs exp'!$Z22,IF('[5]actual CWTs exp'!P22/'[5]actual CWTs exp'!$Z22&gt;0,"-     "," "))</f>
        <v>1.107011070110701E-2</v>
      </c>
      <c r="Q26" s="210" t="str">
        <f>IF('[5]actual CWTs exp'!Q22/'[5]actual CWTs exp'!$Z22&gt;0.0005,'[5]actual CWTs exp'!Q22/'[5]actual CWTs exp'!$Z22,IF('[5]actual CWTs exp'!Q22/'[5]actual CWTs exp'!$Z22&gt;0,"-     "," "))</f>
        <v xml:space="preserve"> </v>
      </c>
      <c r="R26" s="415" t="str">
        <f>IF('[5]actual CWTs exp'!R22/'[5]actual CWTs exp'!$Z22&gt;0.0005,'[5]actual CWTs exp'!R22/'[5]actual CWTs exp'!$Z22,IF('[5]actual CWTs exp'!R22/'[5]actual CWTs exp'!$Z22&gt;0,"-     "," "))</f>
        <v xml:space="preserve"> </v>
      </c>
      <c r="S26" s="210">
        <f>IF('[5]actual CWTs exp'!S22/'[5]actual CWTs exp'!$Z22&gt;0.0005,'[5]actual CWTs exp'!S22/'[5]actual CWTs exp'!$Z22,IF('[5]actual CWTs exp'!S22/'[5]actual CWTs exp'!$Z22&gt;0,"-     "," "))</f>
        <v>6.6420664206642069E-2</v>
      </c>
      <c r="T26" s="210">
        <f>IF('[5]actual CWTs exp'!T22/'[5]actual CWTs exp'!$Z22&gt;0.0005,'[5]actual CWTs exp'!T22/'[5]actual CWTs exp'!$Z22,IF('[5]actual CWTs exp'!T22/'[5]actual CWTs exp'!$Z22&gt;0,"-     "," "))</f>
        <v>2.4600246002460025E-3</v>
      </c>
      <c r="U26" s="415" t="str">
        <f>IF('[5]actual CWTs exp'!U22/'[5]actual CWTs exp'!$Z22&gt;0.0005,'[5]actual CWTs exp'!U22/'[5]actual CWTs exp'!$Z22,IF('[5]actual CWTs exp'!U22/'[5]actual CWTs exp'!$Z22&gt;0,"-     "," "))</f>
        <v xml:space="preserve"> </v>
      </c>
      <c r="V26" s="210">
        <f>IF('[5]actual CWTs exp'!V22/'[5]actual CWTs exp'!$Z22&gt;0.0005,'[5]actual CWTs exp'!V22/'[5]actual CWTs exp'!$Z22,IF('[5]actual CWTs exp'!V22/'[5]actual CWTs exp'!$Z22&gt;0,"-     "," "))</f>
        <v>8.6100861008610082E-3</v>
      </c>
      <c r="W26" s="417" t="str">
        <f>IF('[5]actual CWTs exp'!W22/'[5]actual CWTs exp'!$Z22&gt;0.0005,'[5]actual CWTs exp'!W22/'[5]actual CWTs exp'!$Z22,IF('[5]actual CWTs exp'!W22/'[5]actual CWTs exp'!$Z22&gt;0,"-     "," "))</f>
        <v xml:space="preserve"> </v>
      </c>
      <c r="X26" s="380">
        <f t="shared" si="2"/>
        <v>0.12177121771217711</v>
      </c>
      <c r="Y26" s="381">
        <f t="shared" si="1"/>
        <v>0.87822878228782286</v>
      </c>
      <c r="Z26" s="382">
        <f>'[5]actual CWTs exp'!Z22</f>
        <v>813</v>
      </c>
      <c r="AC26" s="327"/>
    </row>
    <row r="27" spans="1:29" ht="16.5" customHeight="1" x14ac:dyDescent="0.25">
      <c r="A27" s="397" t="s">
        <v>81</v>
      </c>
      <c r="B27" t="s">
        <v>80</v>
      </c>
      <c r="C27" t="s">
        <v>321</v>
      </c>
      <c r="D27" t="s">
        <v>48</v>
      </c>
      <c r="E27" s="210" t="str">
        <f>IF('[5]actual CWTs exp'!E23/'[5]actual CWTs exp'!$Z23&gt;0.0005,'[5]actual CWTs exp'!E23/'[5]actual CWTs exp'!$Z23,IF('[5]actual CWTs exp'!E23/'[5]actual CWTs exp'!$Z23&gt;0,"-     "," "))</f>
        <v xml:space="preserve"> </v>
      </c>
      <c r="F27" s="415" t="str">
        <f>IF('[5]actual CWTs exp'!F23/'[5]actual CWTs exp'!$Z23&gt;0.0005,'[5]actual CWTs exp'!F23/'[5]actual CWTs exp'!$Z23,IF('[5]actual CWTs exp'!F23/'[5]actual CWTs exp'!$Z23&gt;0,"-     "," "))</f>
        <v xml:space="preserve"> </v>
      </c>
      <c r="G27" s="210">
        <f>IF('[5]actual CWTs exp'!G23/'[5]actual CWTs exp'!$Z23&gt;0.0005,'[5]actual CWTs exp'!G23/'[5]actual CWTs exp'!$Z23,IF('[5]actual CWTs exp'!G23/'[5]actual CWTs exp'!$Z23&gt;0,"-     "," "))</f>
        <v>5.6560197332244022E-4</v>
      </c>
      <c r="H27" s="210">
        <f>IF('[5]actual CWTs exp'!H23/'[5]actual CWTs exp'!$Z23&gt;0.0005,'[5]actual CWTs exp'!H23/'[5]actual CWTs exp'!$Z23,IF('[5]actual CWTs exp'!H23/'[5]actual CWTs exp'!$Z23&gt;0,"-     "," "))</f>
        <v>3.8523778849628432E-2</v>
      </c>
      <c r="I27" s="415">
        <f>IF('[5]actual CWTs exp'!I23/'[5]actual CWTs exp'!$Z23&gt;0.0005,'[5]actual CWTs exp'!I23/'[5]actual CWTs exp'!$Z23,IF('[5]actual CWTs exp'!I23/'[5]actual CWTs exp'!$Z23&gt;0,"-     "," "))</f>
        <v>3.3857562569718301E-2</v>
      </c>
      <c r="J27" s="210">
        <f>IF('[5]actual CWTs exp'!J23/'[5]actual CWTs exp'!$Z23&gt;0.0005,'[5]actual CWTs exp'!J23/'[5]actual CWTs exp'!$Z23,IF('[5]actual CWTs exp'!J23/'[5]actual CWTs exp'!$Z23&gt;0,"-     "," "))</f>
        <v>5.9325362535153733E-2</v>
      </c>
      <c r="K27" s="210">
        <f>IF('[5]actual CWTs exp'!K23/'[5]actual CWTs exp'!$Z23&gt;0.0005,'[5]actual CWTs exp'!K23/'[5]actual CWTs exp'!$Z23,IF('[5]actual CWTs exp'!K23/'[5]actual CWTs exp'!$Z23&gt;0,"-     "," "))</f>
        <v>5.8131313924806357E-4</v>
      </c>
      <c r="L27" s="210">
        <f>IF('[5]actual CWTs exp'!L23/'[5]actual CWTs exp'!$Z23&gt;0.0005,'[5]actual CWTs exp'!L23/'[5]actual CWTs exp'!$Z23,IF('[5]actual CWTs exp'!L23/'[5]actual CWTs exp'!$Z23&gt;0,"-     "," "))</f>
        <v>0.7528633599899448</v>
      </c>
      <c r="M27" s="210">
        <f>IF('[5]actual CWTs exp'!M23/'[5]actual CWTs exp'!$Z23&gt;0.0005,'[5]actual CWTs exp'!M23/'[5]actual CWTs exp'!$Z23,IF('[5]actual CWTs exp'!M23/'[5]actual CWTs exp'!$Z23&gt;0,"-     "," "))</f>
        <v>7.2271363257867362E-4</v>
      </c>
      <c r="N27" s="210">
        <f>IF('[5]actual CWTs exp'!N23/'[5]actual CWTs exp'!$Z23&gt;0.0005,'[5]actual CWTs exp'!N23/'[5]actual CWTs exp'!$Z23,IF('[5]actual CWTs exp'!N23/'[5]actual CWTs exp'!$Z23&gt;0,"-     "," "))</f>
        <v>7.9027164605885401E-3</v>
      </c>
      <c r="O27" s="416">
        <f>IF('[5]actual CWTs exp'!O23/'[5]actual CWTs exp'!$Z23&gt;0.0005,'[5]actual CWTs exp'!O23/'[5]actual CWTs exp'!$Z23,IF('[5]actual CWTs exp'!O23/'[5]actual CWTs exp'!$Z23&gt;0,"-     "," "))</f>
        <v>1.2726044399754906E-3</v>
      </c>
      <c r="P27" s="210">
        <f>IF('[5]actual CWTs exp'!P23/'[5]actual CWTs exp'!$Z23&gt;0.0005,'[5]actual CWTs exp'!P23/'[5]actual CWTs exp'!$Z23,IF('[5]actual CWTs exp'!P23/'[5]actual CWTs exp'!$Z23&gt;0,"-     "," "))</f>
        <v>5.6560197332244022E-4</v>
      </c>
      <c r="Q27" s="210" t="str">
        <f>IF('[5]actual CWTs exp'!Q23/'[5]actual CWTs exp'!$Z23&gt;0.0005,'[5]actual CWTs exp'!Q23/'[5]actual CWTs exp'!$Z23,IF('[5]actual CWTs exp'!Q23/'[5]actual CWTs exp'!$Z23&gt;0,"-     "," "))</f>
        <v xml:space="preserve"> </v>
      </c>
      <c r="R27" s="415" t="str">
        <f>IF('[5]actual CWTs exp'!R23/'[5]actual CWTs exp'!$Z23&gt;0.0005,'[5]actual CWTs exp'!R23/'[5]actual CWTs exp'!$Z23,IF('[5]actual CWTs exp'!R23/'[5]actual CWTs exp'!$Z23&gt;0,"-     "," "))</f>
        <v xml:space="preserve"> </v>
      </c>
      <c r="S27" s="210">
        <f>IF('[5]actual CWTs exp'!S23/'[5]actual CWTs exp'!$Z23&gt;0.0005,'[5]actual CWTs exp'!S23/'[5]actual CWTs exp'!$Z23,IF('[5]actual CWTs exp'!S23/'[5]actual CWTs exp'!$Z23&gt;0,"-     "," "))</f>
        <v>8.4840295998366044E-4</v>
      </c>
      <c r="T27" s="210" t="str">
        <f>IF('[5]actual CWTs exp'!T23/'[5]actual CWTs exp'!$Z23&gt;0.0005,'[5]actual CWTs exp'!T23/'[5]actual CWTs exp'!$Z23,IF('[5]actual CWTs exp'!T23/'[5]actual CWTs exp'!$Z23&gt;0,"-     "," "))</f>
        <v xml:space="preserve">-     </v>
      </c>
      <c r="U27" s="415" t="str">
        <f>IF('[5]actual CWTs exp'!U23/'[5]actual CWTs exp'!$Z23&gt;0.0005,'[5]actual CWTs exp'!U23/'[5]actual CWTs exp'!$Z23,IF('[5]actual CWTs exp'!U23/'[5]actual CWTs exp'!$Z23&gt;0,"-     "," "))</f>
        <v xml:space="preserve"> </v>
      </c>
      <c r="V27" s="210">
        <f>IF('[5]actual CWTs exp'!V23/'[5]actual CWTs exp'!$Z23&gt;0.0005,'[5]actual CWTs exp'!V23/'[5]actual CWTs exp'!$Z23,IF('[5]actual CWTs exp'!V23/'[5]actual CWTs exp'!$Z23&gt;0,"-     "," "))</f>
        <v>1.5082719288598407E-3</v>
      </c>
      <c r="W27" s="417" t="str">
        <f>IF('[5]actual CWTs exp'!W23/'[5]actual CWTs exp'!$Z23&gt;0.0005,'[5]actual CWTs exp'!W23/'[5]actual CWTs exp'!$Z23,IF('[5]actual CWTs exp'!W23/'[5]actual CWTs exp'!$Z23&gt;0,"-     "," "))</f>
        <v xml:space="preserve"> </v>
      </c>
      <c r="X27" s="380">
        <f t="shared" si="2"/>
        <v>0.89853729045232433</v>
      </c>
      <c r="Y27" s="381">
        <f t="shared" si="1"/>
        <v>0.10146270954767567</v>
      </c>
      <c r="Z27" s="382">
        <f>'[5]actual CWTs exp'!Z23</f>
        <v>63649</v>
      </c>
      <c r="AC27" s="327"/>
    </row>
    <row r="28" spans="1:29" ht="16.5" customHeight="1" x14ac:dyDescent="0.25">
      <c r="A28" s="397" t="s">
        <v>346</v>
      </c>
      <c r="B28" t="s">
        <v>82</v>
      </c>
      <c r="C28" t="s">
        <v>321</v>
      </c>
      <c r="D28" t="s">
        <v>48</v>
      </c>
      <c r="E28" s="210" t="str">
        <f>IF('[5]actual CWTs exp'!E24/'[5]actual CWTs exp'!$Z24&gt;0.0005,'[5]actual CWTs exp'!E24/'[5]actual CWTs exp'!$Z24,IF('[5]actual CWTs exp'!E24/'[5]actual CWTs exp'!$Z24&gt;0,"-     "," "))</f>
        <v xml:space="preserve"> </v>
      </c>
      <c r="F28" s="415" t="str">
        <f>IF('[5]actual CWTs exp'!F24/'[5]actual CWTs exp'!$Z24&gt;0.0005,'[5]actual CWTs exp'!F24/'[5]actual CWTs exp'!$Z24,IF('[5]actual CWTs exp'!F24/'[5]actual CWTs exp'!$Z24&gt;0,"-     "," "))</f>
        <v xml:space="preserve"> </v>
      </c>
      <c r="G28" s="210" t="str">
        <f>IF('[5]actual CWTs exp'!G24/'[5]actual CWTs exp'!$Z24&gt;0.0005,'[5]actual CWTs exp'!G24/'[5]actual CWTs exp'!$Z24,IF('[5]actual CWTs exp'!G24/'[5]actual CWTs exp'!$Z24&gt;0,"-     "," "))</f>
        <v xml:space="preserve"> </v>
      </c>
      <c r="H28" s="210">
        <f>IF('[5]actual CWTs exp'!H24/'[5]actual CWTs exp'!$Z24&gt;0.0005,'[5]actual CWTs exp'!H24/'[5]actual CWTs exp'!$Z24,IF('[5]actual CWTs exp'!H24/'[5]actual CWTs exp'!$Z24&gt;0,"-     "," "))</f>
        <v>8.8885546698751691E-2</v>
      </c>
      <c r="I28" s="415">
        <f>IF('[5]actual CWTs exp'!I24/'[5]actual CWTs exp'!$Z24&gt;0.0005,'[5]actual CWTs exp'!I24/'[5]actual CWTs exp'!$Z24,IF('[5]actual CWTs exp'!I24/'[5]actual CWTs exp'!$Z24&gt;0,"-     "," "))</f>
        <v>8.6629568356143785E-2</v>
      </c>
      <c r="J28" s="210">
        <f>IF('[5]actual CWTs exp'!J24/'[5]actual CWTs exp'!$Z24&gt;0.0005,'[5]actual CWTs exp'!J24/'[5]actual CWTs exp'!$Z24,IF('[5]actual CWTs exp'!J24/'[5]actual CWTs exp'!$Z24&gt;0,"-     "," "))</f>
        <v>4.0156414498420813E-2</v>
      </c>
      <c r="K28" s="210">
        <f>IF('[5]actual CWTs exp'!K24/'[5]actual CWTs exp'!$Z24&gt;0.0005,'[5]actual CWTs exp'!K24/'[5]actual CWTs exp'!$Z24,IF('[5]actual CWTs exp'!K24/'[5]actual CWTs exp'!$Z24&gt;0,"-     "," "))</f>
        <v>3.1583696796510753E-3</v>
      </c>
      <c r="L28" s="210">
        <f>IF('[5]actual CWTs exp'!L24/'[5]actual CWTs exp'!$Z24&gt;0.0005,'[5]actual CWTs exp'!L24/'[5]actual CWTs exp'!$Z24,IF('[5]actual CWTs exp'!L24/'[5]actual CWTs exp'!$Z24&gt;0,"-     "," "))</f>
        <v>0.12317641750639194</v>
      </c>
      <c r="M28" s="210" t="str">
        <f>IF('[5]actual CWTs exp'!M24/'[5]actual CWTs exp'!$Z24&gt;0.0005,'[5]actual CWTs exp'!M24/'[5]actual CWTs exp'!$Z24,IF('[5]actual CWTs exp'!M24/'[5]actual CWTs exp'!$Z24&gt;0,"-     "," "))</f>
        <v xml:space="preserve"> </v>
      </c>
      <c r="N28" s="210">
        <f>IF('[5]actual CWTs exp'!N24/'[5]actual CWTs exp'!$Z24&gt;0.0005,'[5]actual CWTs exp'!N24/'[5]actual CWTs exp'!$Z24,IF('[5]actual CWTs exp'!N24/'[5]actual CWTs exp'!$Z24&gt;0,"-     "," "))</f>
        <v>5.5647465784328474E-3</v>
      </c>
      <c r="O28" s="416" t="str">
        <f>IF('[5]actual CWTs exp'!O24/'[5]actual CWTs exp'!$Z24&gt;0.0005,'[5]actual CWTs exp'!O24/'[5]actual CWTs exp'!$Z24,IF('[5]actual CWTs exp'!O24/'[5]actual CWTs exp'!$Z24&gt;0,"-     "," "))</f>
        <v xml:space="preserve"> </v>
      </c>
      <c r="P28" s="210">
        <f>IF('[5]actual CWTs exp'!P24/'[5]actual CWTs exp'!$Z24&gt;0.0005,'[5]actual CWTs exp'!P24/'[5]actual CWTs exp'!$Z24,IF('[5]actual CWTs exp'!P24/'[5]actual CWTs exp'!$Z24&gt;0,"-     "," "))</f>
        <v>1.1129493156865695E-2</v>
      </c>
      <c r="Q28" s="210">
        <f>IF('[5]actual CWTs exp'!Q24/'[5]actual CWTs exp'!$Z24&gt;0.0005,'[5]actual CWTs exp'!Q24/'[5]actual CWTs exp'!$Z24,IF('[5]actual CWTs exp'!Q24/'[5]actual CWTs exp'!$Z24&gt;0,"-     "," "))</f>
        <v>2.2108587757557526E-2</v>
      </c>
      <c r="R28" s="415" t="str">
        <f>IF('[5]actual CWTs exp'!R24/'[5]actual CWTs exp'!$Z24&gt;0.0005,'[5]actual CWTs exp'!R24/'[5]actual CWTs exp'!$Z24,IF('[5]actual CWTs exp'!R24/'[5]actual CWTs exp'!$Z24&gt;0,"-     "," "))</f>
        <v xml:space="preserve"> </v>
      </c>
      <c r="S28" s="210">
        <f>IF('[5]actual CWTs exp'!S24/'[5]actual CWTs exp'!$Z24&gt;0.0005,'[5]actual CWTs exp'!S24/'[5]actual CWTs exp'!$Z24,IF('[5]actual CWTs exp'!S24/'[5]actual CWTs exp'!$Z24&gt;0,"-     "," "))</f>
        <v>5.549706722815461E-2</v>
      </c>
      <c r="T28" s="210" t="str">
        <f>IF('[5]actual CWTs exp'!T24/'[5]actual CWTs exp'!$Z24&gt;0.0005,'[5]actual CWTs exp'!T24/'[5]actual CWTs exp'!$Z24,IF('[5]actual CWTs exp'!T24/'[5]actual CWTs exp'!$Z24&gt;0,"-     "," "))</f>
        <v xml:space="preserve"> </v>
      </c>
      <c r="U28" s="415" t="str">
        <f>IF('[5]actual CWTs exp'!U24/'[5]actual CWTs exp'!$Z24&gt;0.0005,'[5]actual CWTs exp'!U24/'[5]actual CWTs exp'!$Z24,IF('[5]actual CWTs exp'!U24/'[5]actual CWTs exp'!$Z24&gt;0,"-     "," "))</f>
        <v xml:space="preserve"> </v>
      </c>
      <c r="V28" s="210">
        <f>IF('[5]actual CWTs exp'!V24/'[5]actual CWTs exp'!$Z24&gt;0.0005,'[5]actual CWTs exp'!V24/'[5]actual CWTs exp'!$Z24,IF('[5]actual CWTs exp'!V24/'[5]actual CWTs exp'!$Z24&gt;0,"-     "," "))</f>
        <v>1.4438261392690631E-2</v>
      </c>
      <c r="W28" s="417" t="str">
        <f>IF('[5]actual CWTs exp'!W24/'[5]actual CWTs exp'!$Z24&gt;0.0005,'[5]actual CWTs exp'!W24/'[5]actual CWTs exp'!$Z24,IF('[5]actual CWTs exp'!W24/'[5]actual CWTs exp'!$Z24&gt;0,"-     "," "))</f>
        <v xml:space="preserve"> </v>
      </c>
      <c r="X28" s="380">
        <f t="shared" si="2"/>
        <v>0.45074447285306063</v>
      </c>
      <c r="Y28" s="381">
        <f t="shared" si="1"/>
        <v>0.54925552714693937</v>
      </c>
      <c r="Z28" s="382">
        <f>'[5]actual CWTs exp'!Z24</f>
        <v>6649</v>
      </c>
      <c r="AC28" s="327"/>
    </row>
    <row r="29" spans="1:29" ht="16.5" customHeight="1" x14ac:dyDescent="0.25">
      <c r="A29" s="397" t="s">
        <v>347</v>
      </c>
      <c r="B29" t="s">
        <v>84</v>
      </c>
      <c r="C29" t="s">
        <v>321</v>
      </c>
      <c r="D29" t="s">
        <v>48</v>
      </c>
      <c r="E29" s="210" t="str">
        <f>IF('[5]actual CWTs exp'!E25/'[5]actual CWTs exp'!$Z25&gt;0.0005,'[5]actual CWTs exp'!E25/'[5]actual CWTs exp'!$Z25,IF('[5]actual CWTs exp'!E25/'[5]actual CWTs exp'!$Z25&gt;0,"-     "," "))</f>
        <v xml:space="preserve"> </v>
      </c>
      <c r="F29" s="415" t="str">
        <f>IF('[5]actual CWTs exp'!F25/'[5]actual CWTs exp'!$Z25&gt;0.0005,'[5]actual CWTs exp'!F25/'[5]actual CWTs exp'!$Z25,IF('[5]actual CWTs exp'!F25/'[5]actual CWTs exp'!$Z25&gt;0,"-     "," "))</f>
        <v xml:space="preserve"> </v>
      </c>
      <c r="G29" s="210" t="str">
        <f>IF('[5]actual CWTs exp'!G25/'[5]actual CWTs exp'!$Z25&gt;0.0005,'[5]actual CWTs exp'!G25/'[5]actual CWTs exp'!$Z25,IF('[5]actual CWTs exp'!G25/'[5]actual CWTs exp'!$Z25&gt;0,"-     "," "))</f>
        <v xml:space="preserve"> </v>
      </c>
      <c r="H29" s="210">
        <f>IF('[5]actual CWTs exp'!H25/'[5]actual CWTs exp'!$Z25&gt;0.0005,'[5]actual CWTs exp'!H25/'[5]actual CWTs exp'!$Z25,IF('[5]actual CWTs exp'!H25/'[5]actual CWTs exp'!$Z25&gt;0,"-     "," "))</f>
        <v>8.2255083179297597E-2</v>
      </c>
      <c r="I29" s="415" t="str">
        <f>IF('[5]actual CWTs exp'!I25/'[5]actual CWTs exp'!$Z25&gt;0.0005,'[5]actual CWTs exp'!I25/'[5]actual CWTs exp'!$Z25,IF('[5]actual CWTs exp'!I25/'[5]actual CWTs exp'!$Z25&gt;0,"-     "," "))</f>
        <v xml:space="preserve"> </v>
      </c>
      <c r="J29" s="210" t="str">
        <f>IF('[5]actual CWTs exp'!J25/'[5]actual CWTs exp'!$Z25&gt;0.0005,'[5]actual CWTs exp'!J25/'[5]actual CWTs exp'!$Z25,IF('[5]actual CWTs exp'!J25/'[5]actual CWTs exp'!$Z25&gt;0,"-     "," "))</f>
        <v xml:space="preserve"> </v>
      </c>
      <c r="K29" s="210" t="str">
        <f>IF('[5]actual CWTs exp'!K25/'[5]actual CWTs exp'!$Z25&gt;0.0005,'[5]actual CWTs exp'!K25/'[5]actual CWTs exp'!$Z25,IF('[5]actual CWTs exp'!K25/'[5]actual CWTs exp'!$Z25&gt;0,"-     "," "))</f>
        <v xml:space="preserve"> </v>
      </c>
      <c r="L29" s="210">
        <f>IF('[5]actual CWTs exp'!L25/'[5]actual CWTs exp'!$Z25&gt;0.0005,'[5]actual CWTs exp'!L25/'[5]actual CWTs exp'!$Z25,IF('[5]actual CWTs exp'!L25/'[5]actual CWTs exp'!$Z25&gt;0,"-     "," "))</f>
        <v>8.2255083179297597E-2</v>
      </c>
      <c r="M29" s="210" t="str">
        <f>IF('[5]actual CWTs exp'!M25/'[5]actual CWTs exp'!$Z25&gt;0.0005,'[5]actual CWTs exp'!M25/'[5]actual CWTs exp'!$Z25,IF('[5]actual CWTs exp'!M25/'[5]actual CWTs exp'!$Z25&gt;0,"-     "," "))</f>
        <v xml:space="preserve"> </v>
      </c>
      <c r="N29" s="210">
        <f>IF('[5]actual CWTs exp'!N25/'[5]actual CWTs exp'!$Z25&gt;0.0005,'[5]actual CWTs exp'!N25/'[5]actual CWTs exp'!$Z25,IF('[5]actual CWTs exp'!N25/'[5]actual CWTs exp'!$Z25&gt;0,"-     "," "))</f>
        <v>7.3937153419593345E-3</v>
      </c>
      <c r="O29" s="416" t="str">
        <f>IF('[5]actual CWTs exp'!O25/'[5]actual CWTs exp'!$Z25&gt;0.0005,'[5]actual CWTs exp'!O25/'[5]actual CWTs exp'!$Z25,IF('[5]actual CWTs exp'!O25/'[5]actual CWTs exp'!$Z25&gt;0,"-     "," "))</f>
        <v xml:space="preserve"> </v>
      </c>
      <c r="P29" s="210">
        <f>IF('[5]actual CWTs exp'!P25/'[5]actual CWTs exp'!$Z25&gt;0.0005,'[5]actual CWTs exp'!P25/'[5]actual CWTs exp'!$Z25,IF('[5]actual CWTs exp'!P25/'[5]actual CWTs exp'!$Z25&gt;0,"-     "," "))</f>
        <v>7.3937153419593345E-3</v>
      </c>
      <c r="Q29" s="210">
        <f>IF('[5]actual CWTs exp'!Q25/'[5]actual CWTs exp'!$Z25&gt;0.0005,'[5]actual CWTs exp'!Q25/'[5]actual CWTs exp'!$Z25,IF('[5]actual CWTs exp'!Q25/'[5]actual CWTs exp'!$Z25&gt;0,"-     "," "))</f>
        <v>2.7726432532347505E-2</v>
      </c>
      <c r="R29" s="415" t="str">
        <f>IF('[5]actual CWTs exp'!R25/'[5]actual CWTs exp'!$Z25&gt;0.0005,'[5]actual CWTs exp'!R25/'[5]actual CWTs exp'!$Z25,IF('[5]actual CWTs exp'!R25/'[5]actual CWTs exp'!$Z25&gt;0,"-     "," "))</f>
        <v xml:space="preserve"> </v>
      </c>
      <c r="S29" s="210">
        <f>IF('[5]actual CWTs exp'!S25/'[5]actual CWTs exp'!$Z25&gt;0.0005,'[5]actual CWTs exp'!S25/'[5]actual CWTs exp'!$Z25,IF('[5]actual CWTs exp'!S25/'[5]actual CWTs exp'!$Z25&gt;0,"-     "," "))</f>
        <v>4.8059149722735672E-2</v>
      </c>
      <c r="T29" s="210" t="str">
        <f>IF('[5]actual CWTs exp'!T25/'[5]actual CWTs exp'!$Z25&gt;0.0005,'[5]actual CWTs exp'!T25/'[5]actual CWTs exp'!$Z25,IF('[5]actual CWTs exp'!T25/'[5]actual CWTs exp'!$Z25&gt;0,"-     "," "))</f>
        <v xml:space="preserve"> </v>
      </c>
      <c r="U29" s="415" t="str">
        <f>IF('[5]actual CWTs exp'!U25/'[5]actual CWTs exp'!$Z25&gt;0.0005,'[5]actual CWTs exp'!U25/'[5]actual CWTs exp'!$Z25,IF('[5]actual CWTs exp'!U25/'[5]actual CWTs exp'!$Z25&gt;0,"-     "," "))</f>
        <v xml:space="preserve"> </v>
      </c>
      <c r="V29" s="210">
        <f>IF('[5]actual CWTs exp'!V25/'[5]actual CWTs exp'!$Z25&gt;0.0005,'[5]actual CWTs exp'!V25/'[5]actual CWTs exp'!$Z25,IF('[5]actual CWTs exp'!V25/'[5]actual CWTs exp'!$Z25&gt;0,"-     "," "))</f>
        <v>1.4787430683918669E-2</v>
      </c>
      <c r="W29" s="417" t="str">
        <f>IF('[5]actual CWTs exp'!W25/'[5]actual CWTs exp'!$Z25&gt;0.0005,'[5]actual CWTs exp'!W25/'[5]actual CWTs exp'!$Z25,IF('[5]actual CWTs exp'!W25/'[5]actual CWTs exp'!$Z25&gt;0,"-     "," "))</f>
        <v xml:space="preserve"> </v>
      </c>
      <c r="X29" s="380">
        <f t="shared" si="2"/>
        <v>0.26987060998151574</v>
      </c>
      <c r="Y29" s="381">
        <f t="shared" si="1"/>
        <v>0.7301293900184842</v>
      </c>
      <c r="Z29" s="382">
        <f>'[5]actual CWTs exp'!Z25</f>
        <v>1082</v>
      </c>
      <c r="AC29" s="327"/>
    </row>
    <row r="30" spans="1:29" ht="16.5" customHeight="1" x14ac:dyDescent="0.25">
      <c r="A30" s="397" t="s">
        <v>87</v>
      </c>
      <c r="B30" t="s">
        <v>118</v>
      </c>
      <c r="C30" t="s">
        <v>321</v>
      </c>
      <c r="D30" t="s">
        <v>48</v>
      </c>
      <c r="E30" s="210" t="str">
        <f>IF('[5]actual CWTs exp'!E26/'[5]actual CWTs exp'!$Z26&gt;0.0005,'[5]actual CWTs exp'!E26/'[5]actual CWTs exp'!$Z26,IF('[5]actual CWTs exp'!E26/'[5]actual CWTs exp'!$Z26&gt;0,"-     "," "))</f>
        <v xml:space="preserve"> </v>
      </c>
      <c r="F30" s="415" t="str">
        <f>IF('[5]actual CWTs exp'!F26/'[5]actual CWTs exp'!$Z26&gt;0.0005,'[5]actual CWTs exp'!F26/'[5]actual CWTs exp'!$Z26,IF('[5]actual CWTs exp'!F26/'[5]actual CWTs exp'!$Z26&gt;0,"-     "," "))</f>
        <v xml:space="preserve"> </v>
      </c>
      <c r="G30" s="210" t="str">
        <f>IF('[5]actual CWTs exp'!G26/'[5]actual CWTs exp'!$Z26&gt;0.0005,'[5]actual CWTs exp'!G26/'[5]actual CWTs exp'!$Z26,IF('[5]actual CWTs exp'!G26/'[5]actual CWTs exp'!$Z26&gt;0,"-     "," "))</f>
        <v xml:space="preserve"> </v>
      </c>
      <c r="H30" s="210">
        <f>IF('[5]actual CWTs exp'!H26/'[5]actual CWTs exp'!$Z26&gt;0.0005,'[5]actual CWTs exp'!H26/'[5]actual CWTs exp'!$Z26,IF('[5]actual CWTs exp'!H26/'[5]actual CWTs exp'!$Z26&gt;0,"-     "," "))</f>
        <v>5.6131805157593126E-2</v>
      </c>
      <c r="I30" s="415" t="str">
        <f>IF('[5]actual CWTs exp'!I26/'[5]actual CWTs exp'!$Z26&gt;0.0005,'[5]actual CWTs exp'!I26/'[5]actual CWTs exp'!$Z26,IF('[5]actual CWTs exp'!I26/'[5]actual CWTs exp'!$Z26&gt;0,"-     "," "))</f>
        <v xml:space="preserve"> </v>
      </c>
      <c r="J30" s="210" t="str">
        <f>IF('[5]actual CWTs exp'!J26/'[5]actual CWTs exp'!$Z26&gt;0.0005,'[5]actual CWTs exp'!J26/'[5]actual CWTs exp'!$Z26,IF('[5]actual CWTs exp'!J26/'[5]actual CWTs exp'!$Z26&gt;0,"-     "," "))</f>
        <v xml:space="preserve"> </v>
      </c>
      <c r="K30" s="210" t="str">
        <f>IF('[5]actual CWTs exp'!K26/'[5]actual CWTs exp'!$Z26&gt;0.0005,'[5]actual CWTs exp'!K26/'[5]actual CWTs exp'!$Z26,IF('[5]actual CWTs exp'!K26/'[5]actual CWTs exp'!$Z26&gt;0,"-     "," "))</f>
        <v xml:space="preserve"> </v>
      </c>
      <c r="L30" s="210">
        <f>IF('[5]actual CWTs exp'!L26/'[5]actual CWTs exp'!$Z26&gt;0.0005,'[5]actual CWTs exp'!L26/'[5]actual CWTs exp'!$Z26,IF('[5]actual CWTs exp'!L26/'[5]actual CWTs exp'!$Z26&gt;0,"-     "," "))</f>
        <v>7.306590257879656E-3</v>
      </c>
      <c r="M30" s="210" t="str">
        <f>IF('[5]actual CWTs exp'!M26/'[5]actual CWTs exp'!$Z26&gt;0.0005,'[5]actual CWTs exp'!M26/'[5]actual CWTs exp'!$Z26,IF('[5]actual CWTs exp'!M26/'[5]actual CWTs exp'!$Z26&gt;0,"-     "," "))</f>
        <v xml:space="preserve"> </v>
      </c>
      <c r="N30" s="210" t="str">
        <f>IF('[5]actual CWTs exp'!N26/'[5]actual CWTs exp'!$Z26&gt;0.0005,'[5]actual CWTs exp'!N26/'[5]actual CWTs exp'!$Z26,IF('[5]actual CWTs exp'!N26/'[5]actual CWTs exp'!$Z26&gt;0,"-     "," "))</f>
        <v xml:space="preserve"> </v>
      </c>
      <c r="O30" s="416" t="str">
        <f>IF('[5]actual CWTs exp'!O26/'[5]actual CWTs exp'!$Z26&gt;0.0005,'[5]actual CWTs exp'!O26/'[5]actual CWTs exp'!$Z26,IF('[5]actual CWTs exp'!O26/'[5]actual CWTs exp'!$Z26&gt;0,"-     "," "))</f>
        <v xml:space="preserve"> </v>
      </c>
      <c r="P30" s="210">
        <f>IF('[5]actual CWTs exp'!P26/'[5]actual CWTs exp'!$Z26&gt;0.0005,'[5]actual CWTs exp'!P26/'[5]actual CWTs exp'!$Z26,IF('[5]actual CWTs exp'!P26/'[5]actual CWTs exp'!$Z26&gt;0,"-     "," "))</f>
        <v>0.41171919770773641</v>
      </c>
      <c r="Q30" s="210">
        <f>IF('[5]actual CWTs exp'!Q26/'[5]actual CWTs exp'!$Z26&gt;0.0005,'[5]actual CWTs exp'!Q26/'[5]actual CWTs exp'!$Z26,IF('[5]actual CWTs exp'!Q26/'[5]actual CWTs exp'!$Z26&gt;0,"-     "," "))</f>
        <v>0.19624641833810888</v>
      </c>
      <c r="R30" s="415" t="str">
        <f>IF('[5]actual CWTs exp'!R26/'[5]actual CWTs exp'!$Z26&gt;0.0005,'[5]actual CWTs exp'!R26/'[5]actual CWTs exp'!$Z26,IF('[5]actual CWTs exp'!R26/'[5]actual CWTs exp'!$Z26&gt;0,"-     "," "))</f>
        <v xml:space="preserve"> </v>
      </c>
      <c r="S30" s="210">
        <f>IF('[5]actual CWTs exp'!S26/'[5]actual CWTs exp'!$Z26&gt;0.0005,'[5]actual CWTs exp'!S26/'[5]actual CWTs exp'!$Z26,IF('[5]actual CWTs exp'!S26/'[5]actual CWTs exp'!$Z26&gt;0,"-     "," "))</f>
        <v>5.3810888252148997E-2</v>
      </c>
      <c r="T30" s="210">
        <f>IF('[5]actual CWTs exp'!T26/'[5]actual CWTs exp'!$Z26&gt;0.0005,'[5]actual CWTs exp'!T26/'[5]actual CWTs exp'!$Z26,IF('[5]actual CWTs exp'!T26/'[5]actual CWTs exp'!$Z26&gt;0,"-     "," "))</f>
        <v>2.0057306590257878E-3</v>
      </c>
      <c r="U30" s="415" t="str">
        <f>IF('[5]actual CWTs exp'!U26/'[5]actual CWTs exp'!$Z26&gt;0.0005,'[5]actual CWTs exp'!U26/'[5]actual CWTs exp'!$Z26,IF('[5]actual CWTs exp'!U26/'[5]actual CWTs exp'!$Z26&gt;0,"-     "," "))</f>
        <v xml:space="preserve"> </v>
      </c>
      <c r="V30" s="210">
        <f>IF('[5]actual CWTs exp'!V26/'[5]actual CWTs exp'!$Z26&gt;0.0005,'[5]actual CWTs exp'!V26/'[5]actual CWTs exp'!$Z26,IF('[5]actual CWTs exp'!V26/'[5]actual CWTs exp'!$Z26&gt;0,"-     "," "))</f>
        <v>4.9856733524355299E-3</v>
      </c>
      <c r="W30" s="417" t="str">
        <f>IF('[5]actual CWTs exp'!W26/'[5]actual CWTs exp'!$Z26&gt;0.0005,'[5]actual CWTs exp'!W26/'[5]actual CWTs exp'!$Z26,IF('[5]actual CWTs exp'!W26/'[5]actual CWTs exp'!$Z26&gt;0,"-     "," "))</f>
        <v xml:space="preserve"> </v>
      </c>
      <c r="X30" s="380">
        <f t="shared" si="2"/>
        <v>0.73220630372492823</v>
      </c>
      <c r="Y30" s="381">
        <f t="shared" si="1"/>
        <v>0.26779369627507177</v>
      </c>
      <c r="Z30" s="382">
        <f>'[5]actual CWTs exp'!Z26</f>
        <v>34900</v>
      </c>
      <c r="AC30" s="327"/>
    </row>
    <row r="31" spans="1:29" ht="16.5" customHeight="1" x14ac:dyDescent="0.25">
      <c r="A31" s="397" t="s">
        <v>91</v>
      </c>
      <c r="B31" t="s">
        <v>90</v>
      </c>
      <c r="C31" t="s">
        <v>321</v>
      </c>
      <c r="D31" t="s">
        <v>48</v>
      </c>
      <c r="E31" s="210" t="str">
        <f>IF('[5]actual CWTs exp'!E27/'[5]actual CWTs exp'!$Z27&gt;0.0005,'[5]actual CWTs exp'!E27/'[5]actual CWTs exp'!$Z27,IF('[5]actual CWTs exp'!E27/'[5]actual CWTs exp'!$Z27&gt;0,"-     "," "))</f>
        <v xml:space="preserve"> </v>
      </c>
      <c r="F31" s="415" t="str">
        <f>IF('[5]actual CWTs exp'!F27/'[5]actual CWTs exp'!$Z27&gt;0.0005,'[5]actual CWTs exp'!F27/'[5]actual CWTs exp'!$Z27,IF('[5]actual CWTs exp'!F27/'[5]actual CWTs exp'!$Z27&gt;0,"-     "," "))</f>
        <v xml:space="preserve"> </v>
      </c>
      <c r="G31" s="210" t="str">
        <f>IF('[5]actual CWTs exp'!G27/'[5]actual CWTs exp'!$Z27&gt;0.0005,'[5]actual CWTs exp'!G27/'[5]actual CWTs exp'!$Z27,IF('[5]actual CWTs exp'!G27/'[5]actual CWTs exp'!$Z27&gt;0,"-     "," "))</f>
        <v xml:space="preserve"> </v>
      </c>
      <c r="H31" s="210" t="str">
        <f>IF('[5]actual CWTs exp'!H27/'[5]actual CWTs exp'!$Z27&gt;0.0005,'[5]actual CWTs exp'!H27/'[5]actual CWTs exp'!$Z27,IF('[5]actual CWTs exp'!H27/'[5]actual CWTs exp'!$Z27&gt;0,"-     "," "))</f>
        <v xml:space="preserve"> </v>
      </c>
      <c r="I31" s="415" t="str">
        <f>IF('[5]actual CWTs exp'!I27/'[5]actual CWTs exp'!$Z27&gt;0.0005,'[5]actual CWTs exp'!I27/'[5]actual CWTs exp'!$Z27,IF('[5]actual CWTs exp'!I27/'[5]actual CWTs exp'!$Z27&gt;0,"-     "," "))</f>
        <v xml:space="preserve"> </v>
      </c>
      <c r="J31" s="210" t="str">
        <f>IF('[5]actual CWTs exp'!J27/'[5]actual CWTs exp'!$Z27&gt;0.0005,'[5]actual CWTs exp'!J27/'[5]actual CWTs exp'!$Z27,IF('[5]actual CWTs exp'!J27/'[5]actual CWTs exp'!$Z27&gt;0,"-     "," "))</f>
        <v xml:space="preserve"> </v>
      </c>
      <c r="K31" s="210" t="str">
        <f>IF('[5]actual CWTs exp'!K27/'[5]actual CWTs exp'!$Z27&gt;0.0005,'[5]actual CWTs exp'!K27/'[5]actual CWTs exp'!$Z27,IF('[5]actual CWTs exp'!K27/'[5]actual CWTs exp'!$Z27&gt;0,"-     "," "))</f>
        <v xml:space="preserve"> </v>
      </c>
      <c r="L31" s="210">
        <f>IF('[5]actual CWTs exp'!L27/'[5]actual CWTs exp'!$Z27&gt;0.0005,'[5]actual CWTs exp'!L27/'[5]actual CWTs exp'!$Z27,IF('[5]actual CWTs exp'!L27/'[5]actual CWTs exp'!$Z27&gt;0,"-     "," "))</f>
        <v>9.1390970572107471E-3</v>
      </c>
      <c r="M31" s="210" t="str">
        <f>IF('[5]actual CWTs exp'!M27/'[5]actual CWTs exp'!$Z27&gt;0.0005,'[5]actual CWTs exp'!M27/'[5]actual CWTs exp'!$Z27,IF('[5]actual CWTs exp'!M27/'[5]actual CWTs exp'!$Z27&gt;0,"-     "," "))</f>
        <v xml:space="preserve"> </v>
      </c>
      <c r="N31" s="210" t="str">
        <f>IF('[5]actual CWTs exp'!N27/'[5]actual CWTs exp'!$Z27&gt;0.0005,'[5]actual CWTs exp'!N27/'[5]actual CWTs exp'!$Z27,IF('[5]actual CWTs exp'!N27/'[5]actual CWTs exp'!$Z27&gt;0,"-     "," "))</f>
        <v xml:space="preserve"> </v>
      </c>
      <c r="O31" s="416" t="str">
        <f>IF('[5]actual CWTs exp'!O27/'[5]actual CWTs exp'!$Z27&gt;0.0005,'[5]actual CWTs exp'!O27/'[5]actual CWTs exp'!$Z27,IF('[5]actual CWTs exp'!O27/'[5]actual CWTs exp'!$Z27&gt;0,"-     "," "))</f>
        <v xml:space="preserve"> </v>
      </c>
      <c r="P31" s="210" t="str">
        <f>IF('[5]actual CWTs exp'!P27/'[5]actual CWTs exp'!$Z27&gt;0.0005,'[5]actual CWTs exp'!P27/'[5]actual CWTs exp'!$Z27,IF('[5]actual CWTs exp'!P27/'[5]actual CWTs exp'!$Z27&gt;0,"-     "," "))</f>
        <v xml:space="preserve"> </v>
      </c>
      <c r="Q31" s="210">
        <f>IF('[5]actual CWTs exp'!Q27/'[5]actual CWTs exp'!$Z27&gt;0.0005,'[5]actual CWTs exp'!Q27/'[5]actual CWTs exp'!$Z27,IF('[5]actual CWTs exp'!Q27/'[5]actual CWTs exp'!$Z27&gt;0,"-     "," "))</f>
        <v>9.1390970572107471E-3</v>
      </c>
      <c r="R31" s="415">
        <f>IF('[5]actual CWTs exp'!R27/'[5]actual CWTs exp'!$Z27&gt;0.0005,'[5]actual CWTs exp'!R27/'[5]actual CWTs exp'!$Z27,IF('[5]actual CWTs exp'!R27/'[5]actual CWTs exp'!$Z27&gt;0,"-     "," "))</f>
        <v>1.7181502467556207E-2</v>
      </c>
      <c r="S31" s="210">
        <f>IF('[5]actual CWTs exp'!S27/'[5]actual CWTs exp'!$Z27&gt;0.0005,'[5]actual CWTs exp'!S27/'[5]actual CWTs exp'!$Z27,IF('[5]actual CWTs exp'!S27/'[5]actual CWTs exp'!$Z27&gt;0,"-     "," "))</f>
        <v>0.70718333028696767</v>
      </c>
      <c r="T31" s="210">
        <f>IF('[5]actual CWTs exp'!T27/'[5]actual CWTs exp'!$Z27&gt;0.0005,'[5]actual CWTs exp'!T27/'[5]actual CWTs exp'!$Z27,IF('[5]actual CWTs exp'!T27/'[5]actual CWTs exp'!$Z27&gt;0,"-     "," "))</f>
        <v>1.0235788704076038E-2</v>
      </c>
      <c r="U31" s="415" t="str">
        <f>IF('[5]actual CWTs exp'!U27/'[5]actual CWTs exp'!$Z27&gt;0.0005,'[5]actual CWTs exp'!U27/'[5]actual CWTs exp'!$Z27,IF('[5]actual CWTs exp'!U27/'[5]actual CWTs exp'!$Z27&gt;0,"-     "," "))</f>
        <v xml:space="preserve"> </v>
      </c>
      <c r="V31" s="210">
        <f>IF('[5]actual CWTs exp'!V27/'[5]actual CWTs exp'!$Z27&gt;0.0005,'[5]actual CWTs exp'!V27/'[5]actual CWTs exp'!$Z27,IF('[5]actual CWTs exp'!V27/'[5]actual CWTs exp'!$Z27&gt;0,"-     "," "))</f>
        <v>2.3030524584171083E-2</v>
      </c>
      <c r="W31" s="417" t="str">
        <f>IF('[5]actual CWTs exp'!W27/'[5]actual CWTs exp'!$Z27&gt;0.0005,'[5]actual CWTs exp'!W27/'[5]actual CWTs exp'!$Z27,IF('[5]actual CWTs exp'!W27/'[5]actual CWTs exp'!$Z27&gt;0,"-     "," "))</f>
        <v xml:space="preserve"> </v>
      </c>
      <c r="X31" s="380">
        <f t="shared" si="2"/>
        <v>0.77590934015719248</v>
      </c>
      <c r="Y31" s="381">
        <f t="shared" si="1"/>
        <v>0.22409065984280752</v>
      </c>
      <c r="Z31" s="382">
        <f>'[5]actual CWTs exp'!Z27</f>
        <v>5471</v>
      </c>
      <c r="AC31" s="327"/>
    </row>
    <row r="32" spans="1:29" ht="16.5" customHeight="1" x14ac:dyDescent="0.25">
      <c r="A32" s="397" t="s">
        <v>348</v>
      </c>
      <c r="B32"/>
      <c r="C32"/>
      <c r="D32" t="s">
        <v>48</v>
      </c>
      <c r="E32" s="210" t="str">
        <f>IF('[5]actual CWTs exp'!E28/'[5]actual CWTs exp'!$Z28&gt;0.0005,'[5]actual CWTs exp'!E28/'[5]actual CWTs exp'!$Z28,IF('[5]actual CWTs exp'!E28/'[5]actual CWTs exp'!$Z28&gt;0,"-     "," "))</f>
        <v xml:space="preserve"> </v>
      </c>
      <c r="F32" s="415" t="str">
        <f>IF('[5]actual CWTs exp'!F28/'[5]actual CWTs exp'!$Z28&gt;0.0005,'[5]actual CWTs exp'!F28/'[5]actual CWTs exp'!$Z28,IF('[5]actual CWTs exp'!F28/'[5]actual CWTs exp'!$Z28&gt;0,"-     "," "))</f>
        <v xml:space="preserve"> </v>
      </c>
      <c r="G32" s="210" t="str">
        <f>IF('[5]actual CWTs exp'!G28/'[5]actual CWTs exp'!$Z28&gt;0.0005,'[5]actual CWTs exp'!G28/'[5]actual CWTs exp'!$Z28,IF('[5]actual CWTs exp'!G28/'[5]actual CWTs exp'!$Z28&gt;0,"-     "," "))</f>
        <v xml:space="preserve"> </v>
      </c>
      <c r="H32" s="210" t="str">
        <f>IF('[5]actual CWTs exp'!H28/'[5]actual CWTs exp'!$Z28&gt;0.0005,'[5]actual CWTs exp'!H28/'[5]actual CWTs exp'!$Z28,IF('[5]actual CWTs exp'!H28/'[5]actual CWTs exp'!$Z28&gt;0,"-     "," "))</f>
        <v xml:space="preserve"> </v>
      </c>
      <c r="I32" s="415" t="str">
        <f>IF('[5]actual CWTs exp'!I28/'[5]actual CWTs exp'!$Z28&gt;0.0005,'[5]actual CWTs exp'!I28/'[5]actual CWTs exp'!$Z28,IF('[5]actual CWTs exp'!I28/'[5]actual CWTs exp'!$Z28&gt;0,"-     "," "))</f>
        <v xml:space="preserve"> </v>
      </c>
      <c r="J32" s="210" t="str">
        <f>IF('[5]actual CWTs exp'!J28/'[5]actual CWTs exp'!$Z28&gt;0.0005,'[5]actual CWTs exp'!J28/'[5]actual CWTs exp'!$Z28,IF('[5]actual CWTs exp'!J28/'[5]actual CWTs exp'!$Z28&gt;0,"-     "," "))</f>
        <v xml:space="preserve"> </v>
      </c>
      <c r="K32" s="210" t="str">
        <f>IF('[5]actual CWTs exp'!K28/'[5]actual CWTs exp'!$Z28&gt;0.0005,'[5]actual CWTs exp'!K28/'[5]actual CWTs exp'!$Z28,IF('[5]actual CWTs exp'!K28/'[5]actual CWTs exp'!$Z28&gt;0,"-     "," "))</f>
        <v xml:space="preserve"> </v>
      </c>
      <c r="L32" s="210" t="str">
        <f>IF('[5]actual CWTs exp'!L28/'[5]actual CWTs exp'!$Z28&gt;0.0005,'[5]actual CWTs exp'!L28/'[5]actual CWTs exp'!$Z28,IF('[5]actual CWTs exp'!L28/'[5]actual CWTs exp'!$Z28&gt;0,"-     "," "))</f>
        <v xml:space="preserve"> </v>
      </c>
      <c r="M32" s="210" t="str">
        <f>IF('[5]actual CWTs exp'!M28/'[5]actual CWTs exp'!$Z28&gt;0.0005,'[5]actual CWTs exp'!M28/'[5]actual CWTs exp'!$Z28,IF('[5]actual CWTs exp'!M28/'[5]actual CWTs exp'!$Z28&gt;0,"-     "," "))</f>
        <v xml:space="preserve"> </v>
      </c>
      <c r="N32" s="210" t="str">
        <f>IF('[5]actual CWTs exp'!N28/'[5]actual CWTs exp'!$Z28&gt;0.0005,'[5]actual CWTs exp'!N28/'[5]actual CWTs exp'!$Z28,IF('[5]actual CWTs exp'!N28/'[5]actual CWTs exp'!$Z28&gt;0,"-     "," "))</f>
        <v xml:space="preserve"> </v>
      </c>
      <c r="O32" s="416" t="str">
        <f>IF('[5]actual CWTs exp'!O28/'[5]actual CWTs exp'!$Z28&gt;0.0005,'[5]actual CWTs exp'!O28/'[5]actual CWTs exp'!$Z28,IF('[5]actual CWTs exp'!O28/'[5]actual CWTs exp'!$Z28&gt;0,"-     "," "))</f>
        <v xml:space="preserve"> </v>
      </c>
      <c r="P32" s="210" t="str">
        <f>IF('[5]actual CWTs exp'!P28/'[5]actual CWTs exp'!$Z28&gt;0.0005,'[5]actual CWTs exp'!P28/'[5]actual CWTs exp'!$Z28,IF('[5]actual CWTs exp'!P28/'[5]actual CWTs exp'!$Z28&gt;0,"-     "," "))</f>
        <v xml:space="preserve"> </v>
      </c>
      <c r="Q32" s="210">
        <f>IF('[5]actual CWTs exp'!Q28/'[5]actual CWTs exp'!$Z28&gt;0.0005,'[5]actual CWTs exp'!Q28/'[5]actual CWTs exp'!$Z28,IF('[5]actual CWTs exp'!Q28/'[5]actual CWTs exp'!$Z28&gt;0,"-     "," "))</f>
        <v>3.7348272642390291E-3</v>
      </c>
      <c r="R32" s="415" t="str">
        <f>IF('[5]actual CWTs exp'!R28/'[5]actual CWTs exp'!$Z28&gt;0.0005,'[5]actual CWTs exp'!R28/'[5]actual CWTs exp'!$Z28,IF('[5]actual CWTs exp'!R28/'[5]actual CWTs exp'!$Z28&gt;0,"-     "," "))</f>
        <v xml:space="preserve"> </v>
      </c>
      <c r="S32" s="210">
        <f>IF('[5]actual CWTs exp'!S28/'[5]actual CWTs exp'!$Z28&gt;0.0005,'[5]actual CWTs exp'!S28/'[5]actual CWTs exp'!$Z28,IF('[5]actual CWTs exp'!S28/'[5]actual CWTs exp'!$Z28&gt;0,"-     "," "))</f>
        <v>3.1746031746031744E-2</v>
      </c>
      <c r="T32" s="210">
        <f>IF('[5]actual CWTs exp'!T28/'[5]actual CWTs exp'!$Z28&gt;0.0005,'[5]actual CWTs exp'!T28/'[5]actual CWTs exp'!$Z28,IF('[5]actual CWTs exp'!T28/'[5]actual CWTs exp'!$Z28&gt;0,"-     "," "))</f>
        <v>9.3370681605975728E-4</v>
      </c>
      <c r="U32" s="415" t="str">
        <f>IF('[5]actual CWTs exp'!U28/'[5]actual CWTs exp'!$Z28&gt;0.0005,'[5]actual CWTs exp'!U28/'[5]actual CWTs exp'!$Z28,IF('[5]actual CWTs exp'!U28/'[5]actual CWTs exp'!$Z28&gt;0,"-     "," "))</f>
        <v xml:space="preserve"> </v>
      </c>
      <c r="V32" s="210">
        <f>IF('[5]actual CWTs exp'!V28/'[5]actual CWTs exp'!$Z28&gt;0.0005,'[5]actual CWTs exp'!V28/'[5]actual CWTs exp'!$Z28,IF('[5]actual CWTs exp'!V28/'[5]actual CWTs exp'!$Z28&gt;0,"-     "," "))</f>
        <v>1.8674136321195146E-3</v>
      </c>
      <c r="W32" s="417" t="str">
        <f>IF('[5]actual CWTs exp'!W28/'[5]actual CWTs exp'!$Z28&gt;0.0005,'[5]actual CWTs exp'!W28/'[5]actual CWTs exp'!$Z28,IF('[5]actual CWTs exp'!W28/'[5]actual CWTs exp'!$Z28&gt;0,"-     "," "))</f>
        <v xml:space="preserve"> </v>
      </c>
      <c r="X32" s="380">
        <f t="shared" si="2"/>
        <v>3.8281979458450043E-2</v>
      </c>
      <c r="Y32" s="381">
        <f t="shared" si="1"/>
        <v>0.96171802054154998</v>
      </c>
      <c r="Z32" s="382">
        <f>'[5]actual CWTs exp'!Z28</f>
        <v>1071</v>
      </c>
      <c r="AC32" s="327"/>
    </row>
    <row r="33" spans="1:29" ht="16.5" customHeight="1" x14ac:dyDescent="0.35">
      <c r="A33" s="397" t="s">
        <v>328</v>
      </c>
      <c r="B33" t="s">
        <v>96</v>
      </c>
      <c r="C33" t="s">
        <v>321</v>
      </c>
      <c r="D33" t="s">
        <v>48</v>
      </c>
      <c r="E33" s="210" t="str">
        <f>IF('[5]actual CWTs exp'!E28/'[5]actual CWTs exp'!$Z28&gt;0.0005,'[5]actual CWTs exp'!E28/'[5]actual CWTs exp'!$Z28,IF('[5]actual CWTs exp'!E28/'[5]actual CWTs exp'!$Z28&gt;0,"-     "," "))</f>
        <v xml:space="preserve"> </v>
      </c>
      <c r="F33" s="415" t="str">
        <f>IF('[5]actual CWTs exp'!F29/'[5]actual CWTs exp'!$Z29&gt;0.0005,'[5]actual CWTs exp'!F29/'[5]actual CWTs exp'!$Z29,IF('[5]actual CWTs exp'!F29/'[5]actual CWTs exp'!$Z29&gt;0,"-     "," "))</f>
        <v xml:space="preserve"> </v>
      </c>
      <c r="G33" s="210" t="str">
        <f>IF('[5]actual CWTs exp'!G29/'[5]actual CWTs exp'!$Z29&gt;0.0005,'[5]actual CWTs exp'!G29/'[5]actual CWTs exp'!$Z29,IF('[5]actual CWTs exp'!G29/'[5]actual CWTs exp'!$Z29&gt;0,"-     "," "))</f>
        <v xml:space="preserve"> </v>
      </c>
      <c r="H33" s="210" t="str">
        <f>IF('[5]actual CWTs exp'!H29/'[5]actual CWTs exp'!$Z29&gt;0.0005,'[5]actual CWTs exp'!H29/'[5]actual CWTs exp'!$Z29,IF('[5]actual CWTs exp'!H29/'[5]actual CWTs exp'!$Z29&gt;0,"-     "," "))</f>
        <v xml:space="preserve"> </v>
      </c>
      <c r="I33" s="415" t="str">
        <f>IF('[5]actual CWTs exp'!I29/'[5]actual CWTs exp'!$Z29&gt;0.0005,'[5]actual CWTs exp'!I29/'[5]actual CWTs exp'!$Z29,IF('[5]actual CWTs exp'!I29/'[5]actual CWTs exp'!$Z29&gt;0,"-     "," "))</f>
        <v xml:space="preserve"> </v>
      </c>
      <c r="J33" s="210" t="str">
        <f>IF('[5]actual CWTs exp'!J29/'[5]actual CWTs exp'!$Z29&gt;0.0005,'[5]actual CWTs exp'!J29/'[5]actual CWTs exp'!$Z29,IF('[5]actual CWTs exp'!J29/'[5]actual CWTs exp'!$Z29&gt;0,"-     "," "))</f>
        <v xml:space="preserve"> </v>
      </c>
      <c r="K33" s="210" t="str">
        <f>IF('[5]actual CWTs exp'!K29/'[5]actual CWTs exp'!$Z29&gt;0.0005,'[5]actual CWTs exp'!K29/'[5]actual CWTs exp'!$Z29,IF('[5]actual CWTs exp'!K29/'[5]actual CWTs exp'!$Z29&gt;0,"-     "," "))</f>
        <v xml:space="preserve"> </v>
      </c>
      <c r="L33" s="210" t="str">
        <f>IF('[5]actual CWTs exp'!L29/'[5]actual CWTs exp'!$Z29&gt;0.0005,'[5]actual CWTs exp'!L29/'[5]actual CWTs exp'!$Z29,IF('[5]actual CWTs exp'!L29/'[5]actual CWTs exp'!$Z29&gt;0,"-     "," "))</f>
        <v xml:space="preserve"> </v>
      </c>
      <c r="M33" s="210" t="str">
        <f>IF('[5]actual CWTs exp'!M29/'[5]actual CWTs exp'!$Z29&gt;0.0005,'[5]actual CWTs exp'!M29/'[5]actual CWTs exp'!$Z29,IF('[5]actual CWTs exp'!M29/'[5]actual CWTs exp'!$Z29&gt;0,"-     "," "))</f>
        <v xml:space="preserve"> </v>
      </c>
      <c r="N33" s="210" t="str">
        <f>IF('[5]actual CWTs exp'!N29/'[5]actual CWTs exp'!$Z29&gt;0.0005,'[5]actual CWTs exp'!N29/'[5]actual CWTs exp'!$Z29,IF('[5]actual CWTs exp'!N29/'[5]actual CWTs exp'!$Z29&gt;0,"-     "," "))</f>
        <v xml:space="preserve"> </v>
      </c>
      <c r="O33" s="416" t="str">
        <f>IF('[5]actual CWTs exp'!O29/'[5]actual CWTs exp'!$Z29&gt;0.0005,'[5]actual CWTs exp'!O29/'[5]actual CWTs exp'!$Z29,IF('[5]actual CWTs exp'!O29/'[5]actual CWTs exp'!$Z29&gt;0,"-     "," "))</f>
        <v xml:space="preserve"> </v>
      </c>
      <c r="P33" s="210" t="str">
        <f>IF('[5]actual CWTs exp'!P29/'[5]actual CWTs exp'!$Z29&gt;0.0005,'[5]actual CWTs exp'!P29/'[5]actual CWTs exp'!$Z29,IF('[5]actual CWTs exp'!P29/'[5]actual CWTs exp'!$Z29&gt;0,"-     "," "))</f>
        <v xml:space="preserve"> </v>
      </c>
      <c r="Q33" s="210" t="str">
        <f>IF('[5]actual CWTs exp'!Q29/'[5]actual CWTs exp'!$Z29&gt;0.0005,'[5]actual CWTs exp'!Q29/'[5]actual CWTs exp'!$Z29,IF('[5]actual CWTs exp'!Q29/'[5]actual CWTs exp'!$Z29&gt;0,"-     "," "))</f>
        <v xml:space="preserve"> </v>
      </c>
      <c r="R33" s="415" t="str">
        <f>IF('[5]actual CWTs exp'!R29/'[5]actual CWTs exp'!$Z29&gt;0.0005,'[5]actual CWTs exp'!R29/'[5]actual CWTs exp'!$Z29,IF('[5]actual CWTs exp'!R29/'[5]actual CWTs exp'!$Z29&gt;0,"-     "," "))</f>
        <v xml:space="preserve"> </v>
      </c>
      <c r="S33" s="210">
        <f>IF('[5]actual CWTs exp'!S29/'[5]actual CWTs exp'!$Z29&gt;0.0005,'[5]actual CWTs exp'!S29/'[5]actual CWTs exp'!$Z29,IF('[5]actual CWTs exp'!S29/'[5]actual CWTs exp'!$Z29&gt;0,"-     "," "))</f>
        <v>7.575757575757576E-2</v>
      </c>
      <c r="T33" s="210" t="str">
        <f>IF('[5]actual CWTs exp'!T29/'[5]actual CWTs exp'!$Z29&gt;0.0005,'[5]actual CWTs exp'!T29/'[5]actual CWTs exp'!$Z29,IF('[5]actual CWTs exp'!T29/'[5]actual CWTs exp'!$Z29&gt;0,"-     "," "))</f>
        <v xml:space="preserve"> </v>
      </c>
      <c r="U33" s="415" t="str">
        <f>IF('[5]actual CWTs exp'!U29/'[5]actual CWTs exp'!$Z29&gt;0.0005,'[5]actual CWTs exp'!U29/'[5]actual CWTs exp'!$Z29,IF('[5]actual CWTs exp'!U29/'[5]actual CWTs exp'!$Z29&gt;0,"-     "," "))</f>
        <v xml:space="preserve"> </v>
      </c>
      <c r="V33" s="210">
        <f>IF('[5]actual CWTs exp'!V29/'[5]actual CWTs exp'!$Z29&gt;0.0005,'[5]actual CWTs exp'!V29/'[5]actual CWTs exp'!$Z29,IF('[5]actual CWTs exp'!V29/'[5]actual CWTs exp'!$Z29&gt;0,"-     "," "))</f>
        <v>1.5151515151515152E-2</v>
      </c>
      <c r="W33" s="417" t="str">
        <f>IF('[5]actual CWTs exp'!W29/'[5]actual CWTs exp'!$Z29&gt;0.0005,'[5]actual CWTs exp'!W29/'[5]actual CWTs exp'!$Z29,IF('[5]actual CWTs exp'!W29/'[5]actual CWTs exp'!$Z29&gt;0,"-     "," "))</f>
        <v xml:space="preserve"> </v>
      </c>
      <c r="X33" s="380">
        <f t="shared" si="2"/>
        <v>9.0909090909090912E-2</v>
      </c>
      <c r="Y33" s="381">
        <f t="shared" si="1"/>
        <v>0.90909090909090906</v>
      </c>
      <c r="Z33" s="382">
        <f>'[5]actual CWTs exp'!Z29</f>
        <v>132</v>
      </c>
      <c r="AC33" s="327"/>
    </row>
    <row r="34" spans="1:29" ht="16.5" customHeight="1" x14ac:dyDescent="0.25">
      <c r="A34" s="397" t="s">
        <v>97</v>
      </c>
      <c r="B34" t="s">
        <v>98</v>
      </c>
      <c r="C34" t="s">
        <v>321</v>
      </c>
      <c r="D34" t="s">
        <v>48</v>
      </c>
      <c r="E34" s="210" t="str">
        <f>IF('[5]actual CWTs exp'!E29/'[5]actual CWTs exp'!$Z29&gt;0.0005,'[5]actual CWTs exp'!E29/'[5]actual CWTs exp'!$Z29,IF('[5]actual CWTs exp'!E29/'[5]actual CWTs exp'!$Z29&gt;0,"-     "," "))</f>
        <v xml:space="preserve"> </v>
      </c>
      <c r="F34" s="415">
        <f>IF('[5]actual CWTs exp'!F30/'[5]actual CWTs exp'!$Z30&gt;0.0005,'[5]actual CWTs exp'!F30/'[5]actual CWTs exp'!$Z30,IF('[5]actual CWTs exp'!F30/'[5]actual CWTs exp'!$Z30&gt;0,"-     "," "))</f>
        <v>1.2481278082875687E-3</v>
      </c>
      <c r="G34" s="210" t="str">
        <f>IF('[5]actual CWTs exp'!G30/'[5]actual CWTs exp'!$Z30&gt;0.0005,'[5]actual CWTs exp'!G30/'[5]actual CWTs exp'!$Z30,IF('[5]actual CWTs exp'!G30/'[5]actual CWTs exp'!$Z30&gt;0,"-     "," "))</f>
        <v xml:space="preserve"> </v>
      </c>
      <c r="H34" s="210">
        <f>IF('[5]actual CWTs exp'!H30/'[5]actual CWTs exp'!$Z30&gt;0.0005,'[5]actual CWTs exp'!H30/'[5]actual CWTs exp'!$Z30,IF('[5]actual CWTs exp'!H30/'[5]actual CWTs exp'!$Z30&gt;0,"-     "," "))</f>
        <v>2.6460309535696454E-2</v>
      </c>
      <c r="I34" s="415" t="str">
        <f>IF('[5]actual CWTs exp'!I30/'[5]actual CWTs exp'!$Z30&gt;0.0005,'[5]actual CWTs exp'!I30/'[5]actual CWTs exp'!$Z30,IF('[5]actual CWTs exp'!I30/'[5]actual CWTs exp'!$Z30&gt;0,"-     "," "))</f>
        <v xml:space="preserve"> </v>
      </c>
      <c r="J34" s="210" t="str">
        <f>IF('[5]actual CWTs exp'!J30/'[5]actual CWTs exp'!$Z30&gt;0.0005,'[5]actual CWTs exp'!J30/'[5]actual CWTs exp'!$Z30,IF('[5]actual CWTs exp'!J30/'[5]actual CWTs exp'!$Z30&gt;0,"-     "," "))</f>
        <v xml:space="preserve"> </v>
      </c>
      <c r="K34" s="210" t="str">
        <f>IF('[5]actual CWTs exp'!K30/'[5]actual CWTs exp'!$Z30&gt;0.0005,'[5]actual CWTs exp'!K30/'[5]actual CWTs exp'!$Z30,IF('[5]actual CWTs exp'!K30/'[5]actual CWTs exp'!$Z30&gt;0,"-     "," "))</f>
        <v xml:space="preserve"> </v>
      </c>
      <c r="L34" s="210">
        <f>IF('[5]actual CWTs exp'!L30/'[5]actual CWTs exp'!$Z30&gt;0.0005,'[5]actual CWTs exp'!L30/'[5]actual CWTs exp'!$Z30,IF('[5]actual CWTs exp'!L30/'[5]actual CWTs exp'!$Z30&gt;0,"-     "," "))</f>
        <v>1.5726410384423364E-2</v>
      </c>
      <c r="M34" s="210" t="str">
        <f>IF('[5]actual CWTs exp'!M30/'[5]actual CWTs exp'!$Z30&gt;0.0005,'[5]actual CWTs exp'!M30/'[5]actual CWTs exp'!$Z30,IF('[5]actual CWTs exp'!M30/'[5]actual CWTs exp'!$Z30&gt;0,"-     "," "))</f>
        <v xml:space="preserve"> </v>
      </c>
      <c r="N34" s="210" t="str">
        <f>IF('[5]actual CWTs exp'!N30/'[5]actual CWTs exp'!$Z30&gt;0.0005,'[5]actual CWTs exp'!N30/'[5]actual CWTs exp'!$Z30,IF('[5]actual CWTs exp'!N30/'[5]actual CWTs exp'!$Z30&gt;0,"-     "," "))</f>
        <v xml:space="preserve"> </v>
      </c>
      <c r="O34" s="416" t="str">
        <f>IF('[5]actual CWTs exp'!O30/'[5]actual CWTs exp'!$Z30&gt;0.0005,'[5]actual CWTs exp'!O30/'[5]actual CWTs exp'!$Z30,IF('[5]actual CWTs exp'!O30/'[5]actual CWTs exp'!$Z30&gt;0,"-     "," "))</f>
        <v xml:space="preserve"> </v>
      </c>
      <c r="P34" s="210" t="str">
        <f>IF('[5]actual CWTs exp'!P30/'[5]actual CWTs exp'!$Z30&gt;0.0005,'[5]actual CWTs exp'!P30/'[5]actual CWTs exp'!$Z30,IF('[5]actual CWTs exp'!P30/'[5]actual CWTs exp'!$Z30&gt;0,"-     "," "))</f>
        <v xml:space="preserve"> </v>
      </c>
      <c r="Q34" s="210">
        <f>IF('[5]actual CWTs exp'!Q30/'[5]actual CWTs exp'!$Z30&gt;0.0005,'[5]actual CWTs exp'!Q30/'[5]actual CWTs exp'!$Z30,IF('[5]actual CWTs exp'!Q30/'[5]actual CWTs exp'!$Z30&gt;0,"-     "," "))</f>
        <v>1.5726410384423364E-2</v>
      </c>
      <c r="R34" s="415">
        <f>IF('[5]actual CWTs exp'!R30/'[5]actual CWTs exp'!$Z30&gt;0.0005,'[5]actual CWTs exp'!R30/'[5]actual CWTs exp'!$Z30,IF('[5]actual CWTs exp'!R30/'[5]actual CWTs exp'!$Z30&gt;0,"-     "," "))</f>
        <v>2.7458811782326512E-3</v>
      </c>
      <c r="S34" s="210">
        <f>IF('[5]actual CWTs exp'!S30/'[5]actual CWTs exp'!$Z30&gt;0.0005,'[5]actual CWTs exp'!S30/'[5]actual CWTs exp'!$Z30,IF('[5]actual CWTs exp'!S30/'[5]actual CWTs exp'!$Z30&gt;0,"-     "," "))</f>
        <v>0.64553170244633051</v>
      </c>
      <c r="T34" s="210">
        <f>IF('[5]actual CWTs exp'!T30/'[5]actual CWTs exp'!$Z30&gt;0.0005,'[5]actual CWTs exp'!T30/'[5]actual CWTs exp'!$Z30,IF('[5]actual CWTs exp'!T30/'[5]actual CWTs exp'!$Z30&gt;0,"-     "," "))</f>
        <v>9.2361457813280087E-3</v>
      </c>
      <c r="U34" s="415" t="str">
        <f>IF('[5]actual CWTs exp'!U30/'[5]actual CWTs exp'!$Z30&gt;0.0005,'[5]actual CWTs exp'!U30/'[5]actual CWTs exp'!$Z30,IF('[5]actual CWTs exp'!U30/'[5]actual CWTs exp'!$Z30&gt;0,"-     "," "))</f>
        <v xml:space="preserve"> </v>
      </c>
      <c r="V34" s="210">
        <f>IF('[5]actual CWTs exp'!V30/'[5]actual CWTs exp'!$Z30&gt;0.0005,'[5]actual CWTs exp'!V30/'[5]actual CWTs exp'!$Z30,IF('[5]actual CWTs exp'!V30/'[5]actual CWTs exp'!$Z30&gt;0,"-     "," "))</f>
        <v>0.1108337493759361</v>
      </c>
      <c r="W34" s="417" t="str">
        <f>IF('[5]actual CWTs exp'!W30/'[5]actual CWTs exp'!$Z30&gt;0.0005,'[5]actual CWTs exp'!W30/'[5]actual CWTs exp'!$Z30,IF('[5]actual CWTs exp'!W30/'[5]actual CWTs exp'!$Z30&gt;0,"-     "," "))</f>
        <v xml:space="preserve"> </v>
      </c>
      <c r="X34" s="380">
        <f t="shared" si="2"/>
        <v>0.82750873689465809</v>
      </c>
      <c r="Y34" s="381">
        <f t="shared" si="1"/>
        <v>0.17249126310534191</v>
      </c>
      <c r="Z34" s="382">
        <f>'[5]actual CWTs exp'!Z30</f>
        <v>4006</v>
      </c>
      <c r="AC34" s="327"/>
    </row>
    <row r="35" spans="1:29" ht="16.5" customHeight="1" x14ac:dyDescent="0.25">
      <c r="A35" s="383" t="s">
        <v>99</v>
      </c>
      <c r="B35" t="s">
        <v>5</v>
      </c>
      <c r="C35" t="s">
        <v>321</v>
      </c>
      <c r="D35" t="s">
        <v>48</v>
      </c>
      <c r="E35" s="210" t="str">
        <f>IF('[5]actual CWTs exp'!E30/'[5]actual CWTs exp'!$Z30&gt;0.0005,'[5]actual CWTs exp'!E30/'[5]actual CWTs exp'!$Z30,IF('[5]actual CWTs exp'!E30/'[5]actual CWTs exp'!$Z30&gt;0,"-     "," "))</f>
        <v xml:space="preserve"> </v>
      </c>
      <c r="F35" s="415" t="str">
        <f>IF('[5]actual CWTs exp'!F31/'[5]actual CWTs exp'!$Z31&gt;0.0005,'[5]actual CWTs exp'!F31/'[5]actual CWTs exp'!$Z31,IF('[5]actual CWTs exp'!F31/'[5]actual CWTs exp'!$Z31&gt;0,"-     "," "))</f>
        <v xml:space="preserve"> </v>
      </c>
      <c r="G35" s="210" t="str">
        <f>IF('[5]actual CWTs exp'!G31/'[5]actual CWTs exp'!$Z31&gt;0.0005,'[5]actual CWTs exp'!G31/'[5]actual CWTs exp'!$Z31,IF('[5]actual CWTs exp'!G31/'[5]actual CWTs exp'!$Z31&gt;0,"-     "," "))</f>
        <v xml:space="preserve"> </v>
      </c>
      <c r="H35" s="210">
        <f>IF('[5]actual CWTs exp'!H31/'[5]actual CWTs exp'!$Z31&gt;0.0005,'[5]actual CWTs exp'!H31/'[5]actual CWTs exp'!$Z31,IF('[5]actual CWTs exp'!H31/'[5]actual CWTs exp'!$Z31&gt;0,"-     "," "))</f>
        <v>3.5759897828863345E-2</v>
      </c>
      <c r="I35" s="415" t="str">
        <f>IF('[5]actual CWTs exp'!I31/'[5]actual CWTs exp'!$Z31&gt;0.0005,'[5]actual CWTs exp'!I31/'[5]actual CWTs exp'!$Z31,IF('[5]actual CWTs exp'!I31/'[5]actual CWTs exp'!$Z31&gt;0,"-     "," "))</f>
        <v xml:space="preserve"> </v>
      </c>
      <c r="J35" s="210" t="str">
        <f>IF('[5]actual CWTs exp'!J31/'[5]actual CWTs exp'!$Z31&gt;0.0005,'[5]actual CWTs exp'!J31/'[5]actual CWTs exp'!$Z31,IF('[5]actual CWTs exp'!J31/'[5]actual CWTs exp'!$Z31&gt;0,"-     "," "))</f>
        <v xml:space="preserve"> </v>
      </c>
      <c r="K35" s="210" t="str">
        <f>IF('[5]actual CWTs exp'!K31/'[5]actual CWTs exp'!$Z31&gt;0.0005,'[5]actual CWTs exp'!K31/'[5]actual CWTs exp'!$Z31,IF('[5]actual CWTs exp'!K31/'[5]actual CWTs exp'!$Z31&gt;0,"-     "," "))</f>
        <v xml:space="preserve"> </v>
      </c>
      <c r="L35" s="210">
        <f>IF('[5]actual CWTs exp'!L31/'[5]actual CWTs exp'!$Z31&gt;0.0005,'[5]actual CWTs exp'!L31/'[5]actual CWTs exp'!$Z31,IF('[5]actual CWTs exp'!L31/'[5]actual CWTs exp'!$Z31&gt;0,"-     "," "))</f>
        <v>2.4265644955300127E-2</v>
      </c>
      <c r="M35" s="210" t="str">
        <f>IF('[5]actual CWTs exp'!M31/'[5]actual CWTs exp'!$Z31&gt;0.0005,'[5]actual CWTs exp'!M31/'[5]actual CWTs exp'!$Z31,IF('[5]actual CWTs exp'!M31/'[5]actual CWTs exp'!$Z31&gt;0,"-     "," "))</f>
        <v xml:space="preserve"> </v>
      </c>
      <c r="N35" s="210" t="str">
        <f>IF('[5]actual CWTs exp'!N31/'[5]actual CWTs exp'!$Z31&gt;0.0005,'[5]actual CWTs exp'!N31/'[5]actual CWTs exp'!$Z31,IF('[5]actual CWTs exp'!N31/'[5]actual CWTs exp'!$Z31&gt;0,"-     "," "))</f>
        <v xml:space="preserve"> </v>
      </c>
      <c r="O35" s="416" t="str">
        <f>IF('[5]actual CWTs exp'!O31/'[5]actual CWTs exp'!$Z31&gt;0.0005,'[5]actual CWTs exp'!O31/'[5]actual CWTs exp'!$Z31,IF('[5]actual CWTs exp'!O31/'[5]actual CWTs exp'!$Z31&gt;0,"-     "," "))</f>
        <v xml:space="preserve"> </v>
      </c>
      <c r="P35" s="210" t="str">
        <f>IF('[5]actual CWTs exp'!P31/'[5]actual CWTs exp'!$Z31&gt;0.0005,'[5]actual CWTs exp'!P31/'[5]actual CWTs exp'!$Z31,IF('[5]actual CWTs exp'!P31/'[5]actual CWTs exp'!$Z31&gt;0,"-     "," "))</f>
        <v xml:space="preserve"> </v>
      </c>
      <c r="Q35" s="210" t="str">
        <f>IF('[5]actual CWTs exp'!Q31/'[5]actual CWTs exp'!$Z31&gt;0.0005,'[5]actual CWTs exp'!Q31/'[5]actual CWTs exp'!$Z31,IF('[5]actual CWTs exp'!Q31/'[5]actual CWTs exp'!$Z31&gt;0,"-     "," "))</f>
        <v xml:space="preserve"> </v>
      </c>
      <c r="R35" s="415" t="str">
        <f>IF('[5]actual CWTs exp'!R31/'[5]actual CWTs exp'!$Z31&gt;0.0005,'[5]actual CWTs exp'!R31/'[5]actual CWTs exp'!$Z31,IF('[5]actual CWTs exp'!R31/'[5]actual CWTs exp'!$Z31&gt;0,"-     "," "))</f>
        <v xml:space="preserve"> </v>
      </c>
      <c r="S35" s="210">
        <f>IF('[5]actual CWTs exp'!S31/'[5]actual CWTs exp'!$Z31&gt;0.0005,'[5]actual CWTs exp'!S31/'[5]actual CWTs exp'!$Z31,IF('[5]actual CWTs exp'!S31/'[5]actual CWTs exp'!$Z31&gt;0,"-     "," "))</f>
        <v>0.21328224776500637</v>
      </c>
      <c r="T35" s="210">
        <f>IF('[5]actual CWTs exp'!T31/'[5]actual CWTs exp'!$Z31&gt;0.0005,'[5]actual CWTs exp'!T31/'[5]actual CWTs exp'!$Z31,IF('[5]actual CWTs exp'!T31/'[5]actual CWTs exp'!$Z31&gt;0,"-     "," "))</f>
        <v>2.554278416347382E-3</v>
      </c>
      <c r="U35" s="415" t="str">
        <f>IF('[5]actual CWTs exp'!U31/'[5]actual CWTs exp'!$Z31&gt;0.0005,'[5]actual CWTs exp'!U31/'[5]actual CWTs exp'!$Z31,IF('[5]actual CWTs exp'!U31/'[5]actual CWTs exp'!$Z31&gt;0,"-     "," "))</f>
        <v xml:space="preserve"> </v>
      </c>
      <c r="V35" s="210">
        <f>IF('[5]actual CWTs exp'!V31/'[5]actual CWTs exp'!$Z31&gt;0.0005,'[5]actual CWTs exp'!V31/'[5]actual CWTs exp'!$Z31,IF('[5]actual CWTs exp'!V31/'[5]actual CWTs exp'!$Z31&gt;0,"-     "," "))</f>
        <v>8.4291187739463605E-2</v>
      </c>
      <c r="W35" s="417" t="str">
        <f>IF('[5]actual CWTs exp'!W31/'[5]actual CWTs exp'!$Z31&gt;0.0005,'[5]actual CWTs exp'!W31/'[5]actual CWTs exp'!$Z31,IF('[5]actual CWTs exp'!W31/'[5]actual CWTs exp'!$Z31&gt;0,"-     "," "))</f>
        <v xml:space="preserve"> </v>
      </c>
      <c r="X35" s="380">
        <f t="shared" si="2"/>
        <v>0.36015325670498083</v>
      </c>
      <c r="Y35" s="381">
        <f t="shared" si="1"/>
        <v>0.63984674329501923</v>
      </c>
      <c r="Z35" s="382">
        <f>'[5]actual CWTs exp'!Z31</f>
        <v>783</v>
      </c>
      <c r="AC35" s="327"/>
    </row>
    <row r="36" spans="1:29" ht="16.5" customHeight="1" x14ac:dyDescent="0.25">
      <c r="A36" s="383" t="s">
        <v>100</v>
      </c>
      <c r="B36"/>
      <c r="C36"/>
      <c r="D36" t="s">
        <v>48</v>
      </c>
      <c r="E36" s="210" t="str">
        <f>IF('[5]actual CWTs exp'!E31/'[5]actual CWTs exp'!$Z31&gt;0.0005,'[5]actual CWTs exp'!E31/'[5]actual CWTs exp'!$Z31,IF('[5]actual CWTs exp'!E31/'[5]actual CWTs exp'!$Z31&gt;0,"-     "," "))</f>
        <v xml:space="preserve"> </v>
      </c>
      <c r="F36" s="415" t="str">
        <f>IF('[5]actual CWTs exp'!F32/'[5]actual CWTs exp'!$Z32&gt;0.0005,'[5]actual CWTs exp'!F32/'[5]actual CWTs exp'!$Z32,IF('[5]actual CWTs exp'!F32/'[5]actual CWTs exp'!$Z32&gt;0,"-     "," "))</f>
        <v xml:space="preserve"> </v>
      </c>
      <c r="G36" s="210" t="str">
        <f>IF('[5]actual CWTs exp'!G32/'[5]actual CWTs exp'!$Z32&gt;0.0005,'[5]actual CWTs exp'!G32/'[5]actual CWTs exp'!$Z32,IF('[5]actual CWTs exp'!G32/'[5]actual CWTs exp'!$Z32&gt;0,"-     "," "))</f>
        <v xml:space="preserve"> </v>
      </c>
      <c r="H36" s="210">
        <f>IF('[5]actual CWTs exp'!H32/'[5]actual CWTs exp'!$Z32&gt;0.0005,'[5]actual CWTs exp'!H32/'[5]actual CWTs exp'!$Z32,IF('[5]actual CWTs exp'!H32/'[5]actual CWTs exp'!$Z32&gt;0,"-     "," "))</f>
        <v>5.1395657953035002E-2</v>
      </c>
      <c r="I36" s="415" t="str">
        <f>IF('[5]actual CWTs exp'!I32/'[5]actual CWTs exp'!$Z32&gt;0.0005,'[5]actual CWTs exp'!I32/'[5]actual CWTs exp'!$Z32,IF('[5]actual CWTs exp'!I32/'[5]actual CWTs exp'!$Z32&gt;0,"-     "," "))</f>
        <v xml:space="preserve"> </v>
      </c>
      <c r="J36" s="210" t="str">
        <f>IF('[5]actual CWTs exp'!J32/'[5]actual CWTs exp'!$Z32&gt;0.0005,'[5]actual CWTs exp'!J32/'[5]actual CWTs exp'!$Z32,IF('[5]actual CWTs exp'!J32/'[5]actual CWTs exp'!$Z32&gt;0,"-     "," "))</f>
        <v xml:space="preserve"> </v>
      </c>
      <c r="K36" s="210" t="str">
        <f>IF('[5]actual CWTs exp'!K32/'[5]actual CWTs exp'!$Z32&gt;0.0005,'[5]actual CWTs exp'!K32/'[5]actual CWTs exp'!$Z32,IF('[5]actual CWTs exp'!K32/'[5]actual CWTs exp'!$Z32&gt;0,"-     "," "))</f>
        <v xml:space="preserve"> </v>
      </c>
      <c r="L36" s="210">
        <f>IF('[5]actual CWTs exp'!L32/'[5]actual CWTs exp'!$Z32&gt;0.0005,'[5]actual CWTs exp'!L32/'[5]actual CWTs exp'!$Z32,IF('[5]actual CWTs exp'!L32/'[5]actual CWTs exp'!$Z32&gt;0,"-     "," "))</f>
        <v>1.7279574656623838E-2</v>
      </c>
      <c r="M36" s="210" t="str">
        <f>IF('[5]actual CWTs exp'!M32/'[5]actual CWTs exp'!$Z32&gt;0.0005,'[5]actual CWTs exp'!M32/'[5]actual CWTs exp'!$Z32,IF('[5]actual CWTs exp'!M32/'[5]actual CWTs exp'!$Z32&gt;0,"-     "," "))</f>
        <v xml:space="preserve"> </v>
      </c>
      <c r="N36" s="210">
        <f>IF('[5]actual CWTs exp'!N32/'[5]actual CWTs exp'!$Z32&gt;0.0005,'[5]actual CWTs exp'!N32/'[5]actual CWTs exp'!$Z32,IF('[5]actual CWTs exp'!N32/'[5]actual CWTs exp'!$Z32&gt;0,"-     "," "))</f>
        <v>2.215330084182543E-3</v>
      </c>
      <c r="O36" s="416" t="str">
        <f>IF('[5]actual CWTs exp'!O32/'[5]actual CWTs exp'!$Z32&gt;0.0005,'[5]actual CWTs exp'!O32/'[5]actual CWTs exp'!$Z32,IF('[5]actual CWTs exp'!O32/'[5]actual CWTs exp'!$Z32&gt;0,"-     "," "))</f>
        <v xml:space="preserve"> </v>
      </c>
      <c r="P36" s="210" t="str">
        <f>IF('[5]actual CWTs exp'!P32/'[5]actual CWTs exp'!$Z32&gt;0.0005,'[5]actual CWTs exp'!P32/'[5]actual CWTs exp'!$Z32,IF('[5]actual CWTs exp'!P32/'[5]actual CWTs exp'!$Z32&gt;0,"-     "," "))</f>
        <v xml:space="preserve"> </v>
      </c>
      <c r="Q36" s="210">
        <f>IF('[5]actual CWTs exp'!Q32/'[5]actual CWTs exp'!$Z32&gt;0.0005,'[5]actual CWTs exp'!Q32/'[5]actual CWTs exp'!$Z32,IF('[5]actual CWTs exp'!Q32/'[5]actual CWTs exp'!$Z32&gt;0,"-     "," "))</f>
        <v>2.5697828976517501E-2</v>
      </c>
      <c r="R36" s="415" t="str">
        <f>IF('[5]actual CWTs exp'!R32/'[5]actual CWTs exp'!$Z32&gt;0.0005,'[5]actual CWTs exp'!R32/'[5]actual CWTs exp'!$Z32,IF('[5]actual CWTs exp'!R32/'[5]actual CWTs exp'!$Z32&gt;0,"-     "," "))</f>
        <v xml:space="preserve"> </v>
      </c>
      <c r="S36" s="210">
        <f>IF('[5]actual CWTs exp'!S32/'[5]actual CWTs exp'!$Z32&gt;0.0005,'[5]actual CWTs exp'!S32/'[5]actual CWTs exp'!$Z32,IF('[5]actual CWTs exp'!S32/'[5]actual CWTs exp'!$Z32&gt;0,"-     "," "))</f>
        <v>0.62383695170580411</v>
      </c>
      <c r="T36" s="210">
        <f>IF('[5]actual CWTs exp'!T32/'[5]actual CWTs exp'!$Z32&gt;0.0005,'[5]actual CWTs exp'!T32/'[5]actual CWTs exp'!$Z32,IF('[5]actual CWTs exp'!T32/'[5]actual CWTs exp'!$Z32&gt;0,"-     "," "))</f>
        <v>8.4182543198936637E-3</v>
      </c>
      <c r="U36" s="415">
        <f>IF('[5]actual CWTs exp'!U32/'[5]actual CWTs exp'!$Z32&gt;0.0005,'[5]actual CWTs exp'!U32/'[5]actual CWTs exp'!$Z32,IF('[5]actual CWTs exp'!U32/'[5]actual CWTs exp'!$Z32&gt;0,"-     "," "))</f>
        <v>4.4306601683650861E-3</v>
      </c>
      <c r="V36" s="210">
        <f>IF('[5]actual CWTs exp'!V32/'[5]actual CWTs exp'!$Z32&gt;0.0005,'[5]actual CWTs exp'!V32/'[5]actual CWTs exp'!$Z32,IF('[5]actual CWTs exp'!V32/'[5]actual CWTs exp'!$Z32&gt;0,"-     "," "))</f>
        <v>0.13912272928666372</v>
      </c>
      <c r="W36" s="417" t="str">
        <f>IF('[5]actual CWTs exp'!W32/'[5]actual CWTs exp'!$Z32&gt;0.0005,'[5]actual CWTs exp'!W32/'[5]actual CWTs exp'!$Z32,IF('[5]actual CWTs exp'!W32/'[5]actual CWTs exp'!$Z32&gt;0,"-     "," "))</f>
        <v xml:space="preserve"> </v>
      </c>
      <c r="X36" s="380">
        <f t="shared" si="2"/>
        <v>0.87239698715108538</v>
      </c>
      <c r="Y36" s="381">
        <f>1-X36</f>
        <v>0.12760301284891462</v>
      </c>
      <c r="Z36" s="382">
        <f>'[5]actual CWTs exp'!Z32</f>
        <v>2257</v>
      </c>
      <c r="AC36" s="327"/>
    </row>
    <row r="37" spans="1:29" ht="18" customHeight="1" x14ac:dyDescent="0.3">
      <c r="A37" s="713" t="s">
        <v>329</v>
      </c>
      <c r="B37" s="714"/>
      <c r="C37" s="714"/>
      <c r="D37" s="714"/>
      <c r="E37" s="420" t="str">
        <f>IF('[5]actual CWTs exp'!E33/'[5]actual CWTs exp'!$Z33&gt;0.0005,'[5]actual CWTs exp'!E33/'[5]actual CWTs exp'!$Z33,IF('[5]actual CWTs exp'!E33/'[5]actual CWTs exp'!$Z33&gt;0,"-     "," "))</f>
        <v xml:space="preserve"> </v>
      </c>
      <c r="F37" s="421" t="str">
        <f>IF('[5]actual CWTs exp'!F33/'[5]actual CWTs exp'!$Z33&gt;0.0005,'[5]actual CWTs exp'!F33/'[5]actual CWTs exp'!$Z33,IF('[5]actual CWTs exp'!F33/'[5]actual CWTs exp'!$Z33&gt;0,"-     "," "))</f>
        <v xml:space="preserve">-     </v>
      </c>
      <c r="G37" s="420">
        <f>IF('[5]actual CWTs exp'!G33/'[5]actual CWTs exp'!$Z33&gt;0.0005,'[5]actual CWTs exp'!G33/'[5]actual CWTs exp'!$Z33,IF('[5]actual CWTs exp'!G33/'[5]actual CWTs exp'!$Z33&gt;0,"-     "," "))</f>
        <v>0.1799368380337906</v>
      </c>
      <c r="H37" s="420">
        <f>IF('[5]actual CWTs exp'!H33/'[5]actual CWTs exp'!$Z33&gt;0.0005,'[5]actual CWTs exp'!H33/'[5]actual CWTs exp'!$Z33,IF('[5]actual CWTs exp'!H33/'[5]actual CWTs exp'!$Z33&gt;0,"-     "," "))</f>
        <v>3.9181333005198611E-2</v>
      </c>
      <c r="I37" s="421">
        <f>IF('[5]actual CWTs exp'!I33/'[5]actual CWTs exp'!$Z33&gt;0.0005,'[5]actual CWTs exp'!I33/'[5]actual CWTs exp'!$Z33,IF('[5]actual CWTs exp'!I33/'[5]actual CWTs exp'!$Z33&gt;0,"-     "," "))</f>
        <v>1.6946207735314009E-2</v>
      </c>
      <c r="J37" s="420">
        <f>IF('[5]actual CWTs exp'!J33/'[5]actual CWTs exp'!$Z33&gt;0.0005,'[5]actual CWTs exp'!J33/'[5]actual CWTs exp'!$Z33,IF('[5]actual CWTs exp'!J33/'[5]actual CWTs exp'!$Z33&gt;0,"-     "," "))</f>
        <v>2.5356173830353268E-2</v>
      </c>
      <c r="K37" s="420" t="str">
        <f>IF('[5]actual CWTs exp'!K33/'[5]actual CWTs exp'!$Z33&gt;0.0005,'[5]actual CWTs exp'!K33/'[5]actual CWTs exp'!$Z33,IF('[5]actual CWTs exp'!K33/'[5]actual CWTs exp'!$Z33&gt;0,"-     "," "))</f>
        <v xml:space="preserve">-     </v>
      </c>
      <c r="L37" s="420">
        <f>IF('[5]actual CWTs exp'!L33/'[5]actual CWTs exp'!$Z33&gt;0.0005,'[5]actual CWTs exp'!L33/'[5]actual CWTs exp'!$Z33,IF('[5]actual CWTs exp'!L33/'[5]actual CWTs exp'!$Z33&gt;0,"-     "," "))</f>
        <v>0.32095555069969423</v>
      </c>
      <c r="M37" s="422" t="str">
        <f>IF('[5]actual CWTs exp'!M33/'[5]actual CWTs exp'!$Z33&gt;0.0005,'[5]actual CWTs exp'!M33/'[5]actual CWTs exp'!$Z33,IF('[5]actual CWTs exp'!M33/'[5]actual CWTs exp'!$Z33&gt;0,"-     "," "))</f>
        <v xml:space="preserve">-     </v>
      </c>
      <c r="N37" s="420">
        <f>IF('[5]actual CWTs exp'!N33/'[5]actual CWTs exp'!$Z33&gt;0.0005,'[5]actual CWTs exp'!N33/'[5]actual CWTs exp'!$Z33,IF('[5]actual CWTs exp'!N33/'[5]actual CWTs exp'!$Z33&gt;0,"-     "," "))</f>
        <v>3.7292826250178396E-3</v>
      </c>
      <c r="O37" s="423">
        <f>IF('[5]actual CWTs exp'!O33/'[5]actual CWTs exp'!$Z33&gt;0.0005,'[5]actual CWTs exp'!O33/'[5]actual CWTs exp'!$Z33,IF('[5]actual CWTs exp'!O33/'[5]actual CWTs exp'!$Z33&gt;0,"-     "," "))</f>
        <v>5.0261546194084027E-4</v>
      </c>
      <c r="P37" s="420">
        <f>IF('[5]actual CWTs exp'!P33/'[5]actual CWTs exp'!$Z33&gt;0.0005,'[5]actual CWTs exp'!P33/'[5]actual CWTs exp'!$Z33,IF('[5]actual CWTs exp'!P33/'[5]actual CWTs exp'!$Z33&gt;0,"-     "," "))</f>
        <v>8.9949552299931124E-2</v>
      </c>
      <c r="Q37" s="420">
        <f>IF('[5]actual CWTs exp'!Q33/'[5]actual CWTs exp'!$Z33&gt;0.0005,'[5]actual CWTs exp'!Q33/'[5]actual CWTs exp'!$Z33,IF('[5]actual CWTs exp'!Q33/'[5]actual CWTs exp'!$Z33&gt;0,"-     "," "))</f>
        <v>4.4658314562817623E-2</v>
      </c>
      <c r="R37" s="421">
        <f>IF('[5]actual CWTs exp'!R33/'[5]actual CWTs exp'!$Z33&gt;0.0005,'[5]actual CWTs exp'!R33/'[5]actual CWTs exp'!$Z33,IF('[5]actual CWTs exp'!R33/'[5]actual CWTs exp'!$Z33&gt;0,"-     "," "))</f>
        <v>6.515385617751634E-4</v>
      </c>
      <c r="S37" s="422">
        <f>IF('[5]actual CWTs exp'!S33/'[5]actual CWTs exp'!$Z33&gt;0.0005,'[5]actual CWTs exp'!S33/'[5]actual CWTs exp'!$Z33,IF('[5]actual CWTs exp'!S33/'[5]actual CWTs exp'!$Z33&gt;0,"-     "," "))</f>
        <v>6.4897711752690712E-2</v>
      </c>
      <c r="T37" s="420">
        <f>IF('[5]actual CWTs exp'!T33/'[5]actual CWTs exp'!$Z33&gt;0.0005,'[5]actual CWTs exp'!T33/'[5]actual CWTs exp'!$Z33,IF('[5]actual CWTs exp'!T33/'[5]actual CWTs exp'!$Z33&gt;0,"-     "," "))</f>
        <v>1.2100001861538748E-3</v>
      </c>
      <c r="U37" s="421" t="str">
        <f>IF('[5]actual CWTs exp'!U33/'[5]actual CWTs exp'!$Z33&gt;0.0005,'[5]actual CWTs exp'!U33/'[5]actual CWTs exp'!$Z33,IF('[5]actual CWTs exp'!U33/'[5]actual CWTs exp'!$Z33&gt;0,"-     "," "))</f>
        <v xml:space="preserve">-     </v>
      </c>
      <c r="V37" s="420">
        <f>IF('[5]actual CWTs exp'!V33/'[5]actual CWTs exp'!$Z33&gt;0.0005,'[5]actual CWTs exp'!V33/'[5]actual CWTs exp'!$Z33,IF('[5]actual CWTs exp'!V33/'[5]actual CWTs exp'!$Z33&gt;0,"-     "," "))</f>
        <v>8.3877467723131819E-3</v>
      </c>
      <c r="W37" s="428" t="str">
        <f>IF('[5]actual CWTs exp'!W33/'[5]actual CWTs exp'!$Z33&gt;0.0005,'[5]actual CWTs exp'!W33/'[5]actual CWTs exp'!$Z33,IF('[5]actual CWTs exp'!W33/'[5]actual CWTs exp'!$Z33&gt;0,"-     "," "))</f>
        <v xml:space="preserve"> </v>
      </c>
      <c r="X37" s="391">
        <f>IF('[5]actual CWTs exp'!X33&gt;0,'[5]actual CWTs exp'!X33/'[5]actual CWTs exp'!$Z33," ")</f>
        <v>0.79661727582254138</v>
      </c>
      <c r="Y37" s="389">
        <f>IF('[5]actual CWTs exp'!Y33&gt;0,'[5]actual CWTs exp'!Y33/'[5]actual CWTs exp'!$Z33," ")</f>
        <v>0.20338272417745862</v>
      </c>
      <c r="Z37" s="392">
        <f>'[5]actual CWTs exp'!Z33</f>
        <v>161157</v>
      </c>
      <c r="AC37" s="327"/>
    </row>
    <row r="38" spans="1:29" ht="16.5" customHeight="1" x14ac:dyDescent="0.25">
      <c r="A38" s="354"/>
      <c r="B38"/>
      <c r="C38"/>
      <c r="D38"/>
      <c r="E38" s="37"/>
      <c r="F38" s="415"/>
      <c r="G38" s="210"/>
      <c r="H38" s="210"/>
      <c r="I38" s="415"/>
      <c r="J38" s="210"/>
      <c r="K38" s="210"/>
      <c r="L38" s="210"/>
      <c r="M38" s="210"/>
      <c r="N38" s="210"/>
      <c r="O38" s="416"/>
      <c r="P38" s="210"/>
      <c r="Q38" s="210"/>
      <c r="R38" s="415"/>
      <c r="S38" s="210"/>
      <c r="T38" s="210"/>
      <c r="U38" s="415"/>
      <c r="V38" s="210"/>
      <c r="W38" s="417"/>
      <c r="X38" s="380"/>
      <c r="Y38" s="381"/>
      <c r="Z38" s="382"/>
    </row>
    <row r="39" spans="1:29" ht="16.5" customHeight="1" x14ac:dyDescent="0.3">
      <c r="A39" s="370" t="s">
        <v>112</v>
      </c>
      <c r="B39"/>
      <c r="C39"/>
      <c r="D39"/>
      <c r="E39" s="37"/>
      <c r="F39" s="426"/>
      <c r="G39" s="210"/>
      <c r="H39" s="210"/>
      <c r="I39" s="415"/>
      <c r="J39" s="210"/>
      <c r="K39" s="210"/>
      <c r="L39" s="210"/>
      <c r="M39" s="210"/>
      <c r="N39" s="210"/>
      <c r="O39" s="416"/>
      <c r="P39" s="210"/>
      <c r="Q39" s="210"/>
      <c r="R39" s="415"/>
      <c r="S39" s="210"/>
      <c r="T39" s="210"/>
      <c r="U39" s="415"/>
      <c r="V39" s="210"/>
      <c r="W39" s="417"/>
      <c r="X39" s="380"/>
      <c r="Y39" s="381"/>
      <c r="Z39" s="382">
        <f>'[5]actual CWTs exp'!Z34</f>
        <v>0</v>
      </c>
    </row>
    <row r="40" spans="1:29" ht="16.5" customHeight="1" x14ac:dyDescent="0.25">
      <c r="A40" s="383" t="s">
        <v>330</v>
      </c>
      <c r="B40" t="s">
        <v>331</v>
      </c>
      <c r="C40" t="s">
        <v>332</v>
      </c>
      <c r="D40" t="s">
        <v>317</v>
      </c>
      <c r="E40" s="210" t="str">
        <f>IF('[5]actual CWTs exp'!E35/'[5]actual CWTs exp'!$Z35&gt;0.0005,'[5]actual CWTs exp'!E35/'[5]actual CWTs exp'!$Z35,IF('[5]actual CWTs exp'!E35/'[5]actual CWTs exp'!$Z35&gt;0,"-     "," "))</f>
        <v xml:space="preserve"> </v>
      </c>
      <c r="F40" s="415">
        <f>IF('[5]actual CWTs exp'!F35/'[5]actual CWTs exp'!$Z35&gt;0.0005,'[5]actual CWTs exp'!F35/'[5]actual CWTs exp'!$Z35,IF('[5]actual CWTs exp'!F35/'[5]actual CWTs exp'!$Z35&gt;0,"-     "," "))</f>
        <v>0.30416666666666664</v>
      </c>
      <c r="G40" s="210" t="str">
        <f>IF('[5]actual CWTs exp'!G35/'[5]actual CWTs exp'!$Z35&gt;0.0005,'[5]actual CWTs exp'!G35/'[5]actual CWTs exp'!$Z35,IF('[5]actual CWTs exp'!G35/'[5]actual CWTs exp'!$Z35&gt;0,"-     "," "))</f>
        <v xml:space="preserve"> </v>
      </c>
      <c r="H40" s="210">
        <f>IF('[5]actual CWTs exp'!H35/'[5]actual CWTs exp'!$Z35&gt;0.0005,'[5]actual CWTs exp'!H35/'[5]actual CWTs exp'!$Z35,IF('[5]actual CWTs exp'!H35/'[5]actual CWTs exp'!$Z35&gt;0,"-     "," "))</f>
        <v>6.25E-2</v>
      </c>
      <c r="I40" s="415" t="str">
        <f>IF('[5]actual CWTs exp'!I35/'[5]actual CWTs exp'!$Z35&gt;0.0005,'[5]actual CWTs exp'!I35/'[5]actual CWTs exp'!$Z35,IF('[5]actual CWTs exp'!I35/'[5]actual CWTs exp'!$Z35&gt;0,"-     "," "))</f>
        <v xml:space="preserve"> </v>
      </c>
      <c r="J40" s="210" t="str">
        <f>IF('[5]actual CWTs exp'!J35/'[5]actual CWTs exp'!$Z35&gt;0.0005,'[5]actual CWTs exp'!J35/'[5]actual CWTs exp'!$Z35,IF('[5]actual CWTs exp'!J35/'[5]actual CWTs exp'!$Z35&gt;0,"-     "," "))</f>
        <v xml:space="preserve"> </v>
      </c>
      <c r="K40" s="210" t="str">
        <f>IF('[5]actual CWTs exp'!K35/'[5]actual CWTs exp'!$Z35&gt;0.0005,'[5]actual CWTs exp'!K35/'[5]actual CWTs exp'!$Z35,IF('[5]actual CWTs exp'!K35/'[5]actual CWTs exp'!$Z35&gt;0,"-     "," "))</f>
        <v xml:space="preserve"> </v>
      </c>
      <c r="L40" s="210" t="str">
        <f>IF('[5]actual CWTs exp'!L35/'[5]actual CWTs exp'!$Z35&gt;0.0005,'[5]actual CWTs exp'!L35/'[5]actual CWTs exp'!$Z35,IF('[5]actual CWTs exp'!L35/'[5]actual CWTs exp'!$Z35&gt;0,"-     "," "))</f>
        <v xml:space="preserve"> </v>
      </c>
      <c r="M40" s="210" t="str">
        <f>IF('[5]actual CWTs exp'!M35/'[5]actual CWTs exp'!$Z35&gt;0.0005,'[5]actual CWTs exp'!M35/'[5]actual CWTs exp'!$Z35,IF('[5]actual CWTs exp'!M35/'[5]actual CWTs exp'!$Z35&gt;0,"-     "," "))</f>
        <v xml:space="preserve"> </v>
      </c>
      <c r="N40" s="210" t="str">
        <f>IF('[5]actual CWTs exp'!N35/'[5]actual CWTs exp'!$Z35&gt;0.0005,'[5]actual CWTs exp'!N35/'[5]actual CWTs exp'!$Z35,IF('[5]actual CWTs exp'!N35/'[5]actual CWTs exp'!$Z35&gt;0,"-     "," "))</f>
        <v xml:space="preserve"> </v>
      </c>
      <c r="O40" s="416" t="str">
        <f>IF('[5]actual CWTs exp'!O35/'[5]actual CWTs exp'!$Z35&gt;0.0005,'[5]actual CWTs exp'!O35/'[5]actual CWTs exp'!$Z35,IF('[5]actual CWTs exp'!O35/'[5]actual CWTs exp'!$Z35&gt;0,"-     "," "))</f>
        <v xml:space="preserve"> </v>
      </c>
      <c r="P40" s="210" t="str">
        <f>IF('[5]actual CWTs exp'!P35/'[5]actual CWTs exp'!$Z35&gt;0.0005,'[5]actual CWTs exp'!P35/'[5]actual CWTs exp'!$Z35,IF('[5]actual CWTs exp'!P35/'[5]actual CWTs exp'!$Z35&gt;0,"-     "," "))</f>
        <v xml:space="preserve"> </v>
      </c>
      <c r="Q40" s="210" t="str">
        <f>IF('[5]actual CWTs exp'!Q35/'[5]actual CWTs exp'!$Z35&gt;0.0005,'[5]actual CWTs exp'!Q35/'[5]actual CWTs exp'!$Z35,IF('[5]actual CWTs exp'!Q35/'[5]actual CWTs exp'!$Z35&gt;0,"-     "," "))</f>
        <v xml:space="preserve"> </v>
      </c>
      <c r="R40" s="415" t="str">
        <f>IF('[5]actual CWTs exp'!R35/'[5]actual CWTs exp'!$Z35&gt;0.0005,'[5]actual CWTs exp'!R35/'[5]actual CWTs exp'!$Z35,IF('[5]actual CWTs exp'!R35/'[5]actual CWTs exp'!$Z35&gt;0,"-     "," "))</f>
        <v xml:space="preserve"> </v>
      </c>
      <c r="S40" s="210" t="str">
        <f>IF('[5]actual CWTs exp'!S35/'[5]actual CWTs exp'!$Z35&gt;0.0005,'[5]actual CWTs exp'!S35/'[5]actual CWTs exp'!$Z35,IF('[5]actual CWTs exp'!S35/'[5]actual CWTs exp'!$Z35&gt;0,"-     "," "))</f>
        <v xml:space="preserve"> </v>
      </c>
      <c r="T40" s="210" t="str">
        <f>IF('[5]actual CWTs exp'!T35/'[5]actual CWTs exp'!$Z35&gt;0.0005,'[5]actual CWTs exp'!T35/'[5]actual CWTs exp'!$Z35,IF('[5]actual CWTs exp'!T35/'[5]actual CWTs exp'!$Z35&gt;0,"-     "," "))</f>
        <v xml:space="preserve"> </v>
      </c>
      <c r="U40" s="415" t="str">
        <f>IF('[5]actual CWTs exp'!U35/'[5]actual CWTs exp'!$Z35&gt;0.0005,'[5]actual CWTs exp'!U35/'[5]actual CWTs exp'!$Z35,IF('[5]actual CWTs exp'!U35/'[5]actual CWTs exp'!$Z35&gt;0,"-     "," "))</f>
        <v xml:space="preserve"> </v>
      </c>
      <c r="V40" s="210" t="str">
        <f>IF('[5]actual CWTs exp'!V35/'[5]actual CWTs exp'!$Z35&gt;0.0005,'[5]actual CWTs exp'!V35/'[5]actual CWTs exp'!$Z35,IF('[5]actual CWTs exp'!V35/'[5]actual CWTs exp'!$Z35&gt;0,"-     "," "))</f>
        <v xml:space="preserve"> </v>
      </c>
      <c r="W40" s="417" t="str">
        <f>IF('[5]actual CWTs exp'!W35/'[5]actual CWTs exp'!$Z35&gt;0.0005,'[5]actual CWTs exp'!W35/'[5]actual CWTs exp'!$Z35,IF('[5]actual CWTs exp'!W35/'[5]actual CWTs exp'!$Z35&gt;0,"-     "," "))</f>
        <v xml:space="preserve"> </v>
      </c>
      <c r="X40" s="380">
        <f t="shared" ref="X40:X45" si="3">SUM(E40:W40)</f>
        <v>0.36666666666666664</v>
      </c>
      <c r="Y40" s="381">
        <f>1-X40</f>
        <v>0.6333333333333333</v>
      </c>
      <c r="Z40" s="382">
        <f>'[5]actual CWTs exp'!Z35</f>
        <v>720</v>
      </c>
    </row>
    <row r="41" spans="1:29" ht="16.5" customHeight="1" x14ac:dyDescent="0.25">
      <c r="A41" s="383" t="s">
        <v>333</v>
      </c>
      <c r="B41" t="s">
        <v>331</v>
      </c>
      <c r="C41" t="s">
        <v>332</v>
      </c>
      <c r="D41" t="s">
        <v>48</v>
      </c>
      <c r="E41" s="210" t="str">
        <f>IF('[5]actual CWTs exp'!E36/'[5]actual CWTs exp'!$Z36&gt;0.0005,'[5]actual CWTs exp'!E36/'[5]actual CWTs exp'!$Z36,IF('[5]actual CWTs exp'!E36/'[5]actual CWTs exp'!$Z36&gt;0,"-     "," "))</f>
        <v xml:space="preserve"> </v>
      </c>
      <c r="F41" s="415">
        <f>IF('[5]actual CWTs exp'!F36/'[5]actual CWTs exp'!$Z36&gt;0.0005,'[5]actual CWTs exp'!F36/'[5]actual CWTs exp'!$Z36,IF('[5]actual CWTs exp'!F36/'[5]actual CWTs exp'!$Z36&gt;0,"-     "," "))</f>
        <v>5.4848188050930465E-4</v>
      </c>
      <c r="G41" s="210">
        <f>IF('[5]actual CWTs exp'!G36/'[5]actual CWTs exp'!$Z36&gt;0.0005,'[5]actual CWTs exp'!G36/'[5]actual CWTs exp'!$Z36,IF('[5]actual CWTs exp'!G36/'[5]actual CWTs exp'!$Z36&gt;0,"-     "," "))</f>
        <v>0.63905974534769838</v>
      </c>
      <c r="H41" s="210">
        <f>IF('[5]actual CWTs exp'!H36/'[5]actual CWTs exp'!$Z36&gt;0.0005,'[5]actual CWTs exp'!H36/'[5]actual CWTs exp'!$Z36,IF('[5]actual CWTs exp'!H36/'[5]actual CWTs exp'!$Z36&gt;0,"-     "," "))</f>
        <v>1.484818805093046E-2</v>
      </c>
      <c r="I41" s="415" t="str">
        <f>IF('[5]actual CWTs exp'!I36/'[5]actual CWTs exp'!$Z36&gt;0.0005,'[5]actual CWTs exp'!I36/'[5]actual CWTs exp'!$Z36,IF('[5]actual CWTs exp'!I36/'[5]actual CWTs exp'!$Z36&gt;0,"-     "," "))</f>
        <v xml:space="preserve"> </v>
      </c>
      <c r="J41" s="210">
        <f>IF('[5]actual CWTs exp'!J36/'[5]actual CWTs exp'!$Z36&gt;0.0005,'[5]actual CWTs exp'!J36/'[5]actual CWTs exp'!$Z36,IF('[5]actual CWTs exp'!J36/'[5]actual CWTs exp'!$Z36&gt;0,"-     "," "))</f>
        <v>1.6454456415279138E-3</v>
      </c>
      <c r="K41" s="210" t="str">
        <f>IF('[5]actual CWTs exp'!K36/'[5]actual CWTs exp'!$Z36&gt;0.0005,'[5]actual CWTs exp'!K36/'[5]actual CWTs exp'!$Z36,IF('[5]actual CWTs exp'!K36/'[5]actual CWTs exp'!$Z36&gt;0,"-     "," "))</f>
        <v xml:space="preserve"> </v>
      </c>
      <c r="L41" s="210">
        <f>IF('[5]actual CWTs exp'!L36/'[5]actual CWTs exp'!$Z36&gt;0.0005,'[5]actual CWTs exp'!L36/'[5]actual CWTs exp'!$Z36,IF('[5]actual CWTs exp'!L36/'[5]actual CWTs exp'!$Z36&gt;0,"-     "," "))</f>
        <v>3.396669931439765E-2</v>
      </c>
      <c r="M41" s="210" t="str">
        <f>IF('[5]actual CWTs exp'!M36/'[5]actual CWTs exp'!$Z36&gt;0.0005,'[5]actual CWTs exp'!M36/'[5]actual CWTs exp'!$Z36,IF('[5]actual CWTs exp'!M36/'[5]actual CWTs exp'!$Z36&gt;0,"-     "," "))</f>
        <v xml:space="preserve"> </v>
      </c>
      <c r="N41" s="210">
        <f>IF('[5]actual CWTs exp'!N36/'[5]actual CWTs exp'!$Z36&gt;0.0005,'[5]actual CWTs exp'!N36/'[5]actual CWTs exp'!$Z36,IF('[5]actual CWTs exp'!N36/'[5]actual CWTs exp'!$Z36&gt;0,"-     "," "))</f>
        <v>5.4848188050930465E-4</v>
      </c>
      <c r="O41" s="416" t="str">
        <f>IF('[5]actual CWTs exp'!O36/'[5]actual CWTs exp'!$Z36&gt;0.0005,'[5]actual CWTs exp'!O36/'[5]actual CWTs exp'!$Z36,IF('[5]actual CWTs exp'!O36/'[5]actual CWTs exp'!$Z36&gt;0,"-     "," "))</f>
        <v xml:space="preserve"> </v>
      </c>
      <c r="P41" s="210" t="str">
        <f>IF('[5]actual CWTs exp'!P36/'[5]actual CWTs exp'!$Z36&gt;0.0005,'[5]actual CWTs exp'!P36/'[5]actual CWTs exp'!$Z36,IF('[5]actual CWTs exp'!P36/'[5]actual CWTs exp'!$Z36&gt;0,"-     "," "))</f>
        <v xml:space="preserve"> </v>
      </c>
      <c r="Q41" s="210" t="str">
        <f>IF('[5]actual CWTs exp'!Q36/'[5]actual CWTs exp'!$Z36&gt;0.0005,'[5]actual CWTs exp'!Q36/'[5]actual CWTs exp'!$Z36,IF('[5]actual CWTs exp'!Q36/'[5]actual CWTs exp'!$Z36&gt;0,"-     "," "))</f>
        <v xml:space="preserve"> </v>
      </c>
      <c r="R41" s="415" t="str">
        <f>IF('[5]actual CWTs exp'!R36/'[5]actual CWTs exp'!$Z36&gt;0.0005,'[5]actual CWTs exp'!R36/'[5]actual CWTs exp'!$Z36,IF('[5]actual CWTs exp'!R36/'[5]actual CWTs exp'!$Z36&gt;0,"-     "," "))</f>
        <v xml:space="preserve"> </v>
      </c>
      <c r="S41" s="210">
        <f>IF('[5]actual CWTs exp'!S36/'[5]actual CWTs exp'!$Z36&gt;0.0005,'[5]actual CWTs exp'!S36/'[5]actual CWTs exp'!$Z36,IF('[5]actual CWTs exp'!S36/'[5]actual CWTs exp'!$Z36&gt;0,"-     "," "))</f>
        <v>5.4848188050930465E-4</v>
      </c>
      <c r="T41" s="210" t="str">
        <f>IF('[5]actual CWTs exp'!T36/'[5]actual CWTs exp'!$Z36&gt;0.0005,'[5]actual CWTs exp'!T36/'[5]actual CWTs exp'!$Z36,IF('[5]actual CWTs exp'!T36/'[5]actual CWTs exp'!$Z36&gt;0,"-     "," "))</f>
        <v xml:space="preserve"> </v>
      </c>
      <c r="U41" s="415" t="str">
        <f>IF('[5]actual CWTs exp'!U36/'[5]actual CWTs exp'!$Z36&gt;0.0005,'[5]actual CWTs exp'!U36/'[5]actual CWTs exp'!$Z36,IF('[5]actual CWTs exp'!U36/'[5]actual CWTs exp'!$Z36&gt;0,"-     "," "))</f>
        <v xml:space="preserve"> </v>
      </c>
      <c r="V41" s="210" t="str">
        <f>IF('[5]actual CWTs exp'!V36/'[5]actual CWTs exp'!$Z36&gt;0.0005,'[5]actual CWTs exp'!V36/'[5]actual CWTs exp'!$Z36,IF('[5]actual CWTs exp'!V36/'[5]actual CWTs exp'!$Z36&gt;0,"-     "," "))</f>
        <v xml:space="preserve"> </v>
      </c>
      <c r="W41" s="417" t="str">
        <f>IF('[5]actual CWTs exp'!W36/'[5]actual CWTs exp'!$Z36&gt;0.0005,'[5]actual CWTs exp'!W36/'[5]actual CWTs exp'!$Z36,IF('[5]actual CWTs exp'!W36/'[5]actual CWTs exp'!$Z36&gt;0,"-     "," "))</f>
        <v xml:space="preserve"> </v>
      </c>
      <c r="X41" s="380">
        <f t="shared" si="3"/>
        <v>0.69116552399608222</v>
      </c>
      <c r="Y41" s="381">
        <f t="shared" si="1"/>
        <v>0.30883447600391778</v>
      </c>
      <c r="Z41" s="382">
        <f>'[5]actual CWTs exp'!Z36</f>
        <v>25525</v>
      </c>
    </row>
    <row r="42" spans="1:29" ht="16.5" customHeight="1" x14ac:dyDescent="0.25">
      <c r="A42" s="383" t="s">
        <v>334</v>
      </c>
      <c r="B42" t="s">
        <v>335</v>
      </c>
      <c r="C42" t="s">
        <v>332</v>
      </c>
      <c r="D42" t="s">
        <v>48</v>
      </c>
      <c r="E42" s="210" t="str">
        <f>IF('[5]actual CWTs exp'!E37/'[5]actual CWTs exp'!$Z37&gt;0.0005,'[5]actual CWTs exp'!E37/'[5]actual CWTs exp'!$Z37,IF('[5]actual CWTs exp'!E37/'[5]actual CWTs exp'!$Z37&gt;0,"-     "," "))</f>
        <v xml:space="preserve"> </v>
      </c>
      <c r="F42" s="415">
        <f>IF('[5]actual CWTs exp'!F37/'[5]actual CWTs exp'!$Z37&gt;0.0005,'[5]actual CWTs exp'!F37/'[5]actual CWTs exp'!$Z37,IF('[5]actual CWTs exp'!F37/'[5]actual CWTs exp'!$Z37&gt;0,"-     "," "))</f>
        <v>1.135446104158256E-2</v>
      </c>
      <c r="G42" s="210">
        <f>IF('[5]actual CWTs exp'!G37/'[5]actual CWTs exp'!$Z37&gt;0.0005,'[5]actual CWTs exp'!G37/'[5]actual CWTs exp'!$Z37,IF('[5]actual CWTs exp'!G37/'[5]actual CWTs exp'!$Z37&gt;0,"-     "," "))</f>
        <v>5.1170771094065405E-2</v>
      </c>
      <c r="H42" s="210">
        <f>IF('[5]actual CWTs exp'!H37/'[5]actual CWTs exp'!$Z37&gt;0.0005,'[5]actual CWTs exp'!H37/'[5]actual CWTs exp'!$Z37,IF('[5]actual CWTs exp'!H37/'[5]actual CWTs exp'!$Z37&gt;0,"-     "," "))</f>
        <v>5.7478805006055712E-2</v>
      </c>
      <c r="I42" s="415" t="str">
        <f>IF('[5]actual CWTs exp'!I37/'[5]actual CWTs exp'!$Z37&gt;0.0005,'[5]actual CWTs exp'!I37/'[5]actual CWTs exp'!$Z37,IF('[5]actual CWTs exp'!I37/'[5]actual CWTs exp'!$Z37&gt;0,"-     "," "))</f>
        <v xml:space="preserve"> </v>
      </c>
      <c r="J42" s="210">
        <f>IF('[5]actual CWTs exp'!J37/'[5]actual CWTs exp'!$Z37&gt;0.0005,'[5]actual CWTs exp'!J37/'[5]actual CWTs exp'!$Z37,IF('[5]actual CWTs exp'!J37/'[5]actual CWTs exp'!$Z37&gt;0,"-     "," "))</f>
        <v>1.6148566814695195E-3</v>
      </c>
      <c r="K42" s="210" t="str">
        <f>IF('[5]actual CWTs exp'!K37/'[5]actual CWTs exp'!$Z37&gt;0.0005,'[5]actual CWTs exp'!K37/'[5]actual CWTs exp'!$Z37,IF('[5]actual CWTs exp'!K37/'[5]actual CWTs exp'!$Z37&gt;0,"-     "," "))</f>
        <v xml:space="preserve"> </v>
      </c>
      <c r="L42" s="210">
        <f>IF('[5]actual CWTs exp'!L37/'[5]actual CWTs exp'!$Z37&gt;0.0005,'[5]actual CWTs exp'!L37/'[5]actual CWTs exp'!$Z37,IF('[5]actual CWTs exp'!L37/'[5]actual CWTs exp'!$Z37&gt;0,"-     "," "))</f>
        <v>0.24333871618893824</v>
      </c>
      <c r="M42" s="210" t="str">
        <f>IF('[5]actual CWTs exp'!M37/'[5]actual CWTs exp'!$Z37&gt;0.0005,'[5]actual CWTs exp'!M37/'[5]actual CWTs exp'!$Z37,IF('[5]actual CWTs exp'!M37/'[5]actual CWTs exp'!$Z37&gt;0,"-     "," "))</f>
        <v xml:space="preserve"> </v>
      </c>
      <c r="N42" s="210">
        <f>IF('[5]actual CWTs exp'!N37/'[5]actual CWTs exp'!$Z37&gt;0.0005,'[5]actual CWTs exp'!N37/'[5]actual CWTs exp'!$Z37,IF('[5]actual CWTs exp'!N37/'[5]actual CWTs exp'!$Z37&gt;0,"-     "," "))</f>
        <v>1.6148566814695195E-3</v>
      </c>
      <c r="O42" s="416" t="str">
        <f>IF('[5]actual CWTs exp'!O37/'[5]actual CWTs exp'!$Z37&gt;0.0005,'[5]actual CWTs exp'!O37/'[5]actual CWTs exp'!$Z37,IF('[5]actual CWTs exp'!O37/'[5]actual CWTs exp'!$Z37&gt;0,"-     "," "))</f>
        <v xml:space="preserve"> </v>
      </c>
      <c r="P42" s="210">
        <f>IF('[5]actual CWTs exp'!P37/'[5]actual CWTs exp'!$Z37&gt;0.0005,'[5]actual CWTs exp'!P37/'[5]actual CWTs exp'!$Z37,IF('[5]actual CWTs exp'!P37/'[5]actual CWTs exp'!$Z37&gt;0,"-     "," "))</f>
        <v>0.18727291077916836</v>
      </c>
      <c r="Q42" s="210">
        <f>IF('[5]actual CWTs exp'!Q37/'[5]actual CWTs exp'!$Z37&gt;0.0005,'[5]actual CWTs exp'!Q37/'[5]actual CWTs exp'!$Z37,IF('[5]actual CWTs exp'!Q37/'[5]actual CWTs exp'!$Z37&gt;0,"-     "," "))</f>
        <v>0.1620407751312071</v>
      </c>
      <c r="R42" s="415" t="str">
        <f>IF('[5]actual CWTs exp'!R37/'[5]actual CWTs exp'!$Z37&gt;0.0005,'[5]actual CWTs exp'!R37/'[5]actual CWTs exp'!$Z37,IF('[5]actual CWTs exp'!R37/'[5]actual CWTs exp'!$Z37&gt;0,"-     "," "))</f>
        <v xml:space="preserve"> </v>
      </c>
      <c r="S42" s="210">
        <f>IF('[5]actual CWTs exp'!S37/'[5]actual CWTs exp'!$Z37&gt;0.0005,'[5]actual CWTs exp'!S37/'[5]actual CWTs exp'!$Z37,IF('[5]actual CWTs exp'!S37/'[5]actual CWTs exp'!$Z37&gt;0,"-     "," "))</f>
        <v>0.10536939846588615</v>
      </c>
      <c r="T42" s="210" t="str">
        <f>IF('[5]actual CWTs exp'!T37/'[5]actual CWTs exp'!$Z37&gt;0.0005,'[5]actual CWTs exp'!T37/'[5]actual CWTs exp'!$Z37,IF('[5]actual CWTs exp'!T37/'[5]actual CWTs exp'!$Z37&gt;0,"-     "," "))</f>
        <v xml:space="preserve"> </v>
      </c>
      <c r="U42" s="415" t="str">
        <f>IF('[5]actual CWTs exp'!U37/'[5]actual CWTs exp'!$Z37&gt;0.0005,'[5]actual CWTs exp'!U37/'[5]actual CWTs exp'!$Z37,IF('[5]actual CWTs exp'!U37/'[5]actual CWTs exp'!$Z37&gt;0,"-     "," "))</f>
        <v xml:space="preserve"> </v>
      </c>
      <c r="V42" s="210">
        <f>IF('[5]actual CWTs exp'!V37/'[5]actual CWTs exp'!$Z37&gt;0.0005,'[5]actual CWTs exp'!V37/'[5]actual CWTs exp'!$Z37,IF('[5]actual CWTs exp'!V37/'[5]actual CWTs exp'!$Z37&gt;0,"-     "," "))</f>
        <v>2.0236172789664917E-2</v>
      </c>
      <c r="W42" s="417" t="str">
        <f>IF('[5]actual CWTs exp'!W37/'[5]actual CWTs exp'!$Z37&gt;0.0005,'[5]actual CWTs exp'!W37/'[5]actual CWTs exp'!$Z37,IF('[5]actual CWTs exp'!W37/'[5]actual CWTs exp'!$Z37&gt;0,"-     "," "))</f>
        <v xml:space="preserve"> </v>
      </c>
      <c r="X42" s="380">
        <f t="shared" si="3"/>
        <v>0.84149172385950755</v>
      </c>
      <c r="Y42" s="381">
        <f t="shared" si="1"/>
        <v>0.15850827614049245</v>
      </c>
      <c r="Z42" s="382">
        <f>'[5]actual CWTs exp'!Z37</f>
        <v>19816</v>
      </c>
    </row>
    <row r="43" spans="1:29" ht="16.5" customHeight="1" x14ac:dyDescent="0.25">
      <c r="A43" s="383" t="s">
        <v>336</v>
      </c>
      <c r="B43" t="s">
        <v>80</v>
      </c>
      <c r="C43" t="s">
        <v>332</v>
      </c>
      <c r="D43" t="s">
        <v>48</v>
      </c>
      <c r="E43" s="210" t="str">
        <f>IF('[5]actual CWTs exp'!E38/'[5]actual CWTs exp'!$Z38&gt;0.0005,'[5]actual CWTs exp'!E38/'[5]actual CWTs exp'!$Z38,IF('[5]actual CWTs exp'!E38/'[5]actual CWTs exp'!$Z38&gt;0,"-     "," "))</f>
        <v xml:space="preserve"> </v>
      </c>
      <c r="F43" s="415" t="str">
        <f>IF('[5]actual CWTs exp'!F38/'[5]actual CWTs exp'!$Z38&gt;0.0005,'[5]actual CWTs exp'!F38/'[5]actual CWTs exp'!$Z38,IF('[5]actual CWTs exp'!F38/'[5]actual CWTs exp'!$Z38&gt;0,"-     "," "))</f>
        <v xml:space="preserve"> </v>
      </c>
      <c r="G43" s="210" t="str">
        <f>IF('[5]actual CWTs exp'!G38/'[5]actual CWTs exp'!$Z38&gt;0.0005,'[5]actual CWTs exp'!G38/'[5]actual CWTs exp'!$Z38,IF('[5]actual CWTs exp'!G38/'[5]actual CWTs exp'!$Z38&gt;0,"-     "," "))</f>
        <v xml:space="preserve"> </v>
      </c>
      <c r="H43" s="210">
        <f>IF('[5]actual CWTs exp'!H38/'[5]actual CWTs exp'!$Z38&gt;0.0005,'[5]actual CWTs exp'!H38/'[5]actual CWTs exp'!$Z38,IF('[5]actual CWTs exp'!H38/'[5]actual CWTs exp'!$Z38&gt;0,"-     "," "))</f>
        <v>4.370075542198034E-2</v>
      </c>
      <c r="I43" s="415">
        <f>IF('[5]actual CWTs exp'!I38/'[5]actual CWTs exp'!$Z38&gt;0.0005,'[5]actual CWTs exp'!I38/'[5]actual CWTs exp'!$Z38,IF('[5]actual CWTs exp'!I38/'[5]actual CWTs exp'!$Z38&gt;0,"-     "," "))</f>
        <v>9.4224677118024524E-3</v>
      </c>
      <c r="J43" s="210">
        <f>IF('[5]actual CWTs exp'!J38/'[5]actual CWTs exp'!$Z38&gt;0.0005,'[5]actual CWTs exp'!J38/'[5]actual CWTs exp'!$Z38,IF('[5]actual CWTs exp'!J38/'[5]actual CWTs exp'!$Z38&gt;0,"-     "," "))</f>
        <v>1.2752822678905044E-2</v>
      </c>
      <c r="K43" s="210" t="str">
        <f>IF('[5]actual CWTs exp'!K38/'[5]actual CWTs exp'!$Z38&gt;0.0005,'[5]actual CWTs exp'!K38/'[5]actual CWTs exp'!$Z38,IF('[5]actual CWTs exp'!K38/'[5]actual CWTs exp'!$Z38&gt;0,"-     "," "))</f>
        <v xml:space="preserve"> </v>
      </c>
      <c r="L43" s="210">
        <f>IF('[5]actual CWTs exp'!L38/'[5]actual CWTs exp'!$Z38&gt;0.0005,'[5]actual CWTs exp'!L38/'[5]actual CWTs exp'!$Z38,IF('[5]actual CWTs exp'!L38/'[5]actual CWTs exp'!$Z38&gt;0,"-     "," "))</f>
        <v>0.71570140524733983</v>
      </c>
      <c r="M43" s="210" t="str">
        <f>IF('[5]actual CWTs exp'!M38/'[5]actual CWTs exp'!$Z38&gt;0.0005,'[5]actual CWTs exp'!M38/'[5]actual CWTs exp'!$Z38,IF('[5]actual CWTs exp'!M38/'[5]actual CWTs exp'!$Z38&gt;0,"-     "," "))</f>
        <v xml:space="preserve"> </v>
      </c>
      <c r="N43" s="210">
        <f>IF('[5]actual CWTs exp'!N38/'[5]actual CWTs exp'!$Z38&gt;0.0005,'[5]actual CWTs exp'!N38/'[5]actual CWTs exp'!$Z38,IF('[5]actual CWTs exp'!N38/'[5]actual CWTs exp'!$Z38&gt;0,"-     "," "))</f>
        <v>7.9603606530744865E-3</v>
      </c>
      <c r="O43" s="416" t="str">
        <f>IF('[5]actual CWTs exp'!O38/'[5]actual CWTs exp'!$Z38&gt;0.0005,'[5]actual CWTs exp'!O38/'[5]actual CWTs exp'!$Z38,IF('[5]actual CWTs exp'!O38/'[5]actual CWTs exp'!$Z38&gt;0,"-     "," "))</f>
        <v xml:space="preserve"> </v>
      </c>
      <c r="P43" s="210" t="str">
        <f>IF('[5]actual CWTs exp'!P38/'[5]actual CWTs exp'!$Z38&gt;0.0005,'[5]actual CWTs exp'!P38/'[5]actual CWTs exp'!$Z38,IF('[5]actual CWTs exp'!P38/'[5]actual CWTs exp'!$Z38&gt;0,"-     "," "))</f>
        <v xml:space="preserve"> </v>
      </c>
      <c r="Q43" s="210" t="str">
        <f>IF('[5]actual CWTs exp'!Q38/'[5]actual CWTs exp'!$Z38&gt;0.0005,'[5]actual CWTs exp'!Q38/'[5]actual CWTs exp'!$Z38,IF('[5]actual CWTs exp'!Q38/'[5]actual CWTs exp'!$Z38&gt;0,"-     "," "))</f>
        <v xml:space="preserve"> </v>
      </c>
      <c r="R43" s="415" t="str">
        <f>IF('[5]actual CWTs exp'!R38/'[5]actual CWTs exp'!$Z38&gt;0.0005,'[5]actual CWTs exp'!R38/'[5]actual CWTs exp'!$Z38,IF('[5]actual CWTs exp'!R38/'[5]actual CWTs exp'!$Z38&gt;0,"-     "," "))</f>
        <v xml:space="preserve"> </v>
      </c>
      <c r="S43" s="210">
        <f>IF('[5]actual CWTs exp'!S38/'[5]actual CWTs exp'!$Z38&gt;0.0005,'[5]actual CWTs exp'!S38/'[5]actual CWTs exp'!$Z38,IF('[5]actual CWTs exp'!S38/'[5]actual CWTs exp'!$Z38&gt;0,"-     "," "))</f>
        <v>1.5433352286572985E-3</v>
      </c>
      <c r="T43" s="210" t="str">
        <f>IF('[5]actual CWTs exp'!T38/'[5]actual CWTs exp'!$Z38&gt;0.0005,'[5]actual CWTs exp'!T38/'[5]actual CWTs exp'!$Z38,IF('[5]actual CWTs exp'!T38/'[5]actual CWTs exp'!$Z38&gt;0,"-     "," "))</f>
        <v xml:space="preserve"> </v>
      </c>
      <c r="U43" s="415" t="str">
        <f>IF('[5]actual CWTs exp'!U38/'[5]actual CWTs exp'!$Z38&gt;0.0005,'[5]actual CWTs exp'!U38/'[5]actual CWTs exp'!$Z38,IF('[5]actual CWTs exp'!U38/'[5]actual CWTs exp'!$Z38&gt;0,"-     "," "))</f>
        <v xml:space="preserve"> </v>
      </c>
      <c r="V43" s="210">
        <f>IF('[5]actual CWTs exp'!V38/'[5]actual CWTs exp'!$Z38&gt;0.0005,'[5]actual CWTs exp'!V38/'[5]actual CWTs exp'!$Z38,IF('[5]actual CWTs exp'!V38/'[5]actual CWTs exp'!$Z38&gt;0,"-     "," "))</f>
        <v>1.7057915685159614E-3</v>
      </c>
      <c r="W43" s="417" t="str">
        <f>IF('[5]actual CWTs exp'!W38/'[5]actual CWTs exp'!$Z38&gt;0.0005,'[5]actual CWTs exp'!W38/'[5]actual CWTs exp'!$Z38,IF('[5]actual CWTs exp'!W38/'[5]actual CWTs exp'!$Z38&gt;0,"-     "," "))</f>
        <v xml:space="preserve"> </v>
      </c>
      <c r="X43" s="380">
        <f t="shared" si="3"/>
        <v>0.79278693851027537</v>
      </c>
      <c r="Y43" s="381">
        <f t="shared" si="1"/>
        <v>0.20721306148972463</v>
      </c>
      <c r="Z43" s="382">
        <f>'[5]actual CWTs exp'!Z38</f>
        <v>12311</v>
      </c>
    </row>
    <row r="44" spans="1:29" ht="16.5" customHeight="1" x14ac:dyDescent="0.25">
      <c r="A44" s="383" t="s">
        <v>337</v>
      </c>
      <c r="B44" t="s">
        <v>118</v>
      </c>
      <c r="C44" t="s">
        <v>332</v>
      </c>
      <c r="D44" t="s">
        <v>48</v>
      </c>
      <c r="E44" s="210" t="str">
        <f>IF('[5]actual CWTs exp'!E39/'[5]actual CWTs exp'!$Z39&gt;0.0005,'[5]actual CWTs exp'!E39/'[5]actual CWTs exp'!$Z39,IF('[5]actual CWTs exp'!E39/'[5]actual CWTs exp'!$Z39&gt;0,"-     "," "))</f>
        <v xml:space="preserve"> </v>
      </c>
      <c r="F44" s="415" t="str">
        <f>IF('[5]actual CWTs exp'!F39/'[5]actual CWTs exp'!$Z39&gt;0.0005,'[5]actual CWTs exp'!F39/'[5]actual CWTs exp'!$Z39,IF('[5]actual CWTs exp'!F39/'[5]actual CWTs exp'!$Z39&gt;0,"-     "," "))</f>
        <v xml:space="preserve"> </v>
      </c>
      <c r="G44" s="210" t="str">
        <f>IF('[5]actual CWTs exp'!G39/'[5]actual CWTs exp'!$Z39&gt;0.0005,'[5]actual CWTs exp'!G39/'[5]actual CWTs exp'!$Z39,IF('[5]actual CWTs exp'!G39/'[5]actual CWTs exp'!$Z39&gt;0,"-     "," "))</f>
        <v xml:space="preserve"> </v>
      </c>
      <c r="H44" s="210">
        <f>IF('[5]actual CWTs exp'!H39/'[5]actual CWTs exp'!$Z39&gt;0.0005,'[5]actual CWTs exp'!H39/'[5]actual CWTs exp'!$Z39,IF('[5]actual CWTs exp'!H39/'[5]actual CWTs exp'!$Z39&gt;0,"-     "," "))</f>
        <v>9.0438399185163179E-2</v>
      </c>
      <c r="I44" s="415">
        <f>IF('[5]actual CWTs exp'!I39/'[5]actual CWTs exp'!$Z39&gt;0.0005,'[5]actual CWTs exp'!I39/'[5]actual CWTs exp'!$Z39,IF('[5]actual CWTs exp'!I39/'[5]actual CWTs exp'!$Z39&gt;0,"-     "," "))</f>
        <v>1.5278190383227943E-3</v>
      </c>
      <c r="J44" s="210">
        <f>IF('[5]actual CWTs exp'!J39/'[5]actual CWTs exp'!$Z39&gt;0.0005,'[5]actual CWTs exp'!J39/'[5]actual CWTs exp'!$Z39,IF('[5]actual CWTs exp'!J39/'[5]actual CWTs exp'!$Z39&gt;0,"-     "," "))</f>
        <v>1.3750371344905149E-2</v>
      </c>
      <c r="K44" s="210" t="str">
        <f>IF('[5]actual CWTs exp'!K39/'[5]actual CWTs exp'!$Z39&gt;0.0005,'[5]actual CWTs exp'!K39/'[5]actual CWTs exp'!$Z39,IF('[5]actual CWTs exp'!K39/'[5]actual CWTs exp'!$Z39&gt;0,"-     "," "))</f>
        <v xml:space="preserve"> </v>
      </c>
      <c r="L44" s="210">
        <f>IF('[5]actual CWTs exp'!L39/'[5]actual CWTs exp'!$Z39&gt;0.0005,'[5]actual CWTs exp'!L39/'[5]actual CWTs exp'!$Z39,IF('[5]actual CWTs exp'!L39/'[5]actual CWTs exp'!$Z39&gt;0,"-     "," "))</f>
        <v>3.6243262742435174E-2</v>
      </c>
      <c r="M44" s="210" t="str">
        <f>IF('[5]actual CWTs exp'!M39/'[5]actual CWTs exp'!$Z39&gt;0.0005,'[5]actual CWTs exp'!M39/'[5]actual CWTs exp'!$Z39,IF('[5]actual CWTs exp'!M39/'[5]actual CWTs exp'!$Z39&gt;0,"-     "," "))</f>
        <v xml:space="preserve"> </v>
      </c>
      <c r="N44" s="210" t="str">
        <f>IF('[5]actual CWTs exp'!N39/'[5]actual CWTs exp'!$Z39&gt;0.0005,'[5]actual CWTs exp'!N39/'[5]actual CWTs exp'!$Z39,IF('[5]actual CWTs exp'!N39/'[5]actual CWTs exp'!$Z39&gt;0,"-     "," "))</f>
        <v xml:space="preserve"> </v>
      </c>
      <c r="O44" s="416" t="str">
        <f>IF('[5]actual CWTs exp'!O39/'[5]actual CWTs exp'!$Z39&gt;0.0005,'[5]actual CWTs exp'!O39/'[5]actual CWTs exp'!$Z39,IF('[5]actual CWTs exp'!O39/'[5]actual CWTs exp'!$Z39&gt;0,"-     "," "))</f>
        <v xml:space="preserve"> </v>
      </c>
      <c r="P44" s="210">
        <f>IF('[5]actual CWTs exp'!P39/'[5]actual CWTs exp'!$Z39&gt;0.0005,'[5]actual CWTs exp'!P39/'[5]actual CWTs exp'!$Z39,IF('[5]actual CWTs exp'!P39/'[5]actual CWTs exp'!$Z39&gt;0,"-     "," "))</f>
        <v>0.42061706913381147</v>
      </c>
      <c r="Q44" s="210">
        <f>IF('[5]actual CWTs exp'!Q39/'[5]actual CWTs exp'!$Z39&gt;0.0005,'[5]actual CWTs exp'!Q39/'[5]actual CWTs exp'!$Z39,IF('[5]actual CWTs exp'!Q39/'[5]actual CWTs exp'!$Z39&gt;0,"-     "," "))</f>
        <v>0.11437423078555362</v>
      </c>
      <c r="R44" s="415" t="str">
        <f>IF('[5]actual CWTs exp'!R39/'[5]actual CWTs exp'!$Z39&gt;0.0005,'[5]actual CWTs exp'!R39/'[5]actual CWTs exp'!$Z39,IF('[5]actual CWTs exp'!R39/'[5]actual CWTs exp'!$Z39&gt;0,"-     "," "))</f>
        <v xml:space="preserve"> </v>
      </c>
      <c r="S44" s="210">
        <f>IF('[5]actual CWTs exp'!S39/'[5]actual CWTs exp'!$Z39&gt;0.0005,'[5]actual CWTs exp'!S39/'[5]actual CWTs exp'!$Z39,IF('[5]actual CWTs exp'!S39/'[5]actual CWTs exp'!$Z39&gt;0,"-     "," "))</f>
        <v>0.10236387556762722</v>
      </c>
      <c r="T44" s="210" t="str">
        <f>IF('[5]actual CWTs exp'!T39/'[5]actual CWTs exp'!$Z39&gt;0.0005,'[5]actual CWTs exp'!T39/'[5]actual CWTs exp'!$Z39,IF('[5]actual CWTs exp'!T39/'[5]actual CWTs exp'!$Z39&gt;0,"-     "," "))</f>
        <v xml:space="preserve"> </v>
      </c>
      <c r="U44" s="415" t="str">
        <f>IF('[5]actual CWTs exp'!U39/'[5]actual CWTs exp'!$Z39&gt;0.0005,'[5]actual CWTs exp'!U39/'[5]actual CWTs exp'!$Z39,IF('[5]actual CWTs exp'!U39/'[5]actual CWTs exp'!$Z39&gt;0,"-     "," "))</f>
        <v xml:space="preserve"> </v>
      </c>
      <c r="V44" s="210">
        <f>IF('[5]actual CWTs exp'!V39/'[5]actual CWTs exp'!$Z39&gt;0.0005,'[5]actual CWTs exp'!V39/'[5]actual CWTs exp'!$Z39,IF('[5]actual CWTs exp'!V39/'[5]actual CWTs exp'!$Z39&gt;0,"-     "," "))</f>
        <v>3.0980774943767772E-3</v>
      </c>
      <c r="W44" s="417" t="str">
        <f>IF('[5]actual CWTs exp'!W39/'[5]actual CWTs exp'!$Z39&gt;0.0005,'[5]actual CWTs exp'!W39/'[5]actual CWTs exp'!$Z39,IF('[5]actual CWTs exp'!W39/'[5]actual CWTs exp'!$Z39&gt;0,"-     "," "))</f>
        <v xml:space="preserve"> </v>
      </c>
      <c r="X44" s="380">
        <f t="shared" si="3"/>
        <v>0.78241310529219543</v>
      </c>
      <c r="Y44" s="381">
        <f t="shared" si="1"/>
        <v>0.21758689470780457</v>
      </c>
      <c r="Z44" s="382">
        <f>'[5]actual CWTs exp'!Z39</f>
        <v>23563</v>
      </c>
    </row>
    <row r="45" spans="1:29" ht="16.5" customHeight="1" x14ac:dyDescent="0.25">
      <c r="A45" s="383" t="s">
        <v>349</v>
      </c>
      <c r="B45" t="s">
        <v>118</v>
      </c>
      <c r="C45" t="s">
        <v>332</v>
      </c>
      <c r="D45" t="s">
        <v>48</v>
      </c>
      <c r="E45" s="210" t="str">
        <f>IF('[5]actual CWTs exp'!E40/'[5]actual CWTs exp'!$Z40&gt;0.0005,'[5]actual CWTs exp'!E40/'[5]actual CWTs exp'!$Z40,IF('[5]actual CWTs exp'!E40/'[5]actual CWTs exp'!$Z40&gt;0,"-     "," "))</f>
        <v xml:space="preserve"> </v>
      </c>
      <c r="F45" s="415" t="str">
        <f>IF('[5]actual CWTs exp'!F40/'[5]actual CWTs exp'!$Z40&gt;0.0005,'[5]actual CWTs exp'!F40/'[5]actual CWTs exp'!$Z40,IF('[5]actual CWTs exp'!F40/'[5]actual CWTs exp'!$Z40&gt;0,"-     "," "))</f>
        <v xml:space="preserve"> </v>
      </c>
      <c r="G45" s="210" t="str">
        <f>IF('[5]actual CWTs exp'!G40/'[5]actual CWTs exp'!$Z40&gt;0.0005,'[5]actual CWTs exp'!G40/'[5]actual CWTs exp'!$Z40,IF('[5]actual CWTs exp'!G40/'[5]actual CWTs exp'!$Z40&gt;0,"-     "," "))</f>
        <v xml:space="preserve"> </v>
      </c>
      <c r="H45" s="210" t="str">
        <f>IF('[5]actual CWTs exp'!H40/'[5]actual CWTs exp'!$Z40&gt;0.0005,'[5]actual CWTs exp'!H40/'[5]actual CWTs exp'!$Z40,IF('[5]actual CWTs exp'!H40/'[5]actual CWTs exp'!$Z40&gt;0,"-     "," "))</f>
        <v xml:space="preserve"> </v>
      </c>
      <c r="I45" s="415" t="str">
        <f>IF('[5]actual CWTs exp'!I40/'[5]actual CWTs exp'!$Z40&gt;0.0005,'[5]actual CWTs exp'!I40/'[5]actual CWTs exp'!$Z40,IF('[5]actual CWTs exp'!I40/'[5]actual CWTs exp'!$Z40&gt;0,"-     "," "))</f>
        <v xml:space="preserve"> </v>
      </c>
      <c r="J45" s="210" t="str">
        <f>IF('[5]actual CWTs exp'!J40/'[5]actual CWTs exp'!$Z40&gt;0.0005,'[5]actual CWTs exp'!J40/'[5]actual CWTs exp'!$Z40,IF('[5]actual CWTs exp'!J40/'[5]actual CWTs exp'!$Z40&gt;0,"-     "," "))</f>
        <v xml:space="preserve"> </v>
      </c>
      <c r="K45" s="210" t="str">
        <f>IF('[5]actual CWTs exp'!K40/'[5]actual CWTs exp'!$Z40&gt;0.0005,'[5]actual CWTs exp'!K40/'[5]actual CWTs exp'!$Z40,IF('[5]actual CWTs exp'!K40/'[5]actual CWTs exp'!$Z40&gt;0,"-     "," "))</f>
        <v xml:space="preserve"> </v>
      </c>
      <c r="L45" s="210">
        <f>IF('[5]actual CWTs exp'!L40/'[5]actual CWTs exp'!$Z40&gt;0.0005,'[5]actual CWTs exp'!L40/'[5]actual CWTs exp'!$Z40,IF('[5]actual CWTs exp'!L40/'[5]actual CWTs exp'!$Z40&gt;0,"-     "," "))</f>
        <v>3.3884297520661154E-2</v>
      </c>
      <c r="M45" s="210" t="str">
        <f>IF('[5]actual CWTs exp'!M40/'[5]actual CWTs exp'!$Z40&gt;0.0005,'[5]actual CWTs exp'!M40/'[5]actual CWTs exp'!$Z40,IF('[5]actual CWTs exp'!M40/'[5]actual CWTs exp'!$Z40&gt;0,"-     "," "))</f>
        <v xml:space="preserve"> </v>
      </c>
      <c r="N45" s="210" t="str">
        <f>IF('[5]actual CWTs exp'!N40/'[5]actual CWTs exp'!$Z40&gt;0.0005,'[5]actual CWTs exp'!N40/'[5]actual CWTs exp'!$Z40,IF('[5]actual CWTs exp'!N40/'[5]actual CWTs exp'!$Z40&gt;0,"-     "," "))</f>
        <v xml:space="preserve"> </v>
      </c>
      <c r="O45" s="416" t="str">
        <f>IF('[5]actual CWTs exp'!O40/'[5]actual CWTs exp'!$Z40&gt;0.0005,'[5]actual CWTs exp'!O40/'[5]actual CWTs exp'!$Z40,IF('[5]actual CWTs exp'!O40/'[5]actual CWTs exp'!$Z40&gt;0,"-     "," "))</f>
        <v xml:space="preserve"> </v>
      </c>
      <c r="P45" s="210" t="str">
        <f>IF('[5]actual CWTs exp'!P40/'[5]actual CWTs exp'!$Z40&gt;0.0005,'[5]actual CWTs exp'!P40/'[5]actual CWTs exp'!$Z40,IF('[5]actual CWTs exp'!P40/'[5]actual CWTs exp'!$Z40&gt;0,"-     "," "))</f>
        <v xml:space="preserve"> </v>
      </c>
      <c r="Q45" s="210" t="str">
        <f>IF('[5]actual CWTs exp'!Q40/'[5]actual CWTs exp'!$Z40&gt;0.0005,'[5]actual CWTs exp'!Q40/'[5]actual CWTs exp'!$Z40,IF('[5]actual CWTs exp'!Q40/'[5]actual CWTs exp'!$Z40&gt;0,"-     "," "))</f>
        <v xml:space="preserve"> </v>
      </c>
      <c r="R45" s="415">
        <f>IF('[5]actual CWTs exp'!R40/'[5]actual CWTs exp'!$Z40&gt;0.0005,'[5]actual CWTs exp'!R40/'[5]actual CWTs exp'!$Z40,IF('[5]actual CWTs exp'!R40/'[5]actual CWTs exp'!$Z40&gt;0,"-     "," "))</f>
        <v>3.3884297520661154E-2</v>
      </c>
      <c r="S45" s="210">
        <f>IF('[5]actual CWTs exp'!S40/'[5]actual CWTs exp'!$Z40&gt;0.0005,'[5]actual CWTs exp'!S40/'[5]actual CWTs exp'!$Z40,IF('[5]actual CWTs exp'!S40/'[5]actual CWTs exp'!$Z40&gt;0,"-     "," "))</f>
        <v>0.72644628099173558</v>
      </c>
      <c r="T45" s="210" t="str">
        <f>IF('[5]actual CWTs exp'!T40/'[5]actual CWTs exp'!$Z40&gt;0.0005,'[5]actual CWTs exp'!T40/'[5]actual CWTs exp'!$Z40,IF('[5]actual CWTs exp'!T40/'[5]actual CWTs exp'!$Z40&gt;0,"-     "," "))</f>
        <v xml:space="preserve"> </v>
      </c>
      <c r="U45" s="415" t="str">
        <f>IF('[5]actual CWTs exp'!U40/'[5]actual CWTs exp'!$Z40&gt;0.0005,'[5]actual CWTs exp'!U40/'[5]actual CWTs exp'!$Z40,IF('[5]actual CWTs exp'!U40/'[5]actual CWTs exp'!$Z40&gt;0,"-     "," "))</f>
        <v xml:space="preserve"> </v>
      </c>
      <c r="V45" s="210">
        <f>IF('[5]actual CWTs exp'!V40/'[5]actual CWTs exp'!$Z40&gt;0.0005,'[5]actual CWTs exp'!V40/'[5]actual CWTs exp'!$Z40,IF('[5]actual CWTs exp'!V40/'[5]actual CWTs exp'!$Z40&gt;0,"-     "," "))</f>
        <v>4.5454545454545456E-2</v>
      </c>
      <c r="W45" s="417" t="str">
        <f>IF('[5]actual CWTs exp'!W40/'[5]actual CWTs exp'!$Z40&gt;0.0005,'[5]actual CWTs exp'!W40/'[5]actual CWTs exp'!$Z40,IF('[5]actual CWTs exp'!W40/'[5]actual CWTs exp'!$Z40&gt;0,"-     "," "))</f>
        <v xml:space="preserve"> </v>
      </c>
      <c r="X45" s="380">
        <f t="shared" si="3"/>
        <v>0.83966942148760326</v>
      </c>
      <c r="Y45" s="381">
        <f>1-X45</f>
        <v>0.16033057851239674</v>
      </c>
      <c r="Z45" s="382">
        <f>'[5]actual CWTs exp'!Z40</f>
        <v>1210</v>
      </c>
    </row>
    <row r="46" spans="1:29" ht="18" customHeight="1" x14ac:dyDescent="0.3">
      <c r="A46" s="715" t="s">
        <v>338</v>
      </c>
      <c r="B46" s="716"/>
      <c r="C46" s="716"/>
      <c r="D46" s="716"/>
      <c r="E46" s="429"/>
      <c r="F46" s="421">
        <f>IF('[5]actual CWTs exp'!F41/'[5]actual CWTs exp'!$Z41&gt;0.0005,'[5]actual CWTs exp'!F41/'[5]actual CWTs exp'!$Z41,IF('[5]actual CWTs exp'!F41/'[5]actual CWTs exp'!$Z41&gt;0,"-     "," "))</f>
        <v>2.8996057021534729E-3</v>
      </c>
      <c r="G46" s="420">
        <f>IF('[5]actual CWTs exp'!G41/'[5]actual CWTs exp'!$Z41&gt;0.0005,'[5]actual CWTs exp'!G41/'[5]actual CWTs exp'!$Z41,IF('[5]actual CWTs exp'!G41/'[5]actual CWTs exp'!$Z41&gt;0,"-     "," "))</f>
        <v>0.21020321504397937</v>
      </c>
      <c r="H46" s="420">
        <f>IF('[5]actual CWTs exp'!H41/'[5]actual CWTs exp'!$Z41&gt;0.0005,'[5]actual CWTs exp'!H41/'[5]actual CWTs exp'!$Z41,IF('[5]actual CWTs exp'!H41/'[5]actual CWTs exp'!$Z41&gt;0,"-     "," "))</f>
        <v>5.0797694874127997E-2</v>
      </c>
      <c r="I46" s="424">
        <f>IF('[5]actual CWTs exp'!I41/'[5]actual CWTs exp'!$Z41&gt;0.0005,'[5]actual CWTs exp'!I41/'[5]actual CWTs exp'!$Z41,IF('[5]actual CWTs exp'!I41/'[5]actual CWTs exp'!$Z41&gt;0,"-     "," "))</f>
        <v>1.8441006976038824E-3</v>
      </c>
      <c r="J46" s="420">
        <f>IF('[5]actual CWTs exp'!J41/'[5]actual CWTs exp'!$Z41&gt;0.0005,'[5]actual CWTs exp'!J41/'[5]actual CWTs exp'!$Z41,IF('[5]actual CWTs exp'!J41/'[5]actual CWTs exp'!$Z41&gt;0,"-     "," "))</f>
        <v>6.7333939945404915E-3</v>
      </c>
      <c r="K46" s="420" t="str">
        <f>IF('[5]actual CWTs exp'!K41/'[5]actual CWTs exp'!$Z41&gt;0.0005,'[5]actual CWTs exp'!K41/'[5]actual CWTs exp'!$Z41,IF('[5]actual CWTs exp'!K41/'[5]actual CWTs exp'!$Z41&gt;0,"-     "," "))</f>
        <v xml:space="preserve"> </v>
      </c>
      <c r="L46" s="420">
        <f>IF('[5]actual CWTs exp'!L41/'[5]actual CWTs exp'!$Z41&gt;0.0005,'[5]actual CWTs exp'!L41/'[5]actual CWTs exp'!$Z41,IF('[5]actual CWTs exp'!L41/'[5]actual CWTs exp'!$Z41&gt;0,"-     "," "))</f>
        <v>0.18677585683955111</v>
      </c>
      <c r="M46" s="420" t="str">
        <f>IF('[5]actual CWTs exp'!M41/'[5]actual CWTs exp'!$Z41&gt;0.0005,'[5]actual CWTs exp'!M41/'[5]actual CWTs exp'!$Z41,IF('[5]actual CWTs exp'!M41/'[5]actual CWTs exp'!$Z41&gt;0,"-     "," "))</f>
        <v xml:space="preserve"> </v>
      </c>
      <c r="N46" s="420">
        <f>IF('[5]actual CWTs exp'!N41/'[5]actual CWTs exp'!$Z41&gt;0.0005,'[5]actual CWTs exp'!N41/'[5]actual CWTs exp'!$Z41,IF('[5]actual CWTs exp'!N41/'[5]actual CWTs exp'!$Z41&gt;0,"-     "," "))</f>
        <v>1.7470427661510463E-3</v>
      </c>
      <c r="O46" s="423" t="str">
        <f>IF('[5]actual CWTs exp'!O41/'[5]actual CWTs exp'!$Z41&gt;0.0005,'[5]actual CWTs exp'!O41/'[5]actual CWTs exp'!$Z41,IF('[5]actual CWTs exp'!O41/'[5]actual CWTs exp'!$Z41&gt;0,"-     "," "))</f>
        <v xml:space="preserve"> </v>
      </c>
      <c r="P46" s="420">
        <f>IF('[5]actual CWTs exp'!P41/'[5]actual CWTs exp'!$Z41&gt;0.0005,'[5]actual CWTs exp'!P41/'[5]actual CWTs exp'!$Z41,IF('[5]actual CWTs exp'!P41/'[5]actual CWTs exp'!$Z41&gt;0,"-     "," "))</f>
        <v>0.16526539278131636</v>
      </c>
      <c r="Q46" s="420">
        <f>IF('[5]actual CWTs exp'!Q41/'[5]actual CWTs exp'!$Z41&gt;0.0005,'[5]actual CWTs exp'!Q41/'[5]actual CWTs exp'!$Z41,IF('[5]actual CWTs exp'!Q41/'[5]actual CWTs exp'!$Z41&gt;0,"-     "," "))</f>
        <v>7.1653017895056112E-2</v>
      </c>
      <c r="R46" s="424" t="str">
        <f>IF('[5]actual CWTs exp'!R41/'[5]actual CWTs exp'!$Z41&gt;0.0005,'[5]actual CWTs exp'!R41/'[5]actual CWTs exp'!$Z41,IF('[5]actual CWTs exp'!R41/'[5]actual CWTs exp'!$Z41&gt;0,"-     "," "))</f>
        <v xml:space="preserve">-     </v>
      </c>
      <c r="S46" s="420">
        <f>IF('[5]actual CWTs exp'!S41/'[5]actual CWTs exp'!$Z41&gt;0.0005,'[5]actual CWTs exp'!S41/'[5]actual CWTs exp'!$Z41,IF('[5]actual CWTs exp'!S41/'[5]actual CWTs exp'!$Z41&gt;0,"-     "," "))</f>
        <v>6.5659690627843492E-2</v>
      </c>
      <c r="T46" s="420" t="str">
        <f>IF('[5]actual CWTs exp'!T41/'[5]actual CWTs exp'!$Z41&gt;0.0005,'[5]actual CWTs exp'!T41/'[5]actual CWTs exp'!$Z41,IF('[5]actual CWTs exp'!T41/'[5]actual CWTs exp'!$Z41&gt;0,"-     "," "))</f>
        <v xml:space="preserve"> </v>
      </c>
      <c r="U46" s="421" t="str">
        <f>IF('[5]actual CWTs exp'!U41/'[5]actual CWTs exp'!$Z41&gt;0.0005,'[5]actual CWTs exp'!U41/'[5]actual CWTs exp'!$Z41,IF('[5]actual CWTs exp'!U41/'[5]actual CWTs exp'!$Z41&gt;0,"-     "," "))</f>
        <v xml:space="preserve"> </v>
      </c>
      <c r="V46" s="423">
        <f>IF('[5]actual CWTs exp'!V41/'[5]actual CWTs exp'!$Z41&gt;0.0005,'[5]actual CWTs exp'!V41/'[5]actual CWTs exp'!$Z41,IF('[5]actual CWTs exp'!V41/'[5]actual CWTs exp'!$Z41&gt;0,"-     "," "))</f>
        <v>6.6727327873824689E-3</v>
      </c>
      <c r="W46" s="430" t="str">
        <f>IF('[5]actual CWTs exp'!W41/'[5]actual CWTs exp'!$Z41&gt;0.0005,'[5]actual CWTs exp'!W41/'[5]actual CWTs exp'!$Z41,IF('[5]actual CWTs exp'!W41/'[5]actual CWTs exp'!$Z41&gt;0,"-     "," "))</f>
        <v xml:space="preserve"> </v>
      </c>
      <c r="X46" s="391">
        <f>IF('[5]actual CWTs exp'!X41&gt;0,'[5]actual CWTs exp'!X41/'[5]actual CWTs exp'!$Z41," ")</f>
        <v>0.77071276918410681</v>
      </c>
      <c r="Y46" s="389">
        <f>IF('[5]actual CWTs exp'!Y41&gt;0,'[5]actual CWTs exp'!Y41/'[5]actual CWTs exp'!$Z41," ")</f>
        <v>0.22928723081589322</v>
      </c>
      <c r="Z46" s="392">
        <f>'[5]actual CWTs exp'!Z41</f>
        <v>82425</v>
      </c>
    </row>
    <row r="47" spans="1:29" ht="3.75" customHeight="1" x14ac:dyDescent="0.25">
      <c r="A47" s="400">
        <f>'[5]actual CWTs exp'!A42</f>
        <v>0</v>
      </c>
      <c r="B47" s="111" t="str">
        <f>[5]inland_taf_hatchgrp_table12_raw!D32</f>
        <v>AMN</v>
      </c>
      <c r="C47" s="111" t="str">
        <f>[5]inland_taf_hatchgrp_table12_raw!E31</f>
        <v>99</v>
      </c>
      <c r="D47" s="111"/>
      <c r="E47" s="25"/>
      <c r="F47" s="401" t="str">
        <f>IF('[5]actual CWTs exp'!F42&gt;0,'[5]actual CWTs exp'!F42/'[5]actual CWTs exp'!$Z42," ")</f>
        <v xml:space="preserve"> </v>
      </c>
      <c r="G47" s="215" t="str">
        <f>IF('[5]actual CWTs exp'!G42&gt;0,'[5]actual CWTs exp'!G42/'[5]actual CWTs exp'!$Z42," ")</f>
        <v xml:space="preserve"> </v>
      </c>
      <c r="H47" s="215" t="str">
        <f>IF('[5]actual CWTs exp'!H42&gt;0,'[5]actual CWTs exp'!H42/'[5]actual CWTs exp'!$Z42," ")</f>
        <v xml:space="preserve"> </v>
      </c>
      <c r="I47" s="401" t="str">
        <f>IF('[5]actual CWTs exp'!I42&gt;0,'[5]actual CWTs exp'!I42/'[5]actual CWTs exp'!$Z42," ")</f>
        <v xml:space="preserve"> </v>
      </c>
      <c r="J47" s="215" t="str">
        <f>IF('[5]actual CWTs exp'!J42&gt;0,'[5]actual CWTs exp'!J42/'[5]actual CWTs exp'!$Z42," ")</f>
        <v xml:space="preserve"> </v>
      </c>
      <c r="K47" s="215" t="str">
        <f>IF('[5]actual CWTs exp'!K42&gt;0,'[5]actual CWTs exp'!K42/'[5]actual CWTs exp'!$Z42," ")</f>
        <v xml:space="preserve"> </v>
      </c>
      <c r="L47" s="215" t="str">
        <f>IF('[5]actual CWTs exp'!L42&gt;0,'[5]actual CWTs exp'!L42/'[5]actual CWTs exp'!$Z42," ")</f>
        <v xml:space="preserve"> </v>
      </c>
      <c r="M47" s="215" t="str">
        <f>IF('[5]actual CWTs exp'!M42&gt;0,'[5]actual CWTs exp'!M42/'[5]actual CWTs exp'!$Z42," ")</f>
        <v xml:space="preserve"> </v>
      </c>
      <c r="N47" s="215" t="str">
        <f>IF('[5]actual CWTs exp'!N42&gt;0,'[5]actual CWTs exp'!N42/'[5]actual CWTs exp'!$Z42," ")</f>
        <v xml:space="preserve"> </v>
      </c>
      <c r="O47" s="402" t="str">
        <f>IF('[5]actual CWTs exp'!O42&gt;0,'[5]actual CWTs exp'!O42/'[5]actual CWTs exp'!$Z42," ")</f>
        <v xml:space="preserve"> </v>
      </c>
      <c r="P47" s="215" t="str">
        <f>IF('[5]actual CWTs exp'!P42&gt;0,'[5]actual CWTs exp'!P42/'[5]actual CWTs exp'!$Z42," ")</f>
        <v xml:space="preserve"> </v>
      </c>
      <c r="Q47" s="215" t="str">
        <f>IF('[5]actual CWTs exp'!Q42&gt;0,'[5]actual CWTs exp'!Q42/'[5]actual CWTs exp'!$Z42," ")</f>
        <v xml:space="preserve"> </v>
      </c>
      <c r="R47" s="401" t="str">
        <f>IF('[5]actual CWTs exp'!R42&gt;0,'[5]actual CWTs exp'!R42/'[5]actual CWTs exp'!$Z42," ")</f>
        <v xml:space="preserve"> </v>
      </c>
      <c r="S47" s="215" t="str">
        <f>IF('[5]actual CWTs exp'!S42&gt;0,'[5]actual CWTs exp'!S42/'[5]actual CWTs exp'!$Z42," ")</f>
        <v xml:space="preserve"> </v>
      </c>
      <c r="T47" s="215" t="str">
        <f>IF('[5]actual CWTs exp'!T42&gt;0,'[5]actual CWTs exp'!T42/'[5]actual CWTs exp'!$Z42," ")</f>
        <v xml:space="preserve"> </v>
      </c>
      <c r="U47" s="401" t="str">
        <f>IF('[5]actual CWTs exp'!U42&gt;0,'[5]actual CWTs exp'!U42/'[5]actual CWTs exp'!$Z42," ")</f>
        <v xml:space="preserve"> </v>
      </c>
      <c r="V47" s="402" t="str">
        <f>IF('[5]actual CWTs exp'!V42&gt;0,'[5]actual CWTs exp'!V42/'[5]actual CWTs exp'!$Z42," ")</f>
        <v xml:space="preserve"> </v>
      </c>
      <c r="W47" s="403"/>
      <c r="X47" s="404"/>
      <c r="Y47" s="405"/>
      <c r="Z47" s="406"/>
    </row>
    <row r="48" spans="1:29" x14ac:dyDescent="0.25">
      <c r="A48" s="717" t="s">
        <v>339</v>
      </c>
      <c r="B48" s="718"/>
      <c r="C48" s="718"/>
      <c r="D48" s="718"/>
      <c r="E48" s="718"/>
      <c r="F48" s="718"/>
      <c r="G48" s="718"/>
      <c r="H48" s="718"/>
      <c r="I48" s="718"/>
      <c r="J48" s="718"/>
      <c r="K48" s="718"/>
      <c r="L48" s="718"/>
      <c r="M48" s="718"/>
      <c r="N48" s="718"/>
      <c r="O48" s="718"/>
      <c r="P48" s="718"/>
      <c r="Q48" s="718"/>
      <c r="R48" s="718"/>
      <c r="S48" s="718"/>
      <c r="T48" s="718"/>
      <c r="U48" s="718"/>
      <c r="V48" s="718"/>
      <c r="W48" s="718"/>
      <c r="X48" s="718"/>
      <c r="Y48" s="718"/>
      <c r="Z48" s="718"/>
    </row>
    <row r="49" spans="1:26" x14ac:dyDescent="0.25">
      <c r="A49" s="719" t="s">
        <v>350</v>
      </c>
      <c r="B49" s="719"/>
      <c r="C49" s="719"/>
      <c r="D49" s="719"/>
      <c r="E49" s="719"/>
      <c r="F49" s="719"/>
      <c r="G49" s="719"/>
      <c r="H49" s="719"/>
      <c r="I49" s="719"/>
      <c r="J49" s="719"/>
      <c r="K49" s="719"/>
      <c r="L49" s="719"/>
      <c r="M49" s="719"/>
      <c r="N49" s="719"/>
      <c r="O49" s="719"/>
      <c r="P49" s="719"/>
      <c r="Q49" s="719"/>
      <c r="R49" s="719"/>
      <c r="S49" s="719"/>
      <c r="T49" s="719"/>
      <c r="U49" s="719"/>
      <c r="V49" s="719"/>
      <c r="W49" s="719"/>
      <c r="X49" s="719"/>
      <c r="Y49" s="719"/>
      <c r="Z49" s="719"/>
    </row>
    <row r="50" spans="1:26" x14ac:dyDescent="0.25">
      <c r="A50" s="3" t="s">
        <v>142</v>
      </c>
      <c r="B50" s="3"/>
      <c r="C50" s="3"/>
      <c r="D50" s="3"/>
      <c r="E50" s="3"/>
      <c r="F50" s="3"/>
      <c r="G50" s="3"/>
      <c r="H50" s="3"/>
      <c r="I50" s="3"/>
      <c r="J50" s="3"/>
      <c r="K50" s="3"/>
      <c r="L50" s="3"/>
      <c r="M50" s="3"/>
      <c r="N50" s="3"/>
      <c r="O50" s="3"/>
      <c r="P50" s="3"/>
      <c r="Q50" s="3"/>
      <c r="R50" s="3"/>
      <c r="S50" s="3"/>
      <c r="T50" s="3"/>
      <c r="U50" s="3"/>
      <c r="V50" s="3"/>
      <c r="W50" s="3"/>
      <c r="X50" s="3"/>
      <c r="Y50" s="3"/>
      <c r="Z50" s="3"/>
    </row>
    <row r="51" spans="1:26" x14ac:dyDescent="0.25">
      <c r="A51" s="407" t="s">
        <v>351</v>
      </c>
      <c r="B51" s="12"/>
      <c r="C51" s="12"/>
      <c r="D51" s="12"/>
      <c r="E51" s="12"/>
      <c r="F51" s="3"/>
      <c r="G51" s="3"/>
      <c r="H51" s="3"/>
      <c r="I51" s="3"/>
      <c r="J51" s="3"/>
      <c r="K51" s="3"/>
      <c r="L51" s="3"/>
      <c r="M51" s="3"/>
      <c r="N51" s="3"/>
      <c r="O51" s="3"/>
      <c r="P51" s="3"/>
      <c r="Q51" s="3"/>
      <c r="R51" s="3"/>
      <c r="S51" s="3"/>
      <c r="T51" s="3"/>
      <c r="U51" s="3"/>
      <c r="V51" s="3"/>
      <c r="W51" s="3"/>
      <c r="X51" s="3"/>
      <c r="Y51" s="3"/>
      <c r="Z51" s="3"/>
    </row>
    <row r="52" spans="1:26" x14ac:dyDescent="0.25">
      <c r="A52" s="3" t="s">
        <v>352</v>
      </c>
      <c r="B52" s="12"/>
      <c r="C52" s="12"/>
      <c r="D52" s="12"/>
      <c r="E52" s="12"/>
      <c r="F52" s="3"/>
      <c r="G52" s="3"/>
      <c r="H52" s="3"/>
      <c r="I52" s="3"/>
      <c r="J52" s="3"/>
      <c r="K52" s="3"/>
      <c r="L52" s="3"/>
      <c r="M52" s="3"/>
      <c r="N52" s="3"/>
      <c r="O52" s="3"/>
      <c r="P52" s="3"/>
      <c r="Q52" s="3"/>
      <c r="R52" s="3"/>
      <c r="S52" s="3"/>
      <c r="T52" s="3"/>
      <c r="U52" s="3"/>
      <c r="V52" s="3"/>
      <c r="W52" s="3"/>
      <c r="X52" s="3"/>
      <c r="Y52" s="3"/>
      <c r="Z52" s="3"/>
    </row>
  </sheetData>
  <mergeCells count="10">
    <mergeCell ref="A37:D37"/>
    <mergeCell ref="A46:D46"/>
    <mergeCell ref="A48:Z48"/>
    <mergeCell ref="A49:Z49"/>
    <mergeCell ref="F3:H3"/>
    <mergeCell ref="I3:O3"/>
    <mergeCell ref="P3:Q3"/>
    <mergeCell ref="U3:V3"/>
    <mergeCell ref="X3:Y3"/>
    <mergeCell ref="A15:D15"/>
  </mergeCells>
  <pageMargins left="0.7" right="0.25" top="0.75" bottom="0.25" header="0.5" footer="0.5"/>
  <pageSetup scale="67" fitToHeight="0"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D7AC8-85A8-4A7C-9673-2BE4838925E4}">
  <sheetPr>
    <pageSetUpPr fitToPage="1"/>
  </sheetPr>
  <dimension ref="A1:AH56"/>
  <sheetViews>
    <sheetView showGridLines="0" topLeftCell="E1" zoomScale="115" zoomScaleNormal="115" workbookViewId="0">
      <pane xSplit="2" ySplit="3" topLeftCell="G4" activePane="bottomRight" state="frozen"/>
      <selection activeCell="E1" sqref="E1"/>
      <selection pane="topRight" activeCell="G1" sqref="G1"/>
      <selection pane="bottomLeft" activeCell="E4" sqref="E4"/>
      <selection pane="bottomRight" activeCell="Y10" sqref="Y10:Z10"/>
    </sheetView>
  </sheetViews>
  <sheetFormatPr defaultRowHeight="12.5" x14ac:dyDescent="0.25"/>
  <cols>
    <col min="1" max="4" width="8.7265625" hidden="1" customWidth="1"/>
    <col min="5" max="5" width="27" customWidth="1"/>
    <col min="6" max="6" width="7.54296875" style="1" customWidth="1"/>
    <col min="7" max="7" width="5.1796875" style="1" customWidth="1"/>
    <col min="8" max="23" width="7.1796875" customWidth="1"/>
    <col min="24" max="24" width="6.453125" hidden="1" customWidth="1"/>
    <col min="25" max="26" width="9" customWidth="1"/>
    <col min="27" max="27" width="9.54296875" customWidth="1"/>
    <col min="28" max="28" width="1.453125" customWidth="1"/>
  </cols>
  <sheetData>
    <row r="1" spans="1:32" ht="21.75" customHeight="1" x14ac:dyDescent="0.25">
      <c r="E1" s="2" t="s">
        <v>256</v>
      </c>
    </row>
    <row r="2" spans="1:32" ht="17.5" customHeight="1" x14ac:dyDescent="0.3">
      <c r="E2" s="6"/>
      <c r="F2" s="7"/>
      <c r="G2" s="8"/>
      <c r="H2" s="727" t="s">
        <v>1</v>
      </c>
      <c r="I2" s="727"/>
      <c r="J2" s="727"/>
      <c r="K2" s="727" t="s">
        <v>2</v>
      </c>
      <c r="L2" s="728"/>
      <c r="M2" s="728"/>
      <c r="N2" s="728"/>
      <c r="O2" s="728"/>
      <c r="P2" s="728"/>
      <c r="Q2" s="727" t="s">
        <v>246</v>
      </c>
      <c r="R2" s="727"/>
      <c r="S2" s="324"/>
      <c r="T2" s="325" t="s">
        <v>4</v>
      </c>
      <c r="U2" s="324"/>
      <c r="V2" s="727" t="s">
        <v>5</v>
      </c>
      <c r="W2" s="727"/>
      <c r="X2" s="203"/>
      <c r="Y2" s="729" t="s">
        <v>132</v>
      </c>
      <c r="Z2" s="730"/>
      <c r="AA2" s="10" t="s">
        <v>9</v>
      </c>
    </row>
    <row r="3" spans="1:32" ht="15.75" customHeight="1" x14ac:dyDescent="0.3">
      <c r="E3" s="17" t="s">
        <v>17</v>
      </c>
      <c r="F3" s="18" t="s">
        <v>18</v>
      </c>
      <c r="G3" s="204" t="s">
        <v>19</v>
      </c>
      <c r="H3" s="20" t="s">
        <v>159</v>
      </c>
      <c r="I3" s="19" t="s">
        <v>160</v>
      </c>
      <c r="J3" s="21" t="s">
        <v>22</v>
      </c>
      <c r="K3" s="19" t="s">
        <v>23</v>
      </c>
      <c r="L3" s="19" t="s">
        <v>183</v>
      </c>
      <c r="M3" s="19" t="s">
        <v>185</v>
      </c>
      <c r="N3" s="19" t="s">
        <v>25</v>
      </c>
      <c r="O3" s="19" t="s">
        <v>184</v>
      </c>
      <c r="P3" s="19" t="s">
        <v>233</v>
      </c>
      <c r="Q3" s="20" t="s">
        <v>27</v>
      </c>
      <c r="R3" s="21" t="s">
        <v>28</v>
      </c>
      <c r="S3" s="19" t="s">
        <v>29</v>
      </c>
      <c r="T3" s="19" t="s">
        <v>30</v>
      </c>
      <c r="U3" s="19" t="s">
        <v>234</v>
      </c>
      <c r="V3" s="20" t="s">
        <v>33</v>
      </c>
      <c r="W3" s="21" t="s">
        <v>207</v>
      </c>
      <c r="X3" s="205" t="s">
        <v>198</v>
      </c>
      <c r="Y3" s="22" t="s">
        <v>36</v>
      </c>
      <c r="Z3" s="23" t="s">
        <v>37</v>
      </c>
      <c r="AA3" s="24" t="s">
        <v>18</v>
      </c>
    </row>
    <row r="4" spans="1:32" ht="14.15" customHeight="1" x14ac:dyDescent="0.3">
      <c r="E4" s="26" t="s">
        <v>39</v>
      </c>
      <c r="F4" s="11"/>
      <c r="G4" s="4"/>
      <c r="H4" s="139"/>
      <c r="J4" s="140"/>
      <c r="Q4" s="139"/>
      <c r="R4" s="140"/>
      <c r="V4" s="139"/>
      <c r="W4" s="140"/>
      <c r="X4" s="88"/>
      <c r="Y4" s="141"/>
      <c r="Z4" s="142"/>
      <c r="AA4" s="88"/>
    </row>
    <row r="5" spans="1:32" ht="14.15" customHeight="1" x14ac:dyDescent="0.25">
      <c r="A5" s="14" t="str">
        <f>'[6]Table 11 CWTs exp'!A5</f>
        <v>FRFH501</v>
      </c>
      <c r="B5" s="75" t="str">
        <f>'[6]Table 11 CWTs exp'!B5</f>
        <v>FRFH</v>
      </c>
      <c r="C5" s="75">
        <f>'[6]Table 11 CWTs exp'!C5</f>
        <v>50</v>
      </c>
      <c r="D5" s="75">
        <f>'[6]Table 11 CWTs exp'!D5</f>
        <v>1</v>
      </c>
      <c r="E5" s="3" t="str">
        <f>'[6]Table 11 CWTs exp'!E5</f>
        <v>Feather River Hatchery</v>
      </c>
      <c r="F5" s="143" t="str">
        <f>'[6]Table 11 CWTs exp'!F5</f>
        <v>Spring</v>
      </c>
      <c r="G5" s="287" t="str">
        <f>IF('[6]Table 11 CWTs exp'!G5/'[6]Table 11 CWTs exp'!$AA5&gt;0.0005,'[6]Table 11 CWTs exp'!G5/'[6]Table 11 CWTs exp'!$AA5,IF('[6]Table 11 CWTs exp'!G5/'[6]Table 11 CWTs exp'!$AA5&gt;0,"-"," "))</f>
        <v xml:space="preserve"> </v>
      </c>
      <c r="H5" s="145" t="str">
        <f>IF('[6]Table 11 CWTs exp'!H5/'[6]Table 11 CWTs exp'!$AA5&gt;0.0005,'[6]Table 11 CWTs exp'!H5/'[6]Table 11 CWTs exp'!$AA5,IF('[6]Table 11 CWTs exp'!H5/'[6]Table 11 CWTs exp'!$AA5&gt;0,"-"," "))</f>
        <v xml:space="preserve"> </v>
      </c>
      <c r="I5" s="144" t="str">
        <f>IF('[6]Table 11 CWTs exp'!I5/'[6]Table 11 CWTs exp'!$AA5&gt;0.0005,'[6]Table 11 CWTs exp'!I5/'[6]Table 11 CWTs exp'!$AA5,IF('[6]Table 11 CWTs exp'!I5/'[6]Table 11 CWTs exp'!$AA5&gt;0,"-"," "))</f>
        <v xml:space="preserve"> </v>
      </c>
      <c r="J5" s="146" t="str">
        <f>IF('[6]Table 11 CWTs exp'!J5/'[6]Table 11 CWTs exp'!$AA5&gt;0.0005,'[6]Table 11 CWTs exp'!J5/'[6]Table 11 CWTs exp'!$AA5,IF('[6]Table 11 CWTs exp'!J5/'[6]Table 11 CWTs exp'!$AA5&gt;0,"-"," "))</f>
        <v xml:space="preserve"> </v>
      </c>
      <c r="K5" s="144">
        <f>IF('[6]Table 11 CWTs exp'!K5/'[6]Table 11 CWTs exp'!$AA5&gt;0.0005,'[6]Table 11 CWTs exp'!K5/'[6]Table 11 CWTs exp'!$AA5,IF('[6]Table 11 CWTs exp'!K5/'[6]Table 11 CWTs exp'!$AA5&gt;0,"-"," "))</f>
        <v>0.78559776275926363</v>
      </c>
      <c r="L5" s="144">
        <f>IF('[6]Table 11 CWTs exp'!L5/'[6]Table 11 CWTs exp'!$AA5&gt;0.0005,'[6]Table 11 CWTs exp'!L5/'[6]Table 11 CWTs exp'!$AA5,IF('[6]Table 11 CWTs exp'!L5/'[6]Table 11 CWTs exp'!$AA5&gt;0,"-"," "))</f>
        <v>0.15567466790957818</v>
      </c>
      <c r="M5" s="144" t="str">
        <f>IF('[6]Table 11 CWTs exp'!M5/'[6]Table 11 CWTs exp'!$AA5&gt;0.0005,'[6]Table 11 CWTs exp'!M5/'[6]Table 11 CWTs exp'!$AA5,IF('[6]Table 11 CWTs exp'!M5/'[6]Table 11 CWTs exp'!$AA5&gt;0,"-"," "))</f>
        <v xml:space="preserve"> </v>
      </c>
      <c r="N5" s="144">
        <f>IF('[6]Table 11 CWTs exp'!N5/'[6]Table 11 CWTs exp'!$AA5&gt;0.0005,'[6]Table 11 CWTs exp'!N5/'[6]Table 11 CWTs exp'!$AA5,IF('[6]Table 11 CWTs exp'!N5/'[6]Table 11 CWTs exp'!$AA5&gt;0,"-"," "))</f>
        <v>4.8007457469121419E-2</v>
      </c>
      <c r="O5" s="144" t="str">
        <f>IF('[6]Table 11 CWTs exp'!O5/'[6]Table 11 CWTs exp'!$AA5&gt;0.0005,'[6]Table 11 CWTs exp'!O5/'[6]Table 11 CWTs exp'!$AA5,IF('[6]Table 11 CWTs exp'!O5/'[6]Table 11 CWTs exp'!$AA5&gt;0,"-"," "))</f>
        <v xml:space="preserve"> </v>
      </c>
      <c r="P5" s="144" t="str">
        <f>IF('[6]Table 11 CWTs exp'!P5/'[6]Table 11 CWTs exp'!$AA5&gt;0.0005,'[6]Table 11 CWTs exp'!P5/'[6]Table 11 CWTs exp'!$AA5,IF('[6]Table 11 CWTs exp'!P5/'[6]Table 11 CWTs exp'!$AA5&gt;0,"-"," "))</f>
        <v xml:space="preserve"> </v>
      </c>
      <c r="Q5" s="145" t="str">
        <f>IF('[6]Table 11 CWTs exp'!Q5/'[6]Table 11 CWTs exp'!$AA5&gt;0.0005,'[6]Table 11 CWTs exp'!Q5/'[6]Table 11 CWTs exp'!$AA5,IF('[6]Table 11 CWTs exp'!Q5/'[6]Table 11 CWTs exp'!$AA5&gt;0,"-"," "))</f>
        <v xml:space="preserve"> </v>
      </c>
      <c r="R5" s="146" t="str">
        <f>IF('[6]Table 11 CWTs exp'!R5/'[6]Table 11 CWTs exp'!$AA5&gt;0.0005,'[6]Table 11 CWTs exp'!R5/'[6]Table 11 CWTs exp'!$AA5,IF('[6]Table 11 CWTs exp'!R5/'[6]Table 11 CWTs exp'!$AA5&gt;0,"-"," "))</f>
        <v xml:space="preserve"> </v>
      </c>
      <c r="S5" s="144" t="str">
        <f>IF('[6]Table 11 CWTs exp'!S5/'[6]Table 11 CWTs exp'!$AA5&gt;0.0005,'[6]Table 11 CWTs exp'!S5/'[6]Table 11 CWTs exp'!$AA5,IF('[6]Table 11 CWTs exp'!S5/'[6]Table 11 CWTs exp'!$AA5&gt;0,"-"," "))</f>
        <v xml:space="preserve"> </v>
      </c>
      <c r="T5" s="144" t="str">
        <f>IF('[6]Table 11 CWTs exp'!T5/'[6]Table 11 CWTs exp'!$AA5&gt;0.0005,'[6]Table 11 CWTs exp'!T5/'[6]Table 11 CWTs exp'!$AA5,IF('[6]Table 11 CWTs exp'!T5/'[6]Table 11 CWTs exp'!$AA5&gt;0,"-"," "))</f>
        <v xml:space="preserve"> </v>
      </c>
      <c r="U5" s="144" t="str">
        <f>IF('[6]Table 11 CWTs exp'!U5/'[6]Table 11 CWTs exp'!$AA5&gt;0.0005,'[6]Table 11 CWTs exp'!U5/'[6]Table 11 CWTs exp'!$AA5,IF('[6]Table 11 CWTs exp'!U5/'[6]Table 11 CWTs exp'!$AA5&gt;0,"-"," "))</f>
        <v xml:space="preserve"> </v>
      </c>
      <c r="V5" s="145" t="str">
        <f>IF('[6]Table 11 CWTs exp'!V5/'[6]Table 11 CWTs exp'!$AA5&gt;0.0005,'[6]Table 11 CWTs exp'!V5/'[6]Table 11 CWTs exp'!$AA5,IF('[6]Table 11 CWTs exp'!V5/'[6]Table 11 CWTs exp'!$AA5&gt;0,"-"," "))</f>
        <v xml:space="preserve"> </v>
      </c>
      <c r="W5" s="146" t="str">
        <f>IF('[6]Table 11 CWTs exp'!W5/'[6]Table 11 CWTs exp'!$AA5&gt;0.0005,'[6]Table 11 CWTs exp'!W5/'[6]Table 11 CWTs exp'!$AA5,IF('[6]Table 11 CWTs exp'!W5/'[6]Table 11 CWTs exp'!$AA5&gt;0,"-"," "))</f>
        <v xml:space="preserve"> </v>
      </c>
      <c r="X5" s="206" t="str">
        <f>IF('[6]Table 11 CWTs exp'!X5/'[6]Table 11 CWTs exp'!$AA5&gt;0.0005,'[6]Table 11 CWTs exp'!X5/'[6]Table 11 CWTs exp'!$AA5,IF('[6]Table 11 CWTs exp'!X5/'[6]Table 11 CWTs exp'!$AA5&gt;0,"-"," "))</f>
        <v xml:space="preserve"> </v>
      </c>
      <c r="Y5" s="147">
        <f>SUM(G5:X5)</f>
        <v>0.98927988813796319</v>
      </c>
      <c r="Z5" s="148">
        <f>1-Y5</f>
        <v>1.0720111862036807E-2</v>
      </c>
      <c r="AA5" s="38">
        <f>'[6]Table 11 CWTs exp'!AA5</f>
        <v>4291</v>
      </c>
    </row>
    <row r="6" spans="1:32" ht="14.15" customHeight="1" x14ac:dyDescent="0.25">
      <c r="A6" t="str">
        <f>'[6]Table 11 CWTs exp'!A6</f>
        <v>FRFH521</v>
      </c>
      <c r="B6" s="75" t="str">
        <f>'[6]Table 11 CWTs exp'!B6</f>
        <v>FRFH</v>
      </c>
      <c r="C6" s="75">
        <f>'[6]Table 11 CWTs exp'!C6</f>
        <v>52</v>
      </c>
      <c r="D6" s="75">
        <f>'[6]Table 11 CWTs exp'!D6</f>
        <v>1</v>
      </c>
      <c r="E6" s="3" t="str">
        <f>'[6]Table 11 CWTs exp'!E6</f>
        <v>Feather River Hatchery preseason</v>
      </c>
      <c r="F6" s="37" t="str">
        <f>'[6]Table 11 CWTs exp'!F6</f>
        <v>Spring</v>
      </c>
      <c r="G6" s="287" t="str">
        <f>IF('[6]Table 11 CWTs exp'!G6/'[6]Table 11 CWTs exp'!$AA6&gt;0.0005,'[6]Table 11 CWTs exp'!G6/'[6]Table 11 CWTs exp'!$AA6,IF('[6]Table 11 CWTs exp'!G6/'[6]Table 11 CWTs exp'!$AA6&gt;0,"-"," "))</f>
        <v xml:space="preserve"> </v>
      </c>
      <c r="H6" s="145" t="str">
        <f>IF('[6]Table 11 CWTs exp'!H6/'[6]Table 11 CWTs exp'!$AA6&gt;0.0005,'[6]Table 11 CWTs exp'!H6/'[6]Table 11 CWTs exp'!$AA6,IF('[6]Table 11 CWTs exp'!H6/'[6]Table 11 CWTs exp'!$AA6&gt;0,"-"," "))</f>
        <v xml:space="preserve"> </v>
      </c>
      <c r="I6" s="144" t="str">
        <f>IF('[6]Table 11 CWTs exp'!I6/'[6]Table 11 CWTs exp'!$AA6&gt;0.0005,'[6]Table 11 CWTs exp'!I6/'[6]Table 11 CWTs exp'!$AA6,IF('[6]Table 11 CWTs exp'!I6/'[6]Table 11 CWTs exp'!$AA6&gt;0,"-"," "))</f>
        <v xml:space="preserve"> </v>
      </c>
      <c r="J6" s="146" t="str">
        <f>IF('[6]Table 11 CWTs exp'!J6/'[6]Table 11 CWTs exp'!$AA6&gt;0.0005,'[6]Table 11 CWTs exp'!J6/'[6]Table 11 CWTs exp'!$AA6,IF('[6]Table 11 CWTs exp'!J6/'[6]Table 11 CWTs exp'!$AA6&gt;0,"-"," "))</f>
        <v xml:space="preserve"> </v>
      </c>
      <c r="K6" s="144">
        <f>IF('[6]Table 11 CWTs exp'!K6/'[6]Table 11 CWTs exp'!$AA6&gt;0.0005,'[6]Table 11 CWTs exp'!K6/'[6]Table 11 CWTs exp'!$AA6,IF('[6]Table 11 CWTs exp'!K6/'[6]Table 11 CWTs exp'!$AA6&gt;0,"-"," "))</f>
        <v>0.7857142857142857</v>
      </c>
      <c r="L6" s="144">
        <f>IF('[6]Table 11 CWTs exp'!L6/'[6]Table 11 CWTs exp'!$AA6&gt;0.0005,'[6]Table 11 CWTs exp'!L6/'[6]Table 11 CWTs exp'!$AA6,IF('[6]Table 11 CWTs exp'!L6/'[6]Table 11 CWTs exp'!$AA6&gt;0,"-"," "))</f>
        <v>0.19642857142857142</v>
      </c>
      <c r="M6" s="144" t="str">
        <f>IF('[6]Table 11 CWTs exp'!M6/'[6]Table 11 CWTs exp'!$AA6&gt;0.0005,'[6]Table 11 CWTs exp'!M6/'[6]Table 11 CWTs exp'!$AA6,IF('[6]Table 11 CWTs exp'!M6/'[6]Table 11 CWTs exp'!$AA6&gt;0,"-"," "))</f>
        <v xml:space="preserve"> </v>
      </c>
      <c r="N6" s="144">
        <f>IF('[6]Table 11 CWTs exp'!N6/'[6]Table 11 CWTs exp'!$AA6&gt;0.0005,'[6]Table 11 CWTs exp'!N6/'[6]Table 11 CWTs exp'!$AA6,IF('[6]Table 11 CWTs exp'!N6/'[6]Table 11 CWTs exp'!$AA6&gt;0,"-"," "))</f>
        <v>1.7857142857142856E-2</v>
      </c>
      <c r="O6" s="144" t="str">
        <f>IF('[6]Table 11 CWTs exp'!O6/'[6]Table 11 CWTs exp'!$AA6&gt;0.0005,'[6]Table 11 CWTs exp'!O6/'[6]Table 11 CWTs exp'!$AA6,IF('[6]Table 11 CWTs exp'!O6/'[6]Table 11 CWTs exp'!$AA6&gt;0,"-"," "))</f>
        <v xml:space="preserve"> </v>
      </c>
      <c r="P6" s="144" t="str">
        <f>IF('[6]Table 11 CWTs exp'!P6/'[6]Table 11 CWTs exp'!$AA6&gt;0.0005,'[6]Table 11 CWTs exp'!P6/'[6]Table 11 CWTs exp'!$AA6,IF('[6]Table 11 CWTs exp'!P6/'[6]Table 11 CWTs exp'!$AA6&gt;0,"-"," "))</f>
        <v xml:space="preserve"> </v>
      </c>
      <c r="Q6" s="145" t="str">
        <f>IF('[6]Table 11 CWTs exp'!Q6/'[6]Table 11 CWTs exp'!$AA6&gt;0.0005,'[6]Table 11 CWTs exp'!Q6/'[6]Table 11 CWTs exp'!$AA6,IF('[6]Table 11 CWTs exp'!Q6/'[6]Table 11 CWTs exp'!$AA6&gt;0,"-"," "))</f>
        <v xml:space="preserve"> </v>
      </c>
      <c r="R6" s="146" t="str">
        <f>IF('[6]Table 11 CWTs exp'!R6/'[6]Table 11 CWTs exp'!$AA6&gt;0.0005,'[6]Table 11 CWTs exp'!R6/'[6]Table 11 CWTs exp'!$AA6,IF('[6]Table 11 CWTs exp'!R6/'[6]Table 11 CWTs exp'!$AA6&gt;0,"-"," "))</f>
        <v xml:space="preserve"> </v>
      </c>
      <c r="S6" s="144" t="str">
        <f>IF('[6]Table 11 CWTs exp'!S6/'[6]Table 11 CWTs exp'!$AA6&gt;0.0005,'[6]Table 11 CWTs exp'!S6/'[6]Table 11 CWTs exp'!$AA6,IF('[6]Table 11 CWTs exp'!S6/'[6]Table 11 CWTs exp'!$AA6&gt;0,"-"," "))</f>
        <v xml:space="preserve"> </v>
      </c>
      <c r="T6" s="144" t="str">
        <f>IF('[6]Table 11 CWTs exp'!T6/'[6]Table 11 CWTs exp'!$AA6&gt;0.0005,'[6]Table 11 CWTs exp'!T6/'[6]Table 11 CWTs exp'!$AA6,IF('[6]Table 11 CWTs exp'!T6/'[6]Table 11 CWTs exp'!$AA6&gt;0,"-"," "))</f>
        <v xml:space="preserve"> </v>
      </c>
      <c r="U6" s="144" t="str">
        <f>IF('[6]Table 11 CWTs exp'!U6/'[6]Table 11 CWTs exp'!$AA6&gt;0.0005,'[6]Table 11 CWTs exp'!U6/'[6]Table 11 CWTs exp'!$AA6,IF('[6]Table 11 CWTs exp'!U6/'[6]Table 11 CWTs exp'!$AA6&gt;0,"-"," "))</f>
        <v xml:space="preserve"> </v>
      </c>
      <c r="V6" s="145" t="str">
        <f>IF('[6]Table 11 CWTs exp'!V6/'[6]Table 11 CWTs exp'!$AA6&gt;0.0005,'[6]Table 11 CWTs exp'!V6/'[6]Table 11 CWTs exp'!$AA6,IF('[6]Table 11 CWTs exp'!V6/'[6]Table 11 CWTs exp'!$AA6&gt;0,"-"," "))</f>
        <v xml:space="preserve"> </v>
      </c>
      <c r="W6" s="146" t="str">
        <f>IF('[6]Table 11 CWTs exp'!W6/'[6]Table 11 CWTs exp'!$AA6&gt;0.0005,'[6]Table 11 CWTs exp'!W6/'[6]Table 11 CWTs exp'!$AA6,IF('[6]Table 11 CWTs exp'!W6/'[6]Table 11 CWTs exp'!$AA6&gt;0,"-"," "))</f>
        <v xml:space="preserve"> </v>
      </c>
      <c r="X6" s="206" t="str">
        <f>IF('[6]Table 11 CWTs exp'!X6/'[6]Table 11 CWTs exp'!$AA6&gt;0.0005,'[6]Table 11 CWTs exp'!X6/'[6]Table 11 CWTs exp'!$AA6,IF('[6]Table 11 CWTs exp'!X6/'[6]Table 11 CWTs exp'!$AA6&gt;0,"-"," "))</f>
        <v xml:space="preserve"> </v>
      </c>
      <c r="Y6" s="147">
        <f t="shared" ref="Y6:Y14" si="0">SUM(G6:X6)</f>
        <v>1</v>
      </c>
      <c r="Z6" s="148">
        <f t="shared" ref="Z6:Z14" si="1">1-Y6</f>
        <v>0</v>
      </c>
      <c r="AA6" s="38">
        <f>'[6]Table 11 CWTs exp'!AA6</f>
        <v>56</v>
      </c>
    </row>
    <row r="7" spans="1:32" ht="14.15" customHeight="1" x14ac:dyDescent="0.25">
      <c r="A7" t="str">
        <f>'[6]Table 11 CWTs exp'!A7</f>
        <v>CNFH503</v>
      </c>
      <c r="B7" s="75" t="str">
        <f>'[6]Table 11 CWTs exp'!B7</f>
        <v>CNFH</v>
      </c>
      <c r="C7" s="75">
        <f>'[6]Table 11 CWTs exp'!C7</f>
        <v>50</v>
      </c>
      <c r="D7" s="75">
        <f>'[6]Table 11 CWTs exp'!D7</f>
        <v>3</v>
      </c>
      <c r="E7" s="3" t="str">
        <f>'[6]Table 11 CWTs exp'!E7</f>
        <v>Coleman National Fish Hatchery</v>
      </c>
      <c r="F7" s="37" t="str">
        <f>'[6]Table 11 CWTs exp'!F7</f>
        <v>Fall</v>
      </c>
      <c r="G7" s="287" t="str">
        <f>IF('[6]Table 11 CWTs exp'!G7/'[6]Table 11 CWTs exp'!$AA7&gt;0.0005,'[6]Table 11 CWTs exp'!G7/'[6]Table 11 CWTs exp'!$AA7,IF('[6]Table 11 CWTs exp'!G7/'[6]Table 11 CWTs exp'!$AA7&gt;0,"-"," "))</f>
        <v xml:space="preserve"> </v>
      </c>
      <c r="H7" s="145" t="str">
        <f>IF('[6]Table 11 CWTs exp'!H7/'[6]Table 11 CWTs exp'!$AA7&gt;0.0005,'[6]Table 11 CWTs exp'!H7/'[6]Table 11 CWTs exp'!$AA7,IF('[6]Table 11 CWTs exp'!H7/'[6]Table 11 CWTs exp'!$AA7&gt;0,"-"," "))</f>
        <v xml:space="preserve"> </v>
      </c>
      <c r="I7" s="144">
        <f>IF('[6]Table 11 CWTs exp'!I7/'[6]Table 11 CWTs exp'!$AA7&gt;0.0005,'[6]Table 11 CWTs exp'!I7/'[6]Table 11 CWTs exp'!$AA7,IF('[6]Table 11 CWTs exp'!I7/'[6]Table 11 CWTs exp'!$AA7&gt;0,"-"," "))</f>
        <v>0.87140178354160402</v>
      </c>
      <c r="J7" s="146">
        <f>IF('[6]Table 11 CWTs exp'!J7/'[6]Table 11 CWTs exp'!$AA7&gt;0.0005,'[6]Table 11 CWTs exp'!J7/'[6]Table 11 CWTs exp'!$AA7,IF('[6]Table 11 CWTs exp'!J7/'[6]Table 11 CWTs exp'!$AA7&gt;0,"-"," "))</f>
        <v>1.5072787392107184E-2</v>
      </c>
      <c r="K7" s="144" t="str">
        <f>IF('[6]Table 11 CWTs exp'!K7/'[6]Table 11 CWTs exp'!$AA7&gt;0.0005,'[6]Table 11 CWTs exp'!K7/'[6]Table 11 CWTs exp'!$AA7,IF('[6]Table 11 CWTs exp'!K7/'[6]Table 11 CWTs exp'!$AA7&gt;0,"-"," "))</f>
        <v xml:space="preserve"> </v>
      </c>
      <c r="L7" s="144" t="str">
        <f>IF('[6]Table 11 CWTs exp'!L7/'[6]Table 11 CWTs exp'!$AA7&gt;0.0005,'[6]Table 11 CWTs exp'!L7/'[6]Table 11 CWTs exp'!$AA7,IF('[6]Table 11 CWTs exp'!L7/'[6]Table 11 CWTs exp'!$AA7&gt;0,"-"," "))</f>
        <v>-</v>
      </c>
      <c r="M7" s="144" t="str">
        <f>IF('[6]Table 11 CWTs exp'!M7/'[6]Table 11 CWTs exp'!$AA7&gt;0.0005,'[6]Table 11 CWTs exp'!M7/'[6]Table 11 CWTs exp'!$AA7,IF('[6]Table 11 CWTs exp'!M7/'[6]Table 11 CWTs exp'!$AA7&gt;0,"-"," "))</f>
        <v>-</v>
      </c>
      <c r="N7" s="144">
        <f>IF('[6]Table 11 CWTs exp'!N7/'[6]Table 11 CWTs exp'!$AA7&gt;0.0005,'[6]Table 11 CWTs exp'!N7/'[6]Table 11 CWTs exp'!$AA7,IF('[6]Table 11 CWTs exp'!N7/'[6]Table 11 CWTs exp'!$AA7&gt;0,"-"," "))</f>
        <v>9.7622421665879387E-3</v>
      </c>
      <c r="O7" s="144" t="str">
        <f>IF('[6]Table 11 CWTs exp'!O7/'[6]Table 11 CWTs exp'!$AA7&gt;0.0005,'[6]Table 11 CWTs exp'!O7/'[6]Table 11 CWTs exp'!$AA7,IF('[6]Table 11 CWTs exp'!O7/'[6]Table 11 CWTs exp'!$AA7&gt;0,"-"," "))</f>
        <v>-</v>
      </c>
      <c r="P7" s="144" t="str">
        <f>IF('[6]Table 11 CWTs exp'!P7/'[6]Table 11 CWTs exp'!$AA7&gt;0.0005,'[6]Table 11 CWTs exp'!P7/'[6]Table 11 CWTs exp'!$AA7,IF('[6]Table 11 CWTs exp'!P7/'[6]Table 11 CWTs exp'!$AA7&gt;0,"-"," "))</f>
        <v>-</v>
      </c>
      <c r="Q7" s="145" t="str">
        <f>IF('[6]Table 11 CWTs exp'!Q7/'[6]Table 11 CWTs exp'!$AA7&gt;0.0005,'[6]Table 11 CWTs exp'!Q7/'[6]Table 11 CWTs exp'!$AA7,IF('[6]Table 11 CWTs exp'!Q7/'[6]Table 11 CWTs exp'!$AA7&gt;0,"-"," "))</f>
        <v xml:space="preserve"> </v>
      </c>
      <c r="R7" s="146" t="str">
        <f>IF('[6]Table 11 CWTs exp'!R7/'[6]Table 11 CWTs exp'!$AA7&gt;0.0005,'[6]Table 11 CWTs exp'!R7/'[6]Table 11 CWTs exp'!$AA7,IF('[6]Table 11 CWTs exp'!R7/'[6]Table 11 CWTs exp'!$AA7&gt;0,"-"," "))</f>
        <v>-</v>
      </c>
      <c r="S7" s="144" t="str">
        <f>IF('[6]Table 11 CWTs exp'!S7/'[6]Table 11 CWTs exp'!$AA7&gt;0.0005,'[6]Table 11 CWTs exp'!S7/'[6]Table 11 CWTs exp'!$AA7,IF('[6]Table 11 CWTs exp'!S7/'[6]Table 11 CWTs exp'!$AA7&gt;0,"-"," "))</f>
        <v xml:space="preserve"> </v>
      </c>
      <c r="T7" s="144" t="str">
        <f>IF('[6]Table 11 CWTs exp'!T7/'[6]Table 11 CWTs exp'!$AA7&gt;0.0005,'[6]Table 11 CWTs exp'!T7/'[6]Table 11 CWTs exp'!$AA7,IF('[6]Table 11 CWTs exp'!T7/'[6]Table 11 CWTs exp'!$AA7&gt;0,"-"," "))</f>
        <v>-</v>
      </c>
      <c r="U7" s="144" t="str">
        <f>IF('[6]Table 11 CWTs exp'!U7/'[6]Table 11 CWTs exp'!$AA7&gt;0.0005,'[6]Table 11 CWTs exp'!U7/'[6]Table 11 CWTs exp'!$AA7,IF('[6]Table 11 CWTs exp'!U7/'[6]Table 11 CWTs exp'!$AA7&gt;0,"-"," "))</f>
        <v>-</v>
      </c>
      <c r="V7" s="145" t="str">
        <f>IF('[6]Table 11 CWTs exp'!V7/'[6]Table 11 CWTs exp'!$AA7&gt;0.0005,'[6]Table 11 CWTs exp'!V7/'[6]Table 11 CWTs exp'!$AA7,IF('[6]Table 11 CWTs exp'!V7/'[6]Table 11 CWTs exp'!$AA7&gt;0,"-"," "))</f>
        <v>-</v>
      </c>
      <c r="W7" s="146" t="str">
        <f>IF('[6]Table 11 CWTs exp'!W7/'[6]Table 11 CWTs exp'!$AA7&gt;0.0005,'[6]Table 11 CWTs exp'!W7/'[6]Table 11 CWTs exp'!$AA7,IF('[6]Table 11 CWTs exp'!W7/'[6]Table 11 CWTs exp'!$AA7&gt;0,"-"," "))</f>
        <v xml:space="preserve"> </v>
      </c>
      <c r="X7" s="206" t="str">
        <f>IF('[6]Table 11 CWTs exp'!X7/'[6]Table 11 CWTs exp'!$AA7&gt;0.0005,'[6]Table 11 CWTs exp'!X7/'[6]Table 11 CWTs exp'!$AA7,IF('[6]Table 11 CWTs exp'!X7/'[6]Table 11 CWTs exp'!$AA7&gt;0,"-"," "))</f>
        <v xml:space="preserve"> </v>
      </c>
      <c r="Y7" s="147">
        <f t="shared" si="0"/>
        <v>0.89623681310029912</v>
      </c>
      <c r="Z7" s="148">
        <f t="shared" si="1"/>
        <v>0.10376318689970088</v>
      </c>
      <c r="AA7" s="38">
        <f>'[6]Table 11 CWTs exp'!AA7</f>
        <v>69861</v>
      </c>
    </row>
    <row r="8" spans="1:32" ht="14.15" customHeight="1" x14ac:dyDescent="0.25">
      <c r="A8" t="str">
        <f>'[6]Table 11 CWTs exp'!A8</f>
        <v>FRFH503</v>
      </c>
      <c r="B8" s="75" t="str">
        <f>'[6]Table 11 CWTs exp'!B8</f>
        <v>FRFH</v>
      </c>
      <c r="C8" s="75">
        <f>'[6]Table 11 CWTs exp'!C8</f>
        <v>50</v>
      </c>
      <c r="D8" s="75">
        <f>'[6]Table 11 CWTs exp'!D8</f>
        <v>3</v>
      </c>
      <c r="E8" s="3" t="str">
        <f>'[6]Table 11 CWTs exp'!E8</f>
        <v>Feather River Hatchery</v>
      </c>
      <c r="F8" s="37" t="str">
        <f>'[6]Table 11 CWTs exp'!F8</f>
        <v>Fall</v>
      </c>
      <c r="G8" s="287" t="str">
        <f>IF('[6]Table 11 CWTs exp'!G8/'[6]Table 11 CWTs exp'!$AA8&gt;0.0005,'[6]Table 11 CWTs exp'!G8/'[6]Table 11 CWTs exp'!$AA8,IF('[6]Table 11 CWTs exp'!G8/'[6]Table 11 CWTs exp'!$AA8&gt;0,"-"," "))</f>
        <v xml:space="preserve"> </v>
      </c>
      <c r="H8" s="145" t="str">
        <f>IF('[6]Table 11 CWTs exp'!H8/'[6]Table 11 CWTs exp'!$AA8&gt;0.0005,'[6]Table 11 CWTs exp'!H8/'[6]Table 11 CWTs exp'!$AA8,IF('[6]Table 11 CWTs exp'!H8/'[6]Table 11 CWTs exp'!$AA8&gt;0,"-"," "))</f>
        <v xml:space="preserve"> </v>
      </c>
      <c r="I8" s="144" t="str">
        <f>IF('[6]Table 11 CWTs exp'!I8/'[6]Table 11 CWTs exp'!$AA8&gt;0.0005,'[6]Table 11 CWTs exp'!I8/'[6]Table 11 CWTs exp'!$AA8,IF('[6]Table 11 CWTs exp'!I8/'[6]Table 11 CWTs exp'!$AA8&gt;0,"-"," "))</f>
        <v>-</v>
      </c>
      <c r="J8" s="146">
        <f>IF('[6]Table 11 CWTs exp'!J8/'[6]Table 11 CWTs exp'!$AA8&gt;0.0005,'[6]Table 11 CWTs exp'!J8/'[6]Table 11 CWTs exp'!$AA8,IF('[6]Table 11 CWTs exp'!J8/'[6]Table 11 CWTs exp'!$AA8&gt;0,"-"," "))</f>
        <v>9.6662080949967422E-3</v>
      </c>
      <c r="K8" s="144">
        <f>IF('[6]Table 11 CWTs exp'!K8/'[6]Table 11 CWTs exp'!$AA8&gt;0.0005,'[6]Table 11 CWTs exp'!K8/'[6]Table 11 CWTs exp'!$AA8,IF('[6]Table 11 CWTs exp'!K8/'[6]Table 11 CWTs exp'!$AA8&gt;0,"-"," "))</f>
        <v>0.10828325247990732</v>
      </c>
      <c r="L8" s="144">
        <f>IF('[6]Table 11 CWTs exp'!L8/'[6]Table 11 CWTs exp'!$AA8&gt;0.0005,'[6]Table 11 CWTs exp'!L8/'[6]Table 11 CWTs exp'!$AA8,IF('[6]Table 11 CWTs exp'!L8/'[6]Table 11 CWTs exp'!$AA8&gt;0,"-"," "))</f>
        <v>3.0953587719933385E-2</v>
      </c>
      <c r="M8" s="144">
        <f>IF('[6]Table 11 CWTs exp'!M8/'[6]Table 11 CWTs exp'!$AA8&gt;0.0005,'[6]Table 11 CWTs exp'!M8/'[6]Table 11 CWTs exp'!$AA8,IF('[6]Table 11 CWTs exp'!M8/'[6]Table 11 CWTs exp'!$AA8&gt;0,"-"," "))</f>
        <v>2.2445876475273331E-3</v>
      </c>
      <c r="N8" s="144">
        <f>IF('[6]Table 11 CWTs exp'!N8/'[6]Table 11 CWTs exp'!$AA8&gt;0.0005,'[6]Table 11 CWTs exp'!N8/'[6]Table 11 CWTs exp'!$AA8,IF('[6]Table 11 CWTs exp'!N8/'[6]Table 11 CWTs exp'!$AA8&gt;0,"-"," "))</f>
        <v>0.80493809282456008</v>
      </c>
      <c r="O8" s="144">
        <f>IF('[6]Table 11 CWTs exp'!O8/'[6]Table 11 CWTs exp'!$AA8&gt;0.0005,'[6]Table 11 CWTs exp'!O8/'[6]Table 11 CWTs exp'!$AA8,IF('[6]Table 11 CWTs exp'!O8/'[6]Table 11 CWTs exp'!$AA8&gt;0,"-"," "))</f>
        <v>4.6339874013467527E-3</v>
      </c>
      <c r="P8" s="144">
        <f>IF('[6]Table 11 CWTs exp'!P8/'[6]Table 11 CWTs exp'!$AA8&gt;0.0005,'[6]Table 11 CWTs exp'!P8/'[6]Table 11 CWTs exp'!$AA8,IF('[6]Table 11 CWTs exp'!P8/'[6]Table 11 CWTs exp'!$AA8&gt;0,"-"," "))</f>
        <v>2.7152269929766127E-3</v>
      </c>
      <c r="Q8" s="145" t="str">
        <f>IF('[6]Table 11 CWTs exp'!Q8/'[6]Table 11 CWTs exp'!$AA8&gt;0.0005,'[6]Table 11 CWTs exp'!Q8/'[6]Table 11 CWTs exp'!$AA8,IF('[6]Table 11 CWTs exp'!Q8/'[6]Table 11 CWTs exp'!$AA8&gt;0,"-"," "))</f>
        <v>-</v>
      </c>
      <c r="R8" s="146">
        <f>IF('[6]Table 11 CWTs exp'!R8/'[6]Table 11 CWTs exp'!$AA8&gt;0.0005,'[6]Table 11 CWTs exp'!R8/'[6]Table 11 CWTs exp'!$AA8,IF('[6]Table 11 CWTs exp'!R8/'[6]Table 11 CWTs exp'!$AA8&gt;0,"-"," "))</f>
        <v>5.7924842516834409E-4</v>
      </c>
      <c r="S8" s="144" t="str">
        <f>IF('[6]Table 11 CWTs exp'!S8/'[6]Table 11 CWTs exp'!$AA8&gt;0.0005,'[6]Table 11 CWTs exp'!S8/'[6]Table 11 CWTs exp'!$AA8,IF('[6]Table 11 CWTs exp'!S8/'[6]Table 11 CWTs exp'!$AA8&gt;0,"-"," "))</f>
        <v>-</v>
      </c>
      <c r="T8" s="144">
        <f>IF('[6]Table 11 CWTs exp'!T8/'[6]Table 11 CWTs exp'!$AA8&gt;0.0005,'[6]Table 11 CWTs exp'!T8/'[6]Table 11 CWTs exp'!$AA8,IF('[6]Table 11 CWTs exp'!T8/'[6]Table 11 CWTs exp'!$AA8&gt;0,"-"," "))</f>
        <v>2.0635725146622257E-3</v>
      </c>
      <c r="U8" s="144" t="str">
        <f>IF('[6]Table 11 CWTs exp'!U8/'[6]Table 11 CWTs exp'!$AA8&gt;0.0005,'[6]Table 11 CWTs exp'!U8/'[6]Table 11 CWTs exp'!$AA8,IF('[6]Table 11 CWTs exp'!U8/'[6]Table 11 CWTs exp'!$AA8&gt;0,"-"," "))</f>
        <v>-</v>
      </c>
      <c r="V8" s="145" t="str">
        <f>IF('[6]Table 11 CWTs exp'!V8/'[6]Table 11 CWTs exp'!$AA8&gt;0.0005,'[6]Table 11 CWTs exp'!V8/'[6]Table 11 CWTs exp'!$AA8,IF('[6]Table 11 CWTs exp'!V8/'[6]Table 11 CWTs exp'!$AA8&gt;0,"-"," "))</f>
        <v>-</v>
      </c>
      <c r="W8" s="146" t="str">
        <f>IF('[6]Table 11 CWTs exp'!W8/'[6]Table 11 CWTs exp'!$AA8&gt;0.0005,'[6]Table 11 CWTs exp'!W8/'[6]Table 11 CWTs exp'!$AA8,IF('[6]Table 11 CWTs exp'!W8/'[6]Table 11 CWTs exp'!$AA8&gt;0,"-"," "))</f>
        <v>-</v>
      </c>
      <c r="X8" s="206" t="str">
        <f>IF('[6]Table 11 CWTs exp'!X8/'[6]Table 11 CWTs exp'!$AA8&gt;0.0005,'[6]Table 11 CWTs exp'!X8/'[6]Table 11 CWTs exp'!$AA8,IF('[6]Table 11 CWTs exp'!X8/'[6]Table 11 CWTs exp'!$AA8&gt;0,"-"," "))</f>
        <v xml:space="preserve"> </v>
      </c>
      <c r="Y8" s="147">
        <f t="shared" si="0"/>
        <v>0.96607776410107893</v>
      </c>
      <c r="Z8" s="148">
        <f t="shared" si="1"/>
        <v>3.3922235898921071E-2</v>
      </c>
      <c r="AA8" s="38">
        <f>'[6]Table 11 CWTs exp'!AA8</f>
        <v>27622</v>
      </c>
    </row>
    <row r="9" spans="1:32" ht="14.15" customHeight="1" x14ac:dyDescent="0.25">
      <c r="A9" t="str">
        <f>'[6]Table 11 CWTs exp'!A9</f>
        <v>NBFH503</v>
      </c>
      <c r="B9" s="75" t="str">
        <f>'[6]Table 11 CWTs exp'!B9</f>
        <v>NBFH</v>
      </c>
      <c r="C9" s="75">
        <f>'[6]Table 11 CWTs exp'!C9</f>
        <v>50</v>
      </c>
      <c r="D9" s="75">
        <f>'[6]Table 11 CWTs exp'!D9</f>
        <v>3</v>
      </c>
      <c r="E9" s="3" t="str">
        <f>'[6]Table 11 CWTs exp'!E9</f>
        <v>Nimbus Fish Hatchery</v>
      </c>
      <c r="F9" s="37" t="str">
        <f>'[6]Table 11 CWTs exp'!F9</f>
        <v>Fall</v>
      </c>
      <c r="G9" s="287" t="str">
        <f>IF('[6]Table 11 CWTs exp'!G9/'[6]Table 11 CWTs exp'!$AA9&gt;0.0005,'[6]Table 11 CWTs exp'!G9/'[6]Table 11 CWTs exp'!$AA9,IF('[6]Table 11 CWTs exp'!G9/'[6]Table 11 CWTs exp'!$AA9&gt;0,"-"," "))</f>
        <v xml:space="preserve"> </v>
      </c>
      <c r="H9" s="145" t="str">
        <f>IF('[6]Table 11 CWTs exp'!H9/'[6]Table 11 CWTs exp'!$AA9&gt;0.0005,'[6]Table 11 CWTs exp'!H9/'[6]Table 11 CWTs exp'!$AA9,IF('[6]Table 11 CWTs exp'!H9/'[6]Table 11 CWTs exp'!$AA9&gt;0,"-"," "))</f>
        <v xml:space="preserve"> </v>
      </c>
      <c r="I9" s="144" t="str">
        <f>IF('[6]Table 11 CWTs exp'!I9/'[6]Table 11 CWTs exp'!$AA9&gt;0.0005,'[6]Table 11 CWTs exp'!I9/'[6]Table 11 CWTs exp'!$AA9,IF('[6]Table 11 CWTs exp'!I9/'[6]Table 11 CWTs exp'!$AA9&gt;0,"-"," "))</f>
        <v xml:space="preserve"> </v>
      </c>
      <c r="J9" s="146">
        <f>IF('[6]Table 11 CWTs exp'!J9/'[6]Table 11 CWTs exp'!$AA9&gt;0.0005,'[6]Table 11 CWTs exp'!J9/'[6]Table 11 CWTs exp'!$AA9,IF('[6]Table 11 CWTs exp'!J9/'[6]Table 11 CWTs exp'!$AA9&gt;0,"-"," "))</f>
        <v>1.5866020273248127E-2</v>
      </c>
      <c r="K9" s="144" t="str">
        <f>IF('[6]Table 11 CWTs exp'!K9/'[6]Table 11 CWTs exp'!$AA9&gt;0.0005,'[6]Table 11 CWTs exp'!K9/'[6]Table 11 CWTs exp'!$AA9,IF('[6]Table 11 CWTs exp'!K9/'[6]Table 11 CWTs exp'!$AA9&gt;0,"-"," "))</f>
        <v xml:space="preserve"> </v>
      </c>
      <c r="L9" s="144" t="str">
        <f>IF('[6]Table 11 CWTs exp'!L9/'[6]Table 11 CWTs exp'!$AA9&gt;0.0005,'[6]Table 11 CWTs exp'!L9/'[6]Table 11 CWTs exp'!$AA9,IF('[6]Table 11 CWTs exp'!L9/'[6]Table 11 CWTs exp'!$AA9&gt;0,"-"," "))</f>
        <v xml:space="preserve"> </v>
      </c>
      <c r="M9" s="144" t="str">
        <f>IF('[6]Table 11 CWTs exp'!M9/'[6]Table 11 CWTs exp'!$AA9&gt;0.0005,'[6]Table 11 CWTs exp'!M9/'[6]Table 11 CWTs exp'!$AA9,IF('[6]Table 11 CWTs exp'!M9/'[6]Table 11 CWTs exp'!$AA9&gt;0,"-"," "))</f>
        <v xml:space="preserve"> </v>
      </c>
      <c r="N9" s="144">
        <f>IF('[6]Table 11 CWTs exp'!N9/'[6]Table 11 CWTs exp'!$AA9&gt;0.0005,'[6]Table 11 CWTs exp'!N9/'[6]Table 11 CWTs exp'!$AA9,IF('[6]Table 11 CWTs exp'!N9/'[6]Table 11 CWTs exp'!$AA9&gt;0,"-"," "))</f>
        <v>1.5094755398854121E-2</v>
      </c>
      <c r="O9" s="144" t="str">
        <f>IF('[6]Table 11 CWTs exp'!O9/'[6]Table 11 CWTs exp'!$AA9&gt;0.0005,'[6]Table 11 CWTs exp'!O9/'[6]Table 11 CWTs exp'!$AA9,IF('[6]Table 11 CWTs exp'!O9/'[6]Table 11 CWTs exp'!$AA9&gt;0,"-"," "))</f>
        <v>-</v>
      </c>
      <c r="P9" s="144" t="str">
        <f>IF('[6]Table 11 CWTs exp'!P9/'[6]Table 11 CWTs exp'!$AA9&gt;0.0005,'[6]Table 11 CWTs exp'!P9/'[6]Table 11 CWTs exp'!$AA9,IF('[6]Table 11 CWTs exp'!P9/'[6]Table 11 CWTs exp'!$AA9&gt;0,"-"," "))</f>
        <v>-</v>
      </c>
      <c r="Q9" s="145">
        <f>IF('[6]Table 11 CWTs exp'!Q9/'[6]Table 11 CWTs exp'!$AA9&gt;0.0005,'[6]Table 11 CWTs exp'!Q9/'[6]Table 11 CWTs exp'!$AA9,IF('[6]Table 11 CWTs exp'!Q9/'[6]Table 11 CWTs exp'!$AA9&gt;0,"-"," "))</f>
        <v>0.3485015425297488</v>
      </c>
      <c r="R9" s="146">
        <f>IF('[6]Table 11 CWTs exp'!R9/'[6]Table 11 CWTs exp'!$AA9&gt;0.0005,'[6]Table 11 CWTs exp'!R9/'[6]Table 11 CWTs exp'!$AA9,IF('[6]Table 11 CWTs exp'!R9/'[6]Table 11 CWTs exp'!$AA9&gt;0,"-"," "))</f>
        <v>0.25815337152930806</v>
      </c>
      <c r="S9" s="144">
        <f>IF('[6]Table 11 CWTs exp'!S9/'[6]Table 11 CWTs exp'!$AA9&gt;0.0005,'[6]Table 11 CWTs exp'!S9/'[6]Table 11 CWTs exp'!$AA9,IF('[6]Table 11 CWTs exp'!S9/'[6]Table 11 CWTs exp'!$AA9&gt;0,"-"," "))</f>
        <v>8.8144557073600708E-4</v>
      </c>
      <c r="T9" s="144">
        <f>IF('[6]Table 11 CWTs exp'!T9/'[6]Table 11 CWTs exp'!$AA9&gt;0.0005,'[6]Table 11 CWTs exp'!T9/'[6]Table 11 CWTs exp'!$AA9,IF('[6]Table 11 CWTs exp'!T9/'[6]Table 11 CWTs exp'!$AA9&gt;0,"-"," "))</f>
        <v>0.18840899074482151</v>
      </c>
      <c r="U9" s="144">
        <f>IF('[6]Table 11 CWTs exp'!U9/'[6]Table 11 CWTs exp'!$AA9&gt;0.0005,'[6]Table 11 CWTs exp'!U9/'[6]Table 11 CWTs exp'!$AA9,IF('[6]Table 11 CWTs exp'!U9/'[6]Table 11 CWTs exp'!$AA9&gt;0,"-"," "))</f>
        <v>3.5368003525782281E-2</v>
      </c>
      <c r="V9" s="145" t="str">
        <f>IF('[6]Table 11 CWTs exp'!V9/'[6]Table 11 CWTs exp'!$AA9&gt;0.0005,'[6]Table 11 CWTs exp'!V9/'[6]Table 11 CWTs exp'!$AA9,IF('[6]Table 11 CWTs exp'!V9/'[6]Table 11 CWTs exp'!$AA9&gt;0,"-"," "))</f>
        <v xml:space="preserve"> </v>
      </c>
      <c r="W9" s="146">
        <f>IF('[6]Table 11 CWTs exp'!W9/'[6]Table 11 CWTs exp'!$AA9&gt;0.0005,'[6]Table 11 CWTs exp'!W9/'[6]Table 11 CWTs exp'!$AA9,IF('[6]Table 11 CWTs exp'!W9/'[6]Table 11 CWTs exp'!$AA9&gt;0,"-"," "))</f>
        <v>9.9162626707800794E-4</v>
      </c>
      <c r="X9" s="206" t="str">
        <f>IF('[6]Table 11 CWTs exp'!X9/'[6]Table 11 CWTs exp'!$AA9&gt;0.0005,'[6]Table 11 CWTs exp'!X9/'[6]Table 11 CWTs exp'!$AA9,IF('[6]Table 11 CWTs exp'!X9/'[6]Table 11 CWTs exp'!$AA9&gt;0,"-"," "))</f>
        <v xml:space="preserve"> </v>
      </c>
      <c r="Y9" s="147">
        <f t="shared" si="0"/>
        <v>0.86326575583957699</v>
      </c>
      <c r="Z9" s="148">
        <f t="shared" si="1"/>
        <v>0.13673424416042301</v>
      </c>
      <c r="AA9" s="38">
        <f>'[6]Table 11 CWTs exp'!AA9</f>
        <v>9076</v>
      </c>
    </row>
    <row r="10" spans="1:32" ht="14.15" customHeight="1" x14ac:dyDescent="0.25">
      <c r="A10" t="str">
        <f>'[6]Table 11 CWTs exp'!A10</f>
        <v>NIMW593</v>
      </c>
      <c r="B10" s="75" t="str">
        <f>'[6]Table 11 CWTs exp'!B10</f>
        <v>NIMW</v>
      </c>
      <c r="C10" s="75">
        <f>'[6]Table 11 CWTs exp'!C10</f>
        <v>59</v>
      </c>
      <c r="D10" s="75">
        <f>'[6]Table 11 CWTs exp'!D10</f>
        <v>3</v>
      </c>
      <c r="E10" s="3" t="str">
        <f>'[6]Table 11 CWTs exp'!E10</f>
        <v>Nimbus Fish Hatchery Weir</v>
      </c>
      <c r="F10" s="37" t="str">
        <f>'[6]Table 11 CWTs exp'!F10</f>
        <v>Fall</v>
      </c>
      <c r="G10" s="287" t="str">
        <f>IF('[6]Table 11 CWTs exp'!G10/'[6]Table 11 CWTs exp'!$AA10&gt;0.0005,'[6]Table 11 CWTs exp'!G10/'[6]Table 11 CWTs exp'!$AA10,IF('[6]Table 11 CWTs exp'!G10/'[6]Table 11 CWTs exp'!$AA10&gt;0,"-"," "))</f>
        <v xml:space="preserve"> </v>
      </c>
      <c r="H10" s="145" t="str">
        <f>IF('[6]Table 11 CWTs exp'!H10/'[6]Table 11 CWTs exp'!$AA10&gt;0.0005,'[6]Table 11 CWTs exp'!H10/'[6]Table 11 CWTs exp'!$AA10,IF('[6]Table 11 CWTs exp'!H10/'[6]Table 11 CWTs exp'!$AA10&gt;0,"-"," "))</f>
        <v xml:space="preserve"> </v>
      </c>
      <c r="I10" s="144">
        <f>IF('[6]Table 11 CWTs exp'!I10/'[6]Table 11 CWTs exp'!$AA10&gt;0.0005,'[6]Table 11 CWTs exp'!I10/'[6]Table 11 CWTs exp'!$AA10,IF('[6]Table 11 CWTs exp'!I10/'[6]Table 11 CWTs exp'!$AA10&gt;0,"-"," "))</f>
        <v>2.0156210632401111E-3</v>
      </c>
      <c r="J10" s="146">
        <f>IF('[6]Table 11 CWTs exp'!J10/'[6]Table 11 CWTs exp'!$AA10&gt;0.0005,'[6]Table 11 CWTs exp'!J10/'[6]Table 11 CWTs exp'!$AA10,IF('[6]Table 11 CWTs exp'!J10/'[6]Table 11 CWTs exp'!$AA10&gt;0,"-"," "))</f>
        <v>1.7132779037540943E-2</v>
      </c>
      <c r="K10" s="144" t="str">
        <f>IF('[6]Table 11 CWTs exp'!K10/'[6]Table 11 CWTs exp'!$AA10&gt;0.0005,'[6]Table 11 CWTs exp'!K10/'[6]Table 11 CWTs exp'!$AA10,IF('[6]Table 11 CWTs exp'!K10/'[6]Table 11 CWTs exp'!$AA10&gt;0,"-"," "))</f>
        <v xml:space="preserve"> </v>
      </c>
      <c r="L10" s="144">
        <f>IF('[6]Table 11 CWTs exp'!L10/'[6]Table 11 CWTs exp'!$AA10&gt;0.0005,'[6]Table 11 CWTs exp'!L10/'[6]Table 11 CWTs exp'!$AA10,IF('[6]Table 11 CWTs exp'!L10/'[6]Table 11 CWTs exp'!$AA10&gt;0,"-"," "))</f>
        <v>5.0390526581002776E-4</v>
      </c>
      <c r="M10" s="144">
        <f>IF('[6]Table 11 CWTs exp'!M10/'[6]Table 11 CWTs exp'!$AA10&gt;0.0005,'[6]Table 11 CWTs exp'!M10/'[6]Table 11 CWTs exp'!$AA10,IF('[6]Table 11 CWTs exp'!M10/'[6]Table 11 CWTs exp'!$AA10&gt;0,"-"," "))</f>
        <v>1.7636684303350969E-3</v>
      </c>
      <c r="N10" s="144">
        <f>IF('[6]Table 11 CWTs exp'!N10/'[6]Table 11 CWTs exp'!$AA10&gt;0.0005,'[6]Table 11 CWTs exp'!N10/'[6]Table 11 CWTs exp'!$AA10,IF('[6]Table 11 CWTs exp'!N10/'[6]Table 11 CWTs exp'!$AA10&gt;0,"-"," "))</f>
        <v>6.475182665658856E-2</v>
      </c>
      <c r="O10" s="144">
        <f>IF('[6]Table 11 CWTs exp'!O10/'[6]Table 11 CWTs exp'!$AA10&gt;0.0005,'[6]Table 11 CWTs exp'!O10/'[6]Table 11 CWTs exp'!$AA10,IF('[6]Table 11 CWTs exp'!O10/'[6]Table 11 CWTs exp'!$AA10&gt;0,"-"," "))</f>
        <v>2.5195263290501385E-3</v>
      </c>
      <c r="P10" s="144">
        <f>IF('[6]Table 11 CWTs exp'!P10/'[6]Table 11 CWTs exp'!$AA10&gt;0.0005,'[6]Table 11 CWTs exp'!P10/'[6]Table 11 CWTs exp'!$AA10,IF('[6]Table 11 CWTs exp'!P10/'[6]Table 11 CWTs exp'!$AA10&gt;0,"-"," "))</f>
        <v>5.0390526581002776E-4</v>
      </c>
      <c r="Q10" s="145">
        <f>IF('[6]Table 11 CWTs exp'!Q10/'[6]Table 11 CWTs exp'!$AA10&gt;0.0005,'[6]Table 11 CWTs exp'!Q10/'[6]Table 11 CWTs exp'!$AA10,IF('[6]Table 11 CWTs exp'!Q10/'[6]Table 11 CWTs exp'!$AA10&gt;0,"-"," "))</f>
        <v>0.2781557067271353</v>
      </c>
      <c r="R10" s="146">
        <f>IF('[6]Table 11 CWTs exp'!R10/'[6]Table 11 CWTs exp'!$AA10&gt;0.0005,'[6]Table 11 CWTs exp'!R10/'[6]Table 11 CWTs exp'!$AA10,IF('[6]Table 11 CWTs exp'!R10/'[6]Table 11 CWTs exp'!$AA10&gt;0,"-"," "))</f>
        <v>0.10884353741496598</v>
      </c>
      <c r="S10" s="144" t="str">
        <f>IF('[6]Table 11 CWTs exp'!S10/'[6]Table 11 CWTs exp'!$AA10&gt;0.0005,'[6]Table 11 CWTs exp'!S10/'[6]Table 11 CWTs exp'!$AA10,IF('[6]Table 11 CWTs exp'!S10/'[6]Table 11 CWTs exp'!$AA10&gt;0,"-"," "))</f>
        <v xml:space="preserve"> </v>
      </c>
      <c r="T10" s="144">
        <f>IF('[6]Table 11 CWTs exp'!T10/'[6]Table 11 CWTs exp'!$AA10&gt;0.0005,'[6]Table 11 CWTs exp'!T10/'[6]Table 11 CWTs exp'!$AA10,IF('[6]Table 11 CWTs exp'!T10/'[6]Table 11 CWTs exp'!$AA10&gt;0,"-"," "))</f>
        <v>0.20660115898211137</v>
      </c>
      <c r="U10" s="144">
        <f>IF('[6]Table 11 CWTs exp'!U10/'[6]Table 11 CWTs exp'!$AA10&gt;0.0005,'[6]Table 11 CWTs exp'!U10/'[6]Table 11 CWTs exp'!$AA10,IF('[6]Table 11 CWTs exp'!U10/'[6]Table 11 CWTs exp'!$AA10&gt;0,"-"," "))</f>
        <v>2.4187452758881331E-2</v>
      </c>
      <c r="V10" s="145" t="str">
        <f>IF('[6]Table 11 CWTs exp'!V10/'[6]Table 11 CWTs exp'!$AA10&gt;0.0005,'[6]Table 11 CWTs exp'!V10/'[6]Table 11 CWTs exp'!$AA10,IF('[6]Table 11 CWTs exp'!V10/'[6]Table 11 CWTs exp'!$AA10&gt;0,"-"," "))</f>
        <v>-</v>
      </c>
      <c r="W10" s="146" t="str">
        <f>IF('[6]Table 11 CWTs exp'!W10/'[6]Table 11 CWTs exp'!$AA10&gt;0.0005,'[6]Table 11 CWTs exp'!W10/'[6]Table 11 CWTs exp'!$AA10,IF('[6]Table 11 CWTs exp'!W10/'[6]Table 11 CWTs exp'!$AA10&gt;0,"-"," "))</f>
        <v xml:space="preserve"> </v>
      </c>
      <c r="X10" s="206" t="str">
        <f>IF('[6]Table 11 CWTs exp'!X10/'[6]Table 11 CWTs exp'!$AA10&gt;0.0005,'[6]Table 11 CWTs exp'!X10/'[6]Table 11 CWTs exp'!$AA10,IF('[6]Table 11 CWTs exp'!X10/'[6]Table 11 CWTs exp'!$AA10&gt;0,"-"," "))</f>
        <v xml:space="preserve"> </v>
      </c>
      <c r="Y10" s="147">
        <f t="shared" si="0"/>
        <v>0.70697908793146891</v>
      </c>
      <c r="Z10" s="148">
        <f t="shared" si="1"/>
        <v>0.29302091206853109</v>
      </c>
      <c r="AA10" s="38">
        <f>'[6]Table 11 CWTs exp'!AA10</f>
        <v>3969</v>
      </c>
    </row>
    <row r="11" spans="1:32" ht="14.15" customHeight="1" x14ac:dyDescent="0.25">
      <c r="A11" t="str">
        <f>'[6]Table 11 CWTs exp'!A11</f>
        <v>MRFI503</v>
      </c>
      <c r="B11" s="75" t="str">
        <f>'[6]Table 11 CWTs exp'!B11</f>
        <v>MRFI</v>
      </c>
      <c r="C11" s="75">
        <f>'[6]Table 11 CWTs exp'!C11</f>
        <v>50</v>
      </c>
      <c r="D11" s="75">
        <f>'[6]Table 11 CWTs exp'!D11</f>
        <v>3</v>
      </c>
      <c r="E11" s="3" t="str">
        <f>'[6]Table 11 CWTs exp'!E11</f>
        <v>Mokelumne River Hatchery</v>
      </c>
      <c r="F11" s="37" t="str">
        <f>'[6]Table 11 CWTs exp'!F11</f>
        <v>Fall</v>
      </c>
      <c r="G11" s="287" t="str">
        <f>IF('[6]Table 11 CWTs exp'!G11/'[6]Table 11 CWTs exp'!$AA11&gt;0.0005,'[6]Table 11 CWTs exp'!G11/'[6]Table 11 CWTs exp'!$AA11,IF('[6]Table 11 CWTs exp'!G11/'[6]Table 11 CWTs exp'!$AA11&gt;0,"-"," "))</f>
        <v xml:space="preserve"> </v>
      </c>
      <c r="H11" s="145" t="str">
        <f>IF('[6]Table 11 CWTs exp'!H11/'[6]Table 11 CWTs exp'!$AA11&gt;0.0005,'[6]Table 11 CWTs exp'!H11/'[6]Table 11 CWTs exp'!$AA11,IF('[6]Table 11 CWTs exp'!H11/'[6]Table 11 CWTs exp'!$AA11&gt;0,"-"," "))</f>
        <v>-</v>
      </c>
      <c r="I11" s="144" t="str">
        <f>IF('[6]Table 11 CWTs exp'!I11/'[6]Table 11 CWTs exp'!$AA11&gt;0.0005,'[6]Table 11 CWTs exp'!I11/'[6]Table 11 CWTs exp'!$AA11,IF('[6]Table 11 CWTs exp'!I11/'[6]Table 11 CWTs exp'!$AA11&gt;0,"-"," "))</f>
        <v xml:space="preserve"> </v>
      </c>
      <c r="J11" s="146">
        <f>IF('[6]Table 11 CWTs exp'!J11/'[6]Table 11 CWTs exp'!$AA11&gt;0.0005,'[6]Table 11 CWTs exp'!J11/'[6]Table 11 CWTs exp'!$AA11,IF('[6]Table 11 CWTs exp'!J11/'[6]Table 11 CWTs exp'!$AA11&gt;0,"-"," "))</f>
        <v>1.0808724184520363E-2</v>
      </c>
      <c r="K11" s="144" t="str">
        <f>IF('[6]Table 11 CWTs exp'!K11/'[6]Table 11 CWTs exp'!$AA11&gt;0.0005,'[6]Table 11 CWTs exp'!K11/'[6]Table 11 CWTs exp'!$AA11,IF('[6]Table 11 CWTs exp'!K11/'[6]Table 11 CWTs exp'!$AA11&gt;0,"-"," "))</f>
        <v xml:space="preserve"> </v>
      </c>
      <c r="L11" s="144" t="str">
        <f>IF('[6]Table 11 CWTs exp'!L11/'[6]Table 11 CWTs exp'!$AA11&gt;0.0005,'[6]Table 11 CWTs exp'!L11/'[6]Table 11 CWTs exp'!$AA11,IF('[6]Table 11 CWTs exp'!L11/'[6]Table 11 CWTs exp'!$AA11&gt;0,"-"," "))</f>
        <v xml:space="preserve"> </v>
      </c>
      <c r="M11" s="144" t="str">
        <f>IF('[6]Table 11 CWTs exp'!M11/'[6]Table 11 CWTs exp'!$AA11&gt;0.0005,'[6]Table 11 CWTs exp'!M11/'[6]Table 11 CWTs exp'!$AA11,IF('[6]Table 11 CWTs exp'!M11/'[6]Table 11 CWTs exp'!$AA11&gt;0,"-"," "))</f>
        <v xml:space="preserve"> </v>
      </c>
      <c r="N11" s="144">
        <f>IF('[6]Table 11 CWTs exp'!N11/'[6]Table 11 CWTs exp'!$AA11&gt;0.0005,'[6]Table 11 CWTs exp'!N11/'[6]Table 11 CWTs exp'!$AA11,IF('[6]Table 11 CWTs exp'!N11/'[6]Table 11 CWTs exp'!$AA11&gt;0,"-"," "))</f>
        <v>3.7251495850221965E-2</v>
      </c>
      <c r="O11" s="144" t="str">
        <f>IF('[6]Table 11 CWTs exp'!O11/'[6]Table 11 CWTs exp'!$AA11&gt;0.0005,'[6]Table 11 CWTs exp'!O11/'[6]Table 11 CWTs exp'!$AA11,IF('[6]Table 11 CWTs exp'!O11/'[6]Table 11 CWTs exp'!$AA11&gt;0,"-"," "))</f>
        <v>-</v>
      </c>
      <c r="P11" s="144">
        <f>IF('[6]Table 11 CWTs exp'!P11/'[6]Table 11 CWTs exp'!$AA11&gt;0.0005,'[6]Table 11 CWTs exp'!P11/'[6]Table 11 CWTs exp'!$AA11,IF('[6]Table 11 CWTs exp'!P11/'[6]Table 11 CWTs exp'!$AA11&gt;0,"-"," "))</f>
        <v>9.650646593321753E-4</v>
      </c>
      <c r="Q11" s="145">
        <f>IF('[6]Table 11 CWTs exp'!Q11/'[6]Table 11 CWTs exp'!$AA11&gt;0.0005,'[6]Table 11 CWTs exp'!Q11/'[6]Table 11 CWTs exp'!$AA11,IF('[6]Table 11 CWTs exp'!Q11/'[6]Table 11 CWTs exp'!$AA11&gt;0,"-"," "))</f>
        <v>7.7205172746574015E-4</v>
      </c>
      <c r="R11" s="146">
        <f>IF('[6]Table 11 CWTs exp'!R11/'[6]Table 11 CWTs exp'!$AA11&gt;0.0005,'[6]Table 11 CWTs exp'!R11/'[6]Table 11 CWTs exp'!$AA11,IF('[6]Table 11 CWTs exp'!R11/'[6]Table 11 CWTs exp'!$AA11&gt;0,"-"," "))</f>
        <v>1.3896931094383324E-2</v>
      </c>
      <c r="S11" s="144">
        <f>IF('[6]Table 11 CWTs exp'!S11/'[6]Table 11 CWTs exp'!$AA11&gt;0.0005,'[6]Table 11 CWTs exp'!S11/'[6]Table 11 CWTs exp'!$AA11,IF('[6]Table 11 CWTs exp'!S11/'[6]Table 11 CWTs exp'!$AA11&gt;0,"-"," "))</f>
        <v>4.6516116579810848E-2</v>
      </c>
      <c r="T11" s="144">
        <f>IF('[6]Table 11 CWTs exp'!T11/'[6]Table 11 CWTs exp'!$AA11&gt;0.0005,'[6]Table 11 CWTs exp'!T11/'[6]Table 11 CWTs exp'!$AA11,IF('[6]Table 11 CWTs exp'!T11/'[6]Table 11 CWTs exp'!$AA11&gt;0,"-"," "))</f>
        <v>0.6550858907546806</v>
      </c>
      <c r="U11" s="144">
        <f>IF('[6]Table 11 CWTs exp'!U11/'[6]Table 11 CWTs exp'!$AA11&gt;0.0005,'[6]Table 11 CWTs exp'!U11/'[6]Table 11 CWTs exp'!$AA11,IF('[6]Table 11 CWTs exp'!U11/'[6]Table 11 CWTs exp'!$AA11&gt;0,"-"," "))</f>
        <v>0.12487936691758347</v>
      </c>
      <c r="V11" s="145" t="str">
        <f>IF('[6]Table 11 CWTs exp'!V11/'[6]Table 11 CWTs exp'!$AA11&gt;0.0005,'[6]Table 11 CWTs exp'!V11/'[6]Table 11 CWTs exp'!$AA11,IF('[6]Table 11 CWTs exp'!V11/'[6]Table 11 CWTs exp'!$AA11&gt;0,"-"," "))</f>
        <v xml:space="preserve"> </v>
      </c>
      <c r="W11" s="146">
        <f>IF('[6]Table 11 CWTs exp'!W11/'[6]Table 11 CWTs exp'!$AA11&gt;0.0005,'[6]Table 11 CWTs exp'!W11/'[6]Table 11 CWTs exp'!$AA11,IF('[6]Table 11 CWTs exp'!W11/'[6]Table 11 CWTs exp'!$AA11&gt;0,"-"," "))</f>
        <v>7.7205172746574015E-4</v>
      </c>
      <c r="X11" s="144">
        <f>IF('[6]Table 11 CWTs exp'!X11/'[6]Table 11 CWTs exp'!$AA11&gt;0.0005,'[6]Table 11 CWTs exp'!X11/'[6]Table 11 CWTs exp'!$AA11,IF('[6]Table 11 CWTs exp'!X11/'[6]Table 11 CWTs exp'!$AA11&gt;0,"-"," "))</f>
        <v>7.7205172746574015E-4</v>
      </c>
      <c r="Y11" s="147">
        <f t="shared" si="0"/>
        <v>0.89171974522293007</v>
      </c>
      <c r="Z11" s="148">
        <f t="shared" si="1"/>
        <v>0.10828025477706993</v>
      </c>
      <c r="AA11" s="38">
        <f>'[6]Table 11 CWTs exp'!AA11</f>
        <v>5181</v>
      </c>
    </row>
    <row r="12" spans="1:32" ht="14.15" customHeight="1" x14ac:dyDescent="0.25">
      <c r="A12" t="str">
        <f>'[6]Table 11 CWTs exp'!A12</f>
        <v>MRFF503</v>
      </c>
      <c r="B12" s="75" t="str">
        <f>'[6]Table 11 CWTs exp'!B12</f>
        <v>MRFF</v>
      </c>
      <c r="C12" s="75">
        <f>'[6]Table 11 CWTs exp'!C12</f>
        <v>50</v>
      </c>
      <c r="D12" s="75">
        <f>'[6]Table 11 CWTs exp'!D12</f>
        <v>3</v>
      </c>
      <c r="E12" s="3" t="str">
        <f>'[6]Table 11 CWTs exp'!E12</f>
        <v>Merced River Hatchery</v>
      </c>
      <c r="F12" s="37" t="str">
        <f>'[6]Table 11 CWTs exp'!F12</f>
        <v>Fall</v>
      </c>
      <c r="G12" s="287" t="str">
        <f>IF('[6]Table 11 CWTs exp'!G12/'[6]Table 11 CWTs exp'!$AA12&gt;0.0005,'[6]Table 11 CWTs exp'!G12/'[6]Table 11 CWTs exp'!$AA12,IF('[6]Table 11 CWTs exp'!G12/'[6]Table 11 CWTs exp'!$AA12&gt;0,"-"," "))</f>
        <v xml:space="preserve"> </v>
      </c>
      <c r="H12" s="145">
        <f>IF('[6]Table 11 CWTs exp'!H12/'[6]Table 11 CWTs exp'!$AA12&gt;0.0005,'[6]Table 11 CWTs exp'!H12/'[6]Table 11 CWTs exp'!$AA12,IF('[6]Table 11 CWTs exp'!H12/'[6]Table 11 CWTs exp'!$AA12&gt;0,"-"," "))</f>
        <v>2.7322404371584699E-3</v>
      </c>
      <c r="I12" s="144" t="str">
        <f>IF('[6]Table 11 CWTs exp'!I12/'[6]Table 11 CWTs exp'!$AA12&gt;0.0005,'[6]Table 11 CWTs exp'!I12/'[6]Table 11 CWTs exp'!$AA12,IF('[6]Table 11 CWTs exp'!I12/'[6]Table 11 CWTs exp'!$AA12&gt;0,"-"," "))</f>
        <v xml:space="preserve"> </v>
      </c>
      <c r="J12" s="146">
        <f>IF('[6]Table 11 CWTs exp'!J12/'[6]Table 11 CWTs exp'!$AA12&gt;0.0005,'[6]Table 11 CWTs exp'!J12/'[6]Table 11 CWTs exp'!$AA12,IF('[6]Table 11 CWTs exp'!J12/'[6]Table 11 CWTs exp'!$AA12&gt;0,"-"," "))</f>
        <v>2.2768670309653915E-2</v>
      </c>
      <c r="K12" s="144" t="str">
        <f>IF('[6]Table 11 CWTs exp'!K12/'[6]Table 11 CWTs exp'!$AA12&gt;0.0005,'[6]Table 11 CWTs exp'!K12/'[6]Table 11 CWTs exp'!$AA12,IF('[6]Table 11 CWTs exp'!K12/'[6]Table 11 CWTs exp'!$AA12&gt;0,"-"," "))</f>
        <v xml:space="preserve"> </v>
      </c>
      <c r="L12" s="144" t="str">
        <f>IF('[6]Table 11 CWTs exp'!L12/'[6]Table 11 CWTs exp'!$AA12&gt;0.0005,'[6]Table 11 CWTs exp'!L12/'[6]Table 11 CWTs exp'!$AA12,IF('[6]Table 11 CWTs exp'!L12/'[6]Table 11 CWTs exp'!$AA12&gt;0,"-"," "))</f>
        <v xml:space="preserve"> </v>
      </c>
      <c r="M12" s="144">
        <f>IF('[6]Table 11 CWTs exp'!M12/'[6]Table 11 CWTs exp'!$AA12&gt;0.0005,'[6]Table 11 CWTs exp'!M12/'[6]Table 11 CWTs exp'!$AA12,IF('[6]Table 11 CWTs exp'!M12/'[6]Table 11 CWTs exp'!$AA12&gt;0,"-"," "))</f>
        <v>9.1074681238615665E-4</v>
      </c>
      <c r="N12" s="144">
        <f>IF('[6]Table 11 CWTs exp'!N12/'[6]Table 11 CWTs exp'!$AA12&gt;0.0005,'[6]Table 11 CWTs exp'!N12/'[6]Table 11 CWTs exp'!$AA12,IF('[6]Table 11 CWTs exp'!N12/'[6]Table 11 CWTs exp'!$AA12&gt;0,"-"," "))</f>
        <v>4.1894353369763208E-2</v>
      </c>
      <c r="O12" s="144" t="str">
        <f>IF('[6]Table 11 CWTs exp'!O12/'[6]Table 11 CWTs exp'!$AA12&gt;0.0005,'[6]Table 11 CWTs exp'!O12/'[6]Table 11 CWTs exp'!$AA12,IF('[6]Table 11 CWTs exp'!O12/'[6]Table 11 CWTs exp'!$AA12&gt;0,"-"," "))</f>
        <v xml:space="preserve"> </v>
      </c>
      <c r="P12" s="144" t="str">
        <f>IF('[6]Table 11 CWTs exp'!P12/'[6]Table 11 CWTs exp'!$AA12&gt;0.0005,'[6]Table 11 CWTs exp'!P12/'[6]Table 11 CWTs exp'!$AA12,IF('[6]Table 11 CWTs exp'!P12/'[6]Table 11 CWTs exp'!$AA12&gt;0,"-"," "))</f>
        <v xml:space="preserve"> </v>
      </c>
      <c r="Q12" s="145" t="str">
        <f>IF('[6]Table 11 CWTs exp'!Q12/'[6]Table 11 CWTs exp'!$AA12&gt;0.0005,'[6]Table 11 CWTs exp'!Q12/'[6]Table 11 CWTs exp'!$AA12,IF('[6]Table 11 CWTs exp'!Q12/'[6]Table 11 CWTs exp'!$AA12&gt;0,"-"," "))</f>
        <v xml:space="preserve"> </v>
      </c>
      <c r="R12" s="146">
        <f>IF('[6]Table 11 CWTs exp'!R12/'[6]Table 11 CWTs exp'!$AA12&gt;0.0005,'[6]Table 11 CWTs exp'!R12/'[6]Table 11 CWTs exp'!$AA12,IF('[6]Table 11 CWTs exp'!R12/'[6]Table 11 CWTs exp'!$AA12&gt;0,"-"," "))</f>
        <v>3.0965391621129327E-2</v>
      </c>
      <c r="S12" s="144" t="str">
        <f>IF('[6]Table 11 CWTs exp'!S12/'[6]Table 11 CWTs exp'!$AA12&gt;0.0005,'[6]Table 11 CWTs exp'!S12/'[6]Table 11 CWTs exp'!$AA12,IF('[6]Table 11 CWTs exp'!S12/'[6]Table 11 CWTs exp'!$AA12&gt;0,"-"," "))</f>
        <v xml:space="preserve"> </v>
      </c>
      <c r="T12" s="144">
        <f>IF('[6]Table 11 CWTs exp'!T12/'[6]Table 11 CWTs exp'!$AA12&gt;0.0005,'[6]Table 11 CWTs exp'!T12/'[6]Table 11 CWTs exp'!$AA12,IF('[6]Table 11 CWTs exp'!T12/'[6]Table 11 CWTs exp'!$AA12&gt;0,"-"," "))</f>
        <v>0.34426229508196721</v>
      </c>
      <c r="U12" s="144">
        <f>IF('[6]Table 11 CWTs exp'!U12/'[6]Table 11 CWTs exp'!$AA12&gt;0.0005,'[6]Table 11 CWTs exp'!U12/'[6]Table 11 CWTs exp'!$AA12,IF('[6]Table 11 CWTs exp'!U12/'[6]Table 11 CWTs exp'!$AA12&gt;0,"-"," "))</f>
        <v>9.0163934426229511E-2</v>
      </c>
      <c r="V12" s="145">
        <f>IF('[6]Table 11 CWTs exp'!V12/'[6]Table 11 CWTs exp'!$AA12&gt;0.0005,'[6]Table 11 CWTs exp'!V12/'[6]Table 11 CWTs exp'!$AA12,IF('[6]Table 11 CWTs exp'!V12/'[6]Table 11 CWTs exp'!$AA12&gt;0,"-"," "))</f>
        <v>8.7431693989071038E-2</v>
      </c>
      <c r="W12" s="146">
        <f>IF('[6]Table 11 CWTs exp'!W12/'[6]Table 11 CWTs exp'!$AA12&gt;0.0005,'[6]Table 11 CWTs exp'!W12/'[6]Table 11 CWTs exp'!$AA12,IF('[6]Table 11 CWTs exp'!W12/'[6]Table 11 CWTs exp'!$AA12&gt;0,"-"," "))</f>
        <v>5.4644808743169399E-3</v>
      </c>
      <c r="X12" s="206" t="str">
        <f>IF('[6]Table 11 CWTs exp'!X12/'[6]Table 11 CWTs exp'!$AA12&gt;0.0005,'[6]Table 11 CWTs exp'!X12/'[6]Table 11 CWTs exp'!$AA12,IF('[6]Table 11 CWTs exp'!X12/'[6]Table 11 CWTs exp'!$AA12&gt;0,"-"," "))</f>
        <v xml:space="preserve"> </v>
      </c>
      <c r="Y12" s="147">
        <f t="shared" si="0"/>
        <v>0.62659380692167577</v>
      </c>
      <c r="Z12" s="148">
        <f t="shared" si="1"/>
        <v>0.37340619307832423</v>
      </c>
      <c r="AA12" s="38">
        <f>'[6]Table 11 CWTs exp'!AA12</f>
        <v>1098</v>
      </c>
      <c r="AD12" s="327"/>
    </row>
    <row r="13" spans="1:32" ht="14.15" customHeight="1" x14ac:dyDescent="0.25">
      <c r="A13" t="str">
        <f>'[6]Table 11 CWTs exp'!A13</f>
        <v>CNFH507</v>
      </c>
      <c r="B13" s="75" t="str">
        <f>'[6]Table 11 CWTs exp'!B13</f>
        <v>CNFH</v>
      </c>
      <c r="C13" s="75">
        <f>'[6]Table 11 CWTs exp'!C13</f>
        <v>50</v>
      </c>
      <c r="D13" s="75">
        <f>'[6]Table 11 CWTs exp'!D13</f>
        <v>7</v>
      </c>
      <c r="E13" s="3" t="str">
        <f>'[6]Table 11 CWTs exp'!E13</f>
        <v xml:space="preserve">Coleman National Fish Hatchery </v>
      </c>
      <c r="F13" s="37" t="s">
        <v>57</v>
      </c>
      <c r="G13" s="287" t="str">
        <f>IF('[6]Table 11 CWTs exp'!G13/'[6]Table 11 CWTs exp'!$AA13&gt;0.0005,'[6]Table 11 CWTs exp'!G13/'[6]Table 11 CWTs exp'!$AA13,IF('[6]Table 11 CWTs exp'!G13/'[6]Table 11 CWTs exp'!$AA13&gt;0,"-"," "))</f>
        <v xml:space="preserve"> </v>
      </c>
      <c r="H13" s="145">
        <f>IF('[6]Table 11 CWTs exp'!H13/'[6]Table 11 CWTs exp'!$AA13&gt;0.0005,'[6]Table 11 CWTs exp'!H13/'[6]Table 11 CWTs exp'!$AA13,IF('[6]Table 11 CWTs exp'!H13/'[6]Table 11 CWTs exp'!$AA13&gt;0,"-"," "))</f>
        <v>0.99292929292929288</v>
      </c>
      <c r="I13" s="144" t="str">
        <f>IF('[6]Table 11 CWTs exp'!I13/'[6]Table 11 CWTs exp'!$AA13&gt;0.0005,'[6]Table 11 CWTs exp'!I13/'[6]Table 11 CWTs exp'!$AA13,IF('[6]Table 11 CWTs exp'!I13/'[6]Table 11 CWTs exp'!$AA13&gt;0,"-"," "))</f>
        <v xml:space="preserve"> </v>
      </c>
      <c r="J13" s="146" t="str">
        <f>IF('[6]Table 11 CWTs exp'!J13/'[6]Table 11 CWTs exp'!$AA13&gt;0.0005,'[6]Table 11 CWTs exp'!J13/'[6]Table 11 CWTs exp'!$AA13,IF('[6]Table 11 CWTs exp'!J13/'[6]Table 11 CWTs exp'!$AA13&gt;0,"-"," "))</f>
        <v xml:space="preserve"> </v>
      </c>
      <c r="K13" s="144" t="str">
        <f>IF('[6]Table 11 CWTs exp'!K13/'[6]Table 11 CWTs exp'!$AA13&gt;0.0005,'[6]Table 11 CWTs exp'!K13/'[6]Table 11 CWTs exp'!$AA13,IF('[6]Table 11 CWTs exp'!K13/'[6]Table 11 CWTs exp'!$AA13&gt;0,"-"," "))</f>
        <v xml:space="preserve"> </v>
      </c>
      <c r="L13" s="144" t="str">
        <f>IF('[6]Table 11 CWTs exp'!L13/'[6]Table 11 CWTs exp'!$AA13&gt;0.0005,'[6]Table 11 CWTs exp'!L13/'[6]Table 11 CWTs exp'!$AA13,IF('[6]Table 11 CWTs exp'!L13/'[6]Table 11 CWTs exp'!$AA13&gt;0,"-"," "))</f>
        <v xml:space="preserve"> </v>
      </c>
      <c r="M13" s="144" t="str">
        <f>IF('[6]Table 11 CWTs exp'!M13/'[6]Table 11 CWTs exp'!$AA13&gt;0.0005,'[6]Table 11 CWTs exp'!M13/'[6]Table 11 CWTs exp'!$AA13,IF('[6]Table 11 CWTs exp'!M13/'[6]Table 11 CWTs exp'!$AA13&gt;0,"-"," "))</f>
        <v xml:space="preserve"> </v>
      </c>
      <c r="N13" s="144" t="str">
        <f>IF('[6]Table 11 CWTs exp'!N13/'[6]Table 11 CWTs exp'!$AA13&gt;0.0005,'[6]Table 11 CWTs exp'!N13/'[6]Table 11 CWTs exp'!$AA13,IF('[6]Table 11 CWTs exp'!N13/'[6]Table 11 CWTs exp'!$AA13&gt;0,"-"," "))</f>
        <v xml:space="preserve"> </v>
      </c>
      <c r="O13" s="144" t="str">
        <f>IF('[6]Table 11 CWTs exp'!O13/'[6]Table 11 CWTs exp'!$AA13&gt;0.0005,'[6]Table 11 CWTs exp'!O13/'[6]Table 11 CWTs exp'!$AA13,IF('[6]Table 11 CWTs exp'!O13/'[6]Table 11 CWTs exp'!$AA13&gt;0,"-"," "))</f>
        <v xml:space="preserve"> </v>
      </c>
      <c r="P13" s="144" t="str">
        <f>IF('[6]Table 11 CWTs exp'!P13/'[6]Table 11 CWTs exp'!$AA13&gt;0.0005,'[6]Table 11 CWTs exp'!P13/'[6]Table 11 CWTs exp'!$AA13,IF('[6]Table 11 CWTs exp'!P13/'[6]Table 11 CWTs exp'!$AA13&gt;0,"-"," "))</f>
        <v xml:space="preserve"> </v>
      </c>
      <c r="Q13" s="145" t="str">
        <f>IF('[6]Table 11 CWTs exp'!Q13/'[6]Table 11 CWTs exp'!$AA13&gt;0.0005,'[6]Table 11 CWTs exp'!Q13/'[6]Table 11 CWTs exp'!$AA13,IF('[6]Table 11 CWTs exp'!Q13/'[6]Table 11 CWTs exp'!$AA13&gt;0,"-"," "))</f>
        <v xml:space="preserve"> </v>
      </c>
      <c r="R13" s="146" t="str">
        <f>IF('[6]Table 11 CWTs exp'!R13/'[6]Table 11 CWTs exp'!$AA13&gt;0.0005,'[6]Table 11 CWTs exp'!R13/'[6]Table 11 CWTs exp'!$AA13,IF('[6]Table 11 CWTs exp'!R13/'[6]Table 11 CWTs exp'!$AA13&gt;0,"-"," "))</f>
        <v xml:space="preserve"> </v>
      </c>
      <c r="S13" s="144" t="str">
        <f>IF('[6]Table 11 CWTs exp'!S13/'[6]Table 11 CWTs exp'!$AA13&gt;0.0005,'[6]Table 11 CWTs exp'!S13/'[6]Table 11 CWTs exp'!$AA13,IF('[6]Table 11 CWTs exp'!S13/'[6]Table 11 CWTs exp'!$AA13&gt;0,"-"," "))</f>
        <v xml:space="preserve"> </v>
      </c>
      <c r="T13" s="144" t="str">
        <f>IF('[6]Table 11 CWTs exp'!T13/'[6]Table 11 CWTs exp'!$AA13&gt;0.0005,'[6]Table 11 CWTs exp'!T13/'[6]Table 11 CWTs exp'!$AA13,IF('[6]Table 11 CWTs exp'!T13/'[6]Table 11 CWTs exp'!$AA13&gt;0,"-"," "))</f>
        <v xml:space="preserve"> </v>
      </c>
      <c r="U13" s="144" t="str">
        <f>IF('[6]Table 11 CWTs exp'!U13/'[6]Table 11 CWTs exp'!$AA13&gt;0.0005,'[6]Table 11 CWTs exp'!U13/'[6]Table 11 CWTs exp'!$AA13,IF('[6]Table 11 CWTs exp'!U13/'[6]Table 11 CWTs exp'!$AA13&gt;0,"-"," "))</f>
        <v xml:space="preserve"> </v>
      </c>
      <c r="V13" s="145" t="str">
        <f>IF('[6]Table 11 CWTs exp'!V13/'[6]Table 11 CWTs exp'!$AA13&gt;0.0005,'[6]Table 11 CWTs exp'!V13/'[6]Table 11 CWTs exp'!$AA13,IF('[6]Table 11 CWTs exp'!V13/'[6]Table 11 CWTs exp'!$AA13&gt;0,"-"," "))</f>
        <v xml:space="preserve"> </v>
      </c>
      <c r="W13" s="146" t="str">
        <f>IF('[6]Table 11 CWTs exp'!W13/'[6]Table 11 CWTs exp'!$AA13&gt;0.0005,'[6]Table 11 CWTs exp'!W13/'[6]Table 11 CWTs exp'!$AA13,IF('[6]Table 11 CWTs exp'!W13/'[6]Table 11 CWTs exp'!$AA13&gt;0,"-"," "))</f>
        <v xml:space="preserve"> </v>
      </c>
      <c r="X13" s="206" t="str">
        <f>IF('[6]Table 11 CWTs exp'!X13/'[6]Table 11 CWTs exp'!$AA13&gt;0.0005,'[6]Table 11 CWTs exp'!X13/'[6]Table 11 CWTs exp'!$AA13,IF('[6]Table 11 CWTs exp'!X13/'[6]Table 11 CWTs exp'!$AA13&gt;0,"-"," "))</f>
        <v xml:space="preserve"> </v>
      </c>
      <c r="Y13" s="147">
        <f t="shared" si="0"/>
        <v>0.99292929292929288</v>
      </c>
      <c r="Z13" s="148">
        <f t="shared" si="1"/>
        <v>7.0707070707071162E-3</v>
      </c>
      <c r="AA13" s="38">
        <f>'[6]Table 11 CWTs exp'!AA13</f>
        <v>4950</v>
      </c>
      <c r="AD13" s="327"/>
    </row>
    <row r="14" spans="1:32" ht="14.15" customHeight="1" x14ac:dyDescent="0.25">
      <c r="A14" t="str">
        <f>'[6]Table 11 CWTs exp'!A14</f>
        <v>CNFW527</v>
      </c>
      <c r="B14" s="75" t="str">
        <f>'[6]Table 11 CWTs exp'!B14</f>
        <v>CNFW</v>
      </c>
      <c r="C14" s="75">
        <f>'[6]Table 11 CWTs exp'!C14</f>
        <v>52</v>
      </c>
      <c r="D14" s="75">
        <f>'[6]Table 11 CWTs exp'!D14</f>
        <v>7</v>
      </c>
      <c r="E14" s="3" t="str">
        <f>'[6]Table 11 CWTs exp'!E14</f>
        <v>Coleman Hatchery Fish Trap</v>
      </c>
      <c r="F14" s="37" t="s">
        <v>57</v>
      </c>
      <c r="G14" s="287" t="str">
        <f>IF('[6]Table 11 CWTs exp'!G14/'[6]Table 11 CWTs exp'!$AA14&gt;0.0005,'[6]Table 11 CWTs exp'!G14/'[6]Table 11 CWTs exp'!$AA14,IF('[6]Table 11 CWTs exp'!G14/'[6]Table 11 CWTs exp'!$AA14&gt;0,"-"," "))</f>
        <v xml:space="preserve"> </v>
      </c>
      <c r="H14" s="145">
        <f>IF('[6]Table 11 CWTs exp'!H14/'[6]Table 11 CWTs exp'!$AA14&gt;0.0005,'[6]Table 11 CWTs exp'!H14/'[6]Table 11 CWTs exp'!$AA14,IF('[6]Table 11 CWTs exp'!H14/'[6]Table 11 CWTs exp'!$AA14&gt;0,"-"," "))</f>
        <v>0.96860986547085204</v>
      </c>
      <c r="I14" s="144" t="str">
        <f>IF('[6]Table 11 CWTs exp'!I14/'[6]Table 11 CWTs exp'!$AA14&gt;0.0005,'[6]Table 11 CWTs exp'!I14/'[6]Table 11 CWTs exp'!$AA14,IF('[6]Table 11 CWTs exp'!I14/'[6]Table 11 CWTs exp'!$AA14&gt;0,"-"," "))</f>
        <v xml:space="preserve"> </v>
      </c>
      <c r="J14" s="146" t="str">
        <f>IF('[6]Table 11 CWTs exp'!J14/'[6]Table 11 CWTs exp'!$AA14&gt;0.0005,'[6]Table 11 CWTs exp'!J14/'[6]Table 11 CWTs exp'!$AA14,IF('[6]Table 11 CWTs exp'!J14/'[6]Table 11 CWTs exp'!$AA14&gt;0,"-"," "))</f>
        <v xml:space="preserve"> </v>
      </c>
      <c r="K14" s="144" t="str">
        <f>IF('[6]Table 11 CWTs exp'!K14/'[6]Table 11 CWTs exp'!$AA14&gt;0.0005,'[6]Table 11 CWTs exp'!K14/'[6]Table 11 CWTs exp'!$AA14,IF('[6]Table 11 CWTs exp'!K14/'[6]Table 11 CWTs exp'!$AA14&gt;0,"-"," "))</f>
        <v xml:space="preserve"> </v>
      </c>
      <c r="L14" s="144" t="str">
        <f>IF('[6]Table 11 CWTs exp'!L14/'[6]Table 11 CWTs exp'!$AA14&gt;0.0005,'[6]Table 11 CWTs exp'!L14/'[6]Table 11 CWTs exp'!$AA14,IF('[6]Table 11 CWTs exp'!L14/'[6]Table 11 CWTs exp'!$AA14&gt;0,"-"," "))</f>
        <v xml:space="preserve"> </v>
      </c>
      <c r="M14" s="144" t="str">
        <f>IF('[6]Table 11 CWTs exp'!M14/'[6]Table 11 CWTs exp'!$AA14&gt;0.0005,'[6]Table 11 CWTs exp'!M14/'[6]Table 11 CWTs exp'!$AA14,IF('[6]Table 11 CWTs exp'!M14/'[6]Table 11 CWTs exp'!$AA14&gt;0,"-"," "))</f>
        <v xml:space="preserve"> </v>
      </c>
      <c r="N14" s="144" t="str">
        <f>IF('[6]Table 11 CWTs exp'!N14/'[6]Table 11 CWTs exp'!$AA14&gt;0.0005,'[6]Table 11 CWTs exp'!N14/'[6]Table 11 CWTs exp'!$AA14,IF('[6]Table 11 CWTs exp'!N14/'[6]Table 11 CWTs exp'!$AA14&gt;0,"-"," "))</f>
        <v xml:space="preserve"> </v>
      </c>
      <c r="O14" s="144" t="str">
        <f>IF('[6]Table 11 CWTs exp'!O14/'[6]Table 11 CWTs exp'!$AA14&gt;0.0005,'[6]Table 11 CWTs exp'!O14/'[6]Table 11 CWTs exp'!$AA14,IF('[6]Table 11 CWTs exp'!O14/'[6]Table 11 CWTs exp'!$AA14&gt;0,"-"," "))</f>
        <v xml:space="preserve"> </v>
      </c>
      <c r="P14" s="144" t="str">
        <f>IF('[6]Table 11 CWTs exp'!P14/'[6]Table 11 CWTs exp'!$AA14&gt;0.0005,'[6]Table 11 CWTs exp'!P14/'[6]Table 11 CWTs exp'!$AA14,IF('[6]Table 11 CWTs exp'!P14/'[6]Table 11 CWTs exp'!$AA14&gt;0,"-"," "))</f>
        <v xml:space="preserve"> </v>
      </c>
      <c r="Q14" s="145" t="str">
        <f>IF('[6]Table 11 CWTs exp'!Q14/'[6]Table 11 CWTs exp'!$AA14&gt;0.0005,'[6]Table 11 CWTs exp'!Q14/'[6]Table 11 CWTs exp'!$AA14,IF('[6]Table 11 CWTs exp'!Q14/'[6]Table 11 CWTs exp'!$AA14&gt;0,"-"," "))</f>
        <v xml:space="preserve"> </v>
      </c>
      <c r="R14" s="146" t="str">
        <f>IF('[6]Table 11 CWTs exp'!R14/'[6]Table 11 CWTs exp'!$AA14&gt;0.0005,'[6]Table 11 CWTs exp'!R14/'[6]Table 11 CWTs exp'!$AA14,IF('[6]Table 11 CWTs exp'!R14/'[6]Table 11 CWTs exp'!$AA14&gt;0,"-"," "))</f>
        <v xml:space="preserve"> </v>
      </c>
      <c r="S14" s="144" t="str">
        <f>IF('[6]Table 11 CWTs exp'!S14/'[6]Table 11 CWTs exp'!$AA14&gt;0.0005,'[6]Table 11 CWTs exp'!S14/'[6]Table 11 CWTs exp'!$AA14,IF('[6]Table 11 CWTs exp'!S14/'[6]Table 11 CWTs exp'!$AA14&gt;0,"-"," "))</f>
        <v xml:space="preserve"> </v>
      </c>
      <c r="T14" s="144" t="str">
        <f>IF('[6]Table 11 CWTs exp'!T14/'[6]Table 11 CWTs exp'!$AA14&gt;0.0005,'[6]Table 11 CWTs exp'!T14/'[6]Table 11 CWTs exp'!$AA14,IF('[6]Table 11 CWTs exp'!T14/'[6]Table 11 CWTs exp'!$AA14&gt;0,"-"," "))</f>
        <v xml:space="preserve"> </v>
      </c>
      <c r="U14" s="144" t="str">
        <f>IF('[6]Table 11 CWTs exp'!U14/'[6]Table 11 CWTs exp'!$AA14&gt;0.0005,'[6]Table 11 CWTs exp'!U14/'[6]Table 11 CWTs exp'!$AA14,IF('[6]Table 11 CWTs exp'!U14/'[6]Table 11 CWTs exp'!$AA14&gt;0,"-"," "))</f>
        <v xml:space="preserve"> </v>
      </c>
      <c r="V14" s="145" t="str">
        <f>IF('[6]Table 11 CWTs exp'!V14/'[6]Table 11 CWTs exp'!$AA14&gt;0.0005,'[6]Table 11 CWTs exp'!V14/'[6]Table 11 CWTs exp'!$AA14,IF('[6]Table 11 CWTs exp'!V14/'[6]Table 11 CWTs exp'!$AA14&gt;0,"-"," "))</f>
        <v xml:space="preserve"> </v>
      </c>
      <c r="W14" s="146" t="str">
        <f>IF('[6]Table 11 CWTs exp'!W14/'[6]Table 11 CWTs exp'!$AA14&gt;0.0005,'[6]Table 11 CWTs exp'!W14/'[6]Table 11 CWTs exp'!$AA14,IF('[6]Table 11 CWTs exp'!W14/'[6]Table 11 CWTs exp'!$AA14&gt;0,"-"," "))</f>
        <v xml:space="preserve"> </v>
      </c>
      <c r="X14" s="206" t="str">
        <f>IF('[6]Table 11 CWTs exp'!X14/'[6]Table 11 CWTs exp'!$AA14&gt;0.0005,'[6]Table 11 CWTs exp'!X14/'[6]Table 11 CWTs exp'!$AA14,IF('[6]Table 11 CWTs exp'!X14/'[6]Table 11 CWTs exp'!$AA14&gt;0,"-"," "))</f>
        <v xml:space="preserve"> </v>
      </c>
      <c r="Y14" s="147">
        <f t="shared" si="0"/>
        <v>0.96860986547085204</v>
      </c>
      <c r="Z14" s="148">
        <f t="shared" si="1"/>
        <v>3.1390134529147962E-2</v>
      </c>
      <c r="AA14" s="38">
        <f>'[6]Table 11 CWTs exp'!AA14</f>
        <v>223</v>
      </c>
      <c r="AD14" s="327"/>
    </row>
    <row r="15" spans="1:32" ht="14.15" customHeight="1" x14ac:dyDescent="0.25">
      <c r="A15">
        <f>'[6]Table 11 CWTs exp'!A15</f>
        <v>0</v>
      </c>
      <c r="E15" s="723" t="s">
        <v>193</v>
      </c>
      <c r="F15" s="723"/>
      <c r="G15" s="304" t="str">
        <f>IF('[6]Table 11 CWTs exp'!G15/'[6]Table 11 CWTs exp'!$AA15&gt;0.0005,'[6]Table 11 CWTs exp'!G15/'[6]Table 11 CWTs exp'!$AA15,IF('[6]Table 11 CWTs exp'!G15/'[6]Table 11 CWTs exp'!$AA15&gt;0,"-"," "))</f>
        <v xml:space="preserve"> </v>
      </c>
      <c r="H15" s="196" t="str">
        <f>IF('[6]Table 11 CWTs exp'!H15/'[6]Table 11 CWTs exp'!$AA15&gt;0.0005,'[6]Table 11 CWTs exp'!H15/'[6]Table 11 CWTs exp'!$AA15,IF('[6]Table 11 CWTs exp'!H15/'[6]Table 11 CWTs exp'!$AA15&gt;0,"-"," "))</f>
        <v>-</v>
      </c>
      <c r="I15" s="195">
        <f>IF('[6]Table 11 CWTs exp'!I15/'[6]Table 11 CWTs exp'!$AA15&gt;0.0005,'[6]Table 11 CWTs exp'!I15/'[6]Table 11 CWTs exp'!$AA15,IF('[6]Table 11 CWTs exp'!I15/'[6]Table 11 CWTs exp'!$AA15&gt;0,"-"," "))</f>
        <v>0.52127869048943987</v>
      </c>
      <c r="J15" s="197">
        <f>IF('[6]Table 11 CWTs exp'!J15/'[6]Table 11 CWTs exp'!$AA15&gt;0.0005,'[6]Table 11 CWTs exp'!J15/'[6]Table 11 CWTs exp'!$AA15,IF('[6]Table 11 CWTs exp'!J15/'[6]Table 11 CWTs exp'!$AA15&gt;0,"-"," "))</f>
        <v>1.3809103906443963E-2</v>
      </c>
      <c r="K15" s="195">
        <f>IF('[6]Table 11 CWTs exp'!K15/'[6]Table 11 CWTs exp'!$AA15&gt;0.0005,'[6]Table 11 CWTs exp'!K15/'[6]Table 11 CWTs exp'!$AA15,IF('[6]Table 11 CWTs exp'!K15/'[6]Table 11 CWTs exp'!$AA15&gt;0,"-"," "))</f>
        <v>2.5606342085662676E-2</v>
      </c>
      <c r="L15" s="195">
        <f>IF('[6]Table 11 CWTs exp'!L15/'[6]Table 11 CWTs exp'!$AA15&gt;0.0005,'[6]Table 11 CWTs exp'!L15/'[6]Table 11 CWTs exp'!$AA15,IF('[6]Table 11 CWTs exp'!L15/'[6]Table 11 CWTs exp'!$AA15&gt;0,"-"," "))</f>
        <v>7.3711335793231574E-3</v>
      </c>
      <c r="M15" s="195">
        <f>IF('[6]Table 11 CWTs exp'!M15/'[6]Table 11 CWTs exp'!$AA15&gt;0.0005,'[6]Table 11 CWTs exp'!M15/'[6]Table 11 CWTs exp'!$AA15,IF('[6]Table 11 CWTs exp'!M15/'[6]Table 11 CWTs exp'!$AA15&gt;0,"-"," "))</f>
        <v>6.3352367580710059E-4</v>
      </c>
      <c r="N15" s="195">
        <f>IF('[6]Table 11 CWTs exp'!N15/'[6]Table 11 CWTs exp'!$AA15&gt;0.0005,'[6]Table 11 CWTs exp'!N15/'[6]Table 11 CWTs exp'!$AA15,IF('[6]Table 11 CWTs exp'!N15/'[6]Table 11 CWTs exp'!$AA15&gt;0,"-"," "))</f>
        <v>0.20160606812947854</v>
      </c>
      <c r="O15" s="195">
        <f>IF('[6]Table 11 CWTs exp'!O15/'[6]Table 11 CWTs exp'!$AA15&gt;0.0005,'[6]Table 11 CWTs exp'!O15/'[6]Table 11 CWTs exp'!$AA15,IF('[6]Table 11 CWTs exp'!O15/'[6]Table 11 CWTs exp'!$AA15&gt;0,"-"," "))</f>
        <v>1.3355363976474013E-3</v>
      </c>
      <c r="P15" s="195">
        <f>IF('[6]Table 11 CWTs exp'!P15/'[6]Table 11 CWTs exp'!$AA15&gt;0.0005,'[6]Table 11 CWTs exp'!P15/'[6]Table 11 CWTs exp'!$AA15,IF('[6]Table 11 CWTs exp'!P15/'[6]Table 11 CWTs exp'!$AA15&gt;0,"-"," "))</f>
        <v>7.7050176787350072E-4</v>
      </c>
      <c r="Q15" s="196">
        <f>IF('[6]Table 11 CWTs exp'!Q15/'[6]Table 11 CWTs exp'!$AA15&gt;0.0005,'[6]Table 11 CWTs exp'!Q15/'[6]Table 11 CWTs exp'!$AA15,IF('[6]Table 11 CWTs exp'!Q15/'[6]Table 11 CWTs exp'!$AA15&gt;0,"-"," "))</f>
        <v>3.6633078497007886E-2</v>
      </c>
      <c r="R15" s="197">
        <f>IF('[6]Table 11 CWTs exp'!R15/'[6]Table 11 CWTs exp'!$AA15&gt;0.0005,'[6]Table 11 CWTs exp'!R15/'[6]Table 11 CWTs exp'!$AA15,IF('[6]Table 11 CWTs exp'!R15/'[6]Table 11 CWTs exp'!$AA15&gt;0,"-"," "))</f>
        <v>2.4835840317789175E-2</v>
      </c>
      <c r="S15" s="195">
        <f>IF('[6]Table 11 CWTs exp'!S15/'[6]Table 11 CWTs exp'!$AA15&gt;0.0005,'[6]Table 11 CWTs exp'!S15/'[6]Table 11 CWTs exp'!$AA15,IF('[6]Table 11 CWTs exp'!S15/'[6]Table 11 CWTs exp'!$AA15&gt;0,"-"," "))</f>
        <v>2.140282688537502E-3</v>
      </c>
      <c r="T15" s="195">
        <f>IF('[6]Table 11 CWTs exp'!T15/'[6]Table 11 CWTs exp'!$AA15&gt;0.0005,'[6]Table 11 CWTs exp'!T15/'[6]Table 11 CWTs exp'!$AA15,IF('[6]Table 11 CWTs exp'!T15/'[6]Table 11 CWTs exp'!$AA15&gt;0,"-"," "))</f>
        <v>5.4568647426952152E-2</v>
      </c>
      <c r="U15" s="195">
        <f>IF('[6]Table 11 CWTs exp'!U15/'[6]Table 11 CWTs exp'!$AA15&gt;0.0005,'[6]Table 11 CWTs exp'!U15/'[6]Table 11 CWTs exp'!$AA15,IF('[6]Table 11 CWTs exp'!U15/'[6]Table 11 CWTs exp'!$AA15&gt;0,"-"," "))</f>
        <v>1.005932863612626E-2</v>
      </c>
      <c r="V15" s="196">
        <f>IF('[6]Table 11 CWTs exp'!V15/'[6]Table 11 CWTs exp'!$AA15&gt;0.0005,'[6]Table 11 CWTs exp'!V15/'[6]Table 11 CWTs exp'!$AA15,IF('[6]Table 11 CWTs exp'!V15/'[6]Table 11 CWTs exp'!$AA15&gt;0,"-"," "))</f>
        <v>8.9035759843160086E-4</v>
      </c>
      <c r="W15" s="197" t="str">
        <f>IF('[6]Table 11 CWTs exp'!W15/'[6]Table 11 CWTs exp'!$AA15&gt;0.0005,'[6]Table 11 CWTs exp'!W15/'[6]Table 11 CWTs exp'!$AA15,IF('[6]Table 11 CWTs exp'!W15/'[6]Table 11 CWTs exp'!$AA15&gt;0,"-"," "))</f>
        <v>-</v>
      </c>
      <c r="X15" s="195" t="str">
        <f>IF('[6]Table 11 CWTs exp'!X15/'[6]Table 11 CWTs exp'!$AA15&gt;0.0005,'[6]Table 11 CWTs exp'!X15/'[6]Table 11 CWTs exp'!$AA15,IF('[6]Table 11 CWTs exp'!X15/'[6]Table 11 CWTs exp'!$AA15&gt;0,"-"," "))</f>
        <v>-</v>
      </c>
      <c r="Y15" s="198">
        <f>IF('[6]Table 11 CWTs exp'!Y15&gt;0,'[6]Table 11 CWTs exp'!Y15/'[6]Table 11 CWTs exp'!$AA15," ")</f>
        <v>0.90178670798839111</v>
      </c>
      <c r="Z15" s="199">
        <f>IF('[6]Table 11 CWTs exp'!Z15&gt;0,'[6]Table 11 CWTs exp'!Z15/'[6]Table 11 CWTs exp'!$AA15," ")</f>
        <v>9.8213292011608888E-2</v>
      </c>
      <c r="AA15" s="59">
        <f>'[6]Table 11 CWTs exp'!AA15</f>
        <v>116807</v>
      </c>
      <c r="AB15" s="47"/>
      <c r="AC15" s="47"/>
      <c r="AD15" s="47"/>
      <c r="AE15" s="47"/>
      <c r="AF15" s="47"/>
    </row>
    <row r="16" spans="1:32" ht="14.15" customHeight="1" x14ac:dyDescent="0.3">
      <c r="E16" s="26" t="s">
        <v>63</v>
      </c>
      <c r="F16"/>
      <c r="G16" s="287"/>
      <c r="H16" s="157"/>
      <c r="I16" s="151"/>
      <c r="J16" s="158"/>
      <c r="K16" s="151"/>
      <c r="L16" s="151"/>
      <c r="M16" s="151"/>
      <c r="N16" s="151"/>
      <c r="O16" s="151"/>
      <c r="P16" s="151"/>
      <c r="Q16" s="157"/>
      <c r="R16" s="158"/>
      <c r="S16" s="151"/>
      <c r="T16" s="151"/>
      <c r="U16" s="151"/>
      <c r="V16" s="157"/>
      <c r="W16" s="158"/>
      <c r="X16" s="206"/>
      <c r="Y16" s="147"/>
      <c r="Z16" s="148"/>
      <c r="AA16" s="38"/>
    </row>
    <row r="17" spans="1:30" ht="14.15" customHeight="1" x14ac:dyDescent="0.25">
      <c r="A17" t="str">
        <f>'[6]Table 11 CWTs exp'!A17</f>
        <v>USAC544</v>
      </c>
      <c r="B17" s="4" t="str">
        <f>'[6]Table 11 CWTs exp'!B17</f>
        <v>USAC</v>
      </c>
      <c r="C17" s="4">
        <f>'[6]Table 11 CWTs exp'!C17</f>
        <v>54</v>
      </c>
      <c r="D17" s="4">
        <f>'[6]Table 11 CWTs exp'!D17</f>
        <v>4</v>
      </c>
      <c r="E17" t="str">
        <f>'[6]Table 11 CWTs exp'!E17</f>
        <v>Upper Sacramento River</v>
      </c>
      <c r="F17" s="37" t="str">
        <f>'[6]Table 11 CWTs exp'!F17</f>
        <v>Winter</v>
      </c>
      <c r="G17" s="322">
        <f>IF('[6]Table 11 CWTs exp'!G17/'[6]Table 11 CWTs exp'!$AA17&gt;0.0005,'[6]Table 11 CWTs exp'!G17/'[6]Table 11 CWTs exp'!$AA17,IF('[6]Table 11 CWTs exp'!G17/'[6]Table 11 CWTs exp'!$AA17&gt;0,"-"," "))</f>
        <v>6.1993243243243241E-2</v>
      </c>
      <c r="H17" s="145" t="str">
        <f>IF('[6]Table 11 CWTs exp'!H17/'[6]Table 11 CWTs exp'!$AA17&gt;0.0005,'[6]Table 11 CWTs exp'!H17/'[6]Table 11 CWTs exp'!$AA17,IF('[6]Table 11 CWTs exp'!H17/'[6]Table 11 CWTs exp'!$AA17&gt;0,"-"," "))</f>
        <v xml:space="preserve"> </v>
      </c>
      <c r="I17" s="144" t="str">
        <f>IF('[6]Table 11 CWTs exp'!I17/'[6]Table 11 CWTs exp'!$AA17&gt;0.0005,'[6]Table 11 CWTs exp'!I17/'[6]Table 11 CWTs exp'!$AA17,IF('[6]Table 11 CWTs exp'!I17/'[6]Table 11 CWTs exp'!$AA17&gt;0,"-"," "))</f>
        <v xml:space="preserve"> </v>
      </c>
      <c r="J17" s="146" t="str">
        <f>IF('[6]Table 11 CWTs exp'!J17/'[6]Table 11 CWTs exp'!$AA17&gt;0.0005,'[6]Table 11 CWTs exp'!J17/'[6]Table 11 CWTs exp'!$AA17,IF('[6]Table 11 CWTs exp'!J17/'[6]Table 11 CWTs exp'!$AA17&gt;0,"-"," "))</f>
        <v xml:space="preserve"> </v>
      </c>
      <c r="K17" s="144" t="str">
        <f>IF('[6]Table 11 CWTs exp'!K17/'[6]Table 11 CWTs exp'!$AA17&gt;0.0005,'[6]Table 11 CWTs exp'!K17/'[6]Table 11 CWTs exp'!$AA17,IF('[6]Table 11 CWTs exp'!K17/'[6]Table 11 CWTs exp'!$AA17&gt;0,"-"," "))</f>
        <v xml:space="preserve"> </v>
      </c>
      <c r="L17" s="144" t="str">
        <f>IF('[6]Table 11 CWTs exp'!L17/'[6]Table 11 CWTs exp'!$AA17&gt;0.0005,'[6]Table 11 CWTs exp'!L17/'[6]Table 11 CWTs exp'!$AA17,IF('[6]Table 11 CWTs exp'!L17/'[6]Table 11 CWTs exp'!$AA17&gt;0,"-"," "))</f>
        <v xml:space="preserve"> </v>
      </c>
      <c r="M17" s="144" t="str">
        <f>IF('[6]Table 11 CWTs exp'!M17/'[6]Table 11 CWTs exp'!$AA17&gt;0.0005,'[6]Table 11 CWTs exp'!M17/'[6]Table 11 CWTs exp'!$AA17,IF('[6]Table 11 CWTs exp'!M17/'[6]Table 11 CWTs exp'!$AA17&gt;0,"-"," "))</f>
        <v xml:space="preserve"> </v>
      </c>
      <c r="N17" s="144" t="str">
        <f>IF('[6]Table 11 CWTs exp'!N17/'[6]Table 11 CWTs exp'!$AA17&gt;0.0005,'[6]Table 11 CWTs exp'!N17/'[6]Table 11 CWTs exp'!$AA17,IF('[6]Table 11 CWTs exp'!N17/'[6]Table 11 CWTs exp'!$AA17&gt;0,"-"," "))</f>
        <v xml:space="preserve"> </v>
      </c>
      <c r="O17" s="144" t="str">
        <f>IF('[6]Table 11 CWTs exp'!O17/'[6]Table 11 CWTs exp'!$AA17&gt;0.0005,'[6]Table 11 CWTs exp'!O17/'[6]Table 11 CWTs exp'!$AA17,IF('[6]Table 11 CWTs exp'!O17/'[6]Table 11 CWTs exp'!$AA17&gt;0,"-"," "))</f>
        <v xml:space="preserve"> </v>
      </c>
      <c r="P17" s="144" t="str">
        <f>IF('[6]Table 11 CWTs exp'!P17/'[6]Table 11 CWTs exp'!$AA17&gt;0.0005,'[6]Table 11 CWTs exp'!P17/'[6]Table 11 CWTs exp'!$AA17,IF('[6]Table 11 CWTs exp'!P17/'[6]Table 11 CWTs exp'!$AA17&gt;0,"-"," "))</f>
        <v xml:space="preserve"> </v>
      </c>
      <c r="Q17" s="145" t="str">
        <f>IF('[6]Table 11 CWTs exp'!Q17/'[6]Table 11 CWTs exp'!$AA17&gt;0.0005,'[6]Table 11 CWTs exp'!Q17/'[6]Table 11 CWTs exp'!$AA17,IF('[6]Table 11 CWTs exp'!Q17/'[6]Table 11 CWTs exp'!$AA17&gt;0,"-"," "))</f>
        <v xml:space="preserve"> </v>
      </c>
      <c r="R17" s="146" t="str">
        <f>IF('[6]Table 11 CWTs exp'!R17/'[6]Table 11 CWTs exp'!$AA17&gt;0.0005,'[6]Table 11 CWTs exp'!R17/'[6]Table 11 CWTs exp'!$AA17,IF('[6]Table 11 CWTs exp'!R17/'[6]Table 11 CWTs exp'!$AA17&gt;0,"-"," "))</f>
        <v xml:space="preserve"> </v>
      </c>
      <c r="S17" s="144" t="str">
        <f>IF('[6]Table 11 CWTs exp'!S17/'[6]Table 11 CWTs exp'!$AA17&gt;0.0005,'[6]Table 11 CWTs exp'!S17/'[6]Table 11 CWTs exp'!$AA17,IF('[6]Table 11 CWTs exp'!S17/'[6]Table 11 CWTs exp'!$AA17&gt;0,"-"," "))</f>
        <v xml:space="preserve"> </v>
      </c>
      <c r="T17" s="144" t="str">
        <f>IF('[6]Table 11 CWTs exp'!T17/'[6]Table 11 CWTs exp'!$AA17&gt;0.0005,'[6]Table 11 CWTs exp'!T17/'[6]Table 11 CWTs exp'!$AA17,IF('[6]Table 11 CWTs exp'!T17/'[6]Table 11 CWTs exp'!$AA17&gt;0,"-"," "))</f>
        <v xml:space="preserve"> </v>
      </c>
      <c r="U17" s="144" t="str">
        <f>IF('[6]Table 11 CWTs exp'!U17/'[6]Table 11 CWTs exp'!$AA17&gt;0.0005,'[6]Table 11 CWTs exp'!U17/'[6]Table 11 CWTs exp'!$AA17,IF('[6]Table 11 CWTs exp'!U17/'[6]Table 11 CWTs exp'!$AA17&gt;0,"-"," "))</f>
        <v xml:space="preserve"> </v>
      </c>
      <c r="V17" s="145" t="str">
        <f>IF('[6]Table 11 CWTs exp'!V17/'[6]Table 11 CWTs exp'!$AA17&gt;0.0005,'[6]Table 11 CWTs exp'!V17/'[6]Table 11 CWTs exp'!$AA17,IF('[6]Table 11 CWTs exp'!V17/'[6]Table 11 CWTs exp'!$AA17&gt;0,"-"," "))</f>
        <v xml:space="preserve"> </v>
      </c>
      <c r="W17" s="146" t="str">
        <f>IF('[6]Table 11 CWTs exp'!W17/'[6]Table 11 CWTs exp'!$AA17&gt;0.0005,'[6]Table 11 CWTs exp'!W17/'[6]Table 11 CWTs exp'!$AA17,IF('[6]Table 11 CWTs exp'!W17/'[6]Table 11 CWTs exp'!$AA17&gt;0,"-"," "))</f>
        <v xml:space="preserve"> </v>
      </c>
      <c r="X17" s="206" t="str">
        <f>IF('[6]Table 11 CWTs exp'!X17/'[6]Table 11 CWTs exp'!$AA17&gt;0.0005,'[6]Table 11 CWTs exp'!X17/'[6]Table 11 CWTs exp'!$AA17,IF('[6]Table 11 CWTs exp'!X17/'[6]Table 11 CWTs exp'!$AA17&gt;0,"-"," "))</f>
        <v xml:space="preserve"> </v>
      </c>
      <c r="Y17" s="147">
        <f t="shared" ref="Y17:Y37" si="2">SUM(G17:X17)</f>
        <v>6.1993243243243241E-2</v>
      </c>
      <c r="Z17" s="148">
        <f t="shared" ref="Z17:Z37" si="3">1-Y17</f>
        <v>0.93800675675675671</v>
      </c>
      <c r="AA17" s="38">
        <f>'[6]Table 11 CWTs exp'!AA17</f>
        <v>5920</v>
      </c>
    </row>
    <row r="18" spans="1:30" ht="14.15" customHeight="1" x14ac:dyDescent="0.25">
      <c r="A18" t="str">
        <f>'[6]Table 11 CWTs exp'!A18</f>
        <v>BUTT541</v>
      </c>
      <c r="B18" s="4" t="str">
        <f>'[6]Table 11 CWTs exp'!B18</f>
        <v>BUTT</v>
      </c>
      <c r="C18" s="4">
        <f>'[6]Table 11 CWTs exp'!C18</f>
        <v>54</v>
      </c>
      <c r="D18" s="4">
        <f>'[6]Table 11 CWTs exp'!D18</f>
        <v>1</v>
      </c>
      <c r="E18" t="str">
        <f>'[6]Table 11 CWTs exp'!E18</f>
        <v>Butte Creek</v>
      </c>
      <c r="F18" s="37" t="str">
        <f>'[6]Table 11 CWTs exp'!F18</f>
        <v>Spring</v>
      </c>
      <c r="G18" s="144" t="str">
        <f>IF('[6]Table 11 CWTs exp'!G18/'[6]Table 11 CWTs exp'!$AA18&gt;0.0005,'[6]Table 11 CWTs exp'!G18/'[6]Table 11 CWTs exp'!$AA18,IF('[6]Table 11 CWTs exp'!G18/'[6]Table 11 CWTs exp'!$AA18&gt;0,"-"," "))</f>
        <v xml:space="preserve"> </v>
      </c>
      <c r="H18" s="145" t="str">
        <f>IF('[6]Table 11 CWTs exp'!H18/'[6]Table 11 CWTs exp'!$AA18&gt;0.0005,'[6]Table 11 CWTs exp'!H18/'[6]Table 11 CWTs exp'!$AA18,IF('[6]Table 11 CWTs exp'!H18/'[6]Table 11 CWTs exp'!$AA18&gt;0,"-"," "))</f>
        <v xml:space="preserve"> </v>
      </c>
      <c r="I18" s="144" t="str">
        <f>IF('[6]Table 11 CWTs exp'!I18/'[6]Table 11 CWTs exp'!$AA18&gt;0.0005,'[6]Table 11 CWTs exp'!I18/'[6]Table 11 CWTs exp'!$AA18,IF('[6]Table 11 CWTs exp'!I18/'[6]Table 11 CWTs exp'!$AA18&gt;0,"-"," "))</f>
        <v xml:space="preserve"> </v>
      </c>
      <c r="J18" s="146" t="str">
        <f>IF('[6]Table 11 CWTs exp'!J18/'[6]Table 11 CWTs exp'!$AA18&gt;0.0005,'[6]Table 11 CWTs exp'!J18/'[6]Table 11 CWTs exp'!$AA18,IF('[6]Table 11 CWTs exp'!J18/'[6]Table 11 CWTs exp'!$AA18&gt;0,"-"," "))</f>
        <v xml:space="preserve"> </v>
      </c>
      <c r="K18" s="144" t="str">
        <f>IF('[6]Table 11 CWTs exp'!K18/'[6]Table 11 CWTs exp'!$AA18&gt;0.0005,'[6]Table 11 CWTs exp'!K18/'[6]Table 11 CWTs exp'!$AA18,IF('[6]Table 11 CWTs exp'!K18/'[6]Table 11 CWTs exp'!$AA18&gt;0,"-"," "))</f>
        <v xml:space="preserve"> </v>
      </c>
      <c r="L18" s="144" t="str">
        <f>IF('[6]Table 11 CWTs exp'!L18/'[6]Table 11 CWTs exp'!$AA18&gt;0.0005,'[6]Table 11 CWTs exp'!L18/'[6]Table 11 CWTs exp'!$AA18,IF('[6]Table 11 CWTs exp'!L18/'[6]Table 11 CWTs exp'!$AA18&gt;0,"-"," "))</f>
        <v xml:space="preserve"> </v>
      </c>
      <c r="M18" s="144" t="str">
        <f>IF('[6]Table 11 CWTs exp'!M18/'[6]Table 11 CWTs exp'!$AA18&gt;0.0005,'[6]Table 11 CWTs exp'!M18/'[6]Table 11 CWTs exp'!$AA18,IF('[6]Table 11 CWTs exp'!M18/'[6]Table 11 CWTs exp'!$AA18&gt;0,"-"," "))</f>
        <v xml:space="preserve"> </v>
      </c>
      <c r="N18" s="144" t="str">
        <f>IF('[6]Table 11 CWTs exp'!N18/'[6]Table 11 CWTs exp'!$AA18&gt;0.0005,'[6]Table 11 CWTs exp'!N18/'[6]Table 11 CWTs exp'!$AA18,IF('[6]Table 11 CWTs exp'!N18/'[6]Table 11 CWTs exp'!$AA18&gt;0,"-"," "))</f>
        <v xml:space="preserve"> </v>
      </c>
      <c r="O18" s="144" t="str">
        <f>IF('[6]Table 11 CWTs exp'!O18/'[6]Table 11 CWTs exp'!$AA18&gt;0.0005,'[6]Table 11 CWTs exp'!O18/'[6]Table 11 CWTs exp'!$AA18,IF('[6]Table 11 CWTs exp'!O18/'[6]Table 11 CWTs exp'!$AA18&gt;0,"-"," "))</f>
        <v xml:space="preserve"> </v>
      </c>
      <c r="P18" s="144" t="str">
        <f>IF('[6]Table 11 CWTs exp'!P18/'[6]Table 11 CWTs exp'!$AA18&gt;0.0005,'[6]Table 11 CWTs exp'!P18/'[6]Table 11 CWTs exp'!$AA18,IF('[6]Table 11 CWTs exp'!P18/'[6]Table 11 CWTs exp'!$AA18&gt;0,"-"," "))</f>
        <v xml:space="preserve"> </v>
      </c>
      <c r="Q18" s="145" t="str">
        <f>IF('[6]Table 11 CWTs exp'!Q18/'[6]Table 11 CWTs exp'!$AA18&gt;0.0005,'[6]Table 11 CWTs exp'!Q18/'[6]Table 11 CWTs exp'!$AA18,IF('[6]Table 11 CWTs exp'!Q18/'[6]Table 11 CWTs exp'!$AA18&gt;0,"-"," "))</f>
        <v xml:space="preserve"> </v>
      </c>
      <c r="R18" s="146" t="str">
        <f>IF('[6]Table 11 CWTs exp'!R18/'[6]Table 11 CWTs exp'!$AA18&gt;0.0005,'[6]Table 11 CWTs exp'!R18/'[6]Table 11 CWTs exp'!$AA18,IF('[6]Table 11 CWTs exp'!R18/'[6]Table 11 CWTs exp'!$AA18&gt;0,"-"," "))</f>
        <v xml:space="preserve"> </v>
      </c>
      <c r="S18" s="144" t="str">
        <f>IF('[6]Table 11 CWTs exp'!S18/'[6]Table 11 CWTs exp'!$AA18&gt;0.0005,'[6]Table 11 CWTs exp'!S18/'[6]Table 11 CWTs exp'!$AA18,IF('[6]Table 11 CWTs exp'!S18/'[6]Table 11 CWTs exp'!$AA18&gt;0,"-"," "))</f>
        <v xml:space="preserve"> </v>
      </c>
      <c r="T18" s="144" t="str">
        <f>IF('[6]Table 11 CWTs exp'!T18/'[6]Table 11 CWTs exp'!$AA18&gt;0.0005,'[6]Table 11 CWTs exp'!T18/'[6]Table 11 CWTs exp'!$AA18,IF('[6]Table 11 CWTs exp'!T18/'[6]Table 11 CWTs exp'!$AA18&gt;0,"-"," "))</f>
        <v xml:space="preserve"> </v>
      </c>
      <c r="U18" s="144" t="str">
        <f>IF('[6]Table 11 CWTs exp'!U18/'[6]Table 11 CWTs exp'!$AA18&gt;0.0005,'[6]Table 11 CWTs exp'!U18/'[6]Table 11 CWTs exp'!$AA18,IF('[6]Table 11 CWTs exp'!U18/'[6]Table 11 CWTs exp'!$AA18&gt;0,"-"," "))</f>
        <v xml:space="preserve"> </v>
      </c>
      <c r="V18" s="145" t="str">
        <f>IF('[6]Table 11 CWTs exp'!V18/'[6]Table 11 CWTs exp'!$AA18&gt;0.0005,'[6]Table 11 CWTs exp'!V18/'[6]Table 11 CWTs exp'!$AA18,IF('[6]Table 11 CWTs exp'!V18/'[6]Table 11 CWTs exp'!$AA18&gt;0,"-"," "))</f>
        <v xml:space="preserve"> </v>
      </c>
      <c r="W18" s="146" t="str">
        <f>IF('[6]Table 11 CWTs exp'!W18/'[6]Table 11 CWTs exp'!$AA18&gt;0.0005,'[6]Table 11 CWTs exp'!W18/'[6]Table 11 CWTs exp'!$AA18,IF('[6]Table 11 CWTs exp'!W18/'[6]Table 11 CWTs exp'!$AA18&gt;0,"-"," "))</f>
        <v xml:space="preserve"> </v>
      </c>
      <c r="X18" s="206" t="str">
        <f>IF('[6]Table 11 CWTs exp'!X18/'[6]Table 11 CWTs exp'!$AA18&gt;0.0005,'[6]Table 11 CWTs exp'!X18/'[6]Table 11 CWTs exp'!$AA18,IF('[6]Table 11 CWTs exp'!X18/'[6]Table 11 CWTs exp'!$AA18&gt;0,"-"," "))</f>
        <v xml:space="preserve"> </v>
      </c>
      <c r="Y18" s="147">
        <f t="shared" si="2"/>
        <v>0</v>
      </c>
      <c r="Z18" s="148">
        <f t="shared" si="3"/>
        <v>1</v>
      </c>
      <c r="AA18" s="38">
        <f>'[6]Table 11 CWTs exp'!AA18</f>
        <v>15887</v>
      </c>
    </row>
    <row r="19" spans="1:30" ht="14.15" customHeight="1" x14ac:dyDescent="0.25">
      <c r="A19" t="str">
        <f>'[6]Table 11 CWTs exp'!A19</f>
        <v>USAC543</v>
      </c>
      <c r="B19" s="4" t="str">
        <f>'[6]Table 11 CWTs exp'!B19</f>
        <v>USAC</v>
      </c>
      <c r="C19" s="4">
        <f>'[6]Table 11 CWTs exp'!C19</f>
        <v>54</v>
      </c>
      <c r="D19" s="4">
        <f>'[6]Table 11 CWTs exp'!D19</f>
        <v>3</v>
      </c>
      <c r="E19" t="str">
        <f>'[6]Table 11 CWTs exp'!E19</f>
        <v>Upper Sacramento River</v>
      </c>
      <c r="F19" s="37" t="str">
        <f>'[6]Table 11 CWTs exp'!F19</f>
        <v>Fall</v>
      </c>
      <c r="G19" s="144" t="str">
        <f>IF('[6]Table 11 CWTs exp'!G19/'[6]Table 11 CWTs exp'!$AA19&gt;0.0005,'[6]Table 11 CWTs exp'!G19/'[6]Table 11 CWTs exp'!$AA19,IF('[6]Table 11 CWTs exp'!G19/'[6]Table 11 CWTs exp'!$AA19&gt;0,"-"," "))</f>
        <v xml:space="preserve"> </v>
      </c>
      <c r="H19" s="145" t="str">
        <f>IF('[6]Table 11 CWTs exp'!H19/'[6]Table 11 CWTs exp'!$AA19&gt;0.0005,'[6]Table 11 CWTs exp'!H19/'[6]Table 11 CWTs exp'!$AA19,IF('[6]Table 11 CWTs exp'!H19/'[6]Table 11 CWTs exp'!$AA19&gt;0,"-"," "))</f>
        <v>-</v>
      </c>
      <c r="I19" s="144">
        <f>IF('[6]Table 11 CWTs exp'!I19/'[6]Table 11 CWTs exp'!$AA19&gt;0.0005,'[6]Table 11 CWTs exp'!I19/'[6]Table 11 CWTs exp'!$AA19,IF('[6]Table 11 CWTs exp'!I19/'[6]Table 11 CWTs exp'!$AA19&gt;0,"-"," "))</f>
        <v>8.3868983546055667E-2</v>
      </c>
      <c r="J19" s="146">
        <f>IF('[6]Table 11 CWTs exp'!J19/'[6]Table 11 CWTs exp'!$AA19&gt;0.0005,'[6]Table 11 CWTs exp'!J19/'[6]Table 11 CWTs exp'!$AA19,IF('[6]Table 11 CWTs exp'!J19/'[6]Table 11 CWTs exp'!$AA19&gt;0,"-"," "))</f>
        <v>2.4173458403813623E-2</v>
      </c>
      <c r="K19" s="144" t="str">
        <f>IF('[6]Table 11 CWTs exp'!K19/'[6]Table 11 CWTs exp'!$AA19&gt;0.0005,'[6]Table 11 CWTs exp'!K19/'[6]Table 11 CWTs exp'!$AA19,IF('[6]Table 11 CWTs exp'!K19/'[6]Table 11 CWTs exp'!$AA19&gt;0,"-"," "))</f>
        <v xml:space="preserve"> </v>
      </c>
      <c r="L19" s="144">
        <f>IF('[6]Table 11 CWTs exp'!L19/'[6]Table 11 CWTs exp'!$AA19&gt;0.0005,'[6]Table 11 CWTs exp'!L19/'[6]Table 11 CWTs exp'!$AA19,IF('[6]Table 11 CWTs exp'!L19/'[6]Table 11 CWTs exp'!$AA19&gt;0,"-"," "))</f>
        <v>3.0693526064893128E-2</v>
      </c>
      <c r="M19" s="144">
        <f>IF('[6]Table 11 CWTs exp'!M19/'[6]Table 11 CWTs exp'!$AA19&gt;0.0005,'[6]Table 11 CWTs exp'!M19/'[6]Table 11 CWTs exp'!$AA19,IF('[6]Table 11 CWTs exp'!M19/'[6]Table 11 CWTs exp'!$AA19&gt;0,"-"," "))</f>
        <v>7.073658311548516E-4</v>
      </c>
      <c r="N19" s="144">
        <f>IF('[6]Table 11 CWTs exp'!N19/'[6]Table 11 CWTs exp'!$AA19&gt;0.0005,'[6]Table 11 CWTs exp'!N19/'[6]Table 11 CWTs exp'!$AA19,IF('[6]Table 11 CWTs exp'!N19/'[6]Table 11 CWTs exp'!$AA19&gt;0,"-"," "))</f>
        <v>0.1956635399046594</v>
      </c>
      <c r="O19" s="144">
        <f>IF('[6]Table 11 CWTs exp'!O19/'[6]Table 11 CWTs exp'!$AA19&gt;0.0005,'[6]Table 11 CWTs exp'!O19/'[6]Table 11 CWTs exp'!$AA19,IF('[6]Table 11 CWTs exp'!O19/'[6]Table 11 CWTs exp'!$AA19&gt;0,"-"," "))</f>
        <v>1.4454866984468706E-3</v>
      </c>
      <c r="P19" s="144">
        <f>IF('[6]Table 11 CWTs exp'!P19/'[6]Table 11 CWTs exp'!$AA19&gt;0.0005,'[6]Table 11 CWTs exp'!P19/'[6]Table 11 CWTs exp'!$AA19,IF('[6]Table 11 CWTs exp'!P19/'[6]Table 11 CWTs exp'!$AA19&gt;0,"-"," "))</f>
        <v>1.076426264800861E-3</v>
      </c>
      <c r="Q19" s="145">
        <f>IF('[6]Table 11 CWTs exp'!Q19/'[6]Table 11 CWTs exp'!$AA19&gt;0.0005,'[6]Table 11 CWTs exp'!Q19/'[6]Table 11 CWTs exp'!$AA19,IF('[6]Table 11 CWTs exp'!Q19/'[6]Table 11 CWTs exp'!$AA19&gt;0,"-"," "))</f>
        <v>1.4147316623097032E-3</v>
      </c>
      <c r="R19" s="146">
        <f>IF('[6]Table 11 CWTs exp'!R19/'[6]Table 11 CWTs exp'!$AA19&gt;0.0005,'[6]Table 11 CWTs exp'!R19/'[6]Table 11 CWTs exp'!$AA19,IF('[6]Table 11 CWTs exp'!R19/'[6]Table 11 CWTs exp'!$AA19&gt;0,"-"," "))</f>
        <v>1.4147316623097032E-3</v>
      </c>
      <c r="S19" s="144" t="str">
        <f>IF('[6]Table 11 CWTs exp'!S19/'[6]Table 11 CWTs exp'!$AA19&gt;0.0005,'[6]Table 11 CWTs exp'!S19/'[6]Table 11 CWTs exp'!$AA19,IF('[6]Table 11 CWTs exp'!S19/'[6]Table 11 CWTs exp'!$AA19&gt;0,"-"," "))</f>
        <v xml:space="preserve"> </v>
      </c>
      <c r="T19" s="144">
        <f>IF('[6]Table 11 CWTs exp'!T19/'[6]Table 11 CWTs exp'!$AA19&gt;0.0005,'[6]Table 11 CWTs exp'!T19/'[6]Table 11 CWTs exp'!$AA19,IF('[6]Table 11 CWTs exp'!T19/'[6]Table 11 CWTs exp'!$AA19&gt;0,"-"," "))</f>
        <v>1.7837920959557127E-3</v>
      </c>
      <c r="U19" s="144" t="str">
        <f>IF('[6]Table 11 CWTs exp'!U19/'[6]Table 11 CWTs exp'!$AA19&gt;0.0005,'[6]Table 11 CWTs exp'!U19/'[6]Table 11 CWTs exp'!$AA19,IF('[6]Table 11 CWTs exp'!U19/'[6]Table 11 CWTs exp'!$AA19&gt;0,"-"," "))</f>
        <v xml:space="preserve"> </v>
      </c>
      <c r="V19" s="145" t="str">
        <f>IF('[6]Table 11 CWTs exp'!V19/'[6]Table 11 CWTs exp'!$AA19&gt;0.0005,'[6]Table 11 CWTs exp'!V19/'[6]Table 11 CWTs exp'!$AA19,IF('[6]Table 11 CWTs exp'!V19/'[6]Table 11 CWTs exp'!$AA19&gt;0,"-"," "))</f>
        <v xml:space="preserve"> </v>
      </c>
      <c r="W19" s="146" t="str">
        <f>IF('[6]Table 11 CWTs exp'!W19/'[6]Table 11 CWTs exp'!$AA19&gt;0.0005,'[6]Table 11 CWTs exp'!W19/'[6]Table 11 CWTs exp'!$AA19,IF('[6]Table 11 CWTs exp'!W19/'[6]Table 11 CWTs exp'!$AA19&gt;0,"-"," "))</f>
        <v xml:space="preserve"> </v>
      </c>
      <c r="X19" s="206" t="str">
        <f>IF('[6]Table 11 CWTs exp'!X19/'[6]Table 11 CWTs exp'!$AA19&gt;0.0005,'[6]Table 11 CWTs exp'!X19/'[6]Table 11 CWTs exp'!$AA19,IF('[6]Table 11 CWTs exp'!X19/'[6]Table 11 CWTs exp'!$AA19&gt;0,"-"," "))</f>
        <v xml:space="preserve"> </v>
      </c>
      <c r="Y19" s="147">
        <f t="shared" si="2"/>
        <v>0.34224204213439952</v>
      </c>
      <c r="Z19" s="148">
        <f t="shared" si="3"/>
        <v>0.65775795786560054</v>
      </c>
      <c r="AA19" s="38">
        <f>'[6]Table 11 CWTs exp'!AA19</f>
        <v>32515</v>
      </c>
      <c r="AD19" s="327"/>
    </row>
    <row r="20" spans="1:30" ht="14.15" customHeight="1" x14ac:dyDescent="0.25">
      <c r="A20" t="str">
        <f>'[6]Table 11 CWTs exp'!A20</f>
        <v>CLR543</v>
      </c>
      <c r="B20" s="4" t="str">
        <f>'[6]Table 11 CWTs exp'!B20</f>
        <v>CLR</v>
      </c>
      <c r="C20" s="4">
        <f>'[6]Table 11 CWTs exp'!C20</f>
        <v>54</v>
      </c>
      <c r="D20" s="4">
        <f>'[6]Table 11 CWTs exp'!D20</f>
        <v>3</v>
      </c>
      <c r="E20" t="str">
        <f>'[6]Table 11 CWTs exp'!E20</f>
        <v>Clear Creek</v>
      </c>
      <c r="F20" s="37" t="str">
        <f>'[6]Table 11 CWTs exp'!F20</f>
        <v>Fall</v>
      </c>
      <c r="G20" s="144" t="str">
        <f>IF('[6]Table 11 CWTs exp'!G20/'[6]Table 11 CWTs exp'!$AA20&gt;0.0005,'[6]Table 11 CWTs exp'!G20/'[6]Table 11 CWTs exp'!$AA20,IF('[6]Table 11 CWTs exp'!G20/'[6]Table 11 CWTs exp'!$AA20&gt;0,"-"," "))</f>
        <v xml:space="preserve"> </v>
      </c>
      <c r="H20" s="145" t="str">
        <f>IF('[6]Table 11 CWTs exp'!H20/'[6]Table 11 CWTs exp'!$AA20&gt;0.0005,'[6]Table 11 CWTs exp'!H20/'[6]Table 11 CWTs exp'!$AA20,IF('[6]Table 11 CWTs exp'!H20/'[6]Table 11 CWTs exp'!$AA20&gt;0,"-"," "))</f>
        <v xml:space="preserve"> </v>
      </c>
      <c r="I20" s="144">
        <f>IF('[6]Table 11 CWTs exp'!I20/'[6]Table 11 CWTs exp'!$AA20&gt;0.0005,'[6]Table 11 CWTs exp'!I20/'[6]Table 11 CWTs exp'!$AA20,IF('[6]Table 11 CWTs exp'!I20/'[6]Table 11 CWTs exp'!$AA20&gt;0,"-"," "))</f>
        <v>0.19607108045287547</v>
      </c>
      <c r="J20" s="146">
        <f>IF('[6]Table 11 CWTs exp'!J20/'[6]Table 11 CWTs exp'!$AA20&gt;0.0005,'[6]Table 11 CWTs exp'!J20/'[6]Table 11 CWTs exp'!$AA20,IF('[6]Table 11 CWTs exp'!J20/'[6]Table 11 CWTs exp'!$AA20&gt;0,"-"," "))</f>
        <v>1.9419659593611756E-2</v>
      </c>
      <c r="K20" s="144" t="str">
        <f>IF('[6]Table 11 CWTs exp'!K20/'[6]Table 11 CWTs exp'!$AA20&gt;0.0005,'[6]Table 11 CWTs exp'!K20/'[6]Table 11 CWTs exp'!$AA20,IF('[6]Table 11 CWTs exp'!K20/'[6]Table 11 CWTs exp'!$AA20&gt;0,"-"," "))</f>
        <v xml:space="preserve"> </v>
      </c>
      <c r="L20" s="144">
        <f>IF('[6]Table 11 CWTs exp'!L20/'[6]Table 11 CWTs exp'!$AA20&gt;0.0005,'[6]Table 11 CWTs exp'!L20/'[6]Table 11 CWTs exp'!$AA20,IF('[6]Table 11 CWTs exp'!L20/'[6]Table 11 CWTs exp'!$AA20&gt;0,"-"," "))</f>
        <v>8.0977731123940914E-3</v>
      </c>
      <c r="M20" s="144" t="str">
        <f>IF('[6]Table 11 CWTs exp'!M20/'[6]Table 11 CWTs exp'!$AA20&gt;0.0005,'[6]Table 11 CWTs exp'!M20/'[6]Table 11 CWTs exp'!$AA20,IF('[6]Table 11 CWTs exp'!M20/'[6]Table 11 CWTs exp'!$AA20&gt;0,"-"," "))</f>
        <v xml:space="preserve"> </v>
      </c>
      <c r="N20" s="144">
        <f>IF('[6]Table 11 CWTs exp'!N20/'[6]Table 11 CWTs exp'!$AA20&gt;0.0005,'[6]Table 11 CWTs exp'!N20/'[6]Table 11 CWTs exp'!$AA20,IF('[6]Table 11 CWTs exp'!N20/'[6]Table 11 CWTs exp'!$AA20&gt;0,"-"," "))</f>
        <v>0.14133613256354502</v>
      </c>
      <c r="O20" s="144">
        <f>IF('[6]Table 11 CWTs exp'!O20/'[6]Table 11 CWTs exp'!$AA20&gt;0.0005,'[6]Table 11 CWTs exp'!O20/'[6]Table 11 CWTs exp'!$AA20,IF('[6]Table 11 CWTs exp'!O20/'[6]Table 11 CWTs exp'!$AA20&gt;0,"-"," "))</f>
        <v>1.8744845167578915E-3</v>
      </c>
      <c r="P20" s="144">
        <f>IF('[6]Table 11 CWTs exp'!P20/'[6]Table 11 CWTs exp'!$AA20&gt;0.0005,'[6]Table 11 CWTs exp'!P20/'[6]Table 11 CWTs exp'!$AA20,IF('[6]Table 11 CWTs exp'!P20/'[6]Table 11 CWTs exp'!$AA20&gt;0,"-"," "))</f>
        <v>1.4995876134063133E-3</v>
      </c>
      <c r="Q20" s="145" t="str">
        <f>IF('[6]Table 11 CWTs exp'!Q20/'[6]Table 11 CWTs exp'!$AA20&gt;0.0005,'[6]Table 11 CWTs exp'!Q20/'[6]Table 11 CWTs exp'!$AA20,IF('[6]Table 11 CWTs exp'!Q20/'[6]Table 11 CWTs exp'!$AA20&gt;0,"-"," "))</f>
        <v xml:space="preserve"> </v>
      </c>
      <c r="R20" s="146" t="str">
        <f>IF('[6]Table 11 CWTs exp'!R20/'[6]Table 11 CWTs exp'!$AA20&gt;0.0005,'[6]Table 11 CWTs exp'!R20/'[6]Table 11 CWTs exp'!$AA20,IF('[6]Table 11 CWTs exp'!R20/'[6]Table 11 CWTs exp'!$AA20&gt;0,"-"," "))</f>
        <v xml:space="preserve"> </v>
      </c>
      <c r="S20" s="144" t="str">
        <f>IF('[6]Table 11 CWTs exp'!S20/'[6]Table 11 CWTs exp'!$AA20&gt;0.0005,'[6]Table 11 CWTs exp'!S20/'[6]Table 11 CWTs exp'!$AA20,IF('[6]Table 11 CWTs exp'!S20/'[6]Table 11 CWTs exp'!$AA20&gt;0,"-"," "))</f>
        <v xml:space="preserve"> </v>
      </c>
      <c r="T20" s="144" t="str">
        <f>IF('[6]Table 11 CWTs exp'!T20/'[6]Table 11 CWTs exp'!$AA20&gt;0.0005,'[6]Table 11 CWTs exp'!T20/'[6]Table 11 CWTs exp'!$AA20,IF('[6]Table 11 CWTs exp'!T20/'[6]Table 11 CWTs exp'!$AA20&gt;0,"-"," "))</f>
        <v>-</v>
      </c>
      <c r="U20" s="144" t="str">
        <f>IF('[6]Table 11 CWTs exp'!U20/'[6]Table 11 CWTs exp'!$AA20&gt;0.0005,'[6]Table 11 CWTs exp'!U20/'[6]Table 11 CWTs exp'!$AA20,IF('[6]Table 11 CWTs exp'!U20/'[6]Table 11 CWTs exp'!$AA20&gt;0,"-"," "))</f>
        <v xml:space="preserve"> </v>
      </c>
      <c r="V20" s="145" t="str">
        <f>IF('[6]Table 11 CWTs exp'!V20/'[6]Table 11 CWTs exp'!$AA20&gt;0.0005,'[6]Table 11 CWTs exp'!V20/'[6]Table 11 CWTs exp'!$AA20,IF('[6]Table 11 CWTs exp'!V20/'[6]Table 11 CWTs exp'!$AA20&gt;0,"-"," "))</f>
        <v xml:space="preserve"> </v>
      </c>
      <c r="W20" s="146" t="str">
        <f>IF('[6]Table 11 CWTs exp'!W20/'[6]Table 11 CWTs exp'!$AA20&gt;0.0005,'[6]Table 11 CWTs exp'!W20/'[6]Table 11 CWTs exp'!$AA20,IF('[6]Table 11 CWTs exp'!W20/'[6]Table 11 CWTs exp'!$AA20&gt;0,"-"," "))</f>
        <v xml:space="preserve"> </v>
      </c>
      <c r="X20" s="206" t="str">
        <f>IF('[6]Table 11 CWTs exp'!X20/'[6]Table 11 CWTs exp'!$AA20&gt;0.0005,'[6]Table 11 CWTs exp'!X20/'[6]Table 11 CWTs exp'!$AA20,IF('[6]Table 11 CWTs exp'!X20/'[6]Table 11 CWTs exp'!$AA20&gt;0,"-"," "))</f>
        <v xml:space="preserve"> </v>
      </c>
      <c r="Y20" s="147">
        <f t="shared" si="2"/>
        <v>0.3682987178525905</v>
      </c>
      <c r="Z20" s="148">
        <f t="shared" si="3"/>
        <v>0.6317012821474095</v>
      </c>
      <c r="AA20" s="38">
        <f>'[6]Table 11 CWTs exp'!AA20</f>
        <v>13337</v>
      </c>
      <c r="AD20" s="327"/>
    </row>
    <row r="21" spans="1:30" ht="14.15" customHeight="1" x14ac:dyDescent="0.25">
      <c r="A21" t="str">
        <f>'[6]Table 11 CWTs exp'!A21</f>
        <v>BATT543</v>
      </c>
      <c r="B21" s="4" t="str">
        <f>'[6]Table 11 CWTs exp'!B21</f>
        <v>BATT</v>
      </c>
      <c r="C21" s="4">
        <f>'[6]Table 11 CWTs exp'!C21</f>
        <v>54</v>
      </c>
      <c r="D21" s="4">
        <f>'[6]Table 11 CWTs exp'!D21</f>
        <v>3</v>
      </c>
      <c r="E21" t="str">
        <f>'[6]Table 11 CWTs exp'!E21</f>
        <v>Battle Creek</v>
      </c>
      <c r="F21" s="28" t="s">
        <v>219</v>
      </c>
      <c r="G21" s="144" t="str">
        <f>IF('[6]Table 11 CWTs exp'!G21/'[6]Table 11 CWTs exp'!$AA21&gt;0.0005,'[6]Table 11 CWTs exp'!G21/'[6]Table 11 CWTs exp'!$AA21,IF('[6]Table 11 CWTs exp'!G21/'[6]Table 11 CWTs exp'!$AA21&gt;0,"-"," "))</f>
        <v xml:space="preserve"> </v>
      </c>
      <c r="H21" s="145" t="str">
        <f>IF('[6]Table 11 CWTs exp'!H21/'[6]Table 11 CWTs exp'!$AA21&gt;0.0005,'[6]Table 11 CWTs exp'!H21/'[6]Table 11 CWTs exp'!$AA21,IF('[6]Table 11 CWTs exp'!H21/'[6]Table 11 CWTs exp'!$AA21&gt;0,"-"," "))</f>
        <v xml:space="preserve"> </v>
      </c>
      <c r="I21" s="144">
        <f>IF('[6]Table 11 CWTs exp'!I21/'[6]Table 11 CWTs exp'!$AA21&gt;0.0005,'[6]Table 11 CWTs exp'!I21/'[6]Table 11 CWTs exp'!$AA21,IF('[6]Table 11 CWTs exp'!I21/'[6]Table 11 CWTs exp'!$AA21&gt;0,"-"," "))</f>
        <v>0.87140178354160402</v>
      </c>
      <c r="J21" s="146">
        <f>IF('[6]Table 11 CWTs exp'!J21/'[6]Table 11 CWTs exp'!$AA21&gt;0.0005,'[6]Table 11 CWTs exp'!J21/'[6]Table 11 CWTs exp'!$AA21,IF('[6]Table 11 CWTs exp'!J21/'[6]Table 11 CWTs exp'!$AA21&gt;0,"-"," "))</f>
        <v>1.5072787392107184E-2</v>
      </c>
      <c r="K21" s="144" t="str">
        <f>IF('[6]Table 11 CWTs exp'!K21/'[6]Table 11 CWTs exp'!$AA21&gt;0.0005,'[6]Table 11 CWTs exp'!K21/'[6]Table 11 CWTs exp'!$AA21,IF('[6]Table 11 CWTs exp'!K21/'[6]Table 11 CWTs exp'!$AA21&gt;0,"-"," "))</f>
        <v xml:space="preserve"> </v>
      </c>
      <c r="L21" s="144" t="str">
        <f>IF('[6]Table 11 CWTs exp'!L21/'[6]Table 11 CWTs exp'!$AA21&gt;0.0005,'[6]Table 11 CWTs exp'!L21/'[6]Table 11 CWTs exp'!$AA21,IF('[6]Table 11 CWTs exp'!L21/'[6]Table 11 CWTs exp'!$AA21&gt;0,"-"," "))</f>
        <v>-</v>
      </c>
      <c r="M21" s="144" t="str">
        <f>IF('[6]Table 11 CWTs exp'!M21/'[6]Table 11 CWTs exp'!$AA21&gt;0.0005,'[6]Table 11 CWTs exp'!M21/'[6]Table 11 CWTs exp'!$AA21,IF('[6]Table 11 CWTs exp'!M21/'[6]Table 11 CWTs exp'!$AA21&gt;0,"-"," "))</f>
        <v>-</v>
      </c>
      <c r="N21" s="144">
        <f>IF('[6]Table 11 CWTs exp'!N21/'[6]Table 11 CWTs exp'!$AA21&gt;0.0005,'[6]Table 11 CWTs exp'!N21/'[6]Table 11 CWTs exp'!$AA21,IF('[6]Table 11 CWTs exp'!N21/'[6]Table 11 CWTs exp'!$AA21&gt;0,"-"," "))</f>
        <v>9.7622421665879387E-3</v>
      </c>
      <c r="O21" s="144" t="str">
        <f>IF('[6]Table 11 CWTs exp'!O21/'[6]Table 11 CWTs exp'!$AA21&gt;0.0005,'[6]Table 11 CWTs exp'!O21/'[6]Table 11 CWTs exp'!$AA21,IF('[6]Table 11 CWTs exp'!O21/'[6]Table 11 CWTs exp'!$AA21&gt;0,"-"," "))</f>
        <v>-</v>
      </c>
      <c r="P21" s="144" t="str">
        <f>IF('[6]Table 11 CWTs exp'!P21/'[6]Table 11 CWTs exp'!$AA21&gt;0.0005,'[6]Table 11 CWTs exp'!P21/'[6]Table 11 CWTs exp'!$AA21,IF('[6]Table 11 CWTs exp'!P21/'[6]Table 11 CWTs exp'!$AA21&gt;0,"-"," "))</f>
        <v>-</v>
      </c>
      <c r="Q21" s="145" t="str">
        <f>IF('[6]Table 11 CWTs exp'!Q21/'[6]Table 11 CWTs exp'!$AA21&gt;0.0005,'[6]Table 11 CWTs exp'!Q21/'[6]Table 11 CWTs exp'!$AA21,IF('[6]Table 11 CWTs exp'!Q21/'[6]Table 11 CWTs exp'!$AA21&gt;0,"-"," "))</f>
        <v xml:space="preserve"> </v>
      </c>
      <c r="R21" s="146" t="str">
        <f>IF('[6]Table 11 CWTs exp'!R21/'[6]Table 11 CWTs exp'!$AA21&gt;0.0005,'[6]Table 11 CWTs exp'!R21/'[6]Table 11 CWTs exp'!$AA21,IF('[6]Table 11 CWTs exp'!R21/'[6]Table 11 CWTs exp'!$AA21&gt;0,"-"," "))</f>
        <v>-</v>
      </c>
      <c r="S21" s="144" t="str">
        <f>IF('[6]Table 11 CWTs exp'!S21/'[6]Table 11 CWTs exp'!$AA21&gt;0.0005,'[6]Table 11 CWTs exp'!S21/'[6]Table 11 CWTs exp'!$AA21,IF('[6]Table 11 CWTs exp'!S21/'[6]Table 11 CWTs exp'!$AA21&gt;0,"-"," "))</f>
        <v xml:space="preserve"> </v>
      </c>
      <c r="T21" s="144" t="str">
        <f>IF('[6]Table 11 CWTs exp'!T21/'[6]Table 11 CWTs exp'!$AA21&gt;0.0005,'[6]Table 11 CWTs exp'!T21/'[6]Table 11 CWTs exp'!$AA21,IF('[6]Table 11 CWTs exp'!T21/'[6]Table 11 CWTs exp'!$AA21&gt;0,"-"," "))</f>
        <v>-</v>
      </c>
      <c r="U21" s="144" t="str">
        <f>IF('[6]Table 11 CWTs exp'!U21/'[6]Table 11 CWTs exp'!$AA21&gt;0.0005,'[6]Table 11 CWTs exp'!U21/'[6]Table 11 CWTs exp'!$AA21,IF('[6]Table 11 CWTs exp'!U21/'[6]Table 11 CWTs exp'!$AA21&gt;0,"-"," "))</f>
        <v>-</v>
      </c>
      <c r="V21" s="145" t="str">
        <f>IF('[6]Table 11 CWTs exp'!V21/'[6]Table 11 CWTs exp'!$AA21&gt;0.0005,'[6]Table 11 CWTs exp'!V21/'[6]Table 11 CWTs exp'!$AA21,IF('[6]Table 11 CWTs exp'!V21/'[6]Table 11 CWTs exp'!$AA21&gt;0,"-"," "))</f>
        <v>-</v>
      </c>
      <c r="W21" s="146" t="str">
        <f>IF('[6]Table 11 CWTs exp'!W21/'[6]Table 11 CWTs exp'!$AA21&gt;0.0005,'[6]Table 11 CWTs exp'!W21/'[6]Table 11 CWTs exp'!$AA21,IF('[6]Table 11 CWTs exp'!W21/'[6]Table 11 CWTs exp'!$AA21&gt;0,"-"," "))</f>
        <v xml:space="preserve"> </v>
      </c>
      <c r="X21" s="206" t="str">
        <f>IF('[6]Table 11 CWTs exp'!X21/'[6]Table 11 CWTs exp'!$AA21&gt;0.0005,'[6]Table 11 CWTs exp'!X21/'[6]Table 11 CWTs exp'!$AA21,IF('[6]Table 11 CWTs exp'!X21/'[6]Table 11 CWTs exp'!$AA21&gt;0,"-"," "))</f>
        <v xml:space="preserve"> </v>
      </c>
      <c r="Y21" s="147">
        <f t="shared" si="2"/>
        <v>0.89623681310029912</v>
      </c>
      <c r="Z21" s="148">
        <f t="shared" si="3"/>
        <v>0.10376318689970088</v>
      </c>
      <c r="AA21" s="38">
        <f>'[6]Table 11 CWTs exp'!AA21</f>
        <v>31569</v>
      </c>
      <c r="AD21" s="327"/>
    </row>
    <row r="22" spans="1:30" ht="14.15" customHeight="1" x14ac:dyDescent="0.25">
      <c r="A22" t="str">
        <f>'[6]Table 11 CWTs exp'!A22</f>
        <v>COT543</v>
      </c>
      <c r="B22" s="4" t="str">
        <f>'[6]Table 11 CWTs exp'!B22</f>
        <v>COT</v>
      </c>
      <c r="C22" s="4">
        <f>'[6]Table 11 CWTs exp'!C22</f>
        <v>54</v>
      </c>
      <c r="D22" s="4">
        <f>'[6]Table 11 CWTs exp'!D22</f>
        <v>3</v>
      </c>
      <c r="E22" t="str">
        <f>'[6]Table 11 CWTs exp'!E22</f>
        <v>Cottonwood Creek</v>
      </c>
      <c r="F22" s="37" t="str">
        <f>'[6]Table 11 CWTs exp'!F22</f>
        <v>Fall</v>
      </c>
      <c r="G22" s="144" t="str">
        <f>IF('[6]Table 11 CWTs exp'!G22/'[6]Table 11 CWTs exp'!$AA22&gt;0.0005,'[6]Table 11 CWTs exp'!G22/'[6]Table 11 CWTs exp'!$AA22,IF('[6]Table 11 CWTs exp'!G22/'[6]Table 11 CWTs exp'!$AA22&gt;0,"-"," "))</f>
        <v xml:space="preserve"> </v>
      </c>
      <c r="H22" s="145" t="str">
        <f>IF('[6]Table 11 CWTs exp'!H22/'[6]Table 11 CWTs exp'!$AA22&gt;0.0005,'[6]Table 11 CWTs exp'!H22/'[6]Table 11 CWTs exp'!$AA22,IF('[6]Table 11 CWTs exp'!H22/'[6]Table 11 CWTs exp'!$AA22&gt;0,"-"," "))</f>
        <v xml:space="preserve"> </v>
      </c>
      <c r="I22" s="144">
        <f>IF('[6]Table 11 CWTs exp'!I22/'[6]Table 11 CWTs exp'!$AA22&gt;0.0005,'[6]Table 11 CWTs exp'!I22/'[6]Table 11 CWTs exp'!$AA22,IF('[6]Table 11 CWTs exp'!I22/'[6]Table 11 CWTs exp'!$AA22&gt;0,"-"," "))</f>
        <v>0.19214131218457101</v>
      </c>
      <c r="J22" s="146">
        <f>IF('[6]Table 11 CWTs exp'!J22/'[6]Table 11 CWTs exp'!$AA22&gt;0.0005,'[6]Table 11 CWTs exp'!J22/'[6]Table 11 CWTs exp'!$AA22,IF('[6]Table 11 CWTs exp'!J22/'[6]Table 11 CWTs exp'!$AA22&gt;0,"-"," "))</f>
        <v>3.1362653208363372E-2</v>
      </c>
      <c r="K22" s="144" t="str">
        <f>IF('[6]Table 11 CWTs exp'!K22/'[6]Table 11 CWTs exp'!$AA22&gt;0.0005,'[6]Table 11 CWTs exp'!K22/'[6]Table 11 CWTs exp'!$AA22,IF('[6]Table 11 CWTs exp'!K22/'[6]Table 11 CWTs exp'!$AA22&gt;0,"-"," "))</f>
        <v xml:space="preserve"> </v>
      </c>
      <c r="L22" s="144" t="str">
        <f>IF('[6]Table 11 CWTs exp'!L22/'[6]Table 11 CWTs exp'!$AA22&gt;0.0005,'[6]Table 11 CWTs exp'!L22/'[6]Table 11 CWTs exp'!$AA22,IF('[6]Table 11 CWTs exp'!L22/'[6]Table 11 CWTs exp'!$AA22&gt;0,"-"," "))</f>
        <v xml:space="preserve"> </v>
      </c>
      <c r="M22" s="144" t="str">
        <f>IF('[6]Table 11 CWTs exp'!M22/'[6]Table 11 CWTs exp'!$AA22&gt;0.0005,'[6]Table 11 CWTs exp'!M22/'[6]Table 11 CWTs exp'!$AA22,IF('[6]Table 11 CWTs exp'!M22/'[6]Table 11 CWTs exp'!$AA22&gt;0,"-"," "))</f>
        <v xml:space="preserve"> </v>
      </c>
      <c r="N22" s="144">
        <f>IF('[6]Table 11 CWTs exp'!N22/'[6]Table 11 CWTs exp'!$AA22&gt;0.0005,'[6]Table 11 CWTs exp'!N22/'[6]Table 11 CWTs exp'!$AA22,IF('[6]Table 11 CWTs exp'!N22/'[6]Table 11 CWTs exp'!$AA22&gt;0,"-"," "))</f>
        <v>8.4354722422494588E-2</v>
      </c>
      <c r="O22" s="144" t="str">
        <f>IF('[6]Table 11 CWTs exp'!O22/'[6]Table 11 CWTs exp'!$AA22&gt;0.0005,'[6]Table 11 CWTs exp'!O22/'[6]Table 11 CWTs exp'!$AA22,IF('[6]Table 11 CWTs exp'!O22/'[6]Table 11 CWTs exp'!$AA22&gt;0,"-"," "))</f>
        <v xml:space="preserve"> </v>
      </c>
      <c r="P22" s="144" t="str">
        <f>IF('[6]Table 11 CWTs exp'!P22/'[6]Table 11 CWTs exp'!$AA22&gt;0.0005,'[6]Table 11 CWTs exp'!P22/'[6]Table 11 CWTs exp'!$AA22,IF('[6]Table 11 CWTs exp'!P22/'[6]Table 11 CWTs exp'!$AA22&gt;0,"-"," "))</f>
        <v xml:space="preserve"> </v>
      </c>
      <c r="Q22" s="145" t="str">
        <f>IF('[6]Table 11 CWTs exp'!Q22/'[6]Table 11 CWTs exp'!$AA22&gt;0.0005,'[6]Table 11 CWTs exp'!Q22/'[6]Table 11 CWTs exp'!$AA22,IF('[6]Table 11 CWTs exp'!Q22/'[6]Table 11 CWTs exp'!$AA22&gt;0,"-"," "))</f>
        <v xml:space="preserve"> </v>
      </c>
      <c r="R22" s="146" t="str">
        <f>IF('[6]Table 11 CWTs exp'!R22/'[6]Table 11 CWTs exp'!$AA22&gt;0.0005,'[6]Table 11 CWTs exp'!R22/'[6]Table 11 CWTs exp'!$AA22,IF('[6]Table 11 CWTs exp'!R22/'[6]Table 11 CWTs exp'!$AA22&gt;0,"-"," "))</f>
        <v xml:space="preserve"> </v>
      </c>
      <c r="S22" s="144" t="str">
        <f>IF('[6]Table 11 CWTs exp'!S22/'[6]Table 11 CWTs exp'!$AA22&gt;0.0005,'[6]Table 11 CWTs exp'!S22/'[6]Table 11 CWTs exp'!$AA22,IF('[6]Table 11 CWTs exp'!S22/'[6]Table 11 CWTs exp'!$AA22&gt;0,"-"," "))</f>
        <v xml:space="preserve"> </v>
      </c>
      <c r="T22" s="144" t="str">
        <f>IF('[6]Table 11 CWTs exp'!T22/'[6]Table 11 CWTs exp'!$AA22&gt;0.0005,'[6]Table 11 CWTs exp'!T22/'[6]Table 11 CWTs exp'!$AA22,IF('[6]Table 11 CWTs exp'!T22/'[6]Table 11 CWTs exp'!$AA22&gt;0,"-"," "))</f>
        <v xml:space="preserve"> </v>
      </c>
      <c r="U22" s="144" t="str">
        <f>IF('[6]Table 11 CWTs exp'!U22/'[6]Table 11 CWTs exp'!$AA22&gt;0.0005,'[6]Table 11 CWTs exp'!U22/'[6]Table 11 CWTs exp'!$AA22,IF('[6]Table 11 CWTs exp'!U22/'[6]Table 11 CWTs exp'!$AA22&gt;0,"-"," "))</f>
        <v xml:space="preserve"> </v>
      </c>
      <c r="V22" s="145" t="str">
        <f>IF('[6]Table 11 CWTs exp'!V22/'[6]Table 11 CWTs exp'!$AA22&gt;0.0005,'[6]Table 11 CWTs exp'!V22/'[6]Table 11 CWTs exp'!$AA22,IF('[6]Table 11 CWTs exp'!V22/'[6]Table 11 CWTs exp'!$AA22&gt;0,"-"," "))</f>
        <v xml:space="preserve"> </v>
      </c>
      <c r="W22" s="146" t="str">
        <f>IF('[6]Table 11 CWTs exp'!W22/'[6]Table 11 CWTs exp'!$AA22&gt;0.0005,'[6]Table 11 CWTs exp'!W22/'[6]Table 11 CWTs exp'!$AA22,IF('[6]Table 11 CWTs exp'!W22/'[6]Table 11 CWTs exp'!$AA22&gt;0,"-"," "))</f>
        <v xml:space="preserve"> </v>
      </c>
      <c r="X22" s="206" t="str">
        <f>IF('[6]Table 11 CWTs exp'!X22/'[6]Table 11 CWTs exp'!$AA22&gt;0.0005,'[6]Table 11 CWTs exp'!X22/'[6]Table 11 CWTs exp'!$AA22,IF('[6]Table 11 CWTs exp'!X22/'[6]Table 11 CWTs exp'!$AA22&gt;0,"-"," "))</f>
        <v xml:space="preserve"> </v>
      </c>
      <c r="Y22" s="147">
        <f t="shared" si="2"/>
        <v>0.30785868781542897</v>
      </c>
      <c r="Z22" s="148">
        <f t="shared" si="3"/>
        <v>0.69214131218457098</v>
      </c>
      <c r="AA22" s="38">
        <f>'[6]Table 11 CWTs exp'!AA22</f>
        <v>2774</v>
      </c>
      <c r="AD22" s="327"/>
    </row>
    <row r="23" spans="1:30" ht="14.15" customHeight="1" x14ac:dyDescent="0.25">
      <c r="A23" t="str">
        <f>'[6]Table 11 CWTs exp'!A25</f>
        <v>DEE543</v>
      </c>
      <c r="B23" s="4" t="str">
        <f>'[6]Table 11 CWTs exp'!B23</f>
        <v>PAY</v>
      </c>
      <c r="C23" s="4">
        <f>'[6]Table 11 CWTs exp'!C23</f>
        <v>54</v>
      </c>
      <c r="D23" s="4">
        <f>'[6]Table 11 CWTs exp'!D23</f>
        <v>3</v>
      </c>
      <c r="E23" t="str">
        <f>'[6]Table 11 CWTs exp'!E23</f>
        <v>Paynes Creek</v>
      </c>
      <c r="F23" s="37" t="str">
        <f>'[6]Table 11 CWTs exp'!F23</f>
        <v>Fall</v>
      </c>
      <c r="G23" s="144" t="str">
        <f>IF('[6]Table 11 CWTs exp'!G23/'[6]Table 11 CWTs exp'!$AA23&gt;0.0005,'[6]Table 11 CWTs exp'!G23/'[6]Table 11 CWTs exp'!$AA23,IF('[6]Table 11 CWTs exp'!G23/'[6]Table 11 CWTs exp'!$AA23&gt;0,"-"," "))</f>
        <v xml:space="preserve"> </v>
      </c>
      <c r="H23" s="145" t="str">
        <f>IF('[6]Table 11 CWTs exp'!H23/'[6]Table 11 CWTs exp'!$AA23&gt;0.0005,'[6]Table 11 CWTs exp'!H23/'[6]Table 11 CWTs exp'!$AA23,IF('[6]Table 11 CWTs exp'!H23/'[6]Table 11 CWTs exp'!$AA23&gt;0,"-"," "))</f>
        <v xml:space="preserve"> </v>
      </c>
      <c r="I23" s="144">
        <f>IF('[6]Table 11 CWTs exp'!I23/'[6]Table 11 CWTs exp'!$AA23&gt;0.0005,'[6]Table 11 CWTs exp'!I23/'[6]Table 11 CWTs exp'!$AA23,IF('[6]Table 11 CWTs exp'!I23/'[6]Table 11 CWTs exp'!$AA23&gt;0,"-"," "))</f>
        <v>0.53142857142857147</v>
      </c>
      <c r="J23" s="146" t="str">
        <f>IF('[6]Table 11 CWTs exp'!J23/'[6]Table 11 CWTs exp'!$AA23&gt;0.0005,'[6]Table 11 CWTs exp'!J23/'[6]Table 11 CWTs exp'!$AA23,IF('[6]Table 11 CWTs exp'!J23/'[6]Table 11 CWTs exp'!$AA23&gt;0,"-"," "))</f>
        <v xml:space="preserve"> </v>
      </c>
      <c r="K23" s="144" t="str">
        <f>IF('[6]Table 11 CWTs exp'!K23/'[6]Table 11 CWTs exp'!$AA23&gt;0.0005,'[6]Table 11 CWTs exp'!K23/'[6]Table 11 CWTs exp'!$AA23,IF('[6]Table 11 CWTs exp'!K23/'[6]Table 11 CWTs exp'!$AA23&gt;0,"-"," "))</f>
        <v xml:space="preserve"> </v>
      </c>
      <c r="L23" s="144" t="str">
        <f>IF('[6]Table 11 CWTs exp'!L23/'[6]Table 11 CWTs exp'!$AA23&gt;0.0005,'[6]Table 11 CWTs exp'!L23/'[6]Table 11 CWTs exp'!$AA23,IF('[6]Table 11 CWTs exp'!L23/'[6]Table 11 CWTs exp'!$AA23&gt;0,"-"," "))</f>
        <v xml:space="preserve"> </v>
      </c>
      <c r="M23" s="144" t="str">
        <f>IF('[6]Table 11 CWTs exp'!M23/'[6]Table 11 CWTs exp'!$AA23&gt;0.0005,'[6]Table 11 CWTs exp'!M23/'[6]Table 11 CWTs exp'!$AA23,IF('[6]Table 11 CWTs exp'!M23/'[6]Table 11 CWTs exp'!$AA23&gt;0,"-"," "))</f>
        <v xml:space="preserve"> </v>
      </c>
      <c r="N23" s="144" t="str">
        <f>IF('[6]Table 11 CWTs exp'!N23/'[6]Table 11 CWTs exp'!$AA23&gt;0.0005,'[6]Table 11 CWTs exp'!N23/'[6]Table 11 CWTs exp'!$AA23,IF('[6]Table 11 CWTs exp'!N23/'[6]Table 11 CWTs exp'!$AA23&gt;0,"-"," "))</f>
        <v xml:space="preserve"> </v>
      </c>
      <c r="O23" s="144" t="str">
        <f>IF('[6]Table 11 CWTs exp'!O23/'[6]Table 11 CWTs exp'!$AA23&gt;0.0005,'[6]Table 11 CWTs exp'!O23/'[6]Table 11 CWTs exp'!$AA23,IF('[6]Table 11 CWTs exp'!O23/'[6]Table 11 CWTs exp'!$AA23&gt;0,"-"," "))</f>
        <v xml:space="preserve"> </v>
      </c>
      <c r="P23" s="144" t="str">
        <f>IF('[6]Table 11 CWTs exp'!P23/'[6]Table 11 CWTs exp'!$AA23&gt;0.0005,'[6]Table 11 CWTs exp'!P23/'[6]Table 11 CWTs exp'!$AA23,IF('[6]Table 11 CWTs exp'!P23/'[6]Table 11 CWTs exp'!$AA23&gt;0,"-"," "))</f>
        <v xml:space="preserve"> </v>
      </c>
      <c r="Q23" s="145" t="str">
        <f>IF('[6]Table 11 CWTs exp'!Q23/'[6]Table 11 CWTs exp'!$AA23&gt;0.0005,'[6]Table 11 CWTs exp'!Q23/'[6]Table 11 CWTs exp'!$AA23,IF('[6]Table 11 CWTs exp'!Q23/'[6]Table 11 CWTs exp'!$AA23&gt;0,"-"," "))</f>
        <v xml:space="preserve"> </v>
      </c>
      <c r="R23" s="146" t="str">
        <f>IF('[6]Table 11 CWTs exp'!R23/'[6]Table 11 CWTs exp'!$AA23&gt;0.0005,'[6]Table 11 CWTs exp'!R23/'[6]Table 11 CWTs exp'!$AA23,IF('[6]Table 11 CWTs exp'!R23/'[6]Table 11 CWTs exp'!$AA23&gt;0,"-"," "))</f>
        <v xml:space="preserve"> </v>
      </c>
      <c r="S23" s="144" t="str">
        <f>IF('[6]Table 11 CWTs exp'!S23/'[6]Table 11 CWTs exp'!$AA23&gt;0.0005,'[6]Table 11 CWTs exp'!S23/'[6]Table 11 CWTs exp'!$AA23,IF('[6]Table 11 CWTs exp'!S23/'[6]Table 11 CWTs exp'!$AA23&gt;0,"-"," "))</f>
        <v xml:space="preserve"> </v>
      </c>
      <c r="T23" s="144" t="str">
        <f>IF('[6]Table 11 CWTs exp'!T23/'[6]Table 11 CWTs exp'!$AA23&gt;0.0005,'[6]Table 11 CWTs exp'!T23/'[6]Table 11 CWTs exp'!$AA23,IF('[6]Table 11 CWTs exp'!T23/'[6]Table 11 CWTs exp'!$AA23&gt;0,"-"," "))</f>
        <v xml:space="preserve"> </v>
      </c>
      <c r="U23" s="144" t="str">
        <f>IF('[6]Table 11 CWTs exp'!U23/'[6]Table 11 CWTs exp'!$AA23&gt;0.0005,'[6]Table 11 CWTs exp'!U23/'[6]Table 11 CWTs exp'!$AA23,IF('[6]Table 11 CWTs exp'!U23/'[6]Table 11 CWTs exp'!$AA23&gt;0,"-"," "))</f>
        <v xml:space="preserve"> </v>
      </c>
      <c r="V23" s="145" t="str">
        <f>IF('[6]Table 11 CWTs exp'!V23/'[6]Table 11 CWTs exp'!$AA23&gt;0.0005,'[6]Table 11 CWTs exp'!V23/'[6]Table 11 CWTs exp'!$AA23,IF('[6]Table 11 CWTs exp'!V23/'[6]Table 11 CWTs exp'!$AA23&gt;0,"-"," "))</f>
        <v xml:space="preserve"> </v>
      </c>
      <c r="W23" s="146" t="str">
        <f>IF('[6]Table 11 CWTs exp'!W23/'[6]Table 11 CWTs exp'!$AA23&gt;0.0005,'[6]Table 11 CWTs exp'!W23/'[6]Table 11 CWTs exp'!$AA23,IF('[6]Table 11 CWTs exp'!W23/'[6]Table 11 CWTs exp'!$AA23&gt;0,"-"," "))</f>
        <v xml:space="preserve"> </v>
      </c>
      <c r="X23" s="206" t="str">
        <f>IF('[6]Table 11 CWTs exp'!X23/'[6]Table 11 CWTs exp'!$AA23&gt;0.0005,'[6]Table 11 CWTs exp'!X23/'[6]Table 11 CWTs exp'!$AA23,IF('[6]Table 11 CWTs exp'!X23/'[6]Table 11 CWTs exp'!$AA23&gt;0,"-"," "))</f>
        <v xml:space="preserve"> </v>
      </c>
      <c r="Y23" s="147">
        <f t="shared" si="2"/>
        <v>0.53142857142857147</v>
      </c>
      <c r="Z23" s="148">
        <f t="shared" si="3"/>
        <v>0.46857142857142853</v>
      </c>
      <c r="AA23" s="38">
        <f>'[6]Table 11 CWTs exp'!AA23</f>
        <v>175</v>
      </c>
      <c r="AD23" s="327"/>
    </row>
    <row r="24" spans="1:30" ht="14.15" customHeight="1" x14ac:dyDescent="0.25">
      <c r="A24" t="str">
        <f>'[6]Table 11 CWTs exp'!A23</f>
        <v>PAY543</v>
      </c>
      <c r="B24" s="4" t="str">
        <f>'[6]Table 11 CWTs exp'!B24</f>
        <v>MLC</v>
      </c>
      <c r="C24" s="4">
        <f>'[6]Table 11 CWTs exp'!C24</f>
        <v>54</v>
      </c>
      <c r="D24" s="4">
        <f>'[6]Table 11 CWTs exp'!D24</f>
        <v>3</v>
      </c>
      <c r="E24" t="str">
        <f>'[6]Table 11 CWTs exp'!E24</f>
        <v>Mill Creek</v>
      </c>
      <c r="F24" s="37" t="str">
        <f>'[6]Table 11 CWTs exp'!F24</f>
        <v>Fall</v>
      </c>
      <c r="G24" s="144" t="str">
        <f>IF('[6]Table 11 CWTs exp'!G24/'[6]Table 11 CWTs exp'!$AA24&gt;0.0005,'[6]Table 11 CWTs exp'!G24/'[6]Table 11 CWTs exp'!$AA24,IF('[6]Table 11 CWTs exp'!G24/'[6]Table 11 CWTs exp'!$AA24&gt;0,"-"," "))</f>
        <v xml:space="preserve"> </v>
      </c>
      <c r="H24" s="145" t="str">
        <f>IF('[6]Table 11 CWTs exp'!H24/'[6]Table 11 CWTs exp'!$AA24&gt;0.0005,'[6]Table 11 CWTs exp'!H24/'[6]Table 11 CWTs exp'!$AA24,IF('[6]Table 11 CWTs exp'!H24/'[6]Table 11 CWTs exp'!$AA24&gt;0,"-"," "))</f>
        <v xml:space="preserve"> </v>
      </c>
      <c r="I24" s="144">
        <f>IF('[6]Table 11 CWTs exp'!I24/'[6]Table 11 CWTs exp'!$AA24&gt;0.0005,'[6]Table 11 CWTs exp'!I24/'[6]Table 11 CWTs exp'!$AA24,IF('[6]Table 11 CWTs exp'!I24/'[6]Table 11 CWTs exp'!$AA24&gt;0,"-"," "))</f>
        <v>0.15111515703231679</v>
      </c>
      <c r="J24" s="146">
        <f>IF('[6]Table 11 CWTs exp'!J24/'[6]Table 11 CWTs exp'!$AA24&gt;0.0005,'[6]Table 11 CWTs exp'!J24/'[6]Table 11 CWTs exp'!$AA24,IF('[6]Table 11 CWTs exp'!J24/'[6]Table 11 CWTs exp'!$AA24&gt;0,"-"," "))</f>
        <v>5.0068274920345927E-2</v>
      </c>
      <c r="K24" s="144" t="str">
        <f>IF('[6]Table 11 CWTs exp'!K24/'[6]Table 11 CWTs exp'!$AA24&gt;0.0005,'[6]Table 11 CWTs exp'!K24/'[6]Table 11 CWTs exp'!$AA24,IF('[6]Table 11 CWTs exp'!K24/'[6]Table 11 CWTs exp'!$AA24&gt;0,"-"," "))</f>
        <v xml:space="preserve"> </v>
      </c>
      <c r="L24" s="144" t="str">
        <f>IF('[6]Table 11 CWTs exp'!L24/'[6]Table 11 CWTs exp'!$AA24&gt;0.0005,'[6]Table 11 CWTs exp'!L24/'[6]Table 11 CWTs exp'!$AA24,IF('[6]Table 11 CWTs exp'!L24/'[6]Table 11 CWTs exp'!$AA24&gt;0,"-"," "))</f>
        <v xml:space="preserve"> </v>
      </c>
      <c r="M24" s="144" t="str">
        <f>IF('[6]Table 11 CWTs exp'!M24/'[6]Table 11 CWTs exp'!$AA24&gt;0.0005,'[6]Table 11 CWTs exp'!M24/'[6]Table 11 CWTs exp'!$AA24,IF('[6]Table 11 CWTs exp'!M24/'[6]Table 11 CWTs exp'!$AA24&gt;0,"-"," "))</f>
        <v xml:space="preserve"> </v>
      </c>
      <c r="N24" s="144">
        <f>IF('[6]Table 11 CWTs exp'!N24/'[6]Table 11 CWTs exp'!$AA24&gt;0.0005,'[6]Table 11 CWTs exp'!N24/'[6]Table 11 CWTs exp'!$AA24,IF('[6]Table 11 CWTs exp'!N24/'[6]Table 11 CWTs exp'!$AA24&gt;0,"-"," "))</f>
        <v>0.10104688211197087</v>
      </c>
      <c r="O24" s="144" t="str">
        <f>IF('[6]Table 11 CWTs exp'!O24/'[6]Table 11 CWTs exp'!$AA24&gt;0.0005,'[6]Table 11 CWTs exp'!O24/'[6]Table 11 CWTs exp'!$AA24,IF('[6]Table 11 CWTs exp'!O24/'[6]Table 11 CWTs exp'!$AA24&gt;0,"-"," "))</f>
        <v xml:space="preserve"> </v>
      </c>
      <c r="P24" s="144">
        <f>IF('[6]Table 11 CWTs exp'!P24/'[6]Table 11 CWTs exp'!$AA24&gt;0.0005,'[6]Table 11 CWTs exp'!P24/'[6]Table 11 CWTs exp'!$AA24,IF('[6]Table 11 CWTs exp'!P24/'[6]Table 11 CWTs exp'!$AA24&gt;0,"-"," "))</f>
        <v>6.3723258989531175E-3</v>
      </c>
      <c r="Q24" s="145" t="str">
        <f>IF('[6]Table 11 CWTs exp'!Q24/'[6]Table 11 CWTs exp'!$AA24&gt;0.0005,'[6]Table 11 CWTs exp'!Q24/'[6]Table 11 CWTs exp'!$AA24,IF('[6]Table 11 CWTs exp'!Q24/'[6]Table 11 CWTs exp'!$AA24&gt;0,"-"," "))</f>
        <v xml:space="preserve"> </v>
      </c>
      <c r="R24" s="146" t="str">
        <f>IF('[6]Table 11 CWTs exp'!R24/'[6]Table 11 CWTs exp'!$AA24&gt;0.0005,'[6]Table 11 CWTs exp'!R24/'[6]Table 11 CWTs exp'!$AA24,IF('[6]Table 11 CWTs exp'!R24/'[6]Table 11 CWTs exp'!$AA24&gt;0,"-"," "))</f>
        <v xml:space="preserve"> </v>
      </c>
      <c r="S24" s="144" t="str">
        <f>IF('[6]Table 11 CWTs exp'!S24/'[6]Table 11 CWTs exp'!$AA24&gt;0.0005,'[6]Table 11 CWTs exp'!S24/'[6]Table 11 CWTs exp'!$AA24,IF('[6]Table 11 CWTs exp'!S24/'[6]Table 11 CWTs exp'!$AA24&gt;0,"-"," "))</f>
        <v xml:space="preserve"> </v>
      </c>
      <c r="T24" s="144">
        <f>IF('[6]Table 11 CWTs exp'!T24/'[6]Table 11 CWTs exp'!$AA24&gt;0.0005,'[6]Table 11 CWTs exp'!T24/'[6]Table 11 CWTs exp'!$AA24,IF('[6]Table 11 CWTs exp'!T24/'[6]Table 11 CWTs exp'!$AA24&gt;0,"-"," "))</f>
        <v>6.3723258989531175E-3</v>
      </c>
      <c r="U24" s="144" t="str">
        <f>IF('[6]Table 11 CWTs exp'!U24/'[6]Table 11 CWTs exp'!$AA24&gt;0.0005,'[6]Table 11 CWTs exp'!U24/'[6]Table 11 CWTs exp'!$AA24,IF('[6]Table 11 CWTs exp'!U24/'[6]Table 11 CWTs exp'!$AA24&gt;0,"-"," "))</f>
        <v xml:space="preserve"> </v>
      </c>
      <c r="V24" s="145" t="str">
        <f>IF('[6]Table 11 CWTs exp'!V24/'[6]Table 11 CWTs exp'!$AA24&gt;0.0005,'[6]Table 11 CWTs exp'!V24/'[6]Table 11 CWTs exp'!$AA24,IF('[6]Table 11 CWTs exp'!V24/'[6]Table 11 CWTs exp'!$AA24&gt;0,"-"," "))</f>
        <v xml:space="preserve"> </v>
      </c>
      <c r="W24" s="146" t="str">
        <f>IF('[6]Table 11 CWTs exp'!W24/'[6]Table 11 CWTs exp'!$AA24&gt;0.0005,'[6]Table 11 CWTs exp'!W24/'[6]Table 11 CWTs exp'!$AA24,IF('[6]Table 11 CWTs exp'!W24/'[6]Table 11 CWTs exp'!$AA24&gt;0,"-"," "))</f>
        <v xml:space="preserve"> </v>
      </c>
      <c r="X24" s="206" t="str">
        <f>IF('[6]Table 11 CWTs exp'!X24/'[6]Table 11 CWTs exp'!$AA24&gt;0.0005,'[6]Table 11 CWTs exp'!X24/'[6]Table 11 CWTs exp'!$AA24,IF('[6]Table 11 CWTs exp'!X24/'[6]Table 11 CWTs exp'!$AA24&gt;0,"-"," "))</f>
        <v xml:space="preserve"> </v>
      </c>
      <c r="Y24" s="147">
        <f t="shared" si="2"/>
        <v>0.31497496586253976</v>
      </c>
      <c r="Z24" s="148">
        <f t="shared" si="3"/>
        <v>0.68502503413746019</v>
      </c>
      <c r="AA24" s="38">
        <f>'[6]Table 11 CWTs exp'!AA24</f>
        <v>2197</v>
      </c>
      <c r="AD24" s="327"/>
    </row>
    <row r="25" spans="1:30" ht="14.15" customHeight="1" x14ac:dyDescent="0.25">
      <c r="A25" t="str">
        <f>'[6]Table 11 CWTs exp'!A26</f>
        <v>BUTT543</v>
      </c>
      <c r="B25" s="4" t="str">
        <f>'[6]Table 11 CWTs exp'!B25</f>
        <v>DEE</v>
      </c>
      <c r="C25" s="4">
        <f>'[6]Table 11 CWTs exp'!C25</f>
        <v>54</v>
      </c>
      <c r="D25" s="4">
        <f>'[6]Table 11 CWTs exp'!D25</f>
        <v>3</v>
      </c>
      <c r="E25" t="str">
        <f>'[6]Table 11 CWTs exp'!E25</f>
        <v>Deer Creek</v>
      </c>
      <c r="F25" s="37" t="str">
        <f>'[6]Table 11 CWTs exp'!F25</f>
        <v>Fall</v>
      </c>
      <c r="G25" s="144" t="str">
        <f>IF('[6]Table 11 CWTs exp'!G25/'[6]Table 11 CWTs exp'!$AA25&gt;0.0005,'[6]Table 11 CWTs exp'!G25/'[6]Table 11 CWTs exp'!$AA25,IF('[6]Table 11 CWTs exp'!G25/'[6]Table 11 CWTs exp'!$AA25&gt;0,"-"," "))</f>
        <v xml:space="preserve"> </v>
      </c>
      <c r="H25" s="145" t="str">
        <f>IF('[6]Table 11 CWTs exp'!H25/'[6]Table 11 CWTs exp'!$AA25&gt;0.0005,'[6]Table 11 CWTs exp'!H25/'[6]Table 11 CWTs exp'!$AA25,IF('[6]Table 11 CWTs exp'!H25/'[6]Table 11 CWTs exp'!$AA25&gt;0,"-"," "))</f>
        <v xml:space="preserve"> </v>
      </c>
      <c r="I25" s="144" t="str">
        <f>IF('[6]Table 11 CWTs exp'!I25/'[6]Table 11 CWTs exp'!$AA25&gt;0.0005,'[6]Table 11 CWTs exp'!I25/'[6]Table 11 CWTs exp'!$AA25,IF('[6]Table 11 CWTs exp'!I25/'[6]Table 11 CWTs exp'!$AA25&gt;0,"-"," "))</f>
        <v xml:space="preserve"> </v>
      </c>
      <c r="J25" s="146" t="str">
        <f>IF('[6]Table 11 CWTs exp'!J25/'[6]Table 11 CWTs exp'!$AA25&gt;0.0005,'[6]Table 11 CWTs exp'!J25/'[6]Table 11 CWTs exp'!$AA25,IF('[6]Table 11 CWTs exp'!J25/'[6]Table 11 CWTs exp'!$AA25&gt;0,"-"," "))</f>
        <v xml:space="preserve"> </v>
      </c>
      <c r="K25" s="144" t="str">
        <f>IF('[6]Table 11 CWTs exp'!K25/'[6]Table 11 CWTs exp'!$AA25&gt;0.0005,'[6]Table 11 CWTs exp'!K25/'[6]Table 11 CWTs exp'!$AA25,IF('[6]Table 11 CWTs exp'!K25/'[6]Table 11 CWTs exp'!$AA25&gt;0,"-"," "))</f>
        <v xml:space="preserve"> </v>
      </c>
      <c r="L25" s="144" t="str">
        <f>IF('[6]Table 11 CWTs exp'!L25/'[6]Table 11 CWTs exp'!$AA25&gt;0.0005,'[6]Table 11 CWTs exp'!L25/'[6]Table 11 CWTs exp'!$AA25,IF('[6]Table 11 CWTs exp'!L25/'[6]Table 11 CWTs exp'!$AA25&gt;0,"-"," "))</f>
        <v xml:space="preserve"> </v>
      </c>
      <c r="M25" s="144" t="str">
        <f>IF('[6]Table 11 CWTs exp'!M25/'[6]Table 11 CWTs exp'!$AA25&gt;0.0005,'[6]Table 11 CWTs exp'!M25/'[6]Table 11 CWTs exp'!$AA25,IF('[6]Table 11 CWTs exp'!M25/'[6]Table 11 CWTs exp'!$AA25&gt;0,"-"," "))</f>
        <v xml:space="preserve"> </v>
      </c>
      <c r="N25" s="144">
        <f>IF('[6]Table 11 CWTs exp'!N25/'[6]Table 11 CWTs exp'!$AA25&gt;0.0005,'[6]Table 11 CWTs exp'!N25/'[6]Table 11 CWTs exp'!$AA25,IF('[6]Table 11 CWTs exp'!N25/'[6]Table 11 CWTs exp'!$AA25&gt;0,"-"," "))</f>
        <v>3.6062378167641324E-2</v>
      </c>
      <c r="O25" s="144" t="str">
        <f>IF('[6]Table 11 CWTs exp'!O25/'[6]Table 11 CWTs exp'!$AA25&gt;0.0005,'[6]Table 11 CWTs exp'!O25/'[6]Table 11 CWTs exp'!$AA25,IF('[6]Table 11 CWTs exp'!O25/'[6]Table 11 CWTs exp'!$AA25&gt;0,"-"," "))</f>
        <v xml:space="preserve"> </v>
      </c>
      <c r="P25" s="144" t="str">
        <f>IF('[6]Table 11 CWTs exp'!P25/'[6]Table 11 CWTs exp'!$AA25&gt;0.0005,'[6]Table 11 CWTs exp'!P25/'[6]Table 11 CWTs exp'!$AA25,IF('[6]Table 11 CWTs exp'!P25/'[6]Table 11 CWTs exp'!$AA25&gt;0,"-"," "))</f>
        <v xml:space="preserve"> </v>
      </c>
      <c r="Q25" s="145" t="str">
        <f>IF('[6]Table 11 CWTs exp'!Q25/'[6]Table 11 CWTs exp'!$AA25&gt;0.0005,'[6]Table 11 CWTs exp'!Q25/'[6]Table 11 CWTs exp'!$AA25,IF('[6]Table 11 CWTs exp'!Q25/'[6]Table 11 CWTs exp'!$AA25&gt;0,"-"," "))</f>
        <v xml:space="preserve"> </v>
      </c>
      <c r="R25" s="146" t="str">
        <f>IF('[6]Table 11 CWTs exp'!R25/'[6]Table 11 CWTs exp'!$AA25&gt;0.0005,'[6]Table 11 CWTs exp'!R25/'[6]Table 11 CWTs exp'!$AA25,IF('[6]Table 11 CWTs exp'!R25/'[6]Table 11 CWTs exp'!$AA25&gt;0,"-"," "))</f>
        <v xml:space="preserve"> </v>
      </c>
      <c r="S25" s="144" t="str">
        <f>IF('[6]Table 11 CWTs exp'!S25/'[6]Table 11 CWTs exp'!$AA25&gt;0.0005,'[6]Table 11 CWTs exp'!S25/'[6]Table 11 CWTs exp'!$AA25,IF('[6]Table 11 CWTs exp'!S25/'[6]Table 11 CWTs exp'!$AA25&gt;0,"-"," "))</f>
        <v xml:space="preserve"> </v>
      </c>
      <c r="T25" s="144" t="str">
        <f>IF('[6]Table 11 CWTs exp'!T25/'[6]Table 11 CWTs exp'!$AA25&gt;0.0005,'[6]Table 11 CWTs exp'!T25/'[6]Table 11 CWTs exp'!$AA25,IF('[6]Table 11 CWTs exp'!T25/'[6]Table 11 CWTs exp'!$AA25&gt;0,"-"," "))</f>
        <v xml:space="preserve"> </v>
      </c>
      <c r="U25" s="144" t="str">
        <f>IF('[6]Table 11 CWTs exp'!U25/'[6]Table 11 CWTs exp'!$AA25&gt;0.0005,'[6]Table 11 CWTs exp'!U25/'[6]Table 11 CWTs exp'!$AA25,IF('[6]Table 11 CWTs exp'!U25/'[6]Table 11 CWTs exp'!$AA25&gt;0,"-"," "))</f>
        <v xml:space="preserve"> </v>
      </c>
      <c r="V25" s="145" t="str">
        <f>IF('[6]Table 11 CWTs exp'!V25/'[6]Table 11 CWTs exp'!$AA25&gt;0.0005,'[6]Table 11 CWTs exp'!V25/'[6]Table 11 CWTs exp'!$AA25,IF('[6]Table 11 CWTs exp'!V25/'[6]Table 11 CWTs exp'!$AA25&gt;0,"-"," "))</f>
        <v xml:space="preserve"> </v>
      </c>
      <c r="W25" s="146" t="str">
        <f>IF('[6]Table 11 CWTs exp'!W25/'[6]Table 11 CWTs exp'!$AA25&gt;0.0005,'[6]Table 11 CWTs exp'!W25/'[6]Table 11 CWTs exp'!$AA25,IF('[6]Table 11 CWTs exp'!W25/'[6]Table 11 CWTs exp'!$AA25&gt;0,"-"," "))</f>
        <v xml:space="preserve"> </v>
      </c>
      <c r="X25" s="206" t="str">
        <f>IF('[6]Table 11 CWTs exp'!X25/'[6]Table 11 CWTs exp'!$AA25&gt;0.0005,'[6]Table 11 CWTs exp'!X25/'[6]Table 11 CWTs exp'!$AA25,IF('[6]Table 11 CWTs exp'!X25/'[6]Table 11 CWTs exp'!$AA25&gt;0,"-"," "))</f>
        <v xml:space="preserve"> </v>
      </c>
      <c r="Y25" s="147">
        <f t="shared" si="2"/>
        <v>3.6062378167641324E-2</v>
      </c>
      <c r="Z25" s="148">
        <f t="shared" si="3"/>
        <v>0.96393762183235865</v>
      </c>
      <c r="AA25" s="38">
        <f>'[6]Table 11 CWTs exp'!AA25</f>
        <v>1026</v>
      </c>
      <c r="AD25" s="327"/>
    </row>
    <row r="26" spans="1:30" ht="14.15" customHeight="1" x14ac:dyDescent="0.25">
      <c r="A26" t="str">
        <f>'[6]Table 11 CWTs exp'!A27</f>
        <v>FEA543</v>
      </c>
      <c r="B26" s="4" t="str">
        <f>'[6]Table 11 CWTs exp'!B26</f>
        <v>BUTT</v>
      </c>
      <c r="C26" s="4">
        <f>'[6]Table 11 CWTs exp'!C26</f>
        <v>54</v>
      </c>
      <c r="D26" s="4">
        <f>'[6]Table 11 CWTs exp'!D26</f>
        <v>3</v>
      </c>
      <c r="E26" t="str">
        <f>'[6]Table 11 CWTs exp'!E26</f>
        <v>Butte Creek</v>
      </c>
      <c r="F26" s="37" t="str">
        <f>'[6]Table 11 CWTs exp'!F26</f>
        <v>Fall</v>
      </c>
      <c r="G26" s="144" t="str">
        <f>IF('[6]Table 11 CWTs exp'!G26/'[6]Table 11 CWTs exp'!$AA26&gt;0.0005,'[6]Table 11 CWTs exp'!G26/'[6]Table 11 CWTs exp'!$AA26,IF('[6]Table 11 CWTs exp'!G26/'[6]Table 11 CWTs exp'!$AA26&gt;0,"-"," "))</f>
        <v xml:space="preserve"> </v>
      </c>
      <c r="H26" s="145" t="str">
        <f>IF('[6]Table 11 CWTs exp'!H26/'[6]Table 11 CWTs exp'!$AA26&gt;0.0005,'[6]Table 11 CWTs exp'!H26/'[6]Table 11 CWTs exp'!$AA26,IF('[6]Table 11 CWTs exp'!H26/'[6]Table 11 CWTs exp'!$AA26&gt;0,"-"," "))</f>
        <v xml:space="preserve"> </v>
      </c>
      <c r="I26" s="144" t="str">
        <f>IF('[6]Table 11 CWTs exp'!I26/'[6]Table 11 CWTs exp'!$AA26&gt;0.0005,'[6]Table 11 CWTs exp'!I26/'[6]Table 11 CWTs exp'!$AA26,IF('[6]Table 11 CWTs exp'!I26/'[6]Table 11 CWTs exp'!$AA26&gt;0,"-"," "))</f>
        <v xml:space="preserve"> </v>
      </c>
      <c r="J26" s="146">
        <f>IF('[6]Table 11 CWTs exp'!J26/'[6]Table 11 CWTs exp'!$AA26&gt;0.0005,'[6]Table 11 CWTs exp'!J26/'[6]Table 11 CWTs exp'!$AA26,IF('[6]Table 11 CWTs exp'!J26/'[6]Table 11 CWTs exp'!$AA26&gt;0,"-"," "))</f>
        <v>7.7272727272727276E-3</v>
      </c>
      <c r="K26" s="144" t="str">
        <f>IF('[6]Table 11 CWTs exp'!K26/'[6]Table 11 CWTs exp'!$AA26&gt;0.0005,'[6]Table 11 CWTs exp'!K26/'[6]Table 11 CWTs exp'!$AA26,IF('[6]Table 11 CWTs exp'!K26/'[6]Table 11 CWTs exp'!$AA26&gt;0,"-"," "))</f>
        <v xml:space="preserve"> </v>
      </c>
      <c r="L26" s="144" t="str">
        <f>IF('[6]Table 11 CWTs exp'!L26/'[6]Table 11 CWTs exp'!$AA26&gt;0.0005,'[6]Table 11 CWTs exp'!L26/'[6]Table 11 CWTs exp'!$AA26,IF('[6]Table 11 CWTs exp'!L26/'[6]Table 11 CWTs exp'!$AA26&gt;0,"-"," "))</f>
        <v xml:space="preserve"> </v>
      </c>
      <c r="M26" s="144" t="str">
        <f>IF('[6]Table 11 CWTs exp'!M26/'[6]Table 11 CWTs exp'!$AA26&gt;0.0005,'[6]Table 11 CWTs exp'!M26/'[6]Table 11 CWTs exp'!$AA26,IF('[6]Table 11 CWTs exp'!M26/'[6]Table 11 CWTs exp'!$AA26&gt;0,"-"," "))</f>
        <v xml:space="preserve"> </v>
      </c>
      <c r="N26" s="144">
        <f>IF('[6]Table 11 CWTs exp'!N26/'[6]Table 11 CWTs exp'!$AA26&gt;0.0005,'[6]Table 11 CWTs exp'!N26/'[6]Table 11 CWTs exp'!$AA26,IF('[6]Table 11 CWTs exp'!N26/'[6]Table 11 CWTs exp'!$AA26&gt;0,"-"," "))</f>
        <v>3.9090909090909093E-2</v>
      </c>
      <c r="O26" s="144" t="str">
        <f>IF('[6]Table 11 CWTs exp'!O26/'[6]Table 11 CWTs exp'!$AA26&gt;0.0005,'[6]Table 11 CWTs exp'!O26/'[6]Table 11 CWTs exp'!$AA26,IF('[6]Table 11 CWTs exp'!O26/'[6]Table 11 CWTs exp'!$AA26&gt;0,"-"," "))</f>
        <v xml:space="preserve"> </v>
      </c>
      <c r="P26" s="144">
        <f>IF('[6]Table 11 CWTs exp'!P26/'[6]Table 11 CWTs exp'!$AA26&gt;0.0005,'[6]Table 11 CWTs exp'!P26/'[6]Table 11 CWTs exp'!$AA26,IF('[6]Table 11 CWTs exp'!P26/'[6]Table 11 CWTs exp'!$AA26&gt;0,"-"," "))</f>
        <v>1.3636363636363637E-3</v>
      </c>
      <c r="Q26" s="145" t="str">
        <f>IF('[6]Table 11 CWTs exp'!Q26/'[6]Table 11 CWTs exp'!$AA26&gt;0.0005,'[6]Table 11 CWTs exp'!Q26/'[6]Table 11 CWTs exp'!$AA26,IF('[6]Table 11 CWTs exp'!Q26/'[6]Table 11 CWTs exp'!$AA26&gt;0,"-"," "))</f>
        <v xml:space="preserve"> </v>
      </c>
      <c r="R26" s="146" t="str">
        <f>IF('[6]Table 11 CWTs exp'!R26/'[6]Table 11 CWTs exp'!$AA26&gt;0.0005,'[6]Table 11 CWTs exp'!R26/'[6]Table 11 CWTs exp'!$AA26,IF('[6]Table 11 CWTs exp'!R26/'[6]Table 11 CWTs exp'!$AA26&gt;0,"-"," "))</f>
        <v xml:space="preserve"> </v>
      </c>
      <c r="S26" s="144" t="str">
        <f>IF('[6]Table 11 CWTs exp'!S26/'[6]Table 11 CWTs exp'!$AA26&gt;0.0005,'[6]Table 11 CWTs exp'!S26/'[6]Table 11 CWTs exp'!$AA26,IF('[6]Table 11 CWTs exp'!S26/'[6]Table 11 CWTs exp'!$AA26&gt;0,"-"," "))</f>
        <v xml:space="preserve"> </v>
      </c>
      <c r="T26" s="144">
        <f>IF('[6]Table 11 CWTs exp'!T26/'[6]Table 11 CWTs exp'!$AA26&gt;0.0005,'[6]Table 11 CWTs exp'!T26/'[6]Table 11 CWTs exp'!$AA26,IF('[6]Table 11 CWTs exp'!T26/'[6]Table 11 CWTs exp'!$AA26&gt;0,"-"," "))</f>
        <v>1.6363636363636365E-2</v>
      </c>
      <c r="U26" s="144" t="str">
        <f>IF('[6]Table 11 CWTs exp'!U26/'[6]Table 11 CWTs exp'!$AA26&gt;0.0005,'[6]Table 11 CWTs exp'!U26/'[6]Table 11 CWTs exp'!$AA26,IF('[6]Table 11 CWTs exp'!U26/'[6]Table 11 CWTs exp'!$AA26&gt;0,"-"," "))</f>
        <v xml:space="preserve"> </v>
      </c>
      <c r="V26" s="145" t="str">
        <f>IF('[6]Table 11 CWTs exp'!V26/'[6]Table 11 CWTs exp'!$AA26&gt;0.0005,'[6]Table 11 CWTs exp'!V26/'[6]Table 11 CWTs exp'!$AA26,IF('[6]Table 11 CWTs exp'!V26/'[6]Table 11 CWTs exp'!$AA26&gt;0,"-"," "))</f>
        <v xml:space="preserve"> </v>
      </c>
      <c r="W26" s="146">
        <f>IF('[6]Table 11 CWTs exp'!W26/'[6]Table 11 CWTs exp'!$AA26&gt;0.0005,'[6]Table 11 CWTs exp'!W26/'[6]Table 11 CWTs exp'!$AA26,IF('[6]Table 11 CWTs exp'!W26/'[6]Table 11 CWTs exp'!$AA26&gt;0,"-"," "))</f>
        <v>9.0909090909090909E-4</v>
      </c>
      <c r="X26" s="206" t="str">
        <f>IF('[6]Table 11 CWTs exp'!X26/'[6]Table 11 CWTs exp'!$AA26&gt;0.0005,'[6]Table 11 CWTs exp'!X26/'[6]Table 11 CWTs exp'!$AA26,IF('[6]Table 11 CWTs exp'!X26/'[6]Table 11 CWTs exp'!$AA26&gt;0,"-"," "))</f>
        <v xml:space="preserve"> </v>
      </c>
      <c r="Y26" s="147">
        <f t="shared" si="2"/>
        <v>6.545454545454546E-2</v>
      </c>
      <c r="Z26" s="148">
        <f t="shared" si="3"/>
        <v>0.93454545454545457</v>
      </c>
      <c r="AA26" s="38">
        <f>'[6]Table 11 CWTs exp'!AA26</f>
        <v>2200</v>
      </c>
      <c r="AD26" s="327"/>
    </row>
    <row r="27" spans="1:30" ht="14.15" customHeight="1" x14ac:dyDescent="0.25">
      <c r="A27" t="str">
        <f>'[6]Table 11 CWTs exp'!A28</f>
        <v>YUBA543</v>
      </c>
      <c r="B27" s="4" t="str">
        <f>'[6]Table 11 CWTs exp'!B27</f>
        <v>FEA</v>
      </c>
      <c r="C27" s="4">
        <f>'[6]Table 11 CWTs exp'!C27</f>
        <v>54</v>
      </c>
      <c r="D27" s="4">
        <f>'[6]Table 11 CWTs exp'!D27</f>
        <v>3</v>
      </c>
      <c r="E27" t="str">
        <f>'[6]Table 11 CWTs exp'!E27</f>
        <v>Feather River</v>
      </c>
      <c r="F27" s="37" t="str">
        <f>'[6]Table 11 CWTs exp'!F27</f>
        <v>Fall</v>
      </c>
      <c r="G27" s="144" t="str">
        <f>IF('[6]Table 11 CWTs exp'!G27/'[6]Table 11 CWTs exp'!$AA27&gt;0.0005,'[6]Table 11 CWTs exp'!G27/'[6]Table 11 CWTs exp'!$AA27,IF('[6]Table 11 CWTs exp'!G27/'[6]Table 11 CWTs exp'!$AA27&gt;0,"-"," "))</f>
        <v xml:space="preserve"> </v>
      </c>
      <c r="H27" s="145" t="str">
        <f>IF('[6]Table 11 CWTs exp'!H27/'[6]Table 11 CWTs exp'!$AA27&gt;0.0005,'[6]Table 11 CWTs exp'!H27/'[6]Table 11 CWTs exp'!$AA27,IF('[6]Table 11 CWTs exp'!H27/'[6]Table 11 CWTs exp'!$AA27&gt;0,"-"," "))</f>
        <v xml:space="preserve"> </v>
      </c>
      <c r="I27" s="144" t="str">
        <f>IF('[6]Table 11 CWTs exp'!I27/'[6]Table 11 CWTs exp'!$AA27&gt;0.0005,'[6]Table 11 CWTs exp'!I27/'[6]Table 11 CWTs exp'!$AA27,IF('[6]Table 11 CWTs exp'!I27/'[6]Table 11 CWTs exp'!$AA27&gt;0,"-"," "))</f>
        <v>-</v>
      </c>
      <c r="J27" s="146">
        <f>IF('[6]Table 11 CWTs exp'!J27/'[6]Table 11 CWTs exp'!$AA27&gt;0.0005,'[6]Table 11 CWTs exp'!J27/'[6]Table 11 CWTs exp'!$AA27,IF('[6]Table 11 CWTs exp'!J27/'[6]Table 11 CWTs exp'!$AA27&gt;0,"-"," "))</f>
        <v>2.4310722245368992E-2</v>
      </c>
      <c r="K27" s="144">
        <f>IF('[6]Table 11 CWTs exp'!K27/'[6]Table 11 CWTs exp'!$AA27&gt;0.0005,'[6]Table 11 CWTs exp'!K27/'[6]Table 11 CWTs exp'!$AA27,IF('[6]Table 11 CWTs exp'!K27/'[6]Table 11 CWTs exp'!$AA27&gt;0,"-"," "))</f>
        <v>0.12925817907664228</v>
      </c>
      <c r="L27" s="144">
        <f>IF('[6]Table 11 CWTs exp'!L27/'[6]Table 11 CWTs exp'!$AA27&gt;0.0005,'[6]Table 11 CWTs exp'!L27/'[6]Table 11 CWTs exp'!$AA27,IF('[6]Table 11 CWTs exp'!L27/'[6]Table 11 CWTs exp'!$AA27&gt;0,"-"," "))</f>
        <v>5.0671587008709801E-2</v>
      </c>
      <c r="M27" s="144" t="str">
        <f>IF('[6]Table 11 CWTs exp'!M27/'[6]Table 11 CWTs exp'!$AA27&gt;0.0005,'[6]Table 11 CWTs exp'!M27/'[6]Table 11 CWTs exp'!$AA27,IF('[6]Table 11 CWTs exp'!M27/'[6]Table 11 CWTs exp'!$AA27&gt;0,"-"," "))</f>
        <v>-</v>
      </c>
      <c r="N27" s="144">
        <f>IF('[6]Table 11 CWTs exp'!N27/'[6]Table 11 CWTs exp'!$AA27&gt;0.0005,'[6]Table 11 CWTs exp'!N27/'[6]Table 11 CWTs exp'!$AA27,IF('[6]Table 11 CWTs exp'!N27/'[6]Table 11 CWTs exp'!$AA27&gt;0,"-"," "))</f>
        <v>0.62893743097302413</v>
      </c>
      <c r="O27" s="144">
        <f>IF('[6]Table 11 CWTs exp'!O27/'[6]Table 11 CWTs exp'!$AA27&gt;0.0005,'[6]Table 11 CWTs exp'!O27/'[6]Table 11 CWTs exp'!$AA27,IF('[6]Table 11 CWTs exp'!O27/'[6]Table 11 CWTs exp'!$AA27&gt;0,"-"," "))</f>
        <v>3.2074810361817085E-3</v>
      </c>
      <c r="P27" s="144">
        <f>IF('[6]Table 11 CWTs exp'!P27/'[6]Table 11 CWTs exp'!$AA27&gt;0.0005,'[6]Table 11 CWTs exp'!P27/'[6]Table 11 CWTs exp'!$AA27,IF('[6]Table 11 CWTs exp'!P27/'[6]Table 11 CWTs exp'!$AA27&gt;0,"-"," "))</f>
        <v>3.4587888287072859E-3</v>
      </c>
      <c r="Q27" s="145" t="str">
        <f>IF('[6]Table 11 CWTs exp'!Q27/'[6]Table 11 CWTs exp'!$AA27&gt;0.0005,'[6]Table 11 CWTs exp'!Q27/'[6]Table 11 CWTs exp'!$AA27,IF('[6]Table 11 CWTs exp'!Q27/'[6]Table 11 CWTs exp'!$AA27&gt;0,"-"," "))</f>
        <v xml:space="preserve"> </v>
      </c>
      <c r="R27" s="146">
        <f>IF('[6]Table 11 CWTs exp'!R27/'[6]Table 11 CWTs exp'!$AA27&gt;0.0005,'[6]Table 11 CWTs exp'!R27/'[6]Table 11 CWTs exp'!$AA27,IF('[6]Table 11 CWTs exp'!R27/'[6]Table 11 CWTs exp'!$AA27&gt;0,"-"," "))</f>
        <v>5.2245567393475253E-4</v>
      </c>
      <c r="S27" s="144" t="str">
        <f>IF('[6]Table 11 CWTs exp'!S27/'[6]Table 11 CWTs exp'!$AA27&gt;0.0005,'[6]Table 11 CWTs exp'!S27/'[6]Table 11 CWTs exp'!$AA27,IF('[6]Table 11 CWTs exp'!S27/'[6]Table 11 CWTs exp'!$AA27&gt;0,"-"," "))</f>
        <v>-</v>
      </c>
      <c r="T27" s="144">
        <f>IF('[6]Table 11 CWTs exp'!T27/'[6]Table 11 CWTs exp'!$AA27&gt;0.0005,'[6]Table 11 CWTs exp'!T27/'[6]Table 11 CWTs exp'!$AA27,IF('[6]Table 11 CWTs exp'!T27/'[6]Table 11 CWTs exp'!$AA27&gt;0,"-"," "))</f>
        <v>2.036915792049415E-3</v>
      </c>
      <c r="U27" s="144" t="str">
        <f>IF('[6]Table 11 CWTs exp'!U27/'[6]Table 11 CWTs exp'!$AA27&gt;0.0005,'[6]Table 11 CWTs exp'!U27/'[6]Table 11 CWTs exp'!$AA27,IF('[6]Table 11 CWTs exp'!U27/'[6]Table 11 CWTs exp'!$AA27&gt;0,"-"," "))</f>
        <v>-</v>
      </c>
      <c r="V27" s="145" t="str">
        <f>IF('[6]Table 11 CWTs exp'!V27/'[6]Table 11 CWTs exp'!$AA27&gt;0.0005,'[6]Table 11 CWTs exp'!V27/'[6]Table 11 CWTs exp'!$AA27,IF('[6]Table 11 CWTs exp'!V27/'[6]Table 11 CWTs exp'!$AA27&gt;0,"-"," "))</f>
        <v xml:space="preserve"> </v>
      </c>
      <c r="W27" s="146" t="str">
        <f>IF('[6]Table 11 CWTs exp'!W27/'[6]Table 11 CWTs exp'!$AA27&gt;0.0005,'[6]Table 11 CWTs exp'!W27/'[6]Table 11 CWTs exp'!$AA27,IF('[6]Table 11 CWTs exp'!W27/'[6]Table 11 CWTs exp'!$AA27&gt;0,"-"," "))</f>
        <v>-</v>
      </c>
      <c r="X27" s="206" t="str">
        <f>IF('[6]Table 11 CWTs exp'!X27/'[6]Table 11 CWTs exp'!$AA27&gt;0.0005,'[6]Table 11 CWTs exp'!X27/'[6]Table 11 CWTs exp'!$AA27,IF('[6]Table 11 CWTs exp'!X27/'[6]Table 11 CWTs exp'!$AA27&gt;0,"-"," "))</f>
        <v xml:space="preserve"> </v>
      </c>
      <c r="Y27" s="147">
        <f t="shared" si="2"/>
        <v>0.84240356063461841</v>
      </c>
      <c r="Z27" s="148">
        <f t="shared" si="3"/>
        <v>0.15759643936538159</v>
      </c>
      <c r="AA27" s="38">
        <f>'[6]Table 11 CWTs exp'!AA27</f>
        <v>151209</v>
      </c>
      <c r="AD27" s="327"/>
    </row>
    <row r="28" spans="1:30" ht="14.15" customHeight="1" x14ac:dyDescent="0.25">
      <c r="A28" t="str">
        <f>'[6]Table 11 CWTs exp'!A29</f>
        <v>YUBB543</v>
      </c>
      <c r="B28" s="4" t="str">
        <f>'[6]Table 11 CWTs exp'!B28</f>
        <v>YUBA</v>
      </c>
      <c r="C28" s="4">
        <f>'[6]Table 11 CWTs exp'!C28</f>
        <v>54</v>
      </c>
      <c r="D28" s="4">
        <f>'[6]Table 11 CWTs exp'!D28</f>
        <v>3</v>
      </c>
      <c r="E28" t="str">
        <f>'[6]Table 11 CWTs exp'!E28</f>
        <v>Yuba - above</v>
      </c>
      <c r="F28" s="37" t="str">
        <f>'[6]Table 11 CWTs exp'!F28</f>
        <v>Fall</v>
      </c>
      <c r="G28" s="144" t="str">
        <f>IF('[6]Table 11 CWTs exp'!G28/'[6]Table 11 CWTs exp'!$AA28&gt;0.0005,'[6]Table 11 CWTs exp'!G28/'[6]Table 11 CWTs exp'!$AA28,IF('[6]Table 11 CWTs exp'!G28/'[6]Table 11 CWTs exp'!$AA28&gt;0,"-"," "))</f>
        <v xml:space="preserve"> </v>
      </c>
      <c r="H28" s="145" t="str">
        <f>IF('[6]Table 11 CWTs exp'!H28/'[6]Table 11 CWTs exp'!$AA28&gt;0.0005,'[6]Table 11 CWTs exp'!H28/'[6]Table 11 CWTs exp'!$AA28,IF('[6]Table 11 CWTs exp'!H28/'[6]Table 11 CWTs exp'!$AA28&gt;0,"-"," "))</f>
        <v xml:space="preserve"> </v>
      </c>
      <c r="I28" s="144" t="str">
        <f>IF('[6]Table 11 CWTs exp'!I28/'[6]Table 11 CWTs exp'!$AA28&gt;0.0005,'[6]Table 11 CWTs exp'!I28/'[6]Table 11 CWTs exp'!$AA28,IF('[6]Table 11 CWTs exp'!I28/'[6]Table 11 CWTs exp'!$AA28&gt;0,"-"," "))</f>
        <v xml:space="preserve"> </v>
      </c>
      <c r="J28" s="146">
        <f>IF('[6]Table 11 CWTs exp'!J28/'[6]Table 11 CWTs exp'!$AA28&gt;0.0005,'[6]Table 11 CWTs exp'!J28/'[6]Table 11 CWTs exp'!$AA28,IF('[6]Table 11 CWTs exp'!J28/'[6]Table 11 CWTs exp'!$AA28&gt;0,"-"," "))</f>
        <v>3.0931458699472759E-2</v>
      </c>
      <c r="K28" s="144">
        <f>IF('[6]Table 11 CWTs exp'!K28/'[6]Table 11 CWTs exp'!$AA28&gt;0.0005,'[6]Table 11 CWTs exp'!K28/'[6]Table 11 CWTs exp'!$AA28,IF('[6]Table 11 CWTs exp'!K28/'[6]Table 11 CWTs exp'!$AA28&gt;0,"-"," "))</f>
        <v>3.4270650263620388E-3</v>
      </c>
      <c r="L28" s="144">
        <f>IF('[6]Table 11 CWTs exp'!L28/'[6]Table 11 CWTs exp'!$AA28&gt;0.0005,'[6]Table 11 CWTs exp'!L28/'[6]Table 11 CWTs exp'!$AA28,IF('[6]Table 11 CWTs exp'!L28/'[6]Table 11 CWTs exp'!$AA28&gt;0,"-"," "))</f>
        <v>1.7574692442882249E-3</v>
      </c>
      <c r="M28" s="144" t="str">
        <f>IF('[6]Table 11 CWTs exp'!M28/'[6]Table 11 CWTs exp'!$AA28&gt;0.0005,'[6]Table 11 CWTs exp'!M28/'[6]Table 11 CWTs exp'!$AA28,IF('[6]Table 11 CWTs exp'!M28/'[6]Table 11 CWTs exp'!$AA28&gt;0,"-"," "))</f>
        <v xml:space="preserve"> </v>
      </c>
      <c r="N28" s="144">
        <f>IF('[6]Table 11 CWTs exp'!N28/'[6]Table 11 CWTs exp'!$AA28&gt;0.0005,'[6]Table 11 CWTs exp'!N28/'[6]Table 11 CWTs exp'!$AA28,IF('[6]Table 11 CWTs exp'!N28/'[6]Table 11 CWTs exp'!$AA28&gt;0,"-"," "))</f>
        <v>0.23541300527240774</v>
      </c>
      <c r="O28" s="144">
        <f>IF('[6]Table 11 CWTs exp'!O28/'[6]Table 11 CWTs exp'!$AA28&gt;0.0005,'[6]Table 11 CWTs exp'!O28/'[6]Table 11 CWTs exp'!$AA28,IF('[6]Table 11 CWTs exp'!O28/'[6]Table 11 CWTs exp'!$AA28&gt;0,"-"," "))</f>
        <v>8.7873462214411243E-4</v>
      </c>
      <c r="P28" s="144">
        <f>IF('[6]Table 11 CWTs exp'!P28/'[6]Table 11 CWTs exp'!$AA28&gt;0.0005,'[6]Table 11 CWTs exp'!P28/'[6]Table 11 CWTs exp'!$AA28,IF('[6]Table 11 CWTs exp'!P28/'[6]Table 11 CWTs exp'!$AA28&gt;0,"-"," "))</f>
        <v>8.7873462214411243E-4</v>
      </c>
      <c r="Q28" s="145">
        <f>IF('[6]Table 11 CWTs exp'!Q28/'[6]Table 11 CWTs exp'!$AA28&gt;0.0005,'[6]Table 11 CWTs exp'!Q28/'[6]Table 11 CWTs exp'!$AA28,IF('[6]Table 11 CWTs exp'!Q28/'[6]Table 11 CWTs exp'!$AA28&gt;0,"-"," "))</f>
        <v>6.8541300527240777E-3</v>
      </c>
      <c r="R28" s="146">
        <f>IF('[6]Table 11 CWTs exp'!R28/'[6]Table 11 CWTs exp'!$AA28&gt;0.0005,'[6]Table 11 CWTs exp'!R28/'[6]Table 11 CWTs exp'!$AA28,IF('[6]Table 11 CWTs exp'!R28/'[6]Table 11 CWTs exp'!$AA28&gt;0,"-"," "))</f>
        <v>1.0281195079086116E-2</v>
      </c>
      <c r="S28" s="144" t="str">
        <f>IF('[6]Table 11 CWTs exp'!S28/'[6]Table 11 CWTs exp'!$AA28&gt;0.0005,'[6]Table 11 CWTs exp'!S28/'[6]Table 11 CWTs exp'!$AA28,IF('[6]Table 11 CWTs exp'!S28/'[6]Table 11 CWTs exp'!$AA28&gt;0,"-"," "))</f>
        <v xml:space="preserve"> </v>
      </c>
      <c r="T28" s="144">
        <f>IF('[6]Table 11 CWTs exp'!T28/'[6]Table 11 CWTs exp'!$AA28&gt;0.0005,'[6]Table 11 CWTs exp'!T28/'[6]Table 11 CWTs exp'!$AA28,IF('[6]Table 11 CWTs exp'!T28/'[6]Table 11 CWTs exp'!$AA28&gt;0,"-"," "))</f>
        <v>4.4903339191564147E-2</v>
      </c>
      <c r="U28" s="144" t="str">
        <f>IF('[6]Table 11 CWTs exp'!U28/'[6]Table 11 CWTs exp'!$AA28&gt;0.0005,'[6]Table 11 CWTs exp'!U28/'[6]Table 11 CWTs exp'!$AA28,IF('[6]Table 11 CWTs exp'!U28/'[6]Table 11 CWTs exp'!$AA28&gt;0,"-"," "))</f>
        <v xml:space="preserve"> </v>
      </c>
      <c r="V28" s="145" t="str">
        <f>IF('[6]Table 11 CWTs exp'!V28/'[6]Table 11 CWTs exp'!$AA28&gt;0.0005,'[6]Table 11 CWTs exp'!V28/'[6]Table 11 CWTs exp'!$AA28,IF('[6]Table 11 CWTs exp'!V28/'[6]Table 11 CWTs exp'!$AA28&gt;0,"-"," "))</f>
        <v xml:space="preserve"> </v>
      </c>
      <c r="W28" s="146" t="str">
        <f>IF('[6]Table 11 CWTs exp'!W28/'[6]Table 11 CWTs exp'!$AA28&gt;0.0005,'[6]Table 11 CWTs exp'!W28/'[6]Table 11 CWTs exp'!$AA28,IF('[6]Table 11 CWTs exp'!W28/'[6]Table 11 CWTs exp'!$AA28&gt;0,"-"," "))</f>
        <v xml:space="preserve"> </v>
      </c>
      <c r="X28" s="206" t="str">
        <f>IF('[6]Table 11 CWTs exp'!X28/'[6]Table 11 CWTs exp'!$AA28&gt;0.0005,'[6]Table 11 CWTs exp'!X28/'[6]Table 11 CWTs exp'!$AA28,IF('[6]Table 11 CWTs exp'!X28/'[6]Table 11 CWTs exp'!$AA28&gt;0,"-"," "))</f>
        <v xml:space="preserve"> </v>
      </c>
      <c r="Y28" s="147">
        <f t="shared" si="2"/>
        <v>0.33532513181019324</v>
      </c>
      <c r="Z28" s="148">
        <f t="shared" si="3"/>
        <v>0.6646748681898067</v>
      </c>
      <c r="AA28" s="38">
        <f>'[6]Table 11 CWTs exp'!AA28</f>
        <v>11380</v>
      </c>
      <c r="AD28" s="327"/>
    </row>
    <row r="29" spans="1:30" ht="14.15" customHeight="1" x14ac:dyDescent="0.25">
      <c r="A29" t="str">
        <f>'[6]Table 11 CWTs exp'!A30</f>
        <v>LARC543</v>
      </c>
      <c r="B29" s="4" t="str">
        <f>'[6]Table 11 CWTs exp'!B29</f>
        <v>YUBB</v>
      </c>
      <c r="C29" s="4">
        <f>'[6]Table 11 CWTs exp'!C29</f>
        <v>54</v>
      </c>
      <c r="D29" s="4">
        <f>'[6]Table 11 CWTs exp'!D29</f>
        <v>3</v>
      </c>
      <c r="E29" t="str">
        <f>'[6]Table 11 CWTs exp'!E29</f>
        <v>Yuba - below</v>
      </c>
      <c r="F29" s="37" t="str">
        <f>'[6]Table 11 CWTs exp'!F29</f>
        <v>Fall</v>
      </c>
      <c r="G29" s="144" t="str">
        <f>IF('[6]Table 11 CWTs exp'!G29/'[6]Table 11 CWTs exp'!$AA29&gt;0.0005,'[6]Table 11 CWTs exp'!G29/'[6]Table 11 CWTs exp'!$AA29,IF('[6]Table 11 CWTs exp'!G29/'[6]Table 11 CWTs exp'!$AA29&gt;0,"-"," "))</f>
        <v xml:space="preserve"> </v>
      </c>
      <c r="H29" s="145" t="str">
        <f>IF('[6]Table 11 CWTs exp'!H29/'[6]Table 11 CWTs exp'!$AA29&gt;0.0005,'[6]Table 11 CWTs exp'!H29/'[6]Table 11 CWTs exp'!$AA29,IF('[6]Table 11 CWTs exp'!H29/'[6]Table 11 CWTs exp'!$AA29&gt;0,"-"," "))</f>
        <v xml:space="preserve"> </v>
      </c>
      <c r="I29" s="144">
        <f>IF('[6]Table 11 CWTs exp'!I29/'[6]Table 11 CWTs exp'!$AA29&gt;0.0005,'[6]Table 11 CWTs exp'!I29/'[6]Table 11 CWTs exp'!$AA29,IF('[6]Table 11 CWTs exp'!I29/'[6]Table 11 CWTs exp'!$AA29&gt;0,"-"," "))</f>
        <v>7.7142857142857143E-3</v>
      </c>
      <c r="J29" s="146">
        <f>IF('[6]Table 11 CWTs exp'!J29/'[6]Table 11 CWTs exp'!$AA29&gt;0.0005,'[6]Table 11 CWTs exp'!J29/'[6]Table 11 CWTs exp'!$AA29,IF('[6]Table 11 CWTs exp'!J29/'[6]Table 11 CWTs exp'!$AA29&gt;0,"-"," "))</f>
        <v>6.9142857142857145E-2</v>
      </c>
      <c r="K29" s="144">
        <f>IF('[6]Table 11 CWTs exp'!K29/'[6]Table 11 CWTs exp'!$AA29&gt;0.0005,'[6]Table 11 CWTs exp'!K29/'[6]Table 11 CWTs exp'!$AA29,IF('[6]Table 11 CWTs exp'!K29/'[6]Table 11 CWTs exp'!$AA29&gt;0,"-"," "))</f>
        <v>1.7428571428571429E-2</v>
      </c>
      <c r="L29" s="144">
        <f>IF('[6]Table 11 CWTs exp'!L29/'[6]Table 11 CWTs exp'!$AA29&gt;0.0005,'[6]Table 11 CWTs exp'!L29/'[6]Table 11 CWTs exp'!$AA29,IF('[6]Table 11 CWTs exp'!L29/'[6]Table 11 CWTs exp'!$AA29&gt;0,"-"," "))</f>
        <v>2E-3</v>
      </c>
      <c r="M29" s="144">
        <f>IF('[6]Table 11 CWTs exp'!M29/'[6]Table 11 CWTs exp'!$AA29&gt;0.0005,'[6]Table 11 CWTs exp'!M29/'[6]Table 11 CWTs exp'!$AA29,IF('[6]Table 11 CWTs exp'!M29/'[6]Table 11 CWTs exp'!$AA29&gt;0,"-"," "))</f>
        <v>2E-3</v>
      </c>
      <c r="N29" s="144">
        <f>IF('[6]Table 11 CWTs exp'!N29/'[6]Table 11 CWTs exp'!$AA29&gt;0.0005,'[6]Table 11 CWTs exp'!N29/'[6]Table 11 CWTs exp'!$AA29,IF('[6]Table 11 CWTs exp'!N29/'[6]Table 11 CWTs exp'!$AA29&gt;0,"-"," "))</f>
        <v>0.29428571428571426</v>
      </c>
      <c r="O29" s="144">
        <f>IF('[6]Table 11 CWTs exp'!O29/'[6]Table 11 CWTs exp'!$AA29&gt;0.0005,'[6]Table 11 CWTs exp'!O29/'[6]Table 11 CWTs exp'!$AA29,IF('[6]Table 11 CWTs exp'!O29/'[6]Table 11 CWTs exp'!$AA29&gt;0,"-"," "))</f>
        <v>2E-3</v>
      </c>
      <c r="P29" s="144">
        <f>IF('[6]Table 11 CWTs exp'!P29/'[6]Table 11 CWTs exp'!$AA29&gt;0.0005,'[6]Table 11 CWTs exp'!P29/'[6]Table 11 CWTs exp'!$AA29,IF('[6]Table 11 CWTs exp'!P29/'[6]Table 11 CWTs exp'!$AA29&gt;0,"-"," "))</f>
        <v>2E-3</v>
      </c>
      <c r="Q29" s="145">
        <f>IF('[6]Table 11 CWTs exp'!Q29/'[6]Table 11 CWTs exp'!$AA29&gt;0.0005,'[6]Table 11 CWTs exp'!Q29/'[6]Table 11 CWTs exp'!$AA29,IF('[6]Table 11 CWTs exp'!Q29/'[6]Table 11 CWTs exp'!$AA29&gt;0,"-"," "))</f>
        <v>1.5428571428571429E-2</v>
      </c>
      <c r="R29" s="146">
        <f>IF('[6]Table 11 CWTs exp'!R29/'[6]Table 11 CWTs exp'!$AA29&gt;0.0005,'[6]Table 11 CWTs exp'!R29/'[6]Table 11 CWTs exp'!$AA29,IF('[6]Table 11 CWTs exp'!R29/'[6]Table 11 CWTs exp'!$AA29&gt;0,"-"," "))</f>
        <v>7.7142857142857143E-3</v>
      </c>
      <c r="S29" s="144" t="str">
        <f>IF('[6]Table 11 CWTs exp'!S29/'[6]Table 11 CWTs exp'!$AA29&gt;0.0005,'[6]Table 11 CWTs exp'!S29/'[6]Table 11 CWTs exp'!$AA29,IF('[6]Table 11 CWTs exp'!S29/'[6]Table 11 CWTs exp'!$AA29&gt;0,"-"," "))</f>
        <v xml:space="preserve"> </v>
      </c>
      <c r="T29" s="144">
        <f>IF('[6]Table 11 CWTs exp'!T29/'[6]Table 11 CWTs exp'!$AA29&gt;0.0005,'[6]Table 11 CWTs exp'!T29/'[6]Table 11 CWTs exp'!$AA29,IF('[6]Table 11 CWTs exp'!T29/'[6]Table 11 CWTs exp'!$AA29&gt;0,"-"," "))</f>
        <v>3.0857142857142857E-2</v>
      </c>
      <c r="U29" s="144">
        <f>IF('[6]Table 11 CWTs exp'!U29/'[6]Table 11 CWTs exp'!$AA29&gt;0.0005,'[6]Table 11 CWTs exp'!U29/'[6]Table 11 CWTs exp'!$AA29,IF('[6]Table 11 CWTs exp'!U29/'[6]Table 11 CWTs exp'!$AA29&gt;0,"-"," "))</f>
        <v>7.7142857142857143E-3</v>
      </c>
      <c r="V29" s="145" t="str">
        <f>IF('[6]Table 11 CWTs exp'!V29/'[6]Table 11 CWTs exp'!$AA29&gt;0.0005,'[6]Table 11 CWTs exp'!V29/'[6]Table 11 CWTs exp'!$AA29,IF('[6]Table 11 CWTs exp'!V29/'[6]Table 11 CWTs exp'!$AA29&gt;0,"-"," "))</f>
        <v xml:space="preserve"> </v>
      </c>
      <c r="W29" s="146" t="str">
        <f>IF('[6]Table 11 CWTs exp'!W29/'[6]Table 11 CWTs exp'!$AA29&gt;0.0005,'[6]Table 11 CWTs exp'!W29/'[6]Table 11 CWTs exp'!$AA29,IF('[6]Table 11 CWTs exp'!W29/'[6]Table 11 CWTs exp'!$AA29&gt;0,"-"," "))</f>
        <v xml:space="preserve"> </v>
      </c>
      <c r="X29" s="206" t="str">
        <f>IF('[6]Table 11 CWTs exp'!X29/'[6]Table 11 CWTs exp'!$AA29&gt;0.0005,'[6]Table 11 CWTs exp'!X29/'[6]Table 11 CWTs exp'!$AA29,IF('[6]Table 11 CWTs exp'!X29/'[6]Table 11 CWTs exp'!$AA29&gt;0,"-"," "))</f>
        <v xml:space="preserve"> </v>
      </c>
      <c r="Y29" s="147">
        <f t="shared" si="2"/>
        <v>0.4582857142857143</v>
      </c>
      <c r="Z29" s="148">
        <f t="shared" si="3"/>
        <v>0.5417142857142857</v>
      </c>
      <c r="AA29" s="38">
        <f>'[6]Table 11 CWTs exp'!AA29</f>
        <v>3500</v>
      </c>
      <c r="AD29" s="327"/>
    </row>
    <row r="30" spans="1:30" ht="14.15" customHeight="1" x14ac:dyDescent="0.25">
      <c r="A30" t="str">
        <f>'[6]Table 11 CWTs exp'!A31</f>
        <v>MOKE543</v>
      </c>
      <c r="B30" s="4" t="str">
        <f>'[6]Table 11 CWTs exp'!B30</f>
        <v>LARC</v>
      </c>
      <c r="C30" s="4">
        <f>'[6]Table 11 CWTs exp'!C30</f>
        <v>54</v>
      </c>
      <c r="D30" s="4">
        <f>'[6]Table 11 CWTs exp'!D30</f>
        <v>3</v>
      </c>
      <c r="E30" t="str">
        <f>'[6]Table 11 CWTs exp'!E30</f>
        <v>American River</v>
      </c>
      <c r="F30" s="37" t="str">
        <f>'[6]Table 11 CWTs exp'!F30</f>
        <v>Fall</v>
      </c>
      <c r="G30" s="144" t="str">
        <f>IF('[6]Table 11 CWTs exp'!G30/'[6]Table 11 CWTs exp'!$AA30&gt;0.0005,'[6]Table 11 CWTs exp'!G30/'[6]Table 11 CWTs exp'!$AA30,IF('[6]Table 11 CWTs exp'!G30/'[6]Table 11 CWTs exp'!$AA30&gt;0,"-"," "))</f>
        <v xml:space="preserve"> </v>
      </c>
      <c r="H30" s="145" t="str">
        <f>IF('[6]Table 11 CWTs exp'!H30/'[6]Table 11 CWTs exp'!$AA30&gt;0.0005,'[6]Table 11 CWTs exp'!H30/'[6]Table 11 CWTs exp'!$AA30,IF('[6]Table 11 CWTs exp'!H30/'[6]Table 11 CWTs exp'!$AA30&gt;0,"-"," "))</f>
        <v xml:space="preserve"> </v>
      </c>
      <c r="I30" s="144">
        <f>IF('[6]Table 11 CWTs exp'!I30/'[6]Table 11 CWTs exp'!$AA30&gt;0.0005,'[6]Table 11 CWTs exp'!I30/'[6]Table 11 CWTs exp'!$AA30,IF('[6]Table 11 CWTs exp'!I30/'[6]Table 11 CWTs exp'!$AA30&gt;0,"-"," "))</f>
        <v>1.4928398975285206E-3</v>
      </c>
      <c r="J30" s="146">
        <f>IF('[6]Table 11 CWTs exp'!J30/'[6]Table 11 CWTs exp'!$AA30&gt;0.0005,'[6]Table 11 CWTs exp'!J30/'[6]Table 11 CWTs exp'!$AA30,IF('[6]Table 11 CWTs exp'!J30/'[6]Table 11 CWTs exp'!$AA30&gt;0,"-"," "))</f>
        <v>4.4582465581746805E-2</v>
      </c>
      <c r="K30" s="144" t="str">
        <f>IF('[6]Table 11 CWTs exp'!K30/'[6]Table 11 CWTs exp'!$AA30&gt;0.0005,'[6]Table 11 CWTs exp'!K30/'[6]Table 11 CWTs exp'!$AA30,IF('[6]Table 11 CWTs exp'!K30/'[6]Table 11 CWTs exp'!$AA30&gt;0,"-"," "))</f>
        <v xml:space="preserve"> </v>
      </c>
      <c r="L30" s="144" t="str">
        <f>IF('[6]Table 11 CWTs exp'!L30/'[6]Table 11 CWTs exp'!$AA30&gt;0.0005,'[6]Table 11 CWTs exp'!L30/'[6]Table 11 CWTs exp'!$AA30,IF('[6]Table 11 CWTs exp'!L30/'[6]Table 11 CWTs exp'!$AA30&gt;0,"-"," "))</f>
        <v xml:space="preserve"> </v>
      </c>
      <c r="M30" s="144" t="str">
        <f>IF('[6]Table 11 CWTs exp'!M30/'[6]Table 11 CWTs exp'!$AA30&gt;0.0005,'[6]Table 11 CWTs exp'!M30/'[6]Table 11 CWTs exp'!$AA30,IF('[6]Table 11 CWTs exp'!M30/'[6]Table 11 CWTs exp'!$AA30&gt;0,"-"," "))</f>
        <v xml:space="preserve"> </v>
      </c>
      <c r="N30" s="144">
        <f>IF('[6]Table 11 CWTs exp'!N30/'[6]Table 11 CWTs exp'!$AA30&gt;0.0005,'[6]Table 11 CWTs exp'!N30/'[6]Table 11 CWTs exp'!$AA30,IF('[6]Table 11 CWTs exp'!N30/'[6]Table 11 CWTs exp'!$AA30&gt;0,"-"," "))</f>
        <v>1.9277907812528798E-2</v>
      </c>
      <c r="O30" s="144" t="str">
        <f>IF('[6]Table 11 CWTs exp'!O30/'[6]Table 11 CWTs exp'!$AA30&gt;0.0005,'[6]Table 11 CWTs exp'!O30/'[6]Table 11 CWTs exp'!$AA30,IF('[6]Table 11 CWTs exp'!O30/'[6]Table 11 CWTs exp'!$AA30&gt;0,"-"," "))</f>
        <v>-</v>
      </c>
      <c r="P30" s="144" t="str">
        <f>IF('[6]Table 11 CWTs exp'!P30/'[6]Table 11 CWTs exp'!$AA30&gt;0.0005,'[6]Table 11 CWTs exp'!P30/'[6]Table 11 CWTs exp'!$AA30,IF('[6]Table 11 CWTs exp'!P30/'[6]Table 11 CWTs exp'!$AA30&gt;0,"-"," "))</f>
        <v xml:space="preserve"> </v>
      </c>
      <c r="Q30" s="145">
        <f>IF('[6]Table 11 CWTs exp'!Q30/'[6]Table 11 CWTs exp'!$AA30&gt;0.0005,'[6]Table 11 CWTs exp'!Q30/'[6]Table 11 CWTs exp'!$AA30,IF('[6]Table 11 CWTs exp'!Q30/'[6]Table 11 CWTs exp'!$AA30&gt;0,"-"," "))</f>
        <v>0.33668147219816069</v>
      </c>
      <c r="R30" s="146">
        <f>IF('[6]Table 11 CWTs exp'!R30/'[6]Table 11 CWTs exp'!$AA30&gt;0.0005,'[6]Table 11 CWTs exp'!R30/'[6]Table 11 CWTs exp'!$AA30,IF('[6]Table 11 CWTs exp'!R30/'[6]Table 11 CWTs exp'!$AA30&gt;0,"-"," "))</f>
        <v>0.16555778764813212</v>
      </c>
      <c r="S30" s="144" t="str">
        <f>IF('[6]Table 11 CWTs exp'!S30/'[6]Table 11 CWTs exp'!$AA30&gt;0.0005,'[6]Table 11 CWTs exp'!S30/'[6]Table 11 CWTs exp'!$AA30,IF('[6]Table 11 CWTs exp'!S30/'[6]Table 11 CWTs exp'!$AA30&gt;0,"-"," "))</f>
        <v>-</v>
      </c>
      <c r="T30" s="144">
        <f>IF('[6]Table 11 CWTs exp'!T30/'[6]Table 11 CWTs exp'!$AA30&gt;0.0005,'[6]Table 11 CWTs exp'!T30/'[6]Table 11 CWTs exp'!$AA30,IF('[6]Table 11 CWTs exp'!T30/'[6]Table 11 CWTs exp'!$AA30&gt;0,"-"," "))</f>
        <v>7.0753239093975198E-2</v>
      </c>
      <c r="U30" s="144">
        <f>IF('[6]Table 11 CWTs exp'!U30/'[6]Table 11 CWTs exp'!$AA30&gt;0.0005,'[6]Table 11 CWTs exp'!U30/'[6]Table 11 CWTs exp'!$AA30,IF('[6]Table 11 CWTs exp'!U30/'[6]Table 11 CWTs exp'!$AA30&gt;0,"-"," "))</f>
        <v>8.6437273079120521E-3</v>
      </c>
      <c r="V30" s="145" t="str">
        <f>IF('[6]Table 11 CWTs exp'!V30/'[6]Table 11 CWTs exp'!$AA30&gt;0.0005,'[6]Table 11 CWTs exp'!V30/'[6]Table 11 CWTs exp'!$AA30,IF('[6]Table 11 CWTs exp'!V30/'[6]Table 11 CWTs exp'!$AA30&gt;0,"-"," "))</f>
        <v xml:space="preserve"> </v>
      </c>
      <c r="W30" s="146">
        <f>IF('[6]Table 11 CWTs exp'!W30/'[6]Table 11 CWTs exp'!$AA30&gt;0.0005,'[6]Table 11 CWTs exp'!W30/'[6]Table 11 CWTs exp'!$AA30,IF('[6]Table 11 CWTs exp'!W30/'[6]Table 11 CWTs exp'!$AA30&gt;0,"-"," "))</f>
        <v>5.8976391013472419E-4</v>
      </c>
      <c r="X30" s="206" t="str">
        <f>IF('[6]Table 11 CWTs exp'!X30/'[6]Table 11 CWTs exp'!$AA30&gt;0.0005,'[6]Table 11 CWTs exp'!X30/'[6]Table 11 CWTs exp'!$AA30,IF('[6]Table 11 CWTs exp'!X30/'[6]Table 11 CWTs exp'!$AA30&gt;0,"-"," "))</f>
        <v xml:space="preserve"> </v>
      </c>
      <c r="Y30" s="147">
        <f t="shared" si="2"/>
        <v>0.64757920345011899</v>
      </c>
      <c r="Z30" s="148">
        <f t="shared" si="3"/>
        <v>0.35242079654988101</v>
      </c>
      <c r="AA30" s="38">
        <f>'[6]Table 11 CWTs exp'!AA30</f>
        <v>54259</v>
      </c>
      <c r="AD30" s="327"/>
    </row>
    <row r="31" spans="1:30" ht="14.15" customHeight="1" x14ac:dyDescent="0.25">
      <c r="A31" t="str">
        <f>'[6]Table 11 CWTs exp'!A32</f>
        <v>COSU543</v>
      </c>
      <c r="B31" s="4" t="str">
        <f>'[6]Table 11 CWTs exp'!B31</f>
        <v>MOKE</v>
      </c>
      <c r="C31" s="4">
        <f>'[6]Table 11 CWTs exp'!C31</f>
        <v>54</v>
      </c>
      <c r="D31" s="4">
        <f>'[6]Table 11 CWTs exp'!D31</f>
        <v>3</v>
      </c>
      <c r="E31" t="str">
        <f>'[6]Table 11 CWTs exp'!E31</f>
        <v>Mokelumne River</v>
      </c>
      <c r="F31" s="37" t="str">
        <f>'[6]Table 11 CWTs exp'!F31</f>
        <v>Fall</v>
      </c>
      <c r="G31" s="144" t="str">
        <f>IF('[6]Table 11 CWTs exp'!G31/'[6]Table 11 CWTs exp'!$AA31&gt;0.0005,'[6]Table 11 CWTs exp'!G31/'[6]Table 11 CWTs exp'!$AA31,IF('[6]Table 11 CWTs exp'!G31/'[6]Table 11 CWTs exp'!$AA31&gt;0,"-"," "))</f>
        <v xml:space="preserve"> </v>
      </c>
      <c r="H31" s="145" t="str">
        <f>IF('[6]Table 11 CWTs exp'!H31/'[6]Table 11 CWTs exp'!$AA31&gt;0.0005,'[6]Table 11 CWTs exp'!H31/'[6]Table 11 CWTs exp'!$AA31,IF('[6]Table 11 CWTs exp'!H31/'[6]Table 11 CWTs exp'!$AA31&gt;0,"-"," "))</f>
        <v xml:space="preserve"> </v>
      </c>
      <c r="I31" s="144" t="str">
        <f>IF('[6]Table 11 CWTs exp'!I31/'[6]Table 11 CWTs exp'!$AA31&gt;0.0005,'[6]Table 11 CWTs exp'!I31/'[6]Table 11 CWTs exp'!$AA31,IF('[6]Table 11 CWTs exp'!I31/'[6]Table 11 CWTs exp'!$AA31&gt;0,"-"," "))</f>
        <v xml:space="preserve"> </v>
      </c>
      <c r="J31" s="146">
        <f>IF('[6]Table 11 CWTs exp'!J31/'[6]Table 11 CWTs exp'!$AA31&gt;0.0005,'[6]Table 11 CWTs exp'!J31/'[6]Table 11 CWTs exp'!$AA31,IF('[6]Table 11 CWTs exp'!J31/'[6]Table 11 CWTs exp'!$AA31&gt;0,"-"," "))</f>
        <v>1.230377598642342E-2</v>
      </c>
      <c r="K31" s="144" t="str">
        <f>IF('[6]Table 11 CWTs exp'!K31/'[6]Table 11 CWTs exp'!$AA31&gt;0.0005,'[6]Table 11 CWTs exp'!K31/'[6]Table 11 CWTs exp'!$AA31,IF('[6]Table 11 CWTs exp'!K31/'[6]Table 11 CWTs exp'!$AA31&gt;0,"-"," "))</f>
        <v xml:space="preserve"> </v>
      </c>
      <c r="L31" s="144" t="str">
        <f>IF('[6]Table 11 CWTs exp'!L31/'[6]Table 11 CWTs exp'!$AA31&gt;0.0005,'[6]Table 11 CWTs exp'!L31/'[6]Table 11 CWTs exp'!$AA31,IF('[6]Table 11 CWTs exp'!L31/'[6]Table 11 CWTs exp'!$AA31&gt;0,"-"," "))</f>
        <v xml:space="preserve"> </v>
      </c>
      <c r="M31" s="144" t="str">
        <f>IF('[6]Table 11 CWTs exp'!M31/'[6]Table 11 CWTs exp'!$AA31&gt;0.0005,'[6]Table 11 CWTs exp'!M31/'[6]Table 11 CWTs exp'!$AA31,IF('[6]Table 11 CWTs exp'!M31/'[6]Table 11 CWTs exp'!$AA31&gt;0,"-"," "))</f>
        <v xml:space="preserve"> </v>
      </c>
      <c r="N31" s="144">
        <f>IF('[6]Table 11 CWTs exp'!N31/'[6]Table 11 CWTs exp'!$AA31&gt;0.0005,'[6]Table 11 CWTs exp'!N31/'[6]Table 11 CWTs exp'!$AA31,IF('[6]Table 11 CWTs exp'!N31/'[6]Table 11 CWTs exp'!$AA31&gt;0,"-"," "))</f>
        <v>1.9940602460755196E-2</v>
      </c>
      <c r="O31" s="144" t="str">
        <f>IF('[6]Table 11 CWTs exp'!O31/'[6]Table 11 CWTs exp'!$AA31&gt;0.0005,'[6]Table 11 CWTs exp'!O31/'[6]Table 11 CWTs exp'!$AA31,IF('[6]Table 11 CWTs exp'!O31/'[6]Table 11 CWTs exp'!$AA31&gt;0,"-"," "))</f>
        <v xml:space="preserve"> </v>
      </c>
      <c r="P31" s="144" t="str">
        <f>IF('[6]Table 11 CWTs exp'!P31/'[6]Table 11 CWTs exp'!$AA31&gt;0.0005,'[6]Table 11 CWTs exp'!P31/'[6]Table 11 CWTs exp'!$AA31,IF('[6]Table 11 CWTs exp'!P31/'[6]Table 11 CWTs exp'!$AA31&gt;0,"-"," "))</f>
        <v xml:space="preserve"> </v>
      </c>
      <c r="Q31" s="145" t="str">
        <f>IF('[6]Table 11 CWTs exp'!Q31/'[6]Table 11 CWTs exp'!$AA31&gt;0.0005,'[6]Table 11 CWTs exp'!Q31/'[6]Table 11 CWTs exp'!$AA31,IF('[6]Table 11 CWTs exp'!Q31/'[6]Table 11 CWTs exp'!$AA31&gt;0,"-"," "))</f>
        <v xml:space="preserve"> </v>
      </c>
      <c r="R31" s="146">
        <f>IF('[6]Table 11 CWTs exp'!R31/'[6]Table 11 CWTs exp'!$AA31&gt;0.0005,'[6]Table 11 CWTs exp'!R31/'[6]Table 11 CWTs exp'!$AA31,IF('[6]Table 11 CWTs exp'!R31/'[6]Table 11 CWTs exp'!$AA31&gt;0,"-"," "))</f>
        <v>1.2869466836373921E-2</v>
      </c>
      <c r="S31" s="144">
        <f>IF('[6]Table 11 CWTs exp'!S31/'[6]Table 11 CWTs exp'!$AA31&gt;0.0005,'[6]Table 11 CWTs exp'!S31/'[6]Table 11 CWTs exp'!$AA31,IF('[6]Table 11 CWTs exp'!S31/'[6]Table 11 CWTs exp'!$AA31&gt;0,"-"," "))</f>
        <v>9.3338990241832835E-3</v>
      </c>
      <c r="T31" s="144">
        <f>IF('[6]Table 11 CWTs exp'!T31/'[6]Table 11 CWTs exp'!$AA31&gt;0.0005,'[6]Table 11 CWTs exp'!T31/'[6]Table 11 CWTs exp'!$AA31,IF('[6]Table 11 CWTs exp'!T31/'[6]Table 11 CWTs exp'!$AA31&gt;0,"-"," "))</f>
        <v>0.53514354405317499</v>
      </c>
      <c r="U31" s="144">
        <f>IF('[6]Table 11 CWTs exp'!U31/'[6]Table 11 CWTs exp'!$AA31&gt;0.0005,'[6]Table 11 CWTs exp'!U31/'[6]Table 11 CWTs exp'!$AA31,IF('[6]Table 11 CWTs exp'!U31/'[6]Table 11 CWTs exp'!$AA31&gt;0,"-"," "))</f>
        <v>4.9639372083156552E-2</v>
      </c>
      <c r="V31" s="145" t="str">
        <f>IF('[6]Table 11 CWTs exp'!V31/'[6]Table 11 CWTs exp'!$AA31&gt;0.0005,'[6]Table 11 CWTs exp'!V31/'[6]Table 11 CWTs exp'!$AA31,IF('[6]Table 11 CWTs exp'!V31/'[6]Table 11 CWTs exp'!$AA31&gt;0,"-"," "))</f>
        <v xml:space="preserve"> </v>
      </c>
      <c r="W31" s="146">
        <f>IF('[6]Table 11 CWTs exp'!W31/'[6]Table 11 CWTs exp'!$AA31&gt;0.0005,'[6]Table 11 CWTs exp'!W31/'[6]Table 11 CWTs exp'!$AA31,IF('[6]Table 11 CWTs exp'!W31/'[6]Table 11 CWTs exp'!$AA31&gt;0,"-"," "))</f>
        <v>1.2728044123886295E-3</v>
      </c>
      <c r="X31" s="206" t="str">
        <f>IF('[6]Table 11 CWTs exp'!X31/'[6]Table 11 CWTs exp'!$AA31&gt;0.0005,'[6]Table 11 CWTs exp'!X31/'[6]Table 11 CWTs exp'!$AA31,IF('[6]Table 11 CWTs exp'!X31/'[6]Table 11 CWTs exp'!$AA31&gt;0,"-"," "))</f>
        <v xml:space="preserve"> </v>
      </c>
      <c r="Y31" s="147">
        <f t="shared" si="2"/>
        <v>0.64050346485645604</v>
      </c>
      <c r="Z31" s="148">
        <f t="shared" si="3"/>
        <v>0.35949653514354396</v>
      </c>
      <c r="AA31" s="38">
        <f>'[6]Table 11 CWTs exp'!AA31</f>
        <v>7071</v>
      </c>
      <c r="AD31" s="327"/>
    </row>
    <row r="32" spans="1:30" ht="14.15" hidden="1" customHeight="1" x14ac:dyDescent="0.25">
      <c r="A32" t="str">
        <f>'[6]Table 11 CWTs exp'!A33</f>
        <v>CAL543</v>
      </c>
      <c r="B32" s="4" t="str">
        <f>'[6]Table 11 CWTs exp'!B32</f>
        <v>COSU</v>
      </c>
      <c r="C32" s="4">
        <f>'[6]Table 11 CWTs exp'!C32</f>
        <v>54</v>
      </c>
      <c r="D32" s="4">
        <f>'[6]Table 11 CWTs exp'!D32</f>
        <v>3</v>
      </c>
      <c r="E32" t="str">
        <f>'[6]Table 11 CWTs exp'!E32</f>
        <v>Cosumnes River</v>
      </c>
      <c r="F32" s="37" t="str">
        <f>'[6]Table 11 CWTs exp'!F32</f>
        <v>Fall</v>
      </c>
      <c r="G32" s="144" t="e">
        <f>IF('[6]Table 11 CWTs exp'!G32/'[6]Table 11 CWTs exp'!$AA32&gt;0.0005,'[6]Table 11 CWTs exp'!G32/'[6]Table 11 CWTs exp'!$AA32,IF('[6]Table 11 CWTs exp'!G32/'[6]Table 11 CWTs exp'!$AA32&gt;0,"-"," "))</f>
        <v>#DIV/0!</v>
      </c>
      <c r="H32" s="145" t="e">
        <f>IF('[6]Table 11 CWTs exp'!H32/'[6]Table 11 CWTs exp'!$AA32&gt;0.0005,'[6]Table 11 CWTs exp'!H32/'[6]Table 11 CWTs exp'!$AA32,IF('[6]Table 11 CWTs exp'!H32/'[6]Table 11 CWTs exp'!$AA32&gt;0,"-"," "))</f>
        <v>#DIV/0!</v>
      </c>
      <c r="I32" s="144" t="e">
        <f>IF('[6]Table 11 CWTs exp'!I32/'[6]Table 11 CWTs exp'!$AA32&gt;0.0005,'[6]Table 11 CWTs exp'!I32/'[6]Table 11 CWTs exp'!$AA32,IF('[6]Table 11 CWTs exp'!I32/'[6]Table 11 CWTs exp'!$AA32&gt;0,"-"," "))</f>
        <v>#DIV/0!</v>
      </c>
      <c r="J32" s="146" t="e">
        <f>IF('[6]Table 11 CWTs exp'!J32/'[6]Table 11 CWTs exp'!$AA32&gt;0.0005,'[6]Table 11 CWTs exp'!J32/'[6]Table 11 CWTs exp'!$AA32,IF('[6]Table 11 CWTs exp'!J32/'[6]Table 11 CWTs exp'!$AA32&gt;0,"-"," "))</f>
        <v>#DIV/0!</v>
      </c>
      <c r="K32" s="144" t="e">
        <f>IF('[6]Table 11 CWTs exp'!K32/'[6]Table 11 CWTs exp'!$AA32&gt;0.0005,'[6]Table 11 CWTs exp'!K32/'[6]Table 11 CWTs exp'!$AA32,IF('[6]Table 11 CWTs exp'!K32/'[6]Table 11 CWTs exp'!$AA32&gt;0,"-"," "))</f>
        <v>#DIV/0!</v>
      </c>
      <c r="L32" s="144" t="e">
        <f>IF('[6]Table 11 CWTs exp'!L32/'[6]Table 11 CWTs exp'!$AA32&gt;0.0005,'[6]Table 11 CWTs exp'!L32/'[6]Table 11 CWTs exp'!$AA32,IF('[6]Table 11 CWTs exp'!L32/'[6]Table 11 CWTs exp'!$AA32&gt;0,"-"," "))</f>
        <v>#DIV/0!</v>
      </c>
      <c r="M32" s="144" t="e">
        <f>IF('[6]Table 11 CWTs exp'!M32/'[6]Table 11 CWTs exp'!$AA32&gt;0.0005,'[6]Table 11 CWTs exp'!M32/'[6]Table 11 CWTs exp'!$AA32,IF('[6]Table 11 CWTs exp'!M32/'[6]Table 11 CWTs exp'!$AA32&gt;0,"-"," "))</f>
        <v>#DIV/0!</v>
      </c>
      <c r="N32" s="144" t="e">
        <f>IF('[6]Table 11 CWTs exp'!N32/'[6]Table 11 CWTs exp'!$AA32&gt;0.0005,'[6]Table 11 CWTs exp'!N32/'[6]Table 11 CWTs exp'!$AA32,IF('[6]Table 11 CWTs exp'!N32/'[6]Table 11 CWTs exp'!$AA32&gt;0,"-"," "))</f>
        <v>#DIV/0!</v>
      </c>
      <c r="O32" s="144" t="e">
        <f>IF('[6]Table 11 CWTs exp'!O32/'[6]Table 11 CWTs exp'!$AA32&gt;0.0005,'[6]Table 11 CWTs exp'!O32/'[6]Table 11 CWTs exp'!$AA32,IF('[6]Table 11 CWTs exp'!O32/'[6]Table 11 CWTs exp'!$AA32&gt;0,"-"," "))</f>
        <v>#DIV/0!</v>
      </c>
      <c r="P32" s="144" t="e">
        <f>IF('[6]Table 11 CWTs exp'!P32/'[6]Table 11 CWTs exp'!$AA32&gt;0.0005,'[6]Table 11 CWTs exp'!P32/'[6]Table 11 CWTs exp'!$AA32,IF('[6]Table 11 CWTs exp'!P32/'[6]Table 11 CWTs exp'!$AA32&gt;0,"-"," "))</f>
        <v>#DIV/0!</v>
      </c>
      <c r="Q32" s="145" t="e">
        <f>IF('[6]Table 11 CWTs exp'!Q32/'[6]Table 11 CWTs exp'!$AA32&gt;0.0005,'[6]Table 11 CWTs exp'!Q32/'[6]Table 11 CWTs exp'!$AA32,IF('[6]Table 11 CWTs exp'!Q32/'[6]Table 11 CWTs exp'!$AA32&gt;0,"-"," "))</f>
        <v>#DIV/0!</v>
      </c>
      <c r="R32" s="146" t="e">
        <f>IF('[6]Table 11 CWTs exp'!R32/'[6]Table 11 CWTs exp'!$AA32&gt;0.0005,'[6]Table 11 CWTs exp'!R32/'[6]Table 11 CWTs exp'!$AA32,IF('[6]Table 11 CWTs exp'!R32/'[6]Table 11 CWTs exp'!$AA32&gt;0,"-"," "))</f>
        <v>#DIV/0!</v>
      </c>
      <c r="S32" s="144" t="e">
        <f>IF('[6]Table 11 CWTs exp'!S32/'[6]Table 11 CWTs exp'!$AA32&gt;0.0005,'[6]Table 11 CWTs exp'!S32/'[6]Table 11 CWTs exp'!$AA32,IF('[6]Table 11 CWTs exp'!S32/'[6]Table 11 CWTs exp'!$AA32&gt;0,"-"," "))</f>
        <v>#DIV/0!</v>
      </c>
      <c r="T32" s="144" t="e">
        <f>IF('[6]Table 11 CWTs exp'!T32/'[6]Table 11 CWTs exp'!$AA32&gt;0.0005,'[6]Table 11 CWTs exp'!T32/'[6]Table 11 CWTs exp'!$AA32,IF('[6]Table 11 CWTs exp'!T32/'[6]Table 11 CWTs exp'!$AA32&gt;0,"-"," "))</f>
        <v>#DIV/0!</v>
      </c>
      <c r="U32" s="144" t="e">
        <f>IF('[6]Table 11 CWTs exp'!U32/'[6]Table 11 CWTs exp'!$AA32&gt;0.0005,'[6]Table 11 CWTs exp'!U32/'[6]Table 11 CWTs exp'!$AA32,IF('[6]Table 11 CWTs exp'!U32/'[6]Table 11 CWTs exp'!$AA32&gt;0,"-"," "))</f>
        <v>#DIV/0!</v>
      </c>
      <c r="V32" s="145" t="e">
        <f>IF('[6]Table 11 CWTs exp'!V32/'[6]Table 11 CWTs exp'!$AA32&gt;0.0005,'[6]Table 11 CWTs exp'!V32/'[6]Table 11 CWTs exp'!$AA32,IF('[6]Table 11 CWTs exp'!V32/'[6]Table 11 CWTs exp'!$AA32&gt;0,"-"," "))</f>
        <v>#DIV/0!</v>
      </c>
      <c r="W32" s="146" t="e">
        <f>IF('[6]Table 11 CWTs exp'!W32/'[6]Table 11 CWTs exp'!$AA32&gt;0.0005,'[6]Table 11 CWTs exp'!W32/'[6]Table 11 CWTs exp'!$AA32,IF('[6]Table 11 CWTs exp'!W32/'[6]Table 11 CWTs exp'!$AA32&gt;0,"-"," "))</f>
        <v>#DIV/0!</v>
      </c>
      <c r="X32" s="206" t="e">
        <f>IF('[6]Table 11 CWTs exp'!X32/'[6]Table 11 CWTs exp'!$AA32&gt;0.0005,'[6]Table 11 CWTs exp'!X32/'[6]Table 11 CWTs exp'!$AA32,IF('[6]Table 11 CWTs exp'!X32/'[6]Table 11 CWTs exp'!$AA32&gt;0,"-"," "))</f>
        <v>#DIV/0!</v>
      </c>
      <c r="Y32" s="147" t="e">
        <f t="shared" si="2"/>
        <v>#DIV/0!</v>
      </c>
      <c r="Z32" s="148" t="e">
        <f t="shared" si="3"/>
        <v>#DIV/0!</v>
      </c>
      <c r="AA32" s="38">
        <f>'[6]Table 11 CWTs exp'!AA32</f>
        <v>0</v>
      </c>
      <c r="AD32" s="327"/>
    </row>
    <row r="33" spans="1:34" ht="14.15" hidden="1" customHeight="1" x14ac:dyDescent="0.25">
      <c r="A33" t="str">
        <f>'[6]Table 11 CWTs exp'!A34</f>
        <v>STA543</v>
      </c>
      <c r="B33" s="4" t="str">
        <f>'[6]Table 11 CWTs exp'!B33</f>
        <v>CAL</v>
      </c>
      <c r="C33" s="4">
        <f>'[6]Table 11 CWTs exp'!C33</f>
        <v>54</v>
      </c>
      <c r="D33" s="4">
        <f>'[6]Table 11 CWTs exp'!D33</f>
        <v>3</v>
      </c>
      <c r="E33" t="str">
        <f>'[6]Table 11 CWTs exp'!E33</f>
        <v>Calaveras River*</v>
      </c>
      <c r="F33" s="37" t="str">
        <f>'[6]Table 11 CWTs exp'!F33</f>
        <v>Fall</v>
      </c>
      <c r="G33" s="144" t="e">
        <f>IF('[6]Table 11 CWTs exp'!G33/'[6]Table 11 CWTs exp'!$AA33&gt;0.0005,'[6]Table 11 CWTs exp'!G33/'[6]Table 11 CWTs exp'!$AA33,IF('[6]Table 11 CWTs exp'!G33/'[6]Table 11 CWTs exp'!$AA33&gt;0,"-"," "))</f>
        <v>#DIV/0!</v>
      </c>
      <c r="H33" s="145" t="e">
        <f>IF('[6]Table 11 CWTs exp'!H33/'[6]Table 11 CWTs exp'!$AA33&gt;0.0005,'[6]Table 11 CWTs exp'!H33/'[6]Table 11 CWTs exp'!$AA33,IF('[6]Table 11 CWTs exp'!H33/'[6]Table 11 CWTs exp'!$AA33&gt;0,"-"," "))</f>
        <v>#DIV/0!</v>
      </c>
      <c r="I33" s="144" t="e">
        <f>IF('[6]Table 11 CWTs exp'!I33/'[6]Table 11 CWTs exp'!$AA33&gt;0.0005,'[6]Table 11 CWTs exp'!I33/'[6]Table 11 CWTs exp'!$AA33,IF('[6]Table 11 CWTs exp'!I33/'[6]Table 11 CWTs exp'!$AA33&gt;0,"-"," "))</f>
        <v>#DIV/0!</v>
      </c>
      <c r="J33" s="146" t="e">
        <f>IF('[6]Table 11 CWTs exp'!J33/'[6]Table 11 CWTs exp'!$AA33&gt;0.0005,'[6]Table 11 CWTs exp'!J33/'[6]Table 11 CWTs exp'!$AA33,IF('[6]Table 11 CWTs exp'!J33/'[6]Table 11 CWTs exp'!$AA33&gt;0,"-"," "))</f>
        <v>#DIV/0!</v>
      </c>
      <c r="K33" s="144" t="e">
        <f>IF('[6]Table 11 CWTs exp'!K33/'[6]Table 11 CWTs exp'!$AA33&gt;0.0005,'[6]Table 11 CWTs exp'!K33/'[6]Table 11 CWTs exp'!$AA33,IF('[6]Table 11 CWTs exp'!K33/'[6]Table 11 CWTs exp'!$AA33&gt;0,"-"," "))</f>
        <v>#DIV/0!</v>
      </c>
      <c r="L33" s="144" t="e">
        <f>IF('[6]Table 11 CWTs exp'!L33/'[6]Table 11 CWTs exp'!$AA33&gt;0.0005,'[6]Table 11 CWTs exp'!L33/'[6]Table 11 CWTs exp'!$AA33,IF('[6]Table 11 CWTs exp'!L33/'[6]Table 11 CWTs exp'!$AA33&gt;0,"-"," "))</f>
        <v>#DIV/0!</v>
      </c>
      <c r="M33" s="144" t="e">
        <f>IF('[6]Table 11 CWTs exp'!M33/'[6]Table 11 CWTs exp'!$AA33&gt;0.0005,'[6]Table 11 CWTs exp'!M33/'[6]Table 11 CWTs exp'!$AA33,IF('[6]Table 11 CWTs exp'!M33/'[6]Table 11 CWTs exp'!$AA33&gt;0,"-"," "))</f>
        <v>#DIV/0!</v>
      </c>
      <c r="N33" s="144" t="e">
        <f>IF('[6]Table 11 CWTs exp'!N33/'[6]Table 11 CWTs exp'!$AA33&gt;0.0005,'[6]Table 11 CWTs exp'!N33/'[6]Table 11 CWTs exp'!$AA33,IF('[6]Table 11 CWTs exp'!N33/'[6]Table 11 CWTs exp'!$AA33&gt;0,"-"," "))</f>
        <v>#DIV/0!</v>
      </c>
      <c r="O33" s="144" t="e">
        <f>IF('[6]Table 11 CWTs exp'!O33/'[6]Table 11 CWTs exp'!$AA33&gt;0.0005,'[6]Table 11 CWTs exp'!O33/'[6]Table 11 CWTs exp'!$AA33,IF('[6]Table 11 CWTs exp'!O33/'[6]Table 11 CWTs exp'!$AA33&gt;0,"-"," "))</f>
        <v>#DIV/0!</v>
      </c>
      <c r="P33" s="144" t="e">
        <f>IF('[6]Table 11 CWTs exp'!P33/'[6]Table 11 CWTs exp'!$AA33&gt;0.0005,'[6]Table 11 CWTs exp'!P33/'[6]Table 11 CWTs exp'!$AA33,IF('[6]Table 11 CWTs exp'!P33/'[6]Table 11 CWTs exp'!$AA33&gt;0,"-"," "))</f>
        <v>#DIV/0!</v>
      </c>
      <c r="Q33" s="145" t="e">
        <f>IF('[6]Table 11 CWTs exp'!Q33/'[6]Table 11 CWTs exp'!$AA33&gt;0.0005,'[6]Table 11 CWTs exp'!Q33/'[6]Table 11 CWTs exp'!$AA33,IF('[6]Table 11 CWTs exp'!Q33/'[6]Table 11 CWTs exp'!$AA33&gt;0,"-"," "))</f>
        <v>#DIV/0!</v>
      </c>
      <c r="R33" s="146" t="e">
        <f>IF('[6]Table 11 CWTs exp'!R33/'[6]Table 11 CWTs exp'!$AA33&gt;0.0005,'[6]Table 11 CWTs exp'!R33/'[6]Table 11 CWTs exp'!$AA33,IF('[6]Table 11 CWTs exp'!R33/'[6]Table 11 CWTs exp'!$AA33&gt;0,"-"," "))</f>
        <v>#DIV/0!</v>
      </c>
      <c r="S33" s="144" t="e">
        <f>IF('[6]Table 11 CWTs exp'!S33/'[6]Table 11 CWTs exp'!$AA33&gt;0.0005,'[6]Table 11 CWTs exp'!S33/'[6]Table 11 CWTs exp'!$AA33,IF('[6]Table 11 CWTs exp'!S33/'[6]Table 11 CWTs exp'!$AA33&gt;0,"-"," "))</f>
        <v>#DIV/0!</v>
      </c>
      <c r="T33" s="144" t="e">
        <f>IF('[6]Table 11 CWTs exp'!T33/'[6]Table 11 CWTs exp'!$AA33&gt;0.0005,'[6]Table 11 CWTs exp'!T33/'[6]Table 11 CWTs exp'!$AA33,IF('[6]Table 11 CWTs exp'!T33/'[6]Table 11 CWTs exp'!$AA33&gt;0,"-"," "))</f>
        <v>#DIV/0!</v>
      </c>
      <c r="U33" s="144" t="e">
        <f>IF('[6]Table 11 CWTs exp'!U33/'[6]Table 11 CWTs exp'!$AA33&gt;0.0005,'[6]Table 11 CWTs exp'!U33/'[6]Table 11 CWTs exp'!$AA33,IF('[6]Table 11 CWTs exp'!U33/'[6]Table 11 CWTs exp'!$AA33&gt;0,"-"," "))</f>
        <v>#DIV/0!</v>
      </c>
      <c r="V33" s="145" t="e">
        <f>IF('[6]Table 11 CWTs exp'!V33/'[6]Table 11 CWTs exp'!$AA33&gt;0.0005,'[6]Table 11 CWTs exp'!V33/'[6]Table 11 CWTs exp'!$AA33,IF('[6]Table 11 CWTs exp'!V33/'[6]Table 11 CWTs exp'!$AA33&gt;0,"-"," "))</f>
        <v>#DIV/0!</v>
      </c>
      <c r="W33" s="146" t="e">
        <f>IF('[6]Table 11 CWTs exp'!W33/'[6]Table 11 CWTs exp'!$AA33&gt;0.0005,'[6]Table 11 CWTs exp'!W33/'[6]Table 11 CWTs exp'!$AA33,IF('[6]Table 11 CWTs exp'!W33/'[6]Table 11 CWTs exp'!$AA33&gt;0,"-"," "))</f>
        <v>#DIV/0!</v>
      </c>
      <c r="X33" s="206" t="e">
        <f>IF('[6]Table 11 CWTs exp'!X33/'[6]Table 11 CWTs exp'!$AA33&gt;0.0005,'[6]Table 11 CWTs exp'!X33/'[6]Table 11 CWTs exp'!$AA33,IF('[6]Table 11 CWTs exp'!X33/'[6]Table 11 CWTs exp'!$AA33&gt;0,"-"," "))</f>
        <v>#DIV/0!</v>
      </c>
      <c r="Y33" s="147" t="e">
        <f t="shared" si="2"/>
        <v>#DIV/0!</v>
      </c>
      <c r="Z33" s="148" t="e">
        <f t="shared" si="3"/>
        <v>#DIV/0!</v>
      </c>
      <c r="AA33" s="38">
        <f>'[6]Table 11 CWTs exp'!AA33</f>
        <v>0</v>
      </c>
      <c r="AD33" s="327"/>
    </row>
    <row r="34" spans="1:34" ht="14.15" customHeight="1" x14ac:dyDescent="0.25">
      <c r="A34" t="str">
        <f>'[6]Table 11 CWTs exp'!A35</f>
        <v>TUO543</v>
      </c>
      <c r="B34" s="4" t="str">
        <f>'[6]Table 11 CWTs exp'!B34</f>
        <v>STA</v>
      </c>
      <c r="C34" s="4">
        <f>'[6]Table 11 CWTs exp'!C34</f>
        <v>54</v>
      </c>
      <c r="D34" s="4">
        <f>'[6]Table 11 CWTs exp'!D34</f>
        <v>3</v>
      </c>
      <c r="E34" t="str">
        <f>'[6]Table 11 CWTs exp'!E34</f>
        <v>Stanislaus River</v>
      </c>
      <c r="F34" s="37" t="str">
        <f>'[6]Table 11 CWTs exp'!F34</f>
        <v>Fall</v>
      </c>
      <c r="G34" s="144" t="str">
        <f>IF('[6]Table 11 CWTs exp'!G34/'[6]Table 11 CWTs exp'!$AA34&gt;0.0005,'[6]Table 11 CWTs exp'!G34/'[6]Table 11 CWTs exp'!$AA34,IF('[6]Table 11 CWTs exp'!G34/'[6]Table 11 CWTs exp'!$AA34&gt;0,"-"," "))</f>
        <v xml:space="preserve"> </v>
      </c>
      <c r="H34" s="145" t="str">
        <f>IF('[6]Table 11 CWTs exp'!H34/'[6]Table 11 CWTs exp'!$AA34&gt;0.0005,'[6]Table 11 CWTs exp'!H34/'[6]Table 11 CWTs exp'!$AA34,IF('[6]Table 11 CWTs exp'!H34/'[6]Table 11 CWTs exp'!$AA34&gt;0,"-"," "))</f>
        <v xml:space="preserve"> </v>
      </c>
      <c r="I34" s="144" t="str">
        <f>IF('[6]Table 11 CWTs exp'!I34/'[6]Table 11 CWTs exp'!$AA34&gt;0.0005,'[6]Table 11 CWTs exp'!I34/'[6]Table 11 CWTs exp'!$AA34,IF('[6]Table 11 CWTs exp'!I34/'[6]Table 11 CWTs exp'!$AA34&gt;0,"-"," "))</f>
        <v xml:space="preserve"> </v>
      </c>
      <c r="J34" s="146">
        <f>IF('[6]Table 11 CWTs exp'!J34/'[6]Table 11 CWTs exp'!$AA34&gt;0.0005,'[6]Table 11 CWTs exp'!J34/'[6]Table 11 CWTs exp'!$AA34,IF('[6]Table 11 CWTs exp'!J34/'[6]Table 11 CWTs exp'!$AA34&gt;0,"-"," "))</f>
        <v>4.604569420035149E-2</v>
      </c>
      <c r="K34" s="144" t="str">
        <f>IF('[6]Table 11 CWTs exp'!K34/'[6]Table 11 CWTs exp'!$AA34&gt;0.0005,'[6]Table 11 CWTs exp'!K34/'[6]Table 11 CWTs exp'!$AA34,IF('[6]Table 11 CWTs exp'!K34/'[6]Table 11 CWTs exp'!$AA34&gt;0,"-"," "))</f>
        <v xml:space="preserve"> </v>
      </c>
      <c r="L34" s="144" t="str">
        <f>IF('[6]Table 11 CWTs exp'!L34/'[6]Table 11 CWTs exp'!$AA34&gt;0.0005,'[6]Table 11 CWTs exp'!L34/'[6]Table 11 CWTs exp'!$AA34,IF('[6]Table 11 CWTs exp'!L34/'[6]Table 11 CWTs exp'!$AA34&gt;0,"-"," "))</f>
        <v xml:space="preserve"> </v>
      </c>
      <c r="M34" s="144">
        <f>IF('[6]Table 11 CWTs exp'!M34/'[6]Table 11 CWTs exp'!$AA34&gt;0.0005,'[6]Table 11 CWTs exp'!M34/'[6]Table 11 CWTs exp'!$AA34,IF('[6]Table 11 CWTs exp'!M34/'[6]Table 11 CWTs exp'!$AA34&gt;0,"-"," "))</f>
        <v>1.054481546572935E-3</v>
      </c>
      <c r="N34" s="144">
        <f>IF('[6]Table 11 CWTs exp'!N34/'[6]Table 11 CWTs exp'!$AA34&gt;0.0005,'[6]Table 11 CWTs exp'!N34/'[6]Table 11 CWTs exp'!$AA34,IF('[6]Table 11 CWTs exp'!N34/'[6]Table 11 CWTs exp'!$AA34&gt;0,"-"," "))</f>
        <v>5.5536028119507912E-2</v>
      </c>
      <c r="O34" s="144" t="str">
        <f>IF('[6]Table 11 CWTs exp'!O34/'[6]Table 11 CWTs exp'!$AA34&gt;0.0005,'[6]Table 11 CWTs exp'!O34/'[6]Table 11 CWTs exp'!$AA34,IF('[6]Table 11 CWTs exp'!O34/'[6]Table 11 CWTs exp'!$AA34&gt;0,"-"," "))</f>
        <v xml:space="preserve"> </v>
      </c>
      <c r="P34" s="144">
        <f>IF('[6]Table 11 CWTs exp'!P34/'[6]Table 11 CWTs exp'!$AA34&gt;0.0005,'[6]Table 11 CWTs exp'!P34/'[6]Table 11 CWTs exp'!$AA34,IF('[6]Table 11 CWTs exp'!P34/'[6]Table 11 CWTs exp'!$AA34&gt;0,"-"," "))</f>
        <v>1.054481546572935E-3</v>
      </c>
      <c r="Q34" s="145" t="str">
        <f>IF('[6]Table 11 CWTs exp'!Q34/'[6]Table 11 CWTs exp'!$AA34&gt;0.0005,'[6]Table 11 CWTs exp'!Q34/'[6]Table 11 CWTs exp'!$AA34,IF('[6]Table 11 CWTs exp'!Q34/'[6]Table 11 CWTs exp'!$AA34&gt;0,"-"," "))</f>
        <v xml:space="preserve"> </v>
      </c>
      <c r="R34" s="146">
        <f>IF('[6]Table 11 CWTs exp'!R34/'[6]Table 11 CWTs exp'!$AA34&gt;0.0005,'[6]Table 11 CWTs exp'!R34/'[6]Table 11 CWTs exp'!$AA34,IF('[6]Table 11 CWTs exp'!R34/'[6]Table 11 CWTs exp'!$AA34&gt;0,"-"," "))</f>
        <v>4.5694200351493845E-3</v>
      </c>
      <c r="S34" s="144" t="str">
        <f>IF('[6]Table 11 CWTs exp'!S34/'[6]Table 11 CWTs exp'!$AA34&gt;0.0005,'[6]Table 11 CWTs exp'!S34/'[6]Table 11 CWTs exp'!$AA34,IF('[6]Table 11 CWTs exp'!S34/'[6]Table 11 CWTs exp'!$AA34&gt;0,"-"," "))</f>
        <v xml:space="preserve"> </v>
      </c>
      <c r="T34" s="144">
        <f>IF('[6]Table 11 CWTs exp'!T34/'[6]Table 11 CWTs exp'!$AA34&gt;0.0005,'[6]Table 11 CWTs exp'!T34/'[6]Table 11 CWTs exp'!$AA34,IF('[6]Table 11 CWTs exp'!T34/'[6]Table 11 CWTs exp'!$AA34&gt;0,"-"," "))</f>
        <v>0.48998242530755709</v>
      </c>
      <c r="U34" s="144">
        <f>IF('[6]Table 11 CWTs exp'!U34/'[6]Table 11 CWTs exp'!$AA34&gt;0.0005,'[6]Table 11 CWTs exp'!U34/'[6]Table 11 CWTs exp'!$AA34,IF('[6]Table 11 CWTs exp'!U34/'[6]Table 11 CWTs exp'!$AA34&gt;0,"-"," "))</f>
        <v>5.0966608084358524E-2</v>
      </c>
      <c r="V34" s="145" t="str">
        <f>IF('[6]Table 11 CWTs exp'!V34/'[6]Table 11 CWTs exp'!$AA34&gt;0.0005,'[6]Table 11 CWTs exp'!V34/'[6]Table 11 CWTs exp'!$AA34,IF('[6]Table 11 CWTs exp'!V34/'[6]Table 11 CWTs exp'!$AA34&gt;0,"-"," "))</f>
        <v xml:space="preserve"> </v>
      </c>
      <c r="W34" s="146">
        <f>IF('[6]Table 11 CWTs exp'!W34/'[6]Table 11 CWTs exp'!$AA34&gt;0.0005,'[6]Table 11 CWTs exp'!W34/'[6]Table 11 CWTs exp'!$AA34,IF('[6]Table 11 CWTs exp'!W34/'[6]Table 11 CWTs exp'!$AA34&gt;0,"-"," "))</f>
        <v>7.3813708260105446E-3</v>
      </c>
      <c r="X34" s="206" t="str">
        <f>IF('[6]Table 11 CWTs exp'!X34/'[6]Table 11 CWTs exp'!$AA34&gt;0.0005,'[6]Table 11 CWTs exp'!X34/'[6]Table 11 CWTs exp'!$AA34,IF('[6]Table 11 CWTs exp'!X34/'[6]Table 11 CWTs exp'!$AA34&gt;0,"-"," "))</f>
        <v xml:space="preserve"> </v>
      </c>
      <c r="Y34" s="147">
        <f t="shared" si="2"/>
        <v>0.65659050966608079</v>
      </c>
      <c r="Z34" s="148">
        <f t="shared" si="3"/>
        <v>0.34340949033391921</v>
      </c>
      <c r="AA34" s="38">
        <f>'[6]Table 11 CWTs exp'!AA34</f>
        <v>2845</v>
      </c>
      <c r="AD34" s="327"/>
    </row>
    <row r="35" spans="1:34" ht="14.15" customHeight="1" x14ac:dyDescent="0.25">
      <c r="A35" t="str">
        <f>'[6]Table 11 CWTs exp'!A36</f>
        <v>MER543</v>
      </c>
      <c r="B35" s="4" t="str">
        <f>'[6]Table 11 CWTs exp'!B35</f>
        <v>TUO</v>
      </c>
      <c r="C35" s="4">
        <f>'[6]Table 11 CWTs exp'!C35</f>
        <v>54</v>
      </c>
      <c r="D35" s="4">
        <f>'[6]Table 11 CWTs exp'!D35</f>
        <v>3</v>
      </c>
      <c r="E35" t="str">
        <f>'[6]Table 11 CWTs exp'!E35</f>
        <v>Tuolumne River</v>
      </c>
      <c r="F35" s="37" t="str">
        <f>'[6]Table 11 CWTs exp'!F35</f>
        <v>Fall</v>
      </c>
      <c r="G35" s="144" t="str">
        <f>IF('[6]Table 11 CWTs exp'!G35/'[6]Table 11 CWTs exp'!$AA35&gt;0.0005,'[6]Table 11 CWTs exp'!G35/'[6]Table 11 CWTs exp'!$AA35,IF('[6]Table 11 CWTs exp'!G35/'[6]Table 11 CWTs exp'!$AA35&gt;0,"-"," "))</f>
        <v xml:space="preserve"> </v>
      </c>
      <c r="H35" s="145" t="str">
        <f>IF('[6]Table 11 CWTs exp'!H35/'[6]Table 11 CWTs exp'!$AA35&gt;0.0005,'[6]Table 11 CWTs exp'!H35/'[6]Table 11 CWTs exp'!$AA35,IF('[6]Table 11 CWTs exp'!H35/'[6]Table 11 CWTs exp'!$AA35&gt;0,"-"," "))</f>
        <v xml:space="preserve"> </v>
      </c>
      <c r="I35" s="144" t="str">
        <f>IF('[6]Table 11 CWTs exp'!I35/'[6]Table 11 CWTs exp'!$AA35&gt;0.0005,'[6]Table 11 CWTs exp'!I35/'[6]Table 11 CWTs exp'!$AA35,IF('[6]Table 11 CWTs exp'!I35/'[6]Table 11 CWTs exp'!$AA35&gt;0,"-"," "))</f>
        <v xml:space="preserve"> </v>
      </c>
      <c r="J35" s="146">
        <f>IF('[6]Table 11 CWTs exp'!J35/'[6]Table 11 CWTs exp'!$AA35&gt;0.0005,'[6]Table 11 CWTs exp'!J35/'[6]Table 11 CWTs exp'!$AA35,IF('[6]Table 11 CWTs exp'!J35/'[6]Table 11 CWTs exp'!$AA35&gt;0,"-"," "))</f>
        <v>3.7902388369678089E-2</v>
      </c>
      <c r="K35" s="144" t="str">
        <f>IF('[6]Table 11 CWTs exp'!K35/'[6]Table 11 CWTs exp'!$AA35&gt;0.0005,'[6]Table 11 CWTs exp'!K35/'[6]Table 11 CWTs exp'!$AA35,IF('[6]Table 11 CWTs exp'!K35/'[6]Table 11 CWTs exp'!$AA35&gt;0,"-"," "))</f>
        <v xml:space="preserve"> </v>
      </c>
      <c r="L35" s="144" t="str">
        <f>IF('[6]Table 11 CWTs exp'!L35/'[6]Table 11 CWTs exp'!$AA35&gt;0.0005,'[6]Table 11 CWTs exp'!L35/'[6]Table 11 CWTs exp'!$AA35,IF('[6]Table 11 CWTs exp'!L35/'[6]Table 11 CWTs exp'!$AA35&gt;0,"-"," "))</f>
        <v xml:space="preserve"> </v>
      </c>
      <c r="M35" s="144" t="str">
        <f>IF('[6]Table 11 CWTs exp'!M35/'[6]Table 11 CWTs exp'!$AA35&gt;0.0005,'[6]Table 11 CWTs exp'!M35/'[6]Table 11 CWTs exp'!$AA35,IF('[6]Table 11 CWTs exp'!M35/'[6]Table 11 CWTs exp'!$AA35&gt;0,"-"," "))</f>
        <v xml:space="preserve"> </v>
      </c>
      <c r="N35" s="144">
        <f>IF('[6]Table 11 CWTs exp'!N35/'[6]Table 11 CWTs exp'!$AA35&gt;0.0005,'[6]Table 11 CWTs exp'!N35/'[6]Table 11 CWTs exp'!$AA35,IF('[6]Table 11 CWTs exp'!N35/'[6]Table 11 CWTs exp'!$AA35&gt;0,"-"," "))</f>
        <v>3.7902388369678089E-2</v>
      </c>
      <c r="O35" s="144" t="str">
        <f>IF('[6]Table 11 CWTs exp'!O35/'[6]Table 11 CWTs exp'!$AA35&gt;0.0005,'[6]Table 11 CWTs exp'!O35/'[6]Table 11 CWTs exp'!$AA35,IF('[6]Table 11 CWTs exp'!O35/'[6]Table 11 CWTs exp'!$AA35&gt;0,"-"," "))</f>
        <v xml:space="preserve"> </v>
      </c>
      <c r="P35" s="144" t="str">
        <f>IF('[6]Table 11 CWTs exp'!P35/'[6]Table 11 CWTs exp'!$AA35&gt;0.0005,'[6]Table 11 CWTs exp'!P35/'[6]Table 11 CWTs exp'!$AA35,IF('[6]Table 11 CWTs exp'!P35/'[6]Table 11 CWTs exp'!$AA35&gt;0,"-"," "))</f>
        <v xml:space="preserve"> </v>
      </c>
      <c r="Q35" s="145" t="str">
        <f>IF('[6]Table 11 CWTs exp'!Q35/'[6]Table 11 CWTs exp'!$AA35&gt;0.0005,'[6]Table 11 CWTs exp'!Q35/'[6]Table 11 CWTs exp'!$AA35,IF('[6]Table 11 CWTs exp'!Q35/'[6]Table 11 CWTs exp'!$AA35&gt;0,"-"," "))</f>
        <v xml:space="preserve"> </v>
      </c>
      <c r="R35" s="146">
        <f>IF('[6]Table 11 CWTs exp'!R35/'[6]Table 11 CWTs exp'!$AA35&gt;0.0005,'[6]Table 11 CWTs exp'!R35/'[6]Table 11 CWTs exp'!$AA35,IF('[6]Table 11 CWTs exp'!R35/'[6]Table 11 CWTs exp'!$AA35&gt;0,"-"," "))</f>
        <v>3.1152647975077881E-3</v>
      </c>
      <c r="S35" s="144" t="str">
        <f>IF('[6]Table 11 CWTs exp'!S35/'[6]Table 11 CWTs exp'!$AA35&gt;0.0005,'[6]Table 11 CWTs exp'!S35/'[6]Table 11 CWTs exp'!$AA35,IF('[6]Table 11 CWTs exp'!S35/'[6]Table 11 CWTs exp'!$AA35&gt;0,"-"," "))</f>
        <v xml:space="preserve"> </v>
      </c>
      <c r="T35" s="144">
        <f>IF('[6]Table 11 CWTs exp'!T35/'[6]Table 11 CWTs exp'!$AA35&gt;0.0005,'[6]Table 11 CWTs exp'!T35/'[6]Table 11 CWTs exp'!$AA35,IF('[6]Table 11 CWTs exp'!T35/'[6]Table 11 CWTs exp'!$AA35&gt;0,"-"," "))</f>
        <v>0.17757009345794392</v>
      </c>
      <c r="U35" s="144">
        <f>IF('[6]Table 11 CWTs exp'!U35/'[6]Table 11 CWTs exp'!$AA35&gt;0.0005,'[6]Table 11 CWTs exp'!U35/'[6]Table 11 CWTs exp'!$AA35,IF('[6]Table 11 CWTs exp'!U35/'[6]Table 11 CWTs exp'!$AA35&gt;0,"-"," "))</f>
        <v>1.8691588785046728E-2</v>
      </c>
      <c r="V35" s="145">
        <f>IF('[6]Table 11 CWTs exp'!V35/'[6]Table 11 CWTs exp'!$AA35&gt;0.0005,'[6]Table 11 CWTs exp'!V35/'[6]Table 11 CWTs exp'!$AA35,IF('[6]Table 11 CWTs exp'!V35/'[6]Table 11 CWTs exp'!$AA35&gt;0,"-"," "))</f>
        <v>1.0384215991692627E-3</v>
      </c>
      <c r="W35" s="146">
        <f>IF('[6]Table 11 CWTs exp'!W35/'[6]Table 11 CWTs exp'!$AA35&gt;0.0005,'[6]Table 11 CWTs exp'!W35/'[6]Table 11 CWTs exp'!$AA35,IF('[6]Table 11 CWTs exp'!W35/'[6]Table 11 CWTs exp'!$AA35&gt;0,"-"," "))</f>
        <v>2.5960539979231569E-3</v>
      </c>
      <c r="X35" s="206" t="str">
        <f>IF('[6]Table 11 CWTs exp'!X35/'[6]Table 11 CWTs exp'!$AA35&gt;0.0005,'[6]Table 11 CWTs exp'!X35/'[6]Table 11 CWTs exp'!$AA35,IF('[6]Table 11 CWTs exp'!X35/'[6]Table 11 CWTs exp'!$AA35&gt;0,"-"," "))</f>
        <v xml:space="preserve"> </v>
      </c>
      <c r="Y35" s="147">
        <f t="shared" si="2"/>
        <v>0.27881619937694707</v>
      </c>
      <c r="Z35" s="148">
        <f t="shared" si="3"/>
        <v>0.72118380062305287</v>
      </c>
      <c r="AA35" s="38">
        <f>'[6]Table 11 CWTs exp'!AA35</f>
        <v>1926</v>
      </c>
      <c r="AD35" s="327"/>
    </row>
    <row r="36" spans="1:34" ht="14.15" customHeight="1" x14ac:dyDescent="0.25">
      <c r="A36" t="str">
        <f>'[6]Table 11 CWTs exp'!A37</f>
        <v>USAC547</v>
      </c>
      <c r="B36" s="4" t="str">
        <f>'[6]Table 11 CWTs exp'!B36</f>
        <v>MER</v>
      </c>
      <c r="C36" s="4">
        <f>'[6]Table 11 CWTs exp'!C36</f>
        <v>54</v>
      </c>
      <c r="D36" s="4">
        <f>'[6]Table 11 CWTs exp'!D36</f>
        <v>3</v>
      </c>
      <c r="E36" t="str">
        <f>'[6]Table 11 CWTs exp'!E36</f>
        <v>Merced River</v>
      </c>
      <c r="F36" s="37" t="str">
        <f>'[6]Table 11 CWTs exp'!F36</f>
        <v>Fall</v>
      </c>
      <c r="G36" s="144" t="str">
        <f>IF('[6]Table 11 CWTs exp'!G36/'[6]Table 11 CWTs exp'!$AA36&gt;0.0005,'[6]Table 11 CWTs exp'!G36/'[6]Table 11 CWTs exp'!$AA36,IF('[6]Table 11 CWTs exp'!G36/'[6]Table 11 CWTs exp'!$AA36&gt;0,"-"," "))</f>
        <v xml:space="preserve"> </v>
      </c>
      <c r="H36" s="145" t="str">
        <f>IF('[6]Table 11 CWTs exp'!H36/'[6]Table 11 CWTs exp'!$AA36&gt;0.0005,'[6]Table 11 CWTs exp'!H36/'[6]Table 11 CWTs exp'!$AA36,IF('[6]Table 11 CWTs exp'!H36/'[6]Table 11 CWTs exp'!$AA36&gt;0,"-"," "))</f>
        <v xml:space="preserve"> </v>
      </c>
      <c r="I36" s="144" t="str">
        <f>IF('[6]Table 11 CWTs exp'!I36/'[6]Table 11 CWTs exp'!$AA36&gt;0.0005,'[6]Table 11 CWTs exp'!I36/'[6]Table 11 CWTs exp'!$AA36,IF('[6]Table 11 CWTs exp'!I36/'[6]Table 11 CWTs exp'!$AA36&gt;0,"-"," "))</f>
        <v xml:space="preserve"> </v>
      </c>
      <c r="J36" s="146">
        <f>IF('[6]Table 11 CWTs exp'!J36/'[6]Table 11 CWTs exp'!$AA36&gt;0.0005,'[6]Table 11 CWTs exp'!J36/'[6]Table 11 CWTs exp'!$AA36,IF('[6]Table 11 CWTs exp'!J36/'[6]Table 11 CWTs exp'!$AA36&gt;0,"-"," "))</f>
        <v>8.2802547770700632E-2</v>
      </c>
      <c r="K36" s="144" t="str">
        <f>IF('[6]Table 11 CWTs exp'!K36/'[6]Table 11 CWTs exp'!$AA36&gt;0.0005,'[6]Table 11 CWTs exp'!K36/'[6]Table 11 CWTs exp'!$AA36,IF('[6]Table 11 CWTs exp'!K36/'[6]Table 11 CWTs exp'!$AA36&gt;0,"-"," "))</f>
        <v xml:space="preserve"> </v>
      </c>
      <c r="L36" s="144" t="str">
        <f>IF('[6]Table 11 CWTs exp'!L36/'[6]Table 11 CWTs exp'!$AA36&gt;0.0005,'[6]Table 11 CWTs exp'!L36/'[6]Table 11 CWTs exp'!$AA36,IF('[6]Table 11 CWTs exp'!L36/'[6]Table 11 CWTs exp'!$AA36&gt;0,"-"," "))</f>
        <v xml:space="preserve"> </v>
      </c>
      <c r="M36" s="144" t="str">
        <f>IF('[6]Table 11 CWTs exp'!M36/'[6]Table 11 CWTs exp'!$AA36&gt;0.0005,'[6]Table 11 CWTs exp'!M36/'[6]Table 11 CWTs exp'!$AA36,IF('[6]Table 11 CWTs exp'!M36/'[6]Table 11 CWTs exp'!$AA36&gt;0,"-"," "))</f>
        <v xml:space="preserve"> </v>
      </c>
      <c r="N36" s="144">
        <f>IF('[6]Table 11 CWTs exp'!N36/'[6]Table 11 CWTs exp'!$AA36&gt;0.0005,'[6]Table 11 CWTs exp'!N36/'[6]Table 11 CWTs exp'!$AA36,IF('[6]Table 11 CWTs exp'!N36/'[6]Table 11 CWTs exp'!$AA36&gt;0,"-"," "))</f>
        <v>9.200283085633405E-3</v>
      </c>
      <c r="O36" s="144" t="str">
        <f>IF('[6]Table 11 CWTs exp'!O36/'[6]Table 11 CWTs exp'!$AA36&gt;0.0005,'[6]Table 11 CWTs exp'!O36/'[6]Table 11 CWTs exp'!$AA36,IF('[6]Table 11 CWTs exp'!O36/'[6]Table 11 CWTs exp'!$AA36&gt;0,"-"," "))</f>
        <v xml:space="preserve"> </v>
      </c>
      <c r="P36" s="144" t="str">
        <f>IF('[6]Table 11 CWTs exp'!P36/'[6]Table 11 CWTs exp'!$AA36&gt;0.0005,'[6]Table 11 CWTs exp'!P36/'[6]Table 11 CWTs exp'!$AA36,IF('[6]Table 11 CWTs exp'!P36/'[6]Table 11 CWTs exp'!$AA36&gt;0,"-"," "))</f>
        <v xml:space="preserve"> </v>
      </c>
      <c r="Q36" s="145" t="str">
        <f>IF('[6]Table 11 CWTs exp'!Q36/'[6]Table 11 CWTs exp'!$AA36&gt;0.0005,'[6]Table 11 CWTs exp'!Q36/'[6]Table 11 CWTs exp'!$AA36,IF('[6]Table 11 CWTs exp'!Q36/'[6]Table 11 CWTs exp'!$AA36&gt;0,"-"," "))</f>
        <v xml:space="preserve"> </v>
      </c>
      <c r="R36" s="146">
        <f>IF('[6]Table 11 CWTs exp'!R36/'[6]Table 11 CWTs exp'!$AA36&gt;0.0005,'[6]Table 11 CWTs exp'!R36/'[6]Table 11 CWTs exp'!$AA36,IF('[6]Table 11 CWTs exp'!R36/'[6]Table 11 CWTs exp'!$AA36&gt;0,"-"," "))</f>
        <v>1.840056617126681E-2</v>
      </c>
      <c r="S36" s="144" t="str">
        <f>IF('[6]Table 11 CWTs exp'!S36/'[6]Table 11 CWTs exp'!$AA36&gt;0.0005,'[6]Table 11 CWTs exp'!S36/'[6]Table 11 CWTs exp'!$AA36,IF('[6]Table 11 CWTs exp'!S36/'[6]Table 11 CWTs exp'!$AA36&gt;0,"-"," "))</f>
        <v xml:space="preserve"> </v>
      </c>
      <c r="T36" s="144">
        <f>IF('[6]Table 11 CWTs exp'!T36/'[6]Table 11 CWTs exp'!$AA36&gt;0.0005,'[6]Table 11 CWTs exp'!T36/'[6]Table 11 CWTs exp'!$AA36,IF('[6]Table 11 CWTs exp'!T36/'[6]Table 11 CWTs exp'!$AA36&gt;0,"-"," "))</f>
        <v>0.24699221514508138</v>
      </c>
      <c r="U36" s="144">
        <f>IF('[6]Table 11 CWTs exp'!U36/'[6]Table 11 CWTs exp'!$AA36&gt;0.0005,'[6]Table 11 CWTs exp'!U36/'[6]Table 11 CWTs exp'!$AA36,IF('[6]Table 11 CWTs exp'!U36/'[6]Table 11 CWTs exp'!$AA36&gt;0,"-"," "))</f>
        <v>5.5201698513800426E-2</v>
      </c>
      <c r="V36" s="145">
        <f>IF('[6]Table 11 CWTs exp'!V36/'[6]Table 11 CWTs exp'!$AA36&gt;0.0005,'[6]Table 11 CWTs exp'!V36/'[6]Table 11 CWTs exp'!$AA36,IF('[6]Table 11 CWTs exp'!V36/'[6]Table 11 CWTs exp'!$AA36&gt;0,"-"," "))</f>
        <v>2.1585279547062988E-2</v>
      </c>
      <c r="W36" s="146">
        <f>IF('[6]Table 11 CWTs exp'!W36/'[6]Table 11 CWTs exp'!$AA36&gt;0.0005,'[6]Table 11 CWTs exp'!W36/'[6]Table 11 CWTs exp'!$AA36,IF('[6]Table 11 CWTs exp'!W36/'[6]Table 11 CWTs exp'!$AA36&gt;0,"-"," "))</f>
        <v>7.4309978768577496E-3</v>
      </c>
      <c r="X36" s="206" t="str">
        <f>IF('[6]Table 11 CWTs exp'!X36/'[6]Table 11 CWTs exp'!$AA36&gt;0.0005,'[6]Table 11 CWTs exp'!X36/'[6]Table 11 CWTs exp'!$AA36,IF('[6]Table 11 CWTs exp'!X36/'[6]Table 11 CWTs exp'!$AA36&gt;0,"-"," "))</f>
        <v xml:space="preserve"> </v>
      </c>
      <c r="Y36" s="147">
        <f t="shared" si="2"/>
        <v>0.44161358811040335</v>
      </c>
      <c r="Z36" s="148">
        <f t="shared" si="3"/>
        <v>0.5583864118895967</v>
      </c>
      <c r="AA36" s="38">
        <f>'[6]Table 11 CWTs exp'!AA36</f>
        <v>2826</v>
      </c>
      <c r="AD36" s="327"/>
    </row>
    <row r="37" spans="1:34" ht="14.15" customHeight="1" x14ac:dyDescent="0.25">
      <c r="A37">
        <f>'[6]Table 11 CWTs exp'!A38</f>
        <v>0</v>
      </c>
      <c r="B37" s="4" t="str">
        <f>'[6]Table 11 CWTs exp'!B37</f>
        <v>USAC</v>
      </c>
      <c r="C37" s="4">
        <f>'[6]Table 11 CWTs exp'!C37</f>
        <v>54</v>
      </c>
      <c r="D37" s="4">
        <f>'[6]Table 11 CWTs exp'!D37</f>
        <v>7</v>
      </c>
      <c r="E37" t="str">
        <f>'[6]Table 11 CWTs exp'!E37</f>
        <v>Upper Sacramento River</v>
      </c>
      <c r="F37" s="37" t="s">
        <v>57</v>
      </c>
      <c r="G37" s="144" t="str">
        <f>IF('[6]Table 11 CWTs exp'!G37/'[6]Table 11 CWTs exp'!$AA37&gt;0.0005,'[6]Table 11 CWTs exp'!G37/'[6]Table 11 CWTs exp'!$AA37,IF('[6]Table 11 CWTs exp'!G37/'[6]Table 11 CWTs exp'!$AA37&gt;0,"-"," "))</f>
        <v xml:space="preserve"> </v>
      </c>
      <c r="H37" s="145">
        <f>IF('[6]Table 11 CWTs exp'!H37/'[6]Table 11 CWTs exp'!$AA37&gt;0.0005,'[6]Table 11 CWTs exp'!H37/'[6]Table 11 CWTs exp'!$AA37,IF('[6]Table 11 CWTs exp'!H37/'[6]Table 11 CWTs exp'!$AA37&gt;0,"-"," "))</f>
        <v>0.16377358490566038</v>
      </c>
      <c r="I37" s="144" t="str">
        <f>IF('[6]Table 11 CWTs exp'!I37/'[6]Table 11 CWTs exp'!$AA37&gt;0.0005,'[6]Table 11 CWTs exp'!I37/'[6]Table 11 CWTs exp'!$AA37,IF('[6]Table 11 CWTs exp'!I37/'[6]Table 11 CWTs exp'!$AA37&gt;0,"-"," "))</f>
        <v xml:space="preserve"> </v>
      </c>
      <c r="J37" s="146" t="str">
        <f>IF('[6]Table 11 CWTs exp'!J37/'[6]Table 11 CWTs exp'!$AA37&gt;0.0005,'[6]Table 11 CWTs exp'!J37/'[6]Table 11 CWTs exp'!$AA37,IF('[6]Table 11 CWTs exp'!J37/'[6]Table 11 CWTs exp'!$AA37&gt;0,"-"," "))</f>
        <v xml:space="preserve"> </v>
      </c>
      <c r="K37" s="144" t="str">
        <f>IF('[6]Table 11 CWTs exp'!K37/'[6]Table 11 CWTs exp'!$AA37&gt;0.0005,'[6]Table 11 CWTs exp'!K37/'[6]Table 11 CWTs exp'!$AA37,IF('[6]Table 11 CWTs exp'!K37/'[6]Table 11 CWTs exp'!$AA37&gt;0,"-"," "))</f>
        <v xml:space="preserve"> </v>
      </c>
      <c r="L37" s="144">
        <f>IF('[6]Table 11 CWTs exp'!L37/'[6]Table 11 CWTs exp'!$AA37&gt;0.0005,'[6]Table 11 CWTs exp'!L37/'[6]Table 11 CWTs exp'!$AA37,IF('[6]Table 11 CWTs exp'!L37/'[6]Table 11 CWTs exp'!$AA37&gt;0,"-"," "))</f>
        <v>1.5094339622641509E-3</v>
      </c>
      <c r="M37" s="144" t="str">
        <f>IF('[6]Table 11 CWTs exp'!M37/'[6]Table 11 CWTs exp'!$AA37&gt;0.0005,'[6]Table 11 CWTs exp'!M37/'[6]Table 11 CWTs exp'!$AA37,IF('[6]Table 11 CWTs exp'!M37/'[6]Table 11 CWTs exp'!$AA37&gt;0,"-"," "))</f>
        <v xml:space="preserve"> </v>
      </c>
      <c r="N37" s="144" t="str">
        <f>IF('[6]Table 11 CWTs exp'!N37/'[6]Table 11 CWTs exp'!$AA37&gt;0.0005,'[6]Table 11 CWTs exp'!N37/'[6]Table 11 CWTs exp'!$AA37,IF('[6]Table 11 CWTs exp'!N37/'[6]Table 11 CWTs exp'!$AA37&gt;0,"-"," "))</f>
        <v xml:space="preserve"> </v>
      </c>
      <c r="O37" s="144" t="str">
        <f>IF('[6]Table 11 CWTs exp'!O37/'[6]Table 11 CWTs exp'!$AA37&gt;0.0005,'[6]Table 11 CWTs exp'!O37/'[6]Table 11 CWTs exp'!$AA37,IF('[6]Table 11 CWTs exp'!O37/'[6]Table 11 CWTs exp'!$AA37&gt;0,"-"," "))</f>
        <v xml:space="preserve"> </v>
      </c>
      <c r="P37" s="144" t="str">
        <f>IF('[6]Table 11 CWTs exp'!P37/'[6]Table 11 CWTs exp'!$AA37&gt;0.0005,'[6]Table 11 CWTs exp'!P37/'[6]Table 11 CWTs exp'!$AA37,IF('[6]Table 11 CWTs exp'!P37/'[6]Table 11 CWTs exp'!$AA37&gt;0,"-"," "))</f>
        <v xml:space="preserve"> </v>
      </c>
      <c r="Q37" s="145" t="str">
        <f>IF('[6]Table 11 CWTs exp'!Q37/'[6]Table 11 CWTs exp'!$AA37&gt;0.0005,'[6]Table 11 CWTs exp'!Q37/'[6]Table 11 CWTs exp'!$AA37,IF('[6]Table 11 CWTs exp'!Q37/'[6]Table 11 CWTs exp'!$AA37&gt;0,"-"," "))</f>
        <v xml:space="preserve"> </v>
      </c>
      <c r="R37" s="146">
        <f>IF('[6]Table 11 CWTs exp'!R37/'[6]Table 11 CWTs exp'!$AA37&gt;0.0005,'[6]Table 11 CWTs exp'!R37/'[6]Table 11 CWTs exp'!$AA37,IF('[6]Table 11 CWTs exp'!R37/'[6]Table 11 CWTs exp'!$AA37&gt;0,"-"," "))</f>
        <v>5.6603773584905656E-3</v>
      </c>
      <c r="S37" s="144" t="str">
        <f>IF('[6]Table 11 CWTs exp'!S37/'[6]Table 11 CWTs exp'!$AA37&gt;0.0005,'[6]Table 11 CWTs exp'!S37/'[6]Table 11 CWTs exp'!$AA37,IF('[6]Table 11 CWTs exp'!S37/'[6]Table 11 CWTs exp'!$AA37&gt;0,"-"," "))</f>
        <v xml:space="preserve"> </v>
      </c>
      <c r="T37" s="144" t="str">
        <f>IF('[6]Table 11 CWTs exp'!T37/'[6]Table 11 CWTs exp'!$AA37&gt;0.0005,'[6]Table 11 CWTs exp'!T37/'[6]Table 11 CWTs exp'!$AA37,IF('[6]Table 11 CWTs exp'!T37/'[6]Table 11 CWTs exp'!$AA37&gt;0,"-"," "))</f>
        <v xml:space="preserve"> </v>
      </c>
      <c r="U37" s="144" t="str">
        <f>IF('[6]Table 11 CWTs exp'!U37/'[6]Table 11 CWTs exp'!$AA37&gt;0.0005,'[6]Table 11 CWTs exp'!U37/'[6]Table 11 CWTs exp'!$AA37,IF('[6]Table 11 CWTs exp'!U37/'[6]Table 11 CWTs exp'!$AA37&gt;0,"-"," "))</f>
        <v xml:space="preserve"> </v>
      </c>
      <c r="V37" s="145" t="str">
        <f>IF('[6]Table 11 CWTs exp'!V37/'[6]Table 11 CWTs exp'!$AA37&gt;0.0005,'[6]Table 11 CWTs exp'!V37/'[6]Table 11 CWTs exp'!$AA37,IF('[6]Table 11 CWTs exp'!V37/'[6]Table 11 CWTs exp'!$AA37&gt;0,"-"," "))</f>
        <v xml:space="preserve"> </v>
      </c>
      <c r="W37" s="146" t="str">
        <f>IF('[6]Table 11 CWTs exp'!W37/'[6]Table 11 CWTs exp'!$AA37&gt;0.0005,'[6]Table 11 CWTs exp'!W37/'[6]Table 11 CWTs exp'!$AA37,IF('[6]Table 11 CWTs exp'!W37/'[6]Table 11 CWTs exp'!$AA37&gt;0,"-"," "))</f>
        <v xml:space="preserve"> </v>
      </c>
      <c r="X37" s="206" t="str">
        <f>IF('[6]Table 11 CWTs exp'!X37/'[6]Table 11 CWTs exp'!$AA37&gt;0.0005,'[6]Table 11 CWTs exp'!X37/'[6]Table 11 CWTs exp'!$AA37,IF('[6]Table 11 CWTs exp'!X37/'[6]Table 11 CWTs exp'!$AA37&gt;0,"-"," "))</f>
        <v xml:space="preserve"> </v>
      </c>
      <c r="Y37" s="147">
        <f t="shared" si="2"/>
        <v>0.17094339622641511</v>
      </c>
      <c r="Z37" s="148">
        <f t="shared" si="3"/>
        <v>0.82905660377358492</v>
      </c>
      <c r="AA37" s="38">
        <f>'[6]Table 11 CWTs exp'!AA37</f>
        <v>7950</v>
      </c>
      <c r="AD37" s="327"/>
    </row>
    <row r="38" spans="1:34" ht="14.15" customHeight="1" x14ac:dyDescent="0.25">
      <c r="E38" s="723" t="s">
        <v>249</v>
      </c>
      <c r="F38" s="723"/>
      <c r="G38" s="195" t="str">
        <f>IF('[6]Table 11 CWTs exp'!G38/'[6]Table 11 CWTs exp'!$AA38&gt;0.0005,'[6]Table 11 CWTs exp'!G38/'[6]Table 11 CWTs exp'!$AA38,IF('[6]Table 11 CWTs exp'!G38/'[6]Table 11 CWTs exp'!$AA38&gt;0,"-"," "))</f>
        <v xml:space="preserve"> </v>
      </c>
      <c r="H38" s="196" t="str">
        <f>IF('[6]Table 11 CWTs exp'!H38/'[6]Table 11 CWTs exp'!$AA38&gt;0.0005,'[6]Table 11 CWTs exp'!H38/'[6]Table 11 CWTs exp'!$AA38,IF('[6]Table 11 CWTs exp'!H38/'[6]Table 11 CWTs exp'!$AA38&gt;0,"-"," "))</f>
        <v>-</v>
      </c>
      <c r="I38" s="195">
        <f>IF('[6]Table 11 CWTs exp'!I38/'[6]Table 11 CWTs exp'!$AA38&gt;0.0005,'[6]Table 11 CWTs exp'!I38/'[6]Table 11 CWTs exp'!$AA38,IF('[6]Table 11 CWTs exp'!I38/'[6]Table 11 CWTs exp'!$AA38&gt;0,"-"," "))</f>
        <v>0.10592683779016454</v>
      </c>
      <c r="J38" s="197">
        <f>IF('[6]Table 11 CWTs exp'!J38/'[6]Table 11 CWTs exp'!$AA38&gt;0.0005,'[6]Table 11 CWTs exp'!J38/'[6]Table 11 CWTs exp'!$AA38,IF('[6]Table 11 CWTs exp'!J38/'[6]Table 11 CWTs exp'!$AA38&gt;0,"-"," "))</f>
        <v>2.7894581589610737E-2</v>
      </c>
      <c r="K38" s="195">
        <f>IF('[6]Table 11 CWTs exp'!K38/'[6]Table 11 CWTs exp'!$AA38&gt;0.0005,'[6]Table 11 CWTs exp'!K38/'[6]Table 11 CWTs exp'!$AA38,IF('[6]Table 11 CWTs exp'!K38/'[6]Table 11 CWTs exp'!$AA38&gt;0,"-"," "))</f>
        <v>6.1235813209729151E-2</v>
      </c>
      <c r="L38" s="195">
        <f>IF('[6]Table 11 CWTs exp'!L38/'[6]Table 11 CWTs exp'!$AA38&gt;0.0005,'[6]Table 11 CWTs exp'!L38/'[6]Table 11 CWTs exp'!$AA38,IF('[6]Table 11 CWTs exp'!L38/'[6]Table 11 CWTs exp'!$AA38&gt;0,"-"," "))</f>
        <v>2.7420700579159105E-2</v>
      </c>
      <c r="M38" s="195" t="str">
        <f>IF('[6]Table 11 CWTs exp'!M38/'[6]Table 11 CWTs exp'!$AA38&gt;0.0005,'[6]Table 11 CWTs exp'!M38/'[6]Table 11 CWTs exp'!$AA38,IF('[6]Table 11 CWTs exp'!M38/'[6]Table 11 CWTs exp'!$AA38&gt;0,"-"," "))</f>
        <v>-</v>
      </c>
      <c r="N38" s="195">
        <f>IF('[6]Table 11 CWTs exp'!N38/'[6]Table 11 CWTs exp'!$AA38&gt;0.0005,'[6]Table 11 CWTs exp'!N38/'[6]Table 11 CWTs exp'!$AA38,IF('[6]Table 11 CWTs exp'!N38/'[6]Table 11 CWTs exp'!$AA38&gt;0,"-"," "))</f>
        <v>0.34097604563137884</v>
      </c>
      <c r="O38" s="195">
        <f>IF('[6]Table 11 CWTs exp'!O38/'[6]Table 11 CWTs exp'!$AA38&gt;0.0005,'[6]Table 11 CWTs exp'!O38/'[6]Table 11 CWTs exp'!$AA38,IF('[6]Table 11 CWTs exp'!O38/'[6]Table 11 CWTs exp'!$AA38&gt;0,"-"," "))</f>
        <v>1.8571120055015753E-3</v>
      </c>
      <c r="P38" s="195">
        <f>IF('[6]Table 11 CWTs exp'!P38/'[6]Table 11 CWTs exp'!$AA38&gt;0.0005,'[6]Table 11 CWTs exp'!P38/'[6]Table 11 CWTs exp'!$AA38,IF('[6]Table 11 CWTs exp'!P38/'[6]Table 11 CWTs exp'!$AA38&gt;0,"-"," "))</f>
        <v>1.926888526113811E-3</v>
      </c>
      <c r="Q38" s="196">
        <f>IF('[6]Table 11 CWTs exp'!Q38/'[6]Table 11 CWTs exp'!$AA38&gt;0.0005,'[6]Table 11 CWTs exp'!Q38/'[6]Table 11 CWTs exp'!$AA38,IF('[6]Table 11 CWTs exp'!Q38/'[6]Table 11 CWTs exp'!$AA38&gt;0,"-"," "))</f>
        <v>5.7498386890642093E-2</v>
      </c>
      <c r="R38" s="197">
        <f>IF('[6]Table 11 CWTs exp'!R38/'[6]Table 11 CWTs exp'!$AA38&gt;0.0005,'[6]Table 11 CWTs exp'!R38/'[6]Table 11 CWTs exp'!$AA38,IF('[6]Table 11 CWTs exp'!R38/'[6]Table 11 CWTs exp'!$AA38&gt;0,"-"," "))</f>
        <v>2.9350197569580197E-2</v>
      </c>
      <c r="S38" s="195" t="str">
        <f>IF('[6]Table 11 CWTs exp'!S38/'[6]Table 11 CWTs exp'!$AA38&gt;0.0005,'[6]Table 11 CWTs exp'!S38/'[6]Table 11 CWTs exp'!$AA38,IF('[6]Table 11 CWTs exp'!S38/'[6]Table 11 CWTs exp'!$AA38&gt;0,"-"," "))</f>
        <v>-</v>
      </c>
      <c r="T38" s="195">
        <f>IF('[6]Table 11 CWTs exp'!T38/'[6]Table 11 CWTs exp'!$AA38&gt;0.0005,'[6]Table 11 CWTs exp'!T38/'[6]Table 11 CWTs exp'!$AA38,IF('[6]Table 11 CWTs exp'!T38/'[6]Table 11 CWTs exp'!$AA38&gt;0,"-"," "))</f>
        <v>3.4611804049677397E-2</v>
      </c>
      <c r="U38" s="195">
        <f>IF('[6]Table 11 CWTs exp'!U38/'[6]Table 11 CWTs exp'!$AA38&gt;0.0005,'[6]Table 11 CWTs exp'!U38/'[6]Table 11 CWTs exp'!$AA38,IF('[6]Table 11 CWTs exp'!U38/'[6]Table 11 CWTs exp'!$AA38&gt;0,"-"," "))</f>
        <v>3.8989165893084502E-3</v>
      </c>
      <c r="V38" s="196" t="str">
        <f>IF('[6]Table 11 CWTs exp'!V38/'[6]Table 11 CWTs exp'!$AA38&gt;0.0005,'[6]Table 11 CWTs exp'!V38/'[6]Table 11 CWTs exp'!$AA38,IF('[6]Table 11 CWTs exp'!V38/'[6]Table 11 CWTs exp'!$AA38&gt;0,"-"," "))</f>
        <v>-</v>
      </c>
      <c r="W38" s="197" t="str">
        <f>IF('[6]Table 11 CWTs exp'!W38/'[6]Table 11 CWTs exp'!$AA38&gt;0.0005,'[6]Table 11 CWTs exp'!W38/'[6]Table 11 CWTs exp'!$AA38,IF('[6]Table 11 CWTs exp'!W38/'[6]Table 11 CWTs exp'!$AA38&gt;0,"-"," "))</f>
        <v>-</v>
      </c>
      <c r="X38" s="208" t="str">
        <f>IF('[6]Table 11 CWTs exp'!X38/'[6]Table 11 CWTs exp'!$AA38&gt;0.0005,'[6]Table 11 CWTs exp'!X38/'[6]Table 11 CWTs exp'!$AA38,IF('[6]Table 11 CWTs exp'!X38/'[6]Table 11 CWTs exp'!$AA38&gt;0,"-"," "))</f>
        <v xml:space="preserve"> </v>
      </c>
      <c r="Y38" s="198">
        <f>IF('[6]Table 11 CWTs exp'!Y38&gt;0,'[6]Table 11 CWTs exp'!Y38/'[6]Table 11 CWTs exp'!$AA38," ")</f>
        <v>0.69377294714972371</v>
      </c>
      <c r="Z38" s="199">
        <f>IF('[6]Table 11 CWTs exp'!Z38&gt;0,'[6]Table 11 CWTs exp'!Z38/'[6]Table 11 CWTs exp'!$AA38," ")</f>
        <v>0.30622705285027629</v>
      </c>
      <c r="AA38" s="59">
        <f>'[6]Table 11 CWTs exp'!AA38</f>
        <v>320809</v>
      </c>
      <c r="AB38" s="159"/>
      <c r="AC38" s="159"/>
      <c r="AD38" s="328"/>
      <c r="AE38" s="159"/>
      <c r="AF38" s="37"/>
      <c r="AG38" s="37"/>
      <c r="AH38" s="37"/>
    </row>
    <row r="39" spans="1:34" ht="5.5" customHeight="1" x14ac:dyDescent="0.3">
      <c r="E39" s="83"/>
      <c r="F39"/>
      <c r="G39" s="161"/>
      <c r="H39" s="162"/>
      <c r="I39" s="161"/>
      <c r="J39" s="163"/>
      <c r="K39" s="161"/>
      <c r="L39" s="161"/>
      <c r="M39" s="161"/>
      <c r="N39" s="161"/>
      <c r="O39" s="161"/>
      <c r="P39" s="161"/>
      <c r="Q39" s="162"/>
      <c r="R39" s="163"/>
      <c r="S39" s="161"/>
      <c r="T39" s="161"/>
      <c r="U39" s="161"/>
      <c r="V39" s="162"/>
      <c r="W39" s="163"/>
      <c r="X39" s="209"/>
      <c r="Y39" s="164"/>
      <c r="Z39" s="165"/>
      <c r="AA39" s="64"/>
      <c r="AB39" s="159"/>
      <c r="AC39" s="159"/>
      <c r="AD39" s="328"/>
      <c r="AE39" s="159"/>
      <c r="AF39" s="37"/>
      <c r="AG39" s="37"/>
      <c r="AH39" s="37"/>
    </row>
    <row r="40" spans="1:34" ht="14.5" customHeight="1" x14ac:dyDescent="0.25">
      <c r="E40" s="27" t="s">
        <v>103</v>
      </c>
      <c r="F40" s="3" t="s">
        <v>104</v>
      </c>
      <c r="G40" s="144">
        <f>IF('[6]Table 11 CWTs exp'!G40/'[6]Table 11 CWTs exp'!$AA40&gt;0.0005,'[6]Table 11 CWTs exp'!G40/'[6]Table 11 CWTs exp'!$AA40,IF('[6]Table 11 CWTs exp'!G40/'[6]Table 11 CWTs exp'!$AA40&gt;0,"-"," "))</f>
        <v>8.361156194486649E-4</v>
      </c>
      <c r="H40" s="145">
        <f>IF('[6]Table 11 CWTs exp'!H40/'[6]Table 11 CWTs exp'!$AA40&gt;0.0005,'[6]Table 11 CWTs exp'!H40/'[6]Table 11 CWTs exp'!$AA40,IF('[6]Table 11 CWTs exp'!H40/'[6]Table 11 CWTs exp'!$AA40&gt;0,"-"," "))</f>
        <v>1.4683283834732002E-2</v>
      </c>
      <c r="I40" s="144">
        <f>IF('[6]Table 11 CWTs exp'!I40/'[6]Table 11 CWTs exp'!$AA40&gt;0.0005,'[6]Table 11 CWTs exp'!I40/'[6]Table 11 CWTs exp'!$AA40,IF('[6]Table 11 CWTs exp'!I40/'[6]Table 11 CWTs exp'!$AA40&gt;0,"-"," "))</f>
        <v>0.20757830783597245</v>
      </c>
      <c r="J40" s="146">
        <f>IF('[6]Table 11 CWTs exp'!J40/'[6]Table 11 CWTs exp'!$AA40&gt;0.0005,'[6]Table 11 CWTs exp'!J40/'[6]Table 11 CWTs exp'!$AA40,IF('[6]Table 11 CWTs exp'!J40/'[6]Table 11 CWTs exp'!$AA40&gt;0,"-"," "))</f>
        <v>5.2737544456312692E-3</v>
      </c>
      <c r="K40" s="144">
        <f>IF('[6]Table 11 CWTs exp'!K40/'[6]Table 11 CWTs exp'!$AA40&gt;0.0005,'[6]Table 11 CWTs exp'!K40/'[6]Table 11 CWTs exp'!$AA40,IF('[6]Table 11 CWTs exp'!K40/'[6]Table 11 CWTs exp'!$AA40&gt;0,"-"," "))</f>
        <v>5.9350539515687105E-2</v>
      </c>
      <c r="L40" s="144">
        <f>IF('[6]Table 11 CWTs exp'!L40/'[6]Table 11 CWTs exp'!$AA40&gt;0.0005,'[6]Table 11 CWTs exp'!L40/'[6]Table 11 CWTs exp'!$AA40,IF('[6]Table 11 CWTs exp'!L40/'[6]Table 11 CWTs exp'!$AA40&gt;0,"-"," "))</f>
        <v>2.1012246207561407E-2</v>
      </c>
      <c r="M40" s="144" t="str">
        <f>IF('[6]Table 11 CWTs exp'!M40/'[6]Table 11 CWTs exp'!$AA40&gt;0.0005,'[6]Table 11 CWTs exp'!M40/'[6]Table 11 CWTs exp'!$AA40,IF('[6]Table 11 CWTs exp'!M40/'[6]Table 11 CWTs exp'!$AA40&gt;0,"-"," "))</f>
        <v>-</v>
      </c>
      <c r="N40" s="144">
        <f>IF('[6]Table 11 CWTs exp'!N40/'[6]Table 11 CWTs exp'!$AA40&gt;0.0005,'[6]Table 11 CWTs exp'!N40/'[6]Table 11 CWTs exp'!$AA40,IF('[6]Table 11 CWTs exp'!N40/'[6]Table 11 CWTs exp'!$AA40&gt;0,"-"," "))</f>
        <v>0.27623938684950972</v>
      </c>
      <c r="O40" s="144">
        <f>IF('[6]Table 11 CWTs exp'!O40/'[6]Table 11 CWTs exp'!$AA40&gt;0.0005,'[6]Table 11 CWTs exp'!O40/'[6]Table 11 CWTs exp'!$AA40,IF('[6]Table 11 CWTs exp'!O40/'[6]Table 11 CWTs exp'!$AA40&gt;0,"-"," "))</f>
        <v>1.4352938426502966E-3</v>
      </c>
      <c r="P40" s="144">
        <f>IF('[6]Table 11 CWTs exp'!P40/'[6]Table 11 CWTs exp'!$AA40&gt;0.0005,'[6]Table 11 CWTs exp'!P40/'[6]Table 11 CWTs exp'!$AA40,IF('[6]Table 11 CWTs exp'!P40/'[6]Table 11 CWTs exp'!$AA40&gt;0,"-"," "))</f>
        <v>1.4011201797300514E-3</v>
      </c>
      <c r="Q40" s="145">
        <f>IF('[6]Table 11 CWTs exp'!Q40/'[6]Table 11 CWTs exp'!$AA40&gt;0.0005,'[6]Table 11 CWTs exp'!Q40/'[6]Table 11 CWTs exp'!$AA40,IF('[6]Table 11 CWTs exp'!Q40/'[6]Table 11 CWTs exp'!$AA40&gt;0,"-"," "))</f>
        <v>5.1340232927181643E-2</v>
      </c>
      <c r="R40" s="146">
        <f>IF('[6]Table 11 CWTs exp'!R40/'[6]Table 11 CWTs exp'!$AA40&gt;0.0005,'[6]Table 11 CWTs exp'!R40/'[6]Table 11 CWTs exp'!$AA40,IF('[6]Table 11 CWTs exp'!R40/'[6]Table 11 CWTs exp'!$AA40&gt;0,"-"," "))</f>
        <v>2.6787595241082839E-2</v>
      </c>
      <c r="S40" s="144">
        <f>IF('[6]Table 11 CWTs exp'!S40/'[6]Table 11 CWTs exp'!$AA40&gt;0.0005,'[6]Table 11 CWTs exp'!S40/'[6]Table 11 CWTs exp'!$AA40,IF('[6]Table 11 CWTs exp'!S40/'[6]Table 11 CWTs exp'!$AA40&gt;0,"-"," "))</f>
        <v>6.9942096776768421E-4</v>
      </c>
      <c r="T40" s="144">
        <f>IF('[6]Table 11 CWTs exp'!T40/'[6]Table 11 CWTs exp'!$AA40&gt;0.0005,'[6]Table 11 CWTs exp'!T40/'[6]Table 11 CWTs exp'!$AA40,IF('[6]Table 11 CWTs exp'!T40/'[6]Table 11 CWTs exp'!$AA40&gt;0,"-"," "))</f>
        <v>1.635323682943465E-2</v>
      </c>
      <c r="U40" s="144">
        <f>IF('[6]Table 11 CWTs exp'!U40/'[6]Table 11 CWTs exp'!$AA40&gt;0.0005,'[6]Table 11 CWTs exp'!U40/'[6]Table 11 CWTs exp'!$AA40,IF('[6]Table 11 CWTs exp'!U40/'[6]Table 11 CWTs exp'!$AA40&gt;0,"-"," "))</f>
        <v>2.2736877062936446E-3</v>
      </c>
      <c r="V40" s="145" t="str">
        <f>IF('[6]Table 11 CWTs exp'!V40/'[6]Table 11 CWTs exp'!$AA40&gt;0.0005,'[6]Table 11 CWTs exp'!V40/'[6]Table 11 CWTs exp'!$AA40,IF('[6]Table 11 CWTs exp'!V40/'[6]Table 11 CWTs exp'!$AA40&gt;0,"-"," "))</f>
        <v>-</v>
      </c>
      <c r="W40" s="146" t="str">
        <f>IF('[6]Table 11 CWTs exp'!W40/'[6]Table 11 CWTs exp'!$AA40&gt;0.0005,'[6]Table 11 CWTs exp'!W40/'[6]Table 11 CWTs exp'!$AA40,IF('[6]Table 11 CWTs exp'!W40/'[6]Table 11 CWTs exp'!$AA40&gt;0,"-"," "))</f>
        <v>-</v>
      </c>
      <c r="X40" s="206" t="str">
        <f>IF('[6]Table 11 CWTs exp'!X40/'[6]Table 11 CWTs exp'!$AA40&gt;0.0005,'[6]Table 11 CWTs exp'!X40/'[6]Table 11 CWTs exp'!$AA40,IF('[6]Table 11 CWTs exp'!X40/'[6]Table 11 CWTs exp'!$AA40&gt;0,"-"," "))</f>
        <v xml:space="preserve"> </v>
      </c>
      <c r="Y40" s="147">
        <f t="shared" ref="Y40:Y42" si="4">SUM(G40:X40)</f>
        <v>0.68526422200268333</v>
      </c>
      <c r="Z40" s="148">
        <f t="shared" ref="Z40:Z42" si="5">1-Y40</f>
        <v>0.31473577799731667</v>
      </c>
      <c r="AA40" s="38">
        <f>'[6]Table 11 CWTs exp'!AA40</f>
        <v>438934.51032765064</v>
      </c>
      <c r="AB40" s="159"/>
      <c r="AC40" s="159"/>
      <c r="AD40" s="328"/>
      <c r="AE40" s="159"/>
      <c r="AF40" s="37"/>
      <c r="AG40" s="37"/>
      <c r="AH40" s="37"/>
    </row>
    <row r="41" spans="1:34" ht="14.5" customHeight="1" x14ac:dyDescent="0.25">
      <c r="E41" s="27" t="s">
        <v>105</v>
      </c>
      <c r="F41" s="3" t="s">
        <v>104</v>
      </c>
      <c r="G41" s="144" t="str">
        <f>IF('[6]Table 11 CWTs exp'!G41/'[6]Table 11 CWTs exp'!$AA41&gt;0.0005,'[6]Table 11 CWTs exp'!G41/'[6]Table 11 CWTs exp'!$AA41,IF('[6]Table 11 CWTs exp'!G41/'[6]Table 11 CWTs exp'!$AA41&gt;0,"-"," "))</f>
        <v xml:space="preserve"> </v>
      </c>
      <c r="H41" s="145" t="str">
        <f>IF('[6]Table 11 CWTs exp'!H41/'[6]Table 11 CWTs exp'!$AA41&gt;0.0005,'[6]Table 11 CWTs exp'!H41/'[6]Table 11 CWTs exp'!$AA41,IF('[6]Table 11 CWTs exp'!H41/'[6]Table 11 CWTs exp'!$AA41&gt;0,"-"," "))</f>
        <v>-</v>
      </c>
      <c r="I41" s="144">
        <f>IF('[6]Table 11 CWTs exp'!I41/'[6]Table 11 CWTs exp'!$AA41&gt;0.0005,'[6]Table 11 CWTs exp'!I41/'[6]Table 11 CWTs exp'!$AA41,IF('[6]Table 11 CWTs exp'!I41/'[6]Table 11 CWTs exp'!$AA41&gt;0,"-"," "))</f>
        <v>9.9002885321264333E-2</v>
      </c>
      <c r="J41" s="146">
        <f>IF('[6]Table 11 CWTs exp'!J41/'[6]Table 11 CWTs exp'!$AA41&gt;0.0005,'[6]Table 11 CWTs exp'!J41/'[6]Table 11 CWTs exp'!$AA41,IF('[6]Table 11 CWTs exp'!J41/'[6]Table 11 CWTs exp'!$AA41&gt;0,"-"," "))</f>
        <v>0.21726364961268413</v>
      </c>
      <c r="K41" s="144" t="str">
        <f>IF('[6]Table 11 CWTs exp'!K41/'[6]Table 11 CWTs exp'!$AA41&gt;0.0005,'[6]Table 11 CWTs exp'!K41/'[6]Table 11 CWTs exp'!$AA41,IF('[6]Table 11 CWTs exp'!K41/'[6]Table 11 CWTs exp'!$AA41&gt;0,"-"," "))</f>
        <v xml:space="preserve"> </v>
      </c>
      <c r="L41" s="144">
        <f>IF('[6]Table 11 CWTs exp'!L41/'[6]Table 11 CWTs exp'!$AA41&gt;0.0005,'[6]Table 11 CWTs exp'!L41/'[6]Table 11 CWTs exp'!$AA41,IF('[6]Table 11 CWTs exp'!L41/'[6]Table 11 CWTs exp'!$AA41&gt;0,"-"," "))</f>
        <v>2.9658912718003687E-2</v>
      </c>
      <c r="M41" s="144">
        <f>IF('[6]Table 11 CWTs exp'!M41/'[6]Table 11 CWTs exp'!$AA41&gt;0.0005,'[6]Table 11 CWTs exp'!M41/'[6]Table 11 CWTs exp'!$AA41,IF('[6]Table 11 CWTs exp'!M41/'[6]Table 11 CWTs exp'!$AA41&gt;0,"-"," "))</f>
        <v>1.0487122233541397E-3</v>
      </c>
      <c r="N41" s="144">
        <f>IF('[6]Table 11 CWTs exp'!N41/'[6]Table 11 CWTs exp'!$AA41&gt;0.0005,'[6]Table 11 CWTs exp'!N41/'[6]Table 11 CWTs exp'!$AA41,IF('[6]Table 11 CWTs exp'!N41/'[6]Table 11 CWTs exp'!$AA41&gt;0,"-"," "))</f>
        <v>0.31332079662854773</v>
      </c>
      <c r="O41" s="144">
        <f>IF('[6]Table 11 CWTs exp'!O41/'[6]Table 11 CWTs exp'!$AA41&gt;0.0005,'[6]Table 11 CWTs exp'!O41/'[6]Table 11 CWTs exp'!$AA41,IF('[6]Table 11 CWTs exp'!O41/'[6]Table 11 CWTs exp'!$AA41&gt;0,"-"," "))</f>
        <v>3.2081952265256624E-3</v>
      </c>
      <c r="P41" s="144">
        <f>IF('[6]Table 11 CWTs exp'!P41/'[6]Table 11 CWTs exp'!$AA41&gt;0.0005,'[6]Table 11 CWTs exp'!P41/'[6]Table 11 CWTs exp'!$AA41,IF('[6]Table 11 CWTs exp'!P41/'[6]Table 11 CWTs exp'!$AA41&gt;0,"-"," "))</f>
        <v>2.4543437312235781E-3</v>
      </c>
      <c r="Q41" s="145">
        <f>IF('[6]Table 11 CWTs exp'!Q41/'[6]Table 11 CWTs exp'!$AA41&gt;0.0005,'[6]Table 11 CWTs exp'!Q41/'[6]Table 11 CWTs exp'!$AA41,IF('[6]Table 11 CWTs exp'!Q41/'[6]Table 11 CWTs exp'!$AA41&gt;0,"-"," "))</f>
        <v>5.0054678581799425E-3</v>
      </c>
      <c r="R41" s="146">
        <f>IF('[6]Table 11 CWTs exp'!R41/'[6]Table 11 CWTs exp'!$AA41&gt;0.0005,'[6]Table 11 CWTs exp'!R41/'[6]Table 11 CWTs exp'!$AA41,IF('[6]Table 11 CWTs exp'!R41/'[6]Table 11 CWTs exp'!$AA41&gt;0,"-"," "))</f>
        <v>1.590704839184616E-2</v>
      </c>
      <c r="S41" s="144">
        <f>IF('[6]Table 11 CWTs exp'!S41/'[6]Table 11 CWTs exp'!$AA41&gt;0.0005,'[6]Table 11 CWTs exp'!S41/'[6]Table 11 CWTs exp'!$AA41,IF('[6]Table 11 CWTs exp'!S41/'[6]Table 11 CWTs exp'!$AA41&gt;0,"-"," "))</f>
        <v>9.2205986861209461E-4</v>
      </c>
      <c r="T41" s="144">
        <f>IF('[6]Table 11 CWTs exp'!T41/'[6]Table 11 CWTs exp'!$AA41&gt;0.0005,'[6]Table 11 CWTs exp'!T41/'[6]Table 11 CWTs exp'!$AA41,IF('[6]Table 11 CWTs exp'!T41/'[6]Table 11 CWTs exp'!$AA41&gt;0,"-"," "))</f>
        <v>0.27134320501892278</v>
      </c>
      <c r="U41" s="144">
        <f>IF('[6]Table 11 CWTs exp'!U41/'[6]Table 11 CWTs exp'!$AA41&gt;0.0005,'[6]Table 11 CWTs exp'!U41/'[6]Table 11 CWTs exp'!$AA41,IF('[6]Table 11 CWTs exp'!U41/'[6]Table 11 CWTs exp'!$AA41&gt;0,"-"," "))</f>
        <v>3.7614972155742353E-2</v>
      </c>
      <c r="V41" s="145" t="str">
        <f>IF('[6]Table 11 CWTs exp'!V41/'[6]Table 11 CWTs exp'!$AA41&gt;0.0005,'[6]Table 11 CWTs exp'!V41/'[6]Table 11 CWTs exp'!$AA41,IF('[6]Table 11 CWTs exp'!V41/'[6]Table 11 CWTs exp'!$AA41&gt;0,"-"," "))</f>
        <v>-</v>
      </c>
      <c r="W41" s="146">
        <f>IF('[6]Table 11 CWTs exp'!W41/'[6]Table 11 CWTs exp'!$AA41&gt;0.0005,'[6]Table 11 CWTs exp'!W41/'[6]Table 11 CWTs exp'!$AA41,IF('[6]Table 11 CWTs exp'!W41/'[6]Table 11 CWTs exp'!$AA41&gt;0,"-"," "))</f>
        <v>2.6608013351377587E-3</v>
      </c>
      <c r="X41" s="206" t="str">
        <f>IF('[6]Table 11 CWTs exp'!X41/'[6]Table 11 CWTs exp'!$AA41&gt;0.0005,'[6]Table 11 CWTs exp'!X41/'[6]Table 11 CWTs exp'!$AA41,IF('[6]Table 11 CWTs exp'!X41/'[6]Table 11 CWTs exp'!$AA41&gt;0,"-"," "))</f>
        <v>-</v>
      </c>
      <c r="Y41" s="147">
        <f t="shared" si="4"/>
        <v>0.99941105009004449</v>
      </c>
      <c r="Z41" s="148"/>
      <c r="AA41" s="38">
        <f>'[6]Table 11 CWTs exp'!AA41</f>
        <v>37958.489672349358</v>
      </c>
      <c r="AB41" s="159"/>
      <c r="AC41" s="159"/>
      <c r="AD41" s="328"/>
      <c r="AE41" s="159"/>
      <c r="AF41" s="37"/>
      <c r="AG41" s="37"/>
      <c r="AH41" s="37"/>
    </row>
    <row r="42" spans="1:34" ht="14.5" customHeight="1" x14ac:dyDescent="0.3">
      <c r="E42" s="27"/>
      <c r="F42" s="88" t="s">
        <v>109</v>
      </c>
      <c r="G42" s="315">
        <f>IF('[6]Table 11 CWTs exp'!G42/'[6]Table 11 CWTs exp'!$AA42&gt;0.0005,'[6]Table 11 CWTs exp'!G42/'[6]Table 11 CWTs exp'!$AA42,IF('[6]Table 11 CWTs exp'!G42/'[6]Table 11 CWTs exp'!$AA42&gt;0,"-"," "))</f>
        <v>7.6956466125525013E-4</v>
      </c>
      <c r="H42" s="316">
        <f>IF('[6]Table 11 CWTs exp'!H42/'[6]Table 11 CWTs exp'!$AA42&gt;0.0005,'[6]Table 11 CWTs exp'!H42/'[6]Table 11 CWTs exp'!$AA42,IF('[6]Table 11 CWTs exp'!H42/'[6]Table 11 CWTs exp'!$AA42&gt;0,"-"," "))</f>
        <v>1.3522949592466235E-2</v>
      </c>
      <c r="I42" s="315">
        <f>IF('[6]Table 11 CWTs exp'!I42/'[6]Table 11 CWTs exp'!$AA42&gt;0.0005,'[6]Table 11 CWTs exp'!I42/'[6]Table 11 CWTs exp'!$AA42,IF('[6]Table 11 CWTs exp'!I42/'[6]Table 11 CWTs exp'!$AA42&gt;0,"-"," "))</f>
        <v>0.1989362035186612</v>
      </c>
      <c r="J42" s="317">
        <f>IF('[6]Table 11 CWTs exp'!J42/'[6]Table 11 CWTs exp'!$AA42&gt;0.0005,'[6]Table 11 CWTs exp'!J42/'[6]Table 11 CWTs exp'!$AA42,IF('[6]Table 11 CWTs exp'!J42/'[6]Table 11 CWTs exp'!$AA42&gt;0,"-"," "))</f>
        <v>2.2147175205300625E-2</v>
      </c>
      <c r="K42" s="315">
        <f>IF('[6]Table 11 CWTs exp'!K42/'[6]Table 11 CWTs exp'!$AA42&gt;0.0005,'[6]Table 11 CWTs exp'!K42/'[6]Table 11 CWTs exp'!$AA42,IF('[6]Table 11 CWTs exp'!K42/'[6]Table 11 CWTs exp'!$AA42&gt;0,"-"," "))</f>
        <v>5.4626509510519131E-2</v>
      </c>
      <c r="L42" s="315">
        <f>IF('[6]Table 11 CWTs exp'!L42/'[6]Table 11 CWTs exp'!$AA42&gt;0.0005,'[6]Table 11 CWTs exp'!L42/'[6]Table 11 CWTs exp'!$AA42,IF('[6]Table 11 CWTs exp'!L42/'[6]Table 11 CWTs exp'!$AA42&gt;0,"-"," "))</f>
        <v>2.1700481097645496E-2</v>
      </c>
      <c r="M42" s="315" t="str">
        <f>IF('[6]Table 11 CWTs exp'!M42/'[6]Table 11 CWTs exp'!$AA42&gt;0.0005,'[6]Table 11 CWTs exp'!M42/'[6]Table 11 CWTs exp'!$AA42,IF('[6]Table 11 CWTs exp'!M42/'[6]Table 11 CWTs exp'!$AA42&gt;0,"-"," "))</f>
        <v>-</v>
      </c>
      <c r="N42" s="315">
        <f>IF('[6]Table 11 CWTs exp'!N42/'[6]Table 11 CWTs exp'!$AA42&gt;0.0005,'[6]Table 11 CWTs exp'!N42/'[6]Table 11 CWTs exp'!$AA42,IF('[6]Table 11 CWTs exp'!N42/'[6]Table 11 CWTs exp'!$AA42&gt;0,"-"," "))</f>
        <v>0.2791908965385464</v>
      </c>
      <c r="O42" s="315">
        <f>IF('[6]Table 11 CWTs exp'!O42/'[6]Table 11 CWTs exp'!$AA42&gt;0.0005,'[6]Table 11 CWTs exp'!O42/'[6]Table 11 CWTs exp'!$AA42,IF('[6]Table 11 CWTs exp'!O42/'[6]Table 11 CWTs exp'!$AA42&gt;0,"-"," "))</f>
        <v>1.5764086396171781E-3</v>
      </c>
      <c r="P42" s="315">
        <f>IF('[6]Table 11 CWTs exp'!P42/'[6]Table 11 CWTs exp'!$AA42&gt;0.0005,'[6]Table 11 CWTs exp'!P42/'[6]Table 11 CWTs exp'!$AA42,IF('[6]Table 11 CWTs exp'!P42/'[6]Table 11 CWTs exp'!$AA42&gt;0,"-"," "))</f>
        <v>1.4849519308818657E-3</v>
      </c>
      <c r="Q42" s="316">
        <f>IF('[6]Table 11 CWTs exp'!Q42/'[6]Table 11 CWTs exp'!$AA42&gt;0.0005,'[6]Table 11 CWTs exp'!Q42/'[6]Table 11 CWTs exp'!$AA42,IF('[6]Table 11 CWTs exp'!Q42/'[6]Table 11 CWTs exp'!$AA42&gt;0,"-"," "))</f>
        <v>4.7652198711241309E-2</v>
      </c>
      <c r="R42" s="317">
        <f>IF('[6]Table 11 CWTs exp'!R42/'[6]Table 11 CWTs exp'!$AA42&gt;0.0005,'[6]Table 11 CWTs exp'!R42/'[6]Table 11 CWTs exp'!$AA42,IF('[6]Table 11 CWTs exp'!R42/'[6]Table 11 CWTs exp'!$AA42&gt;0,"-"," "))</f>
        <v>2.5921553749162714E-2</v>
      </c>
      <c r="S42" s="315">
        <f>IF('[6]Table 11 CWTs exp'!S42/'[6]Table 11 CWTs exp'!$AA42&gt;0.0005,'[6]Table 11 CWTs exp'!S42/'[6]Table 11 CWTs exp'!$AA42,IF('[6]Table 11 CWTs exp'!S42/'[6]Table 11 CWTs exp'!$AA42&gt;0,"-"," "))</f>
        <v>7.1714200040679985E-4</v>
      </c>
      <c r="T42" s="315">
        <f>IF('[6]Table 11 CWTs exp'!T42/'[6]Table 11 CWTs exp'!$AA42&gt;0.0005,'[6]Table 11 CWTs exp'!T42/'[6]Table 11 CWTs exp'!$AA42,IF('[6]Table 11 CWTs exp'!T42/'[6]Table 11 CWTs exp'!$AA42&gt;0,"-"," "))</f>
        <v>3.6649265653664359E-2</v>
      </c>
      <c r="U42" s="315">
        <f>IF('[6]Table 11 CWTs exp'!U42/'[6]Table 11 CWTs exp'!$AA42&gt;0.0005,'[6]Table 11 CWTs exp'!U42/'[6]Table 11 CWTs exp'!$AA42,IF('[6]Table 11 CWTs exp'!U42/'[6]Table 11 CWTs exp'!$AA42&gt;0,"-"," "))</f>
        <v>5.0866914215546358E-3</v>
      </c>
      <c r="V42" s="316" t="str">
        <f>IF('[6]Table 11 CWTs exp'!V42/'[6]Table 11 CWTs exp'!$AA42&gt;0.0005,'[6]Table 11 CWTs exp'!V42/'[6]Table 11 CWTs exp'!$AA42,IF('[6]Table 11 CWTs exp'!V42/'[6]Table 11 CWTs exp'!$AA42&gt;0,"-"," "))</f>
        <v>-</v>
      </c>
      <c r="W42" s="317" t="str">
        <f>IF('[6]Table 11 CWTs exp'!W42/'[6]Table 11 CWTs exp'!$AA42&gt;0.0005,'[6]Table 11 CWTs exp'!W42/'[6]Table 11 CWTs exp'!$AA42,IF('[6]Table 11 CWTs exp'!W42/'[6]Table 11 CWTs exp'!$AA42&gt;0,"-"," "))</f>
        <v>-</v>
      </c>
      <c r="X42" s="318" t="str">
        <f>IF('[6]Table 11 CWTs exp'!X42/'[6]Table 11 CWTs exp'!$AA42&gt;0.0005,'[6]Table 11 CWTs exp'!X42/'[6]Table 11 CWTs exp'!$AA42,IF('[6]Table 11 CWTs exp'!X42/'[6]Table 11 CWTs exp'!$AA42&gt;0,"-"," "))</f>
        <v>-</v>
      </c>
      <c r="Y42" s="319">
        <f t="shared" si="4"/>
        <v>0.70998199223092306</v>
      </c>
      <c r="Z42" s="320">
        <f t="shared" si="5"/>
        <v>0.29001800776907694</v>
      </c>
      <c r="AA42" s="321">
        <f>'[6]Table 11 CWTs exp'!AA42</f>
        <v>476893</v>
      </c>
      <c r="AB42" s="159"/>
      <c r="AC42" s="159"/>
      <c r="AD42" s="328"/>
      <c r="AE42" s="159"/>
      <c r="AF42" s="37"/>
      <c r="AG42" s="37"/>
      <c r="AH42" s="37"/>
    </row>
    <row r="43" spans="1:34" ht="4" customHeight="1" x14ac:dyDescent="0.25">
      <c r="E43" s="173"/>
      <c r="F43" s="173"/>
      <c r="G43" s="161"/>
      <c r="H43" s="162"/>
      <c r="I43" s="161"/>
      <c r="J43" s="163"/>
      <c r="K43" s="161"/>
      <c r="L43" s="161"/>
      <c r="M43" s="161"/>
      <c r="N43" s="161"/>
      <c r="O43" s="161"/>
      <c r="P43" s="161"/>
      <c r="Q43" s="162"/>
      <c r="R43" s="163"/>
      <c r="S43" s="161"/>
      <c r="T43" s="161"/>
      <c r="U43" s="161"/>
      <c r="V43" s="162"/>
      <c r="W43" s="163"/>
      <c r="X43" s="209"/>
      <c r="Y43" s="164"/>
      <c r="Z43" s="165"/>
      <c r="AA43" s="64"/>
      <c r="AB43" s="159"/>
      <c r="AC43" s="159"/>
      <c r="AD43" s="328"/>
      <c r="AE43" s="159"/>
      <c r="AF43" s="37"/>
      <c r="AG43" s="37"/>
      <c r="AH43" s="37"/>
    </row>
    <row r="44" spans="1:34" ht="15.65" customHeight="1" x14ac:dyDescent="0.3">
      <c r="E44" s="26" t="s">
        <v>113</v>
      </c>
      <c r="F44"/>
      <c r="G44" s="213"/>
      <c r="H44" s="145"/>
      <c r="I44" s="144"/>
      <c r="J44" s="146"/>
      <c r="K44" s="144"/>
      <c r="L44" s="144"/>
      <c r="M44" s="144"/>
      <c r="N44" s="144"/>
      <c r="O44" s="144"/>
      <c r="P44" s="144"/>
      <c r="Q44" s="145"/>
      <c r="R44" s="146"/>
      <c r="S44" s="144"/>
      <c r="T44" s="144"/>
      <c r="U44" s="144"/>
      <c r="V44" s="145"/>
      <c r="W44" s="146"/>
      <c r="X44" s="206"/>
      <c r="Y44" s="147"/>
      <c r="Z44" s="148"/>
      <c r="AA44" s="38">
        <f>'[6]Table 11 CWTs exp'!AA44</f>
        <v>0</v>
      </c>
    </row>
    <row r="45" spans="1:34" ht="15.65" customHeight="1" x14ac:dyDescent="0.25">
      <c r="A45" t="str">
        <f>'[6]Table 11 CWTs exp'!A45</f>
        <v>USAC463</v>
      </c>
      <c r="B45" s="4" t="str">
        <f>'[6]Table 11 CWTs exp'!B45</f>
        <v>USAC</v>
      </c>
      <c r="C45" s="4">
        <f>'[6]Table 11 CWTs exp'!C45</f>
        <v>46</v>
      </c>
      <c r="D45" s="4">
        <f>'[6]Table 11 CWTs exp'!D45</f>
        <v>3</v>
      </c>
      <c r="E45" t="str">
        <f>'[6]Table 11 CWTs exp'!E45</f>
        <v xml:space="preserve">Upper Sacramento River </v>
      </c>
      <c r="F45" s="37" t="str">
        <f>'[6]Table 11 CWTs exp'!F45</f>
        <v>Fall</v>
      </c>
      <c r="G45" s="144" t="str">
        <f>IF('[6]Table 11 CWTs exp'!G45/'[6]Table 11 CWTs exp'!$AA45&gt;0.0005,'[6]Table 11 CWTs exp'!G45/'[6]Table 11 CWTs exp'!$AA45,IF('[6]Table 11 CWTs exp'!G45/'[6]Table 11 CWTs exp'!$AA45&gt;0,"-"," "))</f>
        <v xml:space="preserve"> </v>
      </c>
      <c r="H45" s="145" t="str">
        <f>IF('[6]Table 11 CWTs exp'!H45/'[6]Table 11 CWTs exp'!$AA45&gt;0.0005,'[6]Table 11 CWTs exp'!H45/'[6]Table 11 CWTs exp'!$AA45,IF('[6]Table 11 CWTs exp'!H45/'[6]Table 11 CWTs exp'!$AA45&gt;0,"-"," "))</f>
        <v xml:space="preserve"> </v>
      </c>
      <c r="I45" s="144">
        <f>IF('[6]Table 11 CWTs exp'!I45/'[6]Table 11 CWTs exp'!$AA45&gt;0.0005,'[6]Table 11 CWTs exp'!I45/'[6]Table 11 CWTs exp'!$AA45,IF('[6]Table 11 CWTs exp'!I45/'[6]Table 11 CWTs exp'!$AA45&gt;0,"-"," "))</f>
        <v>0.58710077815438966</v>
      </c>
      <c r="J45" s="146">
        <f>IF('[6]Table 11 CWTs exp'!J45/'[6]Table 11 CWTs exp'!$AA45&gt;0.0005,'[6]Table 11 CWTs exp'!J45/'[6]Table 11 CWTs exp'!$AA45,IF('[6]Table 11 CWTs exp'!J45/'[6]Table 11 CWTs exp'!$AA45&gt;0,"-"," "))</f>
        <v>6.6357951019239032E-3</v>
      </c>
      <c r="K45" s="144" t="str">
        <f>IF('[6]Table 11 CWTs exp'!K45/'[6]Table 11 CWTs exp'!$AA45&gt;0.0005,'[6]Table 11 CWTs exp'!K45/'[6]Table 11 CWTs exp'!$AA45,IF('[6]Table 11 CWTs exp'!K45/'[6]Table 11 CWTs exp'!$AA45&gt;0,"-"," "))</f>
        <v xml:space="preserve"> </v>
      </c>
      <c r="L45" s="144">
        <f>IF('[6]Table 11 CWTs exp'!L45/'[6]Table 11 CWTs exp'!$AA45&gt;0.0005,'[6]Table 11 CWTs exp'!L45/'[6]Table 11 CWTs exp'!$AA45,IF('[6]Table 11 CWTs exp'!L45/'[6]Table 11 CWTs exp'!$AA45&gt;0,"-"," "))</f>
        <v>5.1081300424881846E-3</v>
      </c>
      <c r="M45" s="144" t="str">
        <f>IF('[6]Table 11 CWTs exp'!M45/'[6]Table 11 CWTs exp'!$AA45&gt;0.0005,'[6]Table 11 CWTs exp'!M45/'[6]Table 11 CWTs exp'!$AA45,IF('[6]Table 11 CWTs exp'!M45/'[6]Table 11 CWTs exp'!$AA45&gt;0,"-"," "))</f>
        <v xml:space="preserve"> </v>
      </c>
      <c r="N45" s="144">
        <f>IF('[6]Table 11 CWTs exp'!N45/'[6]Table 11 CWTs exp'!$AA45&gt;0.0005,'[6]Table 11 CWTs exp'!N45/'[6]Table 11 CWTs exp'!$AA45,IF('[6]Table 11 CWTs exp'!N45/'[6]Table 11 CWTs exp'!$AA45&gt;0,"-"," "))</f>
        <v>6.4448369694944385E-2</v>
      </c>
      <c r="O45" s="144">
        <f>IF('[6]Table 11 CWTs exp'!O45/'[6]Table 11 CWTs exp'!$AA45&gt;0.0005,'[6]Table 11 CWTs exp'!O45/'[6]Table 11 CWTs exp'!$AA45,IF('[6]Table 11 CWTs exp'!O45/'[6]Table 11 CWTs exp'!$AA45&gt;0,"-"," "))</f>
        <v>5.7287439728839447E-4</v>
      </c>
      <c r="P45" s="144">
        <f>IF('[6]Table 11 CWTs exp'!P45/'[6]Table 11 CWTs exp'!$AA45&gt;0.0005,'[6]Table 11 CWTs exp'!P45/'[6]Table 11 CWTs exp'!$AA45,IF('[6]Table 11 CWTs exp'!P45/'[6]Table 11 CWTs exp'!$AA45&gt;0,"-"," "))</f>
        <v>5.7287439728839447E-4</v>
      </c>
      <c r="Q45" s="145">
        <f>IF('[6]Table 11 CWTs exp'!Q45/'[6]Table 11 CWTs exp'!$AA45&gt;0.0005,'[6]Table 11 CWTs exp'!Q45/'[6]Table 11 CWTs exp'!$AA45,IF('[6]Table 11 CWTs exp'!Q45/'[6]Table 11 CWTs exp'!$AA45&gt;0,"-"," "))</f>
        <v>5.7287439728839447E-4</v>
      </c>
      <c r="R45" s="146" t="str">
        <f>IF('[6]Table 11 CWTs exp'!R45/'[6]Table 11 CWTs exp'!$AA45&gt;0.0005,'[6]Table 11 CWTs exp'!R45/'[6]Table 11 CWTs exp'!$AA45,IF('[6]Table 11 CWTs exp'!R45/'[6]Table 11 CWTs exp'!$AA45&gt;0,"-"," "))</f>
        <v xml:space="preserve"> </v>
      </c>
      <c r="S45" s="144" t="str">
        <f>IF('[6]Table 11 CWTs exp'!S45/'[6]Table 11 CWTs exp'!$AA45&gt;0.0005,'[6]Table 11 CWTs exp'!S45/'[6]Table 11 CWTs exp'!$AA45,IF('[6]Table 11 CWTs exp'!S45/'[6]Table 11 CWTs exp'!$AA45&gt;0,"-"," "))</f>
        <v xml:space="preserve"> </v>
      </c>
      <c r="T45" s="144" t="str">
        <f>IF('[6]Table 11 CWTs exp'!T45/'[6]Table 11 CWTs exp'!$AA45&gt;0.0005,'[6]Table 11 CWTs exp'!T45/'[6]Table 11 CWTs exp'!$AA45,IF('[6]Table 11 CWTs exp'!T45/'[6]Table 11 CWTs exp'!$AA45&gt;0,"-"," "))</f>
        <v xml:space="preserve"> </v>
      </c>
      <c r="U45" s="144" t="str">
        <f>IF('[6]Table 11 CWTs exp'!U45/'[6]Table 11 CWTs exp'!$AA45&gt;0.0005,'[6]Table 11 CWTs exp'!U45/'[6]Table 11 CWTs exp'!$AA45,IF('[6]Table 11 CWTs exp'!U45/'[6]Table 11 CWTs exp'!$AA45&gt;0,"-"," "))</f>
        <v xml:space="preserve"> </v>
      </c>
      <c r="V45" s="145" t="str">
        <f>IF('[6]Table 11 CWTs exp'!V45/'[6]Table 11 CWTs exp'!$AA45&gt;0.0005,'[6]Table 11 CWTs exp'!V45/'[6]Table 11 CWTs exp'!$AA45,IF('[6]Table 11 CWTs exp'!V45/'[6]Table 11 CWTs exp'!$AA45&gt;0,"-"," "))</f>
        <v xml:space="preserve"> </v>
      </c>
      <c r="W45" s="146" t="str">
        <f>IF('[6]Table 11 CWTs exp'!W45/'[6]Table 11 CWTs exp'!$AA45&gt;0.0005,'[6]Table 11 CWTs exp'!W45/'[6]Table 11 CWTs exp'!$AA45,IF('[6]Table 11 CWTs exp'!W45/'[6]Table 11 CWTs exp'!$AA45&gt;0,"-"," "))</f>
        <v xml:space="preserve"> </v>
      </c>
      <c r="X45" s="206" t="str">
        <f>IF('[6]Table 11 CWTs exp'!X45/'[6]Table 11 CWTs exp'!$AA45&gt;0.0005,'[6]Table 11 CWTs exp'!X45/'[6]Table 11 CWTs exp'!$AA45,IF('[6]Table 11 CWTs exp'!X45/'[6]Table 11 CWTs exp'!$AA45&gt;0,"-"," "))</f>
        <v xml:space="preserve"> </v>
      </c>
      <c r="Y45" s="147">
        <f t="shared" ref="Y45:Y51" si="6">SUM(G45:X45)</f>
        <v>0.66501169618561129</v>
      </c>
      <c r="Z45" s="148">
        <f t="shared" ref="Z45:Z51" si="7">1-Y45</f>
        <v>0.33498830381438871</v>
      </c>
      <c r="AA45" s="38">
        <f>'[6]Table 11 CWTs exp'!AA45</f>
        <v>20947</v>
      </c>
      <c r="AD45" s="327"/>
    </row>
    <row r="46" spans="1:34" ht="15.65" customHeight="1" x14ac:dyDescent="0.25">
      <c r="A46" t="str">
        <f>'[6]Table 11 CWTs exp'!A46</f>
        <v>LSAC463</v>
      </c>
      <c r="B46" s="4" t="str">
        <f>'[6]Table 11 CWTs exp'!B46</f>
        <v>LSAC</v>
      </c>
      <c r="C46" s="4">
        <f>'[6]Table 11 CWTs exp'!C46</f>
        <v>46</v>
      </c>
      <c r="D46" s="4">
        <f>'[6]Table 11 CWTs exp'!D46</f>
        <v>3</v>
      </c>
      <c r="E46" t="str">
        <f>'[6]Table 11 CWTs exp'!E46</f>
        <v xml:space="preserve">Lower Sacramento River </v>
      </c>
      <c r="F46" s="37" t="str">
        <f>'[6]Table 11 CWTs exp'!F46</f>
        <v>Fall</v>
      </c>
      <c r="G46" s="144" t="str">
        <f>IF('[6]Table 11 CWTs exp'!G46/'[6]Table 11 CWTs exp'!$AA46&gt;0.0005,'[6]Table 11 CWTs exp'!G46/'[6]Table 11 CWTs exp'!$AA46,IF('[6]Table 11 CWTs exp'!G46/'[6]Table 11 CWTs exp'!$AA46&gt;0,"-"," "))</f>
        <v xml:space="preserve"> </v>
      </c>
      <c r="H46" s="145">
        <f>IF('[6]Table 11 CWTs exp'!H46/'[6]Table 11 CWTs exp'!$AA46&gt;0.0005,'[6]Table 11 CWTs exp'!H46/'[6]Table 11 CWTs exp'!$AA46,IF('[6]Table 11 CWTs exp'!H46/'[6]Table 11 CWTs exp'!$AA46&gt;0,"-"," "))</f>
        <v>3.8996534725950507E-2</v>
      </c>
      <c r="I46" s="144">
        <f>IF('[6]Table 11 CWTs exp'!I46/'[6]Table 11 CWTs exp'!$AA46&gt;0.0005,'[6]Table 11 CWTs exp'!I46/'[6]Table 11 CWTs exp'!$AA46,IF('[6]Table 11 CWTs exp'!I46/'[6]Table 11 CWTs exp'!$AA46&gt;0,"-"," "))</f>
        <v>5.0905363853775198E-2</v>
      </c>
      <c r="J46" s="146">
        <f>IF('[6]Table 11 CWTs exp'!J46/'[6]Table 11 CWTs exp'!$AA46&gt;0.0005,'[6]Table 11 CWTs exp'!J46/'[6]Table 11 CWTs exp'!$AA46,IF('[6]Table 11 CWTs exp'!J46/'[6]Table 11 CWTs exp'!$AA46&gt;0,"-"," "))</f>
        <v>4.514617599687637E-2</v>
      </c>
      <c r="K46" s="144" t="str">
        <f>IF('[6]Table 11 CWTs exp'!K46/'[6]Table 11 CWTs exp'!$AA46&gt;0.0005,'[6]Table 11 CWTs exp'!K46/'[6]Table 11 CWTs exp'!$AA46,IF('[6]Table 11 CWTs exp'!K46/'[6]Table 11 CWTs exp'!$AA46&gt;0,"-"," "))</f>
        <v xml:space="preserve"> </v>
      </c>
      <c r="L46" s="144" t="str">
        <f>IF('[6]Table 11 CWTs exp'!L46/'[6]Table 11 CWTs exp'!$AA46&gt;0.0005,'[6]Table 11 CWTs exp'!L46/'[6]Table 11 CWTs exp'!$AA46,IF('[6]Table 11 CWTs exp'!L46/'[6]Table 11 CWTs exp'!$AA46&gt;0,"-"," "))</f>
        <v xml:space="preserve"> </v>
      </c>
      <c r="M46" s="144" t="str">
        <f>IF('[6]Table 11 CWTs exp'!M46/'[6]Table 11 CWTs exp'!$AA46&gt;0.0005,'[6]Table 11 CWTs exp'!M46/'[6]Table 11 CWTs exp'!$AA46,IF('[6]Table 11 CWTs exp'!M46/'[6]Table 11 CWTs exp'!$AA46&gt;0,"-"," "))</f>
        <v xml:space="preserve"> </v>
      </c>
      <c r="N46" s="144">
        <f>IF('[6]Table 11 CWTs exp'!N46/'[6]Table 11 CWTs exp'!$AA46&gt;0.0005,'[6]Table 11 CWTs exp'!N46/'[6]Table 11 CWTs exp'!$AA46,IF('[6]Table 11 CWTs exp'!N46/'[6]Table 11 CWTs exp'!$AA46&gt;0,"-"," "))</f>
        <v>0.27819805749426524</v>
      </c>
      <c r="O46" s="144">
        <f>IF('[6]Table 11 CWTs exp'!O46/'[6]Table 11 CWTs exp'!$AA46&gt;0.0005,'[6]Table 11 CWTs exp'!O46/'[6]Table 11 CWTs exp'!$AA46,IF('[6]Table 11 CWTs exp'!O46/'[6]Table 11 CWTs exp'!$AA46&gt;0,"-"," "))</f>
        <v>4.2461808775440483E-3</v>
      </c>
      <c r="P46" s="144">
        <f>IF('[6]Table 11 CWTs exp'!P46/'[6]Table 11 CWTs exp'!$AA46&gt;0.0005,'[6]Table 11 CWTs exp'!P46/'[6]Table 11 CWTs exp'!$AA46,IF('[6]Table 11 CWTs exp'!P46/'[6]Table 11 CWTs exp'!$AA46&gt;0,"-"," "))</f>
        <v>1.415393625848016E-3</v>
      </c>
      <c r="Q46" s="145">
        <f>IF('[6]Table 11 CWTs exp'!Q46/'[6]Table 11 CWTs exp'!$AA46&gt;0.0005,'[6]Table 11 CWTs exp'!Q46/'[6]Table 11 CWTs exp'!$AA46,IF('[6]Table 11 CWTs exp'!Q46/'[6]Table 11 CWTs exp'!$AA46&gt;0,"-"," "))</f>
        <v>9.4831372931817079E-2</v>
      </c>
      <c r="R46" s="146">
        <f>IF('[6]Table 11 CWTs exp'!R46/'[6]Table 11 CWTs exp'!$AA46&gt;0.0005,'[6]Table 11 CWTs exp'!R46/'[6]Table 11 CWTs exp'!$AA46,IF('[6]Table 11 CWTs exp'!R46/'[6]Table 11 CWTs exp'!$AA46&gt;0,"-"," "))</f>
        <v>5.2125530772609695E-2</v>
      </c>
      <c r="S46" s="144" t="str">
        <f>IF('[6]Table 11 CWTs exp'!S46/'[6]Table 11 CWTs exp'!$AA46&gt;0.0005,'[6]Table 11 CWTs exp'!S46/'[6]Table 11 CWTs exp'!$AA46,IF('[6]Table 11 CWTs exp'!S46/'[6]Table 11 CWTs exp'!$AA46&gt;0,"-"," "))</f>
        <v xml:space="preserve"> </v>
      </c>
      <c r="T46" s="144">
        <f>IF('[6]Table 11 CWTs exp'!T46/'[6]Table 11 CWTs exp'!$AA46&gt;0.0005,'[6]Table 11 CWTs exp'!T46/'[6]Table 11 CWTs exp'!$AA46,IF('[6]Table 11 CWTs exp'!T46/'[6]Table 11 CWTs exp'!$AA46&gt;0,"-"," "))</f>
        <v>4.8172189955585927E-2</v>
      </c>
      <c r="U46" s="144">
        <f>IF('[6]Table 11 CWTs exp'!U46/'[6]Table 11 CWTs exp'!$AA46&gt;0.0005,'[6]Table 11 CWTs exp'!U46/'[6]Table 11 CWTs exp'!$AA46,IF('[6]Table 11 CWTs exp'!U46/'[6]Table 11 CWTs exp'!$AA46&gt;0,"-"," "))</f>
        <v>1.1274342330030749E-2</v>
      </c>
      <c r="V46" s="145" t="str">
        <f>IF('[6]Table 11 CWTs exp'!V46/'[6]Table 11 CWTs exp'!$AA46&gt;0.0005,'[6]Table 11 CWTs exp'!V46/'[6]Table 11 CWTs exp'!$AA46,IF('[6]Table 11 CWTs exp'!V46/'[6]Table 11 CWTs exp'!$AA46&gt;0,"-"," "))</f>
        <v xml:space="preserve"> </v>
      </c>
      <c r="W46" s="146">
        <f>IF('[6]Table 11 CWTs exp'!W46/'[6]Table 11 CWTs exp'!$AA46&gt;0.0005,'[6]Table 11 CWTs exp'!W46/'[6]Table 11 CWTs exp'!$AA46,IF('[6]Table 11 CWTs exp'!W46/'[6]Table 11 CWTs exp'!$AA46&gt;0,"-"," "))</f>
        <v>3.0260139587095516E-3</v>
      </c>
      <c r="X46" s="206" t="str">
        <f>IF('[6]Table 11 CWTs exp'!X46/'[6]Table 11 CWTs exp'!$AA46&gt;0.0005,'[6]Table 11 CWTs exp'!X46/'[6]Table 11 CWTs exp'!$AA46,IF('[6]Table 11 CWTs exp'!X46/'[6]Table 11 CWTs exp'!$AA46&gt;0,"-"," "))</f>
        <v xml:space="preserve"> </v>
      </c>
      <c r="Y46" s="147">
        <f t="shared" si="6"/>
        <v>0.62833715652301247</v>
      </c>
      <c r="Z46" s="148">
        <f t="shared" si="7"/>
        <v>0.37166284347698753</v>
      </c>
      <c r="AA46" s="38">
        <f>'[6]Table 11 CWTs exp'!AA46</f>
        <v>20489</v>
      </c>
      <c r="AD46" s="327"/>
    </row>
    <row r="47" spans="1:34" ht="15.65" customHeight="1" x14ac:dyDescent="0.25">
      <c r="A47" t="str">
        <f>'[6]Table 11 CWTs exp'!A47</f>
        <v>FEA463</v>
      </c>
      <c r="B47" s="4" t="str">
        <f>'[6]Table 11 CWTs exp'!B47</f>
        <v>FEA</v>
      </c>
      <c r="C47" s="4">
        <f>'[6]Table 11 CWTs exp'!C47</f>
        <v>46</v>
      </c>
      <c r="D47" s="4">
        <f>'[6]Table 11 CWTs exp'!D47</f>
        <v>3</v>
      </c>
      <c r="E47" t="str">
        <f>'[6]Table 11 CWTs exp'!E47</f>
        <v xml:space="preserve">Feather River </v>
      </c>
      <c r="F47" s="37" t="str">
        <f>'[6]Table 11 CWTs exp'!F47</f>
        <v>Fall</v>
      </c>
      <c r="G47" s="144" t="str">
        <f>IF('[6]Table 11 CWTs exp'!G47/'[6]Table 11 CWTs exp'!$AA47&gt;0.0005,'[6]Table 11 CWTs exp'!G47/'[6]Table 11 CWTs exp'!$AA47,IF('[6]Table 11 CWTs exp'!G47/'[6]Table 11 CWTs exp'!$AA47&gt;0,"-"," "))</f>
        <v xml:space="preserve"> </v>
      </c>
      <c r="H47" s="145" t="str">
        <f>IF('[6]Table 11 CWTs exp'!H47/'[6]Table 11 CWTs exp'!$AA47&gt;0.0005,'[6]Table 11 CWTs exp'!H47/'[6]Table 11 CWTs exp'!$AA47,IF('[6]Table 11 CWTs exp'!H47/'[6]Table 11 CWTs exp'!$AA47&gt;0,"-"," "))</f>
        <v xml:space="preserve"> </v>
      </c>
      <c r="I47" s="144">
        <f>IF('[6]Table 11 CWTs exp'!I47/'[6]Table 11 CWTs exp'!$AA47&gt;0.0005,'[6]Table 11 CWTs exp'!I47/'[6]Table 11 CWTs exp'!$AA47,IF('[6]Table 11 CWTs exp'!I47/'[6]Table 11 CWTs exp'!$AA47&gt;0,"-"," "))</f>
        <v>5.6921495770416632E-3</v>
      </c>
      <c r="J47" s="146">
        <f>IF('[6]Table 11 CWTs exp'!J47/'[6]Table 11 CWTs exp'!$AA47&gt;0.0005,'[6]Table 11 CWTs exp'!J47/'[6]Table 11 CWTs exp'!$AA47,IF('[6]Table 11 CWTs exp'!J47/'[6]Table 11 CWTs exp'!$AA47&gt;0,"-"," "))</f>
        <v>5.1229346193374971E-2</v>
      </c>
      <c r="K47" s="144">
        <f>IF('[6]Table 11 CWTs exp'!K47/'[6]Table 11 CWTs exp'!$AA47&gt;0.0005,'[6]Table 11 CWTs exp'!K47/'[6]Table 11 CWTs exp'!$AA47,IF('[6]Table 11 CWTs exp'!K47/'[6]Table 11 CWTs exp'!$AA47&gt;0,"-"," "))</f>
        <v>2.3005771207210056E-2</v>
      </c>
      <c r="L47" s="144">
        <f>IF('[6]Table 11 CWTs exp'!L47/'[6]Table 11 CWTs exp'!$AA47&gt;0.0005,'[6]Table 11 CWTs exp'!L47/'[6]Table 11 CWTs exp'!$AA47,IF('[6]Table 11 CWTs exp'!L47/'[6]Table 11 CWTs exp'!$AA47&gt;0,"-"," "))</f>
        <v>1.0198434658866313E-2</v>
      </c>
      <c r="M47" s="144">
        <f>IF('[6]Table 11 CWTs exp'!M47/'[6]Table 11 CWTs exp'!$AA47&gt;0.0005,'[6]Table 11 CWTs exp'!M47/'[6]Table 11 CWTs exp'!$AA47,IF('[6]Table 11 CWTs exp'!M47/'[6]Table 11 CWTs exp'!$AA47&gt;0,"-"," "))</f>
        <v>4.2691121827812479E-3</v>
      </c>
      <c r="N47" s="144">
        <f>IF('[6]Table 11 CWTs exp'!N47/'[6]Table 11 CWTs exp'!$AA47&gt;0.0005,'[6]Table 11 CWTs exp'!N47/'[6]Table 11 CWTs exp'!$AA47,IF('[6]Table 11 CWTs exp'!N47/'[6]Table 11 CWTs exp'!$AA47&gt;0,"-"," "))</f>
        <v>0.59593643766305637</v>
      </c>
      <c r="O47" s="144">
        <f>IF('[6]Table 11 CWTs exp'!O47/'[6]Table 11 CWTs exp'!$AA47&gt;0.0005,'[6]Table 11 CWTs exp'!O47/'[6]Table 11 CWTs exp'!$AA47,IF('[6]Table 11 CWTs exp'!O47/'[6]Table 11 CWTs exp'!$AA47&gt;0,"-"," "))</f>
        <v>7.1151869713020795E-3</v>
      </c>
      <c r="P47" s="144">
        <f>IF('[6]Table 11 CWTs exp'!P47/'[6]Table 11 CWTs exp'!$AA47&gt;0.0005,'[6]Table 11 CWTs exp'!P47/'[6]Table 11 CWTs exp'!$AA47,IF('[6]Table 11 CWTs exp'!P47/'[6]Table 11 CWTs exp'!$AA47&gt;0,"-"," "))</f>
        <v>1.2965451814372678E-2</v>
      </c>
      <c r="Q47" s="145" t="str">
        <f>IF('[6]Table 11 CWTs exp'!Q47/'[6]Table 11 CWTs exp'!$AA47&gt;0.0005,'[6]Table 11 CWTs exp'!Q47/'[6]Table 11 CWTs exp'!$AA47,IF('[6]Table 11 CWTs exp'!Q47/'[6]Table 11 CWTs exp'!$AA47&gt;0,"-"," "))</f>
        <v xml:space="preserve"> </v>
      </c>
      <c r="R47" s="146" t="str">
        <f>IF('[6]Table 11 CWTs exp'!R47/'[6]Table 11 CWTs exp'!$AA47&gt;0.0005,'[6]Table 11 CWTs exp'!R47/'[6]Table 11 CWTs exp'!$AA47,IF('[6]Table 11 CWTs exp'!R47/'[6]Table 11 CWTs exp'!$AA47&gt;0,"-"," "))</f>
        <v xml:space="preserve"> </v>
      </c>
      <c r="S47" s="144" t="str">
        <f>IF('[6]Table 11 CWTs exp'!S47/'[6]Table 11 CWTs exp'!$AA47&gt;0.0005,'[6]Table 11 CWTs exp'!S47/'[6]Table 11 CWTs exp'!$AA47,IF('[6]Table 11 CWTs exp'!S47/'[6]Table 11 CWTs exp'!$AA47&gt;0,"-"," "))</f>
        <v xml:space="preserve"> </v>
      </c>
      <c r="T47" s="144">
        <f>IF('[6]Table 11 CWTs exp'!T47/'[6]Table 11 CWTs exp'!$AA47&gt;0.0005,'[6]Table 11 CWTs exp'!T47/'[6]Table 11 CWTs exp'!$AA47,IF('[6]Table 11 CWTs exp'!T47/'[6]Table 11 CWTs exp'!$AA47&gt;0,"-"," "))</f>
        <v>5.6921495770416632E-3</v>
      </c>
      <c r="U47" s="144" t="str">
        <f>IF('[6]Table 11 CWTs exp'!U47/'[6]Table 11 CWTs exp'!$AA47&gt;0.0005,'[6]Table 11 CWTs exp'!U47/'[6]Table 11 CWTs exp'!$AA47,IF('[6]Table 11 CWTs exp'!U47/'[6]Table 11 CWTs exp'!$AA47&gt;0,"-"," "))</f>
        <v xml:space="preserve"> </v>
      </c>
      <c r="V47" s="145" t="str">
        <f>IF('[6]Table 11 CWTs exp'!V47/'[6]Table 11 CWTs exp'!$AA47&gt;0.0005,'[6]Table 11 CWTs exp'!V47/'[6]Table 11 CWTs exp'!$AA47,IF('[6]Table 11 CWTs exp'!V47/'[6]Table 11 CWTs exp'!$AA47&gt;0,"-"," "))</f>
        <v xml:space="preserve"> </v>
      </c>
      <c r="W47" s="146" t="str">
        <f>IF('[6]Table 11 CWTs exp'!W47/'[6]Table 11 CWTs exp'!$AA47&gt;0.0005,'[6]Table 11 CWTs exp'!W47/'[6]Table 11 CWTs exp'!$AA47,IF('[6]Table 11 CWTs exp'!W47/'[6]Table 11 CWTs exp'!$AA47&gt;0,"-"," "))</f>
        <v xml:space="preserve"> </v>
      </c>
      <c r="X47" s="206" t="str">
        <f>IF('[6]Table 11 CWTs exp'!X47/'[6]Table 11 CWTs exp'!$AA47&gt;0.0005,'[6]Table 11 CWTs exp'!X47/'[6]Table 11 CWTs exp'!$AA47,IF('[6]Table 11 CWTs exp'!X47/'[6]Table 11 CWTs exp'!$AA47&gt;0,"-"," "))</f>
        <v xml:space="preserve"> </v>
      </c>
      <c r="Y47" s="147">
        <f t="shared" si="6"/>
        <v>0.71610403984504711</v>
      </c>
      <c r="Z47" s="148">
        <f t="shared" si="7"/>
        <v>0.28389596015495289</v>
      </c>
      <c r="AA47" s="38">
        <f>'[6]Table 11 CWTs exp'!AA47</f>
        <v>12649</v>
      </c>
      <c r="AD47" s="327"/>
    </row>
    <row r="48" spans="1:34" ht="15.65" customHeight="1" x14ac:dyDescent="0.25">
      <c r="A48" t="str">
        <f>'[6]Table 11 CWTs exp'!A48</f>
        <v>AMN463</v>
      </c>
      <c r="B48" s="4" t="str">
        <f>'[6]Table 11 CWTs exp'!B48</f>
        <v>AMN</v>
      </c>
      <c r="C48" s="4">
        <f>'[6]Table 11 CWTs exp'!C48</f>
        <v>46</v>
      </c>
      <c r="D48" s="4">
        <f>'[6]Table 11 CWTs exp'!D48</f>
        <v>3</v>
      </c>
      <c r="E48" t="str">
        <f>'[6]Table 11 CWTs exp'!E48</f>
        <v xml:space="preserve">American River </v>
      </c>
      <c r="F48" s="37" t="str">
        <f>'[6]Table 11 CWTs exp'!F48</f>
        <v>Fall</v>
      </c>
      <c r="G48" s="144" t="str">
        <f>IF('[6]Table 11 CWTs exp'!G48/'[6]Table 11 CWTs exp'!$AA48&gt;0.0005,'[6]Table 11 CWTs exp'!G48/'[6]Table 11 CWTs exp'!$AA48,IF('[6]Table 11 CWTs exp'!G48/'[6]Table 11 CWTs exp'!$AA48&gt;0,"-"," "))</f>
        <v xml:space="preserve"> </v>
      </c>
      <c r="H48" s="145" t="str">
        <f>IF('[6]Table 11 CWTs exp'!H48/'[6]Table 11 CWTs exp'!$AA48&gt;0.0005,'[6]Table 11 CWTs exp'!H48/'[6]Table 11 CWTs exp'!$AA48,IF('[6]Table 11 CWTs exp'!H48/'[6]Table 11 CWTs exp'!$AA48&gt;0,"-"," "))</f>
        <v xml:space="preserve"> </v>
      </c>
      <c r="I48" s="144" t="str">
        <f>IF('[6]Table 11 CWTs exp'!I48/'[6]Table 11 CWTs exp'!$AA48&gt;0.0005,'[6]Table 11 CWTs exp'!I48/'[6]Table 11 CWTs exp'!$AA48,IF('[6]Table 11 CWTs exp'!I48/'[6]Table 11 CWTs exp'!$AA48&gt;0,"-"," "))</f>
        <v xml:space="preserve"> </v>
      </c>
      <c r="J48" s="146">
        <f>IF('[6]Table 11 CWTs exp'!J48/'[6]Table 11 CWTs exp'!$AA48&gt;0.0005,'[6]Table 11 CWTs exp'!J48/'[6]Table 11 CWTs exp'!$AA48,IF('[6]Table 11 CWTs exp'!J48/'[6]Table 11 CWTs exp'!$AA48&gt;0,"-"," "))</f>
        <v>9.4712551419684959E-2</v>
      </c>
      <c r="K48" s="144" t="str">
        <f>IF('[6]Table 11 CWTs exp'!K48/'[6]Table 11 CWTs exp'!$AA48&gt;0.0005,'[6]Table 11 CWTs exp'!K48/'[6]Table 11 CWTs exp'!$AA48,IF('[6]Table 11 CWTs exp'!K48/'[6]Table 11 CWTs exp'!$AA48&gt;0,"-"," "))</f>
        <v xml:space="preserve"> </v>
      </c>
      <c r="L48" s="144" t="str">
        <f>IF('[6]Table 11 CWTs exp'!L48/'[6]Table 11 CWTs exp'!$AA48&gt;0.0005,'[6]Table 11 CWTs exp'!L48/'[6]Table 11 CWTs exp'!$AA48,IF('[6]Table 11 CWTs exp'!L48/'[6]Table 11 CWTs exp'!$AA48&gt;0,"-"," "))</f>
        <v xml:space="preserve"> </v>
      </c>
      <c r="M48" s="144" t="str">
        <f>IF('[6]Table 11 CWTs exp'!M48/'[6]Table 11 CWTs exp'!$AA48&gt;0.0005,'[6]Table 11 CWTs exp'!M48/'[6]Table 11 CWTs exp'!$AA48,IF('[6]Table 11 CWTs exp'!M48/'[6]Table 11 CWTs exp'!$AA48&gt;0,"-"," "))</f>
        <v xml:space="preserve"> </v>
      </c>
      <c r="N48" s="144">
        <f>IF('[6]Table 11 CWTs exp'!N48/'[6]Table 11 CWTs exp'!$AA48&gt;0.0005,'[6]Table 11 CWTs exp'!N48/'[6]Table 11 CWTs exp'!$AA48,IF('[6]Table 11 CWTs exp'!N48/'[6]Table 11 CWTs exp'!$AA48&gt;0,"-"," "))</f>
        <v>2.3878800040132438E-2</v>
      </c>
      <c r="O48" s="144">
        <f>IF('[6]Table 11 CWTs exp'!O48/'[6]Table 11 CWTs exp'!$AA48&gt;0.0005,'[6]Table 11 CWTs exp'!O48/'[6]Table 11 CWTs exp'!$AA48,IF('[6]Table 11 CWTs exp'!O48/'[6]Table 11 CWTs exp'!$AA48&gt;0,"-"," "))</f>
        <v>8.8291361492926664E-3</v>
      </c>
      <c r="P48" s="144" t="str">
        <f>IF('[6]Table 11 CWTs exp'!P48/'[6]Table 11 CWTs exp'!$AA48&gt;0.0005,'[6]Table 11 CWTs exp'!P48/'[6]Table 11 CWTs exp'!$AA48,IF('[6]Table 11 CWTs exp'!P48/'[6]Table 11 CWTs exp'!$AA48&gt;0,"-"," "))</f>
        <v xml:space="preserve"> </v>
      </c>
      <c r="Q48" s="145">
        <f>IF('[6]Table 11 CWTs exp'!Q48/'[6]Table 11 CWTs exp'!$AA48&gt;0.0005,'[6]Table 11 CWTs exp'!Q48/'[6]Table 11 CWTs exp'!$AA48,IF('[6]Table 11 CWTs exp'!Q48/'[6]Table 11 CWTs exp'!$AA48&gt;0,"-"," "))</f>
        <v>0.27932176181398616</v>
      </c>
      <c r="R48" s="146">
        <f>IF('[6]Table 11 CWTs exp'!R48/'[6]Table 11 CWTs exp'!$AA48&gt;0.0005,'[6]Table 11 CWTs exp'!R48/'[6]Table 11 CWTs exp'!$AA48,IF('[6]Table 11 CWTs exp'!R48/'[6]Table 11 CWTs exp'!$AA48&gt;0,"-"," "))</f>
        <v>0.10926055984749673</v>
      </c>
      <c r="S48" s="144" t="str">
        <f>IF('[6]Table 11 CWTs exp'!S48/'[6]Table 11 CWTs exp'!$AA48&gt;0.0005,'[6]Table 11 CWTs exp'!S48/'[6]Table 11 CWTs exp'!$AA48,IF('[6]Table 11 CWTs exp'!S48/'[6]Table 11 CWTs exp'!$AA48&gt;0,"-"," "))</f>
        <v xml:space="preserve"> </v>
      </c>
      <c r="T48" s="144">
        <f>IF('[6]Table 11 CWTs exp'!T48/'[6]Table 11 CWTs exp'!$AA48&gt;0.0005,'[6]Table 11 CWTs exp'!T48/'[6]Table 11 CWTs exp'!$AA48,IF('[6]Table 11 CWTs exp'!T48/'[6]Table 11 CWTs exp'!$AA48&gt;0,"-"," "))</f>
        <v>9.8525132938697704E-2</v>
      </c>
      <c r="U48" s="144">
        <f>IF('[6]Table 11 CWTs exp'!U48/'[6]Table 11 CWTs exp'!$AA48&gt;0.0005,'[6]Table 11 CWTs exp'!U48/'[6]Table 11 CWTs exp'!$AA48,IF('[6]Table 11 CWTs exp'!U48/'[6]Table 11 CWTs exp'!$AA48&gt;0,"-"," "))</f>
        <v>1.183906892746062E-2</v>
      </c>
      <c r="V48" s="145" t="str">
        <f>IF('[6]Table 11 CWTs exp'!V48/'[6]Table 11 CWTs exp'!$AA48&gt;0.0005,'[6]Table 11 CWTs exp'!V48/'[6]Table 11 CWTs exp'!$AA48,IF('[6]Table 11 CWTs exp'!V48/'[6]Table 11 CWTs exp'!$AA48&gt;0,"-"," "))</f>
        <v xml:space="preserve"> </v>
      </c>
      <c r="W48" s="146">
        <f>IF('[6]Table 11 CWTs exp'!W48/'[6]Table 11 CWTs exp'!$AA48&gt;0.0005,'[6]Table 11 CWTs exp'!W48/'[6]Table 11 CWTs exp'!$AA48,IF('[6]Table 11 CWTs exp'!W48/'[6]Table 11 CWTs exp'!$AA48&gt;0,"-"," "))</f>
        <v>6.2205277415471058E-3</v>
      </c>
      <c r="X48" s="206" t="str">
        <f>IF('[6]Table 11 CWTs exp'!X48/'[6]Table 11 CWTs exp'!$AA48&gt;0.0005,'[6]Table 11 CWTs exp'!X48/'[6]Table 11 CWTs exp'!$AA48,IF('[6]Table 11 CWTs exp'!X48/'[6]Table 11 CWTs exp'!$AA48&gt;0,"-"," "))</f>
        <v xml:space="preserve"> </v>
      </c>
      <c r="Y48" s="147">
        <f t="shared" si="6"/>
        <v>0.63258753887829844</v>
      </c>
      <c r="Z48" s="148">
        <f t="shared" si="7"/>
        <v>0.36741246112170156</v>
      </c>
      <c r="AA48" s="38">
        <f>'[6]Table 11 CWTs exp'!AA48</f>
        <v>9967</v>
      </c>
      <c r="AD48" s="327"/>
    </row>
    <row r="49" spans="1:30" ht="15.65" customHeight="1" x14ac:dyDescent="0.25">
      <c r="A49" t="str">
        <f>'[6]Table 11 CWTs exp'!A49</f>
        <v>MOKE463</v>
      </c>
      <c r="B49" s="4" t="str">
        <f>'[6]Table 11 CWTs exp'!B49</f>
        <v>MOKE</v>
      </c>
      <c r="C49" s="4">
        <f>'[6]Table 11 CWTs exp'!C49</f>
        <v>46</v>
      </c>
      <c r="D49" s="4">
        <f>'[6]Table 11 CWTs exp'!D49</f>
        <v>3</v>
      </c>
      <c r="E49" t="str">
        <f>'[6]Table 11 CWTs exp'!E49</f>
        <v>Mokelumne River</v>
      </c>
      <c r="F49" s="37" t="str">
        <f>'[6]Table 11 CWTs exp'!F49</f>
        <v>Fall</v>
      </c>
      <c r="G49" s="144" t="str">
        <f>IF('[6]Table 11 CWTs exp'!G49/'[6]Table 11 CWTs exp'!$AA49&gt;0.0005,'[6]Table 11 CWTs exp'!G49/'[6]Table 11 CWTs exp'!$AA49,IF('[6]Table 11 CWTs exp'!G49/'[6]Table 11 CWTs exp'!$AA49&gt;0,"-"," "))</f>
        <v xml:space="preserve"> </v>
      </c>
      <c r="H49" s="145">
        <f>IF('[6]Table 11 CWTs exp'!H49/'[6]Table 11 CWTs exp'!$AA49&gt;0.0005,'[6]Table 11 CWTs exp'!H49/'[6]Table 11 CWTs exp'!$AA49,IF('[6]Table 11 CWTs exp'!H49/'[6]Table 11 CWTs exp'!$AA49&gt;0,"-"," "))</f>
        <v>8.8781275221953195E-3</v>
      </c>
      <c r="I49" s="144" t="str">
        <f>IF('[6]Table 11 CWTs exp'!I49/'[6]Table 11 CWTs exp'!$AA49&gt;0.0005,'[6]Table 11 CWTs exp'!I49/'[6]Table 11 CWTs exp'!$AA49,IF('[6]Table 11 CWTs exp'!I49/'[6]Table 11 CWTs exp'!$AA49&gt;0,"-"," "))</f>
        <v xml:space="preserve"> </v>
      </c>
      <c r="J49" s="146" t="str">
        <f>IF('[6]Table 11 CWTs exp'!J49/'[6]Table 11 CWTs exp'!$AA49&gt;0.0005,'[6]Table 11 CWTs exp'!J49/'[6]Table 11 CWTs exp'!$AA49,IF('[6]Table 11 CWTs exp'!J49/'[6]Table 11 CWTs exp'!$AA49&gt;0,"-"," "))</f>
        <v xml:space="preserve"> </v>
      </c>
      <c r="K49" s="144" t="str">
        <f>IF('[6]Table 11 CWTs exp'!K49/'[6]Table 11 CWTs exp'!$AA49&gt;0.0005,'[6]Table 11 CWTs exp'!K49/'[6]Table 11 CWTs exp'!$AA49,IF('[6]Table 11 CWTs exp'!K49/'[6]Table 11 CWTs exp'!$AA49&gt;0,"-"," "))</f>
        <v xml:space="preserve"> </v>
      </c>
      <c r="L49" s="144" t="str">
        <f>IF('[6]Table 11 CWTs exp'!L49/'[6]Table 11 CWTs exp'!$AA49&gt;0.0005,'[6]Table 11 CWTs exp'!L49/'[6]Table 11 CWTs exp'!$AA49,IF('[6]Table 11 CWTs exp'!L49/'[6]Table 11 CWTs exp'!$AA49&gt;0,"-"," "))</f>
        <v xml:space="preserve"> </v>
      </c>
      <c r="M49" s="144" t="str">
        <f>IF('[6]Table 11 CWTs exp'!M49/'[6]Table 11 CWTs exp'!$AA49&gt;0.0005,'[6]Table 11 CWTs exp'!M49/'[6]Table 11 CWTs exp'!$AA49,IF('[6]Table 11 CWTs exp'!M49/'[6]Table 11 CWTs exp'!$AA49&gt;0,"-"," "))</f>
        <v xml:space="preserve"> </v>
      </c>
      <c r="N49" s="144">
        <f>IF('[6]Table 11 CWTs exp'!N49/'[6]Table 11 CWTs exp'!$AA49&gt;0.0005,'[6]Table 11 CWTs exp'!N49/'[6]Table 11 CWTs exp'!$AA49,IF('[6]Table 11 CWTs exp'!N49/'[6]Table 11 CWTs exp'!$AA49&gt;0,"-"," "))</f>
        <v>7.0217917675544791E-2</v>
      </c>
      <c r="O49" s="144" t="str">
        <f>IF('[6]Table 11 CWTs exp'!O49/'[6]Table 11 CWTs exp'!$AA49&gt;0.0005,'[6]Table 11 CWTs exp'!O49/'[6]Table 11 CWTs exp'!$AA49,IF('[6]Table 11 CWTs exp'!O49/'[6]Table 11 CWTs exp'!$AA49&gt;0,"-"," "))</f>
        <v xml:space="preserve"> </v>
      </c>
      <c r="P49" s="144" t="str">
        <f>IF('[6]Table 11 CWTs exp'!P49/'[6]Table 11 CWTs exp'!$AA49&gt;0.0005,'[6]Table 11 CWTs exp'!P49/'[6]Table 11 CWTs exp'!$AA49,IF('[6]Table 11 CWTs exp'!P49/'[6]Table 11 CWTs exp'!$AA49&gt;0,"-"," "))</f>
        <v xml:space="preserve"> </v>
      </c>
      <c r="Q49" s="145" t="str">
        <f>IF('[6]Table 11 CWTs exp'!Q49/'[6]Table 11 CWTs exp'!$AA49&gt;0.0005,'[6]Table 11 CWTs exp'!Q49/'[6]Table 11 CWTs exp'!$AA49,IF('[6]Table 11 CWTs exp'!Q49/'[6]Table 11 CWTs exp'!$AA49&gt;0,"-"," "))</f>
        <v xml:space="preserve"> </v>
      </c>
      <c r="R49" s="146">
        <f>IF('[6]Table 11 CWTs exp'!R49/'[6]Table 11 CWTs exp'!$AA49&gt;0.0005,'[6]Table 11 CWTs exp'!R49/'[6]Table 11 CWTs exp'!$AA49,IF('[6]Table 11 CWTs exp'!R49/'[6]Table 11 CWTs exp'!$AA49&gt;0,"-"," "))</f>
        <v>3.470540758676352E-2</v>
      </c>
      <c r="S49" s="144">
        <f>IF('[6]Table 11 CWTs exp'!S49/'[6]Table 11 CWTs exp'!$AA49&gt;0.0005,'[6]Table 11 CWTs exp'!S49/'[6]Table 11 CWTs exp'!$AA49,IF('[6]Table 11 CWTs exp'!S49/'[6]Table 11 CWTs exp'!$AA49&gt;0,"-"," "))</f>
        <v>1.7756255044390639E-2</v>
      </c>
      <c r="T49" s="144">
        <f>IF('[6]Table 11 CWTs exp'!T49/'[6]Table 11 CWTs exp'!$AA49&gt;0.0005,'[6]Table 11 CWTs exp'!T49/'[6]Table 11 CWTs exp'!$AA49,IF('[6]Table 11 CWTs exp'!T49/'[6]Table 11 CWTs exp'!$AA49&gt;0,"-"," "))</f>
        <v>0.61097659402744153</v>
      </c>
      <c r="U49" s="144">
        <f>IF('[6]Table 11 CWTs exp'!U49/'[6]Table 11 CWTs exp'!$AA49&gt;0.0005,'[6]Table 11 CWTs exp'!U49/'[6]Table 11 CWTs exp'!$AA49,IF('[6]Table 11 CWTs exp'!U49/'[6]Table 11 CWTs exp'!$AA49&gt;0,"-"," "))</f>
        <v>0.10411622276029056</v>
      </c>
      <c r="V49" s="145" t="str">
        <f>IF('[6]Table 11 CWTs exp'!V49/'[6]Table 11 CWTs exp'!$AA49&gt;0.0005,'[6]Table 11 CWTs exp'!V49/'[6]Table 11 CWTs exp'!$AA49,IF('[6]Table 11 CWTs exp'!V49/'[6]Table 11 CWTs exp'!$AA49&gt;0,"-"," "))</f>
        <v xml:space="preserve"> </v>
      </c>
      <c r="W49" s="146" t="str">
        <f>IF('[6]Table 11 CWTs exp'!W49/'[6]Table 11 CWTs exp'!$AA49&gt;0.0005,'[6]Table 11 CWTs exp'!W49/'[6]Table 11 CWTs exp'!$AA49,IF('[6]Table 11 CWTs exp'!W49/'[6]Table 11 CWTs exp'!$AA49&gt;0,"-"," "))</f>
        <v xml:space="preserve"> </v>
      </c>
      <c r="X49" s="206" t="str">
        <f>IF('[6]Table 11 CWTs exp'!X49/'[6]Table 11 CWTs exp'!$AA49&gt;0.0005,'[6]Table 11 CWTs exp'!X49/'[6]Table 11 CWTs exp'!$AA49,IF('[6]Table 11 CWTs exp'!X49/'[6]Table 11 CWTs exp'!$AA49&gt;0,"-"," "))</f>
        <v xml:space="preserve"> </v>
      </c>
      <c r="Y49" s="147">
        <f t="shared" si="6"/>
        <v>0.84665052461662627</v>
      </c>
      <c r="Z49" s="148">
        <f t="shared" si="7"/>
        <v>0.15334947538337373</v>
      </c>
      <c r="AA49" s="38">
        <f>'[6]Table 11 CWTs exp'!AA49</f>
        <v>1239</v>
      </c>
      <c r="AD49" s="327"/>
    </row>
    <row r="50" spans="1:30" ht="15.65" customHeight="1" x14ac:dyDescent="0.25">
      <c r="A50" t="str">
        <f>'[6]Table 11 CWTs exp'!A50</f>
        <v>USAC467</v>
      </c>
      <c r="B50" s="4" t="str">
        <f>'[6]Table 11 CWTs exp'!B50</f>
        <v>USAC</v>
      </c>
      <c r="C50" s="4">
        <f>'[6]Table 11 CWTs exp'!C50</f>
        <v>46</v>
      </c>
      <c r="D50" s="4">
        <f>'[6]Table 11 CWTs exp'!D50</f>
        <v>7</v>
      </c>
      <c r="E50" t="str">
        <f>'[6]Table 11 CWTs exp'!E50</f>
        <v xml:space="preserve">Upper Sacramento River </v>
      </c>
      <c r="F50" s="37" t="s">
        <v>57</v>
      </c>
      <c r="G50" s="144" t="str">
        <f>IF('[6]Table 11 CWTs exp'!G50/'[6]Table 11 CWTs exp'!$AA50&gt;0.0005,'[6]Table 11 CWTs exp'!G50/'[6]Table 11 CWTs exp'!$AA50,IF('[6]Table 11 CWTs exp'!G50/'[6]Table 11 CWTs exp'!$AA50&gt;0,"-"," "))</f>
        <v xml:space="preserve"> </v>
      </c>
      <c r="H50" s="145">
        <f>IF('[6]Table 11 CWTs exp'!H50/'[6]Table 11 CWTs exp'!$AA50&gt;0.0005,'[6]Table 11 CWTs exp'!H50/'[6]Table 11 CWTs exp'!$AA50,IF('[6]Table 11 CWTs exp'!H50/'[6]Table 11 CWTs exp'!$AA50&gt;0,"-"," "))</f>
        <v>0.58260869565217388</v>
      </c>
      <c r="I50" s="144" t="str">
        <f>IF('[6]Table 11 CWTs exp'!I50/'[6]Table 11 CWTs exp'!$AA50&gt;0.0005,'[6]Table 11 CWTs exp'!I50/'[6]Table 11 CWTs exp'!$AA50,IF('[6]Table 11 CWTs exp'!I50/'[6]Table 11 CWTs exp'!$AA50&gt;0,"-"," "))</f>
        <v xml:space="preserve"> </v>
      </c>
      <c r="J50" s="146" t="str">
        <f>IF('[6]Table 11 CWTs exp'!J50/'[6]Table 11 CWTs exp'!$AA50&gt;0.0005,'[6]Table 11 CWTs exp'!J50/'[6]Table 11 CWTs exp'!$AA50,IF('[6]Table 11 CWTs exp'!J50/'[6]Table 11 CWTs exp'!$AA50&gt;0,"-"," "))</f>
        <v xml:space="preserve"> </v>
      </c>
      <c r="K50" s="144" t="str">
        <f>IF('[6]Table 11 CWTs exp'!K50/'[6]Table 11 CWTs exp'!$AA50&gt;0.0005,'[6]Table 11 CWTs exp'!K50/'[6]Table 11 CWTs exp'!$AA50,IF('[6]Table 11 CWTs exp'!K50/'[6]Table 11 CWTs exp'!$AA50&gt;0,"-"," "))</f>
        <v xml:space="preserve"> </v>
      </c>
      <c r="L50" s="144" t="str">
        <f>IF('[6]Table 11 CWTs exp'!L50/'[6]Table 11 CWTs exp'!$AA50&gt;0.0005,'[6]Table 11 CWTs exp'!L50/'[6]Table 11 CWTs exp'!$AA50,IF('[6]Table 11 CWTs exp'!L50/'[6]Table 11 CWTs exp'!$AA50&gt;0,"-"," "))</f>
        <v xml:space="preserve"> </v>
      </c>
      <c r="M50" s="144" t="str">
        <f>IF('[6]Table 11 CWTs exp'!M50/'[6]Table 11 CWTs exp'!$AA50&gt;0.0005,'[6]Table 11 CWTs exp'!M50/'[6]Table 11 CWTs exp'!$AA50,IF('[6]Table 11 CWTs exp'!M50/'[6]Table 11 CWTs exp'!$AA50&gt;0,"-"," "))</f>
        <v xml:space="preserve"> </v>
      </c>
      <c r="N50" s="144" t="str">
        <f>IF('[6]Table 11 CWTs exp'!N50/'[6]Table 11 CWTs exp'!$AA50&gt;0.0005,'[6]Table 11 CWTs exp'!N50/'[6]Table 11 CWTs exp'!$AA50,IF('[6]Table 11 CWTs exp'!N50/'[6]Table 11 CWTs exp'!$AA50&gt;0,"-"," "))</f>
        <v xml:space="preserve"> </v>
      </c>
      <c r="O50" s="144" t="str">
        <f>IF('[6]Table 11 CWTs exp'!O50/'[6]Table 11 CWTs exp'!$AA50&gt;0.0005,'[6]Table 11 CWTs exp'!O50/'[6]Table 11 CWTs exp'!$AA50,IF('[6]Table 11 CWTs exp'!O50/'[6]Table 11 CWTs exp'!$AA50&gt;0,"-"," "))</f>
        <v xml:space="preserve"> </v>
      </c>
      <c r="P50" s="144" t="str">
        <f>IF('[6]Table 11 CWTs exp'!P50/'[6]Table 11 CWTs exp'!$AA50&gt;0.0005,'[6]Table 11 CWTs exp'!P50/'[6]Table 11 CWTs exp'!$AA50,IF('[6]Table 11 CWTs exp'!P50/'[6]Table 11 CWTs exp'!$AA50&gt;0,"-"," "))</f>
        <v xml:space="preserve"> </v>
      </c>
      <c r="Q50" s="145" t="str">
        <f>IF('[6]Table 11 CWTs exp'!Q50/'[6]Table 11 CWTs exp'!$AA50&gt;0.0005,'[6]Table 11 CWTs exp'!Q50/'[6]Table 11 CWTs exp'!$AA50,IF('[6]Table 11 CWTs exp'!Q50/'[6]Table 11 CWTs exp'!$AA50&gt;0,"-"," "))</f>
        <v xml:space="preserve"> </v>
      </c>
      <c r="R50" s="146" t="str">
        <f>IF('[6]Table 11 CWTs exp'!R50/'[6]Table 11 CWTs exp'!$AA50&gt;0.0005,'[6]Table 11 CWTs exp'!R50/'[6]Table 11 CWTs exp'!$AA50,IF('[6]Table 11 CWTs exp'!R50/'[6]Table 11 CWTs exp'!$AA50&gt;0,"-"," "))</f>
        <v xml:space="preserve"> </v>
      </c>
      <c r="S50" s="144" t="str">
        <f>IF('[6]Table 11 CWTs exp'!S50/'[6]Table 11 CWTs exp'!$AA50&gt;0.0005,'[6]Table 11 CWTs exp'!S50/'[6]Table 11 CWTs exp'!$AA50,IF('[6]Table 11 CWTs exp'!S50/'[6]Table 11 CWTs exp'!$AA50&gt;0,"-"," "))</f>
        <v xml:space="preserve"> </v>
      </c>
      <c r="T50" s="144">
        <f>IF('[6]Table 11 CWTs exp'!T50/'[6]Table 11 CWTs exp'!$AA50&gt;0.0005,'[6]Table 11 CWTs exp'!T50/'[6]Table 11 CWTs exp'!$AA50,IF('[6]Table 11 CWTs exp'!T50/'[6]Table 11 CWTs exp'!$AA50&gt;0,"-"," "))</f>
        <v>8.6956521739130436E-3</v>
      </c>
      <c r="U50" s="144" t="str">
        <f>IF('[6]Table 11 CWTs exp'!U50/'[6]Table 11 CWTs exp'!$AA50&gt;0.0005,'[6]Table 11 CWTs exp'!U50/'[6]Table 11 CWTs exp'!$AA50,IF('[6]Table 11 CWTs exp'!U50/'[6]Table 11 CWTs exp'!$AA50&gt;0,"-"," "))</f>
        <v xml:space="preserve"> </v>
      </c>
      <c r="V50" s="145" t="str">
        <f>IF('[6]Table 11 CWTs exp'!V50/'[6]Table 11 CWTs exp'!$AA50&gt;0.0005,'[6]Table 11 CWTs exp'!V50/'[6]Table 11 CWTs exp'!$AA50,IF('[6]Table 11 CWTs exp'!V50/'[6]Table 11 CWTs exp'!$AA50&gt;0,"-"," "))</f>
        <v xml:space="preserve"> </v>
      </c>
      <c r="W50" s="146" t="str">
        <f>IF('[6]Table 11 CWTs exp'!W50/'[6]Table 11 CWTs exp'!$AA50&gt;0.0005,'[6]Table 11 CWTs exp'!W50/'[6]Table 11 CWTs exp'!$AA50,IF('[6]Table 11 CWTs exp'!W50/'[6]Table 11 CWTs exp'!$AA50&gt;0,"-"," "))</f>
        <v xml:space="preserve"> </v>
      </c>
      <c r="X50" s="206" t="str">
        <f>IF('[6]Table 11 CWTs exp'!X50/'[6]Table 11 CWTs exp'!$AA50&gt;0.0005,'[6]Table 11 CWTs exp'!X50/'[6]Table 11 CWTs exp'!$AA50,IF('[6]Table 11 CWTs exp'!X50/'[6]Table 11 CWTs exp'!$AA50&gt;0,"-"," "))</f>
        <v xml:space="preserve"> </v>
      </c>
      <c r="Y50" s="147">
        <f t="shared" si="6"/>
        <v>0.59130434782608687</v>
      </c>
      <c r="Z50" s="148">
        <f t="shared" si="7"/>
        <v>0.40869565217391313</v>
      </c>
      <c r="AA50" s="38">
        <f>'[6]Table 11 CWTs exp'!AA50</f>
        <v>1265</v>
      </c>
      <c r="AD50" s="327"/>
    </row>
    <row r="51" spans="1:30" ht="15.65" customHeight="1" x14ac:dyDescent="0.3">
      <c r="E51" s="716" t="s">
        <v>120</v>
      </c>
      <c r="F51" s="716"/>
      <c r="G51" s="144" t="str">
        <f>IF('[6]Table 11 CWTs exp'!G51/'[6]Table 11 CWTs exp'!$AA51&gt;0.0005,'[6]Table 11 CWTs exp'!G51/'[6]Table 11 CWTs exp'!$AA51,IF('[6]Table 11 CWTs exp'!G51/'[6]Table 11 CWTs exp'!$AA51&gt;0,"-"," "))</f>
        <v xml:space="preserve"> </v>
      </c>
      <c r="H51" s="169">
        <f>IF('[6]Table 11 CWTs exp'!H51/'[6]Table 11 CWTs exp'!$AA51&gt;0.0005,'[6]Table 11 CWTs exp'!H51/'[6]Table 11 CWTs exp'!$AA51,IF('[6]Table 11 CWTs exp'!H51/'[6]Table 11 CWTs exp'!$AA51&gt;0,"-"," "))</f>
        <v>2.3243584350021034E-2</v>
      </c>
      <c r="I51" s="168">
        <f>IF('[6]Table 11 CWTs exp'!I51/'[6]Table 11 CWTs exp'!$AA51&gt;0.0005,'[6]Table 11 CWTs exp'!I51/'[6]Table 11 CWTs exp'!$AA51,IF('[6]Table 11 CWTs exp'!I51/'[6]Table 11 CWTs exp'!$AA51&gt;0,"-"," "))</f>
        <v>0.20152953903479776</v>
      </c>
      <c r="J51" s="170">
        <f>IF('[6]Table 11 CWTs exp'!J51/'[6]Table 11 CWTs exp'!$AA51&gt;0.0005,'[6]Table 11 CWTs exp'!J51/'[6]Table 11 CWTs exp'!$AA51,IF('[6]Table 11 CWTs exp'!J51/'[6]Table 11 CWTs exp'!$AA51&gt;0,"-"," "))</f>
        <v>3.9906244365646971E-2</v>
      </c>
      <c r="K51" s="168">
        <f>IF('[6]Table 11 CWTs exp'!K51/'[6]Table 11 CWTs exp'!$AA51&gt;0.0005,'[6]Table 11 CWTs exp'!K51/'[6]Table 11 CWTs exp'!$AA51,IF('[6]Table 11 CWTs exp'!K51/'[6]Table 11 CWTs exp'!$AA51&gt;0,"-"," "))</f>
        <v>4.3722579481940017E-3</v>
      </c>
      <c r="L51" s="168">
        <f>IF('[6]Table 11 CWTs exp'!L51/'[6]Table 11 CWTs exp'!$AA51&gt;0.0005,'[6]Table 11 CWTs exp'!L51/'[6]Table 11 CWTs exp'!$AA51,IF('[6]Table 11 CWTs exp'!L51/'[6]Table 11 CWTs exp'!$AA51&gt;0,"-"," "))</f>
        <v>3.5458861710439328E-3</v>
      </c>
      <c r="M51" s="168">
        <f>IF('[6]Table 11 CWTs exp'!M51/'[6]Table 11 CWTs exp'!$AA51&gt;0.0005,'[6]Table 11 CWTs exp'!M51/'[6]Table 11 CWTs exp'!$AA51,IF('[6]Table 11 CWTs exp'!M51/'[6]Table 11 CWTs exp'!$AA51&gt;0,"-"," "))</f>
        <v>8.1134683574734059E-4</v>
      </c>
      <c r="N51" s="168">
        <f>IF('[6]Table 11 CWTs exp'!N51/'[6]Table 11 CWTs exp'!$AA51&gt;0.0005,'[6]Table 11 CWTs exp'!N51/'[6]Table 11 CWTs exp'!$AA51,IF('[6]Table 11 CWTs exp'!N51/'[6]Table 11 CWTs exp'!$AA51&gt;0,"-"," "))</f>
        <v>0.22406695113889055</v>
      </c>
      <c r="O51" s="168">
        <f>IF('[6]Table 11 CWTs exp'!O51/'[6]Table 11 CWTs exp'!$AA51&gt;0.0005,'[6]Table 11 CWTs exp'!O51/'[6]Table 11 CWTs exp'!$AA51,IF('[6]Table 11 CWTs exp'!O51/'[6]Table 11 CWTs exp'!$AA51&gt;0,"-"," "))</f>
        <v>4.161908768555803E-3</v>
      </c>
      <c r="P51" s="168">
        <f>IF('[6]Table 11 CWTs exp'!P51/'[6]Table 11 CWTs exp'!$AA51&gt;0.0005,'[6]Table 11 CWTs exp'!P51/'[6]Table 11 CWTs exp'!$AA51,IF('[6]Table 11 CWTs exp'!P51/'[6]Table 11 CWTs exp'!$AA51&gt;0,"-"," "))</f>
        <v>3.0801129875593484E-3</v>
      </c>
      <c r="Q51" s="169">
        <f>IF('[6]Table 11 CWTs exp'!Q51/'[6]Table 11 CWTs exp'!$AA51&gt;0.0005,'[6]Table 11 CWTs exp'!Q51/'[6]Table 11 CWTs exp'!$AA51,IF('[6]Table 11 CWTs exp'!Q51/'[6]Table 11 CWTs exp'!$AA51&gt;0,"-"," "))</f>
        <v>7.1203197307530497E-2</v>
      </c>
      <c r="R51" s="170">
        <f>IF('[6]Table 11 CWTs exp'!R51/'[6]Table 11 CWTs exp'!$AA51&gt;0.0005,'[6]Table 11 CWTs exp'!R51/'[6]Table 11 CWTs exp'!$AA51,IF('[6]Table 11 CWTs exp'!R51/'[6]Table 11 CWTs exp'!$AA51&gt;0,"-"," "))</f>
        <v>3.3054871086002767E-2</v>
      </c>
      <c r="S51" s="168" t="str">
        <f>IF('[6]Table 11 CWTs exp'!S51/'[6]Table 11 CWTs exp'!$AA51&gt;0.0005,'[6]Table 11 CWTs exp'!S51/'[6]Table 11 CWTs exp'!$AA51,IF('[6]Table 11 CWTs exp'!S51/'[6]Table 11 CWTs exp'!$AA51&gt;0,"-"," "))</f>
        <v>-</v>
      </c>
      <c r="T51" s="168">
        <f>IF('[6]Table 11 CWTs exp'!T51/'[6]Table 11 CWTs exp'!$AA51&gt;0.0005,'[6]Table 11 CWTs exp'!T51/'[6]Table 11 CWTs exp'!$AA51,IF('[6]Table 11 CWTs exp'!T51/'[6]Table 11 CWTs exp'!$AA51&gt;0,"-"," "))</f>
        <v>4.2205060400264442E-2</v>
      </c>
      <c r="U51" s="168">
        <f>IF('[6]Table 11 CWTs exp'!U51/'[6]Table 11 CWTs exp'!$AA51&gt;0.0005,'[6]Table 11 CWTs exp'!U51/'[6]Table 11 CWTs exp'!$AA51,IF('[6]Table 11 CWTs exp'!U51/'[6]Table 11 CWTs exp'!$AA51&gt;0,"-"," "))</f>
        <v>7.1819219905042368E-3</v>
      </c>
      <c r="V51" s="169" t="str">
        <f>IF('[6]Table 11 CWTs exp'!V51/'[6]Table 11 CWTs exp'!$AA51&gt;0.0005,'[6]Table 11 CWTs exp'!V51/'[6]Table 11 CWTs exp'!$AA51,IF('[6]Table 11 CWTs exp'!V51/'[6]Table 11 CWTs exp'!$AA51&gt;0,"-"," "))</f>
        <v xml:space="preserve"> </v>
      </c>
      <c r="W51" s="170">
        <f>IF('[6]Table 11 CWTs exp'!W51/'[6]Table 11 CWTs exp'!$AA51&gt;0.0005,'[6]Table 11 CWTs exp'!W51/'[6]Table 11 CWTs exp'!$AA51,IF('[6]Table 11 CWTs exp'!W51/'[6]Table 11 CWTs exp'!$AA51&gt;0,"-"," "))</f>
        <v>1.8630927339383376E-3</v>
      </c>
      <c r="X51" s="212" t="str">
        <f>IF('[6]Table 11 CWTs exp'!X51/'[6]Table 11 CWTs exp'!$AA51&gt;0.0005,'[6]Table 11 CWTs exp'!X51/'[6]Table 11 CWTs exp'!$AA51,IF('[6]Table 11 CWTs exp'!X51/'[6]Table 11 CWTs exp'!$AA51&gt;0,"-"," "))</f>
        <v xml:space="preserve"> </v>
      </c>
      <c r="Y51" s="171">
        <f t="shared" si="6"/>
        <v>0.66022597511869707</v>
      </c>
      <c r="Z51" s="172">
        <f t="shared" si="7"/>
        <v>0.33977402488130293</v>
      </c>
      <c r="AA51" s="89">
        <f>'[6]Table 11 CWTs exp'!AA51</f>
        <v>66556</v>
      </c>
      <c r="AB51" s="159"/>
      <c r="AC51" s="159"/>
    </row>
    <row r="52" spans="1:30" ht="4.5" customHeight="1" x14ac:dyDescent="0.25">
      <c r="E52" s="110"/>
      <c r="F52" s="111"/>
      <c r="G52" s="25"/>
      <c r="H52" s="214" t="str">
        <f>IF('[6]Table 11 CWTs exp'!H53&gt;0,'[6]Table 11 CWTs exp'!H53/'[6]Table 11 CWTs exp'!$AA53," ")</f>
        <v xml:space="preserve"> </v>
      </c>
      <c r="I52" s="215" t="str">
        <f>IF('[6]Table 11 CWTs exp'!I53&gt;0,'[6]Table 11 CWTs exp'!I53/'[6]Table 11 CWTs exp'!$AA53," ")</f>
        <v xml:space="preserve"> </v>
      </c>
      <c r="J52" s="216" t="str">
        <f>IF('[6]Table 11 CWTs exp'!J53&gt;0,'[6]Table 11 CWTs exp'!J53/'[6]Table 11 CWTs exp'!$AA53," ")</f>
        <v xml:space="preserve"> </v>
      </c>
      <c r="K52" s="215" t="str">
        <f>IF('[6]Table 11 CWTs exp'!K53&gt;0,'[6]Table 11 CWTs exp'!K53/'[6]Table 11 CWTs exp'!$AA53," ")</f>
        <v xml:space="preserve"> </v>
      </c>
      <c r="L52" s="215" t="str">
        <f>IF('[6]Table 11 CWTs exp'!L53&gt;0,'[6]Table 11 CWTs exp'!L53/'[6]Table 11 CWTs exp'!$AA53," ")</f>
        <v xml:space="preserve"> </v>
      </c>
      <c r="M52" s="215" t="str">
        <f>IF('[6]Table 11 CWTs exp'!M53&gt;0,'[6]Table 11 CWTs exp'!M53/'[6]Table 11 CWTs exp'!$AA53," ")</f>
        <v xml:space="preserve"> </v>
      </c>
      <c r="N52" s="215" t="str">
        <f>IF('[6]Table 11 CWTs exp'!N53&gt;0,'[6]Table 11 CWTs exp'!N53/'[6]Table 11 CWTs exp'!$AA53," ")</f>
        <v xml:space="preserve"> </v>
      </c>
      <c r="O52" s="215" t="str">
        <f>IF('[6]Table 11 CWTs exp'!O53&gt;0,'[6]Table 11 CWTs exp'!O53/'[6]Table 11 CWTs exp'!$AA53," ")</f>
        <v xml:space="preserve"> </v>
      </c>
      <c r="P52" s="215" t="str">
        <f>IF('[6]Table 11 CWTs exp'!P53&gt;0,'[6]Table 11 CWTs exp'!P53/'[6]Table 11 CWTs exp'!$AA53," ")</f>
        <v xml:space="preserve"> </v>
      </c>
      <c r="Q52" s="214" t="str">
        <f>IF('[6]Table 11 CWTs exp'!Q53&gt;0,'[6]Table 11 CWTs exp'!Q53/'[6]Table 11 CWTs exp'!$AA53," ")</f>
        <v xml:space="preserve"> </v>
      </c>
      <c r="R52" s="216" t="str">
        <f>IF('[6]Table 11 CWTs exp'!R53&gt;0,'[6]Table 11 CWTs exp'!R53/'[6]Table 11 CWTs exp'!$AA53," ")</f>
        <v xml:space="preserve"> </v>
      </c>
      <c r="S52" s="215" t="str">
        <f>IF('[6]Table 11 CWTs exp'!S53&gt;0,'[6]Table 11 CWTs exp'!S53/'[6]Table 11 CWTs exp'!$AA53," ")</f>
        <v xml:space="preserve"> </v>
      </c>
      <c r="T52" s="215" t="str">
        <f>IF('[6]Table 11 CWTs exp'!T53&gt;0,'[6]Table 11 CWTs exp'!T53/'[6]Table 11 CWTs exp'!$AA53," ")</f>
        <v xml:space="preserve"> </v>
      </c>
      <c r="U52" s="215" t="str">
        <f>IF('[6]Table 11 CWTs exp'!U53&gt;0,'[6]Table 11 CWTs exp'!U53/'[6]Table 11 CWTs exp'!$AA53," ")</f>
        <v xml:space="preserve"> </v>
      </c>
      <c r="V52" s="214" t="str">
        <f>IF('[6]Table 11 CWTs exp'!V53&gt;0,'[6]Table 11 CWTs exp'!V53/'[6]Table 11 CWTs exp'!$AA53," ")</f>
        <v xml:space="preserve"> </v>
      </c>
      <c r="W52" s="216" t="str">
        <f>IF('[6]Table 11 CWTs exp'!W53&gt;0,'[6]Table 11 CWTs exp'!W53/'[6]Table 11 CWTs exp'!$AA53," ")</f>
        <v xml:space="preserve"> </v>
      </c>
      <c r="X52" s="215"/>
      <c r="Y52" s="217"/>
      <c r="Z52" s="218"/>
      <c r="AA52" s="219"/>
    </row>
    <row r="53" spans="1:30" ht="13.5" customHeight="1" x14ac:dyDescent="0.25">
      <c r="E53" s="724" t="s">
        <v>228</v>
      </c>
      <c r="F53" s="725"/>
      <c r="G53" s="725"/>
      <c r="H53" s="725"/>
      <c r="I53" s="725"/>
      <c r="J53" s="725"/>
      <c r="K53" s="725"/>
      <c r="L53" s="725"/>
      <c r="M53" s="725"/>
      <c r="N53" s="725"/>
      <c r="O53" s="725"/>
      <c r="P53" s="725"/>
      <c r="Q53" s="725"/>
      <c r="R53" s="725"/>
      <c r="S53" s="725"/>
      <c r="T53" s="725"/>
      <c r="U53" s="725"/>
      <c r="V53" s="725"/>
      <c r="W53" s="725"/>
      <c r="X53" s="725"/>
      <c r="Y53" s="725"/>
      <c r="Z53" s="725"/>
      <c r="AA53" s="725"/>
    </row>
    <row r="54" spans="1:30" ht="13.5" customHeight="1" x14ac:dyDescent="0.25">
      <c r="E54" s="726" t="s">
        <v>257</v>
      </c>
      <c r="F54" s="726"/>
      <c r="G54" s="726"/>
      <c r="H54" s="726"/>
      <c r="I54" s="726"/>
      <c r="J54" s="726"/>
      <c r="K54" s="726"/>
      <c r="L54" s="726"/>
      <c r="M54" s="726"/>
      <c r="N54" s="726"/>
      <c r="O54" s="726"/>
      <c r="P54" s="726"/>
      <c r="Q54" s="182"/>
      <c r="R54" s="182"/>
      <c r="S54" s="182"/>
      <c r="T54" s="182"/>
      <c r="U54" s="182"/>
      <c r="V54" s="182"/>
      <c r="W54" s="182"/>
      <c r="X54" s="182"/>
      <c r="Y54" s="182"/>
      <c r="Z54" s="182"/>
      <c r="AA54" s="182"/>
    </row>
    <row r="55" spans="1:30" ht="13.5" hidden="1" customHeight="1" x14ac:dyDescent="0.25">
      <c r="E55" s="183" t="s">
        <v>142</v>
      </c>
      <c r="F55" s="183"/>
      <c r="G55" s="183"/>
      <c r="H55" s="183"/>
      <c r="I55" s="183"/>
      <c r="J55" s="183"/>
      <c r="K55" s="183"/>
      <c r="L55" s="183"/>
      <c r="M55" s="183"/>
      <c r="N55" s="183"/>
      <c r="O55" s="183"/>
      <c r="P55" s="183"/>
      <c r="Q55" s="183"/>
      <c r="R55" s="183"/>
      <c r="S55" s="183"/>
      <c r="T55" s="183"/>
      <c r="U55" s="183"/>
      <c r="V55" s="183"/>
      <c r="W55" s="183"/>
      <c r="X55" s="183"/>
      <c r="Y55" s="183"/>
      <c r="Z55" s="183"/>
      <c r="AA55" s="183"/>
    </row>
    <row r="56" spans="1:30" ht="13.5" customHeight="1" x14ac:dyDescent="0.25">
      <c r="E56" s="27" t="s">
        <v>230</v>
      </c>
      <c r="F56" s="34"/>
      <c r="G56" s="34"/>
      <c r="H56" s="27"/>
      <c r="I56" s="27"/>
      <c r="J56" s="27"/>
      <c r="K56" s="27"/>
      <c r="L56" s="27"/>
      <c r="M56" s="27"/>
      <c r="N56" s="27"/>
      <c r="O56" s="27"/>
      <c r="P56" s="27"/>
      <c r="Q56" s="27"/>
      <c r="R56" s="27"/>
      <c r="S56" s="27"/>
      <c r="T56" s="27"/>
      <c r="U56" s="27"/>
      <c r="V56" s="27"/>
      <c r="W56" s="27"/>
      <c r="X56" s="27"/>
      <c r="Y56" s="27"/>
      <c r="Z56" s="27"/>
      <c r="AA56" s="27"/>
    </row>
  </sheetData>
  <mergeCells count="10">
    <mergeCell ref="E38:F38"/>
    <mergeCell ref="E51:F51"/>
    <mergeCell ref="E53:AA53"/>
    <mergeCell ref="E54:P54"/>
    <mergeCell ref="H2:J2"/>
    <mergeCell ref="K2:P2"/>
    <mergeCell ref="Q2:R2"/>
    <mergeCell ref="V2:W2"/>
    <mergeCell ref="Y2:Z2"/>
    <mergeCell ref="E15:F15"/>
  </mergeCells>
  <pageMargins left="0.5" right="0.25" top="0.5" bottom="0" header="0.5" footer="0.5"/>
  <pageSetup scale="72" fitToHeight="0"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BCADA-D2BB-40A7-A30C-BC37539E0AFA}">
  <sheetPr>
    <pageSetUpPr fitToPage="1"/>
  </sheetPr>
  <dimension ref="A1:AL97"/>
  <sheetViews>
    <sheetView showGridLines="0" showZeros="0" topLeftCell="E1" zoomScale="115" zoomScaleNormal="115" workbookViewId="0">
      <pane xSplit="1" ySplit="3" topLeftCell="F4" activePane="bottomRight" state="frozen"/>
      <selection activeCell="E1" sqref="E1"/>
      <selection pane="topRight" activeCell="F1" sqref="F1"/>
      <selection pane="bottomLeft" activeCell="E4" sqref="E4"/>
      <selection pane="bottomRight" activeCell="Y10" sqref="Y10:Z10"/>
    </sheetView>
  </sheetViews>
  <sheetFormatPr defaultColWidth="9.1796875" defaultRowHeight="12.5" x14ac:dyDescent="0.25"/>
  <cols>
    <col min="1" max="1" width="7.26953125" style="455" hidden="1" customWidth="1"/>
    <col min="2" max="2" width="7.1796875" style="456" hidden="1" customWidth="1"/>
    <col min="3" max="3" width="6.54296875" style="456" hidden="1" customWidth="1"/>
    <col min="4" max="4" width="8.453125" style="456" hidden="1" customWidth="1"/>
    <col min="5" max="5" width="27" style="455" customWidth="1"/>
    <col min="6" max="6" width="7.453125" style="455" customWidth="1"/>
    <col min="7" max="7" width="5.1796875" style="458" customWidth="1"/>
    <col min="8" max="8" width="6.54296875" style="455" customWidth="1"/>
    <col min="9" max="9" width="6.453125" style="455" customWidth="1"/>
    <col min="10" max="11" width="6.54296875" style="455" customWidth="1"/>
    <col min="12" max="12" width="6.7265625" style="455" customWidth="1"/>
    <col min="13" max="13" width="6.81640625" style="455" customWidth="1"/>
    <col min="14" max="14" width="7.453125" style="455" customWidth="1"/>
    <col min="15" max="15" width="6.54296875" style="455" customWidth="1"/>
    <col min="16" max="16" width="7.453125" style="455" customWidth="1"/>
    <col min="17" max="17" width="7.1796875" style="455" customWidth="1"/>
    <col min="18" max="18" width="7.453125" style="455" customWidth="1"/>
    <col min="19" max="19" width="6.26953125" style="455" customWidth="1"/>
    <col min="20" max="22" width="7.453125" style="455" customWidth="1"/>
    <col min="23" max="23" width="6.54296875" style="455" customWidth="1"/>
    <col min="24" max="24" width="6.453125" style="455" hidden="1" customWidth="1"/>
    <col min="25" max="25" width="9" style="455" customWidth="1"/>
    <col min="26" max="26" width="8.81640625" style="455" customWidth="1"/>
    <col min="27" max="28" width="8.7265625" style="455" customWidth="1"/>
    <col min="29" max="31" width="8" style="455" customWidth="1"/>
    <col min="32" max="32" width="9.54296875" style="455" customWidth="1"/>
    <col min="33" max="33" width="9.1796875" style="455"/>
    <col min="34" max="34" width="11.453125" style="455" bestFit="1" customWidth="1"/>
    <col min="35" max="35" width="10.453125" style="455" bestFit="1" customWidth="1"/>
    <col min="36" max="36" width="11.453125" style="455" bestFit="1" customWidth="1"/>
    <col min="37" max="37" width="10.453125" style="455" bestFit="1" customWidth="1"/>
    <col min="38" max="16384" width="9.1796875" style="455"/>
  </cols>
  <sheetData>
    <row r="1" spans="1:38" ht="23.5" customHeight="1" x14ac:dyDescent="0.25">
      <c r="E1" s="457" t="s">
        <v>245</v>
      </c>
      <c r="AC1" s="551"/>
      <c r="AD1" s="551"/>
      <c r="AE1" s="551"/>
      <c r="AF1" s="551"/>
      <c r="AG1" s="551"/>
      <c r="AH1" s="551"/>
      <c r="AI1" s="551"/>
      <c r="AJ1" s="551"/>
      <c r="AK1" s="551"/>
      <c r="AL1" s="551"/>
    </row>
    <row r="2" spans="1:38" ht="14.5" customHeight="1" x14ac:dyDescent="0.3">
      <c r="E2" s="459"/>
      <c r="F2" s="460"/>
      <c r="G2" s="461"/>
      <c r="H2" s="739" t="s">
        <v>1</v>
      </c>
      <c r="I2" s="739"/>
      <c r="J2" s="739"/>
      <c r="K2" s="739" t="s">
        <v>2</v>
      </c>
      <c r="L2" s="740"/>
      <c r="M2" s="740"/>
      <c r="N2" s="740"/>
      <c r="O2" s="740"/>
      <c r="P2" s="740"/>
      <c r="Q2" s="739" t="s">
        <v>246</v>
      </c>
      <c r="R2" s="739"/>
      <c r="S2" s="462"/>
      <c r="T2" s="463" t="s">
        <v>4</v>
      </c>
      <c r="U2" s="462"/>
      <c r="V2" s="739" t="s">
        <v>5</v>
      </c>
      <c r="W2" s="739"/>
      <c r="X2" s="464"/>
      <c r="Y2" s="731" t="s">
        <v>8</v>
      </c>
      <c r="Z2" s="732"/>
      <c r="AA2" s="465" t="s">
        <v>9</v>
      </c>
      <c r="AB2" s="466"/>
      <c r="AC2" s="552" t="s">
        <v>10</v>
      </c>
      <c r="AD2" s="552"/>
      <c r="AE2" s="552"/>
      <c r="AF2" s="551"/>
      <c r="AG2" s="553" t="s">
        <v>11</v>
      </c>
      <c r="AH2" s="553" t="s">
        <v>12</v>
      </c>
      <c r="AI2" s="551"/>
      <c r="AJ2" s="551"/>
      <c r="AK2" s="551"/>
      <c r="AL2" s="551"/>
    </row>
    <row r="3" spans="1:38" ht="14.5" customHeight="1" x14ac:dyDescent="0.3">
      <c r="A3" s="468" t="s">
        <v>13</v>
      </c>
      <c r="B3" s="469" t="s">
        <v>14</v>
      </c>
      <c r="C3" s="469" t="s">
        <v>15</v>
      </c>
      <c r="D3" s="469" t="s">
        <v>16</v>
      </c>
      <c r="E3" s="470" t="s">
        <v>17</v>
      </c>
      <c r="F3" s="471" t="s">
        <v>18</v>
      </c>
      <c r="G3" s="472" t="s">
        <v>19</v>
      </c>
      <c r="H3" s="473" t="s">
        <v>159</v>
      </c>
      <c r="I3" s="474" t="s">
        <v>160</v>
      </c>
      <c r="J3" s="475" t="s">
        <v>22</v>
      </c>
      <c r="K3" s="474" t="s">
        <v>23</v>
      </c>
      <c r="L3" s="474" t="s">
        <v>183</v>
      </c>
      <c r="M3" s="474" t="s">
        <v>185</v>
      </c>
      <c r="N3" s="474" t="s">
        <v>25</v>
      </c>
      <c r="O3" s="474" t="s">
        <v>184</v>
      </c>
      <c r="P3" s="474" t="s">
        <v>233</v>
      </c>
      <c r="Q3" s="473" t="s">
        <v>27</v>
      </c>
      <c r="R3" s="475" t="s">
        <v>28</v>
      </c>
      <c r="S3" s="474" t="s">
        <v>29</v>
      </c>
      <c r="T3" s="474" t="s">
        <v>30</v>
      </c>
      <c r="U3" s="474" t="s">
        <v>234</v>
      </c>
      <c r="V3" s="473" t="s">
        <v>33</v>
      </c>
      <c r="W3" s="475" t="s">
        <v>207</v>
      </c>
      <c r="X3" s="476" t="s">
        <v>198</v>
      </c>
      <c r="Y3" s="477" t="s">
        <v>36</v>
      </c>
      <c r="Z3" s="478" t="s">
        <v>37</v>
      </c>
      <c r="AA3" s="479" t="s">
        <v>18</v>
      </c>
      <c r="AB3" s="466"/>
      <c r="AC3" s="554" t="s">
        <v>38</v>
      </c>
      <c r="AD3" s="552"/>
      <c r="AE3" s="552"/>
      <c r="AF3" s="551"/>
      <c r="AG3" s="555"/>
      <c r="AH3" s="553"/>
      <c r="AI3" s="551"/>
      <c r="AJ3" s="551"/>
      <c r="AK3" s="551"/>
      <c r="AL3" s="551"/>
    </row>
    <row r="4" spans="1:38" ht="15.65" customHeight="1" x14ac:dyDescent="0.3">
      <c r="A4" s="468" t="s">
        <v>36</v>
      </c>
      <c r="B4" s="480"/>
      <c r="C4" s="480"/>
      <c r="D4" s="480"/>
      <c r="E4" s="481" t="s">
        <v>39</v>
      </c>
      <c r="F4" s="482"/>
      <c r="G4" s="483"/>
      <c r="H4" s="484"/>
      <c r="I4" s="485"/>
      <c r="J4" s="486"/>
      <c r="K4" s="485"/>
      <c r="L4" s="485"/>
      <c r="M4" s="485"/>
      <c r="N4" s="485"/>
      <c r="O4" s="485"/>
      <c r="P4" s="485"/>
      <c r="Q4" s="484"/>
      <c r="R4" s="486"/>
      <c r="S4" s="485"/>
      <c r="T4" s="485"/>
      <c r="U4" s="485"/>
      <c r="V4" s="484"/>
      <c r="W4" s="486"/>
      <c r="X4" s="485"/>
      <c r="Y4" s="487"/>
      <c r="Z4" s="488"/>
      <c r="AA4" s="485"/>
      <c r="AB4" s="485"/>
      <c r="AC4" s="556"/>
      <c r="AD4" s="556"/>
      <c r="AE4" s="556"/>
      <c r="AF4" s="551"/>
      <c r="AG4" s="555"/>
      <c r="AH4" s="553"/>
      <c r="AI4" s="551"/>
      <c r="AJ4" s="551"/>
      <c r="AK4" s="551"/>
      <c r="AL4" s="551"/>
    </row>
    <row r="5" spans="1:38" ht="14.15" customHeight="1" x14ac:dyDescent="0.25">
      <c r="A5" s="490" t="str">
        <f t="shared" ref="A5:A14" si="0">CONCATENATE(B5,C5,D5)</f>
        <v>FRFH501</v>
      </c>
      <c r="B5" s="480" t="s">
        <v>45</v>
      </c>
      <c r="C5" s="480">
        <v>50</v>
      </c>
      <c r="D5" s="480">
        <v>1</v>
      </c>
      <c r="E5" s="455" t="s">
        <v>46</v>
      </c>
      <c r="F5" s="491" t="str">
        <f t="shared" ref="F5:F12" si="1">LOOKUP(D5,$AJ$5:$AJ$8,$AK$5:$AK$8)</f>
        <v>Spring</v>
      </c>
      <c r="G5" s="492">
        <f>SUMIFS('[6]inland_taf_hatchgrp_tableraw&amp;yy'!G$3:G$38,'[6]inland_taf_hatchgrp_tableraw&amp;yy'!$AC$3:$AC$38,'2013 Table 11 CWTs exp'!$A5)</f>
        <v>0</v>
      </c>
      <c r="H5" s="493">
        <f>SUMIFS('[6]inland_taf_hatchgrp_tableraw&amp;yy'!H$3:H$38,'[6]inland_taf_hatchgrp_tableraw&amp;yy'!$AC$3:$AC$38,'2013 Table 11 CWTs exp'!$A5)</f>
        <v>0</v>
      </c>
      <c r="I5" s="494">
        <f>SUMIFS('[6]inland_taf_hatchgrp_tableraw&amp;yy'!I$3:I$38,'[6]inland_taf_hatchgrp_tableraw&amp;yy'!$AC$3:$AC$38,'2013 Table 11 CWTs exp'!$A5)</f>
        <v>0</v>
      </c>
      <c r="J5" s="495">
        <f>SUMIFS('[6]inland_taf_hatchgrp_tableraw&amp;yy'!J$3:J$38,'[6]inland_taf_hatchgrp_tableraw&amp;yy'!$AC$3:$AC$38,'2013 Table 11 CWTs exp'!$A5)</f>
        <v>0</v>
      </c>
      <c r="K5" s="494">
        <f>SUMIFS('[6]inland_taf_hatchgrp_tableraw&amp;yy'!K$3:K$38,'[6]inland_taf_hatchgrp_tableraw&amp;yy'!$AC$3:$AC$38,'2013 Table 11 CWTs exp'!$A5)</f>
        <v>3371</v>
      </c>
      <c r="L5" s="494">
        <f>SUMIFS('[6]inland_taf_hatchgrp_tableraw&amp;yy'!L$3:L$38,'[6]inland_taf_hatchgrp_tableraw&amp;yy'!$AC$3:$AC$38,'2013 Table 11 CWTs exp'!$A5)</f>
        <v>668</v>
      </c>
      <c r="M5" s="494">
        <f>SUMIFS('[6]inland_taf_hatchgrp_tableraw&amp;yy'!M$3:M$38,'[6]inland_taf_hatchgrp_tableraw&amp;yy'!$AC$3:$AC$38,'2013 Table 11 CWTs exp'!$A5)</f>
        <v>0</v>
      </c>
      <c r="N5" s="494">
        <f>SUMIFS('[6]inland_taf_hatchgrp_tableraw&amp;yy'!N$3:N$38,'[6]inland_taf_hatchgrp_tableraw&amp;yy'!$AC$3:$AC$38,'2013 Table 11 CWTs exp'!$A5)</f>
        <v>206</v>
      </c>
      <c r="O5" s="494">
        <f>SUMIFS('[6]inland_taf_hatchgrp_tableraw&amp;yy'!O$3:O$38,'[6]inland_taf_hatchgrp_tableraw&amp;yy'!$AC$3:$AC$38,'2013 Table 11 CWTs exp'!$A5)</f>
        <v>0</v>
      </c>
      <c r="P5" s="494">
        <f>SUMIFS('[6]inland_taf_hatchgrp_tableraw&amp;yy'!P$3:P$38,'[6]inland_taf_hatchgrp_tableraw&amp;yy'!$AC$3:$AC$38,'2013 Table 11 CWTs exp'!$A5)</f>
        <v>0</v>
      </c>
      <c r="Q5" s="493">
        <f>SUMIFS('[6]inland_taf_hatchgrp_tableraw&amp;yy'!Q$3:Q$38,'[6]inland_taf_hatchgrp_tableraw&amp;yy'!$AC$3:$AC$38,'2013 Table 11 CWTs exp'!$A5)</f>
        <v>0</v>
      </c>
      <c r="R5" s="495">
        <f>SUMIFS('[6]inland_taf_hatchgrp_tableraw&amp;yy'!R$3:R$38,'[6]inland_taf_hatchgrp_tableraw&amp;yy'!$AC$3:$AC$38,'2013 Table 11 CWTs exp'!$A5)</f>
        <v>0</v>
      </c>
      <c r="S5" s="494">
        <f>SUMIFS('[6]inland_taf_hatchgrp_tableraw&amp;yy'!S$3:S$38,'[6]inland_taf_hatchgrp_tableraw&amp;yy'!$AC$3:$AC$38,'2013 Table 11 CWTs exp'!$A5)</f>
        <v>0</v>
      </c>
      <c r="T5" s="494">
        <f>SUMIFS('[6]inland_taf_hatchgrp_tableraw&amp;yy'!T$3:T$38,'[6]inland_taf_hatchgrp_tableraw&amp;yy'!$AC$3:$AC$38,'2013 Table 11 CWTs exp'!$A5)</f>
        <v>0</v>
      </c>
      <c r="U5" s="494">
        <f>SUMIFS('[6]inland_taf_hatchgrp_tableraw&amp;yy'!U$3:U$38,'[6]inland_taf_hatchgrp_tableraw&amp;yy'!$AC$3:$AC$38,'2013 Table 11 CWTs exp'!$A5)</f>
        <v>0</v>
      </c>
      <c r="V5" s="493">
        <f>SUMIFS('[6]inland_taf_hatchgrp_tableraw&amp;yy'!V$3:V$38,'[6]inland_taf_hatchgrp_tableraw&amp;yy'!$AC$3:$AC$38,'2013 Table 11 CWTs exp'!$A5)</f>
        <v>0</v>
      </c>
      <c r="W5" s="495">
        <f>SUMIFS('[6]inland_taf_hatchgrp_tableraw&amp;yy'!W$3:W$38,'[6]inland_taf_hatchgrp_tableraw&amp;yy'!$AC$3:$AC$38,'2013 Table 11 CWTs exp'!$A5)</f>
        <v>0</v>
      </c>
      <c r="X5" s="494">
        <f>SUMIFS('[6]inland_taf_hatchgrp_tableraw&amp;yy'!X$3:X$38,'[6]inland_taf_hatchgrp_tableraw&amp;yy'!$AC$3:$AC$38,'2013 Table 11 CWTs exp'!$A5)</f>
        <v>0</v>
      </c>
      <c r="Y5" s="496">
        <f>SUM(G5:X5)</f>
        <v>4245</v>
      </c>
      <c r="Z5" s="497">
        <f>AA5-Y5</f>
        <v>46</v>
      </c>
      <c r="AA5" s="494">
        <f>SUMIFS('[6]inland_taf_hatchgrp_tableraw&amp;yy'!AA$3:AA$38,'[6]inland_taf_hatchgrp_tableraw&amp;yy'!$AC$3:$AC$38,'2013 Table 11 CWTs exp'!$A5)</f>
        <v>4291</v>
      </c>
      <c r="AB5" s="494"/>
      <c r="AC5" s="557">
        <f>SUMIFS('[6]inland_taf_hatchgrp_tableraw&amp;yy'!AB$3:AB$38,'[6]inland_taf_hatchgrp_tableraw&amp;yy'!$AC$3:$AC$38,'2013 Table 11 CWTs exp'!$A5)</f>
        <v>0.99</v>
      </c>
      <c r="AD5" s="557"/>
      <c r="AE5" s="557"/>
      <c r="AF5" s="551"/>
      <c r="AG5" s="553"/>
      <c r="AH5" s="553"/>
      <c r="AI5" s="551"/>
      <c r="AJ5" s="551">
        <v>1</v>
      </c>
      <c r="AK5" s="551" t="s">
        <v>47</v>
      </c>
      <c r="AL5" s="551"/>
    </row>
    <row r="6" spans="1:38" ht="14.15" customHeight="1" x14ac:dyDescent="0.25">
      <c r="A6" s="490" t="str">
        <f t="shared" si="0"/>
        <v>FRFH521</v>
      </c>
      <c r="B6" s="480" t="s">
        <v>45</v>
      </c>
      <c r="C6" s="480">
        <v>52</v>
      </c>
      <c r="D6" s="480">
        <v>1</v>
      </c>
      <c r="E6" s="455" t="s">
        <v>217</v>
      </c>
      <c r="F6" s="491" t="str">
        <f t="shared" si="1"/>
        <v>Spring</v>
      </c>
      <c r="G6" s="492">
        <f>SUMIFS('[6]inland_taf_hatchgrp_tableraw&amp;yy'!G$3:G$38,'[6]inland_taf_hatchgrp_tableraw&amp;yy'!$AC$3:$AC$38,'2013 Table 11 CWTs exp'!$A6)</f>
        <v>0</v>
      </c>
      <c r="H6" s="493">
        <f>SUMIFS('[6]inland_taf_hatchgrp_tableraw&amp;yy'!H$3:H$38,'[6]inland_taf_hatchgrp_tableraw&amp;yy'!$AC$3:$AC$38,'2013 Table 11 CWTs exp'!$A6)</f>
        <v>0</v>
      </c>
      <c r="I6" s="494">
        <f>SUMIFS('[6]inland_taf_hatchgrp_tableraw&amp;yy'!I$3:I$38,'[6]inland_taf_hatchgrp_tableraw&amp;yy'!$AC$3:$AC$38,'2013 Table 11 CWTs exp'!$A6)</f>
        <v>0</v>
      </c>
      <c r="J6" s="495">
        <f>SUMIFS('[6]inland_taf_hatchgrp_tableraw&amp;yy'!J$3:J$38,'[6]inland_taf_hatchgrp_tableraw&amp;yy'!$AC$3:$AC$38,'2013 Table 11 CWTs exp'!$A6)</f>
        <v>0</v>
      </c>
      <c r="K6" s="494">
        <f>SUMIFS('[6]inland_taf_hatchgrp_tableraw&amp;yy'!K$3:K$38,'[6]inland_taf_hatchgrp_tableraw&amp;yy'!$AC$3:$AC$38,'2013 Table 11 CWTs exp'!$A6)</f>
        <v>44</v>
      </c>
      <c r="L6" s="494">
        <f>SUMIFS('[6]inland_taf_hatchgrp_tableraw&amp;yy'!L$3:L$38,'[6]inland_taf_hatchgrp_tableraw&amp;yy'!$AC$3:$AC$38,'2013 Table 11 CWTs exp'!$A6)</f>
        <v>11</v>
      </c>
      <c r="M6" s="494">
        <f>SUMIFS('[6]inland_taf_hatchgrp_tableraw&amp;yy'!M$3:M$38,'[6]inland_taf_hatchgrp_tableraw&amp;yy'!$AC$3:$AC$38,'2013 Table 11 CWTs exp'!$A6)</f>
        <v>0</v>
      </c>
      <c r="N6" s="494">
        <f>SUMIFS('[6]inland_taf_hatchgrp_tableraw&amp;yy'!N$3:N$38,'[6]inland_taf_hatchgrp_tableraw&amp;yy'!$AC$3:$AC$38,'2013 Table 11 CWTs exp'!$A6)</f>
        <v>1</v>
      </c>
      <c r="O6" s="494">
        <f>SUMIFS('[6]inland_taf_hatchgrp_tableraw&amp;yy'!O$3:O$38,'[6]inland_taf_hatchgrp_tableraw&amp;yy'!$AC$3:$AC$38,'2013 Table 11 CWTs exp'!$A6)</f>
        <v>0</v>
      </c>
      <c r="P6" s="494">
        <f>SUMIFS('[6]inland_taf_hatchgrp_tableraw&amp;yy'!P$3:P$38,'[6]inland_taf_hatchgrp_tableraw&amp;yy'!$AC$3:$AC$38,'2013 Table 11 CWTs exp'!$A6)</f>
        <v>0</v>
      </c>
      <c r="Q6" s="493">
        <f>SUMIFS('[6]inland_taf_hatchgrp_tableraw&amp;yy'!Q$3:Q$38,'[6]inland_taf_hatchgrp_tableraw&amp;yy'!$AC$3:$AC$38,'2013 Table 11 CWTs exp'!$A6)</f>
        <v>0</v>
      </c>
      <c r="R6" s="495">
        <f>SUMIFS('[6]inland_taf_hatchgrp_tableraw&amp;yy'!R$3:R$38,'[6]inland_taf_hatchgrp_tableraw&amp;yy'!$AC$3:$AC$38,'2013 Table 11 CWTs exp'!$A6)</f>
        <v>0</v>
      </c>
      <c r="S6" s="494">
        <f>SUMIFS('[6]inland_taf_hatchgrp_tableraw&amp;yy'!S$3:S$38,'[6]inland_taf_hatchgrp_tableraw&amp;yy'!$AC$3:$AC$38,'2013 Table 11 CWTs exp'!$A6)</f>
        <v>0</v>
      </c>
      <c r="T6" s="494">
        <f>SUMIFS('[6]inland_taf_hatchgrp_tableraw&amp;yy'!T$3:T$38,'[6]inland_taf_hatchgrp_tableraw&amp;yy'!$AC$3:$AC$38,'2013 Table 11 CWTs exp'!$A6)</f>
        <v>0</v>
      </c>
      <c r="U6" s="494">
        <f>SUMIFS('[6]inland_taf_hatchgrp_tableraw&amp;yy'!U$3:U$38,'[6]inland_taf_hatchgrp_tableraw&amp;yy'!$AC$3:$AC$38,'2013 Table 11 CWTs exp'!$A6)</f>
        <v>0</v>
      </c>
      <c r="V6" s="493">
        <f>SUMIFS('[6]inland_taf_hatchgrp_tableraw&amp;yy'!V$3:V$38,'[6]inland_taf_hatchgrp_tableraw&amp;yy'!$AC$3:$AC$38,'2013 Table 11 CWTs exp'!$A6)</f>
        <v>0</v>
      </c>
      <c r="W6" s="495">
        <f>SUMIFS('[6]inland_taf_hatchgrp_tableraw&amp;yy'!W$3:W$38,'[6]inland_taf_hatchgrp_tableraw&amp;yy'!$AC$3:$AC$38,'2013 Table 11 CWTs exp'!$A6)</f>
        <v>0</v>
      </c>
      <c r="X6" s="494">
        <f>SUMIFS('[6]inland_taf_hatchgrp_tableraw&amp;yy'!X$3:X$38,'[6]inland_taf_hatchgrp_tableraw&amp;yy'!$AC$3:$AC$38,'2013 Table 11 CWTs exp'!$A6)</f>
        <v>0</v>
      </c>
      <c r="Y6" s="496">
        <f t="shared" ref="Y6:Y14" si="2">SUM(G6:X6)</f>
        <v>56</v>
      </c>
      <c r="Z6" s="497">
        <f t="shared" ref="Z6:Z14" si="3">AA6-Y6</f>
        <v>0</v>
      </c>
      <c r="AA6" s="494">
        <f>SUMIFS('[6]inland_taf_hatchgrp_tableraw&amp;yy'!AA$3:AA$38,'[6]inland_taf_hatchgrp_tableraw&amp;yy'!$AC$3:$AC$38,'2013 Table 11 CWTs exp'!$A6)</f>
        <v>56</v>
      </c>
      <c r="AB6" s="494"/>
      <c r="AC6" s="557">
        <f>SUMIFS('[6]inland_taf_hatchgrp_tableraw&amp;yy'!AB$3:AB$38,'[6]inland_taf_hatchgrp_tableraw&amp;yy'!$AC$3:$AC$38,'2013 Table 11 CWTs exp'!$A6)</f>
        <v>1</v>
      </c>
      <c r="AD6" s="557"/>
      <c r="AE6" s="557"/>
      <c r="AF6" s="551"/>
      <c r="AG6" s="555"/>
      <c r="AH6" s="553"/>
      <c r="AI6" s="551"/>
      <c r="AJ6" s="551">
        <v>3</v>
      </c>
      <c r="AK6" s="551" t="s">
        <v>48</v>
      </c>
      <c r="AL6" s="551"/>
    </row>
    <row r="7" spans="1:38" ht="14.15" customHeight="1" x14ac:dyDescent="0.25">
      <c r="A7" s="490" t="str">
        <f t="shared" si="0"/>
        <v>CNFH503</v>
      </c>
      <c r="B7" s="480" t="s">
        <v>40</v>
      </c>
      <c r="C7" s="480">
        <v>50</v>
      </c>
      <c r="D7" s="480">
        <v>3</v>
      </c>
      <c r="E7" s="455" t="s">
        <v>41</v>
      </c>
      <c r="F7" s="491" t="str">
        <f t="shared" si="1"/>
        <v>Fall</v>
      </c>
      <c r="G7" s="492">
        <f>SUMIFS('[6]inland_taf_hatchgrp_tableraw&amp;yy'!G$3:G$38,'[6]inland_taf_hatchgrp_tableraw&amp;yy'!$AC$3:$AC$38,'2013 Table 11 CWTs exp'!$A7)</f>
        <v>0</v>
      </c>
      <c r="H7" s="493">
        <f>SUMIFS('[6]inland_taf_hatchgrp_tableraw&amp;yy'!H$3:H$38,'[6]inland_taf_hatchgrp_tableraw&amp;yy'!$AC$3:$AC$38,'2013 Table 11 CWTs exp'!$A7)</f>
        <v>0</v>
      </c>
      <c r="I7" s="494">
        <f>SUMIFS('[6]inland_taf_hatchgrp_tableraw&amp;yy'!I$3:I$38,'[6]inland_taf_hatchgrp_tableraw&amp;yy'!$AC$3:$AC$38,'2013 Table 11 CWTs exp'!$A7)</f>
        <v>60877</v>
      </c>
      <c r="J7" s="495">
        <f>SUMIFS('[6]inland_taf_hatchgrp_tableraw&amp;yy'!J$3:J$38,'[6]inland_taf_hatchgrp_tableraw&amp;yy'!$AC$3:$AC$38,'2013 Table 11 CWTs exp'!$A7)</f>
        <v>1053</v>
      </c>
      <c r="K7" s="494">
        <f>SUMIFS('[6]inland_taf_hatchgrp_tableraw&amp;yy'!K$3:K$38,'[6]inland_taf_hatchgrp_tableraw&amp;yy'!$AC$3:$AC$38,'2013 Table 11 CWTs exp'!$A7)</f>
        <v>0</v>
      </c>
      <c r="L7" s="494">
        <f>SUMIFS('[6]inland_taf_hatchgrp_tableraw&amp;yy'!L$3:L$38,'[6]inland_taf_hatchgrp_tableraw&amp;yy'!$AC$3:$AC$38,'2013 Table 11 CWTs exp'!$A7)</f>
        <v>4</v>
      </c>
      <c r="M7" s="494">
        <f>SUMIFS('[6]inland_taf_hatchgrp_tableraw&amp;yy'!M$3:M$38,'[6]inland_taf_hatchgrp_tableraw&amp;yy'!$AC$3:$AC$38,'2013 Table 11 CWTs exp'!$A7)</f>
        <v>4</v>
      </c>
      <c r="N7" s="494">
        <f>SUMIFS('[6]inland_taf_hatchgrp_tableraw&amp;yy'!N$3:N$38,'[6]inland_taf_hatchgrp_tableraw&amp;yy'!$AC$3:$AC$38,'2013 Table 11 CWTs exp'!$A7)</f>
        <v>682</v>
      </c>
      <c r="O7" s="494">
        <f>SUMIFS('[6]inland_taf_hatchgrp_tableraw&amp;yy'!O$3:O$38,'[6]inland_taf_hatchgrp_tableraw&amp;yy'!$AC$3:$AC$38,'2013 Table 11 CWTs exp'!$A7)</f>
        <v>15</v>
      </c>
      <c r="P7" s="494">
        <f>SUMIFS('[6]inland_taf_hatchgrp_tableraw&amp;yy'!P$3:P$38,'[6]inland_taf_hatchgrp_tableraw&amp;yy'!$AC$3:$AC$38,'2013 Table 11 CWTs exp'!$A7)</f>
        <v>7</v>
      </c>
      <c r="Q7" s="493">
        <f>SUMIFS('[6]inland_taf_hatchgrp_tableraw&amp;yy'!Q$3:Q$38,'[6]inland_taf_hatchgrp_tableraw&amp;yy'!$AC$3:$AC$38,'2013 Table 11 CWTs exp'!$A7)</f>
        <v>0</v>
      </c>
      <c r="R7" s="495">
        <f>SUMIFS('[6]inland_taf_hatchgrp_tableraw&amp;yy'!R$3:R$38,'[6]inland_taf_hatchgrp_tableraw&amp;yy'!$AC$3:$AC$38,'2013 Table 11 CWTs exp'!$A7)</f>
        <v>4</v>
      </c>
      <c r="S7" s="494">
        <f>SUMIFS('[6]inland_taf_hatchgrp_tableraw&amp;yy'!S$3:S$38,'[6]inland_taf_hatchgrp_tableraw&amp;yy'!$AC$3:$AC$38,'2013 Table 11 CWTs exp'!$A7)</f>
        <v>0</v>
      </c>
      <c r="T7" s="494">
        <f>SUMIFS('[6]inland_taf_hatchgrp_tableraw&amp;yy'!T$3:T$38,'[6]inland_taf_hatchgrp_tableraw&amp;yy'!$AC$3:$AC$38,'2013 Table 11 CWTs exp'!$A7)</f>
        <v>15</v>
      </c>
      <c r="U7" s="494">
        <f>SUMIFS('[6]inland_taf_hatchgrp_tableraw&amp;yy'!U$3:U$38,'[6]inland_taf_hatchgrp_tableraw&amp;yy'!$AC$3:$AC$38,'2013 Table 11 CWTs exp'!$A7)</f>
        <v>4</v>
      </c>
      <c r="V7" s="493">
        <f>SUMIFS('[6]inland_taf_hatchgrp_tableraw&amp;yy'!V$3:V$38,'[6]inland_taf_hatchgrp_tableraw&amp;yy'!$AC$3:$AC$38,'2013 Table 11 CWTs exp'!$A7)</f>
        <v>3</v>
      </c>
      <c r="W7" s="495">
        <f>SUMIFS('[6]inland_taf_hatchgrp_tableraw&amp;yy'!W$3:W$38,'[6]inland_taf_hatchgrp_tableraw&amp;yy'!$AC$3:$AC$38,'2013 Table 11 CWTs exp'!$A7)</f>
        <v>0</v>
      </c>
      <c r="X7" s="494">
        <f>SUMIFS('[6]inland_taf_hatchgrp_tableraw&amp;yy'!X$3:X$38,'[6]inland_taf_hatchgrp_tableraw&amp;yy'!$AC$3:$AC$38,'2013 Table 11 CWTs exp'!$A7)</f>
        <v>0</v>
      </c>
      <c r="Y7" s="496">
        <f t="shared" si="2"/>
        <v>62668</v>
      </c>
      <c r="Z7" s="497">
        <f t="shared" si="3"/>
        <v>7193</v>
      </c>
      <c r="AA7" s="494">
        <f>SUMIFS('[6]inland_taf_hatchgrp_tableraw&amp;yy'!AA$3:AA$38,'[6]inland_taf_hatchgrp_tableraw&amp;yy'!$AC$3:$AC$38,'2013 Table 11 CWTs exp'!$A7)</f>
        <v>69861</v>
      </c>
      <c r="AB7" s="494"/>
      <c r="AC7" s="557">
        <f>SUMIFS('[6]inland_taf_hatchgrp_tableraw&amp;yy'!AB$3:AB$38,'[6]inland_taf_hatchgrp_tableraw&amp;yy'!$AC$3:$AC$38,'2013 Table 11 CWTs exp'!$A7)</f>
        <v>0.89700000000000002</v>
      </c>
      <c r="AD7" s="557"/>
      <c r="AE7" s="557"/>
      <c r="AF7" s="551"/>
      <c r="AG7" s="558">
        <f>1-AC7</f>
        <v>0.10299999999999998</v>
      </c>
      <c r="AH7" s="559">
        <f>Z7</f>
        <v>7193</v>
      </c>
      <c r="AI7" s="551"/>
      <c r="AJ7" s="551">
        <v>4</v>
      </c>
      <c r="AK7" s="551" t="s">
        <v>42</v>
      </c>
      <c r="AL7" s="551"/>
    </row>
    <row r="8" spans="1:38" ht="14.15" customHeight="1" x14ac:dyDescent="0.25">
      <c r="A8" s="490" t="str">
        <f t="shared" si="0"/>
        <v>FRFH503</v>
      </c>
      <c r="B8" s="480" t="s">
        <v>45</v>
      </c>
      <c r="C8" s="480">
        <v>50</v>
      </c>
      <c r="D8" s="480">
        <v>3</v>
      </c>
      <c r="E8" s="455" t="s">
        <v>46</v>
      </c>
      <c r="F8" s="491" t="str">
        <f t="shared" si="1"/>
        <v>Fall</v>
      </c>
      <c r="G8" s="492">
        <f>SUMIFS('[6]inland_taf_hatchgrp_tableraw&amp;yy'!G$3:G$38,'[6]inland_taf_hatchgrp_tableraw&amp;yy'!$AC$3:$AC$38,'2013 Table 11 CWTs exp'!$A8)</f>
        <v>0</v>
      </c>
      <c r="H8" s="493">
        <f>SUMIFS('[6]inland_taf_hatchgrp_tableraw&amp;yy'!H$3:H$38,'[6]inland_taf_hatchgrp_tableraw&amp;yy'!$AC$3:$AC$38,'2013 Table 11 CWTs exp'!$A8)</f>
        <v>0</v>
      </c>
      <c r="I8" s="494">
        <f>SUMIFS('[6]inland_taf_hatchgrp_tableraw&amp;yy'!I$3:I$38,'[6]inland_taf_hatchgrp_tableraw&amp;yy'!$AC$3:$AC$38,'2013 Table 11 CWTs exp'!$A8)</f>
        <v>4</v>
      </c>
      <c r="J8" s="495">
        <f>SUMIFS('[6]inland_taf_hatchgrp_tableraw&amp;yy'!J$3:J$38,'[6]inland_taf_hatchgrp_tableraw&amp;yy'!$AC$3:$AC$38,'2013 Table 11 CWTs exp'!$A8)</f>
        <v>267</v>
      </c>
      <c r="K8" s="494">
        <f>SUMIFS('[6]inland_taf_hatchgrp_tableraw&amp;yy'!K$3:K$38,'[6]inland_taf_hatchgrp_tableraw&amp;yy'!$AC$3:$AC$38,'2013 Table 11 CWTs exp'!$A8)</f>
        <v>2991</v>
      </c>
      <c r="L8" s="494">
        <f>SUMIFS('[6]inland_taf_hatchgrp_tableraw&amp;yy'!L$3:L$38,'[6]inland_taf_hatchgrp_tableraw&amp;yy'!$AC$3:$AC$38,'2013 Table 11 CWTs exp'!$A8)</f>
        <v>855</v>
      </c>
      <c r="M8" s="494">
        <f>SUMIFS('[6]inland_taf_hatchgrp_tableraw&amp;yy'!M$3:M$38,'[6]inland_taf_hatchgrp_tableraw&amp;yy'!$AC$3:$AC$38,'2013 Table 11 CWTs exp'!$A8)</f>
        <v>62</v>
      </c>
      <c r="N8" s="494">
        <f>SUMIFS('[6]inland_taf_hatchgrp_tableraw&amp;yy'!N$3:N$38,'[6]inland_taf_hatchgrp_tableraw&amp;yy'!$AC$3:$AC$38,'2013 Table 11 CWTs exp'!$A8)</f>
        <v>22234</v>
      </c>
      <c r="O8" s="494">
        <f>SUMIFS('[6]inland_taf_hatchgrp_tableraw&amp;yy'!O$3:O$38,'[6]inland_taf_hatchgrp_tableraw&amp;yy'!$AC$3:$AC$38,'2013 Table 11 CWTs exp'!$A8)</f>
        <v>128</v>
      </c>
      <c r="P8" s="494">
        <f>SUMIFS('[6]inland_taf_hatchgrp_tableraw&amp;yy'!P$3:P$38,'[6]inland_taf_hatchgrp_tableraw&amp;yy'!$AC$3:$AC$38,'2013 Table 11 CWTs exp'!$A8)</f>
        <v>75</v>
      </c>
      <c r="Q8" s="493">
        <f>SUMIFS('[6]inland_taf_hatchgrp_tableraw&amp;yy'!Q$3:Q$38,'[6]inland_taf_hatchgrp_tableraw&amp;yy'!$AC$3:$AC$38,'2013 Table 11 CWTs exp'!$A8)</f>
        <v>8</v>
      </c>
      <c r="R8" s="495">
        <f>SUMIFS('[6]inland_taf_hatchgrp_tableraw&amp;yy'!R$3:R$38,'[6]inland_taf_hatchgrp_tableraw&amp;yy'!$AC$3:$AC$38,'2013 Table 11 CWTs exp'!$A8)</f>
        <v>16</v>
      </c>
      <c r="S8" s="494">
        <f>SUMIFS('[6]inland_taf_hatchgrp_tableraw&amp;yy'!S$3:S$38,'[6]inland_taf_hatchgrp_tableraw&amp;yy'!$AC$3:$AC$38,'2013 Table 11 CWTs exp'!$A8)</f>
        <v>1</v>
      </c>
      <c r="T8" s="494">
        <f>SUMIFS('[6]inland_taf_hatchgrp_tableraw&amp;yy'!T$3:T$38,'[6]inland_taf_hatchgrp_tableraw&amp;yy'!$AC$3:$AC$38,'2013 Table 11 CWTs exp'!$A8)</f>
        <v>57</v>
      </c>
      <c r="U8" s="494">
        <f>SUMIFS('[6]inland_taf_hatchgrp_tableraw&amp;yy'!U$3:U$38,'[6]inland_taf_hatchgrp_tableraw&amp;yy'!$AC$3:$AC$38,'2013 Table 11 CWTs exp'!$A8)</f>
        <v>8</v>
      </c>
      <c r="V8" s="493">
        <f>SUMIFS('[6]inland_taf_hatchgrp_tableraw&amp;yy'!V$3:V$38,'[6]inland_taf_hatchgrp_tableraw&amp;yy'!$AC$3:$AC$38,'2013 Table 11 CWTs exp'!$A8)</f>
        <v>4</v>
      </c>
      <c r="W8" s="495">
        <f>SUMIFS('[6]inland_taf_hatchgrp_tableraw&amp;yy'!W$3:W$38,'[6]inland_taf_hatchgrp_tableraw&amp;yy'!$AC$3:$AC$38,'2013 Table 11 CWTs exp'!$A8)</f>
        <v>2</v>
      </c>
      <c r="X8" s="494">
        <f>SUMIFS('[6]inland_taf_hatchgrp_tableraw&amp;yy'!X$3:X$38,'[6]inland_taf_hatchgrp_tableraw&amp;yy'!$AC$3:$AC$38,'2013 Table 11 CWTs exp'!$A8)</f>
        <v>0</v>
      </c>
      <c r="Y8" s="496">
        <f t="shared" si="2"/>
        <v>26712</v>
      </c>
      <c r="Z8" s="497">
        <f t="shared" si="3"/>
        <v>910</v>
      </c>
      <c r="AA8" s="494">
        <f>SUMIFS('[6]inland_taf_hatchgrp_tableraw&amp;yy'!AA$3:AA$38,'[6]inland_taf_hatchgrp_tableraw&amp;yy'!$AC$3:$AC$38,'2013 Table 11 CWTs exp'!$A8)</f>
        <v>27622</v>
      </c>
      <c r="AB8" s="494"/>
      <c r="AC8" s="557">
        <f>SUMIFS('[6]inland_taf_hatchgrp_tableraw&amp;yy'!AB$3:AB$38,'[6]inland_taf_hatchgrp_tableraw&amp;yy'!$AC$3:$AC$38,'2013 Table 11 CWTs exp'!$A8)</f>
        <v>0.96699999999999997</v>
      </c>
      <c r="AD8" s="557"/>
      <c r="AE8" s="557"/>
      <c r="AF8" s="551"/>
      <c r="AG8" s="558">
        <f t="shared" ref="AG8:AG12" si="4">1-AC8</f>
        <v>3.3000000000000029E-2</v>
      </c>
      <c r="AH8" s="559">
        <f t="shared" ref="AH8:AH12" si="5">Z8</f>
        <v>910</v>
      </c>
      <c r="AI8" s="551"/>
      <c r="AJ8" s="551">
        <v>7</v>
      </c>
      <c r="AK8" s="551" t="s">
        <v>49</v>
      </c>
      <c r="AL8" s="551"/>
    </row>
    <row r="9" spans="1:38" ht="14.15" customHeight="1" x14ac:dyDescent="0.25">
      <c r="A9" s="490" t="str">
        <f t="shared" si="0"/>
        <v>NBFH503</v>
      </c>
      <c r="B9" s="480" t="s">
        <v>50</v>
      </c>
      <c r="C9" s="480">
        <v>50</v>
      </c>
      <c r="D9" s="480">
        <v>3</v>
      </c>
      <c r="E9" s="455" t="s">
        <v>51</v>
      </c>
      <c r="F9" s="491" t="str">
        <f t="shared" si="1"/>
        <v>Fall</v>
      </c>
      <c r="G9" s="492">
        <f>SUMIFS('[6]inland_taf_hatchgrp_tableraw&amp;yy'!G$3:G$38,'[6]inland_taf_hatchgrp_tableraw&amp;yy'!$AC$3:$AC$38,'2013 Table 11 CWTs exp'!$A9)</f>
        <v>0</v>
      </c>
      <c r="H9" s="493">
        <f>SUMIFS('[6]inland_taf_hatchgrp_tableraw&amp;yy'!H$3:H$38,'[6]inland_taf_hatchgrp_tableraw&amp;yy'!$AC$3:$AC$38,'2013 Table 11 CWTs exp'!$A9)</f>
        <v>0</v>
      </c>
      <c r="I9" s="494">
        <f>SUMIFS('[6]inland_taf_hatchgrp_tableraw&amp;yy'!I$3:I$38,'[6]inland_taf_hatchgrp_tableraw&amp;yy'!$AC$3:$AC$38,'2013 Table 11 CWTs exp'!$A9)</f>
        <v>0</v>
      </c>
      <c r="J9" s="495">
        <f>SUMIFS('[6]inland_taf_hatchgrp_tableraw&amp;yy'!J$3:J$38,'[6]inland_taf_hatchgrp_tableraw&amp;yy'!$AC$3:$AC$38,'2013 Table 11 CWTs exp'!$A9)</f>
        <v>144</v>
      </c>
      <c r="K9" s="494">
        <f>SUMIFS('[6]inland_taf_hatchgrp_tableraw&amp;yy'!K$3:K$38,'[6]inland_taf_hatchgrp_tableraw&amp;yy'!$AC$3:$AC$38,'2013 Table 11 CWTs exp'!$A9)</f>
        <v>0</v>
      </c>
      <c r="L9" s="494">
        <f>SUMIFS('[6]inland_taf_hatchgrp_tableraw&amp;yy'!L$3:L$38,'[6]inland_taf_hatchgrp_tableraw&amp;yy'!$AC$3:$AC$38,'2013 Table 11 CWTs exp'!$A9)</f>
        <v>0</v>
      </c>
      <c r="M9" s="494">
        <f>SUMIFS('[6]inland_taf_hatchgrp_tableraw&amp;yy'!M$3:M$38,'[6]inland_taf_hatchgrp_tableraw&amp;yy'!$AC$3:$AC$38,'2013 Table 11 CWTs exp'!$A9)</f>
        <v>0</v>
      </c>
      <c r="N9" s="494">
        <f>SUMIFS('[6]inland_taf_hatchgrp_tableraw&amp;yy'!N$3:N$38,'[6]inland_taf_hatchgrp_tableraw&amp;yy'!$AC$3:$AC$38,'2013 Table 11 CWTs exp'!$A9)</f>
        <v>137</v>
      </c>
      <c r="O9" s="494">
        <f>SUMIFS('[6]inland_taf_hatchgrp_tableraw&amp;yy'!O$3:O$38,'[6]inland_taf_hatchgrp_tableraw&amp;yy'!$AC$3:$AC$38,'2013 Table 11 CWTs exp'!$A9)</f>
        <v>1</v>
      </c>
      <c r="P9" s="494">
        <f>SUMIFS('[6]inland_taf_hatchgrp_tableraw&amp;yy'!P$3:P$38,'[6]inland_taf_hatchgrp_tableraw&amp;yy'!$AC$3:$AC$38,'2013 Table 11 CWTs exp'!$A9)</f>
        <v>1</v>
      </c>
      <c r="Q9" s="493">
        <f>SUMIFS('[6]inland_taf_hatchgrp_tableraw&amp;yy'!Q$3:Q$38,'[6]inland_taf_hatchgrp_tableraw&amp;yy'!$AC$3:$AC$38,'2013 Table 11 CWTs exp'!$A9)</f>
        <v>3163</v>
      </c>
      <c r="R9" s="495">
        <f>SUMIFS('[6]inland_taf_hatchgrp_tableraw&amp;yy'!R$3:R$38,'[6]inland_taf_hatchgrp_tableraw&amp;yy'!$AC$3:$AC$38,'2013 Table 11 CWTs exp'!$A9)</f>
        <v>2343</v>
      </c>
      <c r="S9" s="494">
        <f>SUMIFS('[6]inland_taf_hatchgrp_tableraw&amp;yy'!S$3:S$38,'[6]inland_taf_hatchgrp_tableraw&amp;yy'!$AC$3:$AC$38,'2013 Table 11 CWTs exp'!$A9)</f>
        <v>8</v>
      </c>
      <c r="T9" s="494">
        <f>SUMIFS('[6]inland_taf_hatchgrp_tableraw&amp;yy'!T$3:T$38,'[6]inland_taf_hatchgrp_tableraw&amp;yy'!$AC$3:$AC$38,'2013 Table 11 CWTs exp'!$A9)</f>
        <v>1710</v>
      </c>
      <c r="U9" s="494">
        <f>SUMIFS('[6]inland_taf_hatchgrp_tableraw&amp;yy'!U$3:U$38,'[6]inland_taf_hatchgrp_tableraw&amp;yy'!$AC$3:$AC$38,'2013 Table 11 CWTs exp'!$A9)</f>
        <v>321</v>
      </c>
      <c r="V9" s="493">
        <f>SUMIFS('[6]inland_taf_hatchgrp_tableraw&amp;yy'!V$3:V$38,'[6]inland_taf_hatchgrp_tableraw&amp;yy'!$AC$3:$AC$38,'2013 Table 11 CWTs exp'!$A9)</f>
        <v>0</v>
      </c>
      <c r="W9" s="495">
        <f>SUMIFS('[6]inland_taf_hatchgrp_tableraw&amp;yy'!W$3:W$38,'[6]inland_taf_hatchgrp_tableraw&amp;yy'!$AC$3:$AC$38,'2013 Table 11 CWTs exp'!$A9)</f>
        <v>9</v>
      </c>
      <c r="X9" s="494">
        <f>SUMIFS('[6]inland_taf_hatchgrp_tableraw&amp;yy'!X$3:X$38,'[6]inland_taf_hatchgrp_tableraw&amp;yy'!$AC$3:$AC$38,'2013 Table 11 CWTs exp'!$A9)</f>
        <v>0</v>
      </c>
      <c r="Y9" s="496">
        <f t="shared" si="2"/>
        <v>7837</v>
      </c>
      <c r="Z9" s="497">
        <f t="shared" si="3"/>
        <v>1239</v>
      </c>
      <c r="AA9" s="494">
        <f>SUMIFS('[6]inland_taf_hatchgrp_tableraw&amp;yy'!AA$3:AA$38,'[6]inland_taf_hatchgrp_tableraw&amp;yy'!$AC$3:$AC$38,'2013 Table 11 CWTs exp'!$A9)</f>
        <v>9076</v>
      </c>
      <c r="AB9" s="494"/>
      <c r="AC9" s="557">
        <f>SUMIFS('[6]inland_taf_hatchgrp_tableraw&amp;yy'!AB$3:AB$38,'[6]inland_taf_hatchgrp_tableraw&amp;yy'!$AC$3:$AC$38,'2013 Table 11 CWTs exp'!$A9)</f>
        <v>0.86299999999999999</v>
      </c>
      <c r="AD9" s="557"/>
      <c r="AE9" s="557"/>
      <c r="AF9" s="551"/>
      <c r="AG9" s="558">
        <f t="shared" si="4"/>
        <v>0.13700000000000001</v>
      </c>
      <c r="AH9" s="559">
        <f t="shared" si="5"/>
        <v>1239</v>
      </c>
      <c r="AI9" s="551"/>
      <c r="AJ9" s="551"/>
      <c r="AK9" s="551"/>
      <c r="AL9" s="551"/>
    </row>
    <row r="10" spans="1:38" ht="14.15" customHeight="1" x14ac:dyDescent="0.25">
      <c r="A10" s="490" t="str">
        <f t="shared" si="0"/>
        <v>NIMW593</v>
      </c>
      <c r="B10" s="480" t="s">
        <v>88</v>
      </c>
      <c r="C10" s="480">
        <v>59</v>
      </c>
      <c r="D10" s="480">
        <v>3</v>
      </c>
      <c r="E10" s="455" t="s">
        <v>89</v>
      </c>
      <c r="F10" s="491" t="str">
        <f t="shared" si="1"/>
        <v>Fall</v>
      </c>
      <c r="G10" s="492">
        <f>SUMIFS('[6]inland_taf_hatchgrp_tableraw&amp;yy'!G$3:G$38,'[6]inland_taf_hatchgrp_tableraw&amp;yy'!$AC$3:$AC$38,'2013 Table 11 CWTs exp'!$A10)</f>
        <v>0</v>
      </c>
      <c r="H10" s="493">
        <f>SUMIFS('[6]inland_taf_hatchgrp_tableraw&amp;yy'!H$3:H$38,'[6]inland_taf_hatchgrp_tableraw&amp;yy'!$AC$3:$AC$38,'2013 Table 11 CWTs exp'!$A10)</f>
        <v>0</v>
      </c>
      <c r="I10" s="494">
        <f>SUMIFS('[6]inland_taf_hatchgrp_tableraw&amp;yy'!I$3:I$38,'[6]inland_taf_hatchgrp_tableraw&amp;yy'!$AC$3:$AC$38,'2013 Table 11 CWTs exp'!$A10)</f>
        <v>8</v>
      </c>
      <c r="J10" s="495">
        <f>SUMIFS('[6]inland_taf_hatchgrp_tableraw&amp;yy'!J$3:J$38,'[6]inland_taf_hatchgrp_tableraw&amp;yy'!$AC$3:$AC$38,'2013 Table 11 CWTs exp'!$A10)</f>
        <v>68</v>
      </c>
      <c r="K10" s="494">
        <f>SUMIFS('[6]inland_taf_hatchgrp_tableraw&amp;yy'!K$3:K$38,'[6]inland_taf_hatchgrp_tableraw&amp;yy'!$AC$3:$AC$38,'2013 Table 11 CWTs exp'!$A10)</f>
        <v>0</v>
      </c>
      <c r="L10" s="494">
        <f>SUMIFS('[6]inland_taf_hatchgrp_tableraw&amp;yy'!L$3:L$38,'[6]inland_taf_hatchgrp_tableraw&amp;yy'!$AC$3:$AC$38,'2013 Table 11 CWTs exp'!$A10)</f>
        <v>2</v>
      </c>
      <c r="M10" s="494">
        <f>SUMIFS('[6]inland_taf_hatchgrp_tableraw&amp;yy'!M$3:M$38,'[6]inland_taf_hatchgrp_tableraw&amp;yy'!$AC$3:$AC$38,'2013 Table 11 CWTs exp'!$A10)</f>
        <v>7</v>
      </c>
      <c r="N10" s="494">
        <f>SUMIFS('[6]inland_taf_hatchgrp_tableraw&amp;yy'!N$3:N$38,'[6]inland_taf_hatchgrp_tableraw&amp;yy'!$AC$3:$AC$38,'2013 Table 11 CWTs exp'!$A10)</f>
        <v>257</v>
      </c>
      <c r="O10" s="494">
        <f>SUMIFS('[6]inland_taf_hatchgrp_tableraw&amp;yy'!O$3:O$38,'[6]inland_taf_hatchgrp_tableraw&amp;yy'!$AC$3:$AC$38,'2013 Table 11 CWTs exp'!$A10)</f>
        <v>10</v>
      </c>
      <c r="P10" s="494">
        <f>SUMIFS('[6]inland_taf_hatchgrp_tableraw&amp;yy'!P$3:P$38,'[6]inland_taf_hatchgrp_tableraw&amp;yy'!$AC$3:$AC$38,'2013 Table 11 CWTs exp'!$A10)</f>
        <v>2</v>
      </c>
      <c r="Q10" s="493">
        <f>SUMIFS('[6]inland_taf_hatchgrp_tableraw&amp;yy'!Q$3:Q$38,'[6]inland_taf_hatchgrp_tableraw&amp;yy'!$AC$3:$AC$38,'2013 Table 11 CWTs exp'!$A10)</f>
        <v>1104</v>
      </c>
      <c r="R10" s="495">
        <f>SUMIFS('[6]inland_taf_hatchgrp_tableraw&amp;yy'!R$3:R$38,'[6]inland_taf_hatchgrp_tableraw&amp;yy'!$AC$3:$AC$38,'2013 Table 11 CWTs exp'!$A10)</f>
        <v>432</v>
      </c>
      <c r="S10" s="494">
        <f>SUMIFS('[6]inland_taf_hatchgrp_tableraw&amp;yy'!S$3:S$38,'[6]inland_taf_hatchgrp_tableraw&amp;yy'!$AC$3:$AC$38,'2013 Table 11 CWTs exp'!$A10)</f>
        <v>0</v>
      </c>
      <c r="T10" s="494">
        <f>SUMIFS('[6]inland_taf_hatchgrp_tableraw&amp;yy'!T$3:T$38,'[6]inland_taf_hatchgrp_tableraw&amp;yy'!$AC$3:$AC$38,'2013 Table 11 CWTs exp'!$A10)</f>
        <v>820</v>
      </c>
      <c r="U10" s="494">
        <f>SUMIFS('[6]inland_taf_hatchgrp_tableraw&amp;yy'!U$3:U$38,'[6]inland_taf_hatchgrp_tableraw&amp;yy'!$AC$3:$AC$38,'2013 Table 11 CWTs exp'!$A10)</f>
        <v>96</v>
      </c>
      <c r="V10" s="493">
        <f>SUMIFS('[6]inland_taf_hatchgrp_tableraw&amp;yy'!V$3:V$38,'[6]inland_taf_hatchgrp_tableraw&amp;yy'!$AC$3:$AC$38,'2013 Table 11 CWTs exp'!$A10)</f>
        <v>1</v>
      </c>
      <c r="W10" s="495">
        <f>SUMIFS('[6]inland_taf_hatchgrp_tableraw&amp;yy'!W$3:W$38,'[6]inland_taf_hatchgrp_tableraw&amp;yy'!$AC$3:$AC$38,'2013 Table 11 CWTs exp'!$A10)</f>
        <v>0</v>
      </c>
      <c r="X10" s="494">
        <f>SUMIFS('[6]inland_taf_hatchgrp_tableraw&amp;yy'!X$3:X$38,'[6]inland_taf_hatchgrp_tableraw&amp;yy'!$AC$3:$AC$38,'2013 Table 11 CWTs exp'!$A10)</f>
        <v>0</v>
      </c>
      <c r="Y10" s="496">
        <f t="shared" si="2"/>
        <v>2807</v>
      </c>
      <c r="Z10" s="497">
        <f t="shared" si="3"/>
        <v>1162</v>
      </c>
      <c r="AA10" s="494">
        <f>SUMIFS('[6]inland_taf_hatchgrp_tableraw&amp;yy'!AA$3:AA$38,'[6]inland_taf_hatchgrp_tableraw&amp;yy'!$AC$3:$AC$38,'2013 Table 11 CWTs exp'!$A10)</f>
        <v>3969</v>
      </c>
      <c r="AB10" s="494"/>
      <c r="AC10" s="557">
        <f>SUMIFS('[6]inland_taf_hatchgrp_tableraw&amp;yy'!AB$3:AB$38,'[6]inland_taf_hatchgrp_tableraw&amp;yy'!$AC$3:$AC$38,'2013 Table 11 CWTs exp'!$A10)</f>
        <v>0.70699999999999996</v>
      </c>
      <c r="AD10" s="557"/>
      <c r="AE10" s="557"/>
      <c r="AF10" s="551"/>
      <c r="AG10" s="558">
        <f t="shared" si="4"/>
        <v>0.29300000000000004</v>
      </c>
      <c r="AH10" s="559">
        <f t="shared" si="5"/>
        <v>1162</v>
      </c>
      <c r="AI10" s="551"/>
      <c r="AJ10" s="551"/>
      <c r="AK10" s="551"/>
      <c r="AL10" s="551"/>
    </row>
    <row r="11" spans="1:38" ht="14.15" customHeight="1" x14ac:dyDescent="0.25">
      <c r="A11" s="490" t="str">
        <f t="shared" si="0"/>
        <v>MRFI503</v>
      </c>
      <c r="B11" s="480" t="s">
        <v>52</v>
      </c>
      <c r="C11" s="480">
        <v>50</v>
      </c>
      <c r="D11" s="480">
        <v>3</v>
      </c>
      <c r="E11" s="455" t="s">
        <v>53</v>
      </c>
      <c r="F11" s="491" t="str">
        <f t="shared" si="1"/>
        <v>Fall</v>
      </c>
      <c r="G11" s="492">
        <f>SUMIFS('[6]inland_taf_hatchgrp_tableraw&amp;yy'!G$3:G$38,'[6]inland_taf_hatchgrp_tableraw&amp;yy'!$AC$3:$AC$38,'2013 Table 11 CWTs exp'!$A11)</f>
        <v>0</v>
      </c>
      <c r="H11" s="493">
        <f>SUMIFS('[6]inland_taf_hatchgrp_tableraw&amp;yy'!H$3:H$38,'[6]inland_taf_hatchgrp_tableraw&amp;yy'!$AC$3:$AC$38,'2013 Table 11 CWTs exp'!$A11)</f>
        <v>1</v>
      </c>
      <c r="I11" s="494">
        <f>SUMIFS('[6]inland_taf_hatchgrp_tableraw&amp;yy'!I$3:I$38,'[6]inland_taf_hatchgrp_tableraw&amp;yy'!$AC$3:$AC$38,'2013 Table 11 CWTs exp'!$A11)</f>
        <v>0</v>
      </c>
      <c r="J11" s="495">
        <f>SUMIFS('[6]inland_taf_hatchgrp_tableraw&amp;yy'!J$3:J$38,'[6]inland_taf_hatchgrp_tableraw&amp;yy'!$AC$3:$AC$38,'2013 Table 11 CWTs exp'!$A11)</f>
        <v>56</v>
      </c>
      <c r="K11" s="494">
        <f>SUMIFS('[6]inland_taf_hatchgrp_tableraw&amp;yy'!K$3:K$38,'[6]inland_taf_hatchgrp_tableraw&amp;yy'!$AC$3:$AC$38,'2013 Table 11 CWTs exp'!$A11)</f>
        <v>0</v>
      </c>
      <c r="L11" s="494">
        <f>SUMIFS('[6]inland_taf_hatchgrp_tableraw&amp;yy'!L$3:L$38,'[6]inland_taf_hatchgrp_tableraw&amp;yy'!$AC$3:$AC$38,'2013 Table 11 CWTs exp'!$A11)</f>
        <v>0</v>
      </c>
      <c r="M11" s="494">
        <f>SUMIFS('[6]inland_taf_hatchgrp_tableraw&amp;yy'!M$3:M$38,'[6]inland_taf_hatchgrp_tableraw&amp;yy'!$AC$3:$AC$38,'2013 Table 11 CWTs exp'!$A11)</f>
        <v>0</v>
      </c>
      <c r="N11" s="494">
        <f>SUMIFS('[6]inland_taf_hatchgrp_tableraw&amp;yy'!N$3:N$38,'[6]inland_taf_hatchgrp_tableraw&amp;yy'!$AC$3:$AC$38,'2013 Table 11 CWTs exp'!$A11)</f>
        <v>193</v>
      </c>
      <c r="O11" s="494">
        <f>SUMIFS('[6]inland_taf_hatchgrp_tableraw&amp;yy'!O$3:O$38,'[6]inland_taf_hatchgrp_tableraw&amp;yy'!$AC$3:$AC$38,'2013 Table 11 CWTs exp'!$A11)</f>
        <v>2</v>
      </c>
      <c r="P11" s="494">
        <f>SUMIFS('[6]inland_taf_hatchgrp_tableraw&amp;yy'!P$3:P$38,'[6]inland_taf_hatchgrp_tableraw&amp;yy'!$AC$3:$AC$38,'2013 Table 11 CWTs exp'!$A11)</f>
        <v>5</v>
      </c>
      <c r="Q11" s="493">
        <f>SUMIFS('[6]inland_taf_hatchgrp_tableraw&amp;yy'!Q$3:Q$38,'[6]inland_taf_hatchgrp_tableraw&amp;yy'!$AC$3:$AC$38,'2013 Table 11 CWTs exp'!$A11)</f>
        <v>4</v>
      </c>
      <c r="R11" s="495">
        <f>SUMIFS('[6]inland_taf_hatchgrp_tableraw&amp;yy'!R$3:R$38,'[6]inland_taf_hatchgrp_tableraw&amp;yy'!$AC$3:$AC$38,'2013 Table 11 CWTs exp'!$A11)</f>
        <v>72</v>
      </c>
      <c r="S11" s="494">
        <f>SUMIFS('[6]inland_taf_hatchgrp_tableraw&amp;yy'!S$3:S$38,'[6]inland_taf_hatchgrp_tableraw&amp;yy'!$AC$3:$AC$38,'2013 Table 11 CWTs exp'!$A11)</f>
        <v>241</v>
      </c>
      <c r="T11" s="494">
        <f>SUMIFS('[6]inland_taf_hatchgrp_tableraw&amp;yy'!T$3:T$38,'[6]inland_taf_hatchgrp_tableraw&amp;yy'!$AC$3:$AC$38,'2013 Table 11 CWTs exp'!$A11)</f>
        <v>3394</v>
      </c>
      <c r="U11" s="494">
        <f>SUMIFS('[6]inland_taf_hatchgrp_tableraw&amp;yy'!U$3:U$38,'[6]inland_taf_hatchgrp_tableraw&amp;yy'!$AC$3:$AC$38,'2013 Table 11 CWTs exp'!$A11)</f>
        <v>647</v>
      </c>
      <c r="V11" s="493">
        <f>SUMIFS('[6]inland_taf_hatchgrp_tableraw&amp;yy'!V$3:V$38,'[6]inland_taf_hatchgrp_tableraw&amp;yy'!$AC$3:$AC$38,'2013 Table 11 CWTs exp'!$A11)</f>
        <v>0</v>
      </c>
      <c r="W11" s="495">
        <f>SUMIFS('[6]inland_taf_hatchgrp_tableraw&amp;yy'!W$3:W$38,'[6]inland_taf_hatchgrp_tableraw&amp;yy'!$AC$3:$AC$38,'2013 Table 11 CWTs exp'!$A11)</f>
        <v>4</v>
      </c>
      <c r="X11" s="494">
        <f>SUMIFS('[6]inland_taf_hatchgrp_tableraw&amp;yy'!X$3:X$38,'[6]inland_taf_hatchgrp_tableraw&amp;yy'!$AC$3:$AC$38,'2013 Table 11 CWTs exp'!$A11)</f>
        <v>4</v>
      </c>
      <c r="Y11" s="496">
        <f t="shared" si="2"/>
        <v>4623</v>
      </c>
      <c r="Z11" s="497">
        <f t="shared" si="3"/>
        <v>558</v>
      </c>
      <c r="AA11" s="494">
        <f>SUMIFS('[6]inland_taf_hatchgrp_tableraw&amp;yy'!AA$3:AA$38,'[6]inland_taf_hatchgrp_tableraw&amp;yy'!$AC$3:$AC$38,'2013 Table 11 CWTs exp'!$A11)</f>
        <v>5181</v>
      </c>
      <c r="AB11" s="494"/>
      <c r="AC11" s="557">
        <f>SUMIFS('[6]inland_taf_hatchgrp_tableraw&amp;yy'!AB$3:AB$38,'[6]inland_taf_hatchgrp_tableraw&amp;yy'!$AC$3:$AC$38,'2013 Table 11 CWTs exp'!$A11)</f>
        <v>0.89200000000000002</v>
      </c>
      <c r="AD11" s="557"/>
      <c r="AE11" s="557"/>
      <c r="AF11" s="551"/>
      <c r="AG11" s="558">
        <f t="shared" si="4"/>
        <v>0.10799999999999998</v>
      </c>
      <c r="AH11" s="559">
        <f t="shared" si="5"/>
        <v>558</v>
      </c>
      <c r="AI11" s="551"/>
      <c r="AJ11" s="551"/>
      <c r="AK11" s="551"/>
      <c r="AL11" s="551"/>
    </row>
    <row r="12" spans="1:38" ht="14.15" customHeight="1" x14ac:dyDescent="0.25">
      <c r="A12" s="490" t="str">
        <f t="shared" si="0"/>
        <v>MRFF503</v>
      </c>
      <c r="B12" s="480" t="s">
        <v>54</v>
      </c>
      <c r="C12" s="480">
        <v>50</v>
      </c>
      <c r="D12" s="480">
        <v>3</v>
      </c>
      <c r="E12" s="455" t="s">
        <v>55</v>
      </c>
      <c r="F12" s="491" t="str">
        <f t="shared" si="1"/>
        <v>Fall</v>
      </c>
      <c r="G12" s="492">
        <f>SUMIFS('[6]inland_taf_hatchgrp_tableraw&amp;yy'!G$3:G$38,'[6]inland_taf_hatchgrp_tableraw&amp;yy'!$AC$3:$AC$38,'2013 Table 11 CWTs exp'!$A12)</f>
        <v>0</v>
      </c>
      <c r="H12" s="493">
        <f>SUMIFS('[6]inland_taf_hatchgrp_tableraw&amp;yy'!H$3:H$38,'[6]inland_taf_hatchgrp_tableraw&amp;yy'!$AC$3:$AC$38,'2013 Table 11 CWTs exp'!$A12)</f>
        <v>3</v>
      </c>
      <c r="I12" s="494">
        <f>SUMIFS('[6]inland_taf_hatchgrp_tableraw&amp;yy'!I$3:I$38,'[6]inland_taf_hatchgrp_tableraw&amp;yy'!$AC$3:$AC$38,'2013 Table 11 CWTs exp'!$A12)</f>
        <v>0</v>
      </c>
      <c r="J12" s="495">
        <f>SUMIFS('[6]inland_taf_hatchgrp_tableraw&amp;yy'!J$3:J$38,'[6]inland_taf_hatchgrp_tableraw&amp;yy'!$AC$3:$AC$38,'2013 Table 11 CWTs exp'!$A12)</f>
        <v>25</v>
      </c>
      <c r="K12" s="494">
        <f>SUMIFS('[6]inland_taf_hatchgrp_tableraw&amp;yy'!K$3:K$38,'[6]inland_taf_hatchgrp_tableraw&amp;yy'!$AC$3:$AC$38,'2013 Table 11 CWTs exp'!$A12)</f>
        <v>0</v>
      </c>
      <c r="L12" s="494">
        <f>SUMIFS('[6]inland_taf_hatchgrp_tableraw&amp;yy'!L$3:L$38,'[6]inland_taf_hatchgrp_tableraw&amp;yy'!$AC$3:$AC$38,'2013 Table 11 CWTs exp'!$A12)</f>
        <v>0</v>
      </c>
      <c r="M12" s="494">
        <f>SUMIFS('[6]inland_taf_hatchgrp_tableraw&amp;yy'!M$3:M$38,'[6]inland_taf_hatchgrp_tableraw&amp;yy'!$AC$3:$AC$38,'2013 Table 11 CWTs exp'!$A12)</f>
        <v>1</v>
      </c>
      <c r="N12" s="494">
        <f>SUMIFS('[6]inland_taf_hatchgrp_tableraw&amp;yy'!N$3:N$38,'[6]inland_taf_hatchgrp_tableraw&amp;yy'!$AC$3:$AC$38,'2013 Table 11 CWTs exp'!$A12)</f>
        <v>46</v>
      </c>
      <c r="O12" s="494">
        <f>SUMIFS('[6]inland_taf_hatchgrp_tableraw&amp;yy'!O$3:O$38,'[6]inland_taf_hatchgrp_tableraw&amp;yy'!$AC$3:$AC$38,'2013 Table 11 CWTs exp'!$A12)</f>
        <v>0</v>
      </c>
      <c r="P12" s="494">
        <f>SUMIFS('[6]inland_taf_hatchgrp_tableraw&amp;yy'!P$3:P$38,'[6]inland_taf_hatchgrp_tableraw&amp;yy'!$AC$3:$AC$38,'2013 Table 11 CWTs exp'!$A12)</f>
        <v>0</v>
      </c>
      <c r="Q12" s="493">
        <f>SUMIFS('[6]inland_taf_hatchgrp_tableraw&amp;yy'!Q$3:Q$38,'[6]inland_taf_hatchgrp_tableraw&amp;yy'!$AC$3:$AC$38,'2013 Table 11 CWTs exp'!$A12)</f>
        <v>0</v>
      </c>
      <c r="R12" s="495">
        <f>SUMIFS('[6]inland_taf_hatchgrp_tableraw&amp;yy'!R$3:R$38,'[6]inland_taf_hatchgrp_tableraw&amp;yy'!$AC$3:$AC$38,'2013 Table 11 CWTs exp'!$A12)</f>
        <v>34</v>
      </c>
      <c r="S12" s="494">
        <f>SUMIFS('[6]inland_taf_hatchgrp_tableraw&amp;yy'!S$3:S$38,'[6]inland_taf_hatchgrp_tableraw&amp;yy'!$AC$3:$AC$38,'2013 Table 11 CWTs exp'!$A12)</f>
        <v>0</v>
      </c>
      <c r="T12" s="494">
        <f>SUMIFS('[6]inland_taf_hatchgrp_tableraw&amp;yy'!T$3:T$38,'[6]inland_taf_hatchgrp_tableraw&amp;yy'!$AC$3:$AC$38,'2013 Table 11 CWTs exp'!$A12)</f>
        <v>378</v>
      </c>
      <c r="U12" s="494">
        <f>SUMIFS('[6]inland_taf_hatchgrp_tableraw&amp;yy'!U$3:U$38,'[6]inland_taf_hatchgrp_tableraw&amp;yy'!$AC$3:$AC$38,'2013 Table 11 CWTs exp'!$A12)</f>
        <v>99</v>
      </c>
      <c r="V12" s="493">
        <f>SUMIFS('[6]inland_taf_hatchgrp_tableraw&amp;yy'!V$3:V$38,'[6]inland_taf_hatchgrp_tableraw&amp;yy'!$AC$3:$AC$38,'2013 Table 11 CWTs exp'!$A12)</f>
        <v>96</v>
      </c>
      <c r="W12" s="495">
        <f>SUMIFS('[6]inland_taf_hatchgrp_tableraw&amp;yy'!W$3:W$38,'[6]inland_taf_hatchgrp_tableraw&amp;yy'!$AC$3:$AC$38,'2013 Table 11 CWTs exp'!$A12)</f>
        <v>6</v>
      </c>
      <c r="X12" s="494">
        <f>SUMIFS('[6]inland_taf_hatchgrp_tableraw&amp;yy'!X$3:X$38,'[6]inland_taf_hatchgrp_tableraw&amp;yy'!$AC$3:$AC$38,'2013 Table 11 CWTs exp'!$A12)</f>
        <v>0</v>
      </c>
      <c r="Y12" s="496">
        <f t="shared" si="2"/>
        <v>688</v>
      </c>
      <c r="Z12" s="497">
        <f t="shared" si="3"/>
        <v>410</v>
      </c>
      <c r="AA12" s="494">
        <f>SUMIFS('[6]inland_taf_hatchgrp_tableraw&amp;yy'!AA$3:AA$38,'[6]inland_taf_hatchgrp_tableraw&amp;yy'!$AC$3:$AC$38,'2013 Table 11 CWTs exp'!$A12)</f>
        <v>1098</v>
      </c>
      <c r="AB12" s="494"/>
      <c r="AC12" s="557">
        <f>SUMIFS('[6]inland_taf_hatchgrp_tableraw&amp;yy'!AB$3:AB$38,'[6]inland_taf_hatchgrp_tableraw&amp;yy'!$AC$3:$AC$38,'2013 Table 11 CWTs exp'!$A12)</f>
        <v>0.627</v>
      </c>
      <c r="AD12" s="557"/>
      <c r="AE12" s="557"/>
      <c r="AF12" s="551"/>
      <c r="AG12" s="558">
        <f t="shared" si="4"/>
        <v>0.373</v>
      </c>
      <c r="AH12" s="559">
        <f t="shared" si="5"/>
        <v>410</v>
      </c>
      <c r="AI12" s="551"/>
      <c r="AJ12" s="551"/>
      <c r="AK12" s="551"/>
      <c r="AL12" s="551"/>
    </row>
    <row r="13" spans="1:38" ht="14.15" customHeight="1" x14ac:dyDescent="0.25">
      <c r="A13" s="490" t="str">
        <f t="shared" si="0"/>
        <v>CNFH507</v>
      </c>
      <c r="B13" s="480" t="s">
        <v>40</v>
      </c>
      <c r="C13" s="480">
        <v>50</v>
      </c>
      <c r="D13" s="480">
        <v>7</v>
      </c>
      <c r="E13" s="455" t="s">
        <v>56</v>
      </c>
      <c r="F13" s="498" t="s">
        <v>57</v>
      </c>
      <c r="G13" s="492">
        <f>SUMIFS('[6]inland_taf_hatchgrp_tableraw&amp;yy'!G$3:G$38,'[6]inland_taf_hatchgrp_tableraw&amp;yy'!$AC$3:$AC$38,'2013 Table 11 CWTs exp'!$A13)</f>
        <v>0</v>
      </c>
      <c r="H13" s="493">
        <f>SUMIFS('[6]inland_taf_hatchgrp_tableraw&amp;yy'!H$3:H$38,'[6]inland_taf_hatchgrp_tableraw&amp;yy'!$AC$3:$AC$38,'2013 Table 11 CWTs exp'!$A13)</f>
        <v>4915</v>
      </c>
      <c r="I13" s="494">
        <f>SUMIFS('[6]inland_taf_hatchgrp_tableraw&amp;yy'!I$3:I$38,'[6]inland_taf_hatchgrp_tableraw&amp;yy'!$AC$3:$AC$38,'2013 Table 11 CWTs exp'!$A13)</f>
        <v>0</v>
      </c>
      <c r="J13" s="495">
        <f>SUMIFS('[6]inland_taf_hatchgrp_tableraw&amp;yy'!J$3:J$38,'[6]inland_taf_hatchgrp_tableraw&amp;yy'!$AC$3:$AC$38,'2013 Table 11 CWTs exp'!$A13)</f>
        <v>0</v>
      </c>
      <c r="K13" s="494">
        <f>SUMIFS('[6]inland_taf_hatchgrp_tableraw&amp;yy'!K$3:K$38,'[6]inland_taf_hatchgrp_tableraw&amp;yy'!$AC$3:$AC$38,'2013 Table 11 CWTs exp'!$A13)</f>
        <v>0</v>
      </c>
      <c r="L13" s="494">
        <f>SUMIFS('[6]inland_taf_hatchgrp_tableraw&amp;yy'!L$3:L$38,'[6]inland_taf_hatchgrp_tableraw&amp;yy'!$AC$3:$AC$38,'2013 Table 11 CWTs exp'!$A13)</f>
        <v>0</v>
      </c>
      <c r="M13" s="494">
        <f>SUMIFS('[6]inland_taf_hatchgrp_tableraw&amp;yy'!M$3:M$38,'[6]inland_taf_hatchgrp_tableraw&amp;yy'!$AC$3:$AC$38,'2013 Table 11 CWTs exp'!$A13)</f>
        <v>0</v>
      </c>
      <c r="N13" s="494">
        <f>SUMIFS('[6]inland_taf_hatchgrp_tableraw&amp;yy'!N$3:N$38,'[6]inland_taf_hatchgrp_tableraw&amp;yy'!$AC$3:$AC$38,'2013 Table 11 CWTs exp'!$A13)</f>
        <v>0</v>
      </c>
      <c r="O13" s="494">
        <f>SUMIFS('[6]inland_taf_hatchgrp_tableraw&amp;yy'!O$3:O$38,'[6]inland_taf_hatchgrp_tableraw&amp;yy'!$AC$3:$AC$38,'2013 Table 11 CWTs exp'!$A13)</f>
        <v>0</v>
      </c>
      <c r="P13" s="494">
        <f>SUMIFS('[6]inland_taf_hatchgrp_tableraw&amp;yy'!P$3:P$38,'[6]inland_taf_hatchgrp_tableraw&amp;yy'!$AC$3:$AC$38,'2013 Table 11 CWTs exp'!$A13)</f>
        <v>0</v>
      </c>
      <c r="Q13" s="493">
        <f>SUMIFS('[6]inland_taf_hatchgrp_tableraw&amp;yy'!Q$3:Q$38,'[6]inland_taf_hatchgrp_tableraw&amp;yy'!$AC$3:$AC$38,'2013 Table 11 CWTs exp'!$A13)</f>
        <v>0</v>
      </c>
      <c r="R13" s="495">
        <f>SUMIFS('[6]inland_taf_hatchgrp_tableraw&amp;yy'!R$3:R$38,'[6]inland_taf_hatchgrp_tableraw&amp;yy'!$AC$3:$AC$38,'2013 Table 11 CWTs exp'!$A13)</f>
        <v>0</v>
      </c>
      <c r="S13" s="494">
        <f>SUMIFS('[6]inland_taf_hatchgrp_tableraw&amp;yy'!S$3:S$38,'[6]inland_taf_hatchgrp_tableraw&amp;yy'!$AC$3:$AC$38,'2013 Table 11 CWTs exp'!$A13)</f>
        <v>0</v>
      </c>
      <c r="T13" s="494">
        <f>SUMIFS('[6]inland_taf_hatchgrp_tableraw&amp;yy'!T$3:T$38,'[6]inland_taf_hatchgrp_tableraw&amp;yy'!$AC$3:$AC$38,'2013 Table 11 CWTs exp'!$A13)</f>
        <v>0</v>
      </c>
      <c r="U13" s="494">
        <f>SUMIFS('[6]inland_taf_hatchgrp_tableraw&amp;yy'!U$3:U$38,'[6]inland_taf_hatchgrp_tableraw&amp;yy'!$AC$3:$AC$38,'2013 Table 11 CWTs exp'!$A13)</f>
        <v>0</v>
      </c>
      <c r="V13" s="493">
        <f>SUMIFS('[6]inland_taf_hatchgrp_tableraw&amp;yy'!V$3:V$38,'[6]inland_taf_hatchgrp_tableraw&amp;yy'!$AC$3:$AC$38,'2013 Table 11 CWTs exp'!$A13)</f>
        <v>0</v>
      </c>
      <c r="W13" s="495">
        <f>SUMIFS('[6]inland_taf_hatchgrp_tableraw&amp;yy'!W$3:W$38,'[6]inland_taf_hatchgrp_tableraw&amp;yy'!$AC$3:$AC$38,'2013 Table 11 CWTs exp'!$A13)</f>
        <v>0</v>
      </c>
      <c r="X13" s="494">
        <f>SUMIFS('[6]inland_taf_hatchgrp_tableraw&amp;yy'!X$3:X$38,'[6]inland_taf_hatchgrp_tableraw&amp;yy'!$AC$3:$AC$38,'2013 Table 11 CWTs exp'!$A13)</f>
        <v>0</v>
      </c>
      <c r="Y13" s="496">
        <f t="shared" si="2"/>
        <v>4915</v>
      </c>
      <c r="Z13" s="497">
        <f t="shared" si="3"/>
        <v>35</v>
      </c>
      <c r="AA13" s="494">
        <f>SUMIFS('[6]inland_taf_hatchgrp_tableraw&amp;yy'!AA$3:AA$38,'[6]inland_taf_hatchgrp_tableraw&amp;yy'!$AC$3:$AC$38,'2013 Table 11 CWTs exp'!$A13)</f>
        <v>4950</v>
      </c>
      <c r="AB13" s="494"/>
      <c r="AC13" s="557">
        <f>SUMIFS('[6]inland_taf_hatchgrp_tableraw&amp;yy'!AB$3:AB$38,'[6]inland_taf_hatchgrp_tableraw&amp;yy'!$AC$3:$AC$38,'2013 Table 11 CWTs exp'!$A13)</f>
        <v>0.99299999999999999</v>
      </c>
      <c r="AD13" s="557"/>
      <c r="AE13" s="557"/>
      <c r="AF13" s="551"/>
      <c r="AG13" s="591">
        <f>AVERAGE(AG7:AG12)</f>
        <v>0.17450000000000002</v>
      </c>
      <c r="AH13" s="559">
        <f>SUM(AH7:AH12)</f>
        <v>11472</v>
      </c>
      <c r="AI13" s="560">
        <f>AH13/AA15</f>
        <v>9.8213292011608888E-2</v>
      </c>
      <c r="AJ13" s="551"/>
      <c r="AK13" s="551"/>
      <c r="AL13" s="551"/>
    </row>
    <row r="14" spans="1:38" ht="14.15" customHeight="1" x14ac:dyDescent="0.25">
      <c r="A14" s="490" t="str">
        <f t="shared" si="0"/>
        <v>CNFW527</v>
      </c>
      <c r="B14" s="480" t="s">
        <v>59</v>
      </c>
      <c r="C14" s="480">
        <v>52</v>
      </c>
      <c r="D14" s="480">
        <v>7</v>
      </c>
      <c r="E14" s="455" t="s">
        <v>60</v>
      </c>
      <c r="F14" s="498" t="s">
        <v>57</v>
      </c>
      <c r="G14" s="492">
        <f>SUMIFS('[6]inland_taf_hatchgrp_tableraw&amp;yy'!G$3:G$38,'[6]inland_taf_hatchgrp_tableraw&amp;yy'!$AC$3:$AC$38,'2013 Table 11 CWTs exp'!$A14)</f>
        <v>0</v>
      </c>
      <c r="H14" s="493">
        <f>SUMIFS('[6]inland_taf_hatchgrp_tableraw&amp;yy'!H$3:H$38,'[6]inland_taf_hatchgrp_tableraw&amp;yy'!$AC$3:$AC$38,'2013 Table 11 CWTs exp'!$A14)</f>
        <v>216</v>
      </c>
      <c r="I14" s="494">
        <f>SUMIFS('[6]inland_taf_hatchgrp_tableraw&amp;yy'!I$3:I$38,'[6]inland_taf_hatchgrp_tableraw&amp;yy'!$AC$3:$AC$38,'2013 Table 11 CWTs exp'!$A14)</f>
        <v>0</v>
      </c>
      <c r="J14" s="495">
        <f>SUMIFS('[6]inland_taf_hatchgrp_tableraw&amp;yy'!J$3:J$38,'[6]inland_taf_hatchgrp_tableraw&amp;yy'!$AC$3:$AC$38,'2013 Table 11 CWTs exp'!$A14)</f>
        <v>0</v>
      </c>
      <c r="K14" s="494">
        <f>SUMIFS('[6]inland_taf_hatchgrp_tableraw&amp;yy'!K$3:K$38,'[6]inland_taf_hatchgrp_tableraw&amp;yy'!$AC$3:$AC$38,'2013 Table 11 CWTs exp'!$A14)</f>
        <v>0</v>
      </c>
      <c r="L14" s="494">
        <f>SUMIFS('[6]inland_taf_hatchgrp_tableraw&amp;yy'!L$3:L$38,'[6]inland_taf_hatchgrp_tableraw&amp;yy'!$AC$3:$AC$38,'2013 Table 11 CWTs exp'!$A14)</f>
        <v>0</v>
      </c>
      <c r="M14" s="494">
        <f>SUMIFS('[6]inland_taf_hatchgrp_tableraw&amp;yy'!M$3:M$38,'[6]inland_taf_hatchgrp_tableraw&amp;yy'!$AC$3:$AC$38,'2013 Table 11 CWTs exp'!$A14)</f>
        <v>0</v>
      </c>
      <c r="N14" s="494">
        <f>SUMIFS('[6]inland_taf_hatchgrp_tableraw&amp;yy'!N$3:N$38,'[6]inland_taf_hatchgrp_tableraw&amp;yy'!$AC$3:$AC$38,'2013 Table 11 CWTs exp'!$A14)</f>
        <v>0</v>
      </c>
      <c r="O14" s="494">
        <f>SUMIFS('[6]inland_taf_hatchgrp_tableraw&amp;yy'!O$3:O$38,'[6]inland_taf_hatchgrp_tableraw&amp;yy'!$AC$3:$AC$38,'2013 Table 11 CWTs exp'!$A14)</f>
        <v>0</v>
      </c>
      <c r="P14" s="494">
        <f>SUMIFS('[6]inland_taf_hatchgrp_tableraw&amp;yy'!P$3:P$38,'[6]inland_taf_hatchgrp_tableraw&amp;yy'!$AC$3:$AC$38,'2013 Table 11 CWTs exp'!$A14)</f>
        <v>0</v>
      </c>
      <c r="Q14" s="493">
        <f>SUMIFS('[6]inland_taf_hatchgrp_tableraw&amp;yy'!Q$3:Q$38,'[6]inland_taf_hatchgrp_tableraw&amp;yy'!$AC$3:$AC$38,'2013 Table 11 CWTs exp'!$A14)</f>
        <v>0</v>
      </c>
      <c r="R14" s="495">
        <f>SUMIFS('[6]inland_taf_hatchgrp_tableraw&amp;yy'!R$3:R$38,'[6]inland_taf_hatchgrp_tableraw&amp;yy'!$AC$3:$AC$38,'2013 Table 11 CWTs exp'!$A14)</f>
        <v>0</v>
      </c>
      <c r="S14" s="494">
        <f>SUMIFS('[6]inland_taf_hatchgrp_tableraw&amp;yy'!S$3:S$38,'[6]inland_taf_hatchgrp_tableraw&amp;yy'!$AC$3:$AC$38,'2013 Table 11 CWTs exp'!$A14)</f>
        <v>0</v>
      </c>
      <c r="T14" s="494">
        <f>SUMIFS('[6]inland_taf_hatchgrp_tableraw&amp;yy'!T$3:T$38,'[6]inland_taf_hatchgrp_tableraw&amp;yy'!$AC$3:$AC$38,'2013 Table 11 CWTs exp'!$A14)</f>
        <v>0</v>
      </c>
      <c r="U14" s="494">
        <f>SUMIFS('[6]inland_taf_hatchgrp_tableraw&amp;yy'!U$3:U$38,'[6]inland_taf_hatchgrp_tableraw&amp;yy'!$AC$3:$AC$38,'2013 Table 11 CWTs exp'!$A14)</f>
        <v>0</v>
      </c>
      <c r="V14" s="493">
        <f>SUMIFS('[6]inland_taf_hatchgrp_tableraw&amp;yy'!V$3:V$38,'[6]inland_taf_hatchgrp_tableraw&amp;yy'!$AC$3:$AC$38,'2013 Table 11 CWTs exp'!$A14)</f>
        <v>0</v>
      </c>
      <c r="W14" s="495">
        <f>SUMIFS('[6]inland_taf_hatchgrp_tableraw&amp;yy'!W$3:W$38,'[6]inland_taf_hatchgrp_tableraw&amp;yy'!$AC$3:$AC$38,'2013 Table 11 CWTs exp'!$A14)</f>
        <v>0</v>
      </c>
      <c r="X14" s="494">
        <f>SUMIFS('[6]inland_taf_hatchgrp_tableraw&amp;yy'!X$3:X$38,'[6]inland_taf_hatchgrp_tableraw&amp;yy'!$AC$3:$AC$38,'2013 Table 11 CWTs exp'!$A14)</f>
        <v>0</v>
      </c>
      <c r="Y14" s="496">
        <f t="shared" si="2"/>
        <v>216</v>
      </c>
      <c r="Z14" s="497">
        <f t="shared" si="3"/>
        <v>7</v>
      </c>
      <c r="AA14" s="494">
        <f>SUMIFS('[6]inland_taf_hatchgrp_tableraw&amp;yy'!AA$3:AA$38,'[6]inland_taf_hatchgrp_tableraw&amp;yy'!$AC$3:$AC$38,'2013 Table 11 CWTs exp'!$A14)</f>
        <v>223</v>
      </c>
      <c r="AB14" s="494"/>
      <c r="AC14" s="557">
        <f>SUMIFS('[6]inland_taf_hatchgrp_tableraw&amp;yy'!AB$3:AB$38,'[6]inland_taf_hatchgrp_tableraw&amp;yy'!$AC$3:$AC$38,'2013 Table 11 CWTs exp'!$A14)</f>
        <v>0.96899999999999997</v>
      </c>
      <c r="AD14" s="561">
        <f>SUM(Y5:Y14)</f>
        <v>114767</v>
      </c>
      <c r="AE14" s="561">
        <f>SUM(Z5:Z14)</f>
        <v>11560</v>
      </c>
      <c r="AF14" s="561">
        <f>SUM(AA5:AA14)</f>
        <v>126327</v>
      </c>
      <c r="AG14" s="555" t="s">
        <v>58</v>
      </c>
      <c r="AH14" s="553"/>
      <c r="AI14" s="551"/>
      <c r="AJ14" s="551"/>
      <c r="AK14" s="551"/>
      <c r="AL14" s="551"/>
    </row>
    <row r="15" spans="1:38" ht="14.15" customHeight="1" x14ac:dyDescent="0.3">
      <c r="A15" s="499"/>
      <c r="B15" s="500"/>
      <c r="C15" s="500"/>
      <c r="D15" s="500"/>
      <c r="E15" s="738" t="s">
        <v>188</v>
      </c>
      <c r="F15" s="738"/>
      <c r="G15" s="501">
        <f t="shared" ref="G15:AA15" si="6">SUM(G7:G12)</f>
        <v>0</v>
      </c>
      <c r="H15" s="502">
        <f t="shared" si="6"/>
        <v>4</v>
      </c>
      <c r="I15" s="503">
        <f t="shared" si="6"/>
        <v>60889</v>
      </c>
      <c r="J15" s="504">
        <f t="shared" si="6"/>
        <v>1613</v>
      </c>
      <c r="K15" s="503">
        <f t="shared" si="6"/>
        <v>2991</v>
      </c>
      <c r="L15" s="503">
        <f t="shared" si="6"/>
        <v>861</v>
      </c>
      <c r="M15" s="503">
        <f t="shared" si="6"/>
        <v>74</v>
      </c>
      <c r="N15" s="503">
        <f t="shared" si="6"/>
        <v>23549</v>
      </c>
      <c r="O15" s="503">
        <f t="shared" si="6"/>
        <v>156</v>
      </c>
      <c r="P15" s="503">
        <f t="shared" si="6"/>
        <v>90</v>
      </c>
      <c r="Q15" s="502">
        <f t="shared" si="6"/>
        <v>4279</v>
      </c>
      <c r="R15" s="504">
        <f t="shared" si="6"/>
        <v>2901</v>
      </c>
      <c r="S15" s="503">
        <f t="shared" si="6"/>
        <v>250</v>
      </c>
      <c r="T15" s="503">
        <f t="shared" si="6"/>
        <v>6374</v>
      </c>
      <c r="U15" s="503">
        <f t="shared" si="6"/>
        <v>1175</v>
      </c>
      <c r="V15" s="502">
        <f t="shared" si="6"/>
        <v>104</v>
      </c>
      <c r="W15" s="504">
        <f t="shared" si="6"/>
        <v>21</v>
      </c>
      <c r="X15" s="503">
        <f t="shared" si="6"/>
        <v>4</v>
      </c>
      <c r="Y15" s="505">
        <f t="shared" si="6"/>
        <v>105335</v>
      </c>
      <c r="Z15" s="506">
        <f t="shared" si="6"/>
        <v>11472</v>
      </c>
      <c r="AA15" s="503">
        <f t="shared" si="6"/>
        <v>116807</v>
      </c>
      <c r="AB15" s="507"/>
      <c r="AC15" s="562">
        <f>Y15/AA15</f>
        <v>0.90178670798839111</v>
      </c>
      <c r="AD15" s="563"/>
      <c r="AE15" s="563"/>
      <c r="AF15" s="563"/>
      <c r="AG15" s="564"/>
      <c r="AH15" s="564"/>
      <c r="AI15" s="563"/>
      <c r="AJ15" s="563"/>
      <c r="AK15" s="551"/>
      <c r="AL15" s="551"/>
    </row>
    <row r="16" spans="1:38" ht="14.15" customHeight="1" x14ac:dyDescent="0.3">
      <c r="A16" s="490" t="s">
        <v>62</v>
      </c>
      <c r="B16" s="480"/>
      <c r="C16" s="480"/>
      <c r="D16" s="480"/>
      <c r="E16" s="481" t="s">
        <v>63</v>
      </c>
      <c r="F16" s="482"/>
      <c r="G16" s="483"/>
      <c r="H16" s="508"/>
      <c r="I16" s="509"/>
      <c r="J16" s="510"/>
      <c r="K16" s="509"/>
      <c r="L16" s="509"/>
      <c r="M16" s="509"/>
      <c r="N16" s="509"/>
      <c r="O16" s="509"/>
      <c r="P16" s="509"/>
      <c r="Q16" s="508"/>
      <c r="R16" s="510"/>
      <c r="S16" s="509"/>
      <c r="T16" s="509"/>
      <c r="U16" s="509"/>
      <c r="V16" s="508"/>
      <c r="W16" s="510"/>
      <c r="X16" s="509"/>
      <c r="Y16" s="511"/>
      <c r="Z16" s="512"/>
      <c r="AA16" s="509"/>
      <c r="AB16" s="509"/>
      <c r="AC16" s="565"/>
      <c r="AD16" s="551"/>
      <c r="AE16" s="551"/>
      <c r="AF16" s="551"/>
      <c r="AG16" s="553"/>
      <c r="AH16" s="553"/>
      <c r="AI16" s="551"/>
      <c r="AJ16" s="551"/>
      <c r="AK16" s="551"/>
      <c r="AL16" s="551"/>
    </row>
    <row r="17" spans="1:38" ht="14.15" customHeight="1" x14ac:dyDescent="0.25">
      <c r="A17" s="490" t="str">
        <f t="shared" ref="A17:A37" si="7">CONCATENATE(B17,C17,D17)</f>
        <v>USAC544</v>
      </c>
      <c r="B17" s="480" t="s">
        <v>64</v>
      </c>
      <c r="C17" s="480">
        <v>54</v>
      </c>
      <c r="D17" s="480">
        <v>4</v>
      </c>
      <c r="E17" s="482" t="s">
        <v>65</v>
      </c>
      <c r="F17" s="483" t="str">
        <f>LOOKUP(D17,$AJ$5:$AJ$8,$AK$5:$AK$8)</f>
        <v>Winter</v>
      </c>
      <c r="G17" s="513">
        <f>SUMIFS('[6]inland_taf_hatchgrp_tableraw&amp;yy'!G$3:G$38,'[6]inland_taf_hatchgrp_tableraw&amp;yy'!$AC$3:$AC$38,'2013 Table 11 CWTs exp'!$A17)</f>
        <v>367</v>
      </c>
      <c r="H17" s="514">
        <f>SUMIFS('[6]inland_taf_hatchgrp_tableraw&amp;yy'!H$3:H$38,'[6]inland_taf_hatchgrp_tableraw&amp;yy'!$AC$3:$AC$38,'2013 Table 11 CWTs exp'!$A17)</f>
        <v>0</v>
      </c>
      <c r="I17" s="515">
        <f>SUMIFS('[6]inland_taf_hatchgrp_tableraw&amp;yy'!I$3:I$38,'[6]inland_taf_hatchgrp_tableraw&amp;yy'!$AC$3:$AC$38,'2013 Table 11 CWTs exp'!$A17)</f>
        <v>0</v>
      </c>
      <c r="J17" s="516">
        <f>SUMIFS('[6]inland_taf_hatchgrp_tableraw&amp;yy'!J$3:J$38,'[6]inland_taf_hatchgrp_tableraw&amp;yy'!$AC$3:$AC$38,'2013 Table 11 CWTs exp'!$A17)</f>
        <v>0</v>
      </c>
      <c r="K17" s="515">
        <f>SUMIFS('[6]inland_taf_hatchgrp_tableraw&amp;yy'!K$3:K$38,'[6]inland_taf_hatchgrp_tableraw&amp;yy'!$AC$3:$AC$38,'2013 Table 11 CWTs exp'!$A17)</f>
        <v>0</v>
      </c>
      <c r="L17" s="515">
        <f>SUMIFS('[6]inland_taf_hatchgrp_tableraw&amp;yy'!L$3:L$38,'[6]inland_taf_hatchgrp_tableraw&amp;yy'!$AC$3:$AC$38,'2013 Table 11 CWTs exp'!$A17)</f>
        <v>0</v>
      </c>
      <c r="M17" s="515">
        <f>SUMIFS('[6]inland_taf_hatchgrp_tableraw&amp;yy'!M$3:M$38,'[6]inland_taf_hatchgrp_tableraw&amp;yy'!$AC$3:$AC$38,'2013 Table 11 CWTs exp'!$A17)</f>
        <v>0</v>
      </c>
      <c r="N17" s="515">
        <f>SUMIFS('[6]inland_taf_hatchgrp_tableraw&amp;yy'!N$3:N$38,'[6]inland_taf_hatchgrp_tableraw&amp;yy'!$AC$3:$AC$38,'2013 Table 11 CWTs exp'!$A17)</f>
        <v>0</v>
      </c>
      <c r="O17" s="515">
        <f>SUMIFS('[6]inland_taf_hatchgrp_tableraw&amp;yy'!O$3:O$38,'[6]inland_taf_hatchgrp_tableraw&amp;yy'!$AC$3:$AC$38,'2013 Table 11 CWTs exp'!$A17)</f>
        <v>0</v>
      </c>
      <c r="P17" s="515">
        <f>SUMIFS('[6]inland_taf_hatchgrp_tableraw&amp;yy'!P$3:P$38,'[6]inland_taf_hatchgrp_tableraw&amp;yy'!$AC$3:$AC$38,'2013 Table 11 CWTs exp'!$A17)</f>
        <v>0</v>
      </c>
      <c r="Q17" s="514">
        <f>SUMIFS('[6]inland_taf_hatchgrp_tableraw&amp;yy'!Q$3:Q$38,'[6]inland_taf_hatchgrp_tableraw&amp;yy'!$AC$3:$AC$38,'2013 Table 11 CWTs exp'!$A17)</f>
        <v>0</v>
      </c>
      <c r="R17" s="516">
        <f>SUMIFS('[6]inland_taf_hatchgrp_tableraw&amp;yy'!R$3:R$38,'[6]inland_taf_hatchgrp_tableraw&amp;yy'!$AC$3:$AC$38,'2013 Table 11 CWTs exp'!$A17)</f>
        <v>0</v>
      </c>
      <c r="S17" s="515">
        <f>SUMIFS('[6]inland_taf_hatchgrp_tableraw&amp;yy'!S$3:S$38,'[6]inland_taf_hatchgrp_tableraw&amp;yy'!$AC$3:$AC$38,'2013 Table 11 CWTs exp'!$A17)</f>
        <v>0</v>
      </c>
      <c r="T17" s="515">
        <f>SUMIFS('[6]inland_taf_hatchgrp_tableraw&amp;yy'!T$3:T$38,'[6]inland_taf_hatchgrp_tableraw&amp;yy'!$AC$3:$AC$38,'2013 Table 11 CWTs exp'!$A17)</f>
        <v>0</v>
      </c>
      <c r="U17" s="515">
        <f>SUMIFS('[6]inland_taf_hatchgrp_tableraw&amp;yy'!U$3:U$38,'[6]inland_taf_hatchgrp_tableraw&amp;yy'!$AC$3:$AC$38,'2013 Table 11 CWTs exp'!$A17)</f>
        <v>0</v>
      </c>
      <c r="V17" s="514">
        <f>SUMIFS('[6]inland_taf_hatchgrp_tableraw&amp;yy'!V$3:V$38,'[6]inland_taf_hatchgrp_tableraw&amp;yy'!$AC$3:$AC$38,'2013 Table 11 CWTs exp'!$A17)</f>
        <v>0</v>
      </c>
      <c r="W17" s="516">
        <f>SUMIFS('[6]inland_taf_hatchgrp_tableraw&amp;yy'!W$3:W$38,'[6]inland_taf_hatchgrp_tableraw&amp;yy'!$AC$3:$AC$38,'2013 Table 11 CWTs exp'!$A17)</f>
        <v>0</v>
      </c>
      <c r="X17" s="515">
        <f>SUMIFS('[6]inland_taf_hatchgrp_tableraw&amp;yy'!X$3:X$38,'[6]inland_taf_hatchgrp_tableraw&amp;yy'!$AC$3:$AC$38,'2013 Table 11 CWTs exp'!$A17)</f>
        <v>0</v>
      </c>
      <c r="Y17" s="517">
        <f>SUMIFS('[6]inland_taf_hatchgrp_tableraw&amp;yy'!Y$3:Y$38,'[6]inland_taf_hatchgrp_tableraw&amp;yy'!$AC$3:$AC$38,'2013 Table 11 CWTs exp'!$A17)</f>
        <v>367</v>
      </c>
      <c r="Z17" s="518">
        <f>SUMIFS('[6]inland_taf_hatchgrp_tableraw&amp;yy'!Z$3:Z$38,'[6]inland_taf_hatchgrp_tableraw&amp;yy'!$AC$3:$AC$38,'2013 Table 11 CWTs exp'!$A17)</f>
        <v>5553</v>
      </c>
      <c r="AA17" s="515">
        <f>SUMIFS('[6]inland_taf_hatchgrp_tableraw&amp;yy'!AA$3:AA$38,'[6]inland_taf_hatchgrp_tableraw&amp;yy'!$AC$3:$AC$38,'2013 Table 11 CWTs exp'!$A17)</f>
        <v>5920</v>
      </c>
      <c r="AB17" s="515"/>
      <c r="AC17" s="566">
        <f>SUMIFS('[6]inland_taf_hatchgrp_tableraw&amp;yy'!AB$3:AB$38,'[6]inland_taf_hatchgrp_tableraw&amp;yy'!$AC$3:$AC$38,'2013 Table 11 CWTs exp'!$A17)</f>
        <v>6.2E-2</v>
      </c>
      <c r="AD17" s="551"/>
      <c r="AE17" s="551"/>
      <c r="AF17" s="551"/>
      <c r="AG17" s="553"/>
      <c r="AH17" s="553"/>
      <c r="AI17" s="551"/>
      <c r="AJ17" s="551"/>
      <c r="AK17" s="551"/>
      <c r="AL17" s="551"/>
    </row>
    <row r="18" spans="1:38" ht="14.15" customHeight="1" x14ac:dyDescent="0.25">
      <c r="A18" s="490" t="str">
        <f t="shared" si="7"/>
        <v>BUTT541</v>
      </c>
      <c r="B18" s="519" t="s">
        <v>66</v>
      </c>
      <c r="C18" s="519">
        <v>54</v>
      </c>
      <c r="D18" s="519">
        <v>1</v>
      </c>
      <c r="E18" s="482" t="s">
        <v>67</v>
      </c>
      <c r="F18" s="483" t="str">
        <f>LOOKUP(D18,$AJ$5:$AJ$8,$AK$5:$AK$8)</f>
        <v>Spring</v>
      </c>
      <c r="G18" s="513">
        <f>SUMIFS('[6]inland_taf_hatchgrp_tableraw&amp;yy'!G$3:G$38,'[6]inland_taf_hatchgrp_tableraw&amp;yy'!$AC$3:$AC$38,'2013 Table 11 CWTs exp'!$A18)</f>
        <v>0</v>
      </c>
      <c r="H18" s="514">
        <f>SUMIFS('[6]inland_taf_hatchgrp_tableraw&amp;yy'!H$3:H$38,'[6]inland_taf_hatchgrp_tableraw&amp;yy'!$AC$3:$AC$38,'2013 Table 11 CWTs exp'!$A18)</f>
        <v>0</v>
      </c>
      <c r="I18" s="515">
        <f>SUMIFS('[6]inland_taf_hatchgrp_tableraw&amp;yy'!I$3:I$38,'[6]inland_taf_hatchgrp_tableraw&amp;yy'!$AC$3:$AC$38,'2013 Table 11 CWTs exp'!$A18)</f>
        <v>0</v>
      </c>
      <c r="J18" s="516">
        <f>SUMIFS('[6]inland_taf_hatchgrp_tableraw&amp;yy'!J$3:J$38,'[6]inland_taf_hatchgrp_tableraw&amp;yy'!$AC$3:$AC$38,'2013 Table 11 CWTs exp'!$A18)</f>
        <v>0</v>
      </c>
      <c r="K18" s="515">
        <f>SUMIFS('[6]inland_taf_hatchgrp_tableraw&amp;yy'!K$3:K$38,'[6]inland_taf_hatchgrp_tableraw&amp;yy'!$AC$3:$AC$38,'2013 Table 11 CWTs exp'!$A18)</f>
        <v>0</v>
      </c>
      <c r="L18" s="515">
        <f>SUMIFS('[6]inland_taf_hatchgrp_tableraw&amp;yy'!L$3:L$38,'[6]inland_taf_hatchgrp_tableraw&amp;yy'!$AC$3:$AC$38,'2013 Table 11 CWTs exp'!$A18)</f>
        <v>0</v>
      </c>
      <c r="M18" s="515">
        <f>SUMIFS('[6]inland_taf_hatchgrp_tableraw&amp;yy'!M$3:M$38,'[6]inland_taf_hatchgrp_tableraw&amp;yy'!$AC$3:$AC$38,'2013 Table 11 CWTs exp'!$A18)</f>
        <v>0</v>
      </c>
      <c r="N18" s="515">
        <f>SUMIFS('[6]inland_taf_hatchgrp_tableraw&amp;yy'!N$3:N$38,'[6]inland_taf_hatchgrp_tableraw&amp;yy'!$AC$3:$AC$38,'2013 Table 11 CWTs exp'!$A18)</f>
        <v>0</v>
      </c>
      <c r="O18" s="515">
        <f>SUMIFS('[6]inland_taf_hatchgrp_tableraw&amp;yy'!O$3:O$38,'[6]inland_taf_hatchgrp_tableraw&amp;yy'!$AC$3:$AC$38,'2013 Table 11 CWTs exp'!$A18)</f>
        <v>0</v>
      </c>
      <c r="P18" s="515">
        <f>SUMIFS('[6]inland_taf_hatchgrp_tableraw&amp;yy'!P$3:P$38,'[6]inland_taf_hatchgrp_tableraw&amp;yy'!$AC$3:$AC$38,'2013 Table 11 CWTs exp'!$A18)</f>
        <v>0</v>
      </c>
      <c r="Q18" s="514">
        <f>SUMIFS('[6]inland_taf_hatchgrp_tableraw&amp;yy'!Q$3:Q$38,'[6]inland_taf_hatchgrp_tableraw&amp;yy'!$AC$3:$AC$38,'2013 Table 11 CWTs exp'!$A18)</f>
        <v>0</v>
      </c>
      <c r="R18" s="516">
        <f>SUMIFS('[6]inland_taf_hatchgrp_tableraw&amp;yy'!R$3:R$38,'[6]inland_taf_hatchgrp_tableraw&amp;yy'!$AC$3:$AC$38,'2013 Table 11 CWTs exp'!$A18)</f>
        <v>0</v>
      </c>
      <c r="S18" s="515">
        <f>SUMIFS('[6]inland_taf_hatchgrp_tableraw&amp;yy'!S$3:S$38,'[6]inland_taf_hatchgrp_tableraw&amp;yy'!$AC$3:$AC$38,'2013 Table 11 CWTs exp'!$A18)</f>
        <v>0</v>
      </c>
      <c r="T18" s="515">
        <f>SUMIFS('[6]inland_taf_hatchgrp_tableraw&amp;yy'!T$3:T$38,'[6]inland_taf_hatchgrp_tableraw&amp;yy'!$AC$3:$AC$38,'2013 Table 11 CWTs exp'!$A18)</f>
        <v>0</v>
      </c>
      <c r="U18" s="515">
        <f>SUMIFS('[6]inland_taf_hatchgrp_tableraw&amp;yy'!U$3:U$38,'[6]inland_taf_hatchgrp_tableraw&amp;yy'!$AC$3:$AC$38,'2013 Table 11 CWTs exp'!$A18)</f>
        <v>0</v>
      </c>
      <c r="V18" s="514">
        <f>SUMIFS('[6]inland_taf_hatchgrp_tableraw&amp;yy'!V$3:V$38,'[6]inland_taf_hatchgrp_tableraw&amp;yy'!$AC$3:$AC$38,'2013 Table 11 CWTs exp'!$A18)</f>
        <v>0</v>
      </c>
      <c r="W18" s="516">
        <f>SUMIFS('[6]inland_taf_hatchgrp_tableraw&amp;yy'!W$3:W$38,'[6]inland_taf_hatchgrp_tableraw&amp;yy'!$AC$3:$AC$38,'2013 Table 11 CWTs exp'!$A18)</f>
        <v>0</v>
      </c>
      <c r="X18" s="515">
        <f>SUMIFS('[6]inland_taf_hatchgrp_tableraw&amp;yy'!X$3:X$38,'[6]inland_taf_hatchgrp_tableraw&amp;yy'!$AC$3:$AC$38,'2013 Table 11 CWTs exp'!$A18)</f>
        <v>0</v>
      </c>
      <c r="Y18" s="517">
        <f>SUM(G18:X18)</f>
        <v>0</v>
      </c>
      <c r="Z18" s="518">
        <f>AA18-Y18</f>
        <v>15887</v>
      </c>
      <c r="AA18" s="515">
        <v>15887</v>
      </c>
      <c r="AB18" s="515"/>
      <c r="AC18" s="567">
        <v>0</v>
      </c>
      <c r="AD18" s="551"/>
      <c r="AE18" s="551"/>
      <c r="AF18" s="551"/>
      <c r="AG18" s="553"/>
      <c r="AH18" s="553"/>
      <c r="AI18" s="551"/>
      <c r="AJ18" s="551"/>
      <c r="AK18" s="551"/>
      <c r="AL18" s="551"/>
    </row>
    <row r="19" spans="1:38" ht="14.15" customHeight="1" x14ac:dyDescent="0.25">
      <c r="A19" s="490" t="str">
        <f t="shared" si="7"/>
        <v>USAC543</v>
      </c>
      <c r="B19" s="480" t="s">
        <v>64</v>
      </c>
      <c r="C19" s="480">
        <v>54</v>
      </c>
      <c r="D19" s="480">
        <v>3</v>
      </c>
      <c r="E19" s="482" t="s">
        <v>65</v>
      </c>
      <c r="F19" s="483" t="str">
        <f>LOOKUP(D19,$AJ$5:$AJ$8,$AK$5:$AK$8)</f>
        <v>Fall</v>
      </c>
      <c r="G19" s="513">
        <f>SUMIFS('[6]inland_taf_hatchgrp_tableraw&amp;yy'!G$3:G$38,'[6]inland_taf_hatchgrp_tableraw&amp;yy'!$AC$3:$AC$38,'2013 Table 11 CWTs exp'!$A19)</f>
        <v>0</v>
      </c>
      <c r="H19" s="514">
        <f>SUMIFS('[6]inland_taf_hatchgrp_tableraw&amp;yy'!H$3:H$38,'[6]inland_taf_hatchgrp_tableraw&amp;yy'!$AC$3:$AC$38,'2013 Table 11 CWTs exp'!$A19)</f>
        <v>12</v>
      </c>
      <c r="I19" s="515">
        <f>SUMIFS('[6]inland_taf_hatchgrp_tableraw&amp;yy'!I$3:I$38,'[6]inland_taf_hatchgrp_tableraw&amp;yy'!$AC$3:$AC$38,'2013 Table 11 CWTs exp'!$A19)</f>
        <v>2727</v>
      </c>
      <c r="J19" s="516">
        <f>SUMIFS('[6]inland_taf_hatchgrp_tableraw&amp;yy'!J$3:J$38,'[6]inland_taf_hatchgrp_tableraw&amp;yy'!$AC$3:$AC$38,'2013 Table 11 CWTs exp'!$A19)</f>
        <v>786</v>
      </c>
      <c r="K19" s="515">
        <f>SUMIFS('[6]inland_taf_hatchgrp_tableraw&amp;yy'!K$3:K$38,'[6]inland_taf_hatchgrp_tableraw&amp;yy'!$AC$3:$AC$38,'2013 Table 11 CWTs exp'!$A19)</f>
        <v>0</v>
      </c>
      <c r="L19" s="515">
        <f>SUMIFS('[6]inland_taf_hatchgrp_tableraw&amp;yy'!L$3:L$38,'[6]inland_taf_hatchgrp_tableraw&amp;yy'!$AC$3:$AC$38,'2013 Table 11 CWTs exp'!$A19)</f>
        <v>998</v>
      </c>
      <c r="M19" s="515">
        <f>SUMIFS('[6]inland_taf_hatchgrp_tableraw&amp;yy'!M$3:M$38,'[6]inland_taf_hatchgrp_tableraw&amp;yy'!$AC$3:$AC$38,'2013 Table 11 CWTs exp'!$A19)</f>
        <v>23</v>
      </c>
      <c r="N19" s="515">
        <f>SUMIFS('[6]inland_taf_hatchgrp_tableraw&amp;yy'!N$3:N$38,'[6]inland_taf_hatchgrp_tableraw&amp;yy'!$AC$3:$AC$38,'2013 Table 11 CWTs exp'!$A19)</f>
        <v>6362</v>
      </c>
      <c r="O19" s="515">
        <f>SUMIFS('[6]inland_taf_hatchgrp_tableraw&amp;yy'!O$3:O$38,'[6]inland_taf_hatchgrp_tableraw&amp;yy'!$AC$3:$AC$38,'2013 Table 11 CWTs exp'!$A19)</f>
        <v>47</v>
      </c>
      <c r="P19" s="515">
        <f>SUMIFS('[6]inland_taf_hatchgrp_tableraw&amp;yy'!P$3:P$38,'[6]inland_taf_hatchgrp_tableraw&amp;yy'!$AC$3:$AC$38,'2013 Table 11 CWTs exp'!$A19)</f>
        <v>35</v>
      </c>
      <c r="Q19" s="514">
        <f>SUMIFS('[6]inland_taf_hatchgrp_tableraw&amp;yy'!Q$3:Q$38,'[6]inland_taf_hatchgrp_tableraw&amp;yy'!$AC$3:$AC$38,'2013 Table 11 CWTs exp'!$A19)</f>
        <v>46</v>
      </c>
      <c r="R19" s="516">
        <f>SUMIFS('[6]inland_taf_hatchgrp_tableraw&amp;yy'!R$3:R$38,'[6]inland_taf_hatchgrp_tableraw&amp;yy'!$AC$3:$AC$38,'2013 Table 11 CWTs exp'!$A19)</f>
        <v>46</v>
      </c>
      <c r="S19" s="515">
        <f>SUMIFS('[6]inland_taf_hatchgrp_tableraw&amp;yy'!S$3:S$38,'[6]inland_taf_hatchgrp_tableraw&amp;yy'!$AC$3:$AC$38,'2013 Table 11 CWTs exp'!$A19)</f>
        <v>0</v>
      </c>
      <c r="T19" s="515">
        <f>SUMIFS('[6]inland_taf_hatchgrp_tableraw&amp;yy'!T$3:T$38,'[6]inland_taf_hatchgrp_tableraw&amp;yy'!$AC$3:$AC$38,'2013 Table 11 CWTs exp'!$A19)</f>
        <v>58</v>
      </c>
      <c r="U19" s="515">
        <f>SUMIFS('[6]inland_taf_hatchgrp_tableraw&amp;yy'!U$3:U$38,'[6]inland_taf_hatchgrp_tableraw&amp;yy'!$AC$3:$AC$38,'2013 Table 11 CWTs exp'!$A19)</f>
        <v>0</v>
      </c>
      <c r="V19" s="514">
        <f>SUMIFS('[6]inland_taf_hatchgrp_tableraw&amp;yy'!V$3:V$38,'[6]inland_taf_hatchgrp_tableraw&amp;yy'!$AC$3:$AC$38,'2013 Table 11 CWTs exp'!$A19)</f>
        <v>0</v>
      </c>
      <c r="W19" s="516">
        <f>SUMIFS('[6]inland_taf_hatchgrp_tableraw&amp;yy'!W$3:W$38,'[6]inland_taf_hatchgrp_tableraw&amp;yy'!$AC$3:$AC$38,'2013 Table 11 CWTs exp'!$A19)</f>
        <v>0</v>
      </c>
      <c r="X19" s="515">
        <f>SUMIFS('[6]inland_taf_hatchgrp_tableraw&amp;yy'!X$3:X$38,'[6]inland_taf_hatchgrp_tableraw&amp;yy'!$AC$3:$AC$38,'2013 Table 11 CWTs exp'!$A19)</f>
        <v>0</v>
      </c>
      <c r="Y19" s="517">
        <f>SUMIFS('[6]inland_taf_hatchgrp_tableraw&amp;yy'!Y$3:Y$38,'[6]inland_taf_hatchgrp_tableraw&amp;yy'!$AC$3:$AC$38,'2013 Table 11 CWTs exp'!$A19)</f>
        <v>11140</v>
      </c>
      <c r="Z19" s="518">
        <f>SUMIFS('[6]inland_taf_hatchgrp_tableraw&amp;yy'!Z$3:Z$38,'[6]inland_taf_hatchgrp_tableraw&amp;yy'!$AC$3:$AC$38,'2013 Table 11 CWTs exp'!$A19)</f>
        <v>21375</v>
      </c>
      <c r="AA19" s="515">
        <f>SUMIFS('[6]inland_taf_hatchgrp_tableraw&amp;yy'!AA$3:AA$38,'[6]inland_taf_hatchgrp_tableraw&amp;yy'!$AC$3:$AC$38,'2013 Table 11 CWTs exp'!$A19)</f>
        <v>32515</v>
      </c>
      <c r="AB19" s="515"/>
      <c r="AC19" s="567">
        <f>SUMIFS('[6]inland_taf_hatchgrp_tableraw&amp;yy'!AB$3:AB$38,'[6]inland_taf_hatchgrp_tableraw&amp;yy'!$AC$3:$AC$38,'2013 Table 11 CWTs exp'!$A19)</f>
        <v>0.34300000000000003</v>
      </c>
      <c r="AD19" s="551"/>
      <c r="AE19" s="551"/>
      <c r="AF19" s="551"/>
      <c r="AG19" s="558">
        <f>1-AC19</f>
        <v>0.65700000000000003</v>
      </c>
      <c r="AH19" s="559">
        <f t="shared" ref="AH19:AH35" si="8">Z19</f>
        <v>21375</v>
      </c>
      <c r="AI19" s="551"/>
      <c r="AJ19" s="551"/>
      <c r="AK19" s="551"/>
      <c r="AL19" s="551"/>
    </row>
    <row r="20" spans="1:38" ht="14.15" customHeight="1" x14ac:dyDescent="0.25">
      <c r="A20" s="490" t="str">
        <f t="shared" si="7"/>
        <v>CLR543</v>
      </c>
      <c r="B20" s="480" t="s">
        <v>70</v>
      </c>
      <c r="C20" s="480">
        <v>54</v>
      </c>
      <c r="D20" s="480">
        <v>3</v>
      </c>
      <c r="E20" s="482" t="s">
        <v>71</v>
      </c>
      <c r="F20" s="483" t="str">
        <f>LOOKUP(D20,$AJ$5:$AJ$8,$AK$5:$AK$8)</f>
        <v>Fall</v>
      </c>
      <c r="G20" s="513">
        <f>SUMIFS('[6]inland_taf_hatchgrp_tableraw&amp;yy'!G$3:G$38,'[6]inland_taf_hatchgrp_tableraw&amp;yy'!$AC$3:$AC$38,'2013 Table 11 CWTs exp'!$A20)</f>
        <v>0</v>
      </c>
      <c r="H20" s="514">
        <f>SUMIFS('[6]inland_taf_hatchgrp_tableraw&amp;yy'!H$3:H$38,'[6]inland_taf_hatchgrp_tableraw&amp;yy'!$AC$3:$AC$38,'2013 Table 11 CWTs exp'!$A20)</f>
        <v>0</v>
      </c>
      <c r="I20" s="515">
        <f>SUMIFS('[6]inland_taf_hatchgrp_tableraw&amp;yy'!I$3:I$38,'[6]inland_taf_hatchgrp_tableraw&amp;yy'!$AC$3:$AC$38,'2013 Table 11 CWTs exp'!$A20)</f>
        <v>2615</v>
      </c>
      <c r="J20" s="516">
        <f>SUMIFS('[6]inland_taf_hatchgrp_tableraw&amp;yy'!J$3:J$38,'[6]inland_taf_hatchgrp_tableraw&amp;yy'!$AC$3:$AC$38,'2013 Table 11 CWTs exp'!$A20)</f>
        <v>259</v>
      </c>
      <c r="K20" s="515">
        <f>SUMIFS('[6]inland_taf_hatchgrp_tableraw&amp;yy'!K$3:K$38,'[6]inland_taf_hatchgrp_tableraw&amp;yy'!$AC$3:$AC$38,'2013 Table 11 CWTs exp'!$A20)</f>
        <v>0</v>
      </c>
      <c r="L20" s="515">
        <f>SUMIFS('[6]inland_taf_hatchgrp_tableraw&amp;yy'!L$3:L$38,'[6]inland_taf_hatchgrp_tableraw&amp;yy'!$AC$3:$AC$38,'2013 Table 11 CWTs exp'!$A20)</f>
        <v>108</v>
      </c>
      <c r="M20" s="515">
        <f>SUMIFS('[6]inland_taf_hatchgrp_tableraw&amp;yy'!M$3:M$38,'[6]inland_taf_hatchgrp_tableraw&amp;yy'!$AC$3:$AC$38,'2013 Table 11 CWTs exp'!$A20)</f>
        <v>0</v>
      </c>
      <c r="N20" s="515">
        <f>SUMIFS('[6]inland_taf_hatchgrp_tableraw&amp;yy'!N$3:N$38,'[6]inland_taf_hatchgrp_tableraw&amp;yy'!$AC$3:$AC$38,'2013 Table 11 CWTs exp'!$A20)</f>
        <v>1885</v>
      </c>
      <c r="O20" s="515">
        <f>SUMIFS('[6]inland_taf_hatchgrp_tableraw&amp;yy'!O$3:O$38,'[6]inland_taf_hatchgrp_tableraw&amp;yy'!$AC$3:$AC$38,'2013 Table 11 CWTs exp'!$A20)</f>
        <v>25</v>
      </c>
      <c r="P20" s="515">
        <f>SUMIFS('[6]inland_taf_hatchgrp_tableraw&amp;yy'!P$3:P$38,'[6]inland_taf_hatchgrp_tableraw&amp;yy'!$AC$3:$AC$38,'2013 Table 11 CWTs exp'!$A20)</f>
        <v>20</v>
      </c>
      <c r="Q20" s="514">
        <f>SUMIFS('[6]inland_taf_hatchgrp_tableraw&amp;yy'!Q$3:Q$38,'[6]inland_taf_hatchgrp_tableraw&amp;yy'!$AC$3:$AC$38,'2013 Table 11 CWTs exp'!$A20)</f>
        <v>0</v>
      </c>
      <c r="R20" s="516">
        <f>SUMIFS('[6]inland_taf_hatchgrp_tableraw&amp;yy'!R$3:R$38,'[6]inland_taf_hatchgrp_tableraw&amp;yy'!$AC$3:$AC$38,'2013 Table 11 CWTs exp'!$A20)</f>
        <v>0</v>
      </c>
      <c r="S20" s="515">
        <f>SUMIFS('[6]inland_taf_hatchgrp_tableraw&amp;yy'!S$3:S$38,'[6]inland_taf_hatchgrp_tableraw&amp;yy'!$AC$3:$AC$38,'2013 Table 11 CWTs exp'!$A20)</f>
        <v>0</v>
      </c>
      <c r="T20" s="515">
        <f>SUMIFS('[6]inland_taf_hatchgrp_tableraw&amp;yy'!T$3:T$38,'[6]inland_taf_hatchgrp_tableraw&amp;yy'!$AC$3:$AC$38,'2013 Table 11 CWTs exp'!$A20)</f>
        <v>5</v>
      </c>
      <c r="U20" s="515">
        <f>SUMIFS('[6]inland_taf_hatchgrp_tableraw&amp;yy'!U$3:U$38,'[6]inland_taf_hatchgrp_tableraw&amp;yy'!$AC$3:$AC$38,'2013 Table 11 CWTs exp'!$A20)</f>
        <v>0</v>
      </c>
      <c r="V20" s="514">
        <f>SUMIFS('[6]inland_taf_hatchgrp_tableraw&amp;yy'!V$3:V$38,'[6]inland_taf_hatchgrp_tableraw&amp;yy'!$AC$3:$AC$38,'2013 Table 11 CWTs exp'!$A20)</f>
        <v>0</v>
      </c>
      <c r="W20" s="516">
        <f>SUMIFS('[6]inland_taf_hatchgrp_tableraw&amp;yy'!W$3:W$38,'[6]inland_taf_hatchgrp_tableraw&amp;yy'!$AC$3:$AC$38,'2013 Table 11 CWTs exp'!$A20)</f>
        <v>0</v>
      </c>
      <c r="X20" s="515">
        <f>SUMIFS('[6]inland_taf_hatchgrp_tableraw&amp;yy'!X$3:X$38,'[6]inland_taf_hatchgrp_tableraw&amp;yy'!$AC$3:$AC$38,'2013 Table 11 CWTs exp'!$A20)</f>
        <v>0</v>
      </c>
      <c r="Y20" s="517">
        <f>SUMIFS('[6]inland_taf_hatchgrp_tableraw&amp;yy'!Y$3:Y$38,'[6]inland_taf_hatchgrp_tableraw&amp;yy'!$AC$3:$AC$38,'2013 Table 11 CWTs exp'!$A20)</f>
        <v>4918</v>
      </c>
      <c r="Z20" s="518">
        <f>SUMIFS('[6]inland_taf_hatchgrp_tableraw&amp;yy'!Z$3:Z$38,'[6]inland_taf_hatchgrp_tableraw&amp;yy'!$AC$3:$AC$38,'2013 Table 11 CWTs exp'!$A20)</f>
        <v>8419</v>
      </c>
      <c r="AA20" s="515">
        <f>SUMIFS('[6]inland_taf_hatchgrp_tableraw&amp;yy'!AA$3:AA$38,'[6]inland_taf_hatchgrp_tableraw&amp;yy'!$AC$3:$AC$38,'2013 Table 11 CWTs exp'!$A20)</f>
        <v>13337</v>
      </c>
      <c r="AB20" s="515"/>
      <c r="AC20" s="567">
        <f>SUMIFS('[6]inland_taf_hatchgrp_tableraw&amp;yy'!AB$3:AB$38,'[6]inland_taf_hatchgrp_tableraw&amp;yy'!$AC$3:$AC$38,'2013 Table 11 CWTs exp'!$A20)</f>
        <v>0.36899999999999999</v>
      </c>
      <c r="AD20" s="568" t="s">
        <v>235</v>
      </c>
      <c r="AE20" s="568" t="s">
        <v>236</v>
      </c>
      <c r="AF20" s="551"/>
      <c r="AG20" s="558">
        <f t="shared" ref="AG20:AG36" si="9">1-AC20</f>
        <v>0.63100000000000001</v>
      </c>
      <c r="AH20" s="559">
        <f t="shared" si="8"/>
        <v>8419</v>
      </c>
      <c r="AI20" s="551"/>
      <c r="AJ20" s="551"/>
      <c r="AK20" s="551"/>
      <c r="AL20" s="551"/>
    </row>
    <row r="21" spans="1:38" ht="14.15" customHeight="1" x14ac:dyDescent="0.25">
      <c r="A21" s="490" t="str">
        <f t="shared" si="7"/>
        <v>BATT543</v>
      </c>
      <c r="B21" s="520" t="s">
        <v>72</v>
      </c>
      <c r="C21" s="520">
        <v>54</v>
      </c>
      <c r="D21" s="520">
        <v>3</v>
      </c>
      <c r="E21" s="521" t="s">
        <v>218</v>
      </c>
      <c r="F21" s="483" t="s">
        <v>219</v>
      </c>
      <c r="G21" s="513">
        <f t="shared" ref="G21:X21" si="10">$AA$21*G7/$AA$7</f>
        <v>0</v>
      </c>
      <c r="H21" s="514">
        <f t="shared" si="10"/>
        <v>0</v>
      </c>
      <c r="I21" s="515">
        <f t="shared" si="10"/>
        <v>27509.282904624899</v>
      </c>
      <c r="J21" s="516">
        <f t="shared" si="10"/>
        <v>475.8328251814317</v>
      </c>
      <c r="K21" s="515">
        <f t="shared" si="10"/>
        <v>0</v>
      </c>
      <c r="L21" s="515">
        <f t="shared" si="10"/>
        <v>1.8075320994546313</v>
      </c>
      <c r="M21" s="515">
        <f t="shared" si="10"/>
        <v>1.8075320994546313</v>
      </c>
      <c r="N21" s="515">
        <f t="shared" si="10"/>
        <v>308.18422295701464</v>
      </c>
      <c r="O21" s="515">
        <f t="shared" si="10"/>
        <v>6.778245372954868</v>
      </c>
      <c r="P21" s="515">
        <f t="shared" si="10"/>
        <v>3.1631811740456048</v>
      </c>
      <c r="Q21" s="514">
        <f t="shared" si="10"/>
        <v>0</v>
      </c>
      <c r="R21" s="516">
        <f t="shared" si="10"/>
        <v>1.8075320994546313</v>
      </c>
      <c r="S21" s="515">
        <f t="shared" si="10"/>
        <v>0</v>
      </c>
      <c r="T21" s="515">
        <f t="shared" si="10"/>
        <v>6.778245372954868</v>
      </c>
      <c r="U21" s="515">
        <f t="shared" si="10"/>
        <v>1.8075320994546313</v>
      </c>
      <c r="V21" s="514">
        <f t="shared" si="10"/>
        <v>1.3556490745909735</v>
      </c>
      <c r="W21" s="516">
        <f t="shared" si="10"/>
        <v>0</v>
      </c>
      <c r="X21" s="515">
        <f t="shared" si="10"/>
        <v>0</v>
      </c>
      <c r="Y21" s="517">
        <f>SUM(G21:X21)</f>
        <v>28318.605402155707</v>
      </c>
      <c r="Z21" s="518">
        <f>AA21-Y21</f>
        <v>3250.3945978442935</v>
      </c>
      <c r="AA21" s="515">
        <v>31569</v>
      </c>
      <c r="AB21" s="522"/>
      <c r="AC21" s="567">
        <f>Y21/AA21</f>
        <v>0.8970384048324529</v>
      </c>
      <c r="AD21" s="551">
        <v>31687</v>
      </c>
      <c r="AE21" s="551">
        <v>31234</v>
      </c>
      <c r="AF21" s="551"/>
      <c r="AG21" s="558">
        <f t="shared" si="9"/>
        <v>0.1029615951675471</v>
      </c>
      <c r="AH21" s="559">
        <f t="shared" si="8"/>
        <v>3250.3945978442935</v>
      </c>
      <c r="AI21" s="551"/>
      <c r="AJ21" s="551"/>
      <c r="AK21" s="551"/>
      <c r="AL21" s="551"/>
    </row>
    <row r="22" spans="1:38" ht="14.15" customHeight="1" x14ac:dyDescent="0.25">
      <c r="A22" s="490" t="str">
        <f t="shared" si="7"/>
        <v>COT543</v>
      </c>
      <c r="B22" s="480" t="s">
        <v>74</v>
      </c>
      <c r="C22" s="480">
        <v>54</v>
      </c>
      <c r="D22" s="480">
        <v>3</v>
      </c>
      <c r="E22" s="482" t="s">
        <v>75</v>
      </c>
      <c r="F22" s="483" t="str">
        <f t="shared" ref="F22:F36" si="11">LOOKUP(D22,$AJ$5:$AJ$8,$AK$5:$AK$8)</f>
        <v>Fall</v>
      </c>
      <c r="G22" s="513">
        <f>SUMIFS('[6]inland_taf_hatchgrp_tableraw&amp;yy'!G$3:G$38,'[6]inland_taf_hatchgrp_tableraw&amp;yy'!$AC$3:$AC$38,'2013 Table 11 CWTs exp'!$A22)</f>
        <v>0</v>
      </c>
      <c r="H22" s="514">
        <f>SUMIFS('[6]inland_taf_hatchgrp_tableraw&amp;yy'!H$3:H$38,'[6]inland_taf_hatchgrp_tableraw&amp;yy'!$AC$3:$AC$38,'2013 Table 11 CWTs exp'!$A22)</f>
        <v>0</v>
      </c>
      <c r="I22" s="515">
        <f>SUMIFS('[6]inland_taf_hatchgrp_tableraw&amp;yy'!I$3:I$38,'[6]inland_taf_hatchgrp_tableraw&amp;yy'!$AC$3:$AC$38,'2013 Table 11 CWTs exp'!$A22)</f>
        <v>533</v>
      </c>
      <c r="J22" s="516">
        <f>SUMIFS('[6]inland_taf_hatchgrp_tableraw&amp;yy'!J$3:J$38,'[6]inland_taf_hatchgrp_tableraw&amp;yy'!$AC$3:$AC$38,'2013 Table 11 CWTs exp'!$A22)</f>
        <v>87</v>
      </c>
      <c r="K22" s="515">
        <f>SUMIFS('[6]inland_taf_hatchgrp_tableraw&amp;yy'!K$3:K$38,'[6]inland_taf_hatchgrp_tableraw&amp;yy'!$AC$3:$AC$38,'2013 Table 11 CWTs exp'!$A22)</f>
        <v>0</v>
      </c>
      <c r="L22" s="515">
        <f>SUMIFS('[6]inland_taf_hatchgrp_tableraw&amp;yy'!L$3:L$38,'[6]inland_taf_hatchgrp_tableraw&amp;yy'!$AC$3:$AC$38,'2013 Table 11 CWTs exp'!$A22)</f>
        <v>0</v>
      </c>
      <c r="M22" s="515">
        <f>SUMIFS('[6]inland_taf_hatchgrp_tableraw&amp;yy'!M$3:M$38,'[6]inland_taf_hatchgrp_tableraw&amp;yy'!$AC$3:$AC$38,'2013 Table 11 CWTs exp'!$A22)</f>
        <v>0</v>
      </c>
      <c r="N22" s="515">
        <f>SUMIFS('[6]inland_taf_hatchgrp_tableraw&amp;yy'!N$3:N$38,'[6]inland_taf_hatchgrp_tableraw&amp;yy'!$AC$3:$AC$38,'2013 Table 11 CWTs exp'!$A22)</f>
        <v>234</v>
      </c>
      <c r="O22" s="515">
        <f>SUMIFS('[6]inland_taf_hatchgrp_tableraw&amp;yy'!O$3:O$38,'[6]inland_taf_hatchgrp_tableraw&amp;yy'!$AC$3:$AC$38,'2013 Table 11 CWTs exp'!$A22)</f>
        <v>0</v>
      </c>
      <c r="P22" s="515">
        <f>SUMIFS('[6]inland_taf_hatchgrp_tableraw&amp;yy'!P$3:P$38,'[6]inland_taf_hatchgrp_tableraw&amp;yy'!$AC$3:$AC$38,'2013 Table 11 CWTs exp'!$A22)</f>
        <v>0</v>
      </c>
      <c r="Q22" s="514">
        <f>SUMIFS('[6]inland_taf_hatchgrp_tableraw&amp;yy'!Q$3:Q$38,'[6]inland_taf_hatchgrp_tableraw&amp;yy'!$AC$3:$AC$38,'2013 Table 11 CWTs exp'!$A22)</f>
        <v>0</v>
      </c>
      <c r="R22" s="516">
        <f>SUMIFS('[6]inland_taf_hatchgrp_tableraw&amp;yy'!R$3:R$38,'[6]inland_taf_hatchgrp_tableraw&amp;yy'!$AC$3:$AC$38,'2013 Table 11 CWTs exp'!$A22)</f>
        <v>0</v>
      </c>
      <c r="S22" s="515">
        <f>SUMIFS('[6]inland_taf_hatchgrp_tableraw&amp;yy'!S$3:S$38,'[6]inland_taf_hatchgrp_tableraw&amp;yy'!$AC$3:$AC$38,'2013 Table 11 CWTs exp'!$A22)</f>
        <v>0</v>
      </c>
      <c r="T22" s="515">
        <f>SUMIFS('[6]inland_taf_hatchgrp_tableraw&amp;yy'!T$3:T$38,'[6]inland_taf_hatchgrp_tableraw&amp;yy'!$AC$3:$AC$38,'2013 Table 11 CWTs exp'!$A22)</f>
        <v>0</v>
      </c>
      <c r="U22" s="515">
        <f>SUMIFS('[6]inland_taf_hatchgrp_tableraw&amp;yy'!U$3:U$38,'[6]inland_taf_hatchgrp_tableraw&amp;yy'!$AC$3:$AC$38,'2013 Table 11 CWTs exp'!$A22)</f>
        <v>0</v>
      </c>
      <c r="V22" s="514">
        <f>SUMIFS('[6]inland_taf_hatchgrp_tableraw&amp;yy'!V$3:V$38,'[6]inland_taf_hatchgrp_tableraw&amp;yy'!$AC$3:$AC$38,'2013 Table 11 CWTs exp'!$A22)</f>
        <v>0</v>
      </c>
      <c r="W22" s="516">
        <f>SUMIFS('[6]inland_taf_hatchgrp_tableraw&amp;yy'!W$3:W$38,'[6]inland_taf_hatchgrp_tableraw&amp;yy'!$AC$3:$AC$38,'2013 Table 11 CWTs exp'!$A22)</f>
        <v>0</v>
      </c>
      <c r="X22" s="515">
        <f>SUMIFS('[6]inland_taf_hatchgrp_tableraw&amp;yy'!X$3:X$38,'[6]inland_taf_hatchgrp_tableraw&amp;yy'!$AC$3:$AC$38,'2013 Table 11 CWTs exp'!$A22)</f>
        <v>0</v>
      </c>
      <c r="Y22" s="517">
        <f>SUMIFS('[6]inland_taf_hatchgrp_tableraw&amp;yy'!Y$3:Y$38,'[6]inland_taf_hatchgrp_tableraw&amp;yy'!$AC$3:$AC$38,'2013 Table 11 CWTs exp'!$A22)</f>
        <v>855</v>
      </c>
      <c r="Z22" s="518">
        <f>SUMIFS('[6]inland_taf_hatchgrp_tableraw&amp;yy'!Z$3:Z$38,'[6]inland_taf_hatchgrp_tableraw&amp;yy'!$AC$3:$AC$38,'2013 Table 11 CWTs exp'!$A22)</f>
        <v>1919</v>
      </c>
      <c r="AA22" s="515">
        <f>SUMIFS('[6]inland_taf_hatchgrp_tableraw&amp;yy'!AA$3:AA$38,'[6]inland_taf_hatchgrp_tableraw&amp;yy'!$AC$3:$AC$38,'2013 Table 11 CWTs exp'!$A22)</f>
        <v>2774</v>
      </c>
      <c r="AB22" s="515"/>
      <c r="AC22" s="567">
        <f>SUMIFS('[6]inland_taf_hatchgrp_tableraw&amp;yy'!AB$3:AB$38,'[6]inland_taf_hatchgrp_tableraw&amp;yy'!$AC$3:$AC$38,'2013 Table 11 CWTs exp'!$A22)</f>
        <v>0.308</v>
      </c>
      <c r="AD22" s="551"/>
      <c r="AE22" s="551"/>
      <c r="AF22" s="551"/>
      <c r="AG22" s="558">
        <f t="shared" si="9"/>
        <v>0.69199999999999995</v>
      </c>
      <c r="AH22" s="559">
        <f t="shared" si="8"/>
        <v>1919</v>
      </c>
      <c r="AI22" s="551"/>
      <c r="AJ22" s="551"/>
      <c r="AK22" s="551"/>
      <c r="AL22" s="551"/>
    </row>
    <row r="23" spans="1:38" ht="14.15" customHeight="1" x14ac:dyDescent="0.25">
      <c r="A23" s="490" t="str">
        <f t="shared" si="7"/>
        <v>PAY543</v>
      </c>
      <c r="B23" s="480" t="s">
        <v>237</v>
      </c>
      <c r="C23" s="480">
        <v>54</v>
      </c>
      <c r="D23" s="480">
        <v>3</v>
      </c>
      <c r="E23" s="482" t="s">
        <v>238</v>
      </c>
      <c r="F23" s="483" t="str">
        <f t="shared" si="11"/>
        <v>Fall</v>
      </c>
      <c r="G23" s="513">
        <f>SUMIFS('[6]inland_taf_hatchgrp_tableraw&amp;yy'!G$3:G$38,'[6]inland_taf_hatchgrp_tableraw&amp;yy'!$AC$3:$AC$38,'2013 Table 11 CWTs exp'!$A23)</f>
        <v>0</v>
      </c>
      <c r="H23" s="514">
        <f>SUMIFS('[6]inland_taf_hatchgrp_tableraw&amp;yy'!H$3:H$38,'[6]inland_taf_hatchgrp_tableraw&amp;yy'!$AC$3:$AC$38,'2013 Table 11 CWTs exp'!$A23)</f>
        <v>0</v>
      </c>
      <c r="I23" s="515">
        <f>SUMIFS('[6]inland_taf_hatchgrp_tableraw&amp;yy'!I$3:I$38,'[6]inland_taf_hatchgrp_tableraw&amp;yy'!$AC$3:$AC$38,'2013 Table 11 CWTs exp'!$A23)</f>
        <v>93</v>
      </c>
      <c r="J23" s="516">
        <f>SUMIFS('[6]inland_taf_hatchgrp_tableraw&amp;yy'!J$3:J$38,'[6]inland_taf_hatchgrp_tableraw&amp;yy'!$AC$3:$AC$38,'2013 Table 11 CWTs exp'!$A23)</f>
        <v>0</v>
      </c>
      <c r="K23" s="515">
        <f>SUMIFS('[6]inland_taf_hatchgrp_tableraw&amp;yy'!K$3:K$38,'[6]inland_taf_hatchgrp_tableraw&amp;yy'!$AC$3:$AC$38,'2013 Table 11 CWTs exp'!$A23)</f>
        <v>0</v>
      </c>
      <c r="L23" s="515">
        <f>SUMIFS('[6]inland_taf_hatchgrp_tableraw&amp;yy'!L$3:L$38,'[6]inland_taf_hatchgrp_tableraw&amp;yy'!$AC$3:$AC$38,'2013 Table 11 CWTs exp'!$A23)</f>
        <v>0</v>
      </c>
      <c r="M23" s="515">
        <f>SUMIFS('[6]inland_taf_hatchgrp_tableraw&amp;yy'!M$3:M$38,'[6]inland_taf_hatchgrp_tableraw&amp;yy'!$AC$3:$AC$38,'2013 Table 11 CWTs exp'!$A23)</f>
        <v>0</v>
      </c>
      <c r="N23" s="515">
        <f>SUMIFS('[6]inland_taf_hatchgrp_tableraw&amp;yy'!N$3:N$38,'[6]inland_taf_hatchgrp_tableraw&amp;yy'!$AC$3:$AC$38,'2013 Table 11 CWTs exp'!$A23)</f>
        <v>0</v>
      </c>
      <c r="O23" s="515">
        <f>SUMIFS('[6]inland_taf_hatchgrp_tableraw&amp;yy'!O$3:O$38,'[6]inland_taf_hatchgrp_tableraw&amp;yy'!$AC$3:$AC$38,'2013 Table 11 CWTs exp'!$A23)</f>
        <v>0</v>
      </c>
      <c r="P23" s="515">
        <f>SUMIFS('[6]inland_taf_hatchgrp_tableraw&amp;yy'!P$3:P$38,'[6]inland_taf_hatchgrp_tableraw&amp;yy'!$AC$3:$AC$38,'2013 Table 11 CWTs exp'!$A23)</f>
        <v>0</v>
      </c>
      <c r="Q23" s="514">
        <f>SUMIFS('[6]inland_taf_hatchgrp_tableraw&amp;yy'!Q$3:Q$38,'[6]inland_taf_hatchgrp_tableraw&amp;yy'!$AC$3:$AC$38,'2013 Table 11 CWTs exp'!$A23)</f>
        <v>0</v>
      </c>
      <c r="R23" s="516">
        <f>SUMIFS('[6]inland_taf_hatchgrp_tableraw&amp;yy'!R$3:R$38,'[6]inland_taf_hatchgrp_tableraw&amp;yy'!$AC$3:$AC$38,'2013 Table 11 CWTs exp'!$A23)</f>
        <v>0</v>
      </c>
      <c r="S23" s="515">
        <f>SUMIFS('[6]inland_taf_hatchgrp_tableraw&amp;yy'!S$3:S$38,'[6]inland_taf_hatchgrp_tableraw&amp;yy'!$AC$3:$AC$38,'2013 Table 11 CWTs exp'!$A23)</f>
        <v>0</v>
      </c>
      <c r="T23" s="515">
        <f>SUMIFS('[6]inland_taf_hatchgrp_tableraw&amp;yy'!T$3:T$38,'[6]inland_taf_hatchgrp_tableraw&amp;yy'!$AC$3:$AC$38,'2013 Table 11 CWTs exp'!$A23)</f>
        <v>0</v>
      </c>
      <c r="U23" s="515">
        <f>SUMIFS('[6]inland_taf_hatchgrp_tableraw&amp;yy'!U$3:U$38,'[6]inland_taf_hatchgrp_tableraw&amp;yy'!$AC$3:$AC$38,'2013 Table 11 CWTs exp'!$A23)</f>
        <v>0</v>
      </c>
      <c r="V23" s="514">
        <f>SUMIFS('[6]inland_taf_hatchgrp_tableraw&amp;yy'!V$3:V$38,'[6]inland_taf_hatchgrp_tableraw&amp;yy'!$AC$3:$AC$38,'2013 Table 11 CWTs exp'!$A23)</f>
        <v>0</v>
      </c>
      <c r="W23" s="516">
        <f>SUMIFS('[6]inland_taf_hatchgrp_tableraw&amp;yy'!W$3:W$38,'[6]inland_taf_hatchgrp_tableraw&amp;yy'!$AC$3:$AC$38,'2013 Table 11 CWTs exp'!$A23)</f>
        <v>0</v>
      </c>
      <c r="X23" s="515">
        <f>SUMIFS('[6]inland_taf_hatchgrp_tableraw&amp;yy'!X$3:X$38,'[6]inland_taf_hatchgrp_tableraw&amp;yy'!$AC$3:$AC$38,'2013 Table 11 CWTs exp'!$A23)</f>
        <v>0</v>
      </c>
      <c r="Y23" s="517">
        <f>SUMIFS('[6]inland_taf_hatchgrp_tableraw&amp;yy'!Y$3:Y$38,'[6]inland_taf_hatchgrp_tableraw&amp;yy'!$AC$3:$AC$38,'2013 Table 11 CWTs exp'!$A23)</f>
        <v>93</v>
      </c>
      <c r="Z23" s="518">
        <f>SUMIFS('[6]inland_taf_hatchgrp_tableraw&amp;yy'!Z$3:Z$38,'[6]inland_taf_hatchgrp_tableraw&amp;yy'!$AC$3:$AC$38,'2013 Table 11 CWTs exp'!$A23)</f>
        <v>82</v>
      </c>
      <c r="AA23" s="515">
        <f>SUMIFS('[6]inland_taf_hatchgrp_tableraw&amp;yy'!AA$3:AA$38,'[6]inland_taf_hatchgrp_tableraw&amp;yy'!$AC$3:$AC$38,'2013 Table 11 CWTs exp'!$A23)</f>
        <v>175</v>
      </c>
      <c r="AB23" s="515"/>
      <c r="AC23" s="567">
        <f>SUMIFS('[6]inland_taf_hatchgrp_tableraw&amp;yy'!AB$3:AB$38,'[6]inland_taf_hatchgrp_tableraw&amp;yy'!$AC$3:$AC$38,'2013 Table 11 CWTs exp'!$A23)</f>
        <v>0.53100000000000003</v>
      </c>
      <c r="AD23" s="551"/>
      <c r="AE23" s="551"/>
      <c r="AF23" s="551"/>
      <c r="AG23" s="558">
        <f t="shared" si="9"/>
        <v>0.46899999999999997</v>
      </c>
      <c r="AH23" s="559">
        <f t="shared" si="8"/>
        <v>82</v>
      </c>
      <c r="AI23" s="551"/>
      <c r="AJ23" s="551"/>
      <c r="AK23" s="551"/>
      <c r="AL23" s="551"/>
    </row>
    <row r="24" spans="1:38" ht="14.15" customHeight="1" x14ac:dyDescent="0.25">
      <c r="A24" s="490" t="str">
        <f t="shared" si="7"/>
        <v>MLC543</v>
      </c>
      <c r="B24" s="480" t="s">
        <v>78</v>
      </c>
      <c r="C24" s="480">
        <v>54</v>
      </c>
      <c r="D24" s="480">
        <v>3</v>
      </c>
      <c r="E24" s="482" t="s">
        <v>79</v>
      </c>
      <c r="F24" s="483" t="str">
        <f t="shared" si="11"/>
        <v>Fall</v>
      </c>
      <c r="G24" s="513">
        <f>SUMIFS('[6]inland_taf_hatchgrp_tableraw&amp;yy'!G$3:G$38,'[6]inland_taf_hatchgrp_tableraw&amp;yy'!$AC$3:$AC$38,'2013 Table 11 CWTs exp'!$A24)</f>
        <v>0</v>
      </c>
      <c r="H24" s="514">
        <f>SUMIFS('[6]inland_taf_hatchgrp_tableraw&amp;yy'!H$3:H$38,'[6]inland_taf_hatchgrp_tableraw&amp;yy'!$AC$3:$AC$38,'2013 Table 11 CWTs exp'!$A24)</f>
        <v>0</v>
      </c>
      <c r="I24" s="515">
        <f>SUMIFS('[6]inland_taf_hatchgrp_tableraw&amp;yy'!I$3:I$38,'[6]inland_taf_hatchgrp_tableraw&amp;yy'!$AC$3:$AC$38,'2013 Table 11 CWTs exp'!$A24)</f>
        <v>332</v>
      </c>
      <c r="J24" s="516">
        <f>SUMIFS('[6]inland_taf_hatchgrp_tableraw&amp;yy'!J$3:J$38,'[6]inland_taf_hatchgrp_tableraw&amp;yy'!$AC$3:$AC$38,'2013 Table 11 CWTs exp'!$A24)</f>
        <v>110</v>
      </c>
      <c r="K24" s="515">
        <f>SUMIFS('[6]inland_taf_hatchgrp_tableraw&amp;yy'!K$3:K$38,'[6]inland_taf_hatchgrp_tableraw&amp;yy'!$AC$3:$AC$38,'2013 Table 11 CWTs exp'!$A24)</f>
        <v>0</v>
      </c>
      <c r="L24" s="515">
        <f>SUMIFS('[6]inland_taf_hatchgrp_tableraw&amp;yy'!L$3:L$38,'[6]inland_taf_hatchgrp_tableraw&amp;yy'!$AC$3:$AC$38,'2013 Table 11 CWTs exp'!$A24)</f>
        <v>0</v>
      </c>
      <c r="M24" s="515">
        <f>SUMIFS('[6]inland_taf_hatchgrp_tableraw&amp;yy'!M$3:M$38,'[6]inland_taf_hatchgrp_tableraw&amp;yy'!$AC$3:$AC$38,'2013 Table 11 CWTs exp'!$A24)</f>
        <v>0</v>
      </c>
      <c r="N24" s="515">
        <f>SUMIFS('[6]inland_taf_hatchgrp_tableraw&amp;yy'!N$3:N$38,'[6]inland_taf_hatchgrp_tableraw&amp;yy'!$AC$3:$AC$38,'2013 Table 11 CWTs exp'!$A24)</f>
        <v>222</v>
      </c>
      <c r="O24" s="515">
        <f>SUMIFS('[6]inland_taf_hatchgrp_tableraw&amp;yy'!O$3:O$38,'[6]inland_taf_hatchgrp_tableraw&amp;yy'!$AC$3:$AC$38,'2013 Table 11 CWTs exp'!$A24)</f>
        <v>0</v>
      </c>
      <c r="P24" s="515">
        <f>SUMIFS('[6]inland_taf_hatchgrp_tableraw&amp;yy'!P$3:P$38,'[6]inland_taf_hatchgrp_tableraw&amp;yy'!$AC$3:$AC$38,'2013 Table 11 CWTs exp'!$A24)</f>
        <v>14</v>
      </c>
      <c r="Q24" s="514">
        <f>SUMIFS('[6]inland_taf_hatchgrp_tableraw&amp;yy'!Q$3:Q$38,'[6]inland_taf_hatchgrp_tableraw&amp;yy'!$AC$3:$AC$38,'2013 Table 11 CWTs exp'!$A24)</f>
        <v>0</v>
      </c>
      <c r="R24" s="516">
        <f>SUMIFS('[6]inland_taf_hatchgrp_tableraw&amp;yy'!R$3:R$38,'[6]inland_taf_hatchgrp_tableraw&amp;yy'!$AC$3:$AC$38,'2013 Table 11 CWTs exp'!$A24)</f>
        <v>0</v>
      </c>
      <c r="S24" s="515">
        <f>SUMIFS('[6]inland_taf_hatchgrp_tableraw&amp;yy'!S$3:S$38,'[6]inland_taf_hatchgrp_tableraw&amp;yy'!$AC$3:$AC$38,'2013 Table 11 CWTs exp'!$A24)</f>
        <v>0</v>
      </c>
      <c r="T24" s="515">
        <f>SUMIFS('[6]inland_taf_hatchgrp_tableraw&amp;yy'!T$3:T$38,'[6]inland_taf_hatchgrp_tableraw&amp;yy'!$AC$3:$AC$38,'2013 Table 11 CWTs exp'!$A24)</f>
        <v>14</v>
      </c>
      <c r="U24" s="515">
        <f>SUMIFS('[6]inland_taf_hatchgrp_tableraw&amp;yy'!U$3:U$38,'[6]inland_taf_hatchgrp_tableraw&amp;yy'!$AC$3:$AC$38,'2013 Table 11 CWTs exp'!$A24)</f>
        <v>0</v>
      </c>
      <c r="V24" s="514">
        <f>SUMIFS('[6]inland_taf_hatchgrp_tableraw&amp;yy'!V$3:V$38,'[6]inland_taf_hatchgrp_tableraw&amp;yy'!$AC$3:$AC$38,'2013 Table 11 CWTs exp'!$A24)</f>
        <v>0</v>
      </c>
      <c r="W24" s="516">
        <f>SUMIFS('[6]inland_taf_hatchgrp_tableraw&amp;yy'!W$3:W$38,'[6]inland_taf_hatchgrp_tableraw&amp;yy'!$AC$3:$AC$38,'2013 Table 11 CWTs exp'!$A24)</f>
        <v>0</v>
      </c>
      <c r="X24" s="515">
        <f>SUMIFS('[6]inland_taf_hatchgrp_tableraw&amp;yy'!X$3:X$38,'[6]inland_taf_hatchgrp_tableraw&amp;yy'!$AC$3:$AC$38,'2013 Table 11 CWTs exp'!$A24)</f>
        <v>0</v>
      </c>
      <c r="Y24" s="517">
        <f>SUMIFS('[6]inland_taf_hatchgrp_tableraw&amp;yy'!Y$3:Y$38,'[6]inland_taf_hatchgrp_tableraw&amp;yy'!$AC$3:$AC$38,'2013 Table 11 CWTs exp'!$A24)</f>
        <v>692</v>
      </c>
      <c r="Z24" s="518">
        <f>SUMIFS('[6]inland_taf_hatchgrp_tableraw&amp;yy'!Z$3:Z$38,'[6]inland_taf_hatchgrp_tableraw&amp;yy'!$AC$3:$AC$38,'2013 Table 11 CWTs exp'!$A24)</f>
        <v>1505</v>
      </c>
      <c r="AA24" s="515">
        <f>SUMIFS('[6]inland_taf_hatchgrp_tableraw&amp;yy'!AA$3:AA$38,'[6]inland_taf_hatchgrp_tableraw&amp;yy'!$AC$3:$AC$38,'2013 Table 11 CWTs exp'!$A24)</f>
        <v>2197</v>
      </c>
      <c r="AB24" s="515"/>
      <c r="AC24" s="567">
        <f>SUMIFS('[6]inland_taf_hatchgrp_tableraw&amp;yy'!AB$3:AB$38,'[6]inland_taf_hatchgrp_tableraw&amp;yy'!$AC$3:$AC$38,'2013 Table 11 CWTs exp'!$A24)</f>
        <v>0.315</v>
      </c>
      <c r="AD24" s="551"/>
      <c r="AE24" s="551"/>
      <c r="AF24" s="551"/>
      <c r="AG24" s="558">
        <f t="shared" si="9"/>
        <v>0.68500000000000005</v>
      </c>
      <c r="AH24" s="559">
        <f t="shared" si="8"/>
        <v>1505</v>
      </c>
      <c r="AI24" s="551"/>
      <c r="AJ24" s="551"/>
      <c r="AK24" s="551"/>
      <c r="AL24" s="551"/>
    </row>
    <row r="25" spans="1:38" ht="14.15" customHeight="1" x14ac:dyDescent="0.25">
      <c r="A25" s="490" t="str">
        <f t="shared" si="7"/>
        <v>DEE543</v>
      </c>
      <c r="B25" s="480" t="s">
        <v>220</v>
      </c>
      <c r="C25" s="480">
        <v>54</v>
      </c>
      <c r="D25" s="480">
        <v>3</v>
      </c>
      <c r="E25" s="482" t="s">
        <v>221</v>
      </c>
      <c r="F25" s="483" t="str">
        <f t="shared" si="11"/>
        <v>Fall</v>
      </c>
      <c r="G25" s="513">
        <f>SUMIFS('[6]inland_taf_hatchgrp_tableraw&amp;yy'!G$3:G$38,'[6]inland_taf_hatchgrp_tableraw&amp;yy'!$AC$3:$AC$38,'2013 Table 11 CWTs exp'!$A25)</f>
        <v>0</v>
      </c>
      <c r="H25" s="514">
        <f>SUMIFS('[6]inland_taf_hatchgrp_tableraw&amp;yy'!H$3:H$38,'[6]inland_taf_hatchgrp_tableraw&amp;yy'!$AC$3:$AC$38,'2013 Table 11 CWTs exp'!$A25)</f>
        <v>0</v>
      </c>
      <c r="I25" s="515">
        <f>SUMIFS('[6]inland_taf_hatchgrp_tableraw&amp;yy'!I$3:I$38,'[6]inland_taf_hatchgrp_tableraw&amp;yy'!$AC$3:$AC$38,'2013 Table 11 CWTs exp'!$A25)</f>
        <v>0</v>
      </c>
      <c r="J25" s="516">
        <f>SUMIFS('[6]inland_taf_hatchgrp_tableraw&amp;yy'!J$3:J$38,'[6]inland_taf_hatchgrp_tableraw&amp;yy'!$AC$3:$AC$38,'2013 Table 11 CWTs exp'!$A25)</f>
        <v>0</v>
      </c>
      <c r="K25" s="515">
        <f>SUMIFS('[6]inland_taf_hatchgrp_tableraw&amp;yy'!K$3:K$38,'[6]inland_taf_hatchgrp_tableraw&amp;yy'!$AC$3:$AC$38,'2013 Table 11 CWTs exp'!$A25)</f>
        <v>0</v>
      </c>
      <c r="L25" s="515">
        <f>SUMIFS('[6]inland_taf_hatchgrp_tableraw&amp;yy'!L$3:L$38,'[6]inland_taf_hatchgrp_tableraw&amp;yy'!$AC$3:$AC$38,'2013 Table 11 CWTs exp'!$A25)</f>
        <v>0</v>
      </c>
      <c r="M25" s="515">
        <f>SUMIFS('[6]inland_taf_hatchgrp_tableraw&amp;yy'!M$3:M$38,'[6]inland_taf_hatchgrp_tableraw&amp;yy'!$AC$3:$AC$38,'2013 Table 11 CWTs exp'!$A25)</f>
        <v>0</v>
      </c>
      <c r="N25" s="515">
        <f>SUMIFS('[6]inland_taf_hatchgrp_tableraw&amp;yy'!N$3:N$38,'[6]inland_taf_hatchgrp_tableraw&amp;yy'!$AC$3:$AC$38,'2013 Table 11 CWTs exp'!$A25)</f>
        <v>37</v>
      </c>
      <c r="O25" s="515">
        <f>SUMIFS('[6]inland_taf_hatchgrp_tableraw&amp;yy'!O$3:O$38,'[6]inland_taf_hatchgrp_tableraw&amp;yy'!$AC$3:$AC$38,'2013 Table 11 CWTs exp'!$A25)</f>
        <v>0</v>
      </c>
      <c r="P25" s="515">
        <f>SUMIFS('[6]inland_taf_hatchgrp_tableraw&amp;yy'!P$3:P$38,'[6]inland_taf_hatchgrp_tableraw&amp;yy'!$AC$3:$AC$38,'2013 Table 11 CWTs exp'!$A25)</f>
        <v>0</v>
      </c>
      <c r="Q25" s="514">
        <f>SUMIFS('[6]inland_taf_hatchgrp_tableraw&amp;yy'!Q$3:Q$38,'[6]inland_taf_hatchgrp_tableraw&amp;yy'!$AC$3:$AC$38,'2013 Table 11 CWTs exp'!$A25)</f>
        <v>0</v>
      </c>
      <c r="R25" s="516">
        <f>SUMIFS('[6]inland_taf_hatchgrp_tableraw&amp;yy'!R$3:R$38,'[6]inland_taf_hatchgrp_tableraw&amp;yy'!$AC$3:$AC$38,'2013 Table 11 CWTs exp'!$A25)</f>
        <v>0</v>
      </c>
      <c r="S25" s="515">
        <f>SUMIFS('[6]inland_taf_hatchgrp_tableraw&amp;yy'!S$3:S$38,'[6]inland_taf_hatchgrp_tableraw&amp;yy'!$AC$3:$AC$38,'2013 Table 11 CWTs exp'!$A25)</f>
        <v>0</v>
      </c>
      <c r="T25" s="515">
        <f>SUMIFS('[6]inland_taf_hatchgrp_tableraw&amp;yy'!T$3:T$38,'[6]inland_taf_hatchgrp_tableraw&amp;yy'!$AC$3:$AC$38,'2013 Table 11 CWTs exp'!$A25)</f>
        <v>0</v>
      </c>
      <c r="U25" s="515">
        <f>SUMIFS('[6]inland_taf_hatchgrp_tableraw&amp;yy'!U$3:U$38,'[6]inland_taf_hatchgrp_tableraw&amp;yy'!$AC$3:$AC$38,'2013 Table 11 CWTs exp'!$A25)</f>
        <v>0</v>
      </c>
      <c r="V25" s="514">
        <f>SUMIFS('[6]inland_taf_hatchgrp_tableraw&amp;yy'!V$3:V$38,'[6]inland_taf_hatchgrp_tableraw&amp;yy'!$AC$3:$AC$38,'2013 Table 11 CWTs exp'!$A25)</f>
        <v>0</v>
      </c>
      <c r="W25" s="516">
        <f>SUMIFS('[6]inland_taf_hatchgrp_tableraw&amp;yy'!W$3:W$38,'[6]inland_taf_hatchgrp_tableraw&amp;yy'!$AC$3:$AC$38,'2013 Table 11 CWTs exp'!$A25)</f>
        <v>0</v>
      </c>
      <c r="X25" s="515">
        <f>SUMIFS('[6]inland_taf_hatchgrp_tableraw&amp;yy'!X$3:X$38,'[6]inland_taf_hatchgrp_tableraw&amp;yy'!$AC$3:$AC$38,'2013 Table 11 CWTs exp'!$A25)</f>
        <v>0</v>
      </c>
      <c r="Y25" s="517">
        <f>SUMIFS('[6]inland_taf_hatchgrp_tableraw&amp;yy'!Y$3:Y$38,'[6]inland_taf_hatchgrp_tableraw&amp;yy'!$AC$3:$AC$38,'2013 Table 11 CWTs exp'!$A25)</f>
        <v>37</v>
      </c>
      <c r="Z25" s="518">
        <f>SUMIFS('[6]inland_taf_hatchgrp_tableraw&amp;yy'!Z$3:Z$38,'[6]inland_taf_hatchgrp_tableraw&amp;yy'!$AC$3:$AC$38,'2013 Table 11 CWTs exp'!$A25)</f>
        <v>989</v>
      </c>
      <c r="AA25" s="515">
        <f>SUMIFS('[6]inland_taf_hatchgrp_tableraw&amp;yy'!AA$3:AA$38,'[6]inland_taf_hatchgrp_tableraw&amp;yy'!$AC$3:$AC$38,'2013 Table 11 CWTs exp'!$A25)</f>
        <v>1026</v>
      </c>
      <c r="AB25" s="515"/>
      <c r="AC25" s="567">
        <f>SUMIFS('[6]inland_taf_hatchgrp_tableraw&amp;yy'!AB$3:AB$38,'[6]inland_taf_hatchgrp_tableraw&amp;yy'!$AC$3:$AC$38,'2013 Table 11 CWTs exp'!$A25)</f>
        <v>3.5999999999999997E-2</v>
      </c>
      <c r="AD25" s="551"/>
      <c r="AE25" s="551"/>
      <c r="AF25" s="551"/>
      <c r="AG25" s="558">
        <f t="shared" si="9"/>
        <v>0.96399999999999997</v>
      </c>
      <c r="AH25" s="559">
        <f t="shared" si="8"/>
        <v>989</v>
      </c>
      <c r="AI25" s="551"/>
      <c r="AJ25" s="551"/>
      <c r="AK25" s="551"/>
      <c r="AL25" s="551"/>
    </row>
    <row r="26" spans="1:38" ht="14.15" customHeight="1" x14ac:dyDescent="0.25">
      <c r="A26" s="490" t="str">
        <f t="shared" si="7"/>
        <v>BUTT543</v>
      </c>
      <c r="B26" s="480" t="s">
        <v>66</v>
      </c>
      <c r="C26" s="480">
        <v>54</v>
      </c>
      <c r="D26" s="480">
        <v>3</v>
      </c>
      <c r="E26" s="482" t="s">
        <v>67</v>
      </c>
      <c r="F26" s="483" t="str">
        <f t="shared" si="11"/>
        <v>Fall</v>
      </c>
      <c r="G26" s="513">
        <f>SUMIFS('[6]inland_taf_hatchgrp_tableraw&amp;yy'!G$3:G$38,'[6]inland_taf_hatchgrp_tableraw&amp;yy'!$AC$3:$AC$38,'2013 Table 11 CWTs exp'!$A26)</f>
        <v>0</v>
      </c>
      <c r="H26" s="514">
        <f>SUMIFS('[6]inland_taf_hatchgrp_tableraw&amp;yy'!H$3:H$38,'[6]inland_taf_hatchgrp_tableraw&amp;yy'!$AC$3:$AC$38,'2013 Table 11 CWTs exp'!$A26)</f>
        <v>0</v>
      </c>
      <c r="I26" s="515">
        <f>SUMIFS('[6]inland_taf_hatchgrp_tableraw&amp;yy'!I$3:I$38,'[6]inland_taf_hatchgrp_tableraw&amp;yy'!$AC$3:$AC$38,'2013 Table 11 CWTs exp'!$A26)</f>
        <v>0</v>
      </c>
      <c r="J26" s="516">
        <f>SUMIFS('[6]inland_taf_hatchgrp_tableraw&amp;yy'!J$3:J$38,'[6]inland_taf_hatchgrp_tableraw&amp;yy'!$AC$3:$AC$38,'2013 Table 11 CWTs exp'!$A26)</f>
        <v>17</v>
      </c>
      <c r="K26" s="515">
        <f>SUMIFS('[6]inland_taf_hatchgrp_tableraw&amp;yy'!K$3:K$38,'[6]inland_taf_hatchgrp_tableraw&amp;yy'!$AC$3:$AC$38,'2013 Table 11 CWTs exp'!$A26)</f>
        <v>0</v>
      </c>
      <c r="L26" s="515">
        <f>SUMIFS('[6]inland_taf_hatchgrp_tableraw&amp;yy'!L$3:L$38,'[6]inland_taf_hatchgrp_tableraw&amp;yy'!$AC$3:$AC$38,'2013 Table 11 CWTs exp'!$A26)</f>
        <v>0</v>
      </c>
      <c r="M26" s="515">
        <f>SUMIFS('[6]inland_taf_hatchgrp_tableraw&amp;yy'!M$3:M$38,'[6]inland_taf_hatchgrp_tableraw&amp;yy'!$AC$3:$AC$38,'2013 Table 11 CWTs exp'!$A26)</f>
        <v>0</v>
      </c>
      <c r="N26" s="515">
        <f>SUMIFS('[6]inland_taf_hatchgrp_tableraw&amp;yy'!N$3:N$38,'[6]inland_taf_hatchgrp_tableraw&amp;yy'!$AC$3:$AC$38,'2013 Table 11 CWTs exp'!$A26)</f>
        <v>86</v>
      </c>
      <c r="O26" s="515">
        <f>SUMIFS('[6]inland_taf_hatchgrp_tableraw&amp;yy'!O$3:O$38,'[6]inland_taf_hatchgrp_tableraw&amp;yy'!$AC$3:$AC$38,'2013 Table 11 CWTs exp'!$A26)</f>
        <v>0</v>
      </c>
      <c r="P26" s="515">
        <f>SUMIFS('[6]inland_taf_hatchgrp_tableraw&amp;yy'!P$3:P$38,'[6]inland_taf_hatchgrp_tableraw&amp;yy'!$AC$3:$AC$38,'2013 Table 11 CWTs exp'!$A26)</f>
        <v>3</v>
      </c>
      <c r="Q26" s="514">
        <f>SUMIFS('[6]inland_taf_hatchgrp_tableraw&amp;yy'!Q$3:Q$38,'[6]inland_taf_hatchgrp_tableraw&amp;yy'!$AC$3:$AC$38,'2013 Table 11 CWTs exp'!$A26)</f>
        <v>0</v>
      </c>
      <c r="R26" s="516">
        <f>SUMIFS('[6]inland_taf_hatchgrp_tableraw&amp;yy'!R$3:R$38,'[6]inland_taf_hatchgrp_tableraw&amp;yy'!$AC$3:$AC$38,'2013 Table 11 CWTs exp'!$A26)</f>
        <v>0</v>
      </c>
      <c r="S26" s="515">
        <f>SUMIFS('[6]inland_taf_hatchgrp_tableraw&amp;yy'!S$3:S$38,'[6]inland_taf_hatchgrp_tableraw&amp;yy'!$AC$3:$AC$38,'2013 Table 11 CWTs exp'!$A26)</f>
        <v>0</v>
      </c>
      <c r="T26" s="515">
        <f>SUMIFS('[6]inland_taf_hatchgrp_tableraw&amp;yy'!T$3:T$38,'[6]inland_taf_hatchgrp_tableraw&amp;yy'!$AC$3:$AC$38,'2013 Table 11 CWTs exp'!$A26)</f>
        <v>36</v>
      </c>
      <c r="U26" s="515">
        <f>SUMIFS('[6]inland_taf_hatchgrp_tableraw&amp;yy'!U$3:U$38,'[6]inland_taf_hatchgrp_tableraw&amp;yy'!$AC$3:$AC$38,'2013 Table 11 CWTs exp'!$A26)</f>
        <v>0</v>
      </c>
      <c r="V26" s="514">
        <f>SUMIFS('[6]inland_taf_hatchgrp_tableraw&amp;yy'!V$3:V$38,'[6]inland_taf_hatchgrp_tableraw&amp;yy'!$AC$3:$AC$38,'2013 Table 11 CWTs exp'!$A26)</f>
        <v>0</v>
      </c>
      <c r="W26" s="516">
        <f>SUMIFS('[6]inland_taf_hatchgrp_tableraw&amp;yy'!W$3:W$38,'[6]inland_taf_hatchgrp_tableraw&amp;yy'!$AC$3:$AC$38,'2013 Table 11 CWTs exp'!$A26)</f>
        <v>2</v>
      </c>
      <c r="X26" s="515">
        <f>SUMIFS('[6]inland_taf_hatchgrp_tableraw&amp;yy'!X$3:X$38,'[6]inland_taf_hatchgrp_tableraw&amp;yy'!$AC$3:$AC$38,'2013 Table 11 CWTs exp'!$A26)</f>
        <v>0</v>
      </c>
      <c r="Y26" s="517">
        <f>SUMIFS('[6]inland_taf_hatchgrp_tableraw&amp;yy'!Y$3:Y$38,'[6]inland_taf_hatchgrp_tableraw&amp;yy'!$AC$3:$AC$38,'2013 Table 11 CWTs exp'!$A26)</f>
        <v>143</v>
      </c>
      <c r="Z26" s="518">
        <f>SUMIFS('[6]inland_taf_hatchgrp_tableraw&amp;yy'!Z$3:Z$38,'[6]inland_taf_hatchgrp_tableraw&amp;yy'!$AC$3:$AC$38,'2013 Table 11 CWTs exp'!$A26)</f>
        <v>2057</v>
      </c>
      <c r="AA26" s="515">
        <f>SUMIFS('[6]inland_taf_hatchgrp_tableraw&amp;yy'!AA$3:AA$38,'[6]inland_taf_hatchgrp_tableraw&amp;yy'!$AC$3:$AC$38,'2013 Table 11 CWTs exp'!$A26)</f>
        <v>2200</v>
      </c>
      <c r="AB26" s="515"/>
      <c r="AC26" s="566">
        <f>SUMIFS('[6]inland_taf_hatchgrp_tableraw&amp;yy'!AB$3:AB$38,'[6]inland_taf_hatchgrp_tableraw&amp;yy'!$AC$3:$AC$38,'2013 Table 11 CWTs exp'!$A26)</f>
        <v>6.5000000000000002E-2</v>
      </c>
      <c r="AD26" s="551"/>
      <c r="AE26" s="551"/>
      <c r="AF26" s="551"/>
      <c r="AG26" s="558">
        <f t="shared" si="9"/>
        <v>0.93500000000000005</v>
      </c>
      <c r="AH26" s="559">
        <f t="shared" si="8"/>
        <v>2057</v>
      </c>
      <c r="AI26" s="551"/>
      <c r="AJ26" s="551"/>
      <c r="AK26" s="551"/>
      <c r="AL26" s="551"/>
    </row>
    <row r="27" spans="1:38" ht="14.15" customHeight="1" x14ac:dyDescent="0.25">
      <c r="A27" s="490" t="str">
        <f t="shared" si="7"/>
        <v>FEA543</v>
      </c>
      <c r="B27" s="480" t="s">
        <v>80</v>
      </c>
      <c r="C27" s="480">
        <v>54</v>
      </c>
      <c r="D27" s="480">
        <v>3</v>
      </c>
      <c r="E27" s="482" t="s">
        <v>81</v>
      </c>
      <c r="F27" s="483" t="str">
        <f t="shared" si="11"/>
        <v>Fall</v>
      </c>
      <c r="G27" s="513">
        <f>SUMIFS('[6]inland_taf_hatchgrp_tableraw&amp;yy'!G$3:G$38,'[6]inland_taf_hatchgrp_tableraw&amp;yy'!$AC$3:$AC$38,'2013 Table 11 CWTs exp'!$A27)</f>
        <v>0</v>
      </c>
      <c r="H27" s="514">
        <f>SUMIFS('[6]inland_taf_hatchgrp_tableraw&amp;yy'!H$3:H$38,'[6]inland_taf_hatchgrp_tableraw&amp;yy'!$AC$3:$AC$38,'2013 Table 11 CWTs exp'!$A27)</f>
        <v>0</v>
      </c>
      <c r="I27" s="515">
        <f>SUMIFS('[6]inland_taf_hatchgrp_tableraw&amp;yy'!I$3:I$38,'[6]inland_taf_hatchgrp_tableraw&amp;yy'!$AC$3:$AC$38,'2013 Table 11 CWTs exp'!$A27)</f>
        <v>65</v>
      </c>
      <c r="J27" s="516">
        <f>SUMIFS('[6]inland_taf_hatchgrp_tableraw&amp;yy'!J$3:J$38,'[6]inland_taf_hatchgrp_tableraw&amp;yy'!$AC$3:$AC$38,'2013 Table 11 CWTs exp'!$A27)</f>
        <v>3676</v>
      </c>
      <c r="K27" s="515">
        <f>SUMIFS('[6]inland_taf_hatchgrp_tableraw&amp;yy'!K$3:K$38,'[6]inland_taf_hatchgrp_tableraw&amp;yy'!$AC$3:$AC$38,'2013 Table 11 CWTs exp'!$A27)</f>
        <v>19545</v>
      </c>
      <c r="L27" s="515">
        <f>SUMIFS('[6]inland_taf_hatchgrp_tableraw&amp;yy'!L$3:L$38,'[6]inland_taf_hatchgrp_tableraw&amp;yy'!$AC$3:$AC$38,'2013 Table 11 CWTs exp'!$A27)</f>
        <v>7662</v>
      </c>
      <c r="M27" s="515">
        <f>SUMIFS('[6]inland_taf_hatchgrp_tableraw&amp;yy'!M$3:M$38,'[6]inland_taf_hatchgrp_tableraw&amp;yy'!$AC$3:$AC$38,'2013 Table 11 CWTs exp'!$A27)</f>
        <v>64</v>
      </c>
      <c r="N27" s="515">
        <f>SUMIFS('[6]inland_taf_hatchgrp_tableraw&amp;yy'!N$3:N$38,'[6]inland_taf_hatchgrp_tableraw&amp;yy'!$AC$3:$AC$38,'2013 Table 11 CWTs exp'!$A27)</f>
        <v>95101</v>
      </c>
      <c r="O27" s="515">
        <f>SUMIFS('[6]inland_taf_hatchgrp_tableraw&amp;yy'!O$3:O$38,'[6]inland_taf_hatchgrp_tableraw&amp;yy'!$AC$3:$AC$38,'2013 Table 11 CWTs exp'!$A27)</f>
        <v>485</v>
      </c>
      <c r="P27" s="515">
        <f>SUMIFS('[6]inland_taf_hatchgrp_tableraw&amp;yy'!P$3:P$38,'[6]inland_taf_hatchgrp_tableraw&amp;yy'!$AC$3:$AC$38,'2013 Table 11 CWTs exp'!$A27)</f>
        <v>523</v>
      </c>
      <c r="Q27" s="514">
        <f>SUMIFS('[6]inland_taf_hatchgrp_tableraw&amp;yy'!Q$3:Q$38,'[6]inland_taf_hatchgrp_tableraw&amp;yy'!$AC$3:$AC$38,'2013 Table 11 CWTs exp'!$A27)</f>
        <v>0</v>
      </c>
      <c r="R27" s="516">
        <f>SUMIFS('[6]inland_taf_hatchgrp_tableraw&amp;yy'!R$3:R$38,'[6]inland_taf_hatchgrp_tableraw&amp;yy'!$AC$3:$AC$38,'2013 Table 11 CWTs exp'!$A27)</f>
        <v>79</v>
      </c>
      <c r="S27" s="515">
        <f>SUMIFS('[6]inland_taf_hatchgrp_tableraw&amp;yy'!S$3:S$38,'[6]inland_taf_hatchgrp_tableraw&amp;yy'!$AC$3:$AC$38,'2013 Table 11 CWTs exp'!$A27)</f>
        <v>16</v>
      </c>
      <c r="T27" s="515">
        <f>SUMIFS('[6]inland_taf_hatchgrp_tableraw&amp;yy'!T$3:T$38,'[6]inland_taf_hatchgrp_tableraw&amp;yy'!$AC$3:$AC$38,'2013 Table 11 CWTs exp'!$A27)</f>
        <v>308</v>
      </c>
      <c r="U27" s="515">
        <f>SUMIFS('[6]inland_taf_hatchgrp_tableraw&amp;yy'!U$3:U$38,'[6]inland_taf_hatchgrp_tableraw&amp;yy'!$AC$3:$AC$38,'2013 Table 11 CWTs exp'!$A27)</f>
        <v>65</v>
      </c>
      <c r="V27" s="514">
        <f>SUMIFS('[6]inland_taf_hatchgrp_tableraw&amp;yy'!V$3:V$38,'[6]inland_taf_hatchgrp_tableraw&amp;yy'!$AC$3:$AC$38,'2013 Table 11 CWTs exp'!$A27)</f>
        <v>0</v>
      </c>
      <c r="W27" s="516">
        <f>SUMIFS('[6]inland_taf_hatchgrp_tableraw&amp;yy'!W$3:W$38,'[6]inland_taf_hatchgrp_tableraw&amp;yy'!$AC$3:$AC$38,'2013 Table 11 CWTs exp'!$A27)</f>
        <v>17</v>
      </c>
      <c r="X27" s="515">
        <f>SUMIFS('[6]inland_taf_hatchgrp_tableraw&amp;yy'!X$3:X$38,'[6]inland_taf_hatchgrp_tableraw&amp;yy'!$AC$3:$AC$38,'2013 Table 11 CWTs exp'!$A27)</f>
        <v>0</v>
      </c>
      <c r="Y27" s="517">
        <f>SUMIFS('[6]inland_taf_hatchgrp_tableraw&amp;yy'!Y$3:Y$38,'[6]inland_taf_hatchgrp_tableraw&amp;yy'!$AC$3:$AC$38,'2013 Table 11 CWTs exp'!$A27)</f>
        <v>127606</v>
      </c>
      <c r="Z27" s="518">
        <f>SUMIFS('[6]inland_taf_hatchgrp_tableraw&amp;yy'!Z$3:Z$38,'[6]inland_taf_hatchgrp_tableraw&amp;yy'!$AC$3:$AC$38,'2013 Table 11 CWTs exp'!$A27)</f>
        <v>23603</v>
      </c>
      <c r="AA27" s="515">
        <f>SUMIFS('[6]inland_taf_hatchgrp_tableraw&amp;yy'!AA$3:AA$38,'[6]inland_taf_hatchgrp_tableraw&amp;yy'!$AC$3:$AC$38,'2013 Table 11 CWTs exp'!$A27)</f>
        <v>151209</v>
      </c>
      <c r="AB27" s="515"/>
      <c r="AC27" s="566">
        <f>SUMIFS('[6]inland_taf_hatchgrp_tableraw&amp;yy'!AB$3:AB$38,'[6]inland_taf_hatchgrp_tableraw&amp;yy'!$AC$3:$AC$38,'2013 Table 11 CWTs exp'!$A27)</f>
        <v>0.84399999999999997</v>
      </c>
      <c r="AD27" s="551"/>
      <c r="AE27" s="551"/>
      <c r="AF27" s="551"/>
      <c r="AG27" s="558">
        <f t="shared" si="9"/>
        <v>0.15600000000000003</v>
      </c>
      <c r="AH27" s="559">
        <f t="shared" si="8"/>
        <v>23603</v>
      </c>
      <c r="AI27" s="551"/>
      <c r="AJ27" s="551"/>
      <c r="AK27" s="551"/>
      <c r="AL27" s="551"/>
    </row>
    <row r="28" spans="1:38" ht="14.15" customHeight="1" x14ac:dyDescent="0.25">
      <c r="A28" s="490" t="str">
        <f t="shared" si="7"/>
        <v>YUBA543</v>
      </c>
      <c r="B28" s="480" t="s">
        <v>82</v>
      </c>
      <c r="C28" s="480">
        <v>54</v>
      </c>
      <c r="D28" s="480">
        <v>3</v>
      </c>
      <c r="E28" s="482" t="s">
        <v>247</v>
      </c>
      <c r="F28" s="483" t="str">
        <f t="shared" si="11"/>
        <v>Fall</v>
      </c>
      <c r="G28" s="513">
        <f>SUMIFS('[6]inland_taf_hatchgrp_tableraw&amp;yy'!G$3:G$38,'[6]inland_taf_hatchgrp_tableraw&amp;yy'!$AC$3:$AC$38,'2013 Table 11 CWTs exp'!$A28)</f>
        <v>0</v>
      </c>
      <c r="H28" s="514">
        <f>SUMIFS('[6]inland_taf_hatchgrp_tableraw&amp;yy'!H$3:H$38,'[6]inland_taf_hatchgrp_tableraw&amp;yy'!$AC$3:$AC$38,'2013 Table 11 CWTs exp'!$A28)</f>
        <v>0</v>
      </c>
      <c r="I28" s="515">
        <f>SUMIFS('[6]inland_taf_hatchgrp_tableraw&amp;yy'!I$3:I$38,'[6]inland_taf_hatchgrp_tableraw&amp;yy'!$AC$3:$AC$38,'2013 Table 11 CWTs exp'!$A28)</f>
        <v>0</v>
      </c>
      <c r="J28" s="516">
        <f>SUMIFS('[6]inland_taf_hatchgrp_tableraw&amp;yy'!J$3:J$38,'[6]inland_taf_hatchgrp_tableraw&amp;yy'!$AC$3:$AC$38,'2013 Table 11 CWTs exp'!$A28)</f>
        <v>352</v>
      </c>
      <c r="K28" s="515">
        <f>SUMIFS('[6]inland_taf_hatchgrp_tableraw&amp;yy'!K$3:K$38,'[6]inland_taf_hatchgrp_tableraw&amp;yy'!$AC$3:$AC$38,'2013 Table 11 CWTs exp'!$A28)</f>
        <v>39</v>
      </c>
      <c r="L28" s="515">
        <f>SUMIFS('[6]inland_taf_hatchgrp_tableraw&amp;yy'!L$3:L$38,'[6]inland_taf_hatchgrp_tableraw&amp;yy'!$AC$3:$AC$38,'2013 Table 11 CWTs exp'!$A28)</f>
        <v>20</v>
      </c>
      <c r="M28" s="515">
        <f>SUMIFS('[6]inland_taf_hatchgrp_tableraw&amp;yy'!M$3:M$38,'[6]inland_taf_hatchgrp_tableraw&amp;yy'!$AC$3:$AC$38,'2013 Table 11 CWTs exp'!$A28)</f>
        <v>0</v>
      </c>
      <c r="N28" s="515">
        <f>SUMIFS('[6]inland_taf_hatchgrp_tableraw&amp;yy'!N$3:N$38,'[6]inland_taf_hatchgrp_tableraw&amp;yy'!$AC$3:$AC$38,'2013 Table 11 CWTs exp'!$A28)</f>
        <v>2679</v>
      </c>
      <c r="O28" s="515">
        <f>SUMIFS('[6]inland_taf_hatchgrp_tableraw&amp;yy'!O$3:O$38,'[6]inland_taf_hatchgrp_tableraw&amp;yy'!$AC$3:$AC$38,'2013 Table 11 CWTs exp'!$A28)</f>
        <v>10</v>
      </c>
      <c r="P28" s="515">
        <f>SUMIFS('[6]inland_taf_hatchgrp_tableraw&amp;yy'!P$3:P$38,'[6]inland_taf_hatchgrp_tableraw&amp;yy'!$AC$3:$AC$38,'2013 Table 11 CWTs exp'!$A28)</f>
        <v>10</v>
      </c>
      <c r="Q28" s="514">
        <f>SUMIFS('[6]inland_taf_hatchgrp_tableraw&amp;yy'!Q$3:Q$38,'[6]inland_taf_hatchgrp_tableraw&amp;yy'!$AC$3:$AC$38,'2013 Table 11 CWTs exp'!$A28)</f>
        <v>78</v>
      </c>
      <c r="R28" s="516">
        <f>SUMIFS('[6]inland_taf_hatchgrp_tableraw&amp;yy'!R$3:R$38,'[6]inland_taf_hatchgrp_tableraw&amp;yy'!$AC$3:$AC$38,'2013 Table 11 CWTs exp'!$A28)</f>
        <v>117</v>
      </c>
      <c r="S28" s="515">
        <f>SUMIFS('[6]inland_taf_hatchgrp_tableraw&amp;yy'!S$3:S$38,'[6]inland_taf_hatchgrp_tableraw&amp;yy'!$AC$3:$AC$38,'2013 Table 11 CWTs exp'!$A28)</f>
        <v>0</v>
      </c>
      <c r="T28" s="515">
        <f>SUMIFS('[6]inland_taf_hatchgrp_tableraw&amp;yy'!T$3:T$38,'[6]inland_taf_hatchgrp_tableraw&amp;yy'!$AC$3:$AC$38,'2013 Table 11 CWTs exp'!$A28)</f>
        <v>511</v>
      </c>
      <c r="U28" s="515">
        <f>SUMIFS('[6]inland_taf_hatchgrp_tableraw&amp;yy'!U$3:U$38,'[6]inland_taf_hatchgrp_tableraw&amp;yy'!$AC$3:$AC$38,'2013 Table 11 CWTs exp'!$A28)</f>
        <v>0</v>
      </c>
      <c r="V28" s="514">
        <f>SUMIFS('[6]inland_taf_hatchgrp_tableraw&amp;yy'!V$3:V$38,'[6]inland_taf_hatchgrp_tableraw&amp;yy'!$AC$3:$AC$38,'2013 Table 11 CWTs exp'!$A28)</f>
        <v>0</v>
      </c>
      <c r="W28" s="516">
        <f>SUMIFS('[6]inland_taf_hatchgrp_tableraw&amp;yy'!W$3:W$38,'[6]inland_taf_hatchgrp_tableraw&amp;yy'!$AC$3:$AC$38,'2013 Table 11 CWTs exp'!$A28)</f>
        <v>0</v>
      </c>
      <c r="X28" s="515">
        <f>SUMIFS('[6]inland_taf_hatchgrp_tableraw&amp;yy'!X$3:X$38,'[6]inland_taf_hatchgrp_tableraw&amp;yy'!$AC$3:$AC$38,'2013 Table 11 CWTs exp'!$A28)</f>
        <v>0</v>
      </c>
      <c r="Y28" s="517">
        <f>SUMIFS('[6]inland_taf_hatchgrp_tableraw&amp;yy'!Y$3:Y$38,'[6]inland_taf_hatchgrp_tableraw&amp;yy'!$AC$3:$AC$38,'2013 Table 11 CWTs exp'!$A28)</f>
        <v>3817</v>
      </c>
      <c r="Z28" s="518">
        <f>SUMIFS('[6]inland_taf_hatchgrp_tableraw&amp;yy'!Z$3:Z$38,'[6]inland_taf_hatchgrp_tableraw&amp;yy'!$AC$3:$AC$38,'2013 Table 11 CWTs exp'!$A28)</f>
        <v>7563</v>
      </c>
      <c r="AA28" s="515">
        <f>SUMIFS('[6]inland_taf_hatchgrp_tableraw&amp;yy'!AA$3:AA$38,'[6]inland_taf_hatchgrp_tableraw&amp;yy'!$AC$3:$AC$38,'2013 Table 11 CWTs exp'!$A28)</f>
        <v>11380</v>
      </c>
      <c r="AB28" s="515"/>
      <c r="AC28" s="566">
        <f>SUMIFS('[6]inland_taf_hatchgrp_tableraw&amp;yy'!AB$3:AB$38,'[6]inland_taf_hatchgrp_tableraw&amp;yy'!$AC$3:$AC$38,'2013 Table 11 CWTs exp'!$A28)</f>
        <v>0.33500000000000002</v>
      </c>
      <c r="AD28" s="551"/>
      <c r="AE28" s="551"/>
      <c r="AF28" s="551"/>
      <c r="AG28" s="558">
        <f t="shared" si="9"/>
        <v>0.66500000000000004</v>
      </c>
      <c r="AH28" s="559">
        <f t="shared" si="8"/>
        <v>7563</v>
      </c>
      <c r="AI28" s="551"/>
      <c r="AJ28" s="551"/>
      <c r="AK28" s="551"/>
      <c r="AL28" s="551"/>
    </row>
    <row r="29" spans="1:38" ht="14.15" customHeight="1" x14ac:dyDescent="0.25">
      <c r="A29" s="490" t="str">
        <f t="shared" si="7"/>
        <v>YUBB543</v>
      </c>
      <c r="B29" s="480" t="s">
        <v>84</v>
      </c>
      <c r="C29" s="480">
        <v>54</v>
      </c>
      <c r="D29" s="480">
        <v>3</v>
      </c>
      <c r="E29" s="482" t="s">
        <v>248</v>
      </c>
      <c r="F29" s="483" t="str">
        <f t="shared" si="11"/>
        <v>Fall</v>
      </c>
      <c r="G29" s="513">
        <f>SUMIFS('[6]inland_taf_hatchgrp_tableraw&amp;yy'!G$3:G$38,'[6]inland_taf_hatchgrp_tableraw&amp;yy'!$AC$3:$AC$38,'2013 Table 11 CWTs exp'!$A29)</f>
        <v>0</v>
      </c>
      <c r="H29" s="514">
        <f>SUMIFS('[6]inland_taf_hatchgrp_tableraw&amp;yy'!H$3:H$38,'[6]inland_taf_hatchgrp_tableraw&amp;yy'!$AC$3:$AC$38,'2013 Table 11 CWTs exp'!$A29)</f>
        <v>0</v>
      </c>
      <c r="I29" s="515">
        <f>SUMIFS('[6]inland_taf_hatchgrp_tableraw&amp;yy'!I$3:I$38,'[6]inland_taf_hatchgrp_tableraw&amp;yy'!$AC$3:$AC$38,'2013 Table 11 CWTs exp'!$A29)</f>
        <v>27</v>
      </c>
      <c r="J29" s="516">
        <f>SUMIFS('[6]inland_taf_hatchgrp_tableraw&amp;yy'!J$3:J$38,'[6]inland_taf_hatchgrp_tableraw&amp;yy'!$AC$3:$AC$38,'2013 Table 11 CWTs exp'!$A29)</f>
        <v>242</v>
      </c>
      <c r="K29" s="515">
        <f>SUMIFS('[6]inland_taf_hatchgrp_tableraw&amp;yy'!K$3:K$38,'[6]inland_taf_hatchgrp_tableraw&amp;yy'!$AC$3:$AC$38,'2013 Table 11 CWTs exp'!$A29)</f>
        <v>61</v>
      </c>
      <c r="L29" s="515">
        <f>SUMIFS('[6]inland_taf_hatchgrp_tableraw&amp;yy'!L$3:L$38,'[6]inland_taf_hatchgrp_tableraw&amp;yy'!$AC$3:$AC$38,'2013 Table 11 CWTs exp'!$A29)</f>
        <v>7</v>
      </c>
      <c r="M29" s="515">
        <f>SUMIFS('[6]inland_taf_hatchgrp_tableraw&amp;yy'!M$3:M$38,'[6]inland_taf_hatchgrp_tableraw&amp;yy'!$AC$3:$AC$38,'2013 Table 11 CWTs exp'!$A29)</f>
        <v>7</v>
      </c>
      <c r="N29" s="515">
        <f>SUMIFS('[6]inland_taf_hatchgrp_tableraw&amp;yy'!N$3:N$38,'[6]inland_taf_hatchgrp_tableraw&amp;yy'!$AC$3:$AC$38,'2013 Table 11 CWTs exp'!$A29)</f>
        <v>1030</v>
      </c>
      <c r="O29" s="515">
        <f>SUMIFS('[6]inland_taf_hatchgrp_tableraw&amp;yy'!O$3:O$38,'[6]inland_taf_hatchgrp_tableraw&amp;yy'!$AC$3:$AC$38,'2013 Table 11 CWTs exp'!$A29)</f>
        <v>7</v>
      </c>
      <c r="P29" s="515">
        <f>SUMIFS('[6]inland_taf_hatchgrp_tableraw&amp;yy'!P$3:P$38,'[6]inland_taf_hatchgrp_tableraw&amp;yy'!$AC$3:$AC$38,'2013 Table 11 CWTs exp'!$A29)</f>
        <v>7</v>
      </c>
      <c r="Q29" s="514">
        <f>SUMIFS('[6]inland_taf_hatchgrp_tableraw&amp;yy'!Q$3:Q$38,'[6]inland_taf_hatchgrp_tableraw&amp;yy'!$AC$3:$AC$38,'2013 Table 11 CWTs exp'!$A29)</f>
        <v>54</v>
      </c>
      <c r="R29" s="516">
        <f>SUMIFS('[6]inland_taf_hatchgrp_tableraw&amp;yy'!R$3:R$38,'[6]inland_taf_hatchgrp_tableraw&amp;yy'!$AC$3:$AC$38,'2013 Table 11 CWTs exp'!$A29)</f>
        <v>27</v>
      </c>
      <c r="S29" s="515">
        <f>SUMIFS('[6]inland_taf_hatchgrp_tableraw&amp;yy'!S$3:S$38,'[6]inland_taf_hatchgrp_tableraw&amp;yy'!$AC$3:$AC$38,'2013 Table 11 CWTs exp'!$A29)</f>
        <v>0</v>
      </c>
      <c r="T29" s="515">
        <f>SUMIFS('[6]inland_taf_hatchgrp_tableraw&amp;yy'!T$3:T$38,'[6]inland_taf_hatchgrp_tableraw&amp;yy'!$AC$3:$AC$38,'2013 Table 11 CWTs exp'!$A29)</f>
        <v>108</v>
      </c>
      <c r="U29" s="515">
        <f>SUMIFS('[6]inland_taf_hatchgrp_tableraw&amp;yy'!U$3:U$38,'[6]inland_taf_hatchgrp_tableraw&amp;yy'!$AC$3:$AC$38,'2013 Table 11 CWTs exp'!$A29)</f>
        <v>27</v>
      </c>
      <c r="V29" s="514">
        <f>SUMIFS('[6]inland_taf_hatchgrp_tableraw&amp;yy'!V$3:V$38,'[6]inland_taf_hatchgrp_tableraw&amp;yy'!$AC$3:$AC$38,'2013 Table 11 CWTs exp'!$A29)</f>
        <v>0</v>
      </c>
      <c r="W29" s="516">
        <f>SUMIFS('[6]inland_taf_hatchgrp_tableraw&amp;yy'!W$3:W$38,'[6]inland_taf_hatchgrp_tableraw&amp;yy'!$AC$3:$AC$38,'2013 Table 11 CWTs exp'!$A29)</f>
        <v>0</v>
      </c>
      <c r="X29" s="515">
        <f>SUMIFS('[6]inland_taf_hatchgrp_tableraw&amp;yy'!X$3:X$38,'[6]inland_taf_hatchgrp_tableraw&amp;yy'!$AC$3:$AC$38,'2013 Table 11 CWTs exp'!$A29)</f>
        <v>0</v>
      </c>
      <c r="Y29" s="517">
        <f>SUMIFS('[6]inland_taf_hatchgrp_tableraw&amp;yy'!Y$3:Y$38,'[6]inland_taf_hatchgrp_tableraw&amp;yy'!$AC$3:$AC$38,'2013 Table 11 CWTs exp'!$A29)</f>
        <v>1603</v>
      </c>
      <c r="Z29" s="518">
        <f>SUMIFS('[6]inland_taf_hatchgrp_tableraw&amp;yy'!Z$3:Z$38,'[6]inland_taf_hatchgrp_tableraw&amp;yy'!$AC$3:$AC$38,'2013 Table 11 CWTs exp'!$A29)</f>
        <v>1897</v>
      </c>
      <c r="AA29" s="515">
        <f>SUMIFS('[6]inland_taf_hatchgrp_tableraw&amp;yy'!AA$3:AA$38,'[6]inland_taf_hatchgrp_tableraw&amp;yy'!$AC$3:$AC$38,'2013 Table 11 CWTs exp'!$A29)</f>
        <v>3500</v>
      </c>
      <c r="AB29" s="515"/>
      <c r="AC29" s="566">
        <f>SUMIFS('[6]inland_taf_hatchgrp_tableraw&amp;yy'!AB$3:AB$38,'[6]inland_taf_hatchgrp_tableraw&amp;yy'!$AC$3:$AC$38,'2013 Table 11 CWTs exp'!$A29)</f>
        <v>0.45800000000000002</v>
      </c>
      <c r="AD29" s="551"/>
      <c r="AE29" s="551"/>
      <c r="AF29" s="551"/>
      <c r="AG29" s="558">
        <f t="shared" si="9"/>
        <v>0.54200000000000004</v>
      </c>
      <c r="AH29" s="559">
        <f t="shared" si="8"/>
        <v>1897</v>
      </c>
      <c r="AI29" s="551"/>
      <c r="AJ29" s="551"/>
      <c r="AK29" s="551"/>
      <c r="AL29" s="551"/>
    </row>
    <row r="30" spans="1:38" ht="14.15" customHeight="1" x14ac:dyDescent="0.25">
      <c r="A30" s="490" t="str">
        <f t="shared" si="7"/>
        <v>LARC543</v>
      </c>
      <c r="B30" s="480" t="s">
        <v>86</v>
      </c>
      <c r="C30" s="480">
        <v>54</v>
      </c>
      <c r="D30" s="480">
        <v>3</v>
      </c>
      <c r="E30" s="482" t="s">
        <v>87</v>
      </c>
      <c r="F30" s="483" t="str">
        <f t="shared" si="11"/>
        <v>Fall</v>
      </c>
      <c r="G30" s="513">
        <f>SUMIFS('[6]inland_taf_hatchgrp_tableraw&amp;yy'!G$3:G$38,'[6]inland_taf_hatchgrp_tableraw&amp;yy'!$AC$3:$AC$38,'2013 Table 11 CWTs exp'!$A30)</f>
        <v>0</v>
      </c>
      <c r="H30" s="514">
        <f>SUMIFS('[6]inland_taf_hatchgrp_tableraw&amp;yy'!H$3:H$38,'[6]inland_taf_hatchgrp_tableraw&amp;yy'!$AC$3:$AC$38,'2013 Table 11 CWTs exp'!$A30)</f>
        <v>0</v>
      </c>
      <c r="I30" s="515">
        <f>SUMIFS('[6]inland_taf_hatchgrp_tableraw&amp;yy'!I$3:I$38,'[6]inland_taf_hatchgrp_tableraw&amp;yy'!$AC$3:$AC$38,'2013 Table 11 CWTs exp'!$A30)</f>
        <v>81</v>
      </c>
      <c r="J30" s="516">
        <f>SUMIFS('[6]inland_taf_hatchgrp_tableraw&amp;yy'!J$3:J$38,'[6]inland_taf_hatchgrp_tableraw&amp;yy'!$AC$3:$AC$38,'2013 Table 11 CWTs exp'!$A30)</f>
        <v>2419</v>
      </c>
      <c r="K30" s="515">
        <f>SUMIFS('[6]inland_taf_hatchgrp_tableraw&amp;yy'!K$3:K$38,'[6]inland_taf_hatchgrp_tableraw&amp;yy'!$AC$3:$AC$38,'2013 Table 11 CWTs exp'!$A30)</f>
        <v>0</v>
      </c>
      <c r="L30" s="515">
        <f>SUMIFS('[6]inland_taf_hatchgrp_tableraw&amp;yy'!L$3:L$38,'[6]inland_taf_hatchgrp_tableraw&amp;yy'!$AC$3:$AC$38,'2013 Table 11 CWTs exp'!$A30)</f>
        <v>0</v>
      </c>
      <c r="M30" s="515">
        <f>SUMIFS('[6]inland_taf_hatchgrp_tableraw&amp;yy'!M$3:M$38,'[6]inland_taf_hatchgrp_tableraw&amp;yy'!$AC$3:$AC$38,'2013 Table 11 CWTs exp'!$A30)</f>
        <v>0</v>
      </c>
      <c r="N30" s="515">
        <f>SUMIFS('[6]inland_taf_hatchgrp_tableraw&amp;yy'!N$3:N$38,'[6]inland_taf_hatchgrp_tableraw&amp;yy'!$AC$3:$AC$38,'2013 Table 11 CWTs exp'!$A30)</f>
        <v>1046</v>
      </c>
      <c r="O30" s="515">
        <f>SUMIFS('[6]inland_taf_hatchgrp_tableraw&amp;yy'!O$3:O$38,'[6]inland_taf_hatchgrp_tableraw&amp;yy'!$AC$3:$AC$38,'2013 Table 11 CWTs exp'!$A30)</f>
        <v>15</v>
      </c>
      <c r="P30" s="515">
        <f>SUMIFS('[6]inland_taf_hatchgrp_tableraw&amp;yy'!P$3:P$38,'[6]inland_taf_hatchgrp_tableraw&amp;yy'!$AC$3:$AC$38,'2013 Table 11 CWTs exp'!$A30)</f>
        <v>0</v>
      </c>
      <c r="Q30" s="514">
        <f>SUMIFS('[6]inland_taf_hatchgrp_tableraw&amp;yy'!Q$3:Q$38,'[6]inland_taf_hatchgrp_tableraw&amp;yy'!$AC$3:$AC$38,'2013 Table 11 CWTs exp'!$A30)</f>
        <v>18268</v>
      </c>
      <c r="R30" s="516">
        <f>SUMIFS('[6]inland_taf_hatchgrp_tableraw&amp;yy'!R$3:R$38,'[6]inland_taf_hatchgrp_tableraw&amp;yy'!$AC$3:$AC$38,'2013 Table 11 CWTs exp'!$A30)</f>
        <v>8983</v>
      </c>
      <c r="S30" s="515">
        <f>SUMIFS('[6]inland_taf_hatchgrp_tableraw&amp;yy'!S$3:S$38,'[6]inland_taf_hatchgrp_tableraw&amp;yy'!$AC$3:$AC$38,'2013 Table 11 CWTs exp'!$A30)</f>
        <v>10</v>
      </c>
      <c r="T30" s="515">
        <f>SUMIFS('[6]inland_taf_hatchgrp_tableraw&amp;yy'!T$3:T$38,'[6]inland_taf_hatchgrp_tableraw&amp;yy'!$AC$3:$AC$38,'2013 Table 11 CWTs exp'!$A30)</f>
        <v>3839</v>
      </c>
      <c r="U30" s="515">
        <f>SUMIFS('[6]inland_taf_hatchgrp_tableraw&amp;yy'!U$3:U$38,'[6]inland_taf_hatchgrp_tableraw&amp;yy'!$AC$3:$AC$38,'2013 Table 11 CWTs exp'!$A30)</f>
        <v>469</v>
      </c>
      <c r="V30" s="514">
        <f>SUMIFS('[6]inland_taf_hatchgrp_tableraw&amp;yy'!V$3:V$38,'[6]inland_taf_hatchgrp_tableraw&amp;yy'!$AC$3:$AC$38,'2013 Table 11 CWTs exp'!$A30)</f>
        <v>0</v>
      </c>
      <c r="W30" s="516">
        <f>SUMIFS('[6]inland_taf_hatchgrp_tableraw&amp;yy'!W$3:W$38,'[6]inland_taf_hatchgrp_tableraw&amp;yy'!$AC$3:$AC$38,'2013 Table 11 CWTs exp'!$A30)</f>
        <v>32</v>
      </c>
      <c r="X30" s="515">
        <f>SUMIFS('[6]inland_taf_hatchgrp_tableraw&amp;yy'!X$3:X$38,'[6]inland_taf_hatchgrp_tableraw&amp;yy'!$AC$3:$AC$38,'2013 Table 11 CWTs exp'!$A30)</f>
        <v>0</v>
      </c>
      <c r="Y30" s="517">
        <f>SUMIFS('[6]inland_taf_hatchgrp_tableraw&amp;yy'!Y$3:Y$38,'[6]inland_taf_hatchgrp_tableraw&amp;yy'!$AC$3:$AC$38,'2013 Table 11 CWTs exp'!$A30)</f>
        <v>35163</v>
      </c>
      <c r="Z30" s="518">
        <f>SUMIFS('[6]inland_taf_hatchgrp_tableraw&amp;yy'!Z$3:Z$38,'[6]inland_taf_hatchgrp_tableraw&amp;yy'!$AC$3:$AC$38,'2013 Table 11 CWTs exp'!$A30)</f>
        <v>19096</v>
      </c>
      <c r="AA30" s="515">
        <f>SUMIFS('[6]inland_taf_hatchgrp_tableraw&amp;yy'!AA$3:AA$38,'[6]inland_taf_hatchgrp_tableraw&amp;yy'!$AC$3:$AC$38,'2013 Table 11 CWTs exp'!$A30)</f>
        <v>54259</v>
      </c>
      <c r="AB30" s="515"/>
      <c r="AC30" s="566">
        <f>SUMIFS('[6]inland_taf_hatchgrp_tableraw&amp;yy'!AB$3:AB$38,'[6]inland_taf_hatchgrp_tableraw&amp;yy'!$AC$3:$AC$38,'2013 Table 11 CWTs exp'!$A30)</f>
        <v>0.64800000000000002</v>
      </c>
      <c r="AD30" s="551"/>
      <c r="AE30" s="551"/>
      <c r="AF30" s="551"/>
      <c r="AG30" s="558">
        <f t="shared" si="9"/>
        <v>0.35199999999999998</v>
      </c>
      <c r="AH30" s="559">
        <f t="shared" si="8"/>
        <v>19096</v>
      </c>
      <c r="AI30" s="551"/>
      <c r="AJ30" s="551"/>
      <c r="AK30" s="551"/>
      <c r="AL30" s="551"/>
    </row>
    <row r="31" spans="1:38" ht="14.15" customHeight="1" x14ac:dyDescent="0.25">
      <c r="A31" s="490" t="str">
        <f t="shared" si="7"/>
        <v>MOKE543</v>
      </c>
      <c r="B31" s="480" t="s">
        <v>90</v>
      </c>
      <c r="C31" s="480">
        <v>54</v>
      </c>
      <c r="D31" s="480">
        <v>3</v>
      </c>
      <c r="E31" s="482" t="s">
        <v>91</v>
      </c>
      <c r="F31" s="483" t="str">
        <f t="shared" si="11"/>
        <v>Fall</v>
      </c>
      <c r="G31" s="513">
        <f>SUMIFS('[6]inland_taf_hatchgrp_tableraw&amp;yy'!G$3:G$38,'[6]inland_taf_hatchgrp_tableraw&amp;yy'!$AC$3:$AC$38,'2013 Table 11 CWTs exp'!$A31)</f>
        <v>0</v>
      </c>
      <c r="H31" s="514">
        <f>SUMIFS('[6]inland_taf_hatchgrp_tableraw&amp;yy'!H$3:H$38,'[6]inland_taf_hatchgrp_tableraw&amp;yy'!$AC$3:$AC$38,'2013 Table 11 CWTs exp'!$A31)</f>
        <v>0</v>
      </c>
      <c r="I31" s="515">
        <f>SUMIFS('[6]inland_taf_hatchgrp_tableraw&amp;yy'!I$3:I$38,'[6]inland_taf_hatchgrp_tableraw&amp;yy'!$AC$3:$AC$38,'2013 Table 11 CWTs exp'!$A31)</f>
        <v>0</v>
      </c>
      <c r="J31" s="516">
        <f>SUMIFS('[6]inland_taf_hatchgrp_tableraw&amp;yy'!J$3:J$38,'[6]inland_taf_hatchgrp_tableraw&amp;yy'!$AC$3:$AC$38,'2013 Table 11 CWTs exp'!$A31)</f>
        <v>87</v>
      </c>
      <c r="K31" s="515">
        <f>SUMIFS('[6]inland_taf_hatchgrp_tableraw&amp;yy'!K$3:K$38,'[6]inland_taf_hatchgrp_tableraw&amp;yy'!$AC$3:$AC$38,'2013 Table 11 CWTs exp'!$A31)</f>
        <v>0</v>
      </c>
      <c r="L31" s="515">
        <f>SUMIFS('[6]inland_taf_hatchgrp_tableraw&amp;yy'!L$3:L$38,'[6]inland_taf_hatchgrp_tableraw&amp;yy'!$AC$3:$AC$38,'2013 Table 11 CWTs exp'!$A31)</f>
        <v>0</v>
      </c>
      <c r="M31" s="515">
        <f>SUMIFS('[6]inland_taf_hatchgrp_tableraw&amp;yy'!M$3:M$38,'[6]inland_taf_hatchgrp_tableraw&amp;yy'!$AC$3:$AC$38,'2013 Table 11 CWTs exp'!$A31)</f>
        <v>0</v>
      </c>
      <c r="N31" s="515">
        <f>SUMIFS('[6]inland_taf_hatchgrp_tableraw&amp;yy'!N$3:N$38,'[6]inland_taf_hatchgrp_tableraw&amp;yy'!$AC$3:$AC$38,'2013 Table 11 CWTs exp'!$A31)</f>
        <v>141</v>
      </c>
      <c r="O31" s="515">
        <f>SUMIFS('[6]inland_taf_hatchgrp_tableraw&amp;yy'!O$3:O$38,'[6]inland_taf_hatchgrp_tableraw&amp;yy'!$AC$3:$AC$38,'2013 Table 11 CWTs exp'!$A31)</f>
        <v>0</v>
      </c>
      <c r="P31" s="515">
        <f>SUMIFS('[6]inland_taf_hatchgrp_tableraw&amp;yy'!P$3:P$38,'[6]inland_taf_hatchgrp_tableraw&amp;yy'!$AC$3:$AC$38,'2013 Table 11 CWTs exp'!$A31)</f>
        <v>0</v>
      </c>
      <c r="Q31" s="514">
        <f>SUMIFS('[6]inland_taf_hatchgrp_tableraw&amp;yy'!Q$3:Q$38,'[6]inland_taf_hatchgrp_tableraw&amp;yy'!$AC$3:$AC$38,'2013 Table 11 CWTs exp'!$A31)</f>
        <v>0</v>
      </c>
      <c r="R31" s="516">
        <f>SUMIFS('[6]inland_taf_hatchgrp_tableraw&amp;yy'!R$3:R$38,'[6]inland_taf_hatchgrp_tableraw&amp;yy'!$AC$3:$AC$38,'2013 Table 11 CWTs exp'!$A31)</f>
        <v>91</v>
      </c>
      <c r="S31" s="515">
        <f>SUMIFS('[6]inland_taf_hatchgrp_tableraw&amp;yy'!S$3:S$38,'[6]inland_taf_hatchgrp_tableraw&amp;yy'!$AC$3:$AC$38,'2013 Table 11 CWTs exp'!$A31)</f>
        <v>66</v>
      </c>
      <c r="T31" s="515">
        <f>SUMIFS('[6]inland_taf_hatchgrp_tableraw&amp;yy'!T$3:T$38,'[6]inland_taf_hatchgrp_tableraw&amp;yy'!$AC$3:$AC$38,'2013 Table 11 CWTs exp'!$A31)</f>
        <v>3784</v>
      </c>
      <c r="U31" s="515">
        <f>SUMIFS('[6]inland_taf_hatchgrp_tableraw&amp;yy'!U$3:U$38,'[6]inland_taf_hatchgrp_tableraw&amp;yy'!$AC$3:$AC$38,'2013 Table 11 CWTs exp'!$A31)</f>
        <v>351</v>
      </c>
      <c r="V31" s="514">
        <f>SUMIFS('[6]inland_taf_hatchgrp_tableraw&amp;yy'!V$3:V$38,'[6]inland_taf_hatchgrp_tableraw&amp;yy'!$AC$3:$AC$38,'2013 Table 11 CWTs exp'!$A31)</f>
        <v>0</v>
      </c>
      <c r="W31" s="516">
        <f>SUMIFS('[6]inland_taf_hatchgrp_tableraw&amp;yy'!W$3:W$38,'[6]inland_taf_hatchgrp_tableraw&amp;yy'!$AC$3:$AC$38,'2013 Table 11 CWTs exp'!$A31)</f>
        <v>9</v>
      </c>
      <c r="X31" s="515">
        <f>SUMIFS('[6]inland_taf_hatchgrp_tableraw&amp;yy'!X$3:X$38,'[6]inland_taf_hatchgrp_tableraw&amp;yy'!$AC$3:$AC$38,'2013 Table 11 CWTs exp'!$A31)</f>
        <v>0</v>
      </c>
      <c r="Y31" s="517">
        <f>SUMIFS('[6]inland_taf_hatchgrp_tableraw&amp;yy'!Y$3:Y$38,'[6]inland_taf_hatchgrp_tableraw&amp;yy'!$AC$3:$AC$38,'2013 Table 11 CWTs exp'!$A31)</f>
        <v>4529</v>
      </c>
      <c r="Z31" s="518">
        <f>SUMIFS('[6]inland_taf_hatchgrp_tableraw&amp;yy'!Z$3:Z$38,'[6]inland_taf_hatchgrp_tableraw&amp;yy'!$AC$3:$AC$38,'2013 Table 11 CWTs exp'!$A31)</f>
        <v>2542</v>
      </c>
      <c r="AA31" s="515">
        <f>SUMIFS('[6]inland_taf_hatchgrp_tableraw&amp;yy'!AA$3:AA$38,'[6]inland_taf_hatchgrp_tableraw&amp;yy'!$AC$3:$AC$38,'2013 Table 11 CWTs exp'!$A31)</f>
        <v>7071</v>
      </c>
      <c r="AB31" s="515"/>
      <c r="AC31" s="566">
        <f>SUMIFS('[6]inland_taf_hatchgrp_tableraw&amp;yy'!AB$3:AB$38,'[6]inland_taf_hatchgrp_tableraw&amp;yy'!$AC$3:$AC$38,'2013 Table 11 CWTs exp'!$A31)</f>
        <v>0.64100000000000001</v>
      </c>
      <c r="AD31" s="551"/>
      <c r="AE31" s="551"/>
      <c r="AF31" s="551"/>
      <c r="AG31" s="558">
        <f t="shared" si="9"/>
        <v>0.35899999999999999</v>
      </c>
      <c r="AH31" s="559">
        <f t="shared" si="8"/>
        <v>2542</v>
      </c>
      <c r="AI31" s="551"/>
      <c r="AJ31" s="551"/>
      <c r="AK31" s="551"/>
      <c r="AL31" s="551"/>
    </row>
    <row r="32" spans="1:38" ht="14.15" hidden="1" customHeight="1" x14ac:dyDescent="0.25">
      <c r="A32" s="490" t="str">
        <f t="shared" si="7"/>
        <v>COSU543</v>
      </c>
      <c r="B32" s="480" t="s">
        <v>92</v>
      </c>
      <c r="C32" s="480">
        <v>54</v>
      </c>
      <c r="D32" s="480">
        <v>3</v>
      </c>
      <c r="E32" s="482" t="s">
        <v>93</v>
      </c>
      <c r="F32" s="483" t="str">
        <f t="shared" si="11"/>
        <v>Fall</v>
      </c>
      <c r="G32" s="513">
        <f>SUMIFS('[6]inland_taf_hatchgrp_tableraw&amp;yy'!G$3:G$38,'[6]inland_taf_hatchgrp_tableraw&amp;yy'!$AC$3:$AC$38,'2013 Table 11 CWTs exp'!$A32)</f>
        <v>0</v>
      </c>
      <c r="H32" s="514">
        <f>SUMIFS('[6]inland_taf_hatchgrp_tableraw&amp;yy'!H$3:H$38,'[6]inland_taf_hatchgrp_tableraw&amp;yy'!$AC$3:$AC$38,'2013 Table 11 CWTs exp'!$A32)</f>
        <v>0</v>
      </c>
      <c r="I32" s="515">
        <f>SUMIFS('[6]inland_taf_hatchgrp_tableraw&amp;yy'!I$3:I$38,'[6]inland_taf_hatchgrp_tableraw&amp;yy'!$AC$3:$AC$38,'2013 Table 11 CWTs exp'!$A32)</f>
        <v>0</v>
      </c>
      <c r="J32" s="516">
        <f>SUMIFS('[6]inland_taf_hatchgrp_tableraw&amp;yy'!J$3:J$38,'[6]inland_taf_hatchgrp_tableraw&amp;yy'!$AC$3:$AC$38,'2013 Table 11 CWTs exp'!$A32)</f>
        <v>0</v>
      </c>
      <c r="K32" s="515">
        <f>SUMIFS('[6]inland_taf_hatchgrp_tableraw&amp;yy'!K$3:K$38,'[6]inland_taf_hatchgrp_tableraw&amp;yy'!$AC$3:$AC$38,'2013 Table 11 CWTs exp'!$A32)</f>
        <v>0</v>
      </c>
      <c r="L32" s="515">
        <f>SUMIFS('[6]inland_taf_hatchgrp_tableraw&amp;yy'!L$3:L$38,'[6]inland_taf_hatchgrp_tableraw&amp;yy'!$AC$3:$AC$38,'2013 Table 11 CWTs exp'!$A32)</f>
        <v>0</v>
      </c>
      <c r="M32" s="515">
        <f>SUMIFS('[6]inland_taf_hatchgrp_tableraw&amp;yy'!M$3:M$38,'[6]inland_taf_hatchgrp_tableraw&amp;yy'!$AC$3:$AC$38,'2013 Table 11 CWTs exp'!$A32)</f>
        <v>0</v>
      </c>
      <c r="N32" s="515">
        <f>SUMIFS('[6]inland_taf_hatchgrp_tableraw&amp;yy'!N$3:N$38,'[6]inland_taf_hatchgrp_tableraw&amp;yy'!$AC$3:$AC$38,'2013 Table 11 CWTs exp'!$A32)</f>
        <v>0</v>
      </c>
      <c r="O32" s="515">
        <f>SUMIFS('[6]inland_taf_hatchgrp_tableraw&amp;yy'!O$3:O$38,'[6]inland_taf_hatchgrp_tableraw&amp;yy'!$AC$3:$AC$38,'2013 Table 11 CWTs exp'!$A32)</f>
        <v>0</v>
      </c>
      <c r="P32" s="515">
        <f>SUMIFS('[6]inland_taf_hatchgrp_tableraw&amp;yy'!P$3:P$38,'[6]inland_taf_hatchgrp_tableraw&amp;yy'!$AC$3:$AC$38,'2013 Table 11 CWTs exp'!$A32)</f>
        <v>0</v>
      </c>
      <c r="Q32" s="514">
        <f>SUMIFS('[6]inland_taf_hatchgrp_tableraw&amp;yy'!Q$3:Q$38,'[6]inland_taf_hatchgrp_tableraw&amp;yy'!$AC$3:$AC$38,'2013 Table 11 CWTs exp'!$A32)</f>
        <v>0</v>
      </c>
      <c r="R32" s="516">
        <f>SUMIFS('[6]inland_taf_hatchgrp_tableraw&amp;yy'!R$3:R$38,'[6]inland_taf_hatchgrp_tableraw&amp;yy'!$AC$3:$AC$38,'2013 Table 11 CWTs exp'!$A32)</f>
        <v>0</v>
      </c>
      <c r="S32" s="515">
        <f>SUMIFS('[6]inland_taf_hatchgrp_tableraw&amp;yy'!S$3:S$38,'[6]inland_taf_hatchgrp_tableraw&amp;yy'!$AC$3:$AC$38,'2013 Table 11 CWTs exp'!$A32)</f>
        <v>0</v>
      </c>
      <c r="T32" s="515">
        <f>SUMIFS('[6]inland_taf_hatchgrp_tableraw&amp;yy'!T$3:T$38,'[6]inland_taf_hatchgrp_tableraw&amp;yy'!$AC$3:$AC$38,'2013 Table 11 CWTs exp'!$A32)</f>
        <v>0</v>
      </c>
      <c r="U32" s="515">
        <f>SUMIFS('[6]inland_taf_hatchgrp_tableraw&amp;yy'!U$3:U$38,'[6]inland_taf_hatchgrp_tableraw&amp;yy'!$AC$3:$AC$38,'2013 Table 11 CWTs exp'!$A32)</f>
        <v>0</v>
      </c>
      <c r="V32" s="514">
        <f>SUMIFS('[6]inland_taf_hatchgrp_tableraw&amp;yy'!V$3:V$38,'[6]inland_taf_hatchgrp_tableraw&amp;yy'!$AC$3:$AC$38,'2013 Table 11 CWTs exp'!$A32)</f>
        <v>0</v>
      </c>
      <c r="W32" s="516">
        <f>SUMIFS('[6]inland_taf_hatchgrp_tableraw&amp;yy'!W$3:W$38,'[6]inland_taf_hatchgrp_tableraw&amp;yy'!$AC$3:$AC$38,'2013 Table 11 CWTs exp'!$A32)</f>
        <v>0</v>
      </c>
      <c r="X32" s="515">
        <f>SUMIFS('[6]inland_taf_hatchgrp_tableraw&amp;yy'!X$3:X$38,'[6]inland_taf_hatchgrp_tableraw&amp;yy'!$AC$3:$AC$38,'2013 Table 11 CWTs exp'!$A32)</f>
        <v>0</v>
      </c>
      <c r="Y32" s="517">
        <f>SUMIFS('[6]inland_taf_hatchgrp_tableraw&amp;yy'!Y$3:Y$38,'[6]inland_taf_hatchgrp_tableraw&amp;yy'!$AC$3:$AC$38,'2013 Table 11 CWTs exp'!$A32)</f>
        <v>0</v>
      </c>
      <c r="Z32" s="518">
        <f>SUMIFS('[6]inland_taf_hatchgrp_tableraw&amp;yy'!Z$3:Z$38,'[6]inland_taf_hatchgrp_tableraw&amp;yy'!$AC$3:$AC$38,'2013 Table 11 CWTs exp'!$A32)</f>
        <v>0</v>
      </c>
      <c r="AA32" s="515">
        <f>SUMIFS('[6]inland_taf_hatchgrp_tableraw&amp;yy'!AA$3:AA$38,'[6]inland_taf_hatchgrp_tableraw&amp;yy'!$AC$3:$AC$38,'2013 Table 11 CWTs exp'!$A32)</f>
        <v>0</v>
      </c>
      <c r="AB32" s="515"/>
      <c r="AC32" s="567">
        <f>SUMIFS('[6]inland_taf_hatchgrp_tableraw&amp;yy'!AB$3:AB$38,'[6]inland_taf_hatchgrp_tableraw&amp;yy'!$AC$3:$AC$38,'2013 Table 11 CWTs exp'!$A32)</f>
        <v>0</v>
      </c>
      <c r="AD32" s="551"/>
      <c r="AE32" s="551"/>
      <c r="AF32" s="551"/>
      <c r="AG32" s="558">
        <f t="shared" si="9"/>
        <v>1</v>
      </c>
      <c r="AH32" s="559">
        <f t="shared" si="8"/>
        <v>0</v>
      </c>
      <c r="AI32" s="551"/>
      <c r="AJ32" s="551"/>
      <c r="AK32" s="551"/>
      <c r="AL32" s="551"/>
    </row>
    <row r="33" spans="1:38" ht="14.15" hidden="1" customHeight="1" x14ac:dyDescent="0.25">
      <c r="A33" s="490" t="str">
        <f t="shared" si="7"/>
        <v>CAL543</v>
      </c>
      <c r="B33" s="480" t="s">
        <v>94</v>
      </c>
      <c r="C33" s="480">
        <v>54</v>
      </c>
      <c r="D33" s="480">
        <v>3</v>
      </c>
      <c r="E33" s="482" t="s">
        <v>166</v>
      </c>
      <c r="F33" s="483" t="str">
        <f t="shared" si="11"/>
        <v>Fall</v>
      </c>
      <c r="G33" s="513">
        <f>SUMIFS('[6]inland_taf_hatchgrp_tableraw&amp;yy'!G$3:G$38,'[6]inland_taf_hatchgrp_tableraw&amp;yy'!$AC$3:$AC$38,'2013 Table 11 CWTs exp'!$A33)</f>
        <v>0</v>
      </c>
      <c r="H33" s="514">
        <f>SUMIFS('[6]inland_taf_hatchgrp_tableraw&amp;yy'!H$3:H$38,'[6]inland_taf_hatchgrp_tableraw&amp;yy'!$AC$3:$AC$38,'2013 Table 11 CWTs exp'!$A33)</f>
        <v>0</v>
      </c>
      <c r="I33" s="515">
        <f>SUMIFS('[6]inland_taf_hatchgrp_tableraw&amp;yy'!I$3:I$38,'[6]inland_taf_hatchgrp_tableraw&amp;yy'!$AC$3:$AC$38,'2013 Table 11 CWTs exp'!$A33)</f>
        <v>0</v>
      </c>
      <c r="J33" s="516">
        <f>SUMIFS('[6]inland_taf_hatchgrp_tableraw&amp;yy'!J$3:J$38,'[6]inland_taf_hatchgrp_tableraw&amp;yy'!$AC$3:$AC$38,'2013 Table 11 CWTs exp'!$A33)</f>
        <v>0</v>
      </c>
      <c r="K33" s="515">
        <f>SUMIFS('[6]inland_taf_hatchgrp_tableraw&amp;yy'!K$3:K$38,'[6]inland_taf_hatchgrp_tableraw&amp;yy'!$AC$3:$AC$38,'2013 Table 11 CWTs exp'!$A33)</f>
        <v>0</v>
      </c>
      <c r="L33" s="515">
        <f>SUMIFS('[6]inland_taf_hatchgrp_tableraw&amp;yy'!L$3:L$38,'[6]inland_taf_hatchgrp_tableraw&amp;yy'!$AC$3:$AC$38,'2013 Table 11 CWTs exp'!$A33)</f>
        <v>0</v>
      </c>
      <c r="M33" s="515">
        <f>SUMIFS('[6]inland_taf_hatchgrp_tableraw&amp;yy'!M$3:M$38,'[6]inland_taf_hatchgrp_tableraw&amp;yy'!$AC$3:$AC$38,'2013 Table 11 CWTs exp'!$A33)</f>
        <v>0</v>
      </c>
      <c r="N33" s="515">
        <f>SUMIFS('[6]inland_taf_hatchgrp_tableraw&amp;yy'!N$3:N$38,'[6]inland_taf_hatchgrp_tableraw&amp;yy'!$AC$3:$AC$38,'2013 Table 11 CWTs exp'!$A33)</f>
        <v>0</v>
      </c>
      <c r="O33" s="515">
        <f>SUMIFS('[6]inland_taf_hatchgrp_tableraw&amp;yy'!O$3:O$38,'[6]inland_taf_hatchgrp_tableraw&amp;yy'!$AC$3:$AC$38,'2013 Table 11 CWTs exp'!$A33)</f>
        <v>0</v>
      </c>
      <c r="P33" s="515">
        <f>SUMIFS('[6]inland_taf_hatchgrp_tableraw&amp;yy'!P$3:P$38,'[6]inland_taf_hatchgrp_tableraw&amp;yy'!$AC$3:$AC$38,'2013 Table 11 CWTs exp'!$A33)</f>
        <v>0</v>
      </c>
      <c r="Q33" s="514">
        <f>SUMIFS('[6]inland_taf_hatchgrp_tableraw&amp;yy'!Q$3:Q$38,'[6]inland_taf_hatchgrp_tableraw&amp;yy'!$AC$3:$AC$38,'2013 Table 11 CWTs exp'!$A33)</f>
        <v>0</v>
      </c>
      <c r="R33" s="516">
        <f>SUMIFS('[6]inland_taf_hatchgrp_tableraw&amp;yy'!R$3:R$38,'[6]inland_taf_hatchgrp_tableraw&amp;yy'!$AC$3:$AC$38,'2013 Table 11 CWTs exp'!$A33)</f>
        <v>0</v>
      </c>
      <c r="S33" s="515">
        <f>SUMIFS('[6]inland_taf_hatchgrp_tableraw&amp;yy'!S$3:S$38,'[6]inland_taf_hatchgrp_tableraw&amp;yy'!$AC$3:$AC$38,'2013 Table 11 CWTs exp'!$A33)</f>
        <v>0</v>
      </c>
      <c r="T33" s="515">
        <f>SUMIFS('[6]inland_taf_hatchgrp_tableraw&amp;yy'!T$3:T$38,'[6]inland_taf_hatchgrp_tableraw&amp;yy'!$AC$3:$AC$38,'2013 Table 11 CWTs exp'!$A33)</f>
        <v>0</v>
      </c>
      <c r="U33" s="515">
        <f>SUMIFS('[6]inland_taf_hatchgrp_tableraw&amp;yy'!U$3:U$38,'[6]inland_taf_hatchgrp_tableraw&amp;yy'!$AC$3:$AC$38,'2013 Table 11 CWTs exp'!$A33)</f>
        <v>0</v>
      </c>
      <c r="V33" s="514">
        <f>SUMIFS('[6]inland_taf_hatchgrp_tableraw&amp;yy'!V$3:V$38,'[6]inland_taf_hatchgrp_tableraw&amp;yy'!$AC$3:$AC$38,'2013 Table 11 CWTs exp'!$A33)</f>
        <v>0</v>
      </c>
      <c r="W33" s="516">
        <f>SUMIFS('[6]inland_taf_hatchgrp_tableraw&amp;yy'!W$3:W$38,'[6]inland_taf_hatchgrp_tableraw&amp;yy'!$AC$3:$AC$38,'2013 Table 11 CWTs exp'!$A33)</f>
        <v>0</v>
      </c>
      <c r="X33" s="515">
        <f>SUMIFS('[6]inland_taf_hatchgrp_tableraw&amp;yy'!X$3:X$38,'[6]inland_taf_hatchgrp_tableraw&amp;yy'!$AC$3:$AC$38,'2013 Table 11 CWTs exp'!$A33)</f>
        <v>0</v>
      </c>
      <c r="Y33" s="517">
        <f>SUMIFS('[6]inland_taf_hatchgrp_tableraw&amp;yy'!Y$3:Y$38,'[6]inland_taf_hatchgrp_tableraw&amp;yy'!$AC$3:$AC$38,'2013 Table 11 CWTs exp'!$A33)</f>
        <v>0</v>
      </c>
      <c r="Z33" s="518">
        <f>SUMIFS('[6]inland_taf_hatchgrp_tableraw&amp;yy'!Z$3:Z$38,'[6]inland_taf_hatchgrp_tableraw&amp;yy'!$AC$3:$AC$38,'2013 Table 11 CWTs exp'!$A33)</f>
        <v>0</v>
      </c>
      <c r="AA33" s="515">
        <f>SUMIFS('[6]inland_taf_hatchgrp_tableraw&amp;yy'!AA$3:AA$38,'[6]inland_taf_hatchgrp_tableraw&amp;yy'!$AC$3:$AC$38,'2013 Table 11 CWTs exp'!$A33)</f>
        <v>0</v>
      </c>
      <c r="AB33" s="515"/>
      <c r="AC33" s="567">
        <f>SUMIFS('[6]inland_taf_hatchgrp_tableraw&amp;yy'!AB$3:AB$38,'[6]inland_taf_hatchgrp_tableraw&amp;yy'!$AC$3:$AC$38,'2013 Table 11 CWTs exp'!$A33)</f>
        <v>0</v>
      </c>
      <c r="AD33" s="551"/>
      <c r="AE33" s="551"/>
      <c r="AF33" s="551"/>
      <c r="AG33" s="558">
        <f t="shared" si="9"/>
        <v>1</v>
      </c>
      <c r="AH33" s="559">
        <f t="shared" si="8"/>
        <v>0</v>
      </c>
      <c r="AI33" s="551"/>
      <c r="AJ33" s="551"/>
      <c r="AK33" s="551"/>
      <c r="AL33" s="551"/>
    </row>
    <row r="34" spans="1:38" ht="14.15" customHeight="1" x14ac:dyDescent="0.25">
      <c r="A34" s="490" t="str">
        <f t="shared" si="7"/>
        <v>STA543</v>
      </c>
      <c r="B34" s="480" t="s">
        <v>96</v>
      </c>
      <c r="C34" s="480">
        <v>54</v>
      </c>
      <c r="D34" s="480">
        <v>3</v>
      </c>
      <c r="E34" s="482" t="s">
        <v>97</v>
      </c>
      <c r="F34" s="483" t="str">
        <f t="shared" si="11"/>
        <v>Fall</v>
      </c>
      <c r="G34" s="513">
        <f>SUMIFS('[6]inland_taf_hatchgrp_tableraw&amp;yy'!G$3:G$38,'[6]inland_taf_hatchgrp_tableraw&amp;yy'!$AC$3:$AC$38,'2013 Table 11 CWTs exp'!$A34)</f>
        <v>0</v>
      </c>
      <c r="H34" s="514">
        <f>SUMIFS('[6]inland_taf_hatchgrp_tableraw&amp;yy'!H$3:H$38,'[6]inland_taf_hatchgrp_tableraw&amp;yy'!$AC$3:$AC$38,'2013 Table 11 CWTs exp'!$A34)</f>
        <v>0</v>
      </c>
      <c r="I34" s="515">
        <f>SUMIFS('[6]inland_taf_hatchgrp_tableraw&amp;yy'!I$3:I$38,'[6]inland_taf_hatchgrp_tableraw&amp;yy'!$AC$3:$AC$38,'2013 Table 11 CWTs exp'!$A34)</f>
        <v>0</v>
      </c>
      <c r="J34" s="516">
        <f>SUMIFS('[6]inland_taf_hatchgrp_tableraw&amp;yy'!J$3:J$38,'[6]inland_taf_hatchgrp_tableraw&amp;yy'!$AC$3:$AC$38,'2013 Table 11 CWTs exp'!$A34)</f>
        <v>131</v>
      </c>
      <c r="K34" s="515">
        <f>SUMIFS('[6]inland_taf_hatchgrp_tableraw&amp;yy'!K$3:K$38,'[6]inland_taf_hatchgrp_tableraw&amp;yy'!$AC$3:$AC$38,'2013 Table 11 CWTs exp'!$A34)</f>
        <v>0</v>
      </c>
      <c r="L34" s="515">
        <f>SUMIFS('[6]inland_taf_hatchgrp_tableraw&amp;yy'!L$3:L$38,'[6]inland_taf_hatchgrp_tableraw&amp;yy'!$AC$3:$AC$38,'2013 Table 11 CWTs exp'!$A34)</f>
        <v>0</v>
      </c>
      <c r="M34" s="515">
        <f>SUMIFS('[6]inland_taf_hatchgrp_tableraw&amp;yy'!M$3:M$38,'[6]inland_taf_hatchgrp_tableraw&amp;yy'!$AC$3:$AC$38,'2013 Table 11 CWTs exp'!$A34)</f>
        <v>3</v>
      </c>
      <c r="N34" s="515">
        <f>SUMIFS('[6]inland_taf_hatchgrp_tableraw&amp;yy'!N$3:N$38,'[6]inland_taf_hatchgrp_tableraw&amp;yy'!$AC$3:$AC$38,'2013 Table 11 CWTs exp'!$A34)</f>
        <v>158</v>
      </c>
      <c r="O34" s="515">
        <f>SUMIFS('[6]inland_taf_hatchgrp_tableraw&amp;yy'!O$3:O$38,'[6]inland_taf_hatchgrp_tableraw&amp;yy'!$AC$3:$AC$38,'2013 Table 11 CWTs exp'!$A34)</f>
        <v>0</v>
      </c>
      <c r="P34" s="515">
        <f>SUMIFS('[6]inland_taf_hatchgrp_tableraw&amp;yy'!P$3:P$38,'[6]inland_taf_hatchgrp_tableraw&amp;yy'!$AC$3:$AC$38,'2013 Table 11 CWTs exp'!$A34)</f>
        <v>3</v>
      </c>
      <c r="Q34" s="514">
        <f>SUMIFS('[6]inland_taf_hatchgrp_tableraw&amp;yy'!Q$3:Q$38,'[6]inland_taf_hatchgrp_tableraw&amp;yy'!$AC$3:$AC$38,'2013 Table 11 CWTs exp'!$A34)</f>
        <v>0</v>
      </c>
      <c r="R34" s="516">
        <f>SUMIFS('[6]inland_taf_hatchgrp_tableraw&amp;yy'!R$3:R$38,'[6]inland_taf_hatchgrp_tableraw&amp;yy'!$AC$3:$AC$38,'2013 Table 11 CWTs exp'!$A34)</f>
        <v>13</v>
      </c>
      <c r="S34" s="515">
        <f>SUMIFS('[6]inland_taf_hatchgrp_tableraw&amp;yy'!S$3:S$38,'[6]inland_taf_hatchgrp_tableraw&amp;yy'!$AC$3:$AC$38,'2013 Table 11 CWTs exp'!$A34)</f>
        <v>0</v>
      </c>
      <c r="T34" s="515">
        <f>SUMIFS('[6]inland_taf_hatchgrp_tableraw&amp;yy'!T$3:T$38,'[6]inland_taf_hatchgrp_tableraw&amp;yy'!$AC$3:$AC$38,'2013 Table 11 CWTs exp'!$A34)</f>
        <v>1394</v>
      </c>
      <c r="U34" s="515">
        <f>SUMIFS('[6]inland_taf_hatchgrp_tableraw&amp;yy'!U$3:U$38,'[6]inland_taf_hatchgrp_tableraw&amp;yy'!$AC$3:$AC$38,'2013 Table 11 CWTs exp'!$A34)</f>
        <v>145</v>
      </c>
      <c r="V34" s="514">
        <f>SUMIFS('[6]inland_taf_hatchgrp_tableraw&amp;yy'!V$3:V$38,'[6]inland_taf_hatchgrp_tableraw&amp;yy'!$AC$3:$AC$38,'2013 Table 11 CWTs exp'!$A34)</f>
        <v>0</v>
      </c>
      <c r="W34" s="516">
        <f>SUMIFS('[6]inland_taf_hatchgrp_tableraw&amp;yy'!W$3:W$38,'[6]inland_taf_hatchgrp_tableraw&amp;yy'!$AC$3:$AC$38,'2013 Table 11 CWTs exp'!$A34)</f>
        <v>21</v>
      </c>
      <c r="X34" s="515">
        <f>SUMIFS('[6]inland_taf_hatchgrp_tableraw&amp;yy'!X$3:X$38,'[6]inland_taf_hatchgrp_tableraw&amp;yy'!$AC$3:$AC$38,'2013 Table 11 CWTs exp'!$A34)</f>
        <v>0</v>
      </c>
      <c r="Y34" s="517">
        <f>SUMIFS('[6]inland_taf_hatchgrp_tableraw&amp;yy'!Y$3:Y$38,'[6]inland_taf_hatchgrp_tableraw&amp;yy'!$AC$3:$AC$38,'2013 Table 11 CWTs exp'!$A34)</f>
        <v>1870</v>
      </c>
      <c r="Z34" s="518">
        <f>SUMIFS('[6]inland_taf_hatchgrp_tableraw&amp;yy'!Z$3:Z$38,'[6]inland_taf_hatchgrp_tableraw&amp;yy'!$AC$3:$AC$38,'2013 Table 11 CWTs exp'!$A34)</f>
        <v>975</v>
      </c>
      <c r="AA34" s="515">
        <f>SUMIFS('[6]inland_taf_hatchgrp_tableraw&amp;yy'!AA$3:AA$38,'[6]inland_taf_hatchgrp_tableraw&amp;yy'!$AC$3:$AC$38,'2013 Table 11 CWTs exp'!$A34)</f>
        <v>2845</v>
      </c>
      <c r="AB34" s="515"/>
      <c r="AC34" s="566">
        <f>SUMIFS('[6]inland_taf_hatchgrp_tableraw&amp;yy'!AB$3:AB$38,'[6]inland_taf_hatchgrp_tableraw&amp;yy'!$AC$3:$AC$38,'2013 Table 11 CWTs exp'!$A34)</f>
        <v>0.65700000000000003</v>
      </c>
      <c r="AD34" s="551"/>
      <c r="AE34" s="551"/>
      <c r="AF34" s="551"/>
      <c r="AG34" s="558">
        <f t="shared" si="9"/>
        <v>0.34299999999999997</v>
      </c>
      <c r="AH34" s="559">
        <f t="shared" si="8"/>
        <v>975</v>
      </c>
      <c r="AI34" s="551"/>
      <c r="AJ34" s="551"/>
      <c r="AK34" s="551"/>
      <c r="AL34" s="551"/>
    </row>
    <row r="35" spans="1:38" ht="14.15" customHeight="1" x14ac:dyDescent="0.25">
      <c r="A35" s="490" t="str">
        <f t="shared" si="7"/>
        <v>TUO543</v>
      </c>
      <c r="B35" s="480" t="s">
        <v>98</v>
      </c>
      <c r="C35" s="480">
        <v>54</v>
      </c>
      <c r="D35" s="480">
        <v>3</v>
      </c>
      <c r="E35" s="482" t="s">
        <v>99</v>
      </c>
      <c r="F35" s="483" t="str">
        <f t="shared" si="11"/>
        <v>Fall</v>
      </c>
      <c r="G35" s="513">
        <f>SUMIFS('[6]inland_taf_hatchgrp_tableraw&amp;yy'!G$3:G$38,'[6]inland_taf_hatchgrp_tableraw&amp;yy'!$AC$3:$AC$38,'2013 Table 11 CWTs exp'!$A35)</f>
        <v>0</v>
      </c>
      <c r="H35" s="514">
        <f>SUMIFS('[6]inland_taf_hatchgrp_tableraw&amp;yy'!H$3:H$38,'[6]inland_taf_hatchgrp_tableraw&amp;yy'!$AC$3:$AC$38,'2013 Table 11 CWTs exp'!$A35)</f>
        <v>0</v>
      </c>
      <c r="I35" s="515">
        <f>SUMIFS('[6]inland_taf_hatchgrp_tableraw&amp;yy'!I$3:I$38,'[6]inland_taf_hatchgrp_tableraw&amp;yy'!$AC$3:$AC$38,'2013 Table 11 CWTs exp'!$A35)</f>
        <v>0</v>
      </c>
      <c r="J35" s="516">
        <f>SUMIFS('[6]inland_taf_hatchgrp_tableraw&amp;yy'!J$3:J$38,'[6]inland_taf_hatchgrp_tableraw&amp;yy'!$AC$3:$AC$38,'2013 Table 11 CWTs exp'!$A35)</f>
        <v>73</v>
      </c>
      <c r="K35" s="515">
        <f>SUMIFS('[6]inland_taf_hatchgrp_tableraw&amp;yy'!K$3:K$38,'[6]inland_taf_hatchgrp_tableraw&amp;yy'!$AC$3:$AC$38,'2013 Table 11 CWTs exp'!$A35)</f>
        <v>0</v>
      </c>
      <c r="L35" s="515">
        <f>SUMIFS('[6]inland_taf_hatchgrp_tableraw&amp;yy'!L$3:L$38,'[6]inland_taf_hatchgrp_tableraw&amp;yy'!$AC$3:$AC$38,'2013 Table 11 CWTs exp'!$A35)</f>
        <v>0</v>
      </c>
      <c r="M35" s="515">
        <f>SUMIFS('[6]inland_taf_hatchgrp_tableraw&amp;yy'!M$3:M$38,'[6]inland_taf_hatchgrp_tableraw&amp;yy'!$AC$3:$AC$38,'2013 Table 11 CWTs exp'!$A35)</f>
        <v>0</v>
      </c>
      <c r="N35" s="515">
        <f>SUMIFS('[6]inland_taf_hatchgrp_tableraw&amp;yy'!N$3:N$38,'[6]inland_taf_hatchgrp_tableraw&amp;yy'!$AC$3:$AC$38,'2013 Table 11 CWTs exp'!$A35)</f>
        <v>73</v>
      </c>
      <c r="O35" s="515">
        <f>SUMIFS('[6]inland_taf_hatchgrp_tableraw&amp;yy'!O$3:O$38,'[6]inland_taf_hatchgrp_tableraw&amp;yy'!$AC$3:$AC$38,'2013 Table 11 CWTs exp'!$A35)</f>
        <v>0</v>
      </c>
      <c r="P35" s="515">
        <f>SUMIFS('[6]inland_taf_hatchgrp_tableraw&amp;yy'!P$3:P$38,'[6]inland_taf_hatchgrp_tableraw&amp;yy'!$AC$3:$AC$38,'2013 Table 11 CWTs exp'!$A35)</f>
        <v>0</v>
      </c>
      <c r="Q35" s="514">
        <f>SUMIFS('[6]inland_taf_hatchgrp_tableraw&amp;yy'!Q$3:Q$38,'[6]inland_taf_hatchgrp_tableraw&amp;yy'!$AC$3:$AC$38,'2013 Table 11 CWTs exp'!$A35)</f>
        <v>0</v>
      </c>
      <c r="R35" s="516">
        <f>SUMIFS('[6]inland_taf_hatchgrp_tableraw&amp;yy'!R$3:R$38,'[6]inland_taf_hatchgrp_tableraw&amp;yy'!$AC$3:$AC$38,'2013 Table 11 CWTs exp'!$A35)</f>
        <v>6</v>
      </c>
      <c r="S35" s="515">
        <f>SUMIFS('[6]inland_taf_hatchgrp_tableraw&amp;yy'!S$3:S$38,'[6]inland_taf_hatchgrp_tableraw&amp;yy'!$AC$3:$AC$38,'2013 Table 11 CWTs exp'!$A35)</f>
        <v>0</v>
      </c>
      <c r="T35" s="515">
        <f>SUMIFS('[6]inland_taf_hatchgrp_tableraw&amp;yy'!T$3:T$38,'[6]inland_taf_hatchgrp_tableraw&amp;yy'!$AC$3:$AC$38,'2013 Table 11 CWTs exp'!$A35)</f>
        <v>342</v>
      </c>
      <c r="U35" s="515">
        <f>SUMIFS('[6]inland_taf_hatchgrp_tableraw&amp;yy'!U$3:U$38,'[6]inland_taf_hatchgrp_tableraw&amp;yy'!$AC$3:$AC$38,'2013 Table 11 CWTs exp'!$A35)</f>
        <v>36</v>
      </c>
      <c r="V35" s="514">
        <f>SUMIFS('[6]inland_taf_hatchgrp_tableraw&amp;yy'!V$3:V$38,'[6]inland_taf_hatchgrp_tableraw&amp;yy'!$AC$3:$AC$38,'2013 Table 11 CWTs exp'!$A35)</f>
        <v>2</v>
      </c>
      <c r="W35" s="516">
        <f>SUMIFS('[6]inland_taf_hatchgrp_tableraw&amp;yy'!W$3:W$38,'[6]inland_taf_hatchgrp_tableraw&amp;yy'!$AC$3:$AC$38,'2013 Table 11 CWTs exp'!$A35)</f>
        <v>5</v>
      </c>
      <c r="X35" s="515">
        <f>SUMIFS('[6]inland_taf_hatchgrp_tableraw&amp;yy'!X$3:X$38,'[6]inland_taf_hatchgrp_tableraw&amp;yy'!$AC$3:$AC$38,'2013 Table 11 CWTs exp'!$A35)</f>
        <v>0</v>
      </c>
      <c r="Y35" s="517">
        <f>SUMIFS('[6]inland_taf_hatchgrp_tableraw&amp;yy'!Y$3:Y$38,'[6]inland_taf_hatchgrp_tableraw&amp;yy'!$AC$3:$AC$38,'2013 Table 11 CWTs exp'!$A35)</f>
        <v>536</v>
      </c>
      <c r="Z35" s="518">
        <f>SUMIFS('[6]inland_taf_hatchgrp_tableraw&amp;yy'!Z$3:Z$38,'[6]inland_taf_hatchgrp_tableraw&amp;yy'!$AC$3:$AC$38,'2013 Table 11 CWTs exp'!$A35)</f>
        <v>1390</v>
      </c>
      <c r="AA35" s="515">
        <f>SUMIFS('[6]inland_taf_hatchgrp_tableraw&amp;yy'!AA$3:AA$38,'[6]inland_taf_hatchgrp_tableraw&amp;yy'!$AC$3:$AC$38,'2013 Table 11 CWTs exp'!$A35)</f>
        <v>1926</v>
      </c>
      <c r="AB35" s="515"/>
      <c r="AC35" s="566">
        <f>SUMIFS('[6]inland_taf_hatchgrp_tableraw&amp;yy'!AB$3:AB$38,'[6]inland_taf_hatchgrp_tableraw&amp;yy'!$AC$3:$AC$38,'2013 Table 11 CWTs exp'!$A35)</f>
        <v>0.27800000000000002</v>
      </c>
      <c r="AD35" s="551"/>
      <c r="AE35" s="551"/>
      <c r="AF35" s="551"/>
      <c r="AG35" s="558">
        <f t="shared" si="9"/>
        <v>0.72199999999999998</v>
      </c>
      <c r="AH35" s="559">
        <f t="shared" si="8"/>
        <v>1390</v>
      </c>
      <c r="AI35" s="551"/>
      <c r="AJ35" s="551"/>
      <c r="AK35" s="551"/>
      <c r="AL35" s="551"/>
    </row>
    <row r="36" spans="1:38" ht="14.15" customHeight="1" x14ac:dyDescent="0.25">
      <c r="A36" s="490" t="str">
        <f t="shared" si="7"/>
        <v>MER543</v>
      </c>
      <c r="B36" s="480" t="s">
        <v>5</v>
      </c>
      <c r="C36" s="480">
        <v>54</v>
      </c>
      <c r="D36" s="480">
        <v>3</v>
      </c>
      <c r="E36" s="482" t="s">
        <v>100</v>
      </c>
      <c r="F36" s="483" t="str">
        <f t="shared" si="11"/>
        <v>Fall</v>
      </c>
      <c r="G36" s="513">
        <f>SUMIFS('[6]inland_taf_hatchgrp_tableraw&amp;yy'!G$3:G$38,'[6]inland_taf_hatchgrp_tableraw&amp;yy'!$AC$3:$AC$38,'2013 Table 11 CWTs exp'!$A36)</f>
        <v>0</v>
      </c>
      <c r="H36" s="514">
        <f>SUMIFS('[6]inland_taf_hatchgrp_tableraw&amp;yy'!H$3:H$38,'[6]inland_taf_hatchgrp_tableraw&amp;yy'!$AC$3:$AC$38,'2013 Table 11 CWTs exp'!$A36)</f>
        <v>0</v>
      </c>
      <c r="I36" s="515">
        <f>SUMIFS('[6]inland_taf_hatchgrp_tableraw&amp;yy'!I$3:I$38,'[6]inland_taf_hatchgrp_tableraw&amp;yy'!$AC$3:$AC$38,'2013 Table 11 CWTs exp'!$A36)</f>
        <v>0</v>
      </c>
      <c r="J36" s="516">
        <f>SUMIFS('[6]inland_taf_hatchgrp_tableraw&amp;yy'!J$3:J$38,'[6]inland_taf_hatchgrp_tableraw&amp;yy'!$AC$3:$AC$38,'2013 Table 11 CWTs exp'!$A36)</f>
        <v>234</v>
      </c>
      <c r="K36" s="515">
        <f>SUMIFS('[6]inland_taf_hatchgrp_tableraw&amp;yy'!K$3:K$38,'[6]inland_taf_hatchgrp_tableraw&amp;yy'!$AC$3:$AC$38,'2013 Table 11 CWTs exp'!$A36)</f>
        <v>0</v>
      </c>
      <c r="L36" s="515">
        <f>SUMIFS('[6]inland_taf_hatchgrp_tableraw&amp;yy'!L$3:L$38,'[6]inland_taf_hatchgrp_tableraw&amp;yy'!$AC$3:$AC$38,'2013 Table 11 CWTs exp'!$A36)</f>
        <v>0</v>
      </c>
      <c r="M36" s="515">
        <f>SUMIFS('[6]inland_taf_hatchgrp_tableraw&amp;yy'!M$3:M$38,'[6]inland_taf_hatchgrp_tableraw&amp;yy'!$AC$3:$AC$38,'2013 Table 11 CWTs exp'!$A36)</f>
        <v>0</v>
      </c>
      <c r="N36" s="515">
        <f>SUMIFS('[6]inland_taf_hatchgrp_tableraw&amp;yy'!N$3:N$38,'[6]inland_taf_hatchgrp_tableraw&amp;yy'!$AC$3:$AC$38,'2013 Table 11 CWTs exp'!$A36)</f>
        <v>26</v>
      </c>
      <c r="O36" s="515">
        <f>SUMIFS('[6]inland_taf_hatchgrp_tableraw&amp;yy'!O$3:O$38,'[6]inland_taf_hatchgrp_tableraw&amp;yy'!$AC$3:$AC$38,'2013 Table 11 CWTs exp'!$A36)</f>
        <v>0</v>
      </c>
      <c r="P36" s="515">
        <f>SUMIFS('[6]inland_taf_hatchgrp_tableraw&amp;yy'!P$3:P$38,'[6]inland_taf_hatchgrp_tableraw&amp;yy'!$AC$3:$AC$38,'2013 Table 11 CWTs exp'!$A36)</f>
        <v>0</v>
      </c>
      <c r="Q36" s="514">
        <f>SUMIFS('[6]inland_taf_hatchgrp_tableraw&amp;yy'!Q$3:Q$38,'[6]inland_taf_hatchgrp_tableraw&amp;yy'!$AC$3:$AC$38,'2013 Table 11 CWTs exp'!$A36)</f>
        <v>0</v>
      </c>
      <c r="R36" s="516">
        <f>SUMIFS('[6]inland_taf_hatchgrp_tableraw&amp;yy'!R$3:R$38,'[6]inland_taf_hatchgrp_tableraw&amp;yy'!$AC$3:$AC$38,'2013 Table 11 CWTs exp'!$A36)</f>
        <v>52</v>
      </c>
      <c r="S36" s="515">
        <f>SUMIFS('[6]inland_taf_hatchgrp_tableraw&amp;yy'!S$3:S$38,'[6]inland_taf_hatchgrp_tableraw&amp;yy'!$AC$3:$AC$38,'2013 Table 11 CWTs exp'!$A36)</f>
        <v>0</v>
      </c>
      <c r="T36" s="515">
        <f>SUMIFS('[6]inland_taf_hatchgrp_tableraw&amp;yy'!T$3:T$38,'[6]inland_taf_hatchgrp_tableraw&amp;yy'!$AC$3:$AC$38,'2013 Table 11 CWTs exp'!$A36)</f>
        <v>698</v>
      </c>
      <c r="U36" s="515">
        <f>SUMIFS('[6]inland_taf_hatchgrp_tableraw&amp;yy'!U$3:U$38,'[6]inland_taf_hatchgrp_tableraw&amp;yy'!$AC$3:$AC$38,'2013 Table 11 CWTs exp'!$A36)</f>
        <v>156</v>
      </c>
      <c r="V36" s="514">
        <f>SUMIFS('[6]inland_taf_hatchgrp_tableraw&amp;yy'!V$3:V$38,'[6]inland_taf_hatchgrp_tableraw&amp;yy'!$AC$3:$AC$38,'2013 Table 11 CWTs exp'!$A36)</f>
        <v>61</v>
      </c>
      <c r="W36" s="516">
        <f>SUMIFS('[6]inland_taf_hatchgrp_tableraw&amp;yy'!W$3:W$38,'[6]inland_taf_hatchgrp_tableraw&amp;yy'!$AC$3:$AC$38,'2013 Table 11 CWTs exp'!$A36)</f>
        <v>21</v>
      </c>
      <c r="X36" s="515">
        <f>SUMIFS('[6]inland_taf_hatchgrp_tableraw&amp;yy'!X$3:X$38,'[6]inland_taf_hatchgrp_tableraw&amp;yy'!$AC$3:$AC$38,'2013 Table 11 CWTs exp'!$A36)</f>
        <v>0</v>
      </c>
      <c r="Y36" s="517">
        <f>SUMIFS('[6]inland_taf_hatchgrp_tableraw&amp;yy'!Y$3:Y$38,'[6]inland_taf_hatchgrp_tableraw&amp;yy'!$AC$3:$AC$38,'2013 Table 11 CWTs exp'!$A36)</f>
        <v>1248</v>
      </c>
      <c r="Z36" s="518">
        <f>SUMIFS('[6]inland_taf_hatchgrp_tableraw&amp;yy'!Z$3:Z$38,'[6]inland_taf_hatchgrp_tableraw&amp;yy'!$AC$3:$AC$38,'2013 Table 11 CWTs exp'!$A36)</f>
        <v>1578</v>
      </c>
      <c r="AA36" s="515">
        <f>SUMIFS('[6]inland_taf_hatchgrp_tableraw&amp;yy'!AA$3:AA$38,'[6]inland_taf_hatchgrp_tableraw&amp;yy'!$AC$3:$AC$38,'2013 Table 11 CWTs exp'!$A36)</f>
        <v>2826</v>
      </c>
      <c r="AB36" s="515"/>
      <c r="AC36" s="566">
        <f>SUMIFS('[6]inland_taf_hatchgrp_tableraw&amp;yy'!AB$3:AB$38,'[6]inland_taf_hatchgrp_tableraw&amp;yy'!$AC$3:$AC$38,'2013 Table 11 CWTs exp'!$A36)</f>
        <v>0.442</v>
      </c>
      <c r="AD36" s="551"/>
      <c r="AE36" s="551"/>
      <c r="AF36" s="551"/>
      <c r="AG36" s="558">
        <f t="shared" si="9"/>
        <v>0.55800000000000005</v>
      </c>
      <c r="AH36" s="559">
        <f>Z36</f>
        <v>1578</v>
      </c>
      <c r="AI36" s="551"/>
      <c r="AJ36" s="551"/>
      <c r="AK36" s="551"/>
      <c r="AL36" s="551"/>
    </row>
    <row r="37" spans="1:38" ht="14.15" customHeight="1" x14ac:dyDescent="0.25">
      <c r="A37" s="490" t="str">
        <f t="shared" si="7"/>
        <v>USAC547</v>
      </c>
      <c r="B37" s="480" t="s">
        <v>64</v>
      </c>
      <c r="C37" s="480">
        <v>54</v>
      </c>
      <c r="D37" s="480">
        <v>7</v>
      </c>
      <c r="E37" s="482" t="s">
        <v>65</v>
      </c>
      <c r="F37" s="498" t="s">
        <v>57</v>
      </c>
      <c r="G37" s="513">
        <f>SUMIFS('[6]inland_taf_hatchgrp_tableraw&amp;yy'!G$3:G$38,'[6]inland_taf_hatchgrp_tableraw&amp;yy'!$AC$3:$AC$38,'2013 Table 11 CWTs exp'!$A37)</f>
        <v>0</v>
      </c>
      <c r="H37" s="514">
        <f>SUMIFS('[6]inland_taf_hatchgrp_tableraw&amp;yy'!H$3:H$38,'[6]inland_taf_hatchgrp_tableraw&amp;yy'!$AC$3:$AC$38,'2013 Table 11 CWTs exp'!$A37)</f>
        <v>1302</v>
      </c>
      <c r="I37" s="515">
        <f>SUMIFS('[6]inland_taf_hatchgrp_tableraw&amp;yy'!I$3:I$38,'[6]inland_taf_hatchgrp_tableraw&amp;yy'!$AC$3:$AC$38,'2013 Table 11 CWTs exp'!$A37)</f>
        <v>0</v>
      </c>
      <c r="J37" s="516">
        <f>SUMIFS('[6]inland_taf_hatchgrp_tableraw&amp;yy'!J$3:J$38,'[6]inland_taf_hatchgrp_tableraw&amp;yy'!$AC$3:$AC$38,'2013 Table 11 CWTs exp'!$A37)</f>
        <v>0</v>
      </c>
      <c r="K37" s="515">
        <f>SUMIFS('[6]inland_taf_hatchgrp_tableraw&amp;yy'!K$3:K$38,'[6]inland_taf_hatchgrp_tableraw&amp;yy'!$AC$3:$AC$38,'2013 Table 11 CWTs exp'!$A37)</f>
        <v>0</v>
      </c>
      <c r="L37" s="515">
        <f>SUMIFS('[6]inland_taf_hatchgrp_tableraw&amp;yy'!L$3:L$38,'[6]inland_taf_hatchgrp_tableraw&amp;yy'!$AC$3:$AC$38,'2013 Table 11 CWTs exp'!$A37)</f>
        <v>12</v>
      </c>
      <c r="M37" s="515">
        <f>SUMIFS('[6]inland_taf_hatchgrp_tableraw&amp;yy'!M$3:M$38,'[6]inland_taf_hatchgrp_tableraw&amp;yy'!$AC$3:$AC$38,'2013 Table 11 CWTs exp'!$A37)</f>
        <v>0</v>
      </c>
      <c r="N37" s="515">
        <f>SUMIFS('[6]inland_taf_hatchgrp_tableraw&amp;yy'!N$3:N$38,'[6]inland_taf_hatchgrp_tableraw&amp;yy'!$AC$3:$AC$38,'2013 Table 11 CWTs exp'!$A37)</f>
        <v>0</v>
      </c>
      <c r="O37" s="515">
        <f>SUMIFS('[6]inland_taf_hatchgrp_tableraw&amp;yy'!O$3:O$38,'[6]inland_taf_hatchgrp_tableraw&amp;yy'!$AC$3:$AC$38,'2013 Table 11 CWTs exp'!$A37)</f>
        <v>0</v>
      </c>
      <c r="P37" s="515">
        <f>SUMIFS('[6]inland_taf_hatchgrp_tableraw&amp;yy'!P$3:P$38,'[6]inland_taf_hatchgrp_tableraw&amp;yy'!$AC$3:$AC$38,'2013 Table 11 CWTs exp'!$A37)</f>
        <v>0</v>
      </c>
      <c r="Q37" s="514">
        <f>SUMIFS('[6]inland_taf_hatchgrp_tableraw&amp;yy'!Q$3:Q$38,'[6]inland_taf_hatchgrp_tableraw&amp;yy'!$AC$3:$AC$38,'2013 Table 11 CWTs exp'!$A37)</f>
        <v>0</v>
      </c>
      <c r="R37" s="516">
        <f>SUMIFS('[6]inland_taf_hatchgrp_tableraw&amp;yy'!R$3:R$38,'[6]inland_taf_hatchgrp_tableraw&amp;yy'!$AC$3:$AC$38,'2013 Table 11 CWTs exp'!$A37)</f>
        <v>45</v>
      </c>
      <c r="S37" s="515">
        <f>SUMIFS('[6]inland_taf_hatchgrp_tableraw&amp;yy'!S$3:S$38,'[6]inland_taf_hatchgrp_tableraw&amp;yy'!$AC$3:$AC$38,'2013 Table 11 CWTs exp'!$A37)</f>
        <v>0</v>
      </c>
      <c r="T37" s="515">
        <f>SUMIFS('[6]inland_taf_hatchgrp_tableraw&amp;yy'!T$3:T$38,'[6]inland_taf_hatchgrp_tableraw&amp;yy'!$AC$3:$AC$38,'2013 Table 11 CWTs exp'!$A37)</f>
        <v>0</v>
      </c>
      <c r="U37" s="515">
        <f>SUMIFS('[6]inland_taf_hatchgrp_tableraw&amp;yy'!U$3:U$38,'[6]inland_taf_hatchgrp_tableraw&amp;yy'!$AC$3:$AC$38,'2013 Table 11 CWTs exp'!$A37)</f>
        <v>0</v>
      </c>
      <c r="V37" s="514">
        <f>SUMIFS('[6]inland_taf_hatchgrp_tableraw&amp;yy'!V$3:V$38,'[6]inland_taf_hatchgrp_tableraw&amp;yy'!$AC$3:$AC$38,'2013 Table 11 CWTs exp'!$A37)</f>
        <v>0</v>
      </c>
      <c r="W37" s="516">
        <f>SUMIFS('[6]inland_taf_hatchgrp_tableraw&amp;yy'!W$3:W$38,'[6]inland_taf_hatchgrp_tableraw&amp;yy'!$AC$3:$AC$38,'2013 Table 11 CWTs exp'!$A37)</f>
        <v>0</v>
      </c>
      <c r="X37" s="515">
        <f>SUMIFS('[6]inland_taf_hatchgrp_tableraw&amp;yy'!X$3:X$38,'[6]inland_taf_hatchgrp_tableraw&amp;yy'!$AC$3:$AC$38,'2013 Table 11 CWTs exp'!$A37)</f>
        <v>0</v>
      </c>
      <c r="Y37" s="517">
        <f>SUMIFS('[6]inland_taf_hatchgrp_tableraw&amp;yy'!Y$3:Y$38,'[6]inland_taf_hatchgrp_tableraw&amp;yy'!$AC$3:$AC$38,'2013 Table 11 CWTs exp'!$A37)</f>
        <v>1359</v>
      </c>
      <c r="Z37" s="518">
        <f>SUMIFS('[6]inland_taf_hatchgrp_tableraw&amp;yy'!Z$3:Z$38,'[6]inland_taf_hatchgrp_tableraw&amp;yy'!$AC$3:$AC$38,'2013 Table 11 CWTs exp'!$A37)</f>
        <v>6591</v>
      </c>
      <c r="AA37" s="515">
        <f>SUMIFS('[6]inland_taf_hatchgrp_tableraw&amp;yy'!AA$3:AA$38,'[6]inland_taf_hatchgrp_tableraw&amp;yy'!$AC$3:$AC$38,'2013 Table 11 CWTs exp'!$A37)</f>
        <v>7950</v>
      </c>
      <c r="AB37" s="515"/>
      <c r="AC37" s="566">
        <f>SUMIFS('[6]inland_taf_hatchgrp_tableraw&amp;yy'!AB$3:AB$38,'[6]inland_taf_hatchgrp_tableraw&amp;yy'!$AC$3:$AC$38,'2013 Table 11 CWTs exp'!$A37)</f>
        <v>0.17100000000000001</v>
      </c>
      <c r="AD37" s="561">
        <f>SUM(Y17:Y37)</f>
        <v>224294.60540215572</v>
      </c>
      <c r="AE37" s="561">
        <f>SUM(Z17:Z37)</f>
        <v>126271.39459784429</v>
      </c>
      <c r="AF37" s="561">
        <f>SUM(AA17:AA37)</f>
        <v>350566</v>
      </c>
      <c r="AG37" s="591">
        <f>AVERAGE(AG19:AG36)</f>
        <v>0.60183119973153032</v>
      </c>
      <c r="AH37" s="559">
        <f>SUM(AH19:AH36)</f>
        <v>98240.394597844293</v>
      </c>
      <c r="AI37" s="560">
        <f>AH37/AA38</f>
        <v>0.30622705285027629</v>
      </c>
      <c r="AJ37" s="551"/>
      <c r="AK37" s="551"/>
      <c r="AL37" s="551"/>
    </row>
    <row r="38" spans="1:38" ht="14.15" customHeight="1" x14ac:dyDescent="0.25">
      <c r="A38" s="490"/>
      <c r="B38" s="480"/>
      <c r="C38" s="480"/>
      <c r="D38" s="480"/>
      <c r="E38" s="734" t="s">
        <v>249</v>
      </c>
      <c r="F38" s="734"/>
      <c r="G38" s="523">
        <f t="shared" ref="G38:AA38" si="12">SUM(G19:G36)</f>
        <v>0</v>
      </c>
      <c r="H38" s="502">
        <f t="shared" si="12"/>
        <v>12</v>
      </c>
      <c r="I38" s="503">
        <f t="shared" si="12"/>
        <v>33982.282904624895</v>
      </c>
      <c r="J38" s="504">
        <f t="shared" si="12"/>
        <v>8948.832825181431</v>
      </c>
      <c r="K38" s="503">
        <f t="shared" si="12"/>
        <v>19645</v>
      </c>
      <c r="L38" s="503">
        <f t="shared" si="12"/>
        <v>8796.807532099454</v>
      </c>
      <c r="M38" s="503">
        <f t="shared" si="12"/>
        <v>98.807532099454633</v>
      </c>
      <c r="N38" s="503">
        <f t="shared" si="12"/>
        <v>109388.18422295702</v>
      </c>
      <c r="O38" s="503">
        <f t="shared" si="12"/>
        <v>595.77824537295487</v>
      </c>
      <c r="P38" s="503">
        <f t="shared" si="12"/>
        <v>618.16318117404558</v>
      </c>
      <c r="Q38" s="502">
        <f t="shared" si="12"/>
        <v>18446</v>
      </c>
      <c r="R38" s="504">
        <f t="shared" si="12"/>
        <v>9415.807532099454</v>
      </c>
      <c r="S38" s="503">
        <f t="shared" si="12"/>
        <v>92</v>
      </c>
      <c r="T38" s="503">
        <f t="shared" si="12"/>
        <v>11103.778245372956</v>
      </c>
      <c r="U38" s="503">
        <f t="shared" si="12"/>
        <v>1250.8075320994546</v>
      </c>
      <c r="V38" s="502">
        <f t="shared" si="12"/>
        <v>64.355649074590971</v>
      </c>
      <c r="W38" s="504">
        <f t="shared" si="12"/>
        <v>107</v>
      </c>
      <c r="X38" s="503">
        <f t="shared" si="12"/>
        <v>0</v>
      </c>
      <c r="Y38" s="505">
        <f t="shared" si="12"/>
        <v>222568.60540215572</v>
      </c>
      <c r="Z38" s="506">
        <f t="shared" si="12"/>
        <v>98240.394597844293</v>
      </c>
      <c r="AA38" s="503">
        <f t="shared" si="12"/>
        <v>320809</v>
      </c>
      <c r="AB38" s="507"/>
      <c r="AC38" s="445">
        <f>Y38/AA38</f>
        <v>0.69377294714972371</v>
      </c>
      <c r="AD38" s="563"/>
      <c r="AE38" s="563"/>
      <c r="AF38" s="563"/>
      <c r="AG38" s="559">
        <f>AA38-AA21</f>
        <v>289240</v>
      </c>
      <c r="AH38" s="559">
        <f>AH37-AH21</f>
        <v>94990</v>
      </c>
      <c r="AI38" s="560">
        <f>AH38/AG38</f>
        <v>0.32841239109390125</v>
      </c>
      <c r="AJ38" s="551" t="s">
        <v>102</v>
      </c>
      <c r="AK38" s="551"/>
      <c r="AL38" s="551"/>
    </row>
    <row r="39" spans="1:38" ht="4.5" customHeight="1" x14ac:dyDescent="0.3">
      <c r="A39" s="490"/>
      <c r="B39" s="480"/>
      <c r="C39" s="480"/>
      <c r="D39" s="480"/>
      <c r="E39" s="524"/>
      <c r="G39" s="513"/>
      <c r="H39" s="514"/>
      <c r="I39" s="515"/>
      <c r="J39" s="516"/>
      <c r="K39" s="515"/>
      <c r="L39" s="515"/>
      <c r="M39" s="515"/>
      <c r="N39" s="515"/>
      <c r="O39" s="515"/>
      <c r="P39" s="515"/>
      <c r="Q39" s="514"/>
      <c r="R39" s="516"/>
      <c r="S39" s="515"/>
      <c r="T39" s="515"/>
      <c r="U39" s="515"/>
      <c r="V39" s="514"/>
      <c r="W39" s="516"/>
      <c r="X39" s="515"/>
      <c r="Y39" s="517"/>
      <c r="Z39" s="518"/>
      <c r="AA39" s="515"/>
      <c r="AB39" s="507"/>
      <c r="AC39" s="445"/>
      <c r="AD39" s="563"/>
      <c r="AE39" s="563"/>
      <c r="AF39" s="563"/>
      <c r="AG39" s="559"/>
      <c r="AH39" s="559"/>
      <c r="AI39" s="560"/>
      <c r="AJ39" s="551"/>
      <c r="AK39" s="551"/>
      <c r="AL39" s="551"/>
    </row>
    <row r="40" spans="1:38" ht="14.5" customHeight="1" x14ac:dyDescent="0.25">
      <c r="A40" s="490"/>
      <c r="B40" s="480"/>
      <c r="C40" s="480"/>
      <c r="D40" s="480"/>
      <c r="E40" s="482" t="s">
        <v>103</v>
      </c>
      <c r="F40" s="455" t="s">
        <v>104</v>
      </c>
      <c r="G40" s="515">
        <f>G17</f>
        <v>367</v>
      </c>
      <c r="H40" s="514">
        <f>H7+H14+H13+H19+H21+H37</f>
        <v>6445</v>
      </c>
      <c r="I40" s="515">
        <f>I7+I14+I13+I19+I21+I37</f>
        <v>91113.282904624895</v>
      </c>
      <c r="J40" s="516">
        <f>J7+J14+J13+J19+J21+J37</f>
        <v>2314.8328251814319</v>
      </c>
      <c r="K40" s="515">
        <f t="shared" ref="K40:P40" si="13">K5+K6+K8+K27+K28+K29</f>
        <v>26051</v>
      </c>
      <c r="L40" s="515">
        <f t="shared" si="13"/>
        <v>9223</v>
      </c>
      <c r="M40" s="515">
        <f t="shared" si="13"/>
        <v>133</v>
      </c>
      <c r="N40" s="515">
        <f t="shared" si="13"/>
        <v>121251</v>
      </c>
      <c r="O40" s="515">
        <f t="shared" si="13"/>
        <v>630</v>
      </c>
      <c r="P40" s="515">
        <f t="shared" si="13"/>
        <v>615</v>
      </c>
      <c r="Q40" s="514">
        <f>Q9+Q10+Q30</f>
        <v>22535</v>
      </c>
      <c r="R40" s="516">
        <f>R9+R10+R30</f>
        <v>11758</v>
      </c>
      <c r="S40" s="515">
        <f>S11+S31</f>
        <v>307</v>
      </c>
      <c r="T40" s="515">
        <f>T11+T31</f>
        <v>7178</v>
      </c>
      <c r="U40" s="515">
        <f>U11+U31</f>
        <v>998</v>
      </c>
      <c r="V40" s="514">
        <f>V12+V36</f>
        <v>157</v>
      </c>
      <c r="W40" s="516">
        <f>W12+W36</f>
        <v>27</v>
      </c>
      <c r="X40" s="515"/>
      <c r="Y40" s="517">
        <f>SUM(G40:X40)</f>
        <v>301103.11572980636</v>
      </c>
      <c r="Z40" s="518">
        <f>SUM(Z17:Z37,Z5:Z14)</f>
        <v>137831.39459784428</v>
      </c>
      <c r="AA40" s="515">
        <f>Z40+Y40</f>
        <v>438934.51032765064</v>
      </c>
      <c r="AB40" s="507"/>
      <c r="AC40" s="445"/>
      <c r="AD40" s="563"/>
      <c r="AE40" s="563"/>
      <c r="AF40" s="563"/>
      <c r="AG40" s="559"/>
      <c r="AH40" s="559"/>
      <c r="AI40" s="560"/>
      <c r="AJ40" s="551"/>
      <c r="AK40" s="551"/>
      <c r="AL40" s="551"/>
    </row>
    <row r="41" spans="1:38" ht="14.5" customHeight="1" x14ac:dyDescent="0.25">
      <c r="A41" s="490"/>
      <c r="B41" s="480"/>
      <c r="C41" s="480"/>
      <c r="D41" s="480"/>
      <c r="E41" s="482" t="s">
        <v>105</v>
      </c>
      <c r="F41" s="455" t="s">
        <v>104</v>
      </c>
      <c r="G41" s="516">
        <f t="shared" ref="G41:Z41" si="14">G42-G40</f>
        <v>0</v>
      </c>
      <c r="H41" s="514">
        <f t="shared" si="14"/>
        <v>4</v>
      </c>
      <c r="I41" s="515">
        <f t="shared" si="14"/>
        <v>3758</v>
      </c>
      <c r="J41" s="516">
        <f t="shared" si="14"/>
        <v>8247</v>
      </c>
      <c r="K41" s="514">
        <f t="shared" si="14"/>
        <v>0</v>
      </c>
      <c r="L41" s="515">
        <f t="shared" si="14"/>
        <v>1125.807532099454</v>
      </c>
      <c r="M41" s="515">
        <f t="shared" si="14"/>
        <v>39.807532099454647</v>
      </c>
      <c r="N41" s="515">
        <f t="shared" si="14"/>
        <v>11893.184222957003</v>
      </c>
      <c r="O41" s="515">
        <f t="shared" si="14"/>
        <v>121.77824537295487</v>
      </c>
      <c r="P41" s="515">
        <f t="shared" si="14"/>
        <v>93.163181174045576</v>
      </c>
      <c r="Q41" s="514">
        <f t="shared" si="14"/>
        <v>190</v>
      </c>
      <c r="R41" s="516">
        <f t="shared" si="14"/>
        <v>603.80753209945397</v>
      </c>
      <c r="S41" s="515">
        <f t="shared" si="14"/>
        <v>35</v>
      </c>
      <c r="T41" s="515">
        <f t="shared" si="14"/>
        <v>10299.778245372956</v>
      </c>
      <c r="U41" s="515">
        <f t="shared" si="14"/>
        <v>1427.8075320994549</v>
      </c>
      <c r="V41" s="514">
        <f t="shared" si="14"/>
        <v>11.355649074590985</v>
      </c>
      <c r="W41" s="516">
        <f t="shared" si="14"/>
        <v>101</v>
      </c>
      <c r="X41" s="515">
        <f t="shared" si="14"/>
        <v>4</v>
      </c>
      <c r="Y41" s="517">
        <f t="shared" si="14"/>
        <v>37958.489672349358</v>
      </c>
      <c r="Z41" s="516">
        <f t="shared" si="14"/>
        <v>0</v>
      </c>
      <c r="AA41" s="515">
        <f>Z41+Y41</f>
        <v>37958.489672349358</v>
      </c>
      <c r="AB41" s="507"/>
      <c r="AC41" s="445"/>
      <c r="AD41" s="563"/>
      <c r="AE41" s="563"/>
      <c r="AF41" s="563"/>
      <c r="AG41" s="559"/>
      <c r="AH41" s="559"/>
      <c r="AI41" s="560"/>
      <c r="AJ41" s="551"/>
      <c r="AK41" s="551"/>
      <c r="AL41" s="551"/>
    </row>
    <row r="42" spans="1:38" ht="14.5" customHeight="1" x14ac:dyDescent="0.3">
      <c r="A42" s="490"/>
      <c r="B42" s="480"/>
      <c r="C42" s="480"/>
      <c r="D42" s="480"/>
      <c r="E42" s="482"/>
      <c r="F42" s="525" t="s">
        <v>109</v>
      </c>
      <c r="G42" s="526">
        <f t="shared" ref="G42:Y42" si="15">SUM(G17:G37,G5:G14)</f>
        <v>367</v>
      </c>
      <c r="H42" s="527">
        <f t="shared" si="15"/>
        <v>6449</v>
      </c>
      <c r="I42" s="526">
        <f t="shared" si="15"/>
        <v>94871.282904624895</v>
      </c>
      <c r="J42" s="528">
        <f t="shared" si="15"/>
        <v>10561.832825181431</v>
      </c>
      <c r="K42" s="526">
        <f t="shared" si="15"/>
        <v>26051</v>
      </c>
      <c r="L42" s="526">
        <f t="shared" si="15"/>
        <v>10348.807532099454</v>
      </c>
      <c r="M42" s="526">
        <f t="shared" si="15"/>
        <v>172.80753209945465</v>
      </c>
      <c r="N42" s="526">
        <f t="shared" si="15"/>
        <v>133144.184222957</v>
      </c>
      <c r="O42" s="526">
        <f t="shared" si="15"/>
        <v>751.77824537295487</v>
      </c>
      <c r="P42" s="526">
        <f t="shared" si="15"/>
        <v>708.16318117404558</v>
      </c>
      <c r="Q42" s="527">
        <f t="shared" si="15"/>
        <v>22725</v>
      </c>
      <c r="R42" s="528">
        <f t="shared" si="15"/>
        <v>12361.807532099454</v>
      </c>
      <c r="S42" s="526">
        <f t="shared" si="15"/>
        <v>342</v>
      </c>
      <c r="T42" s="526">
        <f t="shared" si="15"/>
        <v>17477.778245372956</v>
      </c>
      <c r="U42" s="526">
        <f t="shared" si="15"/>
        <v>2425.8075320994549</v>
      </c>
      <c r="V42" s="527">
        <f t="shared" si="15"/>
        <v>168.35564907459099</v>
      </c>
      <c r="W42" s="528">
        <f t="shared" si="15"/>
        <v>128</v>
      </c>
      <c r="X42" s="526">
        <f t="shared" si="15"/>
        <v>4</v>
      </c>
      <c r="Y42" s="529">
        <f t="shared" si="15"/>
        <v>339061.60540215572</v>
      </c>
      <c r="Z42" s="530">
        <f>AA42-Y42</f>
        <v>137831.39459784428</v>
      </c>
      <c r="AA42" s="526">
        <f>SUM(AA17:AA37,AA5:AA14)</f>
        <v>476893</v>
      </c>
      <c r="AC42" s="445">
        <f>Y42/AA42</f>
        <v>0.71098046186913144</v>
      </c>
      <c r="AD42" s="563"/>
      <c r="AE42" s="563"/>
      <c r="AF42" s="563"/>
      <c r="AG42" s="559"/>
      <c r="AH42" s="559"/>
      <c r="AI42" s="560"/>
      <c r="AJ42" s="551"/>
      <c r="AK42" s="551"/>
      <c r="AL42" s="551"/>
    </row>
    <row r="43" spans="1:38" ht="13.5" customHeight="1" x14ac:dyDescent="0.25">
      <c r="A43" s="490"/>
      <c r="B43" s="480"/>
      <c r="C43" s="480"/>
      <c r="D43" s="480"/>
      <c r="E43" s="482"/>
      <c r="F43" s="95" t="s">
        <v>168</v>
      </c>
      <c r="G43" s="96" t="s">
        <v>222</v>
      </c>
      <c r="H43" s="101">
        <f>H41/H42</f>
        <v>6.2025120173670335E-4</v>
      </c>
      <c r="I43" s="98">
        <f t="shared" ref="I43:J43" si="16">I41/I42</f>
        <v>3.9611565111625585E-2</v>
      </c>
      <c r="J43" s="99">
        <f t="shared" si="16"/>
        <v>0.78083038583394104</v>
      </c>
      <c r="K43" s="326" t="s">
        <v>222</v>
      </c>
      <c r="L43" s="98">
        <f t="shared" ref="L43:M43" si="17">L41/L42</f>
        <v>0.10878620832472496</v>
      </c>
      <c r="M43" s="98">
        <f t="shared" si="17"/>
        <v>0.23035762166052179</v>
      </c>
      <c r="N43" s="98">
        <f>N41/N42</f>
        <v>8.9325600606341427E-2</v>
      </c>
      <c r="O43" s="98">
        <f t="shared" ref="O43:P43" si="18">O41/O42</f>
        <v>0.1619869238335582</v>
      </c>
      <c r="P43" s="98">
        <f t="shared" si="18"/>
        <v>0.13155609279148447</v>
      </c>
      <c r="Q43" s="101">
        <f>Q41/Q42</f>
        <v>8.3608360836083615E-3</v>
      </c>
      <c r="R43" s="99">
        <f t="shared" ref="R43:S43" si="19">R41/R42</f>
        <v>4.8844599022559526E-2</v>
      </c>
      <c r="S43" s="98">
        <f t="shared" si="19"/>
        <v>0.1023391812865497</v>
      </c>
      <c r="T43" s="98">
        <f>T41/T42</f>
        <v>0.58930706756733831</v>
      </c>
      <c r="U43" s="98">
        <f t="shared" ref="U43:V43" si="20">U41/U42</f>
        <v>0.5885906087791456</v>
      </c>
      <c r="V43" s="101">
        <f t="shared" si="20"/>
        <v>6.7450359622680658E-2</v>
      </c>
      <c r="W43" s="99">
        <f>W41/W42</f>
        <v>0.7890625</v>
      </c>
      <c r="X43" s="98"/>
      <c r="Y43" s="101">
        <f t="shared" ref="Y43" si="21">Y41/Y42</f>
        <v>0.1119516013242708</v>
      </c>
      <c r="Z43" s="102"/>
      <c r="AA43" s="98">
        <f t="shared" ref="AA43" si="22">AA41/AA42</f>
        <v>7.9595401216518924E-2</v>
      </c>
      <c r="AB43" s="507"/>
      <c r="AC43" s="445"/>
      <c r="AD43" s="563"/>
      <c r="AE43" s="563"/>
      <c r="AF43" s="563"/>
      <c r="AG43" s="559"/>
      <c r="AH43" s="559"/>
      <c r="AI43" s="560"/>
      <c r="AJ43" s="551"/>
      <c r="AK43" s="551"/>
      <c r="AL43" s="551"/>
    </row>
    <row r="44" spans="1:38" ht="13.5" customHeight="1" x14ac:dyDescent="0.3">
      <c r="A44" s="467" t="s">
        <v>112</v>
      </c>
      <c r="B44" s="480"/>
      <c r="C44" s="480"/>
      <c r="D44" s="480"/>
      <c r="E44" s="481" t="s">
        <v>113</v>
      </c>
      <c r="F44" s="482"/>
      <c r="G44" s="483"/>
      <c r="H44" s="508"/>
      <c r="I44" s="509"/>
      <c r="J44" s="510"/>
      <c r="K44" s="509"/>
      <c r="L44" s="509"/>
      <c r="M44" s="509"/>
      <c r="N44" s="509"/>
      <c r="O44" s="509"/>
      <c r="P44" s="509"/>
      <c r="Q44" s="508"/>
      <c r="R44" s="510"/>
      <c r="S44" s="509"/>
      <c r="T44" s="509"/>
      <c r="U44" s="509"/>
      <c r="V44" s="508"/>
      <c r="W44" s="510"/>
      <c r="X44" s="509"/>
      <c r="Y44" s="511"/>
      <c r="Z44" s="512"/>
      <c r="AA44" s="509"/>
      <c r="AB44" s="509"/>
      <c r="AC44" s="566"/>
      <c r="AD44" s="551"/>
      <c r="AE44" s="551"/>
      <c r="AF44" s="551"/>
      <c r="AG44" s="553"/>
      <c r="AH44" s="553"/>
      <c r="AI44" s="551"/>
      <c r="AJ44" s="551"/>
      <c r="AK44" s="551"/>
      <c r="AL44" s="551"/>
    </row>
    <row r="45" spans="1:38" ht="14.15" customHeight="1" x14ac:dyDescent="0.25">
      <c r="A45" s="490" t="str">
        <f t="shared" ref="A45:A50" si="23">CONCATENATE(B45,C45,D45)</f>
        <v>USAC463</v>
      </c>
      <c r="B45" s="480" t="s">
        <v>64</v>
      </c>
      <c r="C45" s="480">
        <v>46</v>
      </c>
      <c r="D45" s="480">
        <v>3</v>
      </c>
      <c r="E45" s="482" t="s">
        <v>114</v>
      </c>
      <c r="F45" s="483" t="str">
        <f>LOOKUP(D45,$AJ$5:$AJ$8,$AK$5:$AK$8)</f>
        <v>Fall</v>
      </c>
      <c r="G45" s="513">
        <f>SUMIFS('[6]inland_taf_hatchgrp_tableraw&amp;yy'!G$3:G$38,'[6]inland_taf_hatchgrp_tableraw&amp;yy'!$AC$3:$AC$38,'2013 Table 11 CWTs exp'!$A45)</f>
        <v>0</v>
      </c>
      <c r="H45" s="514">
        <f>SUMIFS('[6]inland_taf_hatchgrp_tableraw&amp;yy'!H$3:H$38,'[6]inland_taf_hatchgrp_tableraw&amp;yy'!$AC$3:$AC$38,'2013 Table 11 CWTs exp'!$A45)</f>
        <v>0</v>
      </c>
      <c r="I45" s="515">
        <f>SUMIFS('[6]inland_taf_hatchgrp_tableraw&amp;yy'!I$3:I$38,'[6]inland_taf_hatchgrp_tableraw&amp;yy'!$AC$3:$AC$38,'2013 Table 11 CWTs exp'!$A45)</f>
        <v>12298</v>
      </c>
      <c r="J45" s="516">
        <f>SUMIFS('[6]inland_taf_hatchgrp_tableraw&amp;yy'!J$3:J$38,'[6]inland_taf_hatchgrp_tableraw&amp;yy'!$AC$3:$AC$38,'2013 Table 11 CWTs exp'!$A45)</f>
        <v>139</v>
      </c>
      <c r="K45" s="515">
        <f>SUMIFS('[6]inland_taf_hatchgrp_tableraw&amp;yy'!K$3:K$38,'[6]inland_taf_hatchgrp_tableraw&amp;yy'!$AC$3:$AC$38,'2013 Table 11 CWTs exp'!$A45)</f>
        <v>0</v>
      </c>
      <c r="L45" s="515">
        <f>SUMIFS('[6]inland_taf_hatchgrp_tableraw&amp;yy'!L$3:L$38,'[6]inland_taf_hatchgrp_tableraw&amp;yy'!$AC$3:$AC$38,'2013 Table 11 CWTs exp'!$A45)</f>
        <v>107</v>
      </c>
      <c r="M45" s="515">
        <f>SUMIFS('[6]inland_taf_hatchgrp_tableraw&amp;yy'!M$3:M$38,'[6]inland_taf_hatchgrp_tableraw&amp;yy'!$AC$3:$AC$38,'2013 Table 11 CWTs exp'!$A45)</f>
        <v>0</v>
      </c>
      <c r="N45" s="515">
        <f>SUMIFS('[6]inland_taf_hatchgrp_tableraw&amp;yy'!N$3:N$38,'[6]inland_taf_hatchgrp_tableraw&amp;yy'!$AC$3:$AC$38,'2013 Table 11 CWTs exp'!$A45)</f>
        <v>1350</v>
      </c>
      <c r="O45" s="515">
        <f>SUMIFS('[6]inland_taf_hatchgrp_tableraw&amp;yy'!O$3:O$38,'[6]inland_taf_hatchgrp_tableraw&amp;yy'!$AC$3:$AC$38,'2013 Table 11 CWTs exp'!$A45)</f>
        <v>12</v>
      </c>
      <c r="P45" s="515">
        <f>SUMIFS('[6]inland_taf_hatchgrp_tableraw&amp;yy'!P$3:P$38,'[6]inland_taf_hatchgrp_tableraw&amp;yy'!$AC$3:$AC$38,'2013 Table 11 CWTs exp'!$A45)</f>
        <v>12</v>
      </c>
      <c r="Q45" s="514">
        <f>SUMIFS('[6]inland_taf_hatchgrp_tableraw&amp;yy'!Q$3:Q$38,'[6]inland_taf_hatchgrp_tableraw&amp;yy'!$AC$3:$AC$38,'2013 Table 11 CWTs exp'!$A45)</f>
        <v>12</v>
      </c>
      <c r="R45" s="516">
        <f>SUMIFS('[6]inland_taf_hatchgrp_tableraw&amp;yy'!R$3:R$38,'[6]inland_taf_hatchgrp_tableraw&amp;yy'!$AC$3:$AC$38,'2013 Table 11 CWTs exp'!$A45)</f>
        <v>0</v>
      </c>
      <c r="S45" s="515">
        <f>SUMIFS('[6]inland_taf_hatchgrp_tableraw&amp;yy'!S$3:S$38,'[6]inland_taf_hatchgrp_tableraw&amp;yy'!$AC$3:$AC$38,'2013 Table 11 CWTs exp'!$A45)</f>
        <v>0</v>
      </c>
      <c r="T45" s="515">
        <f>SUMIFS('[6]inland_taf_hatchgrp_tableraw&amp;yy'!T$3:T$38,'[6]inland_taf_hatchgrp_tableraw&amp;yy'!$AC$3:$AC$38,'2013 Table 11 CWTs exp'!$A45)</f>
        <v>0</v>
      </c>
      <c r="U45" s="515">
        <f>SUMIFS('[6]inland_taf_hatchgrp_tableraw&amp;yy'!U$3:U$38,'[6]inland_taf_hatchgrp_tableraw&amp;yy'!$AC$3:$AC$38,'2013 Table 11 CWTs exp'!$A45)</f>
        <v>0</v>
      </c>
      <c r="V45" s="514">
        <f>SUMIFS('[6]inland_taf_hatchgrp_tableraw&amp;yy'!V$3:V$38,'[6]inland_taf_hatchgrp_tableraw&amp;yy'!$AC$3:$AC$38,'2013 Table 11 CWTs exp'!$A45)</f>
        <v>0</v>
      </c>
      <c r="W45" s="516">
        <f>SUMIFS('[6]inland_taf_hatchgrp_tableraw&amp;yy'!W$3:W$38,'[6]inland_taf_hatchgrp_tableraw&amp;yy'!$AC$3:$AC$38,'2013 Table 11 CWTs exp'!$A45)</f>
        <v>0</v>
      </c>
      <c r="X45" s="515">
        <f>SUMIFS('[6]inland_taf_hatchgrp_tableraw&amp;yy'!X$3:X$38,'[6]inland_taf_hatchgrp_tableraw&amp;yy'!$AC$3:$AC$38,'2013 Table 11 CWTs exp'!$A45)</f>
        <v>0</v>
      </c>
      <c r="Y45" s="517">
        <f>SUMIFS('[6]inland_taf_hatchgrp_tableraw&amp;yy'!Y$3:Y$38,'[6]inland_taf_hatchgrp_tableraw&amp;yy'!$AC$3:$AC$38,'2013 Table 11 CWTs exp'!$A45)</f>
        <v>13929</v>
      </c>
      <c r="Z45" s="518">
        <f>SUMIFS('[6]inland_taf_hatchgrp_tableraw&amp;yy'!Z$3:Z$38,'[6]inland_taf_hatchgrp_tableraw&amp;yy'!$AC$3:$AC$38,'2013 Table 11 CWTs exp'!$A45)</f>
        <v>7018</v>
      </c>
      <c r="AA45" s="515">
        <f>SUMIFS('[6]inland_taf_hatchgrp_tableraw&amp;yy'!AA$3:AA$38,'[6]inland_taf_hatchgrp_tableraw&amp;yy'!$AC$3:$AC$38,'2013 Table 11 CWTs exp'!$A45)</f>
        <v>20947</v>
      </c>
      <c r="AB45" s="515"/>
      <c r="AC45" s="566">
        <f>SUMIFS('[6]inland_taf_hatchgrp_tableraw&amp;yy'!AB$3:AB$38,'[6]inland_taf_hatchgrp_tableraw&amp;yy'!$AC$3:$AC$38,'2013 Table 11 CWTs exp'!$A45)</f>
        <v>0.66500000000000004</v>
      </c>
      <c r="AD45" s="551"/>
      <c r="AE45" s="551"/>
      <c r="AF45" s="551"/>
      <c r="AG45" s="553"/>
      <c r="AH45" s="553"/>
      <c r="AI45" s="551"/>
      <c r="AJ45" s="551"/>
      <c r="AK45" s="551"/>
      <c r="AL45" s="551"/>
    </row>
    <row r="46" spans="1:38" ht="14.15" customHeight="1" x14ac:dyDescent="0.25">
      <c r="A46" s="490" t="str">
        <f t="shared" si="23"/>
        <v>LSAC463</v>
      </c>
      <c r="B46" s="480" t="s">
        <v>115</v>
      </c>
      <c r="C46" s="480">
        <v>46</v>
      </c>
      <c r="D46" s="480">
        <v>3</v>
      </c>
      <c r="E46" s="482" t="s">
        <v>116</v>
      </c>
      <c r="F46" s="483" t="str">
        <f>LOOKUP(D46,$AJ$5:$AJ$8,$AK$5:$AK$8)</f>
        <v>Fall</v>
      </c>
      <c r="G46" s="513">
        <f>SUMIFS('[6]inland_taf_hatchgrp_tableraw&amp;yy'!G$3:G$38,'[6]inland_taf_hatchgrp_tableraw&amp;yy'!$AC$3:$AC$38,'2013 Table 11 CWTs exp'!$A46)</f>
        <v>0</v>
      </c>
      <c r="H46" s="514">
        <f>SUMIFS('[6]inland_taf_hatchgrp_tableraw&amp;yy'!H$3:H$38,'[6]inland_taf_hatchgrp_tableraw&amp;yy'!$AC$3:$AC$38,'2013 Table 11 CWTs exp'!$A46)</f>
        <v>799</v>
      </c>
      <c r="I46" s="515">
        <f>SUMIFS('[6]inland_taf_hatchgrp_tableraw&amp;yy'!I$3:I$38,'[6]inland_taf_hatchgrp_tableraw&amp;yy'!$AC$3:$AC$38,'2013 Table 11 CWTs exp'!$A46)</f>
        <v>1043</v>
      </c>
      <c r="J46" s="516">
        <f>SUMIFS('[6]inland_taf_hatchgrp_tableraw&amp;yy'!J$3:J$38,'[6]inland_taf_hatchgrp_tableraw&amp;yy'!$AC$3:$AC$38,'2013 Table 11 CWTs exp'!$A46)</f>
        <v>925</v>
      </c>
      <c r="K46" s="515">
        <f>SUMIFS('[6]inland_taf_hatchgrp_tableraw&amp;yy'!K$3:K$38,'[6]inland_taf_hatchgrp_tableraw&amp;yy'!$AC$3:$AC$38,'2013 Table 11 CWTs exp'!$A46)</f>
        <v>0</v>
      </c>
      <c r="L46" s="515">
        <f>SUMIFS('[6]inland_taf_hatchgrp_tableraw&amp;yy'!L$3:L$38,'[6]inland_taf_hatchgrp_tableraw&amp;yy'!$AC$3:$AC$38,'2013 Table 11 CWTs exp'!$A46)</f>
        <v>0</v>
      </c>
      <c r="M46" s="515">
        <f>SUMIFS('[6]inland_taf_hatchgrp_tableraw&amp;yy'!M$3:M$38,'[6]inland_taf_hatchgrp_tableraw&amp;yy'!$AC$3:$AC$38,'2013 Table 11 CWTs exp'!$A46)</f>
        <v>0</v>
      </c>
      <c r="N46" s="515">
        <f>SUMIFS('[6]inland_taf_hatchgrp_tableraw&amp;yy'!N$3:N$38,'[6]inland_taf_hatchgrp_tableraw&amp;yy'!$AC$3:$AC$38,'2013 Table 11 CWTs exp'!$A46)</f>
        <v>5700</v>
      </c>
      <c r="O46" s="515">
        <f>SUMIFS('[6]inland_taf_hatchgrp_tableraw&amp;yy'!O$3:O$38,'[6]inland_taf_hatchgrp_tableraw&amp;yy'!$AC$3:$AC$38,'2013 Table 11 CWTs exp'!$A46)</f>
        <v>87</v>
      </c>
      <c r="P46" s="515">
        <f>SUMIFS('[6]inland_taf_hatchgrp_tableraw&amp;yy'!P$3:P$38,'[6]inland_taf_hatchgrp_tableraw&amp;yy'!$AC$3:$AC$38,'2013 Table 11 CWTs exp'!$A46)</f>
        <v>29</v>
      </c>
      <c r="Q46" s="514">
        <f>SUMIFS('[6]inland_taf_hatchgrp_tableraw&amp;yy'!Q$3:Q$38,'[6]inland_taf_hatchgrp_tableraw&amp;yy'!$AC$3:$AC$38,'2013 Table 11 CWTs exp'!$A46)</f>
        <v>1943</v>
      </c>
      <c r="R46" s="516">
        <f>SUMIFS('[6]inland_taf_hatchgrp_tableraw&amp;yy'!R$3:R$38,'[6]inland_taf_hatchgrp_tableraw&amp;yy'!$AC$3:$AC$38,'2013 Table 11 CWTs exp'!$A46)</f>
        <v>1068</v>
      </c>
      <c r="S46" s="515">
        <f>SUMIFS('[6]inland_taf_hatchgrp_tableraw&amp;yy'!S$3:S$38,'[6]inland_taf_hatchgrp_tableraw&amp;yy'!$AC$3:$AC$38,'2013 Table 11 CWTs exp'!$A46)</f>
        <v>0</v>
      </c>
      <c r="T46" s="515">
        <f>SUMIFS('[6]inland_taf_hatchgrp_tableraw&amp;yy'!T$3:T$38,'[6]inland_taf_hatchgrp_tableraw&amp;yy'!$AC$3:$AC$38,'2013 Table 11 CWTs exp'!$A46)</f>
        <v>987</v>
      </c>
      <c r="U46" s="515">
        <f>SUMIFS('[6]inland_taf_hatchgrp_tableraw&amp;yy'!U$3:U$38,'[6]inland_taf_hatchgrp_tableraw&amp;yy'!$AC$3:$AC$38,'2013 Table 11 CWTs exp'!$A46)</f>
        <v>231</v>
      </c>
      <c r="V46" s="514">
        <f>SUMIFS('[6]inland_taf_hatchgrp_tableraw&amp;yy'!V$3:V$38,'[6]inland_taf_hatchgrp_tableraw&amp;yy'!$AC$3:$AC$38,'2013 Table 11 CWTs exp'!$A46)</f>
        <v>0</v>
      </c>
      <c r="W46" s="516">
        <f>SUMIFS('[6]inland_taf_hatchgrp_tableraw&amp;yy'!W$3:W$38,'[6]inland_taf_hatchgrp_tableraw&amp;yy'!$AC$3:$AC$38,'2013 Table 11 CWTs exp'!$A46)</f>
        <v>62</v>
      </c>
      <c r="X46" s="515">
        <f>SUMIFS('[6]inland_taf_hatchgrp_tableraw&amp;yy'!X$3:X$38,'[6]inland_taf_hatchgrp_tableraw&amp;yy'!$AC$3:$AC$38,'2013 Table 11 CWTs exp'!$A46)</f>
        <v>0</v>
      </c>
      <c r="Y46" s="517">
        <f>SUMIFS('[6]inland_taf_hatchgrp_tableraw&amp;yy'!Y$3:Y$38,'[6]inland_taf_hatchgrp_tableraw&amp;yy'!$AC$3:$AC$38,'2013 Table 11 CWTs exp'!$A46)</f>
        <v>12874</v>
      </c>
      <c r="Z46" s="518">
        <f>SUMIFS('[6]inland_taf_hatchgrp_tableraw&amp;yy'!Z$3:Z$38,'[6]inland_taf_hatchgrp_tableraw&amp;yy'!$AC$3:$AC$38,'2013 Table 11 CWTs exp'!$A46)</f>
        <v>7615</v>
      </c>
      <c r="AA46" s="515">
        <f>SUMIFS('[6]inland_taf_hatchgrp_tableraw&amp;yy'!AA$3:AA$38,'[6]inland_taf_hatchgrp_tableraw&amp;yy'!$AC$3:$AC$38,'2013 Table 11 CWTs exp'!$A46)</f>
        <v>20489</v>
      </c>
      <c r="AB46" s="515"/>
      <c r="AC46" s="566">
        <f>SUMIFS('[6]inland_taf_hatchgrp_tableraw&amp;yy'!AB$3:AB$38,'[6]inland_taf_hatchgrp_tableraw&amp;yy'!$AC$3:$AC$38,'2013 Table 11 CWTs exp'!$A46)</f>
        <v>0.628</v>
      </c>
      <c r="AD46" s="551"/>
      <c r="AE46" s="551"/>
      <c r="AF46" s="551"/>
      <c r="AG46" s="553"/>
      <c r="AH46" s="553"/>
      <c r="AI46" s="551"/>
      <c r="AJ46" s="551"/>
      <c r="AK46" s="551"/>
      <c r="AL46" s="551"/>
    </row>
    <row r="47" spans="1:38" ht="14.15" customHeight="1" x14ac:dyDescent="0.25">
      <c r="A47" s="490" t="str">
        <f t="shared" si="23"/>
        <v>FEA463</v>
      </c>
      <c r="B47" s="480" t="s">
        <v>80</v>
      </c>
      <c r="C47" s="480">
        <v>46</v>
      </c>
      <c r="D47" s="480">
        <v>3</v>
      </c>
      <c r="E47" s="482" t="s">
        <v>117</v>
      </c>
      <c r="F47" s="483" t="str">
        <f>LOOKUP(D47,$AJ$5:$AJ$8,$AK$5:$AK$8)</f>
        <v>Fall</v>
      </c>
      <c r="G47" s="513">
        <f>SUMIFS('[6]inland_taf_hatchgrp_tableraw&amp;yy'!G$3:G$38,'[6]inland_taf_hatchgrp_tableraw&amp;yy'!$AC$3:$AC$38,'2013 Table 11 CWTs exp'!$A47)</f>
        <v>0</v>
      </c>
      <c r="H47" s="514">
        <f>SUMIFS('[6]inland_taf_hatchgrp_tableraw&amp;yy'!H$3:H$38,'[6]inland_taf_hatchgrp_tableraw&amp;yy'!$AC$3:$AC$38,'2013 Table 11 CWTs exp'!$A47)</f>
        <v>0</v>
      </c>
      <c r="I47" s="515">
        <f>SUMIFS('[6]inland_taf_hatchgrp_tableraw&amp;yy'!I$3:I$38,'[6]inland_taf_hatchgrp_tableraw&amp;yy'!$AC$3:$AC$38,'2013 Table 11 CWTs exp'!$A47)</f>
        <v>72</v>
      </c>
      <c r="J47" s="516">
        <f>SUMIFS('[6]inland_taf_hatchgrp_tableraw&amp;yy'!J$3:J$38,'[6]inland_taf_hatchgrp_tableraw&amp;yy'!$AC$3:$AC$38,'2013 Table 11 CWTs exp'!$A47)</f>
        <v>648</v>
      </c>
      <c r="K47" s="515">
        <f>SUMIFS('[6]inland_taf_hatchgrp_tableraw&amp;yy'!K$3:K$38,'[6]inland_taf_hatchgrp_tableraw&amp;yy'!$AC$3:$AC$38,'2013 Table 11 CWTs exp'!$A47)</f>
        <v>291</v>
      </c>
      <c r="L47" s="515">
        <f>SUMIFS('[6]inland_taf_hatchgrp_tableraw&amp;yy'!L$3:L$38,'[6]inland_taf_hatchgrp_tableraw&amp;yy'!$AC$3:$AC$38,'2013 Table 11 CWTs exp'!$A47)</f>
        <v>129</v>
      </c>
      <c r="M47" s="515">
        <f>SUMIFS('[6]inland_taf_hatchgrp_tableraw&amp;yy'!M$3:M$38,'[6]inland_taf_hatchgrp_tableraw&amp;yy'!$AC$3:$AC$38,'2013 Table 11 CWTs exp'!$A47)</f>
        <v>54</v>
      </c>
      <c r="N47" s="515">
        <f>SUMIFS('[6]inland_taf_hatchgrp_tableraw&amp;yy'!N$3:N$38,'[6]inland_taf_hatchgrp_tableraw&amp;yy'!$AC$3:$AC$38,'2013 Table 11 CWTs exp'!$A47)</f>
        <v>7538</v>
      </c>
      <c r="O47" s="515">
        <f>SUMIFS('[6]inland_taf_hatchgrp_tableraw&amp;yy'!O$3:O$38,'[6]inland_taf_hatchgrp_tableraw&amp;yy'!$AC$3:$AC$38,'2013 Table 11 CWTs exp'!$A47)</f>
        <v>90</v>
      </c>
      <c r="P47" s="515">
        <f>SUMIFS('[6]inland_taf_hatchgrp_tableraw&amp;yy'!P$3:P$38,'[6]inland_taf_hatchgrp_tableraw&amp;yy'!$AC$3:$AC$38,'2013 Table 11 CWTs exp'!$A47)</f>
        <v>164</v>
      </c>
      <c r="Q47" s="514">
        <f>SUMIFS('[6]inland_taf_hatchgrp_tableraw&amp;yy'!Q$3:Q$38,'[6]inland_taf_hatchgrp_tableraw&amp;yy'!$AC$3:$AC$38,'2013 Table 11 CWTs exp'!$A47)</f>
        <v>0</v>
      </c>
      <c r="R47" s="516">
        <f>SUMIFS('[6]inland_taf_hatchgrp_tableraw&amp;yy'!R$3:R$38,'[6]inland_taf_hatchgrp_tableraw&amp;yy'!$AC$3:$AC$38,'2013 Table 11 CWTs exp'!$A47)</f>
        <v>0</v>
      </c>
      <c r="S47" s="515">
        <f>SUMIFS('[6]inland_taf_hatchgrp_tableraw&amp;yy'!S$3:S$38,'[6]inland_taf_hatchgrp_tableraw&amp;yy'!$AC$3:$AC$38,'2013 Table 11 CWTs exp'!$A47)</f>
        <v>0</v>
      </c>
      <c r="T47" s="515">
        <f>SUMIFS('[6]inland_taf_hatchgrp_tableraw&amp;yy'!T$3:T$38,'[6]inland_taf_hatchgrp_tableraw&amp;yy'!$AC$3:$AC$38,'2013 Table 11 CWTs exp'!$A47)</f>
        <v>72</v>
      </c>
      <c r="U47" s="515">
        <f>SUMIFS('[6]inland_taf_hatchgrp_tableraw&amp;yy'!U$3:U$38,'[6]inland_taf_hatchgrp_tableraw&amp;yy'!$AC$3:$AC$38,'2013 Table 11 CWTs exp'!$A47)</f>
        <v>0</v>
      </c>
      <c r="V47" s="514">
        <f>SUMIFS('[6]inland_taf_hatchgrp_tableraw&amp;yy'!V$3:V$38,'[6]inland_taf_hatchgrp_tableraw&amp;yy'!$AC$3:$AC$38,'2013 Table 11 CWTs exp'!$A47)</f>
        <v>0</v>
      </c>
      <c r="W47" s="516">
        <f>SUMIFS('[6]inland_taf_hatchgrp_tableraw&amp;yy'!W$3:W$38,'[6]inland_taf_hatchgrp_tableraw&amp;yy'!$AC$3:$AC$38,'2013 Table 11 CWTs exp'!$A47)</f>
        <v>0</v>
      </c>
      <c r="X47" s="515">
        <f>SUMIFS('[6]inland_taf_hatchgrp_tableraw&amp;yy'!X$3:X$38,'[6]inland_taf_hatchgrp_tableraw&amp;yy'!$AC$3:$AC$38,'2013 Table 11 CWTs exp'!$A47)</f>
        <v>0</v>
      </c>
      <c r="Y47" s="517">
        <f>SUMIFS('[6]inland_taf_hatchgrp_tableraw&amp;yy'!Y$3:Y$38,'[6]inland_taf_hatchgrp_tableraw&amp;yy'!$AC$3:$AC$38,'2013 Table 11 CWTs exp'!$A47)</f>
        <v>9058</v>
      </c>
      <c r="Z47" s="518">
        <f>SUMIFS('[6]inland_taf_hatchgrp_tableraw&amp;yy'!Z$3:Z$38,'[6]inland_taf_hatchgrp_tableraw&amp;yy'!$AC$3:$AC$38,'2013 Table 11 CWTs exp'!$A47)</f>
        <v>3591</v>
      </c>
      <c r="AA47" s="515">
        <f>SUMIFS('[6]inland_taf_hatchgrp_tableraw&amp;yy'!AA$3:AA$38,'[6]inland_taf_hatchgrp_tableraw&amp;yy'!$AC$3:$AC$38,'2013 Table 11 CWTs exp'!$A47)</f>
        <v>12649</v>
      </c>
      <c r="AB47" s="515"/>
      <c r="AC47" s="566">
        <f>SUMIFS('[6]inland_taf_hatchgrp_tableraw&amp;yy'!AB$3:AB$38,'[6]inland_taf_hatchgrp_tableraw&amp;yy'!$AC$3:$AC$38,'2013 Table 11 CWTs exp'!$A47)</f>
        <v>0.71599999999999997</v>
      </c>
      <c r="AD47" s="551"/>
      <c r="AE47" s="551"/>
      <c r="AF47" s="551"/>
      <c r="AG47" s="553"/>
      <c r="AH47" s="553"/>
      <c r="AI47" s="551"/>
      <c r="AJ47" s="551"/>
      <c r="AK47" s="551"/>
      <c r="AL47" s="551"/>
    </row>
    <row r="48" spans="1:38" ht="14.15" customHeight="1" x14ac:dyDescent="0.25">
      <c r="A48" s="490" t="str">
        <f t="shared" si="23"/>
        <v>AMN463</v>
      </c>
      <c r="B48" s="480" t="s">
        <v>118</v>
      </c>
      <c r="C48" s="480">
        <v>46</v>
      </c>
      <c r="D48" s="480">
        <v>3</v>
      </c>
      <c r="E48" s="482" t="s">
        <v>119</v>
      </c>
      <c r="F48" s="483" t="str">
        <f>LOOKUP(D48,$AJ$5:$AJ$8,$AK$5:$AK$8)</f>
        <v>Fall</v>
      </c>
      <c r="G48" s="513">
        <f>SUMIFS('[6]inland_taf_hatchgrp_tableraw&amp;yy'!G$3:G$38,'[6]inland_taf_hatchgrp_tableraw&amp;yy'!$AC$3:$AC$38,'2013 Table 11 CWTs exp'!$A48)</f>
        <v>0</v>
      </c>
      <c r="H48" s="514">
        <f>SUMIFS('[6]inland_taf_hatchgrp_tableraw&amp;yy'!H$3:H$38,'[6]inland_taf_hatchgrp_tableraw&amp;yy'!$AC$3:$AC$38,'2013 Table 11 CWTs exp'!$A48)</f>
        <v>0</v>
      </c>
      <c r="I48" s="515">
        <f>SUMIFS('[6]inland_taf_hatchgrp_tableraw&amp;yy'!I$3:I$38,'[6]inland_taf_hatchgrp_tableraw&amp;yy'!$AC$3:$AC$38,'2013 Table 11 CWTs exp'!$A48)</f>
        <v>0</v>
      </c>
      <c r="J48" s="516">
        <f>SUMIFS('[6]inland_taf_hatchgrp_tableraw&amp;yy'!J$3:J$38,'[6]inland_taf_hatchgrp_tableraw&amp;yy'!$AC$3:$AC$38,'2013 Table 11 CWTs exp'!$A48)</f>
        <v>944</v>
      </c>
      <c r="K48" s="515">
        <f>SUMIFS('[6]inland_taf_hatchgrp_tableraw&amp;yy'!K$3:K$38,'[6]inland_taf_hatchgrp_tableraw&amp;yy'!$AC$3:$AC$38,'2013 Table 11 CWTs exp'!$A48)</f>
        <v>0</v>
      </c>
      <c r="L48" s="515">
        <f>SUMIFS('[6]inland_taf_hatchgrp_tableraw&amp;yy'!L$3:L$38,'[6]inland_taf_hatchgrp_tableraw&amp;yy'!$AC$3:$AC$38,'2013 Table 11 CWTs exp'!$A48)</f>
        <v>0</v>
      </c>
      <c r="M48" s="515">
        <f>SUMIFS('[6]inland_taf_hatchgrp_tableraw&amp;yy'!M$3:M$38,'[6]inland_taf_hatchgrp_tableraw&amp;yy'!$AC$3:$AC$38,'2013 Table 11 CWTs exp'!$A48)</f>
        <v>0</v>
      </c>
      <c r="N48" s="515">
        <f>SUMIFS('[6]inland_taf_hatchgrp_tableraw&amp;yy'!N$3:N$38,'[6]inland_taf_hatchgrp_tableraw&amp;yy'!$AC$3:$AC$38,'2013 Table 11 CWTs exp'!$A48)</f>
        <v>238</v>
      </c>
      <c r="O48" s="515">
        <f>SUMIFS('[6]inland_taf_hatchgrp_tableraw&amp;yy'!O$3:O$38,'[6]inland_taf_hatchgrp_tableraw&amp;yy'!$AC$3:$AC$38,'2013 Table 11 CWTs exp'!$A48)</f>
        <v>88</v>
      </c>
      <c r="P48" s="515">
        <f>SUMIFS('[6]inland_taf_hatchgrp_tableraw&amp;yy'!P$3:P$38,'[6]inland_taf_hatchgrp_tableraw&amp;yy'!$AC$3:$AC$38,'2013 Table 11 CWTs exp'!$A48)</f>
        <v>0</v>
      </c>
      <c r="Q48" s="514">
        <f>SUMIFS('[6]inland_taf_hatchgrp_tableraw&amp;yy'!Q$3:Q$38,'[6]inland_taf_hatchgrp_tableraw&amp;yy'!$AC$3:$AC$38,'2013 Table 11 CWTs exp'!$A48)</f>
        <v>2784</v>
      </c>
      <c r="R48" s="516">
        <f>SUMIFS('[6]inland_taf_hatchgrp_tableraw&amp;yy'!R$3:R$38,'[6]inland_taf_hatchgrp_tableraw&amp;yy'!$AC$3:$AC$38,'2013 Table 11 CWTs exp'!$A48)</f>
        <v>1089</v>
      </c>
      <c r="S48" s="515">
        <f>SUMIFS('[6]inland_taf_hatchgrp_tableraw&amp;yy'!S$3:S$38,'[6]inland_taf_hatchgrp_tableraw&amp;yy'!$AC$3:$AC$38,'2013 Table 11 CWTs exp'!$A48)</f>
        <v>0</v>
      </c>
      <c r="T48" s="515">
        <f>SUMIFS('[6]inland_taf_hatchgrp_tableraw&amp;yy'!T$3:T$38,'[6]inland_taf_hatchgrp_tableraw&amp;yy'!$AC$3:$AC$38,'2013 Table 11 CWTs exp'!$A48)</f>
        <v>982</v>
      </c>
      <c r="U48" s="515">
        <f>SUMIFS('[6]inland_taf_hatchgrp_tableraw&amp;yy'!U$3:U$38,'[6]inland_taf_hatchgrp_tableraw&amp;yy'!$AC$3:$AC$38,'2013 Table 11 CWTs exp'!$A48)</f>
        <v>118</v>
      </c>
      <c r="V48" s="514">
        <f>SUMIFS('[6]inland_taf_hatchgrp_tableraw&amp;yy'!V$3:V$38,'[6]inland_taf_hatchgrp_tableraw&amp;yy'!$AC$3:$AC$38,'2013 Table 11 CWTs exp'!$A48)</f>
        <v>0</v>
      </c>
      <c r="W48" s="516">
        <f>SUMIFS('[6]inland_taf_hatchgrp_tableraw&amp;yy'!W$3:W$38,'[6]inland_taf_hatchgrp_tableraw&amp;yy'!$AC$3:$AC$38,'2013 Table 11 CWTs exp'!$A48)</f>
        <v>62</v>
      </c>
      <c r="X48" s="515">
        <f>SUMIFS('[6]inland_taf_hatchgrp_tableraw&amp;yy'!X$3:X$38,'[6]inland_taf_hatchgrp_tableraw&amp;yy'!$AC$3:$AC$38,'2013 Table 11 CWTs exp'!$A48)</f>
        <v>0</v>
      </c>
      <c r="Y48" s="517">
        <f>SUMIFS('[6]inland_taf_hatchgrp_tableraw&amp;yy'!Y$3:Y$38,'[6]inland_taf_hatchgrp_tableraw&amp;yy'!$AC$3:$AC$38,'2013 Table 11 CWTs exp'!$A48)</f>
        <v>6304</v>
      </c>
      <c r="Z48" s="518">
        <f>SUMIFS('[6]inland_taf_hatchgrp_tableraw&amp;yy'!Z$3:Z$38,'[6]inland_taf_hatchgrp_tableraw&amp;yy'!$AC$3:$AC$38,'2013 Table 11 CWTs exp'!$A48)</f>
        <v>3663</v>
      </c>
      <c r="AA48" s="515">
        <f>SUMIFS('[6]inland_taf_hatchgrp_tableraw&amp;yy'!AA$3:AA$38,'[6]inland_taf_hatchgrp_tableraw&amp;yy'!$AC$3:$AC$38,'2013 Table 11 CWTs exp'!$A48)</f>
        <v>9967</v>
      </c>
      <c r="AB48" s="515"/>
      <c r="AC48" s="566">
        <f>SUMIFS('[6]inland_taf_hatchgrp_tableraw&amp;yy'!AB$3:AB$38,'[6]inland_taf_hatchgrp_tableraw&amp;yy'!$AC$3:$AC$38,'2013 Table 11 CWTs exp'!$A48)</f>
        <v>0.63200000000000001</v>
      </c>
      <c r="AD48" s="551"/>
      <c r="AE48" s="551"/>
      <c r="AF48" s="551"/>
      <c r="AG48" s="551"/>
      <c r="AH48" s="551"/>
      <c r="AI48" s="551"/>
      <c r="AJ48" s="551"/>
      <c r="AK48" s="551"/>
      <c r="AL48" s="551"/>
    </row>
    <row r="49" spans="1:38" ht="14.15" customHeight="1" x14ac:dyDescent="0.25">
      <c r="A49" s="490" t="str">
        <f t="shared" si="23"/>
        <v>MOKE463</v>
      </c>
      <c r="B49" s="480" t="s">
        <v>90</v>
      </c>
      <c r="C49" s="480">
        <v>46</v>
      </c>
      <c r="D49" s="480">
        <v>3</v>
      </c>
      <c r="E49" s="482" t="s">
        <v>91</v>
      </c>
      <c r="F49" s="483" t="str">
        <f>LOOKUP(D49,$AJ$5:$AJ$8,$AK$5:$AK$8)</f>
        <v>Fall</v>
      </c>
      <c r="G49" s="513">
        <f>SUMIFS('[6]inland_taf_hatchgrp_tableraw&amp;yy'!G$3:G$38,'[6]inland_taf_hatchgrp_tableraw&amp;yy'!$AC$3:$AC$38,'2013 Table 11 CWTs exp'!$A49)</f>
        <v>0</v>
      </c>
      <c r="H49" s="514">
        <f>SUMIFS('[6]inland_taf_hatchgrp_tableraw&amp;yy'!H$3:H$38,'[6]inland_taf_hatchgrp_tableraw&amp;yy'!$AC$3:$AC$38,'2013 Table 11 CWTs exp'!$A49)</f>
        <v>11</v>
      </c>
      <c r="I49" s="515">
        <f>SUMIFS('[6]inland_taf_hatchgrp_tableraw&amp;yy'!I$3:I$38,'[6]inland_taf_hatchgrp_tableraw&amp;yy'!$AC$3:$AC$38,'2013 Table 11 CWTs exp'!$A49)</f>
        <v>0</v>
      </c>
      <c r="J49" s="516">
        <f>SUMIFS('[6]inland_taf_hatchgrp_tableraw&amp;yy'!J$3:J$38,'[6]inland_taf_hatchgrp_tableraw&amp;yy'!$AC$3:$AC$38,'2013 Table 11 CWTs exp'!$A49)</f>
        <v>0</v>
      </c>
      <c r="K49" s="515">
        <f>SUMIFS('[6]inland_taf_hatchgrp_tableraw&amp;yy'!K$3:K$38,'[6]inland_taf_hatchgrp_tableraw&amp;yy'!$AC$3:$AC$38,'2013 Table 11 CWTs exp'!$A49)</f>
        <v>0</v>
      </c>
      <c r="L49" s="515">
        <f>SUMIFS('[6]inland_taf_hatchgrp_tableraw&amp;yy'!L$3:L$38,'[6]inland_taf_hatchgrp_tableraw&amp;yy'!$AC$3:$AC$38,'2013 Table 11 CWTs exp'!$A49)</f>
        <v>0</v>
      </c>
      <c r="M49" s="515">
        <f>SUMIFS('[6]inland_taf_hatchgrp_tableraw&amp;yy'!M$3:M$38,'[6]inland_taf_hatchgrp_tableraw&amp;yy'!$AC$3:$AC$38,'2013 Table 11 CWTs exp'!$A49)</f>
        <v>0</v>
      </c>
      <c r="N49" s="515">
        <f>SUMIFS('[6]inland_taf_hatchgrp_tableraw&amp;yy'!N$3:N$38,'[6]inland_taf_hatchgrp_tableraw&amp;yy'!$AC$3:$AC$38,'2013 Table 11 CWTs exp'!$A49)</f>
        <v>87</v>
      </c>
      <c r="O49" s="515">
        <f>SUMIFS('[6]inland_taf_hatchgrp_tableraw&amp;yy'!O$3:O$38,'[6]inland_taf_hatchgrp_tableraw&amp;yy'!$AC$3:$AC$38,'2013 Table 11 CWTs exp'!$A49)</f>
        <v>0</v>
      </c>
      <c r="P49" s="515">
        <f>SUMIFS('[6]inland_taf_hatchgrp_tableraw&amp;yy'!P$3:P$38,'[6]inland_taf_hatchgrp_tableraw&amp;yy'!$AC$3:$AC$38,'2013 Table 11 CWTs exp'!$A49)</f>
        <v>0</v>
      </c>
      <c r="Q49" s="514">
        <f>SUMIFS('[6]inland_taf_hatchgrp_tableraw&amp;yy'!Q$3:Q$38,'[6]inland_taf_hatchgrp_tableraw&amp;yy'!$AC$3:$AC$38,'2013 Table 11 CWTs exp'!$A49)</f>
        <v>0</v>
      </c>
      <c r="R49" s="516">
        <f>SUMIFS('[6]inland_taf_hatchgrp_tableraw&amp;yy'!R$3:R$38,'[6]inland_taf_hatchgrp_tableraw&amp;yy'!$AC$3:$AC$38,'2013 Table 11 CWTs exp'!$A49)</f>
        <v>43</v>
      </c>
      <c r="S49" s="515">
        <f>SUMIFS('[6]inland_taf_hatchgrp_tableraw&amp;yy'!S$3:S$38,'[6]inland_taf_hatchgrp_tableraw&amp;yy'!$AC$3:$AC$38,'2013 Table 11 CWTs exp'!$A49)</f>
        <v>22</v>
      </c>
      <c r="T49" s="515">
        <f>SUMIFS('[6]inland_taf_hatchgrp_tableraw&amp;yy'!T$3:T$38,'[6]inland_taf_hatchgrp_tableraw&amp;yy'!$AC$3:$AC$38,'2013 Table 11 CWTs exp'!$A49)</f>
        <v>757</v>
      </c>
      <c r="U49" s="515">
        <f>SUMIFS('[6]inland_taf_hatchgrp_tableraw&amp;yy'!U$3:U$38,'[6]inland_taf_hatchgrp_tableraw&amp;yy'!$AC$3:$AC$38,'2013 Table 11 CWTs exp'!$A49)</f>
        <v>129</v>
      </c>
      <c r="V49" s="514">
        <f>SUMIFS('[6]inland_taf_hatchgrp_tableraw&amp;yy'!V$3:V$38,'[6]inland_taf_hatchgrp_tableraw&amp;yy'!$AC$3:$AC$38,'2013 Table 11 CWTs exp'!$A49)</f>
        <v>0</v>
      </c>
      <c r="W49" s="516">
        <f>SUMIFS('[6]inland_taf_hatchgrp_tableraw&amp;yy'!W$3:W$38,'[6]inland_taf_hatchgrp_tableraw&amp;yy'!$AC$3:$AC$38,'2013 Table 11 CWTs exp'!$A49)</f>
        <v>0</v>
      </c>
      <c r="X49" s="515">
        <f>SUMIFS('[6]inland_taf_hatchgrp_tableraw&amp;yy'!X$3:X$38,'[6]inland_taf_hatchgrp_tableraw&amp;yy'!$AC$3:$AC$38,'2013 Table 11 CWTs exp'!$A49)</f>
        <v>0</v>
      </c>
      <c r="Y49" s="517">
        <f>SUMIFS('[6]inland_taf_hatchgrp_tableraw&amp;yy'!Y$3:Y$38,'[6]inland_taf_hatchgrp_tableraw&amp;yy'!$AC$3:$AC$38,'2013 Table 11 CWTs exp'!$A49)</f>
        <v>1049</v>
      </c>
      <c r="Z49" s="518">
        <f>SUMIFS('[6]inland_taf_hatchgrp_tableraw&amp;yy'!Z$3:Z$38,'[6]inland_taf_hatchgrp_tableraw&amp;yy'!$AC$3:$AC$38,'2013 Table 11 CWTs exp'!$A49)</f>
        <v>190</v>
      </c>
      <c r="AA49" s="515">
        <f>SUMIFS('[6]inland_taf_hatchgrp_tableraw&amp;yy'!AA$3:AA$38,'[6]inland_taf_hatchgrp_tableraw&amp;yy'!$AC$3:$AC$38,'2013 Table 11 CWTs exp'!$A49)</f>
        <v>1239</v>
      </c>
      <c r="AB49" s="515"/>
      <c r="AC49" s="566">
        <f>SUMIFS('[6]inland_taf_hatchgrp_tableraw&amp;yy'!AB$3:AB$38,'[6]inland_taf_hatchgrp_tableraw&amp;yy'!$AC$3:$AC$38,'2013 Table 11 CWTs exp'!$A49)</f>
        <v>0.84699999999999998</v>
      </c>
      <c r="AD49" s="551"/>
      <c r="AE49" s="551"/>
      <c r="AF49" s="551"/>
      <c r="AG49" s="551"/>
      <c r="AH49" s="551"/>
      <c r="AI49" s="551"/>
      <c r="AJ49" s="551"/>
      <c r="AK49" s="551"/>
      <c r="AL49" s="551"/>
    </row>
    <row r="50" spans="1:38" ht="14.15" customHeight="1" x14ac:dyDescent="0.25">
      <c r="A50" s="490" t="str">
        <f t="shared" si="23"/>
        <v>USAC467</v>
      </c>
      <c r="B50" s="480" t="s">
        <v>64</v>
      </c>
      <c r="C50" s="480">
        <v>46</v>
      </c>
      <c r="D50" s="480">
        <v>7</v>
      </c>
      <c r="E50" s="482" t="s">
        <v>114</v>
      </c>
      <c r="F50" s="498" t="s">
        <v>57</v>
      </c>
      <c r="G50" s="513">
        <f>SUMIFS('[6]inland_taf_hatchgrp_tableraw&amp;yy'!G$3:G$38,'[6]inland_taf_hatchgrp_tableraw&amp;yy'!$AC$3:$AC$38,'2013 Table 11 CWTs exp'!$A50)</f>
        <v>0</v>
      </c>
      <c r="H50" s="514">
        <f>SUMIFS('[6]inland_taf_hatchgrp_tableraw&amp;yy'!H$3:H$38,'[6]inland_taf_hatchgrp_tableraw&amp;yy'!$AC$3:$AC$38,'2013 Table 11 CWTs exp'!$A50)</f>
        <v>737</v>
      </c>
      <c r="I50" s="515">
        <f>SUMIFS('[6]inland_taf_hatchgrp_tableraw&amp;yy'!I$3:I$38,'[6]inland_taf_hatchgrp_tableraw&amp;yy'!$AC$3:$AC$38,'2013 Table 11 CWTs exp'!$A50)</f>
        <v>0</v>
      </c>
      <c r="J50" s="516">
        <f>SUMIFS('[6]inland_taf_hatchgrp_tableraw&amp;yy'!J$3:J$38,'[6]inland_taf_hatchgrp_tableraw&amp;yy'!$AC$3:$AC$38,'2013 Table 11 CWTs exp'!$A50)</f>
        <v>0</v>
      </c>
      <c r="K50" s="515">
        <f>SUMIFS('[6]inland_taf_hatchgrp_tableraw&amp;yy'!K$3:K$38,'[6]inland_taf_hatchgrp_tableraw&amp;yy'!$AC$3:$AC$38,'2013 Table 11 CWTs exp'!$A50)</f>
        <v>0</v>
      </c>
      <c r="L50" s="515">
        <f>SUMIFS('[6]inland_taf_hatchgrp_tableraw&amp;yy'!L$3:L$38,'[6]inland_taf_hatchgrp_tableraw&amp;yy'!$AC$3:$AC$38,'2013 Table 11 CWTs exp'!$A50)</f>
        <v>0</v>
      </c>
      <c r="M50" s="515">
        <f>SUMIFS('[6]inland_taf_hatchgrp_tableraw&amp;yy'!M$3:M$38,'[6]inland_taf_hatchgrp_tableraw&amp;yy'!$AC$3:$AC$38,'2013 Table 11 CWTs exp'!$A50)</f>
        <v>0</v>
      </c>
      <c r="N50" s="515">
        <f>SUMIFS('[6]inland_taf_hatchgrp_tableraw&amp;yy'!N$3:N$38,'[6]inland_taf_hatchgrp_tableraw&amp;yy'!$AC$3:$AC$38,'2013 Table 11 CWTs exp'!$A50)</f>
        <v>0</v>
      </c>
      <c r="O50" s="515">
        <f>SUMIFS('[6]inland_taf_hatchgrp_tableraw&amp;yy'!O$3:O$38,'[6]inland_taf_hatchgrp_tableraw&amp;yy'!$AC$3:$AC$38,'2013 Table 11 CWTs exp'!$A50)</f>
        <v>0</v>
      </c>
      <c r="P50" s="515">
        <f>SUMIFS('[6]inland_taf_hatchgrp_tableraw&amp;yy'!P$3:P$38,'[6]inland_taf_hatchgrp_tableraw&amp;yy'!$AC$3:$AC$38,'2013 Table 11 CWTs exp'!$A50)</f>
        <v>0</v>
      </c>
      <c r="Q50" s="514">
        <f>SUMIFS('[6]inland_taf_hatchgrp_tableraw&amp;yy'!Q$3:Q$38,'[6]inland_taf_hatchgrp_tableraw&amp;yy'!$AC$3:$AC$38,'2013 Table 11 CWTs exp'!$A50)</f>
        <v>0</v>
      </c>
      <c r="R50" s="516">
        <f>SUMIFS('[6]inland_taf_hatchgrp_tableraw&amp;yy'!R$3:R$38,'[6]inland_taf_hatchgrp_tableraw&amp;yy'!$AC$3:$AC$38,'2013 Table 11 CWTs exp'!$A50)</f>
        <v>0</v>
      </c>
      <c r="S50" s="515">
        <f>SUMIFS('[6]inland_taf_hatchgrp_tableraw&amp;yy'!S$3:S$38,'[6]inland_taf_hatchgrp_tableraw&amp;yy'!$AC$3:$AC$38,'2013 Table 11 CWTs exp'!$A50)</f>
        <v>0</v>
      </c>
      <c r="T50" s="515">
        <f>SUMIFS('[6]inland_taf_hatchgrp_tableraw&amp;yy'!T$3:T$38,'[6]inland_taf_hatchgrp_tableraw&amp;yy'!$AC$3:$AC$38,'2013 Table 11 CWTs exp'!$A50)</f>
        <v>11</v>
      </c>
      <c r="U50" s="515">
        <f>SUMIFS('[6]inland_taf_hatchgrp_tableraw&amp;yy'!U$3:U$38,'[6]inland_taf_hatchgrp_tableraw&amp;yy'!$AC$3:$AC$38,'2013 Table 11 CWTs exp'!$A50)</f>
        <v>0</v>
      </c>
      <c r="V50" s="514">
        <f>SUMIFS('[6]inland_taf_hatchgrp_tableraw&amp;yy'!V$3:V$38,'[6]inland_taf_hatchgrp_tableraw&amp;yy'!$AC$3:$AC$38,'2013 Table 11 CWTs exp'!$A50)</f>
        <v>0</v>
      </c>
      <c r="W50" s="516">
        <f>SUMIFS('[6]inland_taf_hatchgrp_tableraw&amp;yy'!W$3:W$38,'[6]inland_taf_hatchgrp_tableraw&amp;yy'!$AC$3:$AC$38,'2013 Table 11 CWTs exp'!$A50)</f>
        <v>0</v>
      </c>
      <c r="X50" s="515">
        <f>SUMIFS('[6]inland_taf_hatchgrp_tableraw&amp;yy'!X$3:X$38,'[6]inland_taf_hatchgrp_tableraw&amp;yy'!$AC$3:$AC$38,'2013 Table 11 CWTs exp'!$A50)</f>
        <v>0</v>
      </c>
      <c r="Y50" s="517">
        <f>SUMIFS('[6]inland_taf_hatchgrp_tableraw&amp;yy'!Y$3:Y$38,'[6]inland_taf_hatchgrp_tableraw&amp;yy'!$AC$3:$AC$38,'2013 Table 11 CWTs exp'!$A50)</f>
        <v>748</v>
      </c>
      <c r="Z50" s="518">
        <f>SUMIFS('[6]inland_taf_hatchgrp_tableraw&amp;yy'!Z$3:Z$38,'[6]inland_taf_hatchgrp_tableraw&amp;yy'!$AC$3:$AC$38,'2013 Table 11 CWTs exp'!$A50)</f>
        <v>517</v>
      </c>
      <c r="AA50" s="515">
        <f>SUMIFS('[6]inland_taf_hatchgrp_tableraw&amp;yy'!AA$3:AA$38,'[6]inland_taf_hatchgrp_tableraw&amp;yy'!$AC$3:$AC$38,'2013 Table 11 CWTs exp'!$A50)</f>
        <v>1265</v>
      </c>
      <c r="AB50" s="515"/>
      <c r="AC50" s="566">
        <f>SUMIFS('[6]inland_taf_hatchgrp_tableraw&amp;yy'!AB$3:AB$38,'[6]inland_taf_hatchgrp_tableraw&amp;yy'!$AC$3:$AC$38,'2013 Table 11 CWTs exp'!$A50)</f>
        <v>0.59099999999999997</v>
      </c>
      <c r="AD50" s="561">
        <f>SUM(Y45:Y50)</f>
        <v>43962</v>
      </c>
      <c r="AE50" s="561">
        <f>SUM(Z45:Z50)</f>
        <v>22594</v>
      </c>
      <c r="AF50" s="561">
        <f>SUM(AA45:AA50)</f>
        <v>66556</v>
      </c>
      <c r="AG50" s="551"/>
      <c r="AH50" s="551"/>
      <c r="AI50" s="551"/>
      <c r="AJ50" s="551"/>
      <c r="AK50" s="551"/>
      <c r="AL50" s="551"/>
    </row>
    <row r="51" spans="1:38" ht="14.15" customHeight="1" x14ac:dyDescent="0.25">
      <c r="A51" s="490"/>
      <c r="B51" s="480"/>
      <c r="C51" s="480"/>
      <c r="D51" s="480"/>
      <c r="F51" s="531" t="s">
        <v>120</v>
      </c>
      <c r="G51" s="532"/>
      <c r="H51" s="533">
        <f t="shared" ref="H51:AA51" si="24">SUM(H45:H50)</f>
        <v>1547</v>
      </c>
      <c r="I51" s="507">
        <f t="shared" si="24"/>
        <v>13413</v>
      </c>
      <c r="J51" s="534">
        <f t="shared" si="24"/>
        <v>2656</v>
      </c>
      <c r="K51" s="507">
        <f t="shared" si="24"/>
        <v>291</v>
      </c>
      <c r="L51" s="507">
        <f t="shared" si="24"/>
        <v>236</v>
      </c>
      <c r="M51" s="507">
        <f t="shared" si="24"/>
        <v>54</v>
      </c>
      <c r="N51" s="507">
        <f t="shared" si="24"/>
        <v>14913</v>
      </c>
      <c r="O51" s="507">
        <f t="shared" si="24"/>
        <v>277</v>
      </c>
      <c r="P51" s="507">
        <f t="shared" si="24"/>
        <v>205</v>
      </c>
      <c r="Q51" s="533">
        <f t="shared" si="24"/>
        <v>4739</v>
      </c>
      <c r="R51" s="534">
        <f t="shared" si="24"/>
        <v>2200</v>
      </c>
      <c r="S51" s="507">
        <f t="shared" si="24"/>
        <v>22</v>
      </c>
      <c r="T51" s="507">
        <f t="shared" si="24"/>
        <v>2809</v>
      </c>
      <c r="U51" s="507">
        <f t="shared" si="24"/>
        <v>478</v>
      </c>
      <c r="V51" s="533">
        <f t="shared" si="24"/>
        <v>0</v>
      </c>
      <c r="W51" s="534">
        <f t="shared" si="24"/>
        <v>124</v>
      </c>
      <c r="X51" s="507">
        <f t="shared" si="24"/>
        <v>0</v>
      </c>
      <c r="Y51" s="535">
        <f t="shared" si="24"/>
        <v>43962</v>
      </c>
      <c r="Z51" s="536">
        <f t="shared" si="24"/>
        <v>22594</v>
      </c>
      <c r="AA51" s="507">
        <f t="shared" si="24"/>
        <v>66556</v>
      </c>
      <c r="AB51" s="515"/>
      <c r="AC51" s="566"/>
      <c r="AD51" s="561"/>
      <c r="AE51" s="561"/>
      <c r="AF51" s="561"/>
      <c r="AG51" s="551"/>
      <c r="AH51" s="551"/>
      <c r="AI51" s="551"/>
      <c r="AJ51" s="551"/>
      <c r="AK51" s="551"/>
      <c r="AL51" s="551"/>
    </row>
    <row r="52" spans="1:38" ht="2.5" customHeight="1" x14ac:dyDescent="0.3">
      <c r="A52" s="490"/>
      <c r="B52" s="466"/>
      <c r="C52" s="466"/>
      <c r="D52" s="466"/>
      <c r="E52" s="537"/>
      <c r="F52" s="537"/>
      <c r="G52" s="538"/>
      <c r="H52" s="539"/>
      <c r="I52" s="540"/>
      <c r="J52" s="541"/>
      <c r="K52" s="540"/>
      <c r="L52" s="540"/>
      <c r="M52" s="540"/>
      <c r="N52" s="540"/>
      <c r="O52" s="540"/>
      <c r="P52" s="540"/>
      <c r="Q52" s="539"/>
      <c r="R52" s="541"/>
      <c r="S52" s="540"/>
      <c r="T52" s="540"/>
      <c r="U52" s="540"/>
      <c r="V52" s="539"/>
      <c r="W52" s="541"/>
      <c r="X52" s="540"/>
      <c r="Y52" s="542"/>
      <c r="Z52" s="543"/>
      <c r="AA52" s="540"/>
      <c r="AB52" s="456"/>
      <c r="AC52" s="589"/>
      <c r="AD52" s="551"/>
      <c r="AE52" s="551"/>
      <c r="AF52" s="551"/>
      <c r="AG52" s="551"/>
      <c r="AH52" s="551"/>
      <c r="AI52" s="551"/>
      <c r="AJ52" s="551"/>
      <c r="AK52" s="551"/>
      <c r="AL52" s="551"/>
    </row>
    <row r="53" spans="1:38" s="482" customFormat="1" ht="13.5" customHeight="1" x14ac:dyDescent="0.25">
      <c r="A53" s="544"/>
      <c r="B53" s="489"/>
      <c r="C53" s="489"/>
      <c r="D53" s="489"/>
      <c r="E53" s="545" t="s">
        <v>240</v>
      </c>
      <c r="F53" s="546"/>
      <c r="G53" s="547"/>
      <c r="H53" s="546"/>
      <c r="I53" s="546"/>
      <c r="J53" s="546"/>
      <c r="K53" s="546"/>
      <c r="L53" s="546"/>
      <c r="M53" s="546"/>
      <c r="N53" s="546"/>
      <c r="O53" s="546"/>
      <c r="P53" s="546"/>
      <c r="Q53" s="546"/>
      <c r="R53" s="546"/>
      <c r="S53" s="546"/>
      <c r="T53" s="546"/>
      <c r="U53" s="546"/>
      <c r="V53" s="546"/>
      <c r="W53" s="546"/>
      <c r="X53" s="546"/>
      <c r="Y53" s="546"/>
      <c r="Z53" s="546"/>
      <c r="AA53" s="546"/>
      <c r="AB53" s="548"/>
      <c r="AC53" s="590"/>
      <c r="AD53" s="569"/>
      <c r="AE53" s="569"/>
      <c r="AF53" s="569"/>
      <c r="AG53" s="569"/>
      <c r="AH53" s="569"/>
      <c r="AI53" s="569"/>
      <c r="AJ53" s="569"/>
      <c r="AK53" s="569"/>
      <c r="AL53" s="569"/>
    </row>
    <row r="54" spans="1:38" s="482" customFormat="1" ht="13.5" customHeight="1" x14ac:dyDescent="0.25">
      <c r="A54" s="549"/>
      <c r="B54" s="521"/>
      <c r="C54" s="489"/>
      <c r="D54" s="489"/>
      <c r="E54" s="735" t="s">
        <v>250</v>
      </c>
      <c r="F54" s="735"/>
      <c r="G54" s="735"/>
      <c r="H54" s="735"/>
      <c r="I54" s="735"/>
      <c r="J54" s="735"/>
      <c r="K54" s="735"/>
      <c r="L54" s="735"/>
      <c r="M54" s="735"/>
      <c r="N54" s="735"/>
      <c r="O54" s="735"/>
      <c r="P54" s="735"/>
      <c r="AC54" s="570"/>
      <c r="AD54" s="571">
        <f>AD50+AD37+AD14</f>
        <v>383023.60540215572</v>
      </c>
      <c r="AE54" s="571">
        <f>AE50+AE37+AE14</f>
        <v>160425.39459784428</v>
      </c>
      <c r="AF54" s="571">
        <f>AF50+AF37+AF14</f>
        <v>543449</v>
      </c>
      <c r="AG54" s="569" t="s">
        <v>212</v>
      </c>
      <c r="AH54" s="569"/>
      <c r="AI54" s="569"/>
      <c r="AJ54" s="569"/>
      <c r="AK54" s="569"/>
      <c r="AL54" s="569"/>
    </row>
    <row r="55" spans="1:38" s="482" customFormat="1" ht="13.5" hidden="1" customHeight="1" x14ac:dyDescent="0.25">
      <c r="A55" s="549"/>
      <c r="B55" s="489"/>
      <c r="C55" s="489"/>
      <c r="D55" s="489"/>
      <c r="E55" s="550" t="s">
        <v>142</v>
      </c>
      <c r="F55" s="550"/>
      <c r="G55" s="550"/>
      <c r="H55" s="550"/>
      <c r="I55" s="550"/>
      <c r="J55" s="550"/>
      <c r="K55" s="550"/>
      <c r="L55" s="550"/>
      <c r="M55" s="550"/>
      <c r="N55" s="550"/>
      <c r="O55" s="550"/>
      <c r="P55" s="550"/>
      <c r="AC55" s="569"/>
      <c r="AD55" s="569"/>
      <c r="AE55" s="569"/>
      <c r="AF55" s="569"/>
      <c r="AG55" s="569"/>
      <c r="AH55" s="569"/>
      <c r="AI55" s="569"/>
      <c r="AJ55" s="569"/>
      <c r="AK55" s="569"/>
      <c r="AL55" s="569"/>
    </row>
    <row r="56" spans="1:38" s="482" customFormat="1" ht="13.5" customHeight="1" x14ac:dyDescent="0.25">
      <c r="A56" s="549"/>
      <c r="B56" s="489"/>
      <c r="C56" s="489"/>
      <c r="D56" s="489"/>
      <c r="E56" s="482" t="s">
        <v>225</v>
      </c>
      <c r="F56" s="489"/>
      <c r="G56" s="489"/>
      <c r="AC56" s="571"/>
      <c r="AD56" s="571"/>
      <c r="AE56" s="571"/>
      <c r="AF56" s="571"/>
      <c r="AG56" s="569"/>
      <c r="AH56" s="569"/>
      <c r="AI56" s="569"/>
      <c r="AJ56" s="569"/>
      <c r="AK56" s="569"/>
      <c r="AL56" s="569"/>
    </row>
    <row r="57" spans="1:38" x14ac:dyDescent="0.25">
      <c r="A57" s="468"/>
      <c r="AC57" s="551"/>
      <c r="AD57" s="551"/>
      <c r="AE57" s="551"/>
      <c r="AF57" s="551"/>
      <c r="AG57" s="551"/>
      <c r="AH57" s="551"/>
      <c r="AI57" s="551"/>
      <c r="AJ57" s="551"/>
      <c r="AK57" s="551"/>
      <c r="AL57" s="551"/>
    </row>
    <row r="58" spans="1:38" x14ac:dyDescent="0.25">
      <c r="A58" s="468"/>
      <c r="AC58" s="551"/>
      <c r="AD58" s="551"/>
      <c r="AE58" s="551"/>
      <c r="AF58" s="551"/>
      <c r="AG58" s="551"/>
      <c r="AH58" s="551"/>
      <c r="AI58" s="551"/>
      <c r="AJ58" s="551"/>
      <c r="AK58" s="551"/>
      <c r="AL58" s="551"/>
    </row>
    <row r="59" spans="1:38" x14ac:dyDescent="0.25">
      <c r="A59" s="468"/>
      <c r="E59" s="551"/>
      <c r="F59" s="551"/>
      <c r="G59" s="574"/>
      <c r="H59" s="551"/>
      <c r="I59" s="551"/>
      <c r="J59" s="551"/>
      <c r="K59" s="551"/>
      <c r="L59" s="551"/>
      <c r="M59" s="551"/>
      <c r="N59" s="551"/>
      <c r="O59" s="551"/>
      <c r="P59" s="551"/>
      <c r="Q59" s="551"/>
      <c r="R59" s="551"/>
      <c r="S59" s="551"/>
      <c r="T59" s="551"/>
      <c r="U59" s="551"/>
      <c r="V59" s="551"/>
      <c r="W59" s="551"/>
      <c r="X59" s="551"/>
      <c r="Y59" s="561" t="e">
        <f>#REF!+Y38+Y15</f>
        <v>#REF!</v>
      </c>
      <c r="Z59" s="551"/>
      <c r="AA59" s="561" t="e">
        <f>#REF!+AA38+AA15</f>
        <v>#REF!</v>
      </c>
      <c r="AB59" s="551"/>
      <c r="AC59" s="445" t="e">
        <f>Y59/AA59</f>
        <v>#REF!</v>
      </c>
      <c r="AD59" s="445"/>
      <c r="AE59" s="445"/>
      <c r="AF59" s="551"/>
      <c r="AG59" s="551"/>
      <c r="AH59" s="551"/>
      <c r="AI59" s="551"/>
      <c r="AJ59" s="551"/>
      <c r="AK59" s="551"/>
      <c r="AL59" s="551"/>
    </row>
    <row r="60" spans="1:38" ht="15" x14ac:dyDescent="0.3">
      <c r="A60" s="468"/>
      <c r="E60" s="551"/>
      <c r="F60" s="551"/>
      <c r="G60" s="580"/>
      <c r="H60" s="736" t="s">
        <v>40</v>
      </c>
      <c r="I60" s="736"/>
      <c r="J60" s="736"/>
      <c r="K60" s="736" t="s">
        <v>2</v>
      </c>
      <c r="L60" s="737"/>
      <c r="M60" s="737"/>
      <c r="N60" s="737"/>
      <c r="O60" s="737"/>
      <c r="P60" s="737"/>
      <c r="Q60" s="736" t="s">
        <v>246</v>
      </c>
      <c r="R60" s="736"/>
      <c r="S60" s="581"/>
      <c r="T60" s="582" t="s">
        <v>4</v>
      </c>
      <c r="U60" s="581"/>
      <c r="V60" s="736" t="s">
        <v>5</v>
      </c>
      <c r="W60" s="736"/>
      <c r="X60" s="583"/>
      <c r="Y60" s="733" t="s">
        <v>373</v>
      </c>
      <c r="Z60" s="733"/>
      <c r="AA60" s="584" t="s">
        <v>9</v>
      </c>
      <c r="AB60" s="551"/>
      <c r="AC60" s="551"/>
      <c r="AD60" s="551"/>
      <c r="AE60" s="551"/>
      <c r="AF60" s="551"/>
      <c r="AG60" s="551"/>
      <c r="AH60" s="568" t="s">
        <v>9</v>
      </c>
      <c r="AI60" s="568" t="s">
        <v>251</v>
      </c>
      <c r="AJ60" s="568" t="s">
        <v>168</v>
      </c>
      <c r="AK60" s="568" t="s">
        <v>252</v>
      </c>
      <c r="AL60" s="551"/>
    </row>
    <row r="61" spans="1:38" ht="13" x14ac:dyDescent="0.3">
      <c r="A61" s="468"/>
      <c r="E61" s="551"/>
      <c r="F61" s="551"/>
      <c r="G61" s="588" t="s">
        <v>19</v>
      </c>
      <c r="H61" s="585" t="s">
        <v>159</v>
      </c>
      <c r="I61" s="585" t="s">
        <v>160</v>
      </c>
      <c r="J61" s="585" t="s">
        <v>22</v>
      </c>
      <c r="K61" s="585" t="s">
        <v>23</v>
      </c>
      <c r="L61" s="585" t="s">
        <v>183</v>
      </c>
      <c r="M61" s="585" t="s">
        <v>253</v>
      </c>
      <c r="N61" s="585" t="s">
        <v>25</v>
      </c>
      <c r="O61" s="585" t="s">
        <v>184</v>
      </c>
      <c r="P61" s="585" t="s">
        <v>233</v>
      </c>
      <c r="Q61" s="585" t="s">
        <v>27</v>
      </c>
      <c r="R61" s="585" t="s">
        <v>28</v>
      </c>
      <c r="S61" s="585" t="s">
        <v>29</v>
      </c>
      <c r="T61" s="585" t="s">
        <v>30</v>
      </c>
      <c r="U61" s="585" t="s">
        <v>234</v>
      </c>
      <c r="V61" s="585" t="s">
        <v>33</v>
      </c>
      <c r="W61" s="585" t="s">
        <v>207</v>
      </c>
      <c r="X61" s="586" t="s">
        <v>198</v>
      </c>
      <c r="Y61" s="585" t="s">
        <v>36</v>
      </c>
      <c r="Z61" s="585" t="s">
        <v>37</v>
      </c>
      <c r="AA61" s="584" t="s">
        <v>18</v>
      </c>
      <c r="AB61" s="551"/>
      <c r="AC61" s="551"/>
      <c r="AD61" s="551"/>
      <c r="AE61" s="551"/>
      <c r="AF61" s="551"/>
      <c r="AG61" s="551" t="s">
        <v>160</v>
      </c>
      <c r="AH61" s="572">
        <v>94974.108315082805</v>
      </c>
      <c r="AI61" s="572">
        <v>3758</v>
      </c>
      <c r="AJ61" s="573">
        <f t="shared" ref="AJ61:AJ79" si="25">AI61/AH61</f>
        <v>3.9568678944924544E-2</v>
      </c>
      <c r="AK61" s="572">
        <v>91216.108315082805</v>
      </c>
      <c r="AL61" s="551"/>
    </row>
    <row r="62" spans="1:38" x14ac:dyDescent="0.25">
      <c r="A62" s="468"/>
      <c r="E62" s="551"/>
      <c r="F62" s="551"/>
      <c r="G62" s="574"/>
      <c r="H62" s="587">
        <f>(H45+H46+H50)/H51</f>
        <v>0.9928894634776988</v>
      </c>
      <c r="I62" s="587">
        <f>(I45+I46+I50)/I51</f>
        <v>0.99463207336166404</v>
      </c>
      <c r="J62" s="587">
        <f>(J45+J46+J50)/J51</f>
        <v>0.4006024096385542</v>
      </c>
      <c r="K62" s="551"/>
      <c r="L62" s="551"/>
      <c r="M62" s="551"/>
      <c r="N62" s="551"/>
      <c r="O62" s="551"/>
      <c r="P62" s="551"/>
      <c r="Q62" s="551"/>
      <c r="R62" s="551"/>
      <c r="S62" s="551"/>
      <c r="T62" s="551"/>
      <c r="U62" s="551"/>
      <c r="V62" s="551"/>
      <c r="W62" s="551"/>
      <c r="X62" s="551"/>
      <c r="Y62" s="551"/>
      <c r="Z62" s="551"/>
      <c r="AA62" s="551"/>
      <c r="AB62" s="551"/>
      <c r="AC62" s="551"/>
      <c r="AD62" s="551"/>
      <c r="AE62" s="551"/>
      <c r="AF62" s="551"/>
      <c r="AG62" s="551" t="s">
        <v>22</v>
      </c>
      <c r="AH62" s="572">
        <v>10563.611414093701</v>
      </c>
      <c r="AI62" s="572">
        <v>8247</v>
      </c>
      <c r="AJ62" s="573">
        <f t="shared" si="25"/>
        <v>0.78069891789062429</v>
      </c>
      <c r="AK62" s="572">
        <v>2316.6114140937002</v>
      </c>
      <c r="AL62" s="551"/>
    </row>
    <row r="63" spans="1:38" x14ac:dyDescent="0.25">
      <c r="A63" s="468"/>
      <c r="E63" s="551"/>
      <c r="F63" s="551"/>
      <c r="G63" s="574"/>
      <c r="H63" s="551"/>
      <c r="I63" s="551"/>
      <c r="J63" s="551"/>
      <c r="K63" s="551"/>
      <c r="L63" s="551"/>
      <c r="M63" s="551"/>
      <c r="N63" s="551"/>
      <c r="O63" s="551"/>
      <c r="P63" s="551"/>
      <c r="Q63" s="551"/>
      <c r="R63" s="551"/>
      <c r="S63" s="551"/>
      <c r="T63" s="551"/>
      <c r="U63" s="551"/>
      <c r="V63" s="551"/>
      <c r="W63" s="551"/>
      <c r="X63" s="551"/>
      <c r="Y63" s="551"/>
      <c r="Z63" s="551"/>
      <c r="AA63" s="551"/>
      <c r="AB63" s="578">
        <f>SUM(AB17:AB37,AB5:AB14)-AB62</f>
        <v>0</v>
      </c>
      <c r="AC63" s="561"/>
      <c r="AD63" s="551"/>
      <c r="AE63" s="551"/>
      <c r="AF63" s="551"/>
      <c r="AG63" s="551" t="s">
        <v>253</v>
      </c>
      <c r="AH63" s="572">
        <v>172.81428837262564</v>
      </c>
      <c r="AI63" s="572">
        <v>39.81428837262564</v>
      </c>
      <c r="AJ63" s="573">
        <f t="shared" si="25"/>
        <v>0.23038771126827934</v>
      </c>
      <c r="AK63" s="572">
        <v>133</v>
      </c>
      <c r="AL63" s="551"/>
    </row>
    <row r="64" spans="1:38" x14ac:dyDescent="0.25">
      <c r="A64" s="468"/>
      <c r="E64" s="551"/>
      <c r="F64" s="551"/>
      <c r="G64" s="574"/>
      <c r="H64" s="551"/>
      <c r="I64" s="551"/>
      <c r="J64" s="551"/>
      <c r="K64" s="551"/>
      <c r="L64" s="551"/>
      <c r="M64" s="551"/>
      <c r="N64" s="551"/>
      <c r="O64" s="551"/>
      <c r="P64" s="551"/>
      <c r="Q64" s="551"/>
      <c r="R64" s="551"/>
      <c r="S64" s="551"/>
      <c r="T64" s="551"/>
      <c r="U64" s="551"/>
      <c r="V64" s="551"/>
      <c r="W64" s="551"/>
      <c r="X64" s="551"/>
      <c r="Y64" s="551"/>
      <c r="Z64" s="551"/>
      <c r="AA64" s="551"/>
      <c r="AB64" s="449">
        <f>Y42/AA42</f>
        <v>0.71098046186913144</v>
      </c>
      <c r="AC64" s="551"/>
      <c r="AD64" s="551"/>
      <c r="AE64" s="551"/>
      <c r="AF64" s="551"/>
      <c r="AG64" s="551" t="s">
        <v>25</v>
      </c>
      <c r="AH64" s="572">
        <v>133145.33616753266</v>
      </c>
      <c r="AI64" s="572">
        <v>11894.33616753266</v>
      </c>
      <c r="AJ64" s="573">
        <f t="shared" si="25"/>
        <v>8.9333479563763196E-2</v>
      </c>
      <c r="AK64" s="572">
        <v>121251</v>
      </c>
      <c r="AL64" s="551"/>
    </row>
    <row r="65" spans="1:38" x14ac:dyDescent="0.25">
      <c r="A65" s="468"/>
      <c r="E65" s="551"/>
      <c r="F65" s="551"/>
      <c r="G65" s="574"/>
      <c r="H65" s="551"/>
      <c r="I65" s="551"/>
      <c r="J65" s="551"/>
      <c r="K65" s="551"/>
      <c r="L65" s="551"/>
      <c r="M65" s="551"/>
      <c r="N65" s="551"/>
      <c r="O65" s="551"/>
      <c r="P65" s="551"/>
      <c r="Q65" s="551"/>
      <c r="R65" s="551"/>
      <c r="S65" s="551"/>
      <c r="T65" s="551"/>
      <c r="U65" s="551"/>
      <c r="V65" s="551"/>
      <c r="W65" s="551"/>
      <c r="X65" s="551"/>
      <c r="Y65" s="551"/>
      <c r="Z65" s="551"/>
      <c r="AA65" s="551"/>
      <c r="AB65" s="449"/>
      <c r="AC65" s="551"/>
      <c r="AD65" s="551"/>
      <c r="AE65" s="551"/>
      <c r="AF65" s="551"/>
      <c r="AG65" s="551" t="s">
        <v>184</v>
      </c>
      <c r="AH65" s="572">
        <v>751.80358139734619</v>
      </c>
      <c r="AI65" s="572">
        <v>121.80358139734619</v>
      </c>
      <c r="AJ65" s="573">
        <f t="shared" si="25"/>
        <v>0.16201516514586817</v>
      </c>
      <c r="AK65" s="572">
        <v>630</v>
      </c>
      <c r="AL65" s="551"/>
    </row>
    <row r="66" spans="1:38" x14ac:dyDescent="0.25">
      <c r="A66" s="468"/>
      <c r="E66" s="551"/>
      <c r="F66" s="551"/>
      <c r="G66" s="574"/>
      <c r="H66" s="551"/>
      <c r="I66" s="551"/>
      <c r="J66" s="551"/>
      <c r="K66" s="551"/>
      <c r="L66" s="551"/>
      <c r="M66" s="551"/>
      <c r="N66" s="551"/>
      <c r="O66" s="551"/>
      <c r="P66" s="551"/>
      <c r="Q66" s="551"/>
      <c r="R66" s="551"/>
      <c r="S66" s="551"/>
      <c r="T66" s="551"/>
      <c r="U66" s="551"/>
      <c r="V66" s="551"/>
      <c r="W66" s="551"/>
      <c r="X66" s="551"/>
      <c r="Y66" s="551"/>
      <c r="Z66" s="551"/>
      <c r="AA66" s="551"/>
      <c r="AB66" s="551"/>
      <c r="AC66" s="551"/>
      <c r="AD66" s="551"/>
      <c r="AE66" s="551"/>
      <c r="AF66" s="551"/>
      <c r="AG66" s="551" t="s">
        <v>233</v>
      </c>
      <c r="AH66" s="572">
        <v>708.17500465209491</v>
      </c>
      <c r="AI66" s="572">
        <v>93.175004652094913</v>
      </c>
      <c r="AJ66" s="573">
        <f t="shared" si="25"/>
        <v>0.13157059207119148</v>
      </c>
      <c r="AK66" s="572">
        <v>615</v>
      </c>
      <c r="AL66" s="551"/>
    </row>
    <row r="67" spans="1:38" x14ac:dyDescent="0.25">
      <c r="A67" s="468"/>
      <c r="E67" s="551"/>
      <c r="F67" s="568" t="s">
        <v>254</v>
      </c>
      <c r="G67" s="577">
        <f>'[6]inland_taf_hatchgrp_tableraw&amp;yy'!G58</f>
        <v>494.28999999999996</v>
      </c>
      <c r="H67" s="577">
        <f>'[6]inland_taf_hatchgrp_tableraw&amp;yy'!H58</f>
        <v>8979.84</v>
      </c>
      <c r="I67" s="578">
        <f>'[6]inland_taf_hatchgrp_tableraw&amp;yy'!I58</f>
        <v>127223.68999999999</v>
      </c>
      <c r="J67" s="577">
        <f>'[6]inland_taf_hatchgrp_tableraw&amp;yy'!J58</f>
        <v>29999.899999999998</v>
      </c>
      <c r="K67" s="577">
        <f>'[6]inland_taf_hatchgrp_tableraw&amp;yy'!K58</f>
        <v>31595</v>
      </c>
      <c r="L67" s="577">
        <f>'[6]inland_taf_hatchgrp_tableraw&amp;yy'!L58</f>
        <v>11729.800000000001</v>
      </c>
      <c r="M67" s="577">
        <f>'[6]inland_taf_hatchgrp_tableraw&amp;yy'!M58</f>
        <v>230.36</v>
      </c>
      <c r="N67" s="577">
        <f>'[6]inland_taf_hatchgrp_tableraw&amp;yy'!N58</f>
        <v>224489.9</v>
      </c>
      <c r="O67" s="577">
        <f>'[6]inland_taf_hatchgrp_tableraw&amp;yy'!O58</f>
        <v>8155.1500000000005</v>
      </c>
      <c r="P67" s="577">
        <f>'[6]inland_taf_hatchgrp_tableraw&amp;yy'!P58</f>
        <v>1549.2</v>
      </c>
      <c r="Q67" s="577">
        <f>'[6]inland_taf_hatchgrp_tableraw&amp;yy'!Q58</f>
        <v>47833.13</v>
      </c>
      <c r="R67" s="577">
        <f>'[6]inland_taf_hatchgrp_tableraw&amp;yy'!R58</f>
        <v>26545.190000000002</v>
      </c>
      <c r="S67" s="577">
        <f>'[6]inland_taf_hatchgrp_tableraw&amp;yy'!S58</f>
        <v>557.1099999999999</v>
      </c>
      <c r="T67" s="577">
        <f>'[6]inland_taf_hatchgrp_tableraw&amp;yy'!T58</f>
        <v>34729.160000000003</v>
      </c>
      <c r="U67" s="577">
        <f>'[6]inland_taf_hatchgrp_tableraw&amp;yy'!U58</f>
        <v>5097.18</v>
      </c>
      <c r="V67" s="577">
        <f>'[6]inland_taf_hatchgrp_tableraw&amp;yy'!V58</f>
        <v>313.98</v>
      </c>
      <c r="W67" s="577">
        <f>'[6]inland_taf_hatchgrp_tableraw&amp;yy'!W58</f>
        <v>244.82</v>
      </c>
      <c r="X67" s="577">
        <f>'[6]inland_taf_hatchgrp_tableraw&amp;yy'!X58</f>
        <v>38272.989999999991</v>
      </c>
      <c r="Y67" s="577">
        <f>'[6]inland_taf_hatchgrp_tableraw&amp;yy'!Y58</f>
        <v>598046.80999999994</v>
      </c>
      <c r="Z67" s="577">
        <f>'[6]inland_taf_hatchgrp_tableraw&amp;yy'!Z58</f>
        <v>384219.19</v>
      </c>
      <c r="AA67" s="577">
        <f>'[6]inland_taf_hatchgrp_tableraw&amp;yy'!AA58</f>
        <v>982266</v>
      </c>
      <c r="AB67" s="551"/>
      <c r="AC67" s="551"/>
      <c r="AD67" s="551"/>
      <c r="AE67" s="551"/>
      <c r="AF67" s="551"/>
      <c r="AG67" s="551" t="s">
        <v>27</v>
      </c>
      <c r="AH67" s="572">
        <v>22725</v>
      </c>
      <c r="AI67" s="572">
        <v>190</v>
      </c>
      <c r="AJ67" s="573">
        <f t="shared" si="25"/>
        <v>8.3608360836083615E-3</v>
      </c>
      <c r="AK67" s="572">
        <v>22535</v>
      </c>
      <c r="AL67" s="551"/>
    </row>
    <row r="68" spans="1:38" x14ac:dyDescent="0.25">
      <c r="A68" s="468"/>
      <c r="E68" s="551"/>
      <c r="F68" s="568" t="s">
        <v>255</v>
      </c>
      <c r="G68" s="579">
        <f t="shared" ref="G68:Y68" si="26">G41/(G67+G42)</f>
        <v>0</v>
      </c>
      <c r="H68" s="579">
        <f t="shared" si="26"/>
        <v>2.5925474630626797E-4</v>
      </c>
      <c r="I68" s="579">
        <f t="shared" si="26"/>
        <v>1.6920689157668655E-2</v>
      </c>
      <c r="J68" s="579">
        <f t="shared" si="26"/>
        <v>0.20331971603738089</v>
      </c>
      <c r="K68" s="579">
        <f t="shared" si="26"/>
        <v>0</v>
      </c>
      <c r="L68" s="579">
        <f t="shared" si="26"/>
        <v>5.0990875690990679E-2</v>
      </c>
      <c r="M68" s="579">
        <f t="shared" si="26"/>
        <v>9.8736949109371225E-2</v>
      </c>
      <c r="N68" s="579">
        <f t="shared" si="26"/>
        <v>3.3255175464602889E-2</v>
      </c>
      <c r="O68" s="579">
        <f t="shared" si="26"/>
        <v>1.3672305649954824E-2</v>
      </c>
      <c r="P68" s="579">
        <f t="shared" si="26"/>
        <v>4.1270798580843239E-2</v>
      </c>
      <c r="Q68" s="579">
        <f t="shared" si="26"/>
        <v>2.6928151298794339E-3</v>
      </c>
      <c r="R68" s="579">
        <f t="shared" si="26"/>
        <v>1.55192528439465E-2</v>
      </c>
      <c r="S68" s="579">
        <f t="shared" si="26"/>
        <v>3.8927383746148972E-2</v>
      </c>
      <c r="T68" s="579">
        <f t="shared" si="26"/>
        <v>0.19728753670563726</v>
      </c>
      <c r="U68" s="579">
        <f t="shared" si="26"/>
        <v>0.18979262241326536</v>
      </c>
      <c r="V68" s="579">
        <f t="shared" si="26"/>
        <v>2.354304330682986E-2</v>
      </c>
      <c r="W68" s="579">
        <f t="shared" si="26"/>
        <v>0.2709082130786975</v>
      </c>
      <c r="X68" s="579">
        <f t="shared" si="26"/>
        <v>1.0450142500755678E-4</v>
      </c>
      <c r="Y68" s="579">
        <f t="shared" si="26"/>
        <v>4.0505974600665233E-2</v>
      </c>
      <c r="Z68" s="551"/>
      <c r="AA68" s="551"/>
      <c r="AB68" s="551"/>
      <c r="AC68" s="551"/>
      <c r="AD68" s="551"/>
      <c r="AE68" s="551"/>
      <c r="AF68" s="551"/>
      <c r="AG68" s="551" t="s">
        <v>28</v>
      </c>
      <c r="AH68" s="572">
        <v>12361.814288372625</v>
      </c>
      <c r="AI68" s="572">
        <v>603.81428837262501</v>
      </c>
      <c r="AJ68" s="573">
        <f t="shared" si="25"/>
        <v>4.8845118870663305E-2</v>
      </c>
      <c r="AK68" s="572">
        <v>11758</v>
      </c>
      <c r="AL68" s="551"/>
    </row>
    <row r="69" spans="1:38" x14ac:dyDescent="0.25">
      <c r="A69" s="468"/>
      <c r="E69" s="551"/>
      <c r="F69" s="551"/>
      <c r="G69" s="574"/>
      <c r="H69" s="551"/>
      <c r="I69" s="551"/>
      <c r="J69" s="551"/>
      <c r="K69" s="551"/>
      <c r="L69" s="551"/>
      <c r="M69" s="551"/>
      <c r="N69" s="551"/>
      <c r="O69" s="551"/>
      <c r="P69" s="551"/>
      <c r="Q69" s="551"/>
      <c r="R69" s="551"/>
      <c r="S69" s="551"/>
      <c r="T69" s="551"/>
      <c r="U69" s="551"/>
      <c r="V69" s="551"/>
      <c r="W69" s="551"/>
      <c r="X69" s="551"/>
      <c r="Y69" s="551"/>
      <c r="Z69" s="551"/>
      <c r="AA69" s="551"/>
      <c r="AB69" s="551"/>
      <c r="AC69" s="551"/>
      <c r="AD69" s="551"/>
      <c r="AE69" s="551"/>
      <c r="AF69" s="551"/>
      <c r="AG69" s="551" t="s">
        <v>29</v>
      </c>
      <c r="AH69" s="572">
        <v>342</v>
      </c>
      <c r="AI69" s="572">
        <v>35</v>
      </c>
      <c r="AJ69" s="573">
        <f t="shared" si="25"/>
        <v>0.1023391812865497</v>
      </c>
      <c r="AK69" s="572">
        <v>307</v>
      </c>
      <c r="AL69" s="551"/>
    </row>
    <row r="70" spans="1:38" x14ac:dyDescent="0.25">
      <c r="AC70" s="551"/>
      <c r="AD70" s="551"/>
      <c r="AE70" s="551"/>
      <c r="AF70" s="551"/>
      <c r="AG70" s="551" t="s">
        <v>30</v>
      </c>
      <c r="AH70" s="572">
        <v>17477.803581397347</v>
      </c>
      <c r="AI70" s="572">
        <v>10299.803581397347</v>
      </c>
      <c r="AJ70" s="573">
        <f t="shared" si="25"/>
        <v>0.58930766291252024</v>
      </c>
      <c r="AK70" s="572">
        <v>7178</v>
      </c>
      <c r="AL70" s="551"/>
    </row>
    <row r="71" spans="1:38" x14ac:dyDescent="0.25">
      <c r="AC71" s="551"/>
      <c r="AD71" s="551"/>
      <c r="AE71" s="551"/>
      <c r="AF71" s="551"/>
      <c r="AG71" s="551" t="s">
        <v>234</v>
      </c>
      <c r="AH71" s="572">
        <v>2425.8142883726259</v>
      </c>
      <c r="AI71" s="572">
        <v>1427.8142883726259</v>
      </c>
      <c r="AJ71" s="573">
        <f t="shared" si="25"/>
        <v>0.58859175461881086</v>
      </c>
      <c r="AK71" s="572">
        <v>998</v>
      </c>
      <c r="AL71" s="551"/>
    </row>
    <row r="72" spans="1:38" x14ac:dyDescent="0.25">
      <c r="AC72" s="551"/>
      <c r="AD72" s="551"/>
      <c r="AE72" s="551"/>
      <c r="AF72" s="551"/>
      <c r="AG72" s="551" t="s">
        <v>33</v>
      </c>
      <c r="AH72" s="572">
        <v>168.36071627946922</v>
      </c>
      <c r="AI72" s="572">
        <v>11.360716279469216</v>
      </c>
      <c r="AJ72" s="573">
        <f t="shared" si="25"/>
        <v>6.7478426859452614E-2</v>
      </c>
      <c r="AK72" s="572">
        <v>157</v>
      </c>
      <c r="AL72" s="551"/>
    </row>
    <row r="73" spans="1:38" x14ac:dyDescent="0.25">
      <c r="AC73" s="551"/>
      <c r="AD73" s="551"/>
      <c r="AE73" s="551"/>
      <c r="AF73" s="551"/>
      <c r="AG73" s="551" t="s">
        <v>207</v>
      </c>
      <c r="AH73" s="572">
        <v>128</v>
      </c>
      <c r="AI73" s="572">
        <v>101</v>
      </c>
      <c r="AJ73" s="573">
        <f t="shared" si="25"/>
        <v>0.7890625</v>
      </c>
      <c r="AK73" s="572">
        <v>27</v>
      </c>
      <c r="AL73" s="551"/>
    </row>
    <row r="74" spans="1:38" x14ac:dyDescent="0.25">
      <c r="AC74" s="551"/>
      <c r="AD74" s="551"/>
      <c r="AE74" s="551"/>
      <c r="AF74" s="551"/>
      <c r="AG74" s="551" t="s">
        <v>23</v>
      </c>
      <c r="AH74" s="572">
        <v>26051</v>
      </c>
      <c r="AI74" s="572">
        <v>0</v>
      </c>
      <c r="AJ74" s="573">
        <f t="shared" si="25"/>
        <v>0</v>
      </c>
      <c r="AK74" s="572">
        <v>26051</v>
      </c>
      <c r="AL74" s="551"/>
    </row>
    <row r="75" spans="1:38" x14ac:dyDescent="0.25">
      <c r="AC75" s="551"/>
      <c r="AD75" s="551"/>
      <c r="AE75" s="551"/>
      <c r="AF75" s="551"/>
      <c r="AG75" s="551" t="s">
        <v>183</v>
      </c>
      <c r="AH75" s="572">
        <v>10348.814288372625</v>
      </c>
      <c r="AI75" s="572">
        <v>1125.814288372625</v>
      </c>
      <c r="AJ75" s="573">
        <f t="shared" si="25"/>
        <v>0.10878679015793431</v>
      </c>
      <c r="AK75" s="572">
        <v>9223</v>
      </c>
      <c r="AL75" s="551"/>
    </row>
    <row r="76" spans="1:38" x14ac:dyDescent="0.25">
      <c r="AC76" s="551"/>
      <c r="AD76" s="551"/>
      <c r="AE76" s="551"/>
      <c r="AF76" s="551"/>
      <c r="AG76" s="574" t="s">
        <v>19</v>
      </c>
      <c r="AH76" s="572">
        <v>367</v>
      </c>
      <c r="AI76" s="572">
        <v>0</v>
      </c>
      <c r="AJ76" s="573">
        <f t="shared" si="25"/>
        <v>0</v>
      </c>
      <c r="AK76" s="572">
        <v>367</v>
      </c>
      <c r="AL76" s="551"/>
    </row>
    <row r="77" spans="1:38" x14ac:dyDescent="0.25">
      <c r="AC77" s="551"/>
      <c r="AD77" s="551"/>
      <c r="AE77" s="551"/>
      <c r="AF77" s="551"/>
      <c r="AG77" s="551" t="s">
        <v>159</v>
      </c>
      <c r="AH77" s="572">
        <v>6449</v>
      </c>
      <c r="AI77" s="572">
        <v>4</v>
      </c>
      <c r="AJ77" s="573">
        <f t="shared" si="25"/>
        <v>6.2025120173670335E-4</v>
      </c>
      <c r="AK77" s="572">
        <v>6445</v>
      </c>
      <c r="AL77" s="551"/>
    </row>
    <row r="78" spans="1:38" x14ac:dyDescent="0.25">
      <c r="AC78" s="551"/>
      <c r="AD78" s="551"/>
      <c r="AE78" s="551"/>
      <c r="AF78" s="551"/>
      <c r="AG78" s="551" t="s">
        <v>198</v>
      </c>
      <c r="AH78" s="572">
        <v>4</v>
      </c>
      <c r="AI78" s="572">
        <v>4</v>
      </c>
      <c r="AJ78" s="573">
        <f t="shared" si="25"/>
        <v>1</v>
      </c>
      <c r="AK78" s="572"/>
      <c r="AL78" s="551"/>
    </row>
    <row r="79" spans="1:38" x14ac:dyDescent="0.25">
      <c r="AC79" s="551"/>
      <c r="AD79" s="551"/>
      <c r="AE79" s="551"/>
      <c r="AF79" s="551"/>
      <c r="AG79" s="551" t="s">
        <v>36</v>
      </c>
      <c r="AH79" s="575">
        <f>SUM(AH61:AH78)</f>
        <v>339164.45593392599</v>
      </c>
      <c r="AI79" s="575">
        <f>SUM(AI61:AI78)</f>
        <v>37956.736204749417</v>
      </c>
      <c r="AJ79" s="573">
        <f t="shared" si="25"/>
        <v>0.11191248239804917</v>
      </c>
      <c r="AK79" s="575">
        <f>SUM(AK61:AK78)</f>
        <v>301207.71972917649</v>
      </c>
      <c r="AL79" s="551"/>
    </row>
    <row r="80" spans="1:38" x14ac:dyDescent="0.25">
      <c r="AC80" s="551"/>
      <c r="AD80" s="551"/>
      <c r="AE80" s="551"/>
      <c r="AF80" s="551"/>
      <c r="AG80" s="551" t="s">
        <v>37</v>
      </c>
      <c r="AH80" s="572">
        <v>137843.54406607407</v>
      </c>
      <c r="AI80" s="551"/>
      <c r="AJ80" s="551"/>
      <c r="AK80" s="551"/>
      <c r="AL80" s="551"/>
    </row>
    <row r="81" spans="6:38" x14ac:dyDescent="0.25">
      <c r="F81" s="458"/>
      <c r="H81" s="458"/>
      <c r="I81" s="458"/>
      <c r="AC81" s="551"/>
      <c r="AD81" s="551"/>
      <c r="AE81" s="551"/>
      <c r="AF81" s="551"/>
      <c r="AG81" s="572" t="s">
        <v>9</v>
      </c>
      <c r="AH81" s="576">
        <f>AH80+AH79</f>
        <v>477008.00000000006</v>
      </c>
      <c r="AI81" s="551"/>
      <c r="AJ81" s="573">
        <f>AH79/AH81</f>
        <v>0.71102467030726102</v>
      </c>
      <c r="AK81" s="551"/>
      <c r="AL81" s="551"/>
    </row>
    <row r="82" spans="6:38" x14ac:dyDescent="0.25">
      <c r="G82" s="455"/>
      <c r="S82" s="537"/>
      <c r="AC82" s="551"/>
      <c r="AD82" s="551"/>
      <c r="AE82" s="551"/>
      <c r="AF82" s="551"/>
      <c r="AG82" s="551"/>
      <c r="AH82" s="551"/>
      <c r="AI82" s="551"/>
      <c r="AJ82" s="551"/>
      <c r="AK82" s="551"/>
      <c r="AL82" s="551"/>
    </row>
    <row r="83" spans="6:38" x14ac:dyDescent="0.25">
      <c r="G83" s="455"/>
      <c r="AC83" s="551"/>
      <c r="AD83" s="551"/>
      <c r="AE83" s="551"/>
      <c r="AF83" s="551"/>
      <c r="AG83" s="551"/>
      <c r="AH83" s="551"/>
      <c r="AI83" s="551"/>
      <c r="AJ83" s="551"/>
      <c r="AK83" s="551"/>
      <c r="AL83" s="551"/>
    </row>
    <row r="84" spans="6:38" x14ac:dyDescent="0.25">
      <c r="G84" s="455"/>
      <c r="AC84" s="551"/>
      <c r="AD84" s="551"/>
      <c r="AE84" s="551"/>
      <c r="AF84" s="551"/>
      <c r="AG84" s="551"/>
      <c r="AH84" s="551"/>
      <c r="AI84" s="551"/>
      <c r="AJ84" s="551"/>
      <c r="AK84" s="551"/>
      <c r="AL84" s="551"/>
    </row>
    <row r="85" spans="6:38" x14ac:dyDescent="0.25">
      <c r="G85" s="455"/>
      <c r="AC85" s="551"/>
      <c r="AD85" s="551"/>
      <c r="AE85" s="551"/>
      <c r="AF85" s="551"/>
      <c r="AG85" s="551"/>
      <c r="AH85" s="551"/>
      <c r="AI85" s="551"/>
      <c r="AJ85" s="551"/>
      <c r="AK85" s="551"/>
      <c r="AL85" s="446"/>
    </row>
    <row r="86" spans="6:38" x14ac:dyDescent="0.25">
      <c r="G86" s="455"/>
      <c r="AC86" s="551"/>
      <c r="AD86" s="551"/>
      <c r="AE86" s="551"/>
      <c r="AF86" s="551"/>
      <c r="AG86" s="551"/>
      <c r="AH86" s="572"/>
      <c r="AI86" s="572"/>
      <c r="AJ86" s="572"/>
      <c r="AK86" s="573"/>
      <c r="AL86" s="446"/>
    </row>
    <row r="87" spans="6:38" x14ac:dyDescent="0.25">
      <c r="G87" s="455"/>
      <c r="AC87" s="551"/>
      <c r="AD87" s="551"/>
      <c r="AE87" s="551"/>
      <c r="AF87" s="551"/>
      <c r="AG87" s="551"/>
      <c r="AH87" s="572"/>
      <c r="AI87" s="572"/>
      <c r="AJ87" s="572"/>
      <c r="AK87" s="573"/>
      <c r="AL87" s="446"/>
    </row>
    <row r="88" spans="6:38" x14ac:dyDescent="0.25">
      <c r="G88" s="455"/>
      <c r="AC88" s="551"/>
      <c r="AD88" s="551"/>
      <c r="AE88" s="551"/>
      <c r="AF88" s="551"/>
      <c r="AG88" s="551"/>
      <c r="AH88" s="572"/>
      <c r="AI88" s="572"/>
      <c r="AJ88" s="576"/>
      <c r="AK88" s="572"/>
      <c r="AL88" s="446"/>
    </row>
    <row r="89" spans="6:38" x14ac:dyDescent="0.25">
      <c r="G89" s="455"/>
      <c r="AC89" s="551"/>
      <c r="AD89" s="551"/>
      <c r="AE89" s="551"/>
      <c r="AF89" s="551"/>
      <c r="AG89" s="551"/>
      <c r="AH89" s="572"/>
      <c r="AI89" s="572"/>
      <c r="AJ89" s="576"/>
      <c r="AK89" s="572"/>
      <c r="AL89" s="446"/>
    </row>
    <row r="90" spans="6:38" x14ac:dyDescent="0.25">
      <c r="G90" s="455"/>
      <c r="AC90" s="551"/>
      <c r="AD90" s="551"/>
      <c r="AE90" s="551"/>
      <c r="AF90" s="551"/>
      <c r="AG90" s="551"/>
      <c r="AH90" s="572"/>
      <c r="AI90" s="572"/>
      <c r="AJ90" s="576"/>
      <c r="AK90" s="572"/>
      <c r="AL90" s="446"/>
    </row>
    <row r="91" spans="6:38" x14ac:dyDescent="0.25">
      <c r="G91" s="455"/>
      <c r="AC91" s="551"/>
      <c r="AD91" s="551"/>
      <c r="AE91" s="551"/>
      <c r="AF91" s="551"/>
      <c r="AG91" s="551"/>
      <c r="AH91" s="551"/>
      <c r="AI91" s="551"/>
      <c r="AJ91" s="551"/>
      <c r="AK91" s="551"/>
      <c r="AL91" s="551"/>
    </row>
    <row r="92" spans="6:38" x14ac:dyDescent="0.25">
      <c r="G92" s="455"/>
    </row>
    <row r="93" spans="6:38" x14ac:dyDescent="0.25">
      <c r="G93" s="455"/>
    </row>
    <row r="94" spans="6:38" x14ac:dyDescent="0.25">
      <c r="G94" s="455"/>
    </row>
    <row r="95" spans="6:38" x14ac:dyDescent="0.25">
      <c r="G95" s="455"/>
    </row>
    <row r="96" spans="6:38" x14ac:dyDescent="0.25">
      <c r="G96" s="455"/>
    </row>
    <row r="97" spans="7:7" x14ac:dyDescent="0.25">
      <c r="G97" s="455"/>
    </row>
  </sheetData>
  <mergeCells count="13">
    <mergeCell ref="Y2:Z2"/>
    <mergeCell ref="Y60:Z60"/>
    <mergeCell ref="E38:F38"/>
    <mergeCell ref="E54:P54"/>
    <mergeCell ref="H60:J60"/>
    <mergeCell ref="K60:P60"/>
    <mergeCell ref="Q60:R60"/>
    <mergeCell ref="V60:W60"/>
    <mergeCell ref="E15:F15"/>
    <mergeCell ref="H2:J2"/>
    <mergeCell ref="K2:P2"/>
    <mergeCell ref="Q2:R2"/>
    <mergeCell ref="V2:W2"/>
  </mergeCells>
  <pageMargins left="0.5" right="0.25" top="0.5" bottom="0.25" header="0.3" footer="0.3"/>
  <pageSetup scale="74" fitToHeight="0"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63269-D19B-4C34-89C3-CEC05B569354}">
  <sheetPr>
    <pageSetUpPr fitToPage="1"/>
  </sheetPr>
  <dimension ref="A1:AH56"/>
  <sheetViews>
    <sheetView showGridLines="0" zoomScaleNormal="100" workbookViewId="0">
      <selection activeCell="Y29" sqref="Y29:Z29"/>
    </sheetView>
  </sheetViews>
  <sheetFormatPr defaultRowHeight="12.5" x14ac:dyDescent="0.25"/>
  <cols>
    <col min="1" max="1" width="10.54296875" customWidth="1"/>
    <col min="2" max="4" width="0.453125" customWidth="1"/>
    <col min="5" max="5" width="27" customWidth="1"/>
    <col min="6" max="6" width="7.54296875" style="1" customWidth="1"/>
    <col min="7" max="7" width="5.1796875" style="1" customWidth="1"/>
    <col min="8" max="23" width="7.453125" customWidth="1"/>
    <col min="24" max="24" width="6.453125" hidden="1" customWidth="1"/>
    <col min="25" max="26" width="9" customWidth="1"/>
    <col min="27" max="27" width="9.54296875" customWidth="1"/>
    <col min="28" max="28" width="1.453125" customWidth="1"/>
  </cols>
  <sheetData>
    <row r="1" spans="1:32" ht="21.75" customHeight="1" x14ac:dyDescent="0.25">
      <c r="E1" s="2" t="s">
        <v>243</v>
      </c>
    </row>
    <row r="2" spans="1:32" ht="17.899999999999999" customHeight="1" x14ac:dyDescent="0.3">
      <c r="E2" s="6"/>
      <c r="F2" s="7"/>
      <c r="G2" s="8"/>
      <c r="H2" s="727" t="str">
        <f>'[7]Table 11 CWTs exp'!H2:J2</f>
        <v>CFH</v>
      </c>
      <c r="I2" s="727"/>
      <c r="J2" s="727"/>
      <c r="K2" s="727" t="str">
        <f>'[7]Table 11 CWTs exp'!K2:P2</f>
        <v>FRH</v>
      </c>
      <c r="L2" s="728"/>
      <c r="M2" s="728"/>
      <c r="N2" s="728"/>
      <c r="O2" s="728"/>
      <c r="P2" s="728"/>
      <c r="Q2" s="727" t="str">
        <f>'[7]Table 11 CWTs exp'!Q2:R2</f>
        <v>NIM</v>
      </c>
      <c r="R2" s="727"/>
      <c r="S2" s="727" t="str">
        <f>'[7]Table 11 CWTs exp'!S2:U2</f>
        <v>MOK</v>
      </c>
      <c r="T2" s="727"/>
      <c r="U2" s="727"/>
      <c r="V2" s="727" t="str">
        <f>'[7]Table 11 CWTs exp'!V2:W2</f>
        <v>MER</v>
      </c>
      <c r="W2" s="727"/>
      <c r="X2" s="203"/>
      <c r="Y2" s="729" t="s">
        <v>132</v>
      </c>
      <c r="Z2" s="730"/>
      <c r="AA2" s="10" t="s">
        <v>9</v>
      </c>
    </row>
    <row r="3" spans="1:32" ht="15.75" customHeight="1" x14ac:dyDescent="0.3">
      <c r="E3" s="17" t="s">
        <v>17</v>
      </c>
      <c r="F3" s="18" t="s">
        <v>18</v>
      </c>
      <c r="G3" s="204" t="str">
        <f>'[7]Table 11 CWTs exp'!G3</f>
        <v>SacW</v>
      </c>
      <c r="H3" s="20" t="str">
        <f>'[7]Table 11 CWTs exp'!H3</f>
        <v>CFHLh</v>
      </c>
      <c r="I3" s="19" t="str">
        <f>'[7]Table 11 CWTs exp'!I3</f>
        <v>CFHFh</v>
      </c>
      <c r="J3" s="21" t="str">
        <f>'[7]Table 11 CWTs exp'!J3</f>
        <v>CFHFn</v>
      </c>
      <c r="K3" s="19" t="str">
        <f>'[7]Table 11 CWTs exp'!K3</f>
        <v>FRHS</v>
      </c>
      <c r="L3" s="19" t="str">
        <f>'[7]Table 11 CWTs exp'!L3</f>
        <v>FRHSn</v>
      </c>
      <c r="M3" s="19" t="str">
        <f>'[7]Table 11 CWTs exp'!M3</f>
        <v>FRHFb</v>
      </c>
      <c r="N3" s="19" t="str">
        <f>'[7]Table 11 CWTs exp'!N3</f>
        <v>FRHFn</v>
      </c>
      <c r="O3" s="19" t="str">
        <f>'[7]Table 11 CWTs exp'!O3</f>
        <v>FRHFnc</v>
      </c>
      <c r="P3" s="19" t="str">
        <f>'[7]Table 11 CWTs exp'!P3</f>
        <v>FRHFtib</v>
      </c>
      <c r="Q3" s="20" t="str">
        <f>'[7]Table 11 CWTs exp'!Q3</f>
        <v>NIMF</v>
      </c>
      <c r="R3" s="21" t="str">
        <f>'[7]Table 11 CWTs exp'!R3</f>
        <v>NIMFn</v>
      </c>
      <c r="S3" s="19" t="str">
        <f>'[7]Table 11 CWTs exp'!S3</f>
        <v>MOKF</v>
      </c>
      <c r="T3" s="19" t="str">
        <f>'[7]Table 11 CWTs exp'!T3</f>
        <v>MOKFn</v>
      </c>
      <c r="U3" s="19" t="str">
        <f>'[7]Table 11 CWTs exp'!U3</f>
        <v>MOKFt</v>
      </c>
      <c r="V3" s="20" t="str">
        <f>'[7]Table 11 CWTs exp'!V3</f>
        <v>MERF</v>
      </c>
      <c r="W3" s="21" t="str">
        <f>'[7]Table 11 CWTs exp'!W3</f>
        <v>MERFt</v>
      </c>
      <c r="X3" s="205" t="s">
        <v>198</v>
      </c>
      <c r="Y3" s="22" t="s">
        <v>36</v>
      </c>
      <c r="Z3" s="23" t="s">
        <v>37</v>
      </c>
      <c r="AA3" s="24" t="s">
        <v>18</v>
      </c>
    </row>
    <row r="4" spans="1:32" ht="14.15" customHeight="1" x14ac:dyDescent="0.3">
      <c r="E4" s="26" t="s">
        <v>39</v>
      </c>
      <c r="F4" s="11"/>
      <c r="G4" s="4"/>
      <c r="H4" s="139"/>
      <c r="J4" s="140"/>
      <c r="Q4" s="139"/>
      <c r="R4" s="140"/>
      <c r="V4" s="139"/>
      <c r="W4" s="140"/>
      <c r="X4" s="88"/>
      <c r="Y4" s="141"/>
      <c r="Z4" s="142"/>
      <c r="AA4" s="88"/>
      <c r="AC4" s="442"/>
      <c r="AD4" s="442"/>
      <c r="AE4" s="442"/>
      <c r="AF4" s="442"/>
    </row>
    <row r="5" spans="1:32" ht="14.5" customHeight="1" x14ac:dyDescent="0.25">
      <c r="A5" s="54" t="str">
        <f>'[7]Table 11 CWTs exp'!A5</f>
        <v>FRFH501</v>
      </c>
      <c r="B5" s="75" t="str">
        <f>'[7]Table 11 CWTs exp'!B5</f>
        <v>FRFH</v>
      </c>
      <c r="C5" s="75">
        <f>'[7]Table 11 CWTs exp'!C5</f>
        <v>50</v>
      </c>
      <c r="D5" s="75">
        <f>'[7]Table 11 CWTs exp'!D5</f>
        <v>1</v>
      </c>
      <c r="E5" s="3" t="str">
        <f>'[7]Table 11 CWTs exp'!E5</f>
        <v>Feather River Hatchery</v>
      </c>
      <c r="F5" s="143" t="str">
        <f>'[7]Table 11 CWTs exp'!F5</f>
        <v>Spring</v>
      </c>
      <c r="G5" s="287" t="str">
        <f>IF('[7]Table 11 CWTs exp'!G5/'[7]Table 11 CWTs exp'!$AA5&gt;0.0005,'[7]Table 11 CWTs exp'!G5/'[7]Table 11 CWTs exp'!$AA5,IF('[7]Table 11 CWTs exp'!G5/'[7]Table 11 CWTs exp'!$AA5&gt;0,"-"," "))</f>
        <v xml:space="preserve"> </v>
      </c>
      <c r="H5" s="145" t="str">
        <f>IF('[7]Table 11 CWTs exp'!H5/'[7]Table 11 CWTs exp'!$AA5&gt;0.0005,'[7]Table 11 CWTs exp'!H5/'[7]Table 11 CWTs exp'!$AA5,IF('[7]Table 11 CWTs exp'!H5/'[7]Table 11 CWTs exp'!$AA5&gt;0,"-"," "))</f>
        <v xml:space="preserve"> </v>
      </c>
      <c r="I5" s="144" t="str">
        <f>IF('[7]Table 11 CWTs exp'!I5/'[7]Table 11 CWTs exp'!$AA5&gt;0.0005,'[7]Table 11 CWTs exp'!I5/'[7]Table 11 CWTs exp'!$AA5,IF('[7]Table 11 CWTs exp'!I5/'[7]Table 11 CWTs exp'!$AA5&gt;0,"-"," "))</f>
        <v xml:space="preserve"> </v>
      </c>
      <c r="J5" s="146" t="str">
        <f>IF('[7]Table 11 CWTs exp'!J5/'[7]Table 11 CWTs exp'!$AA5&gt;0.0005,'[7]Table 11 CWTs exp'!J5/'[7]Table 11 CWTs exp'!$AA5,IF('[7]Table 11 CWTs exp'!J5/'[7]Table 11 CWTs exp'!$AA5&gt;0,"-"," "))</f>
        <v xml:space="preserve"> </v>
      </c>
      <c r="K5" s="144">
        <f>IF('[7]Table 11 CWTs exp'!K5/'[7]Table 11 CWTs exp'!$AA5&gt;0.0005,'[7]Table 11 CWTs exp'!K5/'[7]Table 11 CWTs exp'!$AA5,IF('[7]Table 11 CWTs exp'!K5/'[7]Table 11 CWTs exp'!$AA5&gt;0,"-"," "))</f>
        <v>0.8108789625360231</v>
      </c>
      <c r="L5" s="144">
        <f>IF('[7]Table 11 CWTs exp'!L5/'[7]Table 11 CWTs exp'!$AA5&gt;0.0005,'[7]Table 11 CWTs exp'!L5/'[7]Table 11 CWTs exp'!$AA5,IF('[7]Table 11 CWTs exp'!L5/'[7]Table 11 CWTs exp'!$AA5&gt;0,"-"," "))</f>
        <v>0.12031700288184438</v>
      </c>
      <c r="M5" s="144" t="str">
        <f>IF('[7]Table 11 CWTs exp'!M5/'[7]Table 11 CWTs exp'!$AA5&gt;0.0005,'[7]Table 11 CWTs exp'!M5/'[7]Table 11 CWTs exp'!$AA5,IF('[7]Table 11 CWTs exp'!M5/'[7]Table 11 CWTs exp'!$AA5&gt;0,"-"," "))</f>
        <v>-</v>
      </c>
      <c r="N5" s="144">
        <f>IF('[7]Table 11 CWTs exp'!N5/'[7]Table 11 CWTs exp'!$AA5&gt;0.0005,'[7]Table 11 CWTs exp'!N5/'[7]Table 11 CWTs exp'!$AA5,IF('[7]Table 11 CWTs exp'!N5/'[7]Table 11 CWTs exp'!$AA5&gt;0,"-"," "))</f>
        <v>6.5561959654178673E-2</v>
      </c>
      <c r="O5" s="144" t="str">
        <f>IF('[7]Table 11 CWTs exp'!O5/'[7]Table 11 CWTs exp'!$AA5&gt;0.0005,'[7]Table 11 CWTs exp'!O5/'[7]Table 11 CWTs exp'!$AA5,IF('[7]Table 11 CWTs exp'!O5/'[7]Table 11 CWTs exp'!$AA5&gt;0,"-"," "))</f>
        <v xml:space="preserve"> </v>
      </c>
      <c r="P5" s="144" t="str">
        <f>IF('[7]Table 11 CWTs exp'!P5/'[7]Table 11 CWTs exp'!$AA5&gt;0.0005,'[7]Table 11 CWTs exp'!P5/'[7]Table 11 CWTs exp'!$AA5,IF('[7]Table 11 CWTs exp'!P5/'[7]Table 11 CWTs exp'!$AA5&gt;0,"-"," "))</f>
        <v xml:space="preserve"> </v>
      </c>
      <c r="Q5" s="145" t="str">
        <f>IF('[7]Table 11 CWTs exp'!Q5/'[7]Table 11 CWTs exp'!$AA5&gt;0.0005,'[7]Table 11 CWTs exp'!Q5/'[7]Table 11 CWTs exp'!$AA5,IF('[7]Table 11 CWTs exp'!Q5/'[7]Table 11 CWTs exp'!$AA5&gt;0,"-"," "))</f>
        <v xml:space="preserve"> </v>
      </c>
      <c r="R5" s="146" t="str">
        <f>IF('[7]Table 11 CWTs exp'!R5/'[7]Table 11 CWTs exp'!$AA5&gt;0.0005,'[7]Table 11 CWTs exp'!R5/'[7]Table 11 CWTs exp'!$AA5,IF('[7]Table 11 CWTs exp'!R5/'[7]Table 11 CWTs exp'!$AA5&gt;0,"-"," "))</f>
        <v xml:space="preserve"> </v>
      </c>
      <c r="S5" s="144" t="str">
        <f>IF('[7]Table 11 CWTs exp'!S5/'[7]Table 11 CWTs exp'!$AA5&gt;0.0005,'[7]Table 11 CWTs exp'!S5/'[7]Table 11 CWTs exp'!$AA5,IF('[7]Table 11 CWTs exp'!S5/'[7]Table 11 CWTs exp'!$AA5&gt;0,"-"," "))</f>
        <v xml:space="preserve"> </v>
      </c>
      <c r="T5" s="144" t="str">
        <f>IF('[7]Table 11 CWTs exp'!T5/'[7]Table 11 CWTs exp'!$AA5&gt;0.0005,'[7]Table 11 CWTs exp'!T5/'[7]Table 11 CWTs exp'!$AA5,IF('[7]Table 11 CWTs exp'!T5/'[7]Table 11 CWTs exp'!$AA5&gt;0,"-"," "))</f>
        <v xml:space="preserve"> </v>
      </c>
      <c r="U5" s="144" t="str">
        <f>IF('[7]Table 11 CWTs exp'!U5/'[7]Table 11 CWTs exp'!$AA5&gt;0.0005,'[7]Table 11 CWTs exp'!U5/'[7]Table 11 CWTs exp'!$AA5,IF('[7]Table 11 CWTs exp'!U5/'[7]Table 11 CWTs exp'!$AA5&gt;0,"-"," "))</f>
        <v xml:space="preserve"> </v>
      </c>
      <c r="V5" s="145" t="str">
        <f>IF('[7]Table 11 CWTs exp'!V5/'[7]Table 11 CWTs exp'!$AA5&gt;0.0005,'[7]Table 11 CWTs exp'!V5/'[7]Table 11 CWTs exp'!$AA5,IF('[7]Table 11 CWTs exp'!V5/'[7]Table 11 CWTs exp'!$AA5&gt;0,"-"," "))</f>
        <v xml:space="preserve"> </v>
      </c>
      <c r="W5" s="146" t="str">
        <f>IF('[7]Table 11 CWTs exp'!W5/'[7]Table 11 CWTs exp'!$AA5&gt;0.0005,'[7]Table 11 CWTs exp'!W5/'[7]Table 11 CWTs exp'!$AA5,IF('[7]Table 11 CWTs exp'!W5/'[7]Table 11 CWTs exp'!$AA5&gt;0,"-"," "))</f>
        <v xml:space="preserve"> </v>
      </c>
      <c r="X5" s="206" t="str">
        <f>IF('[7]Table 11 CWTs exp'!X5/'[7]Table 11 CWTs exp'!$AA5&gt;0.0005,'[7]Table 11 CWTs exp'!X5/'[7]Table 11 CWTs exp'!$AA5,IF('[7]Table 11 CWTs exp'!X5/'[7]Table 11 CWTs exp'!$AA5&gt;0,"-"," "))</f>
        <v xml:space="preserve"> </v>
      </c>
      <c r="Y5" s="147">
        <f>SUM(G5:X5)</f>
        <v>0.99675792507204608</v>
      </c>
      <c r="Z5" s="148">
        <f>1-Y5</f>
        <v>3.2420749279539196E-3</v>
      </c>
      <c r="AA5" s="38">
        <f>'[7]Table 11 CWTs exp'!AA5</f>
        <v>2776</v>
      </c>
      <c r="AC5" s="592">
        <f>'[7]Table 11 CWTs exp'!AC5</f>
        <v>0.997</v>
      </c>
      <c r="AD5" s="592">
        <f>Y5-AC5</f>
        <v>-2.4207492795391694E-4</v>
      </c>
      <c r="AE5" s="593" t="str">
        <f>A5</f>
        <v>FRFH501</v>
      </c>
      <c r="AF5" s="442"/>
    </row>
    <row r="6" spans="1:32" ht="14.5" customHeight="1" x14ac:dyDescent="0.25">
      <c r="A6" s="54" t="str">
        <f>'[7]Table 11 CWTs exp'!A6</f>
        <v>FRFH521</v>
      </c>
      <c r="B6" s="75" t="str">
        <f>'[7]Table 11 CWTs exp'!B6</f>
        <v>FRFH</v>
      </c>
      <c r="C6" s="75">
        <f>'[7]Table 11 CWTs exp'!C6</f>
        <v>52</v>
      </c>
      <c r="D6" s="75">
        <f>'[7]Table 11 CWTs exp'!D6</f>
        <v>1</v>
      </c>
      <c r="E6" s="252" t="s">
        <v>217</v>
      </c>
      <c r="F6" s="288" t="str">
        <f>'[7]Table 11 CWTs exp'!F6</f>
        <v>Spring</v>
      </c>
      <c r="G6" s="289" t="str">
        <f>IF('[7]Table 11 CWTs exp'!G6/'[7]Table 11 CWTs exp'!$AA6&gt;0.0005,'[7]Table 11 CWTs exp'!G6/'[7]Table 11 CWTs exp'!$AA6,IF('[7]Table 11 CWTs exp'!G6/'[7]Table 11 CWTs exp'!$AA6&gt;0,"-"," "))</f>
        <v xml:space="preserve"> </v>
      </c>
      <c r="H6" s="290" t="str">
        <f>IF('[7]Table 11 CWTs exp'!H6/'[7]Table 11 CWTs exp'!$AA6&gt;0.0005,'[7]Table 11 CWTs exp'!H6/'[7]Table 11 CWTs exp'!$AA6,IF('[7]Table 11 CWTs exp'!H6/'[7]Table 11 CWTs exp'!$AA6&gt;0,"-"," "))</f>
        <v xml:space="preserve"> </v>
      </c>
      <c r="I6" s="291" t="str">
        <f>IF('[7]Table 11 CWTs exp'!I6/'[7]Table 11 CWTs exp'!$AA6&gt;0.0005,'[7]Table 11 CWTs exp'!I6/'[7]Table 11 CWTs exp'!$AA6,IF('[7]Table 11 CWTs exp'!I6/'[7]Table 11 CWTs exp'!$AA6&gt;0,"-"," "))</f>
        <v xml:space="preserve"> </v>
      </c>
      <c r="J6" s="292" t="str">
        <f>IF('[7]Table 11 CWTs exp'!J6/'[7]Table 11 CWTs exp'!$AA6&gt;0.0005,'[7]Table 11 CWTs exp'!J6/'[7]Table 11 CWTs exp'!$AA6,IF('[7]Table 11 CWTs exp'!J6/'[7]Table 11 CWTs exp'!$AA6&gt;0,"-"," "))</f>
        <v xml:space="preserve"> </v>
      </c>
      <c r="K6" s="291">
        <f>IF('[7]Table 11 CWTs exp'!K6/'[7]Table 11 CWTs exp'!$AA6&gt;0.0005,'[7]Table 11 CWTs exp'!K6/'[7]Table 11 CWTs exp'!$AA6,IF('[7]Table 11 CWTs exp'!K6/'[7]Table 11 CWTs exp'!$AA6&gt;0,"-"," "))</f>
        <v>0.43478260869565216</v>
      </c>
      <c r="L6" s="291">
        <f>IF('[7]Table 11 CWTs exp'!L6/'[7]Table 11 CWTs exp'!$AA6&gt;0.0005,'[7]Table 11 CWTs exp'!L6/'[7]Table 11 CWTs exp'!$AA6,IF('[7]Table 11 CWTs exp'!L6/'[7]Table 11 CWTs exp'!$AA6&gt;0,"-"," "))</f>
        <v>0.21739130434782608</v>
      </c>
      <c r="M6" s="291" t="str">
        <f>IF('[7]Table 11 CWTs exp'!M6/'[7]Table 11 CWTs exp'!$AA6&gt;0.0005,'[7]Table 11 CWTs exp'!M6/'[7]Table 11 CWTs exp'!$AA6,IF('[7]Table 11 CWTs exp'!M6/'[7]Table 11 CWTs exp'!$AA6&gt;0,"-"," "))</f>
        <v xml:space="preserve"> </v>
      </c>
      <c r="N6" s="291">
        <f>IF('[7]Table 11 CWTs exp'!N6/'[7]Table 11 CWTs exp'!$AA6&gt;0.0005,'[7]Table 11 CWTs exp'!N6/'[7]Table 11 CWTs exp'!$AA6,IF('[7]Table 11 CWTs exp'!N6/'[7]Table 11 CWTs exp'!$AA6&gt;0,"-"," "))</f>
        <v>4.3478260869565216E-2</v>
      </c>
      <c r="O6" s="291" t="str">
        <f>IF('[7]Table 11 CWTs exp'!O6/'[7]Table 11 CWTs exp'!$AA6&gt;0.0005,'[7]Table 11 CWTs exp'!O6/'[7]Table 11 CWTs exp'!$AA6,IF('[7]Table 11 CWTs exp'!O6/'[7]Table 11 CWTs exp'!$AA6&gt;0,"-"," "))</f>
        <v xml:space="preserve"> </v>
      </c>
      <c r="P6" s="291" t="str">
        <f>IF('[7]Table 11 CWTs exp'!P6/'[7]Table 11 CWTs exp'!$AA6&gt;0.0005,'[7]Table 11 CWTs exp'!P6/'[7]Table 11 CWTs exp'!$AA6,IF('[7]Table 11 CWTs exp'!P6/'[7]Table 11 CWTs exp'!$AA6&gt;0,"-"," "))</f>
        <v xml:space="preserve"> </v>
      </c>
      <c r="Q6" s="290" t="str">
        <f>IF('[7]Table 11 CWTs exp'!Q6/'[7]Table 11 CWTs exp'!$AA6&gt;0.0005,'[7]Table 11 CWTs exp'!Q6/'[7]Table 11 CWTs exp'!$AA6,IF('[7]Table 11 CWTs exp'!Q6/'[7]Table 11 CWTs exp'!$AA6&gt;0,"-"," "))</f>
        <v xml:space="preserve"> </v>
      </c>
      <c r="R6" s="292" t="str">
        <f>IF('[7]Table 11 CWTs exp'!R6/'[7]Table 11 CWTs exp'!$AA6&gt;0.0005,'[7]Table 11 CWTs exp'!R6/'[7]Table 11 CWTs exp'!$AA6,IF('[7]Table 11 CWTs exp'!R6/'[7]Table 11 CWTs exp'!$AA6&gt;0,"-"," "))</f>
        <v xml:space="preserve"> </v>
      </c>
      <c r="S6" s="291" t="str">
        <f>IF('[7]Table 11 CWTs exp'!S6/'[7]Table 11 CWTs exp'!$AA6&gt;0.0005,'[7]Table 11 CWTs exp'!S6/'[7]Table 11 CWTs exp'!$AA6,IF('[7]Table 11 CWTs exp'!S6/'[7]Table 11 CWTs exp'!$AA6&gt;0,"-"," "))</f>
        <v xml:space="preserve"> </v>
      </c>
      <c r="T6" s="291" t="str">
        <f>IF('[7]Table 11 CWTs exp'!T6/'[7]Table 11 CWTs exp'!$AA6&gt;0.0005,'[7]Table 11 CWTs exp'!T6/'[7]Table 11 CWTs exp'!$AA6,IF('[7]Table 11 CWTs exp'!T6/'[7]Table 11 CWTs exp'!$AA6&gt;0,"-"," "))</f>
        <v xml:space="preserve"> </v>
      </c>
      <c r="U6" s="291" t="str">
        <f>IF('[7]Table 11 CWTs exp'!U6/'[7]Table 11 CWTs exp'!$AA6&gt;0.0005,'[7]Table 11 CWTs exp'!U6/'[7]Table 11 CWTs exp'!$AA6,IF('[7]Table 11 CWTs exp'!U6/'[7]Table 11 CWTs exp'!$AA6&gt;0,"-"," "))</f>
        <v xml:space="preserve"> </v>
      </c>
      <c r="V6" s="290" t="str">
        <f>IF('[7]Table 11 CWTs exp'!V6/'[7]Table 11 CWTs exp'!$AA6&gt;0.0005,'[7]Table 11 CWTs exp'!V6/'[7]Table 11 CWTs exp'!$AA6,IF('[7]Table 11 CWTs exp'!V6/'[7]Table 11 CWTs exp'!$AA6&gt;0,"-"," "))</f>
        <v xml:space="preserve"> </v>
      </c>
      <c r="W6" s="292" t="str">
        <f>IF('[7]Table 11 CWTs exp'!W6/'[7]Table 11 CWTs exp'!$AA6&gt;0.0005,'[7]Table 11 CWTs exp'!W6/'[7]Table 11 CWTs exp'!$AA6,IF('[7]Table 11 CWTs exp'!W6/'[7]Table 11 CWTs exp'!$AA6&gt;0,"-"," "))</f>
        <v xml:space="preserve"> </v>
      </c>
      <c r="X6" s="293" t="str">
        <f>IF('[7]Table 11 CWTs exp'!X6/'[7]Table 11 CWTs exp'!$AA6&gt;0.0005,'[7]Table 11 CWTs exp'!X6/'[7]Table 11 CWTs exp'!$AA6,IF('[7]Table 11 CWTs exp'!X6/'[7]Table 11 CWTs exp'!$AA6&gt;0,"-"," "))</f>
        <v xml:space="preserve"> </v>
      </c>
      <c r="Y6" s="294">
        <f t="shared" ref="Y6:Y13" si="0">SUM(G6:X6)</f>
        <v>0.69565217391304346</v>
      </c>
      <c r="Z6" s="295">
        <f t="shared" ref="Z6:Z13" si="1">1-Y6</f>
        <v>0.30434782608695654</v>
      </c>
      <c r="AA6" s="256">
        <f>'[7]Table 11 CWTs exp'!AA6</f>
        <v>23</v>
      </c>
      <c r="AC6" s="592">
        <f>'[7]Table 11 CWTs exp'!AC6</f>
        <v>0.69599999999999995</v>
      </c>
      <c r="AD6" s="592">
        <f t="shared" ref="AD6:AD51" si="2">Y6-AC6</f>
        <v>-3.4782608695649309E-4</v>
      </c>
      <c r="AE6" s="593" t="str">
        <f t="shared" ref="AE6:AE36" si="3">A6</f>
        <v>FRFH521</v>
      </c>
      <c r="AF6" s="442"/>
    </row>
    <row r="7" spans="1:32" ht="14.5" customHeight="1" x14ac:dyDescent="0.25">
      <c r="A7" s="54" t="str">
        <f>'[7]Table 11 CWTs exp'!A7</f>
        <v>CNFH503</v>
      </c>
      <c r="B7" s="75" t="str">
        <f>'[7]Table 11 CWTs exp'!B7</f>
        <v>CNFH</v>
      </c>
      <c r="C7" s="75">
        <f>'[7]Table 11 CWTs exp'!C7</f>
        <v>50</v>
      </c>
      <c r="D7" s="75">
        <f>'[7]Table 11 CWTs exp'!D7</f>
        <v>3</v>
      </c>
      <c r="E7" s="3" t="str">
        <f>'[7]Table 11 CWTs exp'!E7</f>
        <v>Coleman National Fish Hatchery</v>
      </c>
      <c r="F7" s="37" t="str">
        <f>'[7]Table 11 CWTs exp'!F7</f>
        <v>Fall</v>
      </c>
      <c r="G7" s="287" t="str">
        <f>IF('[7]Table 11 CWTs exp'!G7/'[7]Table 11 CWTs exp'!$AA7&gt;0.0005,'[7]Table 11 CWTs exp'!G7/'[7]Table 11 CWTs exp'!$AA7,IF('[7]Table 11 CWTs exp'!G7/'[7]Table 11 CWTs exp'!$AA7&gt;0,"-"," "))</f>
        <v xml:space="preserve"> </v>
      </c>
      <c r="H7" s="145" t="str">
        <f>IF('[7]Table 11 CWTs exp'!H7/'[7]Table 11 CWTs exp'!$AA7&gt;0.0005,'[7]Table 11 CWTs exp'!H7/'[7]Table 11 CWTs exp'!$AA7,IF('[7]Table 11 CWTs exp'!H7/'[7]Table 11 CWTs exp'!$AA7&gt;0,"-"," "))</f>
        <v xml:space="preserve"> </v>
      </c>
      <c r="I7" s="144">
        <f>IF('[7]Table 11 CWTs exp'!I7/'[7]Table 11 CWTs exp'!$AA7&gt;0.0005,'[7]Table 11 CWTs exp'!I7/'[7]Table 11 CWTs exp'!$AA7,IF('[7]Table 11 CWTs exp'!I7/'[7]Table 11 CWTs exp'!$AA7&gt;0,"-"," "))</f>
        <v>0.84718683651804672</v>
      </c>
      <c r="J7" s="146">
        <f>IF('[7]Table 11 CWTs exp'!J7/'[7]Table 11 CWTs exp'!$AA7&gt;0.0005,'[7]Table 11 CWTs exp'!J7/'[7]Table 11 CWTs exp'!$AA7,IF('[7]Table 11 CWTs exp'!J7/'[7]Table 11 CWTs exp'!$AA7&gt;0,"-"," "))</f>
        <v>8.1210191082802547E-3</v>
      </c>
      <c r="K7" s="144" t="str">
        <f>IF('[7]Table 11 CWTs exp'!K7/'[7]Table 11 CWTs exp'!$AA7&gt;0.0005,'[7]Table 11 CWTs exp'!K7/'[7]Table 11 CWTs exp'!$AA7,IF('[7]Table 11 CWTs exp'!K7/'[7]Table 11 CWTs exp'!$AA7&gt;0,"-"," "))</f>
        <v>-</v>
      </c>
      <c r="L7" s="144" t="str">
        <f>IF('[7]Table 11 CWTs exp'!L7/'[7]Table 11 CWTs exp'!$AA7&gt;0.0005,'[7]Table 11 CWTs exp'!L7/'[7]Table 11 CWTs exp'!$AA7,IF('[7]Table 11 CWTs exp'!L7/'[7]Table 11 CWTs exp'!$AA7&gt;0,"-"," "))</f>
        <v>-</v>
      </c>
      <c r="M7" s="144">
        <f>IF('[7]Table 11 CWTs exp'!M7/'[7]Table 11 CWTs exp'!$AA7&gt;0.0005,'[7]Table 11 CWTs exp'!M7/'[7]Table 11 CWTs exp'!$AA7,IF('[7]Table 11 CWTs exp'!M7/'[7]Table 11 CWTs exp'!$AA7&gt;0,"-"," "))</f>
        <v>6.3694267515923564E-4</v>
      </c>
      <c r="N7" s="144">
        <f>IF('[7]Table 11 CWTs exp'!N7/'[7]Table 11 CWTs exp'!$AA7&gt;0.0005,'[7]Table 11 CWTs exp'!N7/'[7]Table 11 CWTs exp'!$AA7,IF('[7]Table 11 CWTs exp'!N7/'[7]Table 11 CWTs exp'!$AA7&gt;0,"-"," "))</f>
        <v>3.0732484076433121E-2</v>
      </c>
      <c r="O7" s="144">
        <f>IF('[7]Table 11 CWTs exp'!O7/'[7]Table 11 CWTs exp'!$AA7&gt;0.0005,'[7]Table 11 CWTs exp'!O7/'[7]Table 11 CWTs exp'!$AA7,IF('[7]Table 11 CWTs exp'!O7/'[7]Table 11 CWTs exp'!$AA7&gt;0,"-"," "))</f>
        <v>3.0785562632696392E-3</v>
      </c>
      <c r="P7" s="144" t="str">
        <f>IF('[7]Table 11 CWTs exp'!P7/'[7]Table 11 CWTs exp'!$AA7&gt;0.0005,'[7]Table 11 CWTs exp'!P7/'[7]Table 11 CWTs exp'!$AA7,IF('[7]Table 11 CWTs exp'!P7/'[7]Table 11 CWTs exp'!$AA7&gt;0,"-"," "))</f>
        <v>-</v>
      </c>
      <c r="Q7" s="145" t="str">
        <f>IF('[7]Table 11 CWTs exp'!Q7/'[7]Table 11 CWTs exp'!$AA7&gt;0.0005,'[7]Table 11 CWTs exp'!Q7/'[7]Table 11 CWTs exp'!$AA7,IF('[7]Table 11 CWTs exp'!Q7/'[7]Table 11 CWTs exp'!$AA7&gt;0,"-"," "))</f>
        <v xml:space="preserve"> </v>
      </c>
      <c r="R7" s="146" t="str">
        <f>IF('[7]Table 11 CWTs exp'!R7/'[7]Table 11 CWTs exp'!$AA7&gt;0.0005,'[7]Table 11 CWTs exp'!R7/'[7]Table 11 CWTs exp'!$AA7,IF('[7]Table 11 CWTs exp'!R7/'[7]Table 11 CWTs exp'!$AA7&gt;0,"-"," "))</f>
        <v>-</v>
      </c>
      <c r="S7" s="144" t="str">
        <f>IF('[7]Table 11 CWTs exp'!S7/'[7]Table 11 CWTs exp'!$AA7&gt;0.0005,'[7]Table 11 CWTs exp'!S7/'[7]Table 11 CWTs exp'!$AA7,IF('[7]Table 11 CWTs exp'!S7/'[7]Table 11 CWTs exp'!$AA7&gt;0,"-"," "))</f>
        <v xml:space="preserve"> </v>
      </c>
      <c r="T7" s="144" t="str">
        <f>IF('[7]Table 11 CWTs exp'!T7/'[7]Table 11 CWTs exp'!$AA7&gt;0.0005,'[7]Table 11 CWTs exp'!T7/'[7]Table 11 CWTs exp'!$AA7,IF('[7]Table 11 CWTs exp'!T7/'[7]Table 11 CWTs exp'!$AA7&gt;0,"-"," "))</f>
        <v>-</v>
      </c>
      <c r="U7" s="144" t="str">
        <f>IF('[7]Table 11 CWTs exp'!U7/'[7]Table 11 CWTs exp'!$AA7&gt;0.0005,'[7]Table 11 CWTs exp'!U7/'[7]Table 11 CWTs exp'!$AA7,IF('[7]Table 11 CWTs exp'!U7/'[7]Table 11 CWTs exp'!$AA7&gt;0,"-"," "))</f>
        <v xml:space="preserve"> </v>
      </c>
      <c r="V7" s="145" t="str">
        <f>IF('[7]Table 11 CWTs exp'!V7/'[7]Table 11 CWTs exp'!$AA7&gt;0.0005,'[7]Table 11 CWTs exp'!V7/'[7]Table 11 CWTs exp'!$AA7,IF('[7]Table 11 CWTs exp'!V7/'[7]Table 11 CWTs exp'!$AA7&gt;0,"-"," "))</f>
        <v xml:space="preserve"> </v>
      </c>
      <c r="W7" s="146">
        <f>IF('[7]Table 11 CWTs exp'!W7/'[7]Table 11 CWTs exp'!$AA7&gt;0.0005,'[7]Table 11 CWTs exp'!W7/'[7]Table 11 CWTs exp'!$AA7,IF('[7]Table 11 CWTs exp'!W7/'[7]Table 11 CWTs exp'!$AA7&gt;0,"-"," "))</f>
        <v>1.8577494692144374E-3</v>
      </c>
      <c r="X7" s="206" t="str">
        <f>IF('[7]Table 11 CWTs exp'!X7/'[7]Table 11 CWTs exp'!$AA7&gt;0.0005,'[7]Table 11 CWTs exp'!X7/'[7]Table 11 CWTs exp'!$AA7,IF('[7]Table 11 CWTs exp'!X7/'[7]Table 11 CWTs exp'!$AA7&gt;0,"-"," "))</f>
        <v xml:space="preserve"> </v>
      </c>
      <c r="Y7" s="147">
        <f t="shared" si="0"/>
        <v>0.89161358811040348</v>
      </c>
      <c r="Z7" s="148">
        <f t="shared" si="1"/>
        <v>0.10838641188959652</v>
      </c>
      <c r="AA7" s="38">
        <f>'[7]Table 11 CWTs exp'!AA7</f>
        <v>18840</v>
      </c>
      <c r="AC7" s="592">
        <f>'[7]Table 11 CWTs exp'!AC7</f>
        <v>0.89300000000000002</v>
      </c>
      <c r="AD7" s="592">
        <f t="shared" si="2"/>
        <v>-1.3864118895965394E-3</v>
      </c>
      <c r="AE7" s="593" t="str">
        <f t="shared" si="3"/>
        <v>CNFH503</v>
      </c>
      <c r="AF7" s="442"/>
    </row>
    <row r="8" spans="1:32" ht="14.5" customHeight="1" x14ac:dyDescent="0.25">
      <c r="A8" s="54" t="str">
        <f>'[7]Table 11 CWTs exp'!A8</f>
        <v>FRFH503</v>
      </c>
      <c r="B8" s="75" t="str">
        <f>'[7]Table 11 CWTs exp'!B8</f>
        <v>FRFH</v>
      </c>
      <c r="C8" s="75">
        <f>'[7]Table 11 CWTs exp'!C8</f>
        <v>50</v>
      </c>
      <c r="D8" s="75">
        <f>'[7]Table 11 CWTs exp'!D8</f>
        <v>3</v>
      </c>
      <c r="E8" s="3" t="str">
        <f>'[7]Table 11 CWTs exp'!E8</f>
        <v>Feather River Hatchery</v>
      </c>
      <c r="F8" s="37" t="str">
        <f>'[7]Table 11 CWTs exp'!F8</f>
        <v>Fall</v>
      </c>
      <c r="G8" s="287" t="str">
        <f>IF('[7]Table 11 CWTs exp'!G8/'[7]Table 11 CWTs exp'!$AA8&gt;0.0005,'[7]Table 11 CWTs exp'!G8/'[7]Table 11 CWTs exp'!$AA8,IF('[7]Table 11 CWTs exp'!G8/'[7]Table 11 CWTs exp'!$AA8&gt;0,"-"," "))</f>
        <v xml:space="preserve"> </v>
      </c>
      <c r="H8" s="145" t="str">
        <f>IF('[7]Table 11 CWTs exp'!H8/'[7]Table 11 CWTs exp'!$AA8&gt;0.0005,'[7]Table 11 CWTs exp'!H8/'[7]Table 11 CWTs exp'!$AA8,IF('[7]Table 11 CWTs exp'!H8/'[7]Table 11 CWTs exp'!$AA8&gt;0,"-"," "))</f>
        <v xml:space="preserve"> </v>
      </c>
      <c r="I8" s="144" t="str">
        <f>IF('[7]Table 11 CWTs exp'!I8/'[7]Table 11 CWTs exp'!$AA8&gt;0.0005,'[7]Table 11 CWTs exp'!I8/'[7]Table 11 CWTs exp'!$AA8,IF('[7]Table 11 CWTs exp'!I8/'[7]Table 11 CWTs exp'!$AA8&gt;0,"-"," "))</f>
        <v>-</v>
      </c>
      <c r="J8" s="146">
        <f>IF('[7]Table 11 CWTs exp'!J8/'[7]Table 11 CWTs exp'!$AA8&gt;0.0005,'[7]Table 11 CWTs exp'!J8/'[7]Table 11 CWTs exp'!$AA8,IF('[7]Table 11 CWTs exp'!J8/'[7]Table 11 CWTs exp'!$AA8&gt;0,"-"," "))</f>
        <v>3.2450896669513236E-3</v>
      </c>
      <c r="K8" s="144">
        <f>IF('[7]Table 11 CWTs exp'!K8/'[7]Table 11 CWTs exp'!$AA8&gt;0.0005,'[7]Table 11 CWTs exp'!K8/'[7]Table 11 CWTs exp'!$AA8,IF('[7]Table 11 CWTs exp'!K8/'[7]Table 11 CWTs exp'!$AA8&gt;0,"-"," "))</f>
        <v>0.10076857386848848</v>
      </c>
      <c r="L8" s="144">
        <f>IF('[7]Table 11 CWTs exp'!L8/'[7]Table 11 CWTs exp'!$AA8&gt;0.0005,'[7]Table 11 CWTs exp'!L8/'[7]Table 11 CWTs exp'!$AA8,IF('[7]Table 11 CWTs exp'!L8/'[7]Table 11 CWTs exp'!$AA8&gt;0,"-"," "))</f>
        <v>3.9709649871904354E-2</v>
      </c>
      <c r="M8" s="144">
        <f>IF('[7]Table 11 CWTs exp'!M8/'[7]Table 11 CWTs exp'!$AA8&gt;0.0005,'[7]Table 11 CWTs exp'!M8/'[7]Table 11 CWTs exp'!$AA8,IF('[7]Table 11 CWTs exp'!M8/'[7]Table 11 CWTs exp'!$AA8&gt;0,"-"," "))</f>
        <v>2.8181041844577284E-2</v>
      </c>
      <c r="N8" s="144">
        <f>IF('[7]Table 11 CWTs exp'!N8/'[7]Table 11 CWTs exp'!$AA8&gt;0.0005,'[7]Table 11 CWTs exp'!N8/'[7]Table 11 CWTs exp'!$AA8,IF('[7]Table 11 CWTs exp'!N8/'[7]Table 11 CWTs exp'!$AA8&gt;0,"-"," "))</f>
        <v>0.73817250213492747</v>
      </c>
      <c r="O8" s="144">
        <f>IF('[7]Table 11 CWTs exp'!O8/'[7]Table 11 CWTs exp'!$AA8&gt;0.0005,'[7]Table 11 CWTs exp'!O8/'[7]Table 11 CWTs exp'!$AA8,IF('[7]Table 11 CWTs exp'!O8/'[7]Table 11 CWTs exp'!$AA8&gt;0,"-"," "))</f>
        <v>3.0871050384286933E-2</v>
      </c>
      <c r="P8" s="144">
        <f>IF('[7]Table 11 CWTs exp'!P8/'[7]Table 11 CWTs exp'!$AA8&gt;0.0005,'[7]Table 11 CWTs exp'!P8/'[7]Table 11 CWTs exp'!$AA8,IF('[7]Table 11 CWTs exp'!P8/'[7]Table 11 CWTs exp'!$AA8&gt;0,"-"," "))</f>
        <v>1.2809564474807857E-3</v>
      </c>
      <c r="Q8" s="145" t="str">
        <f>IF('[7]Table 11 CWTs exp'!Q8/'[7]Table 11 CWTs exp'!$AA8&gt;0.0005,'[7]Table 11 CWTs exp'!Q8/'[7]Table 11 CWTs exp'!$AA8,IF('[7]Table 11 CWTs exp'!Q8/'[7]Table 11 CWTs exp'!$AA8&gt;0,"-"," "))</f>
        <v>-</v>
      </c>
      <c r="R8" s="146" t="str">
        <f>IF('[7]Table 11 CWTs exp'!R8/'[7]Table 11 CWTs exp'!$AA8&gt;0.0005,'[7]Table 11 CWTs exp'!R8/'[7]Table 11 CWTs exp'!$AA8,IF('[7]Table 11 CWTs exp'!R8/'[7]Table 11 CWTs exp'!$AA8&gt;0,"-"," "))</f>
        <v>-</v>
      </c>
      <c r="S8" s="144" t="str">
        <f>IF('[7]Table 11 CWTs exp'!S8/'[7]Table 11 CWTs exp'!$AA8&gt;0.0005,'[7]Table 11 CWTs exp'!S8/'[7]Table 11 CWTs exp'!$AA8,IF('[7]Table 11 CWTs exp'!S8/'[7]Table 11 CWTs exp'!$AA8&gt;0,"-"," "))</f>
        <v>-</v>
      </c>
      <c r="T8" s="144">
        <f>IF('[7]Table 11 CWTs exp'!T8/'[7]Table 11 CWTs exp'!$AA8&gt;0.0005,'[7]Table 11 CWTs exp'!T8/'[7]Table 11 CWTs exp'!$AA8,IF('[7]Table 11 CWTs exp'!T8/'[7]Table 11 CWTs exp'!$AA8&gt;0,"-"," "))</f>
        <v>1.7079419299743809E-3</v>
      </c>
      <c r="U8" s="144" t="str">
        <f>IF('[7]Table 11 CWTs exp'!U8/'[7]Table 11 CWTs exp'!$AA8&gt;0.0005,'[7]Table 11 CWTs exp'!U8/'[7]Table 11 CWTs exp'!$AA8,IF('[7]Table 11 CWTs exp'!U8/'[7]Table 11 CWTs exp'!$AA8&gt;0,"-"," "))</f>
        <v>-</v>
      </c>
      <c r="V8" s="145" t="str">
        <f>IF('[7]Table 11 CWTs exp'!V8/'[7]Table 11 CWTs exp'!$AA8&gt;0.0005,'[7]Table 11 CWTs exp'!V8/'[7]Table 11 CWTs exp'!$AA8,IF('[7]Table 11 CWTs exp'!V8/'[7]Table 11 CWTs exp'!$AA8&gt;0,"-"," "))</f>
        <v>-</v>
      </c>
      <c r="W8" s="146">
        <f>IF('[7]Table 11 CWTs exp'!W8/'[7]Table 11 CWTs exp'!$AA8&gt;0.0005,'[7]Table 11 CWTs exp'!W8/'[7]Table 11 CWTs exp'!$AA8,IF('[7]Table 11 CWTs exp'!W8/'[7]Table 11 CWTs exp'!$AA8&gt;0,"-"," "))</f>
        <v>1.7933390264730999E-3</v>
      </c>
      <c r="X8" s="206" t="str">
        <f>IF('[7]Table 11 CWTs exp'!X8/'[7]Table 11 CWTs exp'!$AA8&gt;0.0005,'[7]Table 11 CWTs exp'!X8/'[7]Table 11 CWTs exp'!$AA8,IF('[7]Table 11 CWTs exp'!X8/'[7]Table 11 CWTs exp'!$AA8&gt;0,"-"," "))</f>
        <v xml:space="preserve"> </v>
      </c>
      <c r="Y8" s="147">
        <f t="shared" si="0"/>
        <v>0.94573014517506415</v>
      </c>
      <c r="Z8" s="148">
        <f t="shared" si="1"/>
        <v>5.4269854824935848E-2</v>
      </c>
      <c r="AA8" s="38">
        <f>'[7]Table 11 CWTs exp'!AA8</f>
        <v>23420</v>
      </c>
      <c r="AC8" s="592">
        <f>'[7]Table 11 CWTs exp'!AC8</f>
        <v>0.94699999999999995</v>
      </c>
      <c r="AD8" s="592">
        <f t="shared" si="2"/>
        <v>-1.269854824935801E-3</v>
      </c>
      <c r="AE8" s="593" t="str">
        <f t="shared" si="3"/>
        <v>FRFH503</v>
      </c>
      <c r="AF8" s="442"/>
    </row>
    <row r="9" spans="1:32" ht="14.5" customHeight="1" x14ac:dyDescent="0.25">
      <c r="A9" s="54" t="str">
        <f>'[7]Table 11 CWTs exp'!A9</f>
        <v>NBFH503</v>
      </c>
      <c r="B9" s="75" t="str">
        <f>'[7]Table 11 CWTs exp'!B9</f>
        <v>NBFH</v>
      </c>
      <c r="C9" s="75">
        <f>'[7]Table 11 CWTs exp'!C9</f>
        <v>50</v>
      </c>
      <c r="D9" s="75">
        <f>'[7]Table 11 CWTs exp'!D9</f>
        <v>3</v>
      </c>
      <c r="E9" s="3" t="str">
        <f>'[7]Table 11 CWTs exp'!E9</f>
        <v>Nimbus Fish Hatchery</v>
      </c>
      <c r="F9" s="37" t="str">
        <f>'[7]Table 11 CWTs exp'!F9</f>
        <v>Fall</v>
      </c>
      <c r="G9" s="287" t="str">
        <f>IF('[7]Table 11 CWTs exp'!G9/'[7]Table 11 CWTs exp'!$AA9&gt;0.0005,'[7]Table 11 CWTs exp'!G9/'[7]Table 11 CWTs exp'!$AA9,IF('[7]Table 11 CWTs exp'!G9/'[7]Table 11 CWTs exp'!$AA9&gt;0,"-"," "))</f>
        <v xml:space="preserve"> </v>
      </c>
      <c r="H9" s="145" t="str">
        <f>IF('[7]Table 11 CWTs exp'!H9/'[7]Table 11 CWTs exp'!$AA9&gt;0.0005,'[7]Table 11 CWTs exp'!H9/'[7]Table 11 CWTs exp'!$AA9,IF('[7]Table 11 CWTs exp'!H9/'[7]Table 11 CWTs exp'!$AA9&gt;0,"-"," "))</f>
        <v xml:space="preserve"> </v>
      </c>
      <c r="I9" s="144" t="str">
        <f>IF('[7]Table 11 CWTs exp'!I9/'[7]Table 11 CWTs exp'!$AA9&gt;0.0005,'[7]Table 11 CWTs exp'!I9/'[7]Table 11 CWTs exp'!$AA9,IF('[7]Table 11 CWTs exp'!I9/'[7]Table 11 CWTs exp'!$AA9&gt;0,"-"," "))</f>
        <v xml:space="preserve"> </v>
      </c>
      <c r="J9" s="146">
        <f>IF('[7]Table 11 CWTs exp'!J9/'[7]Table 11 CWTs exp'!$AA9&gt;0.0005,'[7]Table 11 CWTs exp'!J9/'[7]Table 11 CWTs exp'!$AA9,IF('[7]Table 11 CWTs exp'!J9/'[7]Table 11 CWTs exp'!$AA9&gt;0,"-"," "))</f>
        <v>5.3937432578209281E-3</v>
      </c>
      <c r="K9" s="144" t="str">
        <f>IF('[7]Table 11 CWTs exp'!K9/'[7]Table 11 CWTs exp'!$AA9&gt;0.0005,'[7]Table 11 CWTs exp'!K9/'[7]Table 11 CWTs exp'!$AA9,IF('[7]Table 11 CWTs exp'!K9/'[7]Table 11 CWTs exp'!$AA9&gt;0,"-"," "))</f>
        <v xml:space="preserve"> </v>
      </c>
      <c r="L9" s="144" t="str">
        <f>IF('[7]Table 11 CWTs exp'!L9/'[7]Table 11 CWTs exp'!$AA9&gt;0.0005,'[7]Table 11 CWTs exp'!L9/'[7]Table 11 CWTs exp'!$AA9,IF('[7]Table 11 CWTs exp'!L9/'[7]Table 11 CWTs exp'!$AA9&gt;0,"-"," "))</f>
        <v xml:space="preserve"> </v>
      </c>
      <c r="M9" s="144">
        <f>IF('[7]Table 11 CWTs exp'!M9/'[7]Table 11 CWTs exp'!$AA9&gt;0.0005,'[7]Table 11 CWTs exp'!M9/'[7]Table 11 CWTs exp'!$AA9,IF('[7]Table 11 CWTs exp'!M9/'[7]Table 11 CWTs exp'!$AA9&gt;0,"-"," "))</f>
        <v>2.0376363418434617E-3</v>
      </c>
      <c r="N9" s="144">
        <f>IF('[7]Table 11 CWTs exp'!N9/'[7]Table 11 CWTs exp'!$AA9&gt;0.0005,'[7]Table 11 CWTs exp'!N9/'[7]Table 11 CWTs exp'!$AA9,IF('[7]Table 11 CWTs exp'!N9/'[7]Table 11 CWTs exp'!$AA9&gt;0,"-"," "))</f>
        <v>2.6009828598825363E-2</v>
      </c>
      <c r="O9" s="144">
        <f>IF('[7]Table 11 CWTs exp'!O9/'[7]Table 11 CWTs exp'!$AA9&gt;0.0005,'[7]Table 11 CWTs exp'!O9/'[7]Table 11 CWTs exp'!$AA9,IF('[7]Table 11 CWTs exp'!O9/'[7]Table 11 CWTs exp'!$AA9&gt;0,"-"," "))</f>
        <v>1.678053457988733E-3</v>
      </c>
      <c r="P9" s="144" t="str">
        <f>IF('[7]Table 11 CWTs exp'!P9/'[7]Table 11 CWTs exp'!$AA9&gt;0.0005,'[7]Table 11 CWTs exp'!P9/'[7]Table 11 CWTs exp'!$AA9,IF('[7]Table 11 CWTs exp'!P9/'[7]Table 11 CWTs exp'!$AA9&gt;0,"-"," "))</f>
        <v xml:space="preserve"> </v>
      </c>
      <c r="Q9" s="145">
        <f>IF('[7]Table 11 CWTs exp'!Q9/'[7]Table 11 CWTs exp'!$AA9&gt;0.0005,'[7]Table 11 CWTs exp'!Q9/'[7]Table 11 CWTs exp'!$AA9,IF('[7]Table 11 CWTs exp'!Q9/'[7]Table 11 CWTs exp'!$AA9&gt;0,"-"," "))</f>
        <v>0.33489152583003717</v>
      </c>
      <c r="R9" s="146">
        <f>IF('[7]Table 11 CWTs exp'!R9/'[7]Table 11 CWTs exp'!$AA9&gt;0.0005,'[7]Table 11 CWTs exp'!R9/'[7]Table 11 CWTs exp'!$AA9,IF('[7]Table 11 CWTs exp'!R9/'[7]Table 11 CWTs exp'!$AA9&gt;0,"-"," "))</f>
        <v>0.23924247872467938</v>
      </c>
      <c r="S9" s="144">
        <f>IF('[7]Table 11 CWTs exp'!S9/'[7]Table 11 CWTs exp'!$AA9&gt;0.0005,'[7]Table 11 CWTs exp'!S9/'[7]Table 11 CWTs exp'!$AA9,IF('[7]Table 11 CWTs exp'!S9/'[7]Table 11 CWTs exp'!$AA9&gt;0,"-"," "))</f>
        <v>5.9930480642454752E-4</v>
      </c>
      <c r="T9" s="144">
        <f>IF('[7]Table 11 CWTs exp'!T9/'[7]Table 11 CWTs exp'!$AA9&gt;0.0005,'[7]Table 11 CWTs exp'!T9/'[7]Table 11 CWTs exp'!$AA9,IF('[7]Table 11 CWTs exp'!T9/'[7]Table 11 CWTs exp'!$AA9&gt;0,"-"," "))</f>
        <v>0.21203404051300492</v>
      </c>
      <c r="U9" s="144">
        <f>IF('[7]Table 11 CWTs exp'!U9/'[7]Table 11 CWTs exp'!$AA9&gt;0.0005,'[7]Table 11 CWTs exp'!U9/'[7]Table 11 CWTs exp'!$AA9,IF('[7]Table 11 CWTs exp'!U9/'[7]Table 11 CWTs exp'!$AA9&gt;0,"-"," "))</f>
        <v>3.1043988972791561E-2</v>
      </c>
      <c r="V9" s="145" t="str">
        <f>IF('[7]Table 11 CWTs exp'!V9/'[7]Table 11 CWTs exp'!$AA9&gt;0.0005,'[7]Table 11 CWTs exp'!V9/'[7]Table 11 CWTs exp'!$AA9,IF('[7]Table 11 CWTs exp'!V9/'[7]Table 11 CWTs exp'!$AA9&gt;0,"-"," "))</f>
        <v xml:space="preserve"> </v>
      </c>
      <c r="W9" s="146">
        <f>IF('[7]Table 11 CWTs exp'!W9/'[7]Table 11 CWTs exp'!$AA9&gt;0.0005,'[7]Table 11 CWTs exp'!W9/'[7]Table 11 CWTs exp'!$AA9,IF('[7]Table 11 CWTs exp'!W9/'[7]Table 11 CWTs exp'!$AA9&gt;0,"-"," "))</f>
        <v>1.3304566702624955E-2</v>
      </c>
      <c r="X9" s="206" t="str">
        <f>IF('[7]Table 11 CWTs exp'!X9/'[7]Table 11 CWTs exp'!$AA9&gt;0.0005,'[7]Table 11 CWTs exp'!X9/'[7]Table 11 CWTs exp'!$AA9,IF('[7]Table 11 CWTs exp'!X9/'[7]Table 11 CWTs exp'!$AA9&gt;0,"-"," "))</f>
        <v xml:space="preserve"> </v>
      </c>
      <c r="Y9" s="147">
        <f t="shared" si="0"/>
        <v>0.86623516720604099</v>
      </c>
      <c r="Z9" s="148">
        <f t="shared" si="1"/>
        <v>0.13376483279395901</v>
      </c>
      <c r="AA9" s="38">
        <f>'[7]Table 11 CWTs exp'!AA9</f>
        <v>8343</v>
      </c>
      <c r="AC9" s="592">
        <f>'[7]Table 11 CWTs exp'!AC9</f>
        <v>0.86599999999999999</v>
      </c>
      <c r="AD9" s="592">
        <f t="shared" si="2"/>
        <v>2.3516720604099817E-4</v>
      </c>
      <c r="AE9" s="593" t="str">
        <f t="shared" si="3"/>
        <v>NBFH503</v>
      </c>
      <c r="AF9" s="442"/>
    </row>
    <row r="10" spans="1:32" ht="14.5" customHeight="1" x14ac:dyDescent="0.25">
      <c r="A10" s="54" t="str">
        <f>'[7]Table 11 CWTs exp'!A10</f>
        <v>MRFI503</v>
      </c>
      <c r="B10" s="75" t="str">
        <f>'[7]Table 11 CWTs exp'!B10</f>
        <v>MRFI</v>
      </c>
      <c r="C10" s="75">
        <f>'[7]Table 11 CWTs exp'!C10</f>
        <v>50</v>
      </c>
      <c r="D10" s="75">
        <f>'[7]Table 11 CWTs exp'!D10</f>
        <v>3</v>
      </c>
      <c r="E10" s="3" t="str">
        <f>'[7]Table 11 CWTs exp'!E10</f>
        <v>Mokelumne River Hatchery</v>
      </c>
      <c r="F10" s="37" t="str">
        <f>'[7]Table 11 CWTs exp'!F10</f>
        <v>Fall</v>
      </c>
      <c r="G10" s="287" t="str">
        <f>IF('[7]Table 11 CWTs exp'!G10/'[7]Table 11 CWTs exp'!$AA10&gt;0.0005,'[7]Table 11 CWTs exp'!G10/'[7]Table 11 CWTs exp'!$AA10,IF('[7]Table 11 CWTs exp'!G10/'[7]Table 11 CWTs exp'!$AA10&gt;0,"-"," "))</f>
        <v xml:space="preserve"> </v>
      </c>
      <c r="H10" s="145">
        <f>IF('[7]Table 11 CWTs exp'!H10/'[7]Table 11 CWTs exp'!$AA10&gt;0.0005,'[7]Table 11 CWTs exp'!H10/'[7]Table 11 CWTs exp'!$AA10,IF('[7]Table 11 CWTs exp'!H10/'[7]Table 11 CWTs exp'!$AA10&gt;0,"-"," "))</f>
        <v>6.8027210884353737E-4</v>
      </c>
      <c r="I10" s="144">
        <f>IF('[7]Table 11 CWTs exp'!I10/'[7]Table 11 CWTs exp'!$AA10&gt;0.0005,'[7]Table 11 CWTs exp'!I10/'[7]Table 11 CWTs exp'!$AA10,IF('[7]Table 11 CWTs exp'!I10/'[7]Table 11 CWTs exp'!$AA10&gt;0,"-"," "))</f>
        <v>9.0702947845804993E-4</v>
      </c>
      <c r="J10" s="146">
        <f>IF('[7]Table 11 CWTs exp'!J10/'[7]Table 11 CWTs exp'!$AA10&gt;0.0005,'[7]Table 11 CWTs exp'!J10/'[7]Table 11 CWTs exp'!$AA10,IF('[7]Table 11 CWTs exp'!J10/'[7]Table 11 CWTs exp'!$AA10&gt;0,"-"," "))</f>
        <v>1.8140589569160999E-3</v>
      </c>
      <c r="K10" s="144" t="str">
        <f>IF('[7]Table 11 CWTs exp'!K10/'[7]Table 11 CWTs exp'!$AA10&gt;0.0005,'[7]Table 11 CWTs exp'!K10/'[7]Table 11 CWTs exp'!$AA10,IF('[7]Table 11 CWTs exp'!K10/'[7]Table 11 CWTs exp'!$AA10&gt;0,"-"," "))</f>
        <v xml:space="preserve"> </v>
      </c>
      <c r="L10" s="144" t="str">
        <f>IF('[7]Table 11 CWTs exp'!L10/'[7]Table 11 CWTs exp'!$AA10&gt;0.0005,'[7]Table 11 CWTs exp'!L10/'[7]Table 11 CWTs exp'!$AA10,IF('[7]Table 11 CWTs exp'!L10/'[7]Table 11 CWTs exp'!$AA10&gt;0,"-"," "))</f>
        <v xml:space="preserve"> </v>
      </c>
      <c r="M10" s="144">
        <f>IF('[7]Table 11 CWTs exp'!M10/'[7]Table 11 CWTs exp'!$AA10&gt;0.0005,'[7]Table 11 CWTs exp'!M10/'[7]Table 11 CWTs exp'!$AA10,IF('[7]Table 11 CWTs exp'!M10/'[7]Table 11 CWTs exp'!$AA10&gt;0,"-"," "))</f>
        <v>1.1337868480725624E-3</v>
      </c>
      <c r="N10" s="144">
        <f>IF('[7]Table 11 CWTs exp'!N10/'[7]Table 11 CWTs exp'!$AA10&gt;0.0005,'[7]Table 11 CWTs exp'!N10/'[7]Table 11 CWTs exp'!$AA10,IF('[7]Table 11 CWTs exp'!N10/'[7]Table 11 CWTs exp'!$AA10&gt;0,"-"," "))</f>
        <v>2.7777777777777776E-2</v>
      </c>
      <c r="O10" s="144">
        <f>IF('[7]Table 11 CWTs exp'!O10/'[7]Table 11 CWTs exp'!$AA10&gt;0.0005,'[7]Table 11 CWTs exp'!O10/'[7]Table 11 CWTs exp'!$AA10,IF('[7]Table 11 CWTs exp'!O10/'[7]Table 11 CWTs exp'!$AA10&gt;0,"-"," "))</f>
        <v>5.4421768707482989E-3</v>
      </c>
      <c r="P10" s="144" t="str">
        <f>IF('[7]Table 11 CWTs exp'!P10/'[7]Table 11 CWTs exp'!$AA10&gt;0.0005,'[7]Table 11 CWTs exp'!P10/'[7]Table 11 CWTs exp'!$AA10,IF('[7]Table 11 CWTs exp'!P10/'[7]Table 11 CWTs exp'!$AA10&gt;0,"-"," "))</f>
        <v xml:space="preserve"> </v>
      </c>
      <c r="Q10" s="145" t="str">
        <f>IF('[7]Table 11 CWTs exp'!Q10/'[7]Table 11 CWTs exp'!$AA10&gt;0.0005,'[7]Table 11 CWTs exp'!Q10/'[7]Table 11 CWTs exp'!$AA10,IF('[7]Table 11 CWTs exp'!Q10/'[7]Table 11 CWTs exp'!$AA10&gt;0,"-"," "))</f>
        <v>-</v>
      </c>
      <c r="R10" s="146">
        <f>IF('[7]Table 11 CWTs exp'!R10/'[7]Table 11 CWTs exp'!$AA10&gt;0.0005,'[7]Table 11 CWTs exp'!R10/'[7]Table 11 CWTs exp'!$AA10,IF('[7]Table 11 CWTs exp'!R10/'[7]Table 11 CWTs exp'!$AA10&gt;0,"-"," "))</f>
        <v>1.0430839002267574E-2</v>
      </c>
      <c r="S10" s="144">
        <f>IF('[7]Table 11 CWTs exp'!S10/'[7]Table 11 CWTs exp'!$AA10&gt;0.0005,'[7]Table 11 CWTs exp'!S10/'[7]Table 11 CWTs exp'!$AA10,IF('[7]Table 11 CWTs exp'!S10/'[7]Table 11 CWTs exp'!$AA10&gt;0,"-"," "))</f>
        <v>2.7210884353741496E-2</v>
      </c>
      <c r="T10" s="144">
        <f>IF('[7]Table 11 CWTs exp'!T10/'[7]Table 11 CWTs exp'!$AA10&gt;0.0005,'[7]Table 11 CWTs exp'!T10/'[7]Table 11 CWTs exp'!$AA10,IF('[7]Table 11 CWTs exp'!T10/'[7]Table 11 CWTs exp'!$AA10&gt;0,"-"," "))</f>
        <v>0.66972789115646258</v>
      </c>
      <c r="U10" s="144">
        <f>IF('[7]Table 11 CWTs exp'!U10/'[7]Table 11 CWTs exp'!$AA10&gt;0.0005,'[7]Table 11 CWTs exp'!U10/'[7]Table 11 CWTs exp'!$AA10,IF('[7]Table 11 CWTs exp'!U10/'[7]Table 11 CWTs exp'!$AA10&gt;0,"-"," "))</f>
        <v>7.4603174603174602E-2</v>
      </c>
      <c r="V10" s="145" t="str">
        <f>IF('[7]Table 11 CWTs exp'!V10/'[7]Table 11 CWTs exp'!$AA10&gt;0.0005,'[7]Table 11 CWTs exp'!V10/'[7]Table 11 CWTs exp'!$AA10,IF('[7]Table 11 CWTs exp'!V10/'[7]Table 11 CWTs exp'!$AA10&gt;0,"-"," "))</f>
        <v>-</v>
      </c>
      <c r="W10" s="146">
        <f>IF('[7]Table 11 CWTs exp'!W10/'[7]Table 11 CWTs exp'!$AA10&gt;0.0005,'[7]Table 11 CWTs exp'!W10/'[7]Table 11 CWTs exp'!$AA10,IF('[7]Table 11 CWTs exp'!W10/'[7]Table 11 CWTs exp'!$AA10&gt;0,"-"," "))</f>
        <v>4.0476190476190478E-2</v>
      </c>
      <c r="X10" s="144" t="str">
        <f>IF('[7]Table 11 CWTs exp'!X10/'[7]Table 11 CWTs exp'!$AA10&gt;0.0005,'[7]Table 11 CWTs exp'!X10/'[7]Table 11 CWTs exp'!$AA10,IF('[7]Table 11 CWTs exp'!X10/'[7]Table 11 CWTs exp'!$AA10&gt;0,"-"," "))</f>
        <v xml:space="preserve"> </v>
      </c>
      <c r="Y10" s="147">
        <f t="shared" si="0"/>
        <v>0.86020408163265294</v>
      </c>
      <c r="Z10" s="148">
        <f t="shared" si="1"/>
        <v>0.13979591836734706</v>
      </c>
      <c r="AA10" s="38">
        <f>'[7]Table 11 CWTs exp'!AA10</f>
        <v>8820</v>
      </c>
      <c r="AC10" s="592">
        <f>'[7]Table 11 CWTs exp'!AC10</f>
        <v>0.86099999999999999</v>
      </c>
      <c r="AD10" s="592">
        <f t="shared" si="2"/>
        <v>-7.9591836734704824E-4</v>
      </c>
      <c r="AE10" s="593" t="str">
        <f t="shared" si="3"/>
        <v>MRFI503</v>
      </c>
      <c r="AF10" s="442"/>
    </row>
    <row r="11" spans="1:32" ht="14.5" customHeight="1" x14ac:dyDescent="0.25">
      <c r="A11" s="54" t="str">
        <f>'[7]Table 11 CWTs exp'!A11</f>
        <v>MRFF503</v>
      </c>
      <c r="B11" s="75" t="str">
        <f>'[7]Table 11 CWTs exp'!B11</f>
        <v>MRFF</v>
      </c>
      <c r="C11" s="75">
        <f>'[7]Table 11 CWTs exp'!C11</f>
        <v>50</v>
      </c>
      <c r="D11" s="75">
        <f>'[7]Table 11 CWTs exp'!D11</f>
        <v>3</v>
      </c>
      <c r="E11" s="252" t="str">
        <f>'[7]Table 11 CWTs exp'!E11</f>
        <v>Merced River Hatchery</v>
      </c>
      <c r="F11" s="288" t="str">
        <f>'[7]Table 11 CWTs exp'!F11</f>
        <v>Fall</v>
      </c>
      <c r="G11" s="289" t="str">
        <f>IF('[7]Table 11 CWTs exp'!G11/'[7]Table 11 CWTs exp'!$AA11&gt;0.0005,'[7]Table 11 CWTs exp'!G11/'[7]Table 11 CWTs exp'!$AA11,IF('[7]Table 11 CWTs exp'!G11/'[7]Table 11 CWTs exp'!$AA11&gt;0,"-"," "))</f>
        <v xml:space="preserve"> </v>
      </c>
      <c r="H11" s="290">
        <f>IF('[7]Table 11 CWTs exp'!H11/'[7]Table 11 CWTs exp'!$AA11&gt;0.0005,'[7]Table 11 CWTs exp'!H11/'[7]Table 11 CWTs exp'!$AA11,IF('[7]Table 11 CWTs exp'!H11/'[7]Table 11 CWTs exp'!$AA11&gt;0,"-"," "))</f>
        <v>1.2330456226880395E-3</v>
      </c>
      <c r="I11" s="291" t="str">
        <f>IF('[7]Table 11 CWTs exp'!I11/'[7]Table 11 CWTs exp'!$AA11&gt;0.0005,'[7]Table 11 CWTs exp'!I11/'[7]Table 11 CWTs exp'!$AA11,IF('[7]Table 11 CWTs exp'!I11/'[7]Table 11 CWTs exp'!$AA11&gt;0,"-"," "))</f>
        <v xml:space="preserve"> </v>
      </c>
      <c r="J11" s="292">
        <f>IF('[7]Table 11 CWTs exp'!J11/'[7]Table 11 CWTs exp'!$AA11&gt;0.0005,'[7]Table 11 CWTs exp'!J11/'[7]Table 11 CWTs exp'!$AA11,IF('[7]Table 11 CWTs exp'!J11/'[7]Table 11 CWTs exp'!$AA11&gt;0,"-"," "))</f>
        <v>4.9321824907521579E-3</v>
      </c>
      <c r="K11" s="291" t="str">
        <f>IF('[7]Table 11 CWTs exp'!K11/'[7]Table 11 CWTs exp'!$AA11&gt;0.0005,'[7]Table 11 CWTs exp'!K11/'[7]Table 11 CWTs exp'!$AA11,IF('[7]Table 11 CWTs exp'!K11/'[7]Table 11 CWTs exp'!$AA11&gt;0,"-"," "))</f>
        <v xml:space="preserve"> </v>
      </c>
      <c r="L11" s="291" t="str">
        <f>IF('[7]Table 11 CWTs exp'!L11/'[7]Table 11 CWTs exp'!$AA11&gt;0.0005,'[7]Table 11 CWTs exp'!L11/'[7]Table 11 CWTs exp'!$AA11,IF('[7]Table 11 CWTs exp'!L11/'[7]Table 11 CWTs exp'!$AA11&gt;0,"-"," "))</f>
        <v xml:space="preserve"> </v>
      </c>
      <c r="M11" s="291" t="str">
        <f>IF('[7]Table 11 CWTs exp'!M11/'[7]Table 11 CWTs exp'!$AA11&gt;0.0005,'[7]Table 11 CWTs exp'!M11/'[7]Table 11 CWTs exp'!$AA11,IF('[7]Table 11 CWTs exp'!M11/'[7]Table 11 CWTs exp'!$AA11&gt;0,"-"," "))</f>
        <v xml:space="preserve"> </v>
      </c>
      <c r="N11" s="291">
        <f>IF('[7]Table 11 CWTs exp'!N11/'[7]Table 11 CWTs exp'!$AA11&gt;0.0005,'[7]Table 11 CWTs exp'!N11/'[7]Table 11 CWTs exp'!$AA11,IF('[7]Table 11 CWTs exp'!N11/'[7]Table 11 CWTs exp'!$AA11&gt;0,"-"," "))</f>
        <v>5.5487053020961775E-2</v>
      </c>
      <c r="O11" s="291">
        <f>IF('[7]Table 11 CWTs exp'!O11/'[7]Table 11 CWTs exp'!$AA11&gt;0.0005,'[7]Table 11 CWTs exp'!O11/'[7]Table 11 CWTs exp'!$AA11,IF('[7]Table 11 CWTs exp'!O11/'[7]Table 11 CWTs exp'!$AA11&gt;0,"-"," "))</f>
        <v>1.7262638717632551E-2</v>
      </c>
      <c r="P11" s="291" t="str">
        <f>IF('[7]Table 11 CWTs exp'!P11/'[7]Table 11 CWTs exp'!$AA11&gt;0.0005,'[7]Table 11 CWTs exp'!P11/'[7]Table 11 CWTs exp'!$AA11,IF('[7]Table 11 CWTs exp'!P11/'[7]Table 11 CWTs exp'!$AA11&gt;0,"-"," "))</f>
        <v xml:space="preserve"> </v>
      </c>
      <c r="Q11" s="290" t="str">
        <f>IF('[7]Table 11 CWTs exp'!Q11/'[7]Table 11 CWTs exp'!$AA11&gt;0.0005,'[7]Table 11 CWTs exp'!Q11/'[7]Table 11 CWTs exp'!$AA11,IF('[7]Table 11 CWTs exp'!Q11/'[7]Table 11 CWTs exp'!$AA11&gt;0,"-"," "))</f>
        <v xml:space="preserve"> </v>
      </c>
      <c r="R11" s="292">
        <f>IF('[7]Table 11 CWTs exp'!R11/'[7]Table 11 CWTs exp'!$AA11&gt;0.0005,'[7]Table 11 CWTs exp'!R11/'[7]Table 11 CWTs exp'!$AA11,IF('[7]Table 11 CWTs exp'!R11/'[7]Table 11 CWTs exp'!$AA11&gt;0,"-"," "))</f>
        <v>1.4796547472256474E-2</v>
      </c>
      <c r="S11" s="291" t="str">
        <f>IF('[7]Table 11 CWTs exp'!S11/'[7]Table 11 CWTs exp'!$AA11&gt;0.0005,'[7]Table 11 CWTs exp'!S11/'[7]Table 11 CWTs exp'!$AA11,IF('[7]Table 11 CWTs exp'!S11/'[7]Table 11 CWTs exp'!$AA11&gt;0,"-"," "))</f>
        <v xml:space="preserve"> </v>
      </c>
      <c r="T11" s="291">
        <f>IF('[7]Table 11 CWTs exp'!T11/'[7]Table 11 CWTs exp'!$AA11&gt;0.0005,'[7]Table 11 CWTs exp'!T11/'[7]Table 11 CWTs exp'!$AA11,IF('[7]Table 11 CWTs exp'!T11/'[7]Table 11 CWTs exp'!$AA11&gt;0,"-"," "))</f>
        <v>0.55117139334155363</v>
      </c>
      <c r="U11" s="291">
        <f>IF('[7]Table 11 CWTs exp'!U11/'[7]Table 11 CWTs exp'!$AA11&gt;0.0005,'[7]Table 11 CWTs exp'!U11/'[7]Table 11 CWTs exp'!$AA11,IF('[7]Table 11 CWTs exp'!U11/'[7]Table 11 CWTs exp'!$AA11&gt;0,"-"," "))</f>
        <v>8.0147965474722568E-2</v>
      </c>
      <c r="V11" s="290">
        <f>IF('[7]Table 11 CWTs exp'!V11/'[7]Table 11 CWTs exp'!$AA11&gt;0.0005,'[7]Table 11 CWTs exp'!V11/'[7]Table 11 CWTs exp'!$AA11,IF('[7]Table 11 CWTs exp'!V11/'[7]Table 11 CWTs exp'!$AA11&gt;0,"-"," "))</f>
        <v>1.7262638717632551E-2</v>
      </c>
      <c r="W11" s="292">
        <f>IF('[7]Table 11 CWTs exp'!W11/'[7]Table 11 CWTs exp'!$AA11&gt;0.0005,'[7]Table 11 CWTs exp'!W11/'[7]Table 11 CWTs exp'!$AA11,IF('[7]Table 11 CWTs exp'!W11/'[7]Table 11 CWTs exp'!$AA11&gt;0,"-"," "))</f>
        <v>0.21948212083847102</v>
      </c>
      <c r="X11" s="293" t="str">
        <f>IF('[7]Table 11 CWTs exp'!X11/'[7]Table 11 CWTs exp'!$AA11&gt;0.0005,'[7]Table 11 CWTs exp'!X11/'[7]Table 11 CWTs exp'!$AA11,IF('[7]Table 11 CWTs exp'!X11/'[7]Table 11 CWTs exp'!$AA11&gt;0,"-"," "))</f>
        <v xml:space="preserve"> </v>
      </c>
      <c r="Y11" s="294">
        <f t="shared" si="0"/>
        <v>0.96177558569667077</v>
      </c>
      <c r="Z11" s="295">
        <f t="shared" si="1"/>
        <v>3.8224414303329235E-2</v>
      </c>
      <c r="AA11" s="256">
        <f>'[7]Table 11 CWTs exp'!AA11</f>
        <v>811</v>
      </c>
      <c r="AC11" s="592">
        <f>'[7]Table 11 CWTs exp'!AC11</f>
        <v>0.96299999999999997</v>
      </c>
      <c r="AD11" s="592">
        <f t="shared" si="2"/>
        <v>-1.2244143033292021E-3</v>
      </c>
      <c r="AE11" s="593" t="str">
        <f t="shared" si="3"/>
        <v>MRFF503</v>
      </c>
      <c r="AF11" s="442"/>
    </row>
    <row r="12" spans="1:32" ht="14.5" customHeight="1" x14ac:dyDescent="0.25">
      <c r="A12" s="54" t="str">
        <f>'[7]Table 11 CWTs exp'!A12</f>
        <v>CNFH507</v>
      </c>
      <c r="B12" s="75" t="str">
        <f>'[7]Table 11 CWTs exp'!B12</f>
        <v>CNFH</v>
      </c>
      <c r="C12" s="75">
        <f>'[7]Table 11 CWTs exp'!C12</f>
        <v>50</v>
      </c>
      <c r="D12" s="75">
        <f>'[7]Table 11 CWTs exp'!D12</f>
        <v>7</v>
      </c>
      <c r="E12" s="3" t="str">
        <f>'[7]Table 11 CWTs exp'!E12</f>
        <v xml:space="preserve">Coleman National Fish Hatchery </v>
      </c>
      <c r="F12" s="37" t="s">
        <v>57</v>
      </c>
      <c r="G12" s="287" t="str">
        <f>IF('[7]Table 11 CWTs exp'!G12/'[7]Table 11 CWTs exp'!$AA12&gt;0.0005,'[7]Table 11 CWTs exp'!G12/'[7]Table 11 CWTs exp'!$AA12,IF('[7]Table 11 CWTs exp'!G12/'[7]Table 11 CWTs exp'!$AA12&gt;0,"-"," "))</f>
        <v xml:space="preserve"> </v>
      </c>
      <c r="H12" s="145">
        <f>IF('[7]Table 11 CWTs exp'!H12/'[7]Table 11 CWTs exp'!$AA12&gt;0.0005,'[7]Table 11 CWTs exp'!H12/'[7]Table 11 CWTs exp'!$AA12,IF('[7]Table 11 CWTs exp'!H12/'[7]Table 11 CWTs exp'!$AA12&gt;0,"-"," "))</f>
        <v>0.98429703551511594</v>
      </c>
      <c r="I12" s="144" t="str">
        <f>IF('[7]Table 11 CWTs exp'!I12/'[7]Table 11 CWTs exp'!$AA12&gt;0.0005,'[7]Table 11 CWTs exp'!I12/'[7]Table 11 CWTs exp'!$AA12,IF('[7]Table 11 CWTs exp'!I12/'[7]Table 11 CWTs exp'!$AA12&gt;0,"-"," "))</f>
        <v xml:space="preserve"> </v>
      </c>
      <c r="J12" s="146" t="str">
        <f>IF('[7]Table 11 CWTs exp'!J12/'[7]Table 11 CWTs exp'!$AA12&gt;0.0005,'[7]Table 11 CWTs exp'!J12/'[7]Table 11 CWTs exp'!$AA12,IF('[7]Table 11 CWTs exp'!J12/'[7]Table 11 CWTs exp'!$AA12&gt;0,"-"," "))</f>
        <v xml:space="preserve"> </v>
      </c>
      <c r="K12" s="144" t="str">
        <f>IF('[7]Table 11 CWTs exp'!K12/'[7]Table 11 CWTs exp'!$AA12&gt;0.0005,'[7]Table 11 CWTs exp'!K12/'[7]Table 11 CWTs exp'!$AA12,IF('[7]Table 11 CWTs exp'!K12/'[7]Table 11 CWTs exp'!$AA12&gt;0,"-"," "))</f>
        <v xml:space="preserve"> </v>
      </c>
      <c r="L12" s="144" t="str">
        <f>IF('[7]Table 11 CWTs exp'!L12/'[7]Table 11 CWTs exp'!$AA12&gt;0.0005,'[7]Table 11 CWTs exp'!L12/'[7]Table 11 CWTs exp'!$AA12,IF('[7]Table 11 CWTs exp'!L12/'[7]Table 11 CWTs exp'!$AA12&gt;0,"-"," "))</f>
        <v xml:space="preserve"> </v>
      </c>
      <c r="M12" s="144" t="str">
        <f>IF('[7]Table 11 CWTs exp'!M12/'[7]Table 11 CWTs exp'!$AA12&gt;0.0005,'[7]Table 11 CWTs exp'!M12/'[7]Table 11 CWTs exp'!$AA12,IF('[7]Table 11 CWTs exp'!M12/'[7]Table 11 CWTs exp'!$AA12&gt;0,"-"," "))</f>
        <v xml:space="preserve"> </v>
      </c>
      <c r="N12" s="144" t="str">
        <f>IF('[7]Table 11 CWTs exp'!N12/'[7]Table 11 CWTs exp'!$AA12&gt;0.0005,'[7]Table 11 CWTs exp'!N12/'[7]Table 11 CWTs exp'!$AA12,IF('[7]Table 11 CWTs exp'!N12/'[7]Table 11 CWTs exp'!$AA12&gt;0,"-"," "))</f>
        <v xml:space="preserve"> </v>
      </c>
      <c r="O12" s="144" t="str">
        <f>IF('[7]Table 11 CWTs exp'!O12/'[7]Table 11 CWTs exp'!$AA12&gt;0.0005,'[7]Table 11 CWTs exp'!O12/'[7]Table 11 CWTs exp'!$AA12,IF('[7]Table 11 CWTs exp'!O12/'[7]Table 11 CWTs exp'!$AA12&gt;0,"-"," "))</f>
        <v xml:space="preserve"> </v>
      </c>
      <c r="P12" s="144" t="str">
        <f>IF('[7]Table 11 CWTs exp'!P12/'[7]Table 11 CWTs exp'!$AA12&gt;0.0005,'[7]Table 11 CWTs exp'!P12/'[7]Table 11 CWTs exp'!$AA12,IF('[7]Table 11 CWTs exp'!P12/'[7]Table 11 CWTs exp'!$AA12&gt;0,"-"," "))</f>
        <v xml:space="preserve"> </v>
      </c>
      <c r="Q12" s="145" t="str">
        <f>IF('[7]Table 11 CWTs exp'!Q12/'[7]Table 11 CWTs exp'!$AA12&gt;0.0005,'[7]Table 11 CWTs exp'!Q12/'[7]Table 11 CWTs exp'!$AA12,IF('[7]Table 11 CWTs exp'!Q12/'[7]Table 11 CWTs exp'!$AA12&gt;0,"-"," "))</f>
        <v xml:space="preserve"> </v>
      </c>
      <c r="R12" s="146" t="str">
        <f>IF('[7]Table 11 CWTs exp'!R12/'[7]Table 11 CWTs exp'!$AA12&gt;0.0005,'[7]Table 11 CWTs exp'!R12/'[7]Table 11 CWTs exp'!$AA12,IF('[7]Table 11 CWTs exp'!R12/'[7]Table 11 CWTs exp'!$AA12&gt;0,"-"," "))</f>
        <v xml:space="preserve"> </v>
      </c>
      <c r="S12" s="144" t="str">
        <f>IF('[7]Table 11 CWTs exp'!S12/'[7]Table 11 CWTs exp'!$AA12&gt;0.0005,'[7]Table 11 CWTs exp'!S12/'[7]Table 11 CWTs exp'!$AA12,IF('[7]Table 11 CWTs exp'!S12/'[7]Table 11 CWTs exp'!$AA12&gt;0,"-"," "))</f>
        <v xml:space="preserve"> </v>
      </c>
      <c r="T12" s="144" t="str">
        <f>IF('[7]Table 11 CWTs exp'!T12/'[7]Table 11 CWTs exp'!$AA12&gt;0.0005,'[7]Table 11 CWTs exp'!T12/'[7]Table 11 CWTs exp'!$AA12,IF('[7]Table 11 CWTs exp'!T12/'[7]Table 11 CWTs exp'!$AA12&gt;0,"-"," "))</f>
        <v xml:space="preserve"> </v>
      </c>
      <c r="U12" s="144" t="str">
        <f>IF('[7]Table 11 CWTs exp'!U12/'[7]Table 11 CWTs exp'!$AA12&gt;0.0005,'[7]Table 11 CWTs exp'!U12/'[7]Table 11 CWTs exp'!$AA12,IF('[7]Table 11 CWTs exp'!U12/'[7]Table 11 CWTs exp'!$AA12&gt;0,"-"," "))</f>
        <v xml:space="preserve"> </v>
      </c>
      <c r="V12" s="145" t="str">
        <f>IF('[7]Table 11 CWTs exp'!V12/'[7]Table 11 CWTs exp'!$AA12&gt;0.0005,'[7]Table 11 CWTs exp'!V12/'[7]Table 11 CWTs exp'!$AA12,IF('[7]Table 11 CWTs exp'!V12/'[7]Table 11 CWTs exp'!$AA12&gt;0,"-"," "))</f>
        <v xml:space="preserve"> </v>
      </c>
      <c r="W12" s="146" t="str">
        <f>IF('[7]Table 11 CWTs exp'!W12/'[7]Table 11 CWTs exp'!$AA12&gt;0.0005,'[7]Table 11 CWTs exp'!W12/'[7]Table 11 CWTs exp'!$AA12,IF('[7]Table 11 CWTs exp'!W12/'[7]Table 11 CWTs exp'!$AA12&gt;0,"-"," "))</f>
        <v xml:space="preserve"> </v>
      </c>
      <c r="X12" s="206" t="str">
        <f>IF('[7]Table 11 CWTs exp'!X12/'[7]Table 11 CWTs exp'!$AA12&gt;0.0005,'[7]Table 11 CWTs exp'!X12/'[7]Table 11 CWTs exp'!$AA12,IF('[7]Table 11 CWTs exp'!X12/'[7]Table 11 CWTs exp'!$AA12&gt;0,"-"," "))</f>
        <v xml:space="preserve"> </v>
      </c>
      <c r="Y12" s="147">
        <f t="shared" si="0"/>
        <v>0.98429703551511594</v>
      </c>
      <c r="Z12" s="148">
        <f t="shared" si="1"/>
        <v>1.5702964484884063E-2</v>
      </c>
      <c r="AA12" s="38">
        <f>'[7]Table 11 CWTs exp'!AA12</f>
        <v>6814</v>
      </c>
      <c r="AC12" s="592">
        <f>'[7]Table 11 CWTs exp'!AC12</f>
        <v>0.98399999999999999</v>
      </c>
      <c r="AD12" s="592">
        <f t="shared" si="2"/>
        <v>2.9703551511595094E-4</v>
      </c>
      <c r="AE12" s="593" t="str">
        <f t="shared" si="3"/>
        <v>CNFH507</v>
      </c>
      <c r="AF12" s="442"/>
    </row>
    <row r="13" spans="1:32" ht="14.5" customHeight="1" x14ac:dyDescent="0.25">
      <c r="A13" s="54" t="str">
        <f>'[7]Table 11 CWTs exp'!A13</f>
        <v>CNFW527</v>
      </c>
      <c r="B13" s="75" t="str">
        <f>'[7]Table 11 CWTs exp'!B13</f>
        <v>CNFW</v>
      </c>
      <c r="C13" s="75">
        <f>'[7]Table 11 CWTs exp'!C13</f>
        <v>52</v>
      </c>
      <c r="D13" s="75">
        <f>'[7]Table 11 CWTs exp'!D13</f>
        <v>7</v>
      </c>
      <c r="E13" s="3" t="str">
        <f>'[7]Table 11 CWTs exp'!E13</f>
        <v>Coleman Hatchery Fish Trap</v>
      </c>
      <c r="F13" s="37" t="s">
        <v>57</v>
      </c>
      <c r="G13" s="287" t="str">
        <f>IF('[7]Table 11 CWTs exp'!G13/'[7]Table 11 CWTs exp'!$AA13&gt;0.0005,'[7]Table 11 CWTs exp'!G13/'[7]Table 11 CWTs exp'!$AA13,IF('[7]Table 11 CWTs exp'!G13/'[7]Table 11 CWTs exp'!$AA13&gt;0,"-"," "))</f>
        <v xml:space="preserve"> </v>
      </c>
      <c r="H13" s="145">
        <f>IF('[7]Table 11 CWTs exp'!H13/'[7]Table 11 CWTs exp'!$AA13&gt;0.0005,'[7]Table 11 CWTs exp'!H13/'[7]Table 11 CWTs exp'!$AA13,IF('[7]Table 11 CWTs exp'!H13/'[7]Table 11 CWTs exp'!$AA13&gt;0,"-"," "))</f>
        <v>0.84671532846715325</v>
      </c>
      <c r="I13" s="144" t="str">
        <f>IF('[7]Table 11 CWTs exp'!I13/'[7]Table 11 CWTs exp'!$AA13&gt;0.0005,'[7]Table 11 CWTs exp'!I13/'[7]Table 11 CWTs exp'!$AA13,IF('[7]Table 11 CWTs exp'!I13/'[7]Table 11 CWTs exp'!$AA13&gt;0,"-"," "))</f>
        <v xml:space="preserve"> </v>
      </c>
      <c r="J13" s="146" t="str">
        <f>IF('[7]Table 11 CWTs exp'!J13/'[7]Table 11 CWTs exp'!$AA13&gt;0.0005,'[7]Table 11 CWTs exp'!J13/'[7]Table 11 CWTs exp'!$AA13,IF('[7]Table 11 CWTs exp'!J13/'[7]Table 11 CWTs exp'!$AA13&gt;0,"-"," "))</f>
        <v xml:space="preserve"> </v>
      </c>
      <c r="K13" s="144" t="str">
        <f>IF('[7]Table 11 CWTs exp'!K13/'[7]Table 11 CWTs exp'!$AA13&gt;0.0005,'[7]Table 11 CWTs exp'!K13/'[7]Table 11 CWTs exp'!$AA13,IF('[7]Table 11 CWTs exp'!K13/'[7]Table 11 CWTs exp'!$AA13&gt;0,"-"," "))</f>
        <v xml:space="preserve"> </v>
      </c>
      <c r="L13" s="144" t="str">
        <f>IF('[7]Table 11 CWTs exp'!L13/'[7]Table 11 CWTs exp'!$AA13&gt;0.0005,'[7]Table 11 CWTs exp'!L13/'[7]Table 11 CWTs exp'!$AA13,IF('[7]Table 11 CWTs exp'!L13/'[7]Table 11 CWTs exp'!$AA13&gt;0,"-"," "))</f>
        <v xml:space="preserve"> </v>
      </c>
      <c r="M13" s="144" t="str">
        <f>IF('[7]Table 11 CWTs exp'!M13/'[7]Table 11 CWTs exp'!$AA13&gt;0.0005,'[7]Table 11 CWTs exp'!M13/'[7]Table 11 CWTs exp'!$AA13,IF('[7]Table 11 CWTs exp'!M13/'[7]Table 11 CWTs exp'!$AA13&gt;0,"-"," "))</f>
        <v xml:space="preserve"> </v>
      </c>
      <c r="N13" s="144" t="str">
        <f>IF('[7]Table 11 CWTs exp'!N13/'[7]Table 11 CWTs exp'!$AA13&gt;0.0005,'[7]Table 11 CWTs exp'!N13/'[7]Table 11 CWTs exp'!$AA13,IF('[7]Table 11 CWTs exp'!N13/'[7]Table 11 CWTs exp'!$AA13&gt;0,"-"," "))</f>
        <v xml:space="preserve"> </v>
      </c>
      <c r="O13" s="144" t="str">
        <f>IF('[7]Table 11 CWTs exp'!O13/'[7]Table 11 CWTs exp'!$AA13&gt;0.0005,'[7]Table 11 CWTs exp'!O13/'[7]Table 11 CWTs exp'!$AA13,IF('[7]Table 11 CWTs exp'!O13/'[7]Table 11 CWTs exp'!$AA13&gt;0,"-"," "))</f>
        <v xml:space="preserve"> </v>
      </c>
      <c r="P13" s="144" t="str">
        <f>IF('[7]Table 11 CWTs exp'!P13/'[7]Table 11 CWTs exp'!$AA13&gt;0.0005,'[7]Table 11 CWTs exp'!P13/'[7]Table 11 CWTs exp'!$AA13,IF('[7]Table 11 CWTs exp'!P13/'[7]Table 11 CWTs exp'!$AA13&gt;0,"-"," "))</f>
        <v xml:space="preserve"> </v>
      </c>
      <c r="Q13" s="145" t="str">
        <f>IF('[7]Table 11 CWTs exp'!Q13/'[7]Table 11 CWTs exp'!$AA13&gt;0.0005,'[7]Table 11 CWTs exp'!Q13/'[7]Table 11 CWTs exp'!$AA13,IF('[7]Table 11 CWTs exp'!Q13/'[7]Table 11 CWTs exp'!$AA13&gt;0,"-"," "))</f>
        <v xml:space="preserve"> </v>
      </c>
      <c r="R13" s="146" t="str">
        <f>IF('[7]Table 11 CWTs exp'!R13/'[7]Table 11 CWTs exp'!$AA13&gt;0.0005,'[7]Table 11 CWTs exp'!R13/'[7]Table 11 CWTs exp'!$AA13,IF('[7]Table 11 CWTs exp'!R13/'[7]Table 11 CWTs exp'!$AA13&gt;0,"-"," "))</f>
        <v xml:space="preserve"> </v>
      </c>
      <c r="S13" s="144" t="str">
        <f>IF('[7]Table 11 CWTs exp'!S13/'[7]Table 11 CWTs exp'!$AA13&gt;0.0005,'[7]Table 11 CWTs exp'!S13/'[7]Table 11 CWTs exp'!$AA13,IF('[7]Table 11 CWTs exp'!S13/'[7]Table 11 CWTs exp'!$AA13&gt;0,"-"," "))</f>
        <v xml:space="preserve"> </v>
      </c>
      <c r="T13" s="144" t="str">
        <f>IF('[7]Table 11 CWTs exp'!T13/'[7]Table 11 CWTs exp'!$AA13&gt;0.0005,'[7]Table 11 CWTs exp'!T13/'[7]Table 11 CWTs exp'!$AA13,IF('[7]Table 11 CWTs exp'!T13/'[7]Table 11 CWTs exp'!$AA13&gt;0,"-"," "))</f>
        <v xml:space="preserve"> </v>
      </c>
      <c r="U13" s="144" t="str">
        <f>IF('[7]Table 11 CWTs exp'!U13/'[7]Table 11 CWTs exp'!$AA13&gt;0.0005,'[7]Table 11 CWTs exp'!U13/'[7]Table 11 CWTs exp'!$AA13,IF('[7]Table 11 CWTs exp'!U13/'[7]Table 11 CWTs exp'!$AA13&gt;0,"-"," "))</f>
        <v xml:space="preserve"> </v>
      </c>
      <c r="V13" s="145" t="str">
        <f>IF('[7]Table 11 CWTs exp'!V13/'[7]Table 11 CWTs exp'!$AA13&gt;0.0005,'[7]Table 11 CWTs exp'!V13/'[7]Table 11 CWTs exp'!$AA13,IF('[7]Table 11 CWTs exp'!V13/'[7]Table 11 CWTs exp'!$AA13&gt;0,"-"," "))</f>
        <v xml:space="preserve"> </v>
      </c>
      <c r="W13" s="146" t="str">
        <f>IF('[7]Table 11 CWTs exp'!W13/'[7]Table 11 CWTs exp'!$AA13&gt;0.0005,'[7]Table 11 CWTs exp'!W13/'[7]Table 11 CWTs exp'!$AA13,IF('[7]Table 11 CWTs exp'!W13/'[7]Table 11 CWTs exp'!$AA13&gt;0,"-"," "))</f>
        <v xml:space="preserve"> </v>
      </c>
      <c r="X13" s="206" t="str">
        <f>IF('[7]Table 11 CWTs exp'!X13/'[7]Table 11 CWTs exp'!$AA13&gt;0.0005,'[7]Table 11 CWTs exp'!X13/'[7]Table 11 CWTs exp'!$AA13,IF('[7]Table 11 CWTs exp'!X13/'[7]Table 11 CWTs exp'!$AA13&gt;0,"-"," "))</f>
        <v xml:space="preserve"> </v>
      </c>
      <c r="Y13" s="147">
        <f t="shared" si="0"/>
        <v>0.84671532846715325</v>
      </c>
      <c r="Z13" s="148">
        <f t="shared" si="1"/>
        <v>0.15328467153284675</v>
      </c>
      <c r="AA13" s="38">
        <f>'[7]Table 11 CWTs exp'!AA13</f>
        <v>137</v>
      </c>
      <c r="AC13" s="592">
        <f>'[7]Table 11 CWTs exp'!AC13</f>
        <v>0.84699999999999998</v>
      </c>
      <c r="AD13" s="592">
        <f t="shared" si="2"/>
        <v>-2.8467153284672531E-4</v>
      </c>
      <c r="AE13" s="593" t="str">
        <f t="shared" si="3"/>
        <v>CNFW527</v>
      </c>
      <c r="AF13" s="442"/>
    </row>
    <row r="14" spans="1:32" ht="14.15" customHeight="1" x14ac:dyDescent="0.25">
      <c r="A14" s="5"/>
      <c r="E14" s="723" t="s">
        <v>193</v>
      </c>
      <c r="F14" s="723"/>
      <c r="G14" s="304" t="str">
        <f>IF('[7]Table 11 CWTs exp'!G14/'[7]Table 11 CWTs exp'!$AA14&gt;0.0005,'[7]Table 11 CWTs exp'!G14/'[7]Table 11 CWTs exp'!$AA14,IF('[7]Table 11 CWTs exp'!G14/'[7]Table 11 CWTs exp'!$AA14&gt;0,"-"," "))</f>
        <v xml:space="preserve"> </v>
      </c>
      <c r="H14" s="196" t="str">
        <f>IF('[7]Table 11 CWTs exp'!H14/'[7]Table 11 CWTs exp'!$AA14&gt;0.0005,'[7]Table 11 CWTs exp'!H14/'[7]Table 11 CWTs exp'!$AA14,IF('[7]Table 11 CWTs exp'!H14/'[7]Table 11 CWTs exp'!$AA14&gt;0,"-"," "))</f>
        <v>-</v>
      </c>
      <c r="I14" s="195">
        <f>IF('[7]Table 11 CWTs exp'!I14/'[7]Table 11 CWTs exp'!$AA14&gt;0.0005,'[7]Table 11 CWTs exp'!I14/'[7]Table 11 CWTs exp'!$AA14,IF('[7]Table 11 CWTs exp'!I14/'[7]Table 11 CWTs exp'!$AA14&gt;0,"-"," "))</f>
        <v>0.2651824550918086</v>
      </c>
      <c r="J14" s="197">
        <f>IF('[7]Table 11 CWTs exp'!J14/'[7]Table 11 CWTs exp'!$AA14&gt;0.0005,'[7]Table 11 CWTs exp'!J14/'[7]Table 11 CWTs exp'!$AA14,IF('[7]Table 11 CWTs exp'!J14/'[7]Table 11 CWTs exp'!$AA14&gt;0,"-"," "))</f>
        <v>4.8809642394660822E-3</v>
      </c>
      <c r="K14" s="195">
        <f>IF('[7]Table 11 CWTs exp'!K14/'[7]Table 11 CWTs exp'!$AA14&gt;0.0005,'[7]Table 11 CWTs exp'!K14/'[7]Table 11 CWTs exp'!$AA14,IF('[7]Table 11 CWTs exp'!K14/'[7]Table 11 CWTs exp'!$AA14&gt;0,"-"," "))</f>
        <v>3.9197131188365375E-2</v>
      </c>
      <c r="L14" s="195">
        <f>IF('[7]Table 11 CWTs exp'!L14/'[7]Table 11 CWTs exp'!$AA14&gt;0.0005,'[7]Table 11 CWTs exp'!L14/'[7]Table 11 CWTs exp'!$AA14,IF('[7]Table 11 CWTs exp'!L14/'[7]Table 11 CWTs exp'!$AA14&gt;0,"-"," "))</f>
        <v>1.5472988677491119E-2</v>
      </c>
      <c r="M14" s="195">
        <f>IF('[7]Table 11 CWTs exp'!M14/'[7]Table 11 CWTs exp'!$AA14&gt;0.0005,'[7]Table 11 CWTs exp'!M14/'[7]Table 11 CWTs exp'!$AA14,IF('[7]Table 11 CWTs exp'!M14/'[7]Table 11 CWTs exp'!$AA14&gt;0,"-"," "))</f>
        <v>1.1604741508118339E-2</v>
      </c>
      <c r="N14" s="195">
        <f>IF('[7]Table 11 CWTs exp'!N14/'[7]Table 11 CWTs exp'!$AA14&gt;0.0005,'[7]Table 11 CWTs exp'!N14/'[7]Table 11 CWTs exp'!$AA14,IF('[7]Table 11 CWTs exp'!N14/'[7]Table 11 CWTs exp'!$AA14&gt;0,"-"," "))</f>
        <v>0.30504366304744829</v>
      </c>
      <c r="O14" s="195">
        <f>IF('[7]Table 11 CWTs exp'!O14/'[7]Table 11 CWTs exp'!$AA14&gt;0.0005,'[7]Table 11 CWTs exp'!O14/'[7]Table 11 CWTs exp'!$AA14,IF('[7]Table 11 CWTs exp'!O14/'[7]Table 11 CWTs exp'!$AA14&gt;0,"-"," "))</f>
        <v>1.4227844738851811E-2</v>
      </c>
      <c r="P14" s="195">
        <f>IF('[7]Table 11 CWTs exp'!P14/'[7]Table 11 CWTs exp'!$AA14&gt;0.0005,'[7]Table 11 CWTs exp'!P14/'[7]Table 11 CWTs exp'!$AA14,IF('[7]Table 11 CWTs exp'!P14/'[7]Table 11 CWTs exp'!$AA14&gt;0,"-"," "))</f>
        <v>5.644652521831524E-4</v>
      </c>
      <c r="Q14" s="196">
        <f>IF('[7]Table 11 CWTs exp'!Q14/'[7]Table 11 CWTs exp'!$AA14&gt;0.0005,'[7]Table 11 CWTs exp'!Q14/'[7]Table 11 CWTs exp'!$AA14,IF('[7]Table 11 CWTs exp'!Q14/'[7]Table 11 CWTs exp'!$AA14&gt;0,"-"," "))</f>
        <v>4.6518577547564499E-2</v>
      </c>
      <c r="R14" s="197">
        <f>IF('[7]Table 11 CWTs exp'!R14/'[7]Table 11 CWTs exp'!$AA14&gt;0.0005,'[7]Table 11 CWTs exp'!R14/'[7]Table 11 CWTs exp'!$AA14,IF('[7]Table 11 CWTs exp'!R14/'[7]Table 11 CWTs exp'!$AA14&gt;0,"-"," "))</f>
        <v>3.509645715044659E-2</v>
      </c>
      <c r="S14" s="195">
        <f>IF('[7]Table 11 CWTs exp'!S14/'[7]Table 11 CWTs exp'!$AA14&gt;0.0005,'[7]Table 11 CWTs exp'!S14/'[7]Table 11 CWTs exp'!$AA14,IF('[7]Table 11 CWTs exp'!S14/'[7]Table 11 CWTs exp'!$AA14&gt;0,"-"," "))</f>
        <v>4.0840721187369259E-3</v>
      </c>
      <c r="T14" s="195">
        <f>IF('[7]Table 11 CWTs exp'!T14/'[7]Table 11 CWTs exp'!$AA14&gt;0.0005,'[7]Table 11 CWTs exp'!T14/'[7]Table 11 CWTs exp'!$AA14,IF('[7]Table 11 CWTs exp'!T14/'[7]Table 11 CWTs exp'!$AA14&gt;0,"-"," "))</f>
        <v>0.13565428163495699</v>
      </c>
      <c r="U14" s="195">
        <f>IF('[7]Table 11 CWTs exp'!U14/'[7]Table 11 CWTs exp'!$AA14&gt;0.0005,'[7]Table 11 CWTs exp'!U14/'[7]Table 11 CWTs exp'!$AA14,IF('[7]Table 11 CWTs exp'!U14/'[7]Table 11 CWTs exp'!$AA14&gt;0,"-"," "))</f>
        <v>1.6369492313311418E-2</v>
      </c>
      <c r="V14" s="196" t="str">
        <f>IF('[7]Table 11 CWTs exp'!V14/'[7]Table 11 CWTs exp'!$AA14&gt;0.0005,'[7]Table 11 CWTs exp'!V14/'[7]Table 11 CWTs exp'!$AA14,IF('[7]Table 11 CWTs exp'!V14/'[7]Table 11 CWTs exp'!$AA14&gt;0,"-"," "))</f>
        <v>-</v>
      </c>
      <c r="W14" s="197">
        <f>IF('[7]Table 11 CWTs exp'!W14/'[7]Table 11 CWTs exp'!$AA14&gt;0.0005,'[7]Table 11 CWTs exp'!W14/'[7]Table 11 CWTs exp'!$AA14,IF('[7]Table 11 CWTs exp'!W14/'[7]Table 11 CWTs exp'!$AA14&gt;0,"-"," "))</f>
        <v>1.2003187568482917E-2</v>
      </c>
      <c r="X14" s="195" t="str">
        <f>IF('[7]Table 11 CWTs exp'!X14/'[7]Table 11 CWTs exp'!$AA14&gt;0.0005,'[7]Table 11 CWTs exp'!X14/'[7]Table 11 CWTs exp'!$AA14,IF('[7]Table 11 CWTs exp'!X14/'[7]Table 11 CWTs exp'!$AA14&gt;0,"-"," "))</f>
        <v xml:space="preserve"> </v>
      </c>
      <c r="Y14" s="198">
        <f>IF('[7]Table 11 CWTs exp'!Y14&gt;0,'[7]Table 11 CWTs exp'!Y14/'[7]Table 11 CWTs exp'!$AA14," ")</f>
        <v>0.90638177773350603</v>
      </c>
      <c r="Z14" s="199">
        <f>IF('[7]Table 11 CWTs exp'!Z14&gt;0,'[7]Table 11 CWTs exp'!Z14/'[7]Table 11 CWTs exp'!$AA14," ")</f>
        <v>9.3618222266494008E-2</v>
      </c>
      <c r="AA14" s="59">
        <f>'[7]Table 11 CWTs exp'!AA14</f>
        <v>60234</v>
      </c>
      <c r="AB14" s="47"/>
      <c r="AC14" s="592">
        <f>'[7]Table 11 CWTs exp'!AC14</f>
        <v>0.90638177773350603</v>
      </c>
      <c r="AD14" s="592">
        <f t="shared" si="2"/>
        <v>0</v>
      </c>
      <c r="AE14" s="593"/>
      <c r="AF14" s="594"/>
    </row>
    <row r="15" spans="1:32" ht="14.15" customHeight="1" x14ac:dyDescent="0.3">
      <c r="A15" s="5"/>
      <c r="E15" s="26" t="s">
        <v>63</v>
      </c>
      <c r="F15"/>
      <c r="G15" s="287"/>
      <c r="H15" s="157"/>
      <c r="I15" s="151"/>
      <c r="J15" s="158"/>
      <c r="K15" s="151"/>
      <c r="L15" s="151"/>
      <c r="M15" s="151"/>
      <c r="N15" s="151"/>
      <c r="O15" s="151"/>
      <c r="P15" s="151"/>
      <c r="Q15" s="157"/>
      <c r="R15" s="158"/>
      <c r="S15" s="151"/>
      <c r="T15" s="151"/>
      <c r="U15" s="151"/>
      <c r="V15" s="157"/>
      <c r="W15" s="158"/>
      <c r="X15" s="206"/>
      <c r="Y15" s="147"/>
      <c r="Z15" s="148"/>
      <c r="AA15" s="38"/>
      <c r="AC15" s="592"/>
      <c r="AD15" s="592"/>
      <c r="AE15" s="593"/>
      <c r="AF15" s="442"/>
    </row>
    <row r="16" spans="1:32" ht="14.5" customHeight="1" x14ac:dyDescent="0.25">
      <c r="A16" s="54" t="str">
        <f>'[7]Table 11 CWTs exp'!A16</f>
        <v>USAC544</v>
      </c>
      <c r="B16" s="75" t="str">
        <f>'[7]Table 11 CWTs exp'!B16</f>
        <v>USAC</v>
      </c>
      <c r="C16" s="75">
        <f>'[7]Table 11 CWTs exp'!C16</f>
        <v>54</v>
      </c>
      <c r="D16" s="75">
        <f>'[7]Table 11 CWTs exp'!D16</f>
        <v>4</v>
      </c>
      <c r="E16" t="str">
        <f>'[7]Table 11 CWTs exp'!E16</f>
        <v>Upper Sacramento River</v>
      </c>
      <c r="F16" s="37" t="str">
        <f>'[7]Table 11 CWTs exp'!F16</f>
        <v>Winter</v>
      </c>
      <c r="G16" s="322">
        <f>IF('[7]Table 11 CWTs exp'!G16/'[7]Table 11 CWTs exp'!$AA16&gt;0.0005,'[7]Table 11 CWTs exp'!G16/'[7]Table 11 CWTs exp'!$AA16,IF('[7]Table 11 CWTs exp'!G16/'[7]Table 11 CWTs exp'!$AA16&gt;0,"-"," "))</f>
        <v>0.16368481157213552</v>
      </c>
      <c r="H16" s="145" t="str">
        <f>IF('[7]Table 11 CWTs exp'!H16/'[7]Table 11 CWTs exp'!$AA16&gt;0.0005,'[7]Table 11 CWTs exp'!H16/'[7]Table 11 CWTs exp'!$AA16,IF('[7]Table 11 CWTs exp'!H16/'[7]Table 11 CWTs exp'!$AA16&gt;0,"-"," "))</f>
        <v xml:space="preserve"> </v>
      </c>
      <c r="I16" s="144" t="str">
        <f>IF('[7]Table 11 CWTs exp'!I16/'[7]Table 11 CWTs exp'!$AA16&gt;0.0005,'[7]Table 11 CWTs exp'!I16/'[7]Table 11 CWTs exp'!$AA16,IF('[7]Table 11 CWTs exp'!I16/'[7]Table 11 CWTs exp'!$AA16&gt;0,"-"," "))</f>
        <v xml:space="preserve"> </v>
      </c>
      <c r="J16" s="146" t="str">
        <f>IF('[7]Table 11 CWTs exp'!J16/'[7]Table 11 CWTs exp'!$AA16&gt;0.0005,'[7]Table 11 CWTs exp'!J16/'[7]Table 11 CWTs exp'!$AA16,IF('[7]Table 11 CWTs exp'!J16/'[7]Table 11 CWTs exp'!$AA16&gt;0,"-"," "))</f>
        <v xml:space="preserve"> </v>
      </c>
      <c r="K16" s="144" t="str">
        <f>IF('[7]Table 11 CWTs exp'!K16/'[7]Table 11 CWTs exp'!$AA16&gt;0.0005,'[7]Table 11 CWTs exp'!K16/'[7]Table 11 CWTs exp'!$AA16,IF('[7]Table 11 CWTs exp'!K16/'[7]Table 11 CWTs exp'!$AA16&gt;0,"-"," "))</f>
        <v xml:space="preserve"> </v>
      </c>
      <c r="L16" s="144" t="str">
        <f>IF('[7]Table 11 CWTs exp'!L16/'[7]Table 11 CWTs exp'!$AA16&gt;0.0005,'[7]Table 11 CWTs exp'!L16/'[7]Table 11 CWTs exp'!$AA16,IF('[7]Table 11 CWTs exp'!L16/'[7]Table 11 CWTs exp'!$AA16&gt;0,"-"," "))</f>
        <v xml:space="preserve"> </v>
      </c>
      <c r="M16" s="144" t="str">
        <f>IF('[7]Table 11 CWTs exp'!M16/'[7]Table 11 CWTs exp'!$AA16&gt;0.0005,'[7]Table 11 CWTs exp'!M16/'[7]Table 11 CWTs exp'!$AA16,IF('[7]Table 11 CWTs exp'!M16/'[7]Table 11 CWTs exp'!$AA16&gt;0,"-"," "))</f>
        <v xml:space="preserve"> </v>
      </c>
      <c r="N16" s="144" t="str">
        <f>IF('[7]Table 11 CWTs exp'!N16/'[7]Table 11 CWTs exp'!$AA16&gt;0.0005,'[7]Table 11 CWTs exp'!N16/'[7]Table 11 CWTs exp'!$AA16,IF('[7]Table 11 CWTs exp'!N16/'[7]Table 11 CWTs exp'!$AA16&gt;0,"-"," "))</f>
        <v xml:space="preserve"> </v>
      </c>
      <c r="O16" s="144" t="str">
        <f>IF('[7]Table 11 CWTs exp'!O16/'[7]Table 11 CWTs exp'!$AA16&gt;0.0005,'[7]Table 11 CWTs exp'!O16/'[7]Table 11 CWTs exp'!$AA16,IF('[7]Table 11 CWTs exp'!O16/'[7]Table 11 CWTs exp'!$AA16&gt;0,"-"," "))</f>
        <v xml:space="preserve"> </v>
      </c>
      <c r="P16" s="144" t="str">
        <f>IF('[7]Table 11 CWTs exp'!P16/'[7]Table 11 CWTs exp'!$AA16&gt;0.0005,'[7]Table 11 CWTs exp'!P16/'[7]Table 11 CWTs exp'!$AA16,IF('[7]Table 11 CWTs exp'!P16/'[7]Table 11 CWTs exp'!$AA16&gt;0,"-"," "))</f>
        <v xml:space="preserve"> </v>
      </c>
      <c r="Q16" s="145" t="str">
        <f>IF('[7]Table 11 CWTs exp'!Q16/'[7]Table 11 CWTs exp'!$AA16&gt;0.0005,'[7]Table 11 CWTs exp'!Q16/'[7]Table 11 CWTs exp'!$AA16,IF('[7]Table 11 CWTs exp'!Q16/'[7]Table 11 CWTs exp'!$AA16&gt;0,"-"," "))</f>
        <v xml:space="preserve"> </v>
      </c>
      <c r="R16" s="146" t="str">
        <f>IF('[7]Table 11 CWTs exp'!R16/'[7]Table 11 CWTs exp'!$AA16&gt;0.0005,'[7]Table 11 CWTs exp'!R16/'[7]Table 11 CWTs exp'!$AA16,IF('[7]Table 11 CWTs exp'!R16/'[7]Table 11 CWTs exp'!$AA16&gt;0,"-"," "))</f>
        <v xml:space="preserve"> </v>
      </c>
      <c r="S16" s="144" t="str">
        <f>IF('[7]Table 11 CWTs exp'!S16/'[7]Table 11 CWTs exp'!$AA16&gt;0.0005,'[7]Table 11 CWTs exp'!S16/'[7]Table 11 CWTs exp'!$AA16,IF('[7]Table 11 CWTs exp'!S16/'[7]Table 11 CWTs exp'!$AA16&gt;0,"-"," "))</f>
        <v xml:space="preserve"> </v>
      </c>
      <c r="T16" s="144" t="str">
        <f>IF('[7]Table 11 CWTs exp'!T16/'[7]Table 11 CWTs exp'!$AA16&gt;0.0005,'[7]Table 11 CWTs exp'!T16/'[7]Table 11 CWTs exp'!$AA16,IF('[7]Table 11 CWTs exp'!T16/'[7]Table 11 CWTs exp'!$AA16&gt;0,"-"," "))</f>
        <v xml:space="preserve"> </v>
      </c>
      <c r="U16" s="144" t="str">
        <f>IF('[7]Table 11 CWTs exp'!U16/'[7]Table 11 CWTs exp'!$AA16&gt;0.0005,'[7]Table 11 CWTs exp'!U16/'[7]Table 11 CWTs exp'!$AA16,IF('[7]Table 11 CWTs exp'!U16/'[7]Table 11 CWTs exp'!$AA16&gt;0,"-"," "))</f>
        <v xml:space="preserve"> </v>
      </c>
      <c r="V16" s="145" t="str">
        <f>IF('[7]Table 11 CWTs exp'!V16/'[7]Table 11 CWTs exp'!$AA16&gt;0.0005,'[7]Table 11 CWTs exp'!V16/'[7]Table 11 CWTs exp'!$AA16,IF('[7]Table 11 CWTs exp'!V16/'[7]Table 11 CWTs exp'!$AA16&gt;0,"-"," "))</f>
        <v xml:space="preserve"> </v>
      </c>
      <c r="W16" s="146" t="str">
        <f>IF('[7]Table 11 CWTs exp'!W16/'[7]Table 11 CWTs exp'!$AA16&gt;0.0005,'[7]Table 11 CWTs exp'!W16/'[7]Table 11 CWTs exp'!$AA16,IF('[7]Table 11 CWTs exp'!W16/'[7]Table 11 CWTs exp'!$AA16&gt;0,"-"," "))</f>
        <v xml:space="preserve"> </v>
      </c>
      <c r="X16" s="206" t="str">
        <f>IF('[7]Table 11 CWTs exp'!X16/'[7]Table 11 CWTs exp'!$AA16&gt;0.0005,'[7]Table 11 CWTs exp'!X16/'[7]Table 11 CWTs exp'!$AA16,IF('[7]Table 11 CWTs exp'!X16/'[7]Table 11 CWTs exp'!$AA16&gt;0,"-"," "))</f>
        <v xml:space="preserve"> </v>
      </c>
      <c r="Y16" s="147">
        <f t="shared" ref="Y16:Y36" si="4">SUM(G16:X16)</f>
        <v>0.16368481157213552</v>
      </c>
      <c r="Z16" s="148">
        <f t="shared" ref="Z16:Z36" si="5">1-Y16</f>
        <v>0.83631518842786445</v>
      </c>
      <c r="AA16" s="38">
        <f>'[7]Table 11 CWTs exp'!AA16</f>
        <v>2627</v>
      </c>
      <c r="AC16" s="592">
        <f>'[7]Table 11 CWTs exp'!AC16</f>
        <v>0.16400000000000001</v>
      </c>
      <c r="AD16" s="592">
        <f t="shared" si="2"/>
        <v>-3.1518842786448786E-4</v>
      </c>
      <c r="AE16" s="593" t="str">
        <f t="shared" si="3"/>
        <v>USAC544</v>
      </c>
      <c r="AF16" s="442"/>
    </row>
    <row r="17" spans="1:32" ht="14.5" customHeight="1" x14ac:dyDescent="0.25">
      <c r="A17" s="54" t="str">
        <f>'[7]Table 11 CWTs exp'!A17</f>
        <v>BUT541</v>
      </c>
      <c r="B17" s="75" t="str">
        <f>'[7]Table 11 CWTs exp'!B17</f>
        <v>BUT</v>
      </c>
      <c r="C17" s="75">
        <f>'[7]Table 11 CWTs exp'!C17</f>
        <v>54</v>
      </c>
      <c r="D17" s="75">
        <f>'[7]Table 11 CWTs exp'!D17</f>
        <v>1</v>
      </c>
      <c r="E17" s="323" t="str">
        <f>'[7]Table 11 CWTs exp'!E17</f>
        <v>Butte Creek</v>
      </c>
      <c r="F17" s="288" t="str">
        <f>'[7]Table 11 CWTs exp'!F17</f>
        <v>Spring</v>
      </c>
      <c r="G17" s="291" t="str">
        <f>IF('[7]Table 11 CWTs exp'!G17/'[7]Table 11 CWTs exp'!$AA17&gt;0.0005,'[7]Table 11 CWTs exp'!G17/'[7]Table 11 CWTs exp'!$AA17,IF('[7]Table 11 CWTs exp'!G17/'[7]Table 11 CWTs exp'!$AA17&gt;0,"-"," "))</f>
        <v xml:space="preserve"> </v>
      </c>
      <c r="H17" s="290" t="str">
        <f>IF('[7]Table 11 CWTs exp'!H17/'[7]Table 11 CWTs exp'!$AA17&gt;0.0005,'[7]Table 11 CWTs exp'!H17/'[7]Table 11 CWTs exp'!$AA17,IF('[7]Table 11 CWTs exp'!H17/'[7]Table 11 CWTs exp'!$AA17&gt;0,"-"," "))</f>
        <v xml:space="preserve"> </v>
      </c>
      <c r="I17" s="291" t="str">
        <f>IF('[7]Table 11 CWTs exp'!I17/'[7]Table 11 CWTs exp'!$AA17&gt;0.0005,'[7]Table 11 CWTs exp'!I17/'[7]Table 11 CWTs exp'!$AA17,IF('[7]Table 11 CWTs exp'!I17/'[7]Table 11 CWTs exp'!$AA17&gt;0,"-"," "))</f>
        <v xml:space="preserve"> </v>
      </c>
      <c r="J17" s="292" t="str">
        <f>IF('[7]Table 11 CWTs exp'!J17/'[7]Table 11 CWTs exp'!$AA17&gt;0.0005,'[7]Table 11 CWTs exp'!J17/'[7]Table 11 CWTs exp'!$AA17,IF('[7]Table 11 CWTs exp'!J17/'[7]Table 11 CWTs exp'!$AA17&gt;0,"-"," "))</f>
        <v xml:space="preserve"> </v>
      </c>
      <c r="K17" s="291" t="str">
        <f>IF('[7]Table 11 CWTs exp'!K17/'[7]Table 11 CWTs exp'!$AA17&gt;0.0005,'[7]Table 11 CWTs exp'!K17/'[7]Table 11 CWTs exp'!$AA17,IF('[7]Table 11 CWTs exp'!K17/'[7]Table 11 CWTs exp'!$AA17&gt;0,"-"," "))</f>
        <v xml:space="preserve"> </v>
      </c>
      <c r="L17" s="291" t="str">
        <f>IF('[7]Table 11 CWTs exp'!L17/'[7]Table 11 CWTs exp'!$AA17&gt;0.0005,'[7]Table 11 CWTs exp'!L17/'[7]Table 11 CWTs exp'!$AA17,IF('[7]Table 11 CWTs exp'!L17/'[7]Table 11 CWTs exp'!$AA17&gt;0,"-"," "))</f>
        <v xml:space="preserve"> </v>
      </c>
      <c r="M17" s="291" t="str">
        <f>IF('[7]Table 11 CWTs exp'!M17/'[7]Table 11 CWTs exp'!$AA17&gt;0.0005,'[7]Table 11 CWTs exp'!M17/'[7]Table 11 CWTs exp'!$AA17,IF('[7]Table 11 CWTs exp'!M17/'[7]Table 11 CWTs exp'!$AA17&gt;0,"-"," "))</f>
        <v xml:space="preserve"> </v>
      </c>
      <c r="N17" s="291" t="str">
        <f>IF('[7]Table 11 CWTs exp'!N17/'[7]Table 11 CWTs exp'!$AA17&gt;0.0005,'[7]Table 11 CWTs exp'!N17/'[7]Table 11 CWTs exp'!$AA17,IF('[7]Table 11 CWTs exp'!N17/'[7]Table 11 CWTs exp'!$AA17&gt;0,"-"," "))</f>
        <v xml:space="preserve"> </v>
      </c>
      <c r="O17" s="291" t="str">
        <f>IF('[7]Table 11 CWTs exp'!O17/'[7]Table 11 CWTs exp'!$AA17&gt;0.0005,'[7]Table 11 CWTs exp'!O17/'[7]Table 11 CWTs exp'!$AA17,IF('[7]Table 11 CWTs exp'!O17/'[7]Table 11 CWTs exp'!$AA17&gt;0,"-"," "))</f>
        <v xml:space="preserve"> </v>
      </c>
      <c r="P17" s="291" t="str">
        <f>IF('[7]Table 11 CWTs exp'!P17/'[7]Table 11 CWTs exp'!$AA17&gt;0.0005,'[7]Table 11 CWTs exp'!P17/'[7]Table 11 CWTs exp'!$AA17,IF('[7]Table 11 CWTs exp'!P17/'[7]Table 11 CWTs exp'!$AA17&gt;0,"-"," "))</f>
        <v xml:space="preserve"> </v>
      </c>
      <c r="Q17" s="290" t="str">
        <f>IF('[7]Table 11 CWTs exp'!Q17/'[7]Table 11 CWTs exp'!$AA17&gt;0.0005,'[7]Table 11 CWTs exp'!Q17/'[7]Table 11 CWTs exp'!$AA17,IF('[7]Table 11 CWTs exp'!Q17/'[7]Table 11 CWTs exp'!$AA17&gt;0,"-"," "))</f>
        <v xml:space="preserve"> </v>
      </c>
      <c r="R17" s="292" t="str">
        <f>IF('[7]Table 11 CWTs exp'!R17/'[7]Table 11 CWTs exp'!$AA17&gt;0.0005,'[7]Table 11 CWTs exp'!R17/'[7]Table 11 CWTs exp'!$AA17,IF('[7]Table 11 CWTs exp'!R17/'[7]Table 11 CWTs exp'!$AA17&gt;0,"-"," "))</f>
        <v xml:space="preserve"> </v>
      </c>
      <c r="S17" s="291" t="str">
        <f>IF('[7]Table 11 CWTs exp'!S17/'[7]Table 11 CWTs exp'!$AA17&gt;0.0005,'[7]Table 11 CWTs exp'!S17/'[7]Table 11 CWTs exp'!$AA17,IF('[7]Table 11 CWTs exp'!S17/'[7]Table 11 CWTs exp'!$AA17&gt;0,"-"," "))</f>
        <v xml:space="preserve"> </v>
      </c>
      <c r="T17" s="291" t="str">
        <f>IF('[7]Table 11 CWTs exp'!T17/'[7]Table 11 CWTs exp'!$AA17&gt;0.0005,'[7]Table 11 CWTs exp'!T17/'[7]Table 11 CWTs exp'!$AA17,IF('[7]Table 11 CWTs exp'!T17/'[7]Table 11 CWTs exp'!$AA17&gt;0,"-"," "))</f>
        <v xml:space="preserve"> </v>
      </c>
      <c r="U17" s="291" t="str">
        <f>IF('[7]Table 11 CWTs exp'!U17/'[7]Table 11 CWTs exp'!$AA17&gt;0.0005,'[7]Table 11 CWTs exp'!U17/'[7]Table 11 CWTs exp'!$AA17,IF('[7]Table 11 CWTs exp'!U17/'[7]Table 11 CWTs exp'!$AA17&gt;0,"-"," "))</f>
        <v xml:space="preserve"> </v>
      </c>
      <c r="V17" s="290" t="str">
        <f>IF('[7]Table 11 CWTs exp'!V17/'[7]Table 11 CWTs exp'!$AA17&gt;0.0005,'[7]Table 11 CWTs exp'!V17/'[7]Table 11 CWTs exp'!$AA17,IF('[7]Table 11 CWTs exp'!V17/'[7]Table 11 CWTs exp'!$AA17&gt;0,"-"," "))</f>
        <v xml:space="preserve"> </v>
      </c>
      <c r="W17" s="292" t="str">
        <f>IF('[7]Table 11 CWTs exp'!W17/'[7]Table 11 CWTs exp'!$AA17&gt;0.0005,'[7]Table 11 CWTs exp'!W17/'[7]Table 11 CWTs exp'!$AA17,IF('[7]Table 11 CWTs exp'!W17/'[7]Table 11 CWTs exp'!$AA17&gt;0,"-"," "))</f>
        <v xml:space="preserve"> </v>
      </c>
      <c r="X17" s="293" t="str">
        <f>IF('[7]Table 11 CWTs exp'!X17/'[7]Table 11 CWTs exp'!$AA17&gt;0.0005,'[7]Table 11 CWTs exp'!X17/'[7]Table 11 CWTs exp'!$AA17,IF('[7]Table 11 CWTs exp'!X17/'[7]Table 11 CWTs exp'!$AA17&gt;0,"-"," "))</f>
        <v xml:space="preserve"> </v>
      </c>
      <c r="Y17" s="294">
        <f t="shared" si="4"/>
        <v>0</v>
      </c>
      <c r="Z17" s="295">
        <f t="shared" si="5"/>
        <v>1</v>
      </c>
      <c r="AA17" s="256">
        <f>'[7]Table 11 CWTs exp'!AA17</f>
        <v>5083</v>
      </c>
      <c r="AC17" s="592">
        <f>'[7]Table 11 CWTs exp'!AC17</f>
        <v>0</v>
      </c>
      <c r="AD17" s="592">
        <f t="shared" si="2"/>
        <v>0</v>
      </c>
      <c r="AE17" s="593" t="str">
        <f t="shared" si="3"/>
        <v>BUT541</v>
      </c>
      <c r="AF17" s="442"/>
    </row>
    <row r="18" spans="1:32" ht="14.5" customHeight="1" x14ac:dyDescent="0.25">
      <c r="A18" s="54" t="str">
        <f>'[7]Table 11 CWTs exp'!A18</f>
        <v>USAC543</v>
      </c>
      <c r="B18" s="75" t="str">
        <f>'[7]Table 11 CWTs exp'!B18</f>
        <v>USAC</v>
      </c>
      <c r="C18" s="75">
        <f>'[7]Table 11 CWTs exp'!C18</f>
        <v>54</v>
      </c>
      <c r="D18" s="75">
        <f>'[7]Table 11 CWTs exp'!D18</f>
        <v>3</v>
      </c>
      <c r="E18" t="str">
        <f>'[7]Table 11 CWTs exp'!E18</f>
        <v>Upper Sacramento River</v>
      </c>
      <c r="F18" s="37" t="str">
        <f>'[7]Table 11 CWTs exp'!F18</f>
        <v>Fall</v>
      </c>
      <c r="G18" s="144" t="str">
        <f>IF('[7]Table 11 CWTs exp'!G18/'[7]Table 11 CWTs exp'!$AA18&gt;0.0005,'[7]Table 11 CWTs exp'!G18/'[7]Table 11 CWTs exp'!$AA18,IF('[7]Table 11 CWTs exp'!G18/'[7]Table 11 CWTs exp'!$AA18&gt;0,"-"," "))</f>
        <v xml:space="preserve"> </v>
      </c>
      <c r="H18" s="145" t="str">
        <f>IF('[7]Table 11 CWTs exp'!H18/'[7]Table 11 CWTs exp'!$AA18&gt;0.0005,'[7]Table 11 CWTs exp'!H18/'[7]Table 11 CWTs exp'!$AA18,IF('[7]Table 11 CWTs exp'!H18/'[7]Table 11 CWTs exp'!$AA18&gt;0,"-"," "))</f>
        <v xml:space="preserve"> </v>
      </c>
      <c r="I18" s="144">
        <f>IF('[7]Table 11 CWTs exp'!I18/'[7]Table 11 CWTs exp'!$AA18&gt;0.0005,'[7]Table 11 CWTs exp'!I18/'[7]Table 11 CWTs exp'!$AA18,IF('[7]Table 11 CWTs exp'!I18/'[7]Table 11 CWTs exp'!$AA18&gt;0,"-"," "))</f>
        <v>0.15419106575204952</v>
      </c>
      <c r="J18" s="146">
        <f>IF('[7]Table 11 CWTs exp'!J18/'[7]Table 11 CWTs exp'!$AA18&gt;0.0005,'[7]Table 11 CWTs exp'!J18/'[7]Table 11 CWTs exp'!$AA18,IF('[7]Table 11 CWTs exp'!J18/'[7]Table 11 CWTs exp'!$AA18&gt;0,"-"," "))</f>
        <v>3.5469298979421117E-2</v>
      </c>
      <c r="K18" s="144">
        <f>IF('[7]Table 11 CWTs exp'!K18/'[7]Table 11 CWTs exp'!$AA18&gt;0.0005,'[7]Table 11 CWTs exp'!K18/'[7]Table 11 CWTs exp'!$AA18,IF('[7]Table 11 CWTs exp'!K18/'[7]Table 11 CWTs exp'!$AA18&gt;0,"-"," "))</f>
        <v>3.7476995148067595E-3</v>
      </c>
      <c r="L18" s="144">
        <f>IF('[7]Table 11 CWTs exp'!L18/'[7]Table 11 CWTs exp'!$AA18&gt;0.0005,'[7]Table 11 CWTs exp'!L18/'[7]Table 11 CWTs exp'!$AA18,IF('[7]Table 11 CWTs exp'!L18/'[7]Table 11 CWTs exp'!$AA18&gt;0,"-"," "))</f>
        <v>9.0011711560983778E-3</v>
      </c>
      <c r="M18" s="144">
        <f>IF('[7]Table 11 CWTs exp'!M18/'[7]Table 11 CWTs exp'!$AA18&gt;0.0005,'[7]Table 11 CWTs exp'!M18/'[7]Table 11 CWTs exp'!$AA18,IF('[7]Table 11 CWTs exp'!M18/'[7]Table 11 CWTs exp'!$AA18&gt;0,"-"," "))</f>
        <v>8.1980926886397864E-3</v>
      </c>
      <c r="N18" s="144">
        <f>IF('[7]Table 11 CWTs exp'!N18/'[7]Table 11 CWTs exp'!$AA18&gt;0.0005,'[7]Table 11 CWTs exp'!N18/'[7]Table 11 CWTs exp'!$AA18,IF('[7]Table 11 CWTs exp'!N18/'[7]Table 11 CWTs exp'!$AA18&gt;0,"-"," "))</f>
        <v>0.30329596787686131</v>
      </c>
      <c r="O18" s="144">
        <f>IF('[7]Table 11 CWTs exp'!O18/'[7]Table 11 CWTs exp'!$AA18&gt;0.0005,'[7]Table 11 CWTs exp'!O18/'[7]Table 11 CWTs exp'!$AA18,IF('[7]Table 11 CWTs exp'!O18/'[7]Table 11 CWTs exp'!$AA18&gt;0,"-"," "))</f>
        <v>1.927388321900619E-2</v>
      </c>
      <c r="P18" s="144">
        <f>IF('[7]Table 11 CWTs exp'!P18/'[7]Table 11 CWTs exp'!$AA18&gt;0.0005,'[7]Table 11 CWTs exp'!P18/'[7]Table 11 CWTs exp'!$AA18,IF('[7]Table 11 CWTs exp'!P18/'[7]Table 11 CWTs exp'!$AA18&gt;0,"-"," "))</f>
        <v>2.9780826501589427E-3</v>
      </c>
      <c r="Q18" s="145" t="str">
        <f>IF('[7]Table 11 CWTs exp'!Q18/'[7]Table 11 CWTs exp'!$AA18&gt;0.0005,'[7]Table 11 CWTs exp'!Q18/'[7]Table 11 CWTs exp'!$AA18,IF('[7]Table 11 CWTs exp'!Q18/'[7]Table 11 CWTs exp'!$AA18&gt;0,"-"," "))</f>
        <v xml:space="preserve"> </v>
      </c>
      <c r="R18" s="146" t="str">
        <f>IF('[7]Table 11 CWTs exp'!R18/'[7]Table 11 CWTs exp'!$AA18&gt;0.0005,'[7]Table 11 CWTs exp'!R18/'[7]Table 11 CWTs exp'!$AA18,IF('[7]Table 11 CWTs exp'!R18/'[7]Table 11 CWTs exp'!$AA18&gt;0,"-"," "))</f>
        <v xml:space="preserve"> </v>
      </c>
      <c r="S18" s="144" t="str">
        <f>IF('[7]Table 11 CWTs exp'!S18/'[7]Table 11 CWTs exp'!$AA18&gt;0.0005,'[7]Table 11 CWTs exp'!S18/'[7]Table 11 CWTs exp'!$AA18,IF('[7]Table 11 CWTs exp'!S18/'[7]Table 11 CWTs exp'!$AA18&gt;0,"-"," "))</f>
        <v xml:space="preserve"> </v>
      </c>
      <c r="T18" s="144" t="str">
        <f>IF('[7]Table 11 CWTs exp'!T18/'[7]Table 11 CWTs exp'!$AA18&gt;0.0005,'[7]Table 11 CWTs exp'!T18/'[7]Table 11 CWTs exp'!$AA18,IF('[7]Table 11 CWTs exp'!T18/'[7]Table 11 CWTs exp'!$AA18&gt;0,"-"," "))</f>
        <v xml:space="preserve"> </v>
      </c>
      <c r="U18" s="144" t="str">
        <f>IF('[7]Table 11 CWTs exp'!U18/'[7]Table 11 CWTs exp'!$AA18&gt;0.0005,'[7]Table 11 CWTs exp'!U18/'[7]Table 11 CWTs exp'!$AA18,IF('[7]Table 11 CWTs exp'!U18/'[7]Table 11 CWTs exp'!$AA18&gt;0,"-"," "))</f>
        <v xml:space="preserve"> </v>
      </c>
      <c r="V18" s="145" t="str">
        <f>IF('[7]Table 11 CWTs exp'!V18/'[7]Table 11 CWTs exp'!$AA18&gt;0.0005,'[7]Table 11 CWTs exp'!V18/'[7]Table 11 CWTs exp'!$AA18,IF('[7]Table 11 CWTs exp'!V18/'[7]Table 11 CWTs exp'!$AA18&gt;0,"-"," "))</f>
        <v xml:space="preserve"> </v>
      </c>
      <c r="W18" s="146" t="str">
        <f>IF('[7]Table 11 CWTs exp'!W18/'[7]Table 11 CWTs exp'!$AA18&gt;0.0005,'[7]Table 11 CWTs exp'!W18/'[7]Table 11 CWTs exp'!$AA18,IF('[7]Table 11 CWTs exp'!W18/'[7]Table 11 CWTs exp'!$AA18&gt;0,"-"," "))</f>
        <v xml:space="preserve"> </v>
      </c>
      <c r="X18" s="206">
        <f>IF('[7]Table 11 CWTs exp'!X18/'[7]Table 11 CWTs exp'!$AA18&gt;0.0005,'[7]Table 11 CWTs exp'!X18/'[7]Table 11 CWTs exp'!$AA18,IF('[7]Table 11 CWTs exp'!X18/'[7]Table 11 CWTs exp'!$AA18&gt;0,"-"," "))</f>
        <v>3.3126986782666891E-3</v>
      </c>
      <c r="Y18" s="147">
        <f t="shared" si="4"/>
        <v>0.53946796051530865</v>
      </c>
      <c r="Z18" s="148">
        <f t="shared" si="5"/>
        <v>0.46053203948469135</v>
      </c>
      <c r="AA18" s="38">
        <f>'[7]Table 11 CWTs exp'!AA18</f>
        <v>29885</v>
      </c>
      <c r="AC18" s="592">
        <f>'[7]Table 11 CWTs exp'!AC18</f>
        <v>0.54</v>
      </c>
      <c r="AD18" s="592">
        <f t="shared" si="2"/>
        <v>-5.3203948469138229E-4</v>
      </c>
      <c r="AE18" s="593" t="str">
        <f t="shared" si="3"/>
        <v>USAC543</v>
      </c>
      <c r="AF18" s="442"/>
    </row>
    <row r="19" spans="1:32" ht="14.5" customHeight="1" x14ac:dyDescent="0.25">
      <c r="A19" s="54" t="str">
        <f>'[7]Table 11 CWTs exp'!A19</f>
        <v>CLR543</v>
      </c>
      <c r="B19" s="75" t="str">
        <f>'[7]Table 11 CWTs exp'!B19</f>
        <v>CLR</v>
      </c>
      <c r="C19" s="75">
        <f>'[7]Table 11 CWTs exp'!C19</f>
        <v>54</v>
      </c>
      <c r="D19" s="75">
        <f>'[7]Table 11 CWTs exp'!D19</f>
        <v>3</v>
      </c>
      <c r="E19" t="str">
        <f>'[7]Table 11 CWTs exp'!E19</f>
        <v>Clear Creek</v>
      </c>
      <c r="F19" s="37" t="str">
        <f>'[7]Table 11 CWTs exp'!F19</f>
        <v>Fall</v>
      </c>
      <c r="G19" s="144" t="str">
        <f>IF('[7]Table 11 CWTs exp'!G19/'[7]Table 11 CWTs exp'!$AA19&gt;0.0005,'[7]Table 11 CWTs exp'!G19/'[7]Table 11 CWTs exp'!$AA19,IF('[7]Table 11 CWTs exp'!G19/'[7]Table 11 CWTs exp'!$AA19&gt;0,"-"," "))</f>
        <v xml:space="preserve"> </v>
      </c>
      <c r="H19" s="145" t="str">
        <f>IF('[7]Table 11 CWTs exp'!H19/'[7]Table 11 CWTs exp'!$AA19&gt;0.0005,'[7]Table 11 CWTs exp'!H19/'[7]Table 11 CWTs exp'!$AA19,IF('[7]Table 11 CWTs exp'!H19/'[7]Table 11 CWTs exp'!$AA19&gt;0,"-"," "))</f>
        <v xml:space="preserve"> </v>
      </c>
      <c r="I19" s="144">
        <f>IF('[7]Table 11 CWTs exp'!I19/'[7]Table 11 CWTs exp'!$AA19&gt;0.0005,'[7]Table 11 CWTs exp'!I19/'[7]Table 11 CWTs exp'!$AA19,IF('[7]Table 11 CWTs exp'!I19/'[7]Table 11 CWTs exp'!$AA19&gt;0,"-"," "))</f>
        <v>0.21109282005824997</v>
      </c>
      <c r="J19" s="146">
        <f>IF('[7]Table 11 CWTs exp'!J19/'[7]Table 11 CWTs exp'!$AA19&gt;0.0005,'[7]Table 11 CWTs exp'!J19/'[7]Table 11 CWTs exp'!$AA19,IF('[7]Table 11 CWTs exp'!J19/'[7]Table 11 CWTs exp'!$AA19&gt;0,"-"," "))</f>
        <v>1.1903254400405218E-2</v>
      </c>
      <c r="K19" s="144" t="str">
        <f>IF('[7]Table 11 CWTs exp'!K19/'[7]Table 11 CWTs exp'!$AA19&gt;0.0005,'[7]Table 11 CWTs exp'!K19/'[7]Table 11 CWTs exp'!$AA19,IF('[7]Table 11 CWTs exp'!K19/'[7]Table 11 CWTs exp'!$AA19&gt;0,"-"," "))</f>
        <v xml:space="preserve"> </v>
      </c>
      <c r="L19" s="144">
        <f>IF('[7]Table 11 CWTs exp'!L19/'[7]Table 11 CWTs exp'!$AA19&gt;0.0005,'[7]Table 11 CWTs exp'!L19/'[7]Table 11 CWTs exp'!$AA19,IF('[7]Table 11 CWTs exp'!L19/'[7]Table 11 CWTs exp'!$AA19&gt;0,"-"," "))</f>
        <v>1.1080157021653792E-2</v>
      </c>
      <c r="M19" s="144">
        <f>IF('[7]Table 11 CWTs exp'!M19/'[7]Table 11 CWTs exp'!$AA19&gt;0.0005,'[7]Table 11 CWTs exp'!M19/'[7]Table 11 CWTs exp'!$AA19,IF('[7]Table 11 CWTs exp'!M19/'[7]Table 11 CWTs exp'!$AA19&gt;0,"-"," "))</f>
        <v>8.0410282385716091E-3</v>
      </c>
      <c r="N19" s="144">
        <f>IF('[7]Table 11 CWTs exp'!N19/'[7]Table 11 CWTs exp'!$AA19&gt;0.0005,'[7]Table 11 CWTs exp'!N19/'[7]Table 11 CWTs exp'!$AA19,IF('[7]Table 11 CWTs exp'!N19/'[7]Table 11 CWTs exp'!$AA19&gt;0,"-"," "))</f>
        <v>0.30384956312523742</v>
      </c>
      <c r="O19" s="144">
        <f>IF('[7]Table 11 CWTs exp'!O19/'[7]Table 11 CWTs exp'!$AA19&gt;0.0005,'[7]Table 11 CWTs exp'!O19/'[7]Table 11 CWTs exp'!$AA19,IF('[7]Table 11 CWTs exp'!O19/'[7]Table 11 CWTs exp'!$AA19&gt;0,"-"," "))</f>
        <v>1.1966569583386096E-2</v>
      </c>
      <c r="P19" s="144" t="str">
        <f>IF('[7]Table 11 CWTs exp'!P19/'[7]Table 11 CWTs exp'!$AA19&gt;0.0005,'[7]Table 11 CWTs exp'!P19/'[7]Table 11 CWTs exp'!$AA19,IF('[7]Table 11 CWTs exp'!P19/'[7]Table 11 CWTs exp'!$AA19&gt;0,"-"," "))</f>
        <v xml:space="preserve"> </v>
      </c>
      <c r="Q19" s="145">
        <f>IF('[7]Table 11 CWTs exp'!Q19/'[7]Table 11 CWTs exp'!$AA19&gt;0.0005,'[7]Table 11 CWTs exp'!Q19/'[7]Table 11 CWTs exp'!$AA19,IF('[7]Table 11 CWTs exp'!Q19/'[7]Table 11 CWTs exp'!$AA19&gt;0,"-"," "))</f>
        <v>3.9888565277953654E-3</v>
      </c>
      <c r="R19" s="146" t="str">
        <f>IF('[7]Table 11 CWTs exp'!R19/'[7]Table 11 CWTs exp'!$AA19&gt;0.0005,'[7]Table 11 CWTs exp'!R19/'[7]Table 11 CWTs exp'!$AA19,IF('[7]Table 11 CWTs exp'!R19/'[7]Table 11 CWTs exp'!$AA19&gt;0,"-"," "))</f>
        <v xml:space="preserve"> </v>
      </c>
      <c r="S19" s="144" t="str">
        <f>IF('[7]Table 11 CWTs exp'!S19/'[7]Table 11 CWTs exp'!$AA19&gt;0.0005,'[7]Table 11 CWTs exp'!S19/'[7]Table 11 CWTs exp'!$AA19,IF('[7]Table 11 CWTs exp'!S19/'[7]Table 11 CWTs exp'!$AA19&gt;0,"-"," "))</f>
        <v xml:space="preserve"> </v>
      </c>
      <c r="T19" s="144">
        <f>IF('[7]Table 11 CWTs exp'!T19/'[7]Table 11 CWTs exp'!$AA19&gt;0.0005,'[7]Table 11 CWTs exp'!T19/'[7]Table 11 CWTs exp'!$AA19,IF('[7]Table 11 CWTs exp'!T19/'[7]Table 11 CWTs exp'!$AA19&gt;0,"-"," "))</f>
        <v>3.9888565277953654E-3</v>
      </c>
      <c r="U19" s="144" t="str">
        <f>IF('[7]Table 11 CWTs exp'!U19/'[7]Table 11 CWTs exp'!$AA19&gt;0.0005,'[7]Table 11 CWTs exp'!U19/'[7]Table 11 CWTs exp'!$AA19,IF('[7]Table 11 CWTs exp'!U19/'[7]Table 11 CWTs exp'!$AA19&gt;0,"-"," "))</f>
        <v xml:space="preserve"> </v>
      </c>
      <c r="V19" s="145" t="str">
        <f>IF('[7]Table 11 CWTs exp'!V19/'[7]Table 11 CWTs exp'!$AA19&gt;0.0005,'[7]Table 11 CWTs exp'!V19/'[7]Table 11 CWTs exp'!$AA19,IF('[7]Table 11 CWTs exp'!V19/'[7]Table 11 CWTs exp'!$AA19&gt;0,"-"," "))</f>
        <v xml:space="preserve"> </v>
      </c>
      <c r="W19" s="146" t="str">
        <f>IF('[7]Table 11 CWTs exp'!W19/'[7]Table 11 CWTs exp'!$AA19&gt;0.0005,'[7]Table 11 CWTs exp'!W19/'[7]Table 11 CWTs exp'!$AA19,IF('[7]Table 11 CWTs exp'!W19/'[7]Table 11 CWTs exp'!$AA19&gt;0,"-"," "))</f>
        <v xml:space="preserve"> </v>
      </c>
      <c r="X19" s="206" t="str">
        <f>IF('[7]Table 11 CWTs exp'!X19/'[7]Table 11 CWTs exp'!$AA19&gt;0.0005,'[7]Table 11 CWTs exp'!X19/'[7]Table 11 CWTs exp'!$AA19,IF('[7]Table 11 CWTs exp'!X19/'[7]Table 11 CWTs exp'!$AA19&gt;0,"-"," "))</f>
        <v xml:space="preserve"> </v>
      </c>
      <c r="Y19" s="147">
        <f t="shared" si="4"/>
        <v>0.56591110548309476</v>
      </c>
      <c r="Z19" s="148">
        <f t="shared" si="5"/>
        <v>0.43408889451690524</v>
      </c>
      <c r="AA19" s="38">
        <f>'[7]Table 11 CWTs exp'!AA19</f>
        <v>15794</v>
      </c>
      <c r="AC19" s="592">
        <f>'[7]Table 11 CWTs exp'!AC19</f>
        <v>0.56599999999999995</v>
      </c>
      <c r="AD19" s="592">
        <f t="shared" si="2"/>
        <v>-8.8894516905191345E-5</v>
      </c>
      <c r="AE19" s="593" t="str">
        <f t="shared" si="3"/>
        <v>CLR543</v>
      </c>
      <c r="AF19" s="442"/>
    </row>
    <row r="20" spans="1:32" ht="14.5" customHeight="1" x14ac:dyDescent="0.25">
      <c r="A20" s="54" t="str">
        <f>'[7]Table 11 CWTs exp'!A20</f>
        <v>BATT543</v>
      </c>
      <c r="B20" s="75" t="str">
        <f>'[7]Table 11 CWTs exp'!B20</f>
        <v>BATT</v>
      </c>
      <c r="C20" s="75">
        <f>'[7]Table 11 CWTs exp'!C20</f>
        <v>54</v>
      </c>
      <c r="D20" s="75">
        <f>'[7]Table 11 CWTs exp'!D20</f>
        <v>3</v>
      </c>
      <c r="E20" t="str">
        <f>'[7]Table 11 CWTs exp'!E20</f>
        <v>Battle Creek</v>
      </c>
      <c r="F20" s="28" t="s">
        <v>219</v>
      </c>
      <c r="G20" s="144" t="str">
        <f>IF('[7]Table 11 CWTs exp'!G20/'[7]Table 11 CWTs exp'!$AA20&gt;0.0005,'[7]Table 11 CWTs exp'!G20/'[7]Table 11 CWTs exp'!$AA20,IF('[7]Table 11 CWTs exp'!G20/'[7]Table 11 CWTs exp'!$AA20&gt;0,"-"," "))</f>
        <v xml:space="preserve"> </v>
      </c>
      <c r="H20" s="145" t="str">
        <f>IF('[7]Table 11 CWTs exp'!H20/'[7]Table 11 CWTs exp'!$AA20&gt;0.0005,'[7]Table 11 CWTs exp'!H20/'[7]Table 11 CWTs exp'!$AA20,IF('[7]Table 11 CWTs exp'!H20/'[7]Table 11 CWTs exp'!$AA20&gt;0,"-"," "))</f>
        <v xml:space="preserve"> </v>
      </c>
      <c r="I20" s="144">
        <f>IF('[7]Table 11 CWTs exp'!I20/'[7]Table 11 CWTs exp'!$AA20&gt;0.0005,'[7]Table 11 CWTs exp'!I20/'[7]Table 11 CWTs exp'!$AA20,IF('[7]Table 11 CWTs exp'!I20/'[7]Table 11 CWTs exp'!$AA20&gt;0,"-"," "))</f>
        <v>0.84722483537158988</v>
      </c>
      <c r="J20" s="146">
        <f>IF('[7]Table 11 CWTs exp'!J20/'[7]Table 11 CWTs exp'!$AA20&gt;0.0005,'[7]Table 11 CWTs exp'!J20/'[7]Table 11 CWTs exp'!$AA20,IF('[7]Table 11 CWTs exp'!J20/'[7]Table 11 CWTs exp'!$AA20&gt;0,"-"," "))</f>
        <v>8.1279397930385695E-3</v>
      </c>
      <c r="K20" s="144" t="str">
        <f>IF('[7]Table 11 CWTs exp'!K20/'[7]Table 11 CWTs exp'!$AA20&gt;0.0005,'[7]Table 11 CWTs exp'!K20/'[7]Table 11 CWTs exp'!$AA20,IF('[7]Table 11 CWTs exp'!K20/'[7]Table 11 CWTs exp'!$AA20&gt;0,"-"," "))</f>
        <v>-</v>
      </c>
      <c r="L20" s="144" t="str">
        <f>IF('[7]Table 11 CWTs exp'!L20/'[7]Table 11 CWTs exp'!$AA20&gt;0.0005,'[7]Table 11 CWTs exp'!L20/'[7]Table 11 CWTs exp'!$AA20,IF('[7]Table 11 CWTs exp'!L20/'[7]Table 11 CWTs exp'!$AA20&gt;0,"-"," "))</f>
        <v>-</v>
      </c>
      <c r="M20" s="144">
        <f>IF('[7]Table 11 CWTs exp'!M20/'[7]Table 11 CWTs exp'!$AA20&gt;0.0005,'[7]Table 11 CWTs exp'!M20/'[7]Table 11 CWTs exp'!$AA20,IF('[7]Table 11 CWTs exp'!M20/'[7]Table 11 CWTs exp'!$AA20&gt;0,"-"," "))</f>
        <v>6.3969896519285041E-4</v>
      </c>
      <c r="N20" s="144">
        <f>IF('[7]Table 11 CWTs exp'!N20/'[7]Table 11 CWTs exp'!$AA20&gt;0.0005,'[7]Table 11 CWTs exp'!N20/'[7]Table 11 CWTs exp'!$AA20,IF('[7]Table 11 CWTs exp'!N20/'[7]Table 11 CWTs exp'!$AA20&gt;0,"-"," "))</f>
        <v>3.0743179680150518E-2</v>
      </c>
      <c r="O20" s="144">
        <f>IF('[7]Table 11 CWTs exp'!O20/'[7]Table 11 CWTs exp'!$AA20&gt;0.0005,'[7]Table 11 CWTs exp'!O20/'[7]Table 11 CWTs exp'!$AA20,IF('[7]Table 11 CWTs exp'!O20/'[7]Table 11 CWTs exp'!$AA20&gt;0,"-"," "))</f>
        <v>3.0856067732831609E-3</v>
      </c>
      <c r="P20" s="144" t="str">
        <f>IF('[7]Table 11 CWTs exp'!P20/'[7]Table 11 CWTs exp'!$AA20&gt;0.0005,'[7]Table 11 CWTs exp'!P20/'[7]Table 11 CWTs exp'!$AA20,IF('[7]Table 11 CWTs exp'!P20/'[7]Table 11 CWTs exp'!$AA20&gt;0,"-"," "))</f>
        <v>-</v>
      </c>
      <c r="Q20" s="145" t="str">
        <f>IF('[7]Table 11 CWTs exp'!Q20/'[7]Table 11 CWTs exp'!$AA20&gt;0.0005,'[7]Table 11 CWTs exp'!Q20/'[7]Table 11 CWTs exp'!$AA20,IF('[7]Table 11 CWTs exp'!Q20/'[7]Table 11 CWTs exp'!$AA20&gt;0,"-"," "))</f>
        <v xml:space="preserve"> </v>
      </c>
      <c r="R20" s="146" t="str">
        <f>IF('[7]Table 11 CWTs exp'!R20/'[7]Table 11 CWTs exp'!$AA20&gt;0.0005,'[7]Table 11 CWTs exp'!R20/'[7]Table 11 CWTs exp'!$AA20,IF('[7]Table 11 CWTs exp'!R20/'[7]Table 11 CWTs exp'!$AA20&gt;0,"-"," "))</f>
        <v>-</v>
      </c>
      <c r="S20" s="144" t="str">
        <f>IF('[7]Table 11 CWTs exp'!S20/'[7]Table 11 CWTs exp'!$AA20&gt;0.0005,'[7]Table 11 CWTs exp'!S20/'[7]Table 11 CWTs exp'!$AA20,IF('[7]Table 11 CWTs exp'!S20/'[7]Table 11 CWTs exp'!$AA20&gt;0,"-"," "))</f>
        <v xml:space="preserve"> </v>
      </c>
      <c r="T20" s="144" t="str">
        <f>IF('[7]Table 11 CWTs exp'!T20/'[7]Table 11 CWTs exp'!$AA20&gt;0.0005,'[7]Table 11 CWTs exp'!T20/'[7]Table 11 CWTs exp'!$AA20,IF('[7]Table 11 CWTs exp'!T20/'[7]Table 11 CWTs exp'!$AA20&gt;0,"-"," "))</f>
        <v>-</v>
      </c>
      <c r="U20" s="144" t="str">
        <f>IF('[7]Table 11 CWTs exp'!U20/'[7]Table 11 CWTs exp'!$AA20&gt;0.0005,'[7]Table 11 CWTs exp'!U20/'[7]Table 11 CWTs exp'!$AA20,IF('[7]Table 11 CWTs exp'!U20/'[7]Table 11 CWTs exp'!$AA20&gt;0,"-"," "))</f>
        <v xml:space="preserve"> </v>
      </c>
      <c r="V20" s="145" t="str">
        <f>IF('[7]Table 11 CWTs exp'!V20/'[7]Table 11 CWTs exp'!$AA20&gt;0.0005,'[7]Table 11 CWTs exp'!V20/'[7]Table 11 CWTs exp'!$AA20,IF('[7]Table 11 CWTs exp'!V20/'[7]Table 11 CWTs exp'!$AA20&gt;0,"-"," "))</f>
        <v xml:space="preserve"> </v>
      </c>
      <c r="W20" s="146">
        <f>IF('[7]Table 11 CWTs exp'!W20/'[7]Table 11 CWTs exp'!$AA20&gt;0.0005,'[7]Table 11 CWTs exp'!W20/'[7]Table 11 CWTs exp'!$AA20,IF('[7]Table 11 CWTs exp'!W20/'[7]Table 11 CWTs exp'!$AA20&gt;0,"-"," "))</f>
        <v>1.8814675446848542E-3</v>
      </c>
      <c r="X20" s="206" t="str">
        <f>IF('[7]Table 11 CWTs exp'!X20/'[7]Table 11 CWTs exp'!$AA20&gt;0.0005,'[7]Table 11 CWTs exp'!X20/'[7]Table 11 CWTs exp'!$AA20,IF('[7]Table 11 CWTs exp'!X20/'[7]Table 11 CWTs exp'!$AA20&gt;0,"-"," "))</f>
        <v xml:space="preserve"> </v>
      </c>
      <c r="Y20" s="147">
        <f t="shared" si="4"/>
        <v>0.89170272812793994</v>
      </c>
      <c r="Z20" s="148">
        <f t="shared" si="5"/>
        <v>0.10829727187206006</v>
      </c>
      <c r="AA20" s="38">
        <f>'[7]Table 11 CWTs exp'!AA20</f>
        <v>26575</v>
      </c>
      <c r="AC20" s="592">
        <f>'[7]Table 11 CWTs exp'!AC20</f>
        <v>0.89271872060206958</v>
      </c>
      <c r="AD20" s="592">
        <f t="shared" si="2"/>
        <v>-1.0159924741296456E-3</v>
      </c>
      <c r="AE20" s="593" t="str">
        <f t="shared" si="3"/>
        <v>BATT543</v>
      </c>
      <c r="AF20" s="442"/>
    </row>
    <row r="21" spans="1:32" ht="14.5" customHeight="1" x14ac:dyDescent="0.25">
      <c r="A21" s="54" t="str">
        <f>'[7]Table 11 CWTs exp'!A21</f>
        <v>COT543</v>
      </c>
      <c r="B21" s="75" t="str">
        <f>'[7]Table 11 CWTs exp'!B21</f>
        <v>COT</v>
      </c>
      <c r="C21" s="75">
        <f>'[7]Table 11 CWTs exp'!C21</f>
        <v>54</v>
      </c>
      <c r="D21" s="75">
        <f>'[7]Table 11 CWTs exp'!D21</f>
        <v>3</v>
      </c>
      <c r="E21" t="str">
        <f>'[7]Table 11 CWTs exp'!E21</f>
        <v>Cottonwood Creek</v>
      </c>
      <c r="F21" s="37" t="str">
        <f>'[7]Table 11 CWTs exp'!F21</f>
        <v>Fall</v>
      </c>
      <c r="G21" s="144" t="str">
        <f>IF('[7]Table 11 CWTs exp'!G21/'[7]Table 11 CWTs exp'!$AA21&gt;0.0005,'[7]Table 11 CWTs exp'!G21/'[7]Table 11 CWTs exp'!$AA21,IF('[7]Table 11 CWTs exp'!G21/'[7]Table 11 CWTs exp'!$AA21&gt;0,"-"," "))</f>
        <v xml:space="preserve"> </v>
      </c>
      <c r="H21" s="145" t="str">
        <f>IF('[7]Table 11 CWTs exp'!H21/'[7]Table 11 CWTs exp'!$AA21&gt;0.0005,'[7]Table 11 CWTs exp'!H21/'[7]Table 11 CWTs exp'!$AA21,IF('[7]Table 11 CWTs exp'!H21/'[7]Table 11 CWTs exp'!$AA21&gt;0,"-"," "))</f>
        <v xml:space="preserve"> </v>
      </c>
      <c r="I21" s="144">
        <f>IF('[7]Table 11 CWTs exp'!I21/'[7]Table 11 CWTs exp'!$AA21&gt;0.0005,'[7]Table 11 CWTs exp'!I21/'[7]Table 11 CWTs exp'!$AA21,IF('[7]Table 11 CWTs exp'!I21/'[7]Table 11 CWTs exp'!$AA21&gt;0,"-"," "))</f>
        <v>0.37113402061855671</v>
      </c>
      <c r="J21" s="146" t="str">
        <f>IF('[7]Table 11 CWTs exp'!J21/'[7]Table 11 CWTs exp'!$AA21&gt;0.0005,'[7]Table 11 CWTs exp'!J21/'[7]Table 11 CWTs exp'!$AA21,IF('[7]Table 11 CWTs exp'!J21/'[7]Table 11 CWTs exp'!$AA21&gt;0,"-"," "))</f>
        <v xml:space="preserve"> </v>
      </c>
      <c r="K21" s="144" t="str">
        <f>IF('[7]Table 11 CWTs exp'!K21/'[7]Table 11 CWTs exp'!$AA21&gt;0.0005,'[7]Table 11 CWTs exp'!K21/'[7]Table 11 CWTs exp'!$AA21,IF('[7]Table 11 CWTs exp'!K21/'[7]Table 11 CWTs exp'!$AA21&gt;0,"-"," "))</f>
        <v xml:space="preserve"> </v>
      </c>
      <c r="L21" s="144" t="str">
        <f>IF('[7]Table 11 CWTs exp'!L21/'[7]Table 11 CWTs exp'!$AA21&gt;0.0005,'[7]Table 11 CWTs exp'!L21/'[7]Table 11 CWTs exp'!$AA21,IF('[7]Table 11 CWTs exp'!L21/'[7]Table 11 CWTs exp'!$AA21&gt;0,"-"," "))</f>
        <v xml:space="preserve"> </v>
      </c>
      <c r="M21" s="144" t="str">
        <f>IF('[7]Table 11 CWTs exp'!M21/'[7]Table 11 CWTs exp'!$AA21&gt;0.0005,'[7]Table 11 CWTs exp'!M21/'[7]Table 11 CWTs exp'!$AA21,IF('[7]Table 11 CWTs exp'!M21/'[7]Table 11 CWTs exp'!$AA21&gt;0,"-"," "))</f>
        <v xml:space="preserve"> </v>
      </c>
      <c r="N21" s="144">
        <f>IF('[7]Table 11 CWTs exp'!N21/'[7]Table 11 CWTs exp'!$AA21&gt;0.0005,'[7]Table 11 CWTs exp'!N21/'[7]Table 11 CWTs exp'!$AA21,IF('[7]Table 11 CWTs exp'!N21/'[7]Table 11 CWTs exp'!$AA21&gt;0,"-"," "))</f>
        <v>3.711340206185567E-2</v>
      </c>
      <c r="O21" s="144" t="str">
        <f>IF('[7]Table 11 CWTs exp'!O21/'[7]Table 11 CWTs exp'!$AA21&gt;0.0005,'[7]Table 11 CWTs exp'!O21/'[7]Table 11 CWTs exp'!$AA21,IF('[7]Table 11 CWTs exp'!O21/'[7]Table 11 CWTs exp'!$AA21&gt;0,"-"," "))</f>
        <v xml:space="preserve"> </v>
      </c>
      <c r="P21" s="144" t="str">
        <f>IF('[7]Table 11 CWTs exp'!P21/'[7]Table 11 CWTs exp'!$AA21&gt;0.0005,'[7]Table 11 CWTs exp'!P21/'[7]Table 11 CWTs exp'!$AA21,IF('[7]Table 11 CWTs exp'!P21/'[7]Table 11 CWTs exp'!$AA21&gt;0,"-"," "))</f>
        <v xml:space="preserve"> </v>
      </c>
      <c r="Q21" s="145" t="str">
        <f>IF('[7]Table 11 CWTs exp'!Q21/'[7]Table 11 CWTs exp'!$AA21&gt;0.0005,'[7]Table 11 CWTs exp'!Q21/'[7]Table 11 CWTs exp'!$AA21,IF('[7]Table 11 CWTs exp'!Q21/'[7]Table 11 CWTs exp'!$AA21&gt;0,"-"," "))</f>
        <v xml:space="preserve"> </v>
      </c>
      <c r="R21" s="146" t="str">
        <f>IF('[7]Table 11 CWTs exp'!R21/'[7]Table 11 CWTs exp'!$AA21&gt;0.0005,'[7]Table 11 CWTs exp'!R21/'[7]Table 11 CWTs exp'!$AA21,IF('[7]Table 11 CWTs exp'!R21/'[7]Table 11 CWTs exp'!$AA21&gt;0,"-"," "))</f>
        <v xml:space="preserve"> </v>
      </c>
      <c r="S21" s="144" t="str">
        <f>IF('[7]Table 11 CWTs exp'!S21/'[7]Table 11 CWTs exp'!$AA21&gt;0.0005,'[7]Table 11 CWTs exp'!S21/'[7]Table 11 CWTs exp'!$AA21,IF('[7]Table 11 CWTs exp'!S21/'[7]Table 11 CWTs exp'!$AA21&gt;0,"-"," "))</f>
        <v xml:space="preserve"> </v>
      </c>
      <c r="T21" s="144" t="str">
        <f>IF('[7]Table 11 CWTs exp'!T21/'[7]Table 11 CWTs exp'!$AA21&gt;0.0005,'[7]Table 11 CWTs exp'!T21/'[7]Table 11 CWTs exp'!$AA21,IF('[7]Table 11 CWTs exp'!T21/'[7]Table 11 CWTs exp'!$AA21&gt;0,"-"," "))</f>
        <v xml:space="preserve"> </v>
      </c>
      <c r="U21" s="144" t="str">
        <f>IF('[7]Table 11 CWTs exp'!U21/'[7]Table 11 CWTs exp'!$AA21&gt;0.0005,'[7]Table 11 CWTs exp'!U21/'[7]Table 11 CWTs exp'!$AA21,IF('[7]Table 11 CWTs exp'!U21/'[7]Table 11 CWTs exp'!$AA21&gt;0,"-"," "))</f>
        <v xml:space="preserve"> </v>
      </c>
      <c r="V21" s="145" t="str">
        <f>IF('[7]Table 11 CWTs exp'!V21/'[7]Table 11 CWTs exp'!$AA21&gt;0.0005,'[7]Table 11 CWTs exp'!V21/'[7]Table 11 CWTs exp'!$AA21,IF('[7]Table 11 CWTs exp'!V21/'[7]Table 11 CWTs exp'!$AA21&gt;0,"-"," "))</f>
        <v xml:space="preserve"> </v>
      </c>
      <c r="W21" s="146" t="str">
        <f>IF('[7]Table 11 CWTs exp'!W21/'[7]Table 11 CWTs exp'!$AA21&gt;0.0005,'[7]Table 11 CWTs exp'!W21/'[7]Table 11 CWTs exp'!$AA21,IF('[7]Table 11 CWTs exp'!W21/'[7]Table 11 CWTs exp'!$AA21&gt;0,"-"," "))</f>
        <v xml:space="preserve"> </v>
      </c>
      <c r="X21" s="206" t="str">
        <f>IF('[7]Table 11 CWTs exp'!X21/'[7]Table 11 CWTs exp'!$AA21&gt;0.0005,'[7]Table 11 CWTs exp'!X21/'[7]Table 11 CWTs exp'!$AA21,IF('[7]Table 11 CWTs exp'!X21/'[7]Table 11 CWTs exp'!$AA21&gt;0,"-"," "))</f>
        <v xml:space="preserve"> </v>
      </c>
      <c r="Y21" s="147">
        <f t="shared" si="4"/>
        <v>0.40824742268041236</v>
      </c>
      <c r="Z21" s="148">
        <f t="shared" si="5"/>
        <v>0.59175257731958764</v>
      </c>
      <c r="AA21" s="38">
        <f>'[7]Table 11 CWTs exp'!AA21</f>
        <v>1940</v>
      </c>
      <c r="AC21" s="592">
        <f>'[7]Table 11 CWTs exp'!AC21</f>
        <v>0.40799999999999997</v>
      </c>
      <c r="AD21" s="592">
        <f t="shared" si="2"/>
        <v>2.4742268041239024E-4</v>
      </c>
      <c r="AE21" s="593" t="str">
        <f t="shared" si="3"/>
        <v>COT543</v>
      </c>
      <c r="AF21" s="442"/>
    </row>
    <row r="22" spans="1:32" ht="14.5" customHeight="1" x14ac:dyDescent="0.25">
      <c r="A22" s="54" t="str">
        <f>'[7]Table 11 CWTs exp'!A22</f>
        <v>PAY543</v>
      </c>
      <c r="B22" s="75" t="str">
        <f>'[7]Table 11 CWTs exp'!B22</f>
        <v>PAY</v>
      </c>
      <c r="C22" s="75">
        <f>'[7]Table 11 CWTs exp'!C22</f>
        <v>54</v>
      </c>
      <c r="D22" s="75">
        <f>'[7]Table 11 CWTs exp'!D22</f>
        <v>3</v>
      </c>
      <c r="E22" t="str">
        <f>'[7]Table 11 CWTs exp'!E22</f>
        <v>Paynes Creek</v>
      </c>
      <c r="F22" s="37" t="str">
        <f>'[7]Table 11 CWTs exp'!F22</f>
        <v>Fall</v>
      </c>
      <c r="G22" s="144" t="str">
        <f>IF('[7]Table 11 CWTs exp'!G22/'[7]Table 11 CWTs exp'!$AA22&gt;0.0005,'[7]Table 11 CWTs exp'!G22/'[7]Table 11 CWTs exp'!$AA22,IF('[7]Table 11 CWTs exp'!G22/'[7]Table 11 CWTs exp'!$AA22&gt;0,"-"," "))</f>
        <v xml:space="preserve"> </v>
      </c>
      <c r="H22" s="145" t="str">
        <f>IF('[7]Table 11 CWTs exp'!H22/'[7]Table 11 CWTs exp'!$AA22&gt;0.0005,'[7]Table 11 CWTs exp'!H22/'[7]Table 11 CWTs exp'!$AA22,IF('[7]Table 11 CWTs exp'!H22/'[7]Table 11 CWTs exp'!$AA22&gt;0,"-"," "))</f>
        <v xml:space="preserve"> </v>
      </c>
      <c r="I22" s="144">
        <f>IF('[7]Table 11 CWTs exp'!I22/'[7]Table 11 CWTs exp'!$AA22&gt;0.0005,'[7]Table 11 CWTs exp'!I22/'[7]Table 11 CWTs exp'!$AA22,IF('[7]Table 11 CWTs exp'!I22/'[7]Table 11 CWTs exp'!$AA22&gt;0,"-"," "))</f>
        <v>0.54166666666666663</v>
      </c>
      <c r="J22" s="146" t="str">
        <f>IF('[7]Table 11 CWTs exp'!J22/'[7]Table 11 CWTs exp'!$AA22&gt;0.0005,'[7]Table 11 CWTs exp'!J22/'[7]Table 11 CWTs exp'!$AA22,IF('[7]Table 11 CWTs exp'!J22/'[7]Table 11 CWTs exp'!$AA22&gt;0,"-"," "))</f>
        <v xml:space="preserve"> </v>
      </c>
      <c r="K22" s="144" t="str">
        <f>IF('[7]Table 11 CWTs exp'!K22/'[7]Table 11 CWTs exp'!$AA22&gt;0.0005,'[7]Table 11 CWTs exp'!K22/'[7]Table 11 CWTs exp'!$AA22,IF('[7]Table 11 CWTs exp'!K22/'[7]Table 11 CWTs exp'!$AA22&gt;0,"-"," "))</f>
        <v xml:space="preserve"> </v>
      </c>
      <c r="L22" s="144" t="str">
        <f>IF('[7]Table 11 CWTs exp'!L22/'[7]Table 11 CWTs exp'!$AA22&gt;0.0005,'[7]Table 11 CWTs exp'!L22/'[7]Table 11 CWTs exp'!$AA22,IF('[7]Table 11 CWTs exp'!L22/'[7]Table 11 CWTs exp'!$AA22&gt;0,"-"," "))</f>
        <v xml:space="preserve"> </v>
      </c>
      <c r="M22" s="144" t="str">
        <f>IF('[7]Table 11 CWTs exp'!M22/'[7]Table 11 CWTs exp'!$AA22&gt;0.0005,'[7]Table 11 CWTs exp'!M22/'[7]Table 11 CWTs exp'!$AA22,IF('[7]Table 11 CWTs exp'!M22/'[7]Table 11 CWTs exp'!$AA22&gt;0,"-"," "))</f>
        <v xml:space="preserve"> </v>
      </c>
      <c r="N22" s="144" t="str">
        <f>IF('[7]Table 11 CWTs exp'!N22/'[7]Table 11 CWTs exp'!$AA22&gt;0.0005,'[7]Table 11 CWTs exp'!N22/'[7]Table 11 CWTs exp'!$AA22,IF('[7]Table 11 CWTs exp'!N22/'[7]Table 11 CWTs exp'!$AA22&gt;0,"-"," "))</f>
        <v xml:space="preserve"> </v>
      </c>
      <c r="O22" s="144" t="str">
        <f>IF('[7]Table 11 CWTs exp'!O22/'[7]Table 11 CWTs exp'!$AA22&gt;0.0005,'[7]Table 11 CWTs exp'!O22/'[7]Table 11 CWTs exp'!$AA22,IF('[7]Table 11 CWTs exp'!O22/'[7]Table 11 CWTs exp'!$AA22&gt;0,"-"," "))</f>
        <v xml:space="preserve"> </v>
      </c>
      <c r="P22" s="144" t="str">
        <f>IF('[7]Table 11 CWTs exp'!P22/'[7]Table 11 CWTs exp'!$AA22&gt;0.0005,'[7]Table 11 CWTs exp'!P22/'[7]Table 11 CWTs exp'!$AA22,IF('[7]Table 11 CWTs exp'!P22/'[7]Table 11 CWTs exp'!$AA22&gt;0,"-"," "))</f>
        <v xml:space="preserve"> </v>
      </c>
      <c r="Q22" s="145" t="str">
        <f>IF('[7]Table 11 CWTs exp'!Q22/'[7]Table 11 CWTs exp'!$AA22&gt;0.0005,'[7]Table 11 CWTs exp'!Q22/'[7]Table 11 CWTs exp'!$AA22,IF('[7]Table 11 CWTs exp'!Q22/'[7]Table 11 CWTs exp'!$AA22&gt;0,"-"," "))</f>
        <v xml:space="preserve"> </v>
      </c>
      <c r="R22" s="146" t="str">
        <f>IF('[7]Table 11 CWTs exp'!R22/'[7]Table 11 CWTs exp'!$AA22&gt;0.0005,'[7]Table 11 CWTs exp'!R22/'[7]Table 11 CWTs exp'!$AA22,IF('[7]Table 11 CWTs exp'!R22/'[7]Table 11 CWTs exp'!$AA22&gt;0,"-"," "))</f>
        <v xml:space="preserve"> </v>
      </c>
      <c r="S22" s="144" t="str">
        <f>IF('[7]Table 11 CWTs exp'!S22/'[7]Table 11 CWTs exp'!$AA22&gt;0.0005,'[7]Table 11 CWTs exp'!S22/'[7]Table 11 CWTs exp'!$AA22,IF('[7]Table 11 CWTs exp'!S22/'[7]Table 11 CWTs exp'!$AA22&gt;0,"-"," "))</f>
        <v xml:space="preserve"> </v>
      </c>
      <c r="T22" s="144" t="str">
        <f>IF('[7]Table 11 CWTs exp'!T22/'[7]Table 11 CWTs exp'!$AA22&gt;0.0005,'[7]Table 11 CWTs exp'!T22/'[7]Table 11 CWTs exp'!$AA22,IF('[7]Table 11 CWTs exp'!T22/'[7]Table 11 CWTs exp'!$AA22&gt;0,"-"," "))</f>
        <v xml:space="preserve"> </v>
      </c>
      <c r="U22" s="144" t="str">
        <f>IF('[7]Table 11 CWTs exp'!U22/'[7]Table 11 CWTs exp'!$AA22&gt;0.0005,'[7]Table 11 CWTs exp'!U22/'[7]Table 11 CWTs exp'!$AA22,IF('[7]Table 11 CWTs exp'!U22/'[7]Table 11 CWTs exp'!$AA22&gt;0,"-"," "))</f>
        <v xml:space="preserve"> </v>
      </c>
      <c r="V22" s="145" t="str">
        <f>IF('[7]Table 11 CWTs exp'!V22/'[7]Table 11 CWTs exp'!$AA22&gt;0.0005,'[7]Table 11 CWTs exp'!V22/'[7]Table 11 CWTs exp'!$AA22,IF('[7]Table 11 CWTs exp'!V22/'[7]Table 11 CWTs exp'!$AA22&gt;0,"-"," "))</f>
        <v xml:space="preserve"> </v>
      </c>
      <c r="W22" s="146" t="str">
        <f>IF('[7]Table 11 CWTs exp'!W22/'[7]Table 11 CWTs exp'!$AA22&gt;0.0005,'[7]Table 11 CWTs exp'!W22/'[7]Table 11 CWTs exp'!$AA22,IF('[7]Table 11 CWTs exp'!W22/'[7]Table 11 CWTs exp'!$AA22&gt;0,"-"," "))</f>
        <v xml:space="preserve"> </v>
      </c>
      <c r="X22" s="206" t="str">
        <f>IF('[7]Table 11 CWTs exp'!X22/'[7]Table 11 CWTs exp'!$AA22&gt;0.0005,'[7]Table 11 CWTs exp'!X22/'[7]Table 11 CWTs exp'!$AA22,IF('[7]Table 11 CWTs exp'!X22/'[7]Table 11 CWTs exp'!$AA22&gt;0,"-"," "))</f>
        <v xml:space="preserve"> </v>
      </c>
      <c r="Y22" s="147">
        <f t="shared" si="4"/>
        <v>0.54166666666666663</v>
      </c>
      <c r="Z22" s="148">
        <f t="shared" si="5"/>
        <v>0.45833333333333337</v>
      </c>
      <c r="AA22" s="38">
        <f>'[7]Table 11 CWTs exp'!AA22</f>
        <v>72</v>
      </c>
      <c r="AC22" s="592">
        <f>'[7]Table 11 CWTs exp'!AC22</f>
        <v>0.54200000000000004</v>
      </c>
      <c r="AD22" s="592">
        <f t="shared" si="2"/>
        <v>-3.3333333333340764E-4</v>
      </c>
      <c r="AE22" s="593" t="str">
        <f t="shared" si="3"/>
        <v>PAY543</v>
      </c>
      <c r="AF22" s="442"/>
    </row>
    <row r="23" spans="1:32" ht="14.5" customHeight="1" x14ac:dyDescent="0.25">
      <c r="A23" s="54" t="str">
        <f>'[7]Table 11 CWTs exp'!A23</f>
        <v>MLC543</v>
      </c>
      <c r="B23" s="75" t="str">
        <f>'[7]Table 11 CWTs exp'!B23</f>
        <v>MLC</v>
      </c>
      <c r="C23" s="75">
        <f>'[7]Table 11 CWTs exp'!C23</f>
        <v>54</v>
      </c>
      <c r="D23" s="75">
        <f>'[7]Table 11 CWTs exp'!D23</f>
        <v>3</v>
      </c>
      <c r="E23" t="str">
        <f>'[7]Table 11 CWTs exp'!E23</f>
        <v>Mill Creek</v>
      </c>
      <c r="F23" s="37" t="str">
        <f>'[7]Table 11 CWTs exp'!F23</f>
        <v>Fall</v>
      </c>
      <c r="G23" s="144" t="str">
        <f>IF('[7]Table 11 CWTs exp'!G23/'[7]Table 11 CWTs exp'!$AA23&gt;0.0005,'[7]Table 11 CWTs exp'!G23/'[7]Table 11 CWTs exp'!$AA23,IF('[7]Table 11 CWTs exp'!G23/'[7]Table 11 CWTs exp'!$AA23&gt;0,"-"," "))</f>
        <v xml:space="preserve"> </v>
      </c>
      <c r="H23" s="145" t="str">
        <f>IF('[7]Table 11 CWTs exp'!H23/'[7]Table 11 CWTs exp'!$AA23&gt;0.0005,'[7]Table 11 CWTs exp'!H23/'[7]Table 11 CWTs exp'!$AA23,IF('[7]Table 11 CWTs exp'!H23/'[7]Table 11 CWTs exp'!$AA23&gt;0,"-"," "))</f>
        <v xml:space="preserve"> </v>
      </c>
      <c r="I23" s="144">
        <f>IF('[7]Table 11 CWTs exp'!I23/'[7]Table 11 CWTs exp'!$AA23&gt;0.0005,'[7]Table 11 CWTs exp'!I23/'[7]Table 11 CWTs exp'!$AA23,IF('[7]Table 11 CWTs exp'!I23/'[7]Table 11 CWTs exp'!$AA23&gt;0,"-"," "))</f>
        <v>0.19413183279742766</v>
      </c>
      <c r="J23" s="146">
        <f>IF('[7]Table 11 CWTs exp'!J23/'[7]Table 11 CWTs exp'!$AA23&gt;0.0005,'[7]Table 11 CWTs exp'!J23/'[7]Table 11 CWTs exp'!$AA23,IF('[7]Table 11 CWTs exp'!J23/'[7]Table 11 CWTs exp'!$AA23&gt;0,"-"," "))</f>
        <v>4.3006430868167203E-2</v>
      </c>
      <c r="K23" s="144" t="str">
        <f>IF('[7]Table 11 CWTs exp'!K23/'[7]Table 11 CWTs exp'!$AA23&gt;0.0005,'[7]Table 11 CWTs exp'!K23/'[7]Table 11 CWTs exp'!$AA23,IF('[7]Table 11 CWTs exp'!K23/'[7]Table 11 CWTs exp'!$AA23&gt;0,"-"," "))</f>
        <v xml:space="preserve"> </v>
      </c>
      <c r="L23" s="144" t="str">
        <f>IF('[7]Table 11 CWTs exp'!L23/'[7]Table 11 CWTs exp'!$AA23&gt;0.0005,'[7]Table 11 CWTs exp'!L23/'[7]Table 11 CWTs exp'!$AA23,IF('[7]Table 11 CWTs exp'!L23/'[7]Table 11 CWTs exp'!$AA23&gt;0,"-"," "))</f>
        <v xml:space="preserve"> </v>
      </c>
      <c r="M23" s="144" t="str">
        <f>IF('[7]Table 11 CWTs exp'!M23/'[7]Table 11 CWTs exp'!$AA23&gt;0.0005,'[7]Table 11 CWTs exp'!M23/'[7]Table 11 CWTs exp'!$AA23,IF('[7]Table 11 CWTs exp'!M23/'[7]Table 11 CWTs exp'!$AA23&gt;0,"-"," "))</f>
        <v xml:space="preserve"> </v>
      </c>
      <c r="N23" s="144">
        <f>IF('[7]Table 11 CWTs exp'!N23/'[7]Table 11 CWTs exp'!$AA23&gt;0.0005,'[7]Table 11 CWTs exp'!N23/'[7]Table 11 CWTs exp'!$AA23,IF('[7]Table 11 CWTs exp'!N23/'[7]Table 11 CWTs exp'!$AA23&gt;0,"-"," "))</f>
        <v>0.19413183279742766</v>
      </c>
      <c r="O23" s="144">
        <f>IF('[7]Table 11 CWTs exp'!O23/'[7]Table 11 CWTs exp'!$AA23&gt;0.0005,'[7]Table 11 CWTs exp'!O23/'[7]Table 11 CWTs exp'!$AA23,IF('[7]Table 11 CWTs exp'!O23/'[7]Table 11 CWTs exp'!$AA23&gt;0,"-"," "))</f>
        <v>1.647909967845659E-2</v>
      </c>
      <c r="P23" s="144" t="str">
        <f>IF('[7]Table 11 CWTs exp'!P23/'[7]Table 11 CWTs exp'!$AA23&gt;0.0005,'[7]Table 11 CWTs exp'!P23/'[7]Table 11 CWTs exp'!$AA23,IF('[7]Table 11 CWTs exp'!P23/'[7]Table 11 CWTs exp'!$AA23&gt;0,"-"," "))</f>
        <v xml:space="preserve"> </v>
      </c>
      <c r="Q23" s="145" t="str">
        <f>IF('[7]Table 11 CWTs exp'!Q23/'[7]Table 11 CWTs exp'!$AA23&gt;0.0005,'[7]Table 11 CWTs exp'!Q23/'[7]Table 11 CWTs exp'!$AA23,IF('[7]Table 11 CWTs exp'!Q23/'[7]Table 11 CWTs exp'!$AA23&gt;0,"-"," "))</f>
        <v xml:space="preserve"> </v>
      </c>
      <c r="R23" s="146" t="str">
        <f>IF('[7]Table 11 CWTs exp'!R23/'[7]Table 11 CWTs exp'!$AA23&gt;0.0005,'[7]Table 11 CWTs exp'!R23/'[7]Table 11 CWTs exp'!$AA23,IF('[7]Table 11 CWTs exp'!R23/'[7]Table 11 CWTs exp'!$AA23&gt;0,"-"," "))</f>
        <v xml:space="preserve"> </v>
      </c>
      <c r="S23" s="144" t="str">
        <f>IF('[7]Table 11 CWTs exp'!S23/'[7]Table 11 CWTs exp'!$AA23&gt;0.0005,'[7]Table 11 CWTs exp'!S23/'[7]Table 11 CWTs exp'!$AA23,IF('[7]Table 11 CWTs exp'!S23/'[7]Table 11 CWTs exp'!$AA23&gt;0,"-"," "))</f>
        <v xml:space="preserve"> </v>
      </c>
      <c r="T23" s="144" t="str">
        <f>IF('[7]Table 11 CWTs exp'!T23/'[7]Table 11 CWTs exp'!$AA23&gt;0.0005,'[7]Table 11 CWTs exp'!T23/'[7]Table 11 CWTs exp'!$AA23,IF('[7]Table 11 CWTs exp'!T23/'[7]Table 11 CWTs exp'!$AA23&gt;0,"-"," "))</f>
        <v xml:space="preserve"> </v>
      </c>
      <c r="U23" s="144" t="str">
        <f>IF('[7]Table 11 CWTs exp'!U23/'[7]Table 11 CWTs exp'!$AA23&gt;0.0005,'[7]Table 11 CWTs exp'!U23/'[7]Table 11 CWTs exp'!$AA23,IF('[7]Table 11 CWTs exp'!U23/'[7]Table 11 CWTs exp'!$AA23&gt;0,"-"," "))</f>
        <v xml:space="preserve"> </v>
      </c>
      <c r="V23" s="145" t="str">
        <f>IF('[7]Table 11 CWTs exp'!V23/'[7]Table 11 CWTs exp'!$AA23&gt;0.0005,'[7]Table 11 CWTs exp'!V23/'[7]Table 11 CWTs exp'!$AA23,IF('[7]Table 11 CWTs exp'!V23/'[7]Table 11 CWTs exp'!$AA23&gt;0,"-"," "))</f>
        <v xml:space="preserve"> </v>
      </c>
      <c r="W23" s="146" t="str">
        <f>IF('[7]Table 11 CWTs exp'!W23/'[7]Table 11 CWTs exp'!$AA23&gt;0.0005,'[7]Table 11 CWTs exp'!W23/'[7]Table 11 CWTs exp'!$AA23,IF('[7]Table 11 CWTs exp'!W23/'[7]Table 11 CWTs exp'!$AA23&gt;0,"-"," "))</f>
        <v xml:space="preserve"> </v>
      </c>
      <c r="X23" s="206" t="str">
        <f>IF('[7]Table 11 CWTs exp'!X23/'[7]Table 11 CWTs exp'!$AA23&gt;0.0005,'[7]Table 11 CWTs exp'!X23/'[7]Table 11 CWTs exp'!$AA23,IF('[7]Table 11 CWTs exp'!X23/'[7]Table 11 CWTs exp'!$AA23&gt;0,"-"," "))</f>
        <v xml:space="preserve"> </v>
      </c>
      <c r="Y23" s="147">
        <f t="shared" si="4"/>
        <v>0.44774919614147907</v>
      </c>
      <c r="Z23" s="148">
        <f t="shared" si="5"/>
        <v>0.55225080385852099</v>
      </c>
      <c r="AA23" s="38">
        <f>'[7]Table 11 CWTs exp'!AA23</f>
        <v>2488</v>
      </c>
      <c r="AC23" s="592">
        <f>'[7]Table 11 CWTs exp'!AC23</f>
        <v>0.44700000000000001</v>
      </c>
      <c r="AD23" s="592">
        <f t="shared" si="2"/>
        <v>7.4919614147905822E-4</v>
      </c>
      <c r="AE23" s="593" t="str">
        <f t="shared" si="3"/>
        <v>MLC543</v>
      </c>
      <c r="AF23" s="442"/>
    </row>
    <row r="24" spans="1:32" ht="14.5" customHeight="1" x14ac:dyDescent="0.25">
      <c r="A24" s="54" t="str">
        <f>'[7]Table 11 CWTs exp'!A24</f>
        <v>BUT543</v>
      </c>
      <c r="B24" s="75" t="str">
        <f>'[7]Table 11 CWTs exp'!B24</f>
        <v>BUT</v>
      </c>
      <c r="C24" s="75">
        <f>'[7]Table 11 CWTs exp'!C24</f>
        <v>54</v>
      </c>
      <c r="D24" s="75">
        <f>'[7]Table 11 CWTs exp'!D24</f>
        <v>3</v>
      </c>
      <c r="E24" t="str">
        <f>'[7]Table 11 CWTs exp'!E24</f>
        <v>Butte Creek</v>
      </c>
      <c r="F24" s="37" t="str">
        <f>'[7]Table 11 CWTs exp'!F24</f>
        <v>Fall</v>
      </c>
      <c r="G24" s="144" t="str">
        <f>IF('[7]Table 11 CWTs exp'!G24/'[7]Table 11 CWTs exp'!$AA24&gt;0.0005,'[7]Table 11 CWTs exp'!G24/'[7]Table 11 CWTs exp'!$AA24,IF('[7]Table 11 CWTs exp'!G24/'[7]Table 11 CWTs exp'!$AA24&gt;0,"-"," "))</f>
        <v xml:space="preserve"> </v>
      </c>
      <c r="H24" s="145" t="str">
        <f>IF('[7]Table 11 CWTs exp'!H24/'[7]Table 11 CWTs exp'!$AA24&gt;0.0005,'[7]Table 11 CWTs exp'!H24/'[7]Table 11 CWTs exp'!$AA24,IF('[7]Table 11 CWTs exp'!H24/'[7]Table 11 CWTs exp'!$AA24&gt;0,"-"," "))</f>
        <v xml:space="preserve"> </v>
      </c>
      <c r="I24" s="144" t="str">
        <f>IF('[7]Table 11 CWTs exp'!I24/'[7]Table 11 CWTs exp'!$AA24&gt;0.0005,'[7]Table 11 CWTs exp'!I24/'[7]Table 11 CWTs exp'!$AA24,IF('[7]Table 11 CWTs exp'!I24/'[7]Table 11 CWTs exp'!$AA24&gt;0,"-"," "))</f>
        <v xml:space="preserve"> </v>
      </c>
      <c r="J24" s="146">
        <f>IF('[7]Table 11 CWTs exp'!J24/'[7]Table 11 CWTs exp'!$AA24&gt;0.0005,'[7]Table 11 CWTs exp'!J24/'[7]Table 11 CWTs exp'!$AA24,IF('[7]Table 11 CWTs exp'!J24/'[7]Table 11 CWTs exp'!$AA24&gt;0,"-"," "))</f>
        <v>1.1331444759206799E-2</v>
      </c>
      <c r="K24" s="144" t="str">
        <f>IF('[7]Table 11 CWTs exp'!K24/'[7]Table 11 CWTs exp'!$AA24&gt;0.0005,'[7]Table 11 CWTs exp'!K24/'[7]Table 11 CWTs exp'!$AA24,IF('[7]Table 11 CWTs exp'!K24/'[7]Table 11 CWTs exp'!$AA24&gt;0,"-"," "))</f>
        <v xml:space="preserve"> </v>
      </c>
      <c r="L24" s="144" t="str">
        <f>IF('[7]Table 11 CWTs exp'!L24/'[7]Table 11 CWTs exp'!$AA24&gt;0.0005,'[7]Table 11 CWTs exp'!L24/'[7]Table 11 CWTs exp'!$AA24,IF('[7]Table 11 CWTs exp'!L24/'[7]Table 11 CWTs exp'!$AA24&gt;0,"-"," "))</f>
        <v xml:space="preserve"> </v>
      </c>
      <c r="M24" s="144">
        <f>IF('[7]Table 11 CWTs exp'!M24/'[7]Table 11 CWTs exp'!$AA24&gt;0.0005,'[7]Table 11 CWTs exp'!M24/'[7]Table 11 CWTs exp'!$AA24,IF('[7]Table 11 CWTs exp'!M24/'[7]Table 11 CWTs exp'!$AA24&gt;0,"-"," "))</f>
        <v>1.4164305949008499E-3</v>
      </c>
      <c r="N24" s="144">
        <f>IF('[7]Table 11 CWTs exp'!N24/'[7]Table 11 CWTs exp'!$AA24&gt;0.0005,'[7]Table 11 CWTs exp'!N24/'[7]Table 11 CWTs exp'!$AA24,IF('[7]Table 11 CWTs exp'!N24/'[7]Table 11 CWTs exp'!$AA24&gt;0,"-"," "))</f>
        <v>0.15155807365439095</v>
      </c>
      <c r="O24" s="144">
        <f>IF('[7]Table 11 CWTs exp'!O24/'[7]Table 11 CWTs exp'!$AA24&gt;0.0005,'[7]Table 11 CWTs exp'!O24/'[7]Table 11 CWTs exp'!$AA24,IF('[7]Table 11 CWTs exp'!O24/'[7]Table 11 CWTs exp'!$AA24&gt;0,"-"," "))</f>
        <v>4.24929178470255E-3</v>
      </c>
      <c r="P24" s="144" t="str">
        <f>IF('[7]Table 11 CWTs exp'!P24/'[7]Table 11 CWTs exp'!$AA24&gt;0.0005,'[7]Table 11 CWTs exp'!P24/'[7]Table 11 CWTs exp'!$AA24,IF('[7]Table 11 CWTs exp'!P24/'[7]Table 11 CWTs exp'!$AA24&gt;0,"-"," "))</f>
        <v xml:space="preserve"> </v>
      </c>
      <c r="Q24" s="145" t="str">
        <f>IF('[7]Table 11 CWTs exp'!Q24/'[7]Table 11 CWTs exp'!$AA24&gt;0.0005,'[7]Table 11 CWTs exp'!Q24/'[7]Table 11 CWTs exp'!$AA24,IF('[7]Table 11 CWTs exp'!Q24/'[7]Table 11 CWTs exp'!$AA24&gt;0,"-"," "))</f>
        <v xml:space="preserve"> </v>
      </c>
      <c r="R24" s="146" t="str">
        <f>IF('[7]Table 11 CWTs exp'!R24/'[7]Table 11 CWTs exp'!$AA24&gt;0.0005,'[7]Table 11 CWTs exp'!R24/'[7]Table 11 CWTs exp'!$AA24,IF('[7]Table 11 CWTs exp'!R24/'[7]Table 11 CWTs exp'!$AA24&gt;0,"-"," "))</f>
        <v xml:space="preserve"> </v>
      </c>
      <c r="S24" s="144" t="str">
        <f>IF('[7]Table 11 CWTs exp'!S24/'[7]Table 11 CWTs exp'!$AA24&gt;0.0005,'[7]Table 11 CWTs exp'!S24/'[7]Table 11 CWTs exp'!$AA24,IF('[7]Table 11 CWTs exp'!S24/'[7]Table 11 CWTs exp'!$AA24&gt;0,"-"," "))</f>
        <v xml:space="preserve"> </v>
      </c>
      <c r="T24" s="144">
        <f>IF('[7]Table 11 CWTs exp'!T24/'[7]Table 11 CWTs exp'!$AA24&gt;0.0005,'[7]Table 11 CWTs exp'!T24/'[7]Table 11 CWTs exp'!$AA24,IF('[7]Table 11 CWTs exp'!T24/'[7]Table 11 CWTs exp'!$AA24&gt;0,"-"," "))</f>
        <v>2.8328611898016998E-2</v>
      </c>
      <c r="U24" s="144">
        <f>IF('[7]Table 11 CWTs exp'!U24/'[7]Table 11 CWTs exp'!$AA24&gt;0.0005,'[7]Table 11 CWTs exp'!U24/'[7]Table 11 CWTs exp'!$AA24,IF('[7]Table 11 CWTs exp'!U24/'[7]Table 11 CWTs exp'!$AA24&gt;0,"-"," "))</f>
        <v>5.6657223796033997E-3</v>
      </c>
      <c r="V24" s="145" t="str">
        <f>IF('[7]Table 11 CWTs exp'!V24/'[7]Table 11 CWTs exp'!$AA24&gt;0.0005,'[7]Table 11 CWTs exp'!V24/'[7]Table 11 CWTs exp'!$AA24,IF('[7]Table 11 CWTs exp'!V24/'[7]Table 11 CWTs exp'!$AA24&gt;0,"-"," "))</f>
        <v xml:space="preserve"> </v>
      </c>
      <c r="W24" s="146">
        <f>IF('[7]Table 11 CWTs exp'!W24/'[7]Table 11 CWTs exp'!$AA24&gt;0.0005,'[7]Table 11 CWTs exp'!W24/'[7]Table 11 CWTs exp'!$AA24,IF('[7]Table 11 CWTs exp'!W24/'[7]Table 11 CWTs exp'!$AA24&gt;0,"-"," "))</f>
        <v>6.3739376770538241E-3</v>
      </c>
      <c r="X24" s="206" t="str">
        <f>IF('[7]Table 11 CWTs exp'!X24/'[7]Table 11 CWTs exp'!$AA24&gt;0.0005,'[7]Table 11 CWTs exp'!X24/'[7]Table 11 CWTs exp'!$AA24,IF('[7]Table 11 CWTs exp'!X24/'[7]Table 11 CWTs exp'!$AA24&gt;0,"-"," "))</f>
        <v xml:space="preserve"> </v>
      </c>
      <c r="Y24" s="147">
        <f t="shared" si="4"/>
        <v>0.20892351274787535</v>
      </c>
      <c r="Z24" s="148">
        <f t="shared" si="5"/>
        <v>0.79107648725212465</v>
      </c>
      <c r="AA24" s="38">
        <f>'[7]Table 11 CWTs exp'!AA24</f>
        <v>1412</v>
      </c>
      <c r="AC24" s="592">
        <f>'[7]Table 11 CWTs exp'!AC24</f>
        <v>0.20799999999999999</v>
      </c>
      <c r="AD24" s="592">
        <f t="shared" si="2"/>
        <v>9.235127478753602E-4</v>
      </c>
      <c r="AE24" s="593" t="str">
        <f t="shared" si="3"/>
        <v>BUT543</v>
      </c>
      <c r="AF24" s="442"/>
    </row>
    <row r="25" spans="1:32" ht="14.5" customHeight="1" x14ac:dyDescent="0.25">
      <c r="A25" s="54" t="str">
        <f>'[7]Table 11 CWTs exp'!A25</f>
        <v>FEA543</v>
      </c>
      <c r="B25" s="75" t="str">
        <f>'[7]Table 11 CWTs exp'!B25</f>
        <v>FEA</v>
      </c>
      <c r="C25" s="75">
        <f>'[7]Table 11 CWTs exp'!C25</f>
        <v>54</v>
      </c>
      <c r="D25" s="75">
        <f>'[7]Table 11 CWTs exp'!D25</f>
        <v>3</v>
      </c>
      <c r="E25" t="str">
        <f>'[7]Table 11 CWTs exp'!E25</f>
        <v>Feather River</v>
      </c>
      <c r="F25" s="37" t="str">
        <f>'[7]Table 11 CWTs exp'!F25</f>
        <v>Fall</v>
      </c>
      <c r="G25" s="144" t="str">
        <f>IF('[7]Table 11 CWTs exp'!G25/'[7]Table 11 CWTs exp'!$AA25&gt;0.0005,'[7]Table 11 CWTs exp'!G25/'[7]Table 11 CWTs exp'!$AA25,IF('[7]Table 11 CWTs exp'!G25/'[7]Table 11 CWTs exp'!$AA25&gt;0,"-"," "))</f>
        <v xml:space="preserve"> </v>
      </c>
      <c r="H25" s="145" t="str">
        <f>IF('[7]Table 11 CWTs exp'!H25/'[7]Table 11 CWTs exp'!$AA25&gt;0.0005,'[7]Table 11 CWTs exp'!H25/'[7]Table 11 CWTs exp'!$AA25,IF('[7]Table 11 CWTs exp'!H25/'[7]Table 11 CWTs exp'!$AA25&gt;0,"-"," "))</f>
        <v xml:space="preserve"> </v>
      </c>
      <c r="I25" s="144">
        <f>IF('[7]Table 11 CWTs exp'!I25/'[7]Table 11 CWTs exp'!$AA25&gt;0.0005,'[7]Table 11 CWTs exp'!I25/'[7]Table 11 CWTs exp'!$AA25,IF('[7]Table 11 CWTs exp'!I25/'[7]Table 11 CWTs exp'!$AA25&gt;0,"-"," "))</f>
        <v>2.4538462805289768E-3</v>
      </c>
      <c r="J25" s="146">
        <f>IF('[7]Table 11 CWTs exp'!J25/'[7]Table 11 CWTs exp'!$AA25&gt;0.0005,'[7]Table 11 CWTs exp'!J25/'[7]Table 11 CWTs exp'!$AA25,IF('[7]Table 11 CWTs exp'!J25/'[7]Table 11 CWTs exp'!$AA25&gt;0,"-"," "))</f>
        <v>1.0605885937319873E-2</v>
      </c>
      <c r="K25" s="144">
        <f>IF('[7]Table 11 CWTs exp'!K25/'[7]Table 11 CWTs exp'!$AA25&gt;0.0005,'[7]Table 11 CWTs exp'!K25/'[7]Table 11 CWTs exp'!$AA25,IF('[7]Table 11 CWTs exp'!K25/'[7]Table 11 CWTs exp'!$AA25&gt;0,"-"," "))</f>
        <v>0.10284744981143262</v>
      </c>
      <c r="L25" s="144">
        <f>IF('[7]Table 11 CWTs exp'!L25/'[7]Table 11 CWTs exp'!$AA25&gt;0.0005,'[7]Table 11 CWTs exp'!L25/'[7]Table 11 CWTs exp'!$AA25,IF('[7]Table 11 CWTs exp'!L25/'[7]Table 11 CWTs exp'!$AA25&gt;0,"-"," "))</f>
        <v>3.185059534592645E-2</v>
      </c>
      <c r="M25" s="144">
        <f>IF('[7]Table 11 CWTs exp'!M25/'[7]Table 11 CWTs exp'!$AA25&gt;0.0005,'[7]Table 11 CWTs exp'!M25/'[7]Table 11 CWTs exp'!$AA25,IF('[7]Table 11 CWTs exp'!M25/'[7]Table 11 CWTs exp'!$AA25&gt;0,"-"," "))</f>
        <v>1.4739546450157277E-2</v>
      </c>
      <c r="N25" s="144">
        <f>IF('[7]Table 11 CWTs exp'!N25/'[7]Table 11 CWTs exp'!$AA25&gt;0.0005,'[7]Table 11 CWTs exp'!N25/'[7]Table 11 CWTs exp'!$AA25,IF('[7]Table 11 CWTs exp'!N25/'[7]Table 11 CWTs exp'!$AA25&gt;0,"-"," "))</f>
        <v>0.64104675482946594</v>
      </c>
      <c r="O25" s="144">
        <f>IF('[7]Table 11 CWTs exp'!O25/'[7]Table 11 CWTs exp'!$AA25&gt;0.0005,'[7]Table 11 CWTs exp'!O25/'[7]Table 11 CWTs exp'!$AA25,IF('[7]Table 11 CWTs exp'!O25/'[7]Table 11 CWTs exp'!$AA25&gt;0,"-"," "))</f>
        <v>2.0849459001004596E-2</v>
      </c>
      <c r="P25" s="144">
        <f>IF('[7]Table 11 CWTs exp'!P25/'[7]Table 11 CWTs exp'!$AA25&gt;0.0005,'[7]Table 11 CWTs exp'!P25/'[7]Table 11 CWTs exp'!$AA25,IF('[7]Table 11 CWTs exp'!P25/'[7]Table 11 CWTs exp'!$AA25&gt;0,"-"," "))</f>
        <v>1.021063552971789E-3</v>
      </c>
      <c r="Q25" s="145">
        <f>IF('[7]Table 11 CWTs exp'!Q25/'[7]Table 11 CWTs exp'!$AA25&gt;0.0005,'[7]Table 11 CWTs exp'!Q25/'[7]Table 11 CWTs exp'!$AA25,IF('[7]Table 11 CWTs exp'!Q25/'[7]Table 11 CWTs exp'!$AA25&gt;0,"-"," "))</f>
        <v>1.6304079313581791E-3</v>
      </c>
      <c r="R25" s="146">
        <f>IF('[7]Table 11 CWTs exp'!R25/'[7]Table 11 CWTs exp'!$AA25&gt;0.0005,'[7]Table 11 CWTs exp'!R25/'[7]Table 11 CWTs exp'!$AA25,IF('[7]Table 11 CWTs exp'!R25/'[7]Table 11 CWTs exp'!$AA25&gt;0,"-"," "))</f>
        <v>8.2343834917079754E-4</v>
      </c>
      <c r="S25" s="144" t="str">
        <f>IF('[7]Table 11 CWTs exp'!S25/'[7]Table 11 CWTs exp'!$AA25&gt;0.0005,'[7]Table 11 CWTs exp'!S25/'[7]Table 11 CWTs exp'!$AA25,IF('[7]Table 11 CWTs exp'!S25/'[7]Table 11 CWTs exp'!$AA25&gt;0,"-"," "))</f>
        <v xml:space="preserve"> </v>
      </c>
      <c r="T25" s="144">
        <f>IF('[7]Table 11 CWTs exp'!T25/'[7]Table 11 CWTs exp'!$AA25&gt;0.0005,'[7]Table 11 CWTs exp'!T25/'[7]Table 11 CWTs exp'!$AA25,IF('[7]Table 11 CWTs exp'!T25/'[7]Table 11 CWTs exp'!$AA25&gt;0,"-"," "))</f>
        <v>1.6304079313581791E-3</v>
      </c>
      <c r="U25" s="144" t="str">
        <f>IF('[7]Table 11 CWTs exp'!U25/'[7]Table 11 CWTs exp'!$AA25&gt;0.0005,'[7]Table 11 CWTs exp'!U25/'[7]Table 11 CWTs exp'!$AA25,IF('[7]Table 11 CWTs exp'!U25/'[7]Table 11 CWTs exp'!$AA25&gt;0,"-"," "))</f>
        <v xml:space="preserve"> </v>
      </c>
      <c r="V25" s="145" t="str">
        <f>IF('[7]Table 11 CWTs exp'!V25/'[7]Table 11 CWTs exp'!$AA25&gt;0.0005,'[7]Table 11 CWTs exp'!V25/'[7]Table 11 CWTs exp'!$AA25,IF('[7]Table 11 CWTs exp'!V25/'[7]Table 11 CWTs exp'!$AA25&gt;0,"-"," "))</f>
        <v xml:space="preserve"> </v>
      </c>
      <c r="W25" s="146" t="str">
        <f>IF('[7]Table 11 CWTs exp'!W25/'[7]Table 11 CWTs exp'!$AA25&gt;0.0005,'[7]Table 11 CWTs exp'!W25/'[7]Table 11 CWTs exp'!$AA25,IF('[7]Table 11 CWTs exp'!W25/'[7]Table 11 CWTs exp'!$AA25&gt;0,"-"," "))</f>
        <v xml:space="preserve"> </v>
      </c>
      <c r="X25" s="206">
        <f>IF('[7]Table 11 CWTs exp'!X25/'[7]Table 11 CWTs exp'!$AA25&gt;0.0005,'[7]Table 11 CWTs exp'!X25/'[7]Table 11 CWTs exp'!$AA25,IF('[7]Table 11 CWTs exp'!X25/'[7]Table 11 CWTs exp'!$AA25&gt;0,"-"," "))</f>
        <v>8.5637588313762947E-4</v>
      </c>
      <c r="Y25" s="147">
        <f t="shared" si="4"/>
        <v>0.83035523130383215</v>
      </c>
      <c r="Z25" s="148">
        <f t="shared" si="5"/>
        <v>0.16964476869616785</v>
      </c>
      <c r="AA25" s="38">
        <f>'[7]Table 11 CWTs exp'!AA25</f>
        <v>60721</v>
      </c>
      <c r="AC25" s="592">
        <f>'[7]Table 11 CWTs exp'!AC25</f>
        <v>0.83</v>
      </c>
      <c r="AD25" s="592">
        <f t="shared" si="2"/>
        <v>3.5523130383219303E-4</v>
      </c>
      <c r="AE25" s="593" t="str">
        <f t="shared" si="3"/>
        <v>FEA543</v>
      </c>
      <c r="AF25" s="442"/>
    </row>
    <row r="26" spans="1:32" ht="14.5" customHeight="1" x14ac:dyDescent="0.25">
      <c r="A26" s="54" t="str">
        <f>'[7]Table 11 CWTs exp'!A26</f>
        <v>YUBA543</v>
      </c>
      <c r="B26" s="75" t="str">
        <f>'[7]Table 11 CWTs exp'!B26</f>
        <v>YUBA</v>
      </c>
      <c r="C26" s="75">
        <f>'[7]Table 11 CWTs exp'!C26</f>
        <v>54</v>
      </c>
      <c r="D26" s="75">
        <f>'[7]Table 11 CWTs exp'!D26</f>
        <v>3</v>
      </c>
      <c r="E26" s="79" t="s">
        <v>147</v>
      </c>
      <c r="F26" s="37" t="str">
        <f>'[7]Table 11 CWTs exp'!F26</f>
        <v>Fall</v>
      </c>
      <c r="G26" s="144" t="str">
        <f>IF('[7]Table 11 CWTs exp'!G26/'[7]Table 11 CWTs exp'!$AA26&gt;0.0005,'[7]Table 11 CWTs exp'!G26/'[7]Table 11 CWTs exp'!$AA26,IF('[7]Table 11 CWTs exp'!G26/'[7]Table 11 CWTs exp'!$AA26&gt;0,"-"," "))</f>
        <v xml:space="preserve"> </v>
      </c>
      <c r="H26" s="145" t="str">
        <f>IF('[7]Table 11 CWTs exp'!H26/'[7]Table 11 CWTs exp'!$AA26&gt;0.0005,'[7]Table 11 CWTs exp'!H26/'[7]Table 11 CWTs exp'!$AA26,IF('[7]Table 11 CWTs exp'!H26/'[7]Table 11 CWTs exp'!$AA26&gt;0,"-"," "))</f>
        <v xml:space="preserve"> </v>
      </c>
      <c r="I26" s="144" t="str">
        <f>IF('[7]Table 11 CWTs exp'!I26/'[7]Table 11 CWTs exp'!$AA26&gt;0.0005,'[7]Table 11 CWTs exp'!I26/'[7]Table 11 CWTs exp'!$AA26,IF('[7]Table 11 CWTs exp'!I26/'[7]Table 11 CWTs exp'!$AA26&gt;0,"-"," "))</f>
        <v xml:space="preserve"> </v>
      </c>
      <c r="J26" s="146">
        <f>IF('[7]Table 11 CWTs exp'!J26/'[7]Table 11 CWTs exp'!$AA26&gt;0.0005,'[7]Table 11 CWTs exp'!J26/'[7]Table 11 CWTs exp'!$AA26,IF('[7]Table 11 CWTs exp'!J26/'[7]Table 11 CWTs exp'!$AA26&gt;0,"-"," "))</f>
        <v>5.4077723043240288E-2</v>
      </c>
      <c r="K26" s="144">
        <f>IF('[7]Table 11 CWTs exp'!K26/'[7]Table 11 CWTs exp'!$AA26&gt;0.0005,'[7]Table 11 CWTs exp'!K26/'[7]Table 11 CWTs exp'!$AA26,IF('[7]Table 11 CWTs exp'!K26/'[7]Table 11 CWTs exp'!$AA26&gt;0,"-"," "))</f>
        <v>2.7367268746579091E-3</v>
      </c>
      <c r="L26" s="144" t="str">
        <f>IF('[7]Table 11 CWTs exp'!L26/'[7]Table 11 CWTs exp'!$AA26&gt;0.0005,'[7]Table 11 CWTs exp'!L26/'[7]Table 11 CWTs exp'!$AA26,IF('[7]Table 11 CWTs exp'!L26/'[7]Table 11 CWTs exp'!$AA26&gt;0,"-"," "))</f>
        <v xml:space="preserve"> </v>
      </c>
      <c r="M26" s="144">
        <f>IF('[7]Table 11 CWTs exp'!M26/'[7]Table 11 CWTs exp'!$AA26&gt;0.0005,'[7]Table 11 CWTs exp'!M26/'[7]Table 11 CWTs exp'!$AA26,IF('[7]Table 11 CWTs exp'!M26/'[7]Table 11 CWTs exp'!$AA26&gt;0,"-"," "))</f>
        <v>5.4734537493158182E-3</v>
      </c>
      <c r="N26" s="144">
        <f>IF('[7]Table 11 CWTs exp'!N26/'[7]Table 11 CWTs exp'!$AA26&gt;0.0005,'[7]Table 11 CWTs exp'!N26/'[7]Table 11 CWTs exp'!$AA26,IF('[7]Table 11 CWTs exp'!N26/'[7]Table 11 CWTs exp'!$AA26&gt;0,"-"," "))</f>
        <v>0.35982484948002191</v>
      </c>
      <c r="O26" s="144">
        <f>IF('[7]Table 11 CWTs exp'!O26/'[7]Table 11 CWTs exp'!$AA26&gt;0.0005,'[7]Table 11 CWTs exp'!O26/'[7]Table 11 CWTs exp'!$AA26,IF('[7]Table 11 CWTs exp'!O26/'[7]Table 11 CWTs exp'!$AA26&gt;0,"-"," "))</f>
        <v>2.1893814997263273E-2</v>
      </c>
      <c r="P26" s="144" t="str">
        <f>IF('[7]Table 11 CWTs exp'!P26/'[7]Table 11 CWTs exp'!$AA26&gt;0.0005,'[7]Table 11 CWTs exp'!P26/'[7]Table 11 CWTs exp'!$AA26,IF('[7]Table 11 CWTs exp'!P26/'[7]Table 11 CWTs exp'!$AA26&gt;0,"-"," "))</f>
        <v xml:space="preserve"> </v>
      </c>
      <c r="Q26" s="145" t="str">
        <f>IF('[7]Table 11 CWTs exp'!Q26/'[7]Table 11 CWTs exp'!$AA26&gt;0.0005,'[7]Table 11 CWTs exp'!Q26/'[7]Table 11 CWTs exp'!$AA26,IF('[7]Table 11 CWTs exp'!Q26/'[7]Table 11 CWTs exp'!$AA26&gt;0,"-"," "))</f>
        <v xml:space="preserve"> </v>
      </c>
      <c r="R26" s="146">
        <f>IF('[7]Table 11 CWTs exp'!R26/'[7]Table 11 CWTs exp'!$AA26&gt;0.0005,'[7]Table 11 CWTs exp'!R26/'[7]Table 11 CWTs exp'!$AA26,IF('[7]Table 11 CWTs exp'!R26/'[7]Table 11 CWTs exp'!$AA26&gt;0,"-"," "))</f>
        <v>1.083743842364532E-2</v>
      </c>
      <c r="S26" s="144" t="str">
        <f>IF('[7]Table 11 CWTs exp'!S26/'[7]Table 11 CWTs exp'!$AA26&gt;0.0005,'[7]Table 11 CWTs exp'!S26/'[7]Table 11 CWTs exp'!$AA26,IF('[7]Table 11 CWTs exp'!S26/'[7]Table 11 CWTs exp'!$AA26&gt;0,"-"," "))</f>
        <v xml:space="preserve"> </v>
      </c>
      <c r="T26" s="144">
        <f>IF('[7]Table 11 CWTs exp'!T26/'[7]Table 11 CWTs exp'!$AA26&gt;0.0005,'[7]Table 11 CWTs exp'!T26/'[7]Table 11 CWTs exp'!$AA26,IF('[7]Table 11 CWTs exp'!T26/'[7]Table 11 CWTs exp'!$AA26&gt;0,"-"," "))</f>
        <v>2.167487684729064E-2</v>
      </c>
      <c r="U26" s="144">
        <f>IF('[7]Table 11 CWTs exp'!U26/'[7]Table 11 CWTs exp'!$AA26&gt;0.0005,'[7]Table 11 CWTs exp'!U26/'[7]Table 11 CWTs exp'!$AA26,IF('[7]Table 11 CWTs exp'!U26/'[7]Table 11 CWTs exp'!$AA26&gt;0,"-"," "))</f>
        <v>1.0946907498631636E-2</v>
      </c>
      <c r="V26" s="145" t="str">
        <f>IF('[7]Table 11 CWTs exp'!V26/'[7]Table 11 CWTs exp'!$AA26&gt;0.0005,'[7]Table 11 CWTs exp'!V26/'[7]Table 11 CWTs exp'!$AA26,IF('[7]Table 11 CWTs exp'!V26/'[7]Table 11 CWTs exp'!$AA26&gt;0,"-"," "))</f>
        <v xml:space="preserve"> </v>
      </c>
      <c r="W26" s="146" t="str">
        <f>IF('[7]Table 11 CWTs exp'!W26/'[7]Table 11 CWTs exp'!$AA26&gt;0.0005,'[7]Table 11 CWTs exp'!W26/'[7]Table 11 CWTs exp'!$AA26,IF('[7]Table 11 CWTs exp'!W26/'[7]Table 11 CWTs exp'!$AA26&gt;0,"-"," "))</f>
        <v xml:space="preserve"> </v>
      </c>
      <c r="X26" s="206" t="str">
        <f>IF('[7]Table 11 CWTs exp'!X26/'[7]Table 11 CWTs exp'!$AA26&gt;0.0005,'[7]Table 11 CWTs exp'!X26/'[7]Table 11 CWTs exp'!$AA26,IF('[7]Table 11 CWTs exp'!X26/'[7]Table 11 CWTs exp'!$AA26&gt;0,"-"," "))</f>
        <v xml:space="preserve"> </v>
      </c>
      <c r="Y26" s="147">
        <f t="shared" si="4"/>
        <v>0.48746579091406683</v>
      </c>
      <c r="Z26" s="148">
        <f t="shared" si="5"/>
        <v>0.51253420908593317</v>
      </c>
      <c r="AA26" s="38">
        <f>'[7]Table 11 CWTs exp'!AA26</f>
        <v>9135</v>
      </c>
      <c r="AC26" s="592">
        <f>'[7]Table 11 CWTs exp'!AC26</f>
        <v>0.48699999999999999</v>
      </c>
      <c r="AD26" s="592">
        <f t="shared" si="2"/>
        <v>4.657909140668437E-4</v>
      </c>
      <c r="AE26" s="593" t="str">
        <f t="shared" si="3"/>
        <v>YUBA543</v>
      </c>
      <c r="AF26" s="442"/>
    </row>
    <row r="27" spans="1:32" ht="14.5" customHeight="1" x14ac:dyDescent="0.25">
      <c r="A27" s="54" t="str">
        <f>'[7]Table 11 CWTs exp'!A27</f>
        <v>YUBB543</v>
      </c>
      <c r="B27" s="75" t="str">
        <f>'[7]Table 11 CWTs exp'!B27</f>
        <v>YUBB</v>
      </c>
      <c r="C27" s="75">
        <f>'[7]Table 11 CWTs exp'!C27</f>
        <v>54</v>
      </c>
      <c r="D27" s="75">
        <f>'[7]Table 11 CWTs exp'!D27</f>
        <v>3</v>
      </c>
      <c r="E27" s="79" t="s">
        <v>85</v>
      </c>
      <c r="F27" s="37" t="str">
        <f>'[7]Table 11 CWTs exp'!F27</f>
        <v>Fall</v>
      </c>
      <c r="G27" s="144" t="str">
        <f>IF('[7]Table 11 CWTs exp'!G27/'[7]Table 11 CWTs exp'!$AA27&gt;0.0005,'[7]Table 11 CWTs exp'!G27/'[7]Table 11 CWTs exp'!$AA27,IF('[7]Table 11 CWTs exp'!G27/'[7]Table 11 CWTs exp'!$AA27&gt;0,"-"," "))</f>
        <v xml:space="preserve"> </v>
      </c>
      <c r="H27" s="145" t="str">
        <f>IF('[7]Table 11 CWTs exp'!H27/'[7]Table 11 CWTs exp'!$AA27&gt;0.0005,'[7]Table 11 CWTs exp'!H27/'[7]Table 11 CWTs exp'!$AA27,IF('[7]Table 11 CWTs exp'!H27/'[7]Table 11 CWTs exp'!$AA27&gt;0,"-"," "))</f>
        <v xml:space="preserve"> </v>
      </c>
      <c r="I27" s="144" t="str">
        <f>IF('[7]Table 11 CWTs exp'!I27/'[7]Table 11 CWTs exp'!$AA27&gt;0.0005,'[7]Table 11 CWTs exp'!I27/'[7]Table 11 CWTs exp'!$AA27,IF('[7]Table 11 CWTs exp'!I27/'[7]Table 11 CWTs exp'!$AA27&gt;0,"-"," "))</f>
        <v xml:space="preserve"> </v>
      </c>
      <c r="J27" s="146">
        <f>IF('[7]Table 11 CWTs exp'!J27/'[7]Table 11 CWTs exp'!$AA27&gt;0.0005,'[7]Table 11 CWTs exp'!J27/'[7]Table 11 CWTs exp'!$AA27,IF('[7]Table 11 CWTs exp'!J27/'[7]Table 11 CWTs exp'!$AA27&gt;0,"-"," "))</f>
        <v>5.2549630206305958E-2</v>
      </c>
      <c r="K27" s="144" t="str">
        <f>IF('[7]Table 11 CWTs exp'!K27/'[7]Table 11 CWTs exp'!$AA27&gt;0.0005,'[7]Table 11 CWTs exp'!K27/'[7]Table 11 CWTs exp'!$AA27,IF('[7]Table 11 CWTs exp'!K27/'[7]Table 11 CWTs exp'!$AA27&gt;0,"-"," "))</f>
        <v xml:space="preserve"> </v>
      </c>
      <c r="L27" s="144" t="str">
        <f>IF('[7]Table 11 CWTs exp'!L27/'[7]Table 11 CWTs exp'!$AA27&gt;0.0005,'[7]Table 11 CWTs exp'!L27/'[7]Table 11 CWTs exp'!$AA27,IF('[7]Table 11 CWTs exp'!L27/'[7]Table 11 CWTs exp'!$AA27&gt;0,"-"," "))</f>
        <v xml:space="preserve"> </v>
      </c>
      <c r="M27" s="144">
        <f>IF('[7]Table 11 CWTs exp'!M27/'[7]Table 11 CWTs exp'!$AA27&gt;0.0005,'[7]Table 11 CWTs exp'!M27/'[7]Table 11 CWTs exp'!$AA27,IF('[7]Table 11 CWTs exp'!M27/'[7]Table 11 CWTs exp'!$AA27&gt;0,"-"," "))</f>
        <v>7.7851304009342159E-3</v>
      </c>
      <c r="N27" s="144">
        <f>IF('[7]Table 11 CWTs exp'!N27/'[7]Table 11 CWTs exp'!$AA27&gt;0.0005,'[7]Table 11 CWTs exp'!N27/'[7]Table 11 CWTs exp'!$AA27,IF('[7]Table 11 CWTs exp'!N27/'[7]Table 11 CWTs exp'!$AA27&gt;0,"-"," "))</f>
        <v>0.33787465940054495</v>
      </c>
      <c r="O27" s="144">
        <f>IF('[7]Table 11 CWTs exp'!O27/'[7]Table 11 CWTs exp'!$AA27&gt;0.0005,'[7]Table 11 CWTs exp'!O27/'[7]Table 11 CWTs exp'!$AA27,IF('[7]Table 11 CWTs exp'!O27/'[7]Table 11 CWTs exp'!$AA27&gt;0,"-"," "))</f>
        <v>2.6469443363176332E-2</v>
      </c>
      <c r="P27" s="144">
        <f>IF('[7]Table 11 CWTs exp'!P27/'[7]Table 11 CWTs exp'!$AA27&gt;0.0005,'[7]Table 11 CWTs exp'!P27/'[7]Table 11 CWTs exp'!$AA27,IF('[7]Table 11 CWTs exp'!P27/'[7]Table 11 CWTs exp'!$AA27&gt;0,"-"," "))</f>
        <v>2.7247956403269754E-3</v>
      </c>
      <c r="Q27" s="145" t="str">
        <f>IF('[7]Table 11 CWTs exp'!Q27/'[7]Table 11 CWTs exp'!$AA27&gt;0.0005,'[7]Table 11 CWTs exp'!Q27/'[7]Table 11 CWTs exp'!$AA27,IF('[7]Table 11 CWTs exp'!Q27/'[7]Table 11 CWTs exp'!$AA27&gt;0,"-"," "))</f>
        <v xml:space="preserve"> </v>
      </c>
      <c r="R27" s="146" t="str">
        <f>IF('[7]Table 11 CWTs exp'!R27/'[7]Table 11 CWTs exp'!$AA27&gt;0.0005,'[7]Table 11 CWTs exp'!R27/'[7]Table 11 CWTs exp'!$AA27,IF('[7]Table 11 CWTs exp'!R27/'[7]Table 11 CWTs exp'!$AA27&gt;0,"-"," "))</f>
        <v xml:space="preserve"> </v>
      </c>
      <c r="S27" s="144" t="str">
        <f>IF('[7]Table 11 CWTs exp'!S27/'[7]Table 11 CWTs exp'!$AA27&gt;0.0005,'[7]Table 11 CWTs exp'!S27/'[7]Table 11 CWTs exp'!$AA27,IF('[7]Table 11 CWTs exp'!S27/'[7]Table 11 CWTs exp'!$AA27&gt;0,"-"," "))</f>
        <v xml:space="preserve"> </v>
      </c>
      <c r="T27" s="144">
        <f>IF('[7]Table 11 CWTs exp'!T27/'[7]Table 11 CWTs exp'!$AA27&gt;0.0005,'[7]Table 11 CWTs exp'!T27/'[7]Table 11 CWTs exp'!$AA27,IF('[7]Table 11 CWTs exp'!T27/'[7]Table 11 CWTs exp'!$AA27&gt;0,"-"," "))</f>
        <v>2.3744647722849357E-2</v>
      </c>
      <c r="U27" s="144" t="str">
        <f>IF('[7]Table 11 CWTs exp'!U27/'[7]Table 11 CWTs exp'!$AA27&gt;0.0005,'[7]Table 11 CWTs exp'!U27/'[7]Table 11 CWTs exp'!$AA27,IF('[7]Table 11 CWTs exp'!U27/'[7]Table 11 CWTs exp'!$AA27&gt;0,"-"," "))</f>
        <v xml:space="preserve"> </v>
      </c>
      <c r="V27" s="145" t="str">
        <f>IF('[7]Table 11 CWTs exp'!V27/'[7]Table 11 CWTs exp'!$AA27&gt;0.0005,'[7]Table 11 CWTs exp'!V27/'[7]Table 11 CWTs exp'!$AA27,IF('[7]Table 11 CWTs exp'!V27/'[7]Table 11 CWTs exp'!$AA27&gt;0,"-"," "))</f>
        <v xml:space="preserve"> </v>
      </c>
      <c r="W27" s="146" t="str">
        <f>IF('[7]Table 11 CWTs exp'!W27/'[7]Table 11 CWTs exp'!$AA27&gt;0.0005,'[7]Table 11 CWTs exp'!W27/'[7]Table 11 CWTs exp'!$AA27,IF('[7]Table 11 CWTs exp'!W27/'[7]Table 11 CWTs exp'!$AA27&gt;0,"-"," "))</f>
        <v xml:space="preserve"> </v>
      </c>
      <c r="X27" s="206" t="str">
        <f>IF('[7]Table 11 CWTs exp'!X27/'[7]Table 11 CWTs exp'!$AA27&gt;0.0005,'[7]Table 11 CWTs exp'!X27/'[7]Table 11 CWTs exp'!$AA27,IF('[7]Table 11 CWTs exp'!X27/'[7]Table 11 CWTs exp'!$AA27&gt;0,"-"," "))</f>
        <v xml:space="preserve"> </v>
      </c>
      <c r="Y27" s="147">
        <f t="shared" si="4"/>
        <v>0.45114830673413781</v>
      </c>
      <c r="Z27" s="148">
        <f t="shared" si="5"/>
        <v>0.54885169326586225</v>
      </c>
      <c r="AA27" s="38">
        <f>'[7]Table 11 CWTs exp'!AA27</f>
        <v>2569</v>
      </c>
      <c r="AC27" s="592">
        <f>'[7]Table 11 CWTs exp'!AC27</f>
        <v>0.45100000000000001</v>
      </c>
      <c r="AD27" s="592">
        <f t="shared" si="2"/>
        <v>1.4830673413779305E-4</v>
      </c>
      <c r="AE27" s="593" t="str">
        <f t="shared" si="3"/>
        <v>YUBB543</v>
      </c>
      <c r="AF27" s="442"/>
    </row>
    <row r="28" spans="1:32" ht="14.5" customHeight="1" x14ac:dyDescent="0.25">
      <c r="A28" s="54" t="str">
        <f>'[7]Table 11 CWTs exp'!A28</f>
        <v>LARC543</v>
      </c>
      <c r="B28" s="75" t="str">
        <f>'[7]Table 11 CWTs exp'!B28</f>
        <v>LARC</v>
      </c>
      <c r="C28" s="75">
        <f>'[7]Table 11 CWTs exp'!C28</f>
        <v>54</v>
      </c>
      <c r="D28" s="75">
        <f>'[7]Table 11 CWTs exp'!D28</f>
        <v>3</v>
      </c>
      <c r="E28" t="str">
        <f>'[7]Table 11 CWTs exp'!E28</f>
        <v>American River</v>
      </c>
      <c r="F28" s="37" t="str">
        <f>'[7]Table 11 CWTs exp'!F28</f>
        <v>Fall</v>
      </c>
      <c r="G28" s="144" t="str">
        <f>IF('[7]Table 11 CWTs exp'!G28/'[7]Table 11 CWTs exp'!$AA28&gt;0.0005,'[7]Table 11 CWTs exp'!G28/'[7]Table 11 CWTs exp'!$AA28,IF('[7]Table 11 CWTs exp'!G28/'[7]Table 11 CWTs exp'!$AA28&gt;0,"-"," "))</f>
        <v xml:space="preserve"> </v>
      </c>
      <c r="H28" s="145" t="str">
        <f>IF('[7]Table 11 CWTs exp'!H28/'[7]Table 11 CWTs exp'!$AA28&gt;0.0005,'[7]Table 11 CWTs exp'!H28/'[7]Table 11 CWTs exp'!$AA28,IF('[7]Table 11 CWTs exp'!H28/'[7]Table 11 CWTs exp'!$AA28&gt;0,"-"," "))</f>
        <v xml:space="preserve"> </v>
      </c>
      <c r="I28" s="144">
        <f>IF('[7]Table 11 CWTs exp'!I28/'[7]Table 11 CWTs exp'!$AA28&gt;0.0005,'[7]Table 11 CWTs exp'!I28/'[7]Table 11 CWTs exp'!$AA28,IF('[7]Table 11 CWTs exp'!I28/'[7]Table 11 CWTs exp'!$AA28&gt;0,"-"," "))</f>
        <v>1.1019058890748071E-3</v>
      </c>
      <c r="J28" s="146">
        <f>IF('[7]Table 11 CWTs exp'!J28/'[7]Table 11 CWTs exp'!$AA28&gt;0.0005,'[7]Table 11 CWTs exp'!J28/'[7]Table 11 CWTs exp'!$AA28,IF('[7]Table 11 CWTs exp'!J28/'[7]Table 11 CWTs exp'!$AA28&gt;0,"-"," "))</f>
        <v>8.4071338203485294E-3</v>
      </c>
      <c r="K28" s="144" t="str">
        <f>IF('[7]Table 11 CWTs exp'!K28/'[7]Table 11 CWTs exp'!$AA28&gt;0.0005,'[7]Table 11 CWTs exp'!K28/'[7]Table 11 CWTs exp'!$AA28,IF('[7]Table 11 CWTs exp'!K28/'[7]Table 11 CWTs exp'!$AA28&gt;0,"-"," "))</f>
        <v xml:space="preserve"> </v>
      </c>
      <c r="L28" s="144" t="str">
        <f>IF('[7]Table 11 CWTs exp'!L28/'[7]Table 11 CWTs exp'!$AA28&gt;0.0005,'[7]Table 11 CWTs exp'!L28/'[7]Table 11 CWTs exp'!$AA28,IF('[7]Table 11 CWTs exp'!L28/'[7]Table 11 CWTs exp'!$AA28&gt;0,"-"," "))</f>
        <v>-</v>
      </c>
      <c r="M28" s="144" t="str">
        <f>IF('[7]Table 11 CWTs exp'!M28/'[7]Table 11 CWTs exp'!$AA28&gt;0.0005,'[7]Table 11 CWTs exp'!M28/'[7]Table 11 CWTs exp'!$AA28,IF('[7]Table 11 CWTs exp'!M28/'[7]Table 11 CWTs exp'!$AA28&gt;0,"-"," "))</f>
        <v>-</v>
      </c>
      <c r="N28" s="144">
        <f>IF('[7]Table 11 CWTs exp'!N28/'[7]Table 11 CWTs exp'!$AA28&gt;0.0005,'[7]Table 11 CWTs exp'!N28/'[7]Table 11 CWTs exp'!$AA28,IF('[7]Table 11 CWTs exp'!N28/'[7]Table 11 CWTs exp'!$AA28&gt;0,"-"," "))</f>
        <v>1.3222870668897687E-2</v>
      </c>
      <c r="O28" s="144">
        <f>IF('[7]Table 11 CWTs exp'!O28/'[7]Table 11 CWTs exp'!$AA28&gt;0.0005,'[7]Table 11 CWTs exp'!O28/'[7]Table 11 CWTs exp'!$AA28,IF('[7]Table 11 CWTs exp'!O28/'[7]Table 11 CWTs exp'!$AA28&gt;0,"-"," "))</f>
        <v>1.4692078520997429E-3</v>
      </c>
      <c r="P28" s="144" t="str">
        <f>IF('[7]Table 11 CWTs exp'!P28/'[7]Table 11 CWTs exp'!$AA28&gt;0.0005,'[7]Table 11 CWTs exp'!P28/'[7]Table 11 CWTs exp'!$AA28,IF('[7]Table 11 CWTs exp'!P28/'[7]Table 11 CWTs exp'!$AA28&gt;0,"-"," "))</f>
        <v xml:space="preserve"> </v>
      </c>
      <c r="Q28" s="145">
        <f>IF('[7]Table 11 CWTs exp'!Q28/'[7]Table 11 CWTs exp'!$AA28&gt;0.0005,'[7]Table 11 CWTs exp'!Q28/'[7]Table 11 CWTs exp'!$AA28,IF('[7]Table 11 CWTs exp'!Q28/'[7]Table 11 CWTs exp'!$AA28&gt;0,"-"," "))</f>
        <v>0.32844957760274252</v>
      </c>
      <c r="R28" s="146">
        <f>IF('[7]Table 11 CWTs exp'!R28/'[7]Table 11 CWTs exp'!$AA28&gt;0.0005,'[7]Table 11 CWTs exp'!R28/'[7]Table 11 CWTs exp'!$AA28,IF('[7]Table 11 CWTs exp'!R28/'[7]Table 11 CWTs exp'!$AA28&gt;0,"-"," "))</f>
        <v>0.17752928212871893</v>
      </c>
      <c r="S28" s="144" t="str">
        <f>IF('[7]Table 11 CWTs exp'!S28/'[7]Table 11 CWTs exp'!$AA28&gt;0.0005,'[7]Table 11 CWTs exp'!S28/'[7]Table 11 CWTs exp'!$AA28,IF('[7]Table 11 CWTs exp'!S28/'[7]Table 11 CWTs exp'!$AA28&gt;0,"-"," "))</f>
        <v>-</v>
      </c>
      <c r="T28" s="144">
        <f>IF('[7]Table 11 CWTs exp'!T28/'[7]Table 11 CWTs exp'!$AA28&gt;0.0005,'[7]Table 11 CWTs exp'!T28/'[7]Table 11 CWTs exp'!$AA28,IF('[7]Table 11 CWTs exp'!T28/'[7]Table 11 CWTs exp'!$AA28&gt;0,"-"," "))</f>
        <v>9.3743623229808601E-2</v>
      </c>
      <c r="U28" s="144">
        <f>IF('[7]Table 11 CWTs exp'!U28/'[7]Table 11 CWTs exp'!$AA28&gt;0.0005,'[7]Table 11 CWTs exp'!U28/'[7]Table 11 CWTs exp'!$AA28,IF('[7]Table 11 CWTs exp'!U28/'[7]Table 11 CWTs exp'!$AA28&gt;0,"-"," "))</f>
        <v>1.6202097702322164E-2</v>
      </c>
      <c r="V28" s="145" t="str">
        <f>IF('[7]Table 11 CWTs exp'!V28/'[7]Table 11 CWTs exp'!$AA28&gt;0.0005,'[7]Table 11 CWTs exp'!V28/'[7]Table 11 CWTs exp'!$AA28,IF('[7]Table 11 CWTs exp'!V28/'[7]Table 11 CWTs exp'!$AA28&gt;0,"-"," "))</f>
        <v xml:space="preserve"> </v>
      </c>
      <c r="W28" s="146">
        <f>IF('[7]Table 11 CWTs exp'!W28/'[7]Table 11 CWTs exp'!$AA28&gt;0.0005,'[7]Table 11 CWTs exp'!W28/'[7]Table 11 CWTs exp'!$AA28,IF('[7]Table 11 CWTs exp'!W28/'[7]Table 11 CWTs exp'!$AA28&gt;0,"-"," "))</f>
        <v>3.6322083010243643E-3</v>
      </c>
      <c r="X28" s="206" t="str">
        <f>IF('[7]Table 11 CWTs exp'!X28/'[7]Table 11 CWTs exp'!$AA28&gt;0.0005,'[7]Table 11 CWTs exp'!X28/'[7]Table 11 CWTs exp'!$AA28,IF('[7]Table 11 CWTs exp'!X28/'[7]Table 11 CWTs exp'!$AA28&gt;0,"-"," "))</f>
        <v xml:space="preserve"> </v>
      </c>
      <c r="Y28" s="147">
        <f t="shared" si="4"/>
        <v>0.64375790719503734</v>
      </c>
      <c r="Z28" s="148">
        <f t="shared" si="5"/>
        <v>0.35624209280496266</v>
      </c>
      <c r="AA28" s="38">
        <f>'[7]Table 11 CWTs exp'!AA28</f>
        <v>24503</v>
      </c>
      <c r="AC28" s="592">
        <f>'[7]Table 11 CWTs exp'!AC28</f>
        <v>0.64400000000000002</v>
      </c>
      <c r="AD28" s="592">
        <f t="shared" si="2"/>
        <v>-2.4209280496267915E-4</v>
      </c>
      <c r="AE28" s="593" t="str">
        <f t="shared" si="3"/>
        <v>LARC543</v>
      </c>
      <c r="AF28" s="442"/>
    </row>
    <row r="29" spans="1:32" ht="14.5" customHeight="1" x14ac:dyDescent="0.25">
      <c r="A29" s="54" t="str">
        <f>'[7]Table 11 CWTs exp'!A29</f>
        <v>NIMW593</v>
      </c>
      <c r="B29" s="75" t="str">
        <f>'[7]Table 11 CWTs exp'!B29</f>
        <v>NIMW</v>
      </c>
      <c r="C29" s="75">
        <f>'[7]Table 11 CWTs exp'!C29</f>
        <v>59</v>
      </c>
      <c r="D29" s="75">
        <f>'[7]Table 11 CWTs exp'!D29</f>
        <v>3</v>
      </c>
      <c r="E29" t="str">
        <f>'[7]Table 11 CWTs exp'!E29</f>
        <v>Nimbus Fish Hatchery Weir</v>
      </c>
      <c r="F29" s="37" t="str">
        <f>'[7]Table 11 CWTs exp'!F29</f>
        <v>Fall</v>
      </c>
      <c r="G29" s="144" t="str">
        <f>IF('[7]Table 11 CWTs exp'!G29/'[7]Table 11 CWTs exp'!$AA29&gt;0.0005,'[7]Table 11 CWTs exp'!G29/'[7]Table 11 CWTs exp'!$AA29,IF('[7]Table 11 CWTs exp'!G29/'[7]Table 11 CWTs exp'!$AA29&gt;0,"-"," "))</f>
        <v xml:space="preserve"> </v>
      </c>
      <c r="H29" s="145" t="str">
        <f>IF('[7]Table 11 CWTs exp'!H29/'[7]Table 11 CWTs exp'!$AA29&gt;0.0005,'[7]Table 11 CWTs exp'!H29/'[7]Table 11 CWTs exp'!$AA29,IF('[7]Table 11 CWTs exp'!H29/'[7]Table 11 CWTs exp'!$AA29&gt;0,"-"," "))</f>
        <v xml:space="preserve"> </v>
      </c>
      <c r="I29" s="144" t="str">
        <f>IF('[7]Table 11 CWTs exp'!I29/'[7]Table 11 CWTs exp'!$AA29&gt;0.0005,'[7]Table 11 CWTs exp'!I29/'[7]Table 11 CWTs exp'!$AA29,IF('[7]Table 11 CWTs exp'!I29/'[7]Table 11 CWTs exp'!$AA29&gt;0,"-"," "))</f>
        <v xml:space="preserve"> </v>
      </c>
      <c r="J29" s="146">
        <f>IF('[7]Table 11 CWTs exp'!J29/'[7]Table 11 CWTs exp'!$AA29&gt;0.0005,'[7]Table 11 CWTs exp'!J29/'[7]Table 11 CWTs exp'!$AA29,IF('[7]Table 11 CWTs exp'!J29/'[7]Table 11 CWTs exp'!$AA29&gt;0,"-"," "))</f>
        <v>6.0851926977687626E-3</v>
      </c>
      <c r="K29" s="144">
        <f>IF('[7]Table 11 CWTs exp'!K29/'[7]Table 11 CWTs exp'!$AA29&gt;0.0005,'[7]Table 11 CWTs exp'!K29/'[7]Table 11 CWTs exp'!$AA29,IF('[7]Table 11 CWTs exp'!K29/'[7]Table 11 CWTs exp'!$AA29&gt;0,"-"," "))</f>
        <v>1.5212981744421906E-3</v>
      </c>
      <c r="L29" s="144">
        <f>IF('[7]Table 11 CWTs exp'!L29/'[7]Table 11 CWTs exp'!$AA29&gt;0.0005,'[7]Table 11 CWTs exp'!L29/'[7]Table 11 CWTs exp'!$AA29,IF('[7]Table 11 CWTs exp'!L29/'[7]Table 11 CWTs exp'!$AA29&gt;0,"-"," "))</f>
        <v>4.0567951318458417E-3</v>
      </c>
      <c r="M29" s="144">
        <f>IF('[7]Table 11 CWTs exp'!M29/'[7]Table 11 CWTs exp'!$AA29&gt;0.0005,'[7]Table 11 CWTs exp'!M29/'[7]Table 11 CWTs exp'!$AA29,IF('[7]Table 11 CWTs exp'!M29/'[7]Table 11 CWTs exp'!$AA29&gt;0,"-"," "))</f>
        <v>4.0567951318458417E-3</v>
      </c>
      <c r="N29" s="144">
        <f>IF('[7]Table 11 CWTs exp'!N29/'[7]Table 11 CWTs exp'!$AA29&gt;0.0005,'[7]Table 11 CWTs exp'!N29/'[7]Table 11 CWTs exp'!$AA29,IF('[7]Table 11 CWTs exp'!N29/'[7]Table 11 CWTs exp'!$AA29&gt;0,"-"," "))</f>
        <v>3.5496957403651115E-2</v>
      </c>
      <c r="O29" s="144">
        <f>IF('[7]Table 11 CWTs exp'!O29/'[7]Table 11 CWTs exp'!$AA29&gt;0.0005,'[7]Table 11 CWTs exp'!O29/'[7]Table 11 CWTs exp'!$AA29,IF('[7]Table 11 CWTs exp'!O29/'[7]Table 11 CWTs exp'!$AA29&gt;0,"-"," "))</f>
        <v>2.5354969574036511E-3</v>
      </c>
      <c r="P29" s="144" t="str">
        <f>IF('[7]Table 11 CWTs exp'!P29/'[7]Table 11 CWTs exp'!$AA29&gt;0.0005,'[7]Table 11 CWTs exp'!P29/'[7]Table 11 CWTs exp'!$AA29,IF('[7]Table 11 CWTs exp'!P29/'[7]Table 11 CWTs exp'!$AA29&gt;0,"-"," "))</f>
        <v xml:space="preserve"> </v>
      </c>
      <c r="Q29" s="145">
        <f>IF('[7]Table 11 CWTs exp'!Q29/'[7]Table 11 CWTs exp'!$AA29&gt;0.0005,'[7]Table 11 CWTs exp'!Q29/'[7]Table 11 CWTs exp'!$AA29,IF('[7]Table 11 CWTs exp'!Q29/'[7]Table 11 CWTs exp'!$AA29&gt;0,"-"," "))</f>
        <v>7.5557809330628806E-2</v>
      </c>
      <c r="R29" s="146">
        <f>IF('[7]Table 11 CWTs exp'!R29/'[7]Table 11 CWTs exp'!$AA29&gt;0.0005,'[7]Table 11 CWTs exp'!R29/'[7]Table 11 CWTs exp'!$AA29,IF('[7]Table 11 CWTs exp'!R29/'[7]Table 11 CWTs exp'!$AA29&gt;0,"-"," "))</f>
        <v>2.281947261663286E-2</v>
      </c>
      <c r="S29" s="144" t="str">
        <f>IF('[7]Table 11 CWTs exp'!S29/'[7]Table 11 CWTs exp'!$AA29&gt;0.0005,'[7]Table 11 CWTs exp'!S29/'[7]Table 11 CWTs exp'!$AA29,IF('[7]Table 11 CWTs exp'!S29/'[7]Table 11 CWTs exp'!$AA29&gt;0,"-"," "))</f>
        <v xml:space="preserve"> </v>
      </c>
      <c r="T29" s="144">
        <f>IF('[7]Table 11 CWTs exp'!T29/'[7]Table 11 CWTs exp'!$AA29&gt;0.0005,'[7]Table 11 CWTs exp'!T29/'[7]Table 11 CWTs exp'!$AA29,IF('[7]Table 11 CWTs exp'!T29/'[7]Table 11 CWTs exp'!$AA29&gt;0,"-"," "))</f>
        <v>8.1135902636916835E-2</v>
      </c>
      <c r="U29" s="144">
        <f>IF('[7]Table 11 CWTs exp'!U29/'[7]Table 11 CWTs exp'!$AA29&gt;0.0005,'[7]Table 11 CWTs exp'!U29/'[7]Table 11 CWTs exp'!$AA29,IF('[7]Table 11 CWTs exp'!U29/'[7]Table 11 CWTs exp'!$AA29&gt;0,"-"," "))</f>
        <v>4.0567951318458417E-3</v>
      </c>
      <c r="V29" s="145" t="str">
        <f>IF('[7]Table 11 CWTs exp'!V29/'[7]Table 11 CWTs exp'!$AA29&gt;0.0005,'[7]Table 11 CWTs exp'!V29/'[7]Table 11 CWTs exp'!$AA29,IF('[7]Table 11 CWTs exp'!V29/'[7]Table 11 CWTs exp'!$AA29&gt;0,"-"," "))</f>
        <v xml:space="preserve"> </v>
      </c>
      <c r="W29" s="146">
        <f>IF('[7]Table 11 CWTs exp'!W29/'[7]Table 11 CWTs exp'!$AA29&gt;0.0005,'[7]Table 11 CWTs exp'!W29/'[7]Table 11 CWTs exp'!$AA29,IF('[7]Table 11 CWTs exp'!W29/'[7]Table 11 CWTs exp'!$AA29&gt;0,"-"," "))</f>
        <v>4.3103448275862072E-2</v>
      </c>
      <c r="X29" s="206" t="str">
        <f>IF('[7]Table 11 CWTs exp'!X29/'[7]Table 11 CWTs exp'!$AA29&gt;0.0005,'[7]Table 11 CWTs exp'!X29/'[7]Table 11 CWTs exp'!$AA29,IF('[7]Table 11 CWTs exp'!X29/'[7]Table 11 CWTs exp'!$AA29&gt;0,"-"," "))</f>
        <v xml:space="preserve"> </v>
      </c>
      <c r="Y29" s="147">
        <f t="shared" si="4"/>
        <v>0.28042596348884385</v>
      </c>
      <c r="Z29" s="148">
        <f t="shared" si="5"/>
        <v>0.71957403651115615</v>
      </c>
      <c r="AA29" s="38">
        <f>'[7]Table 11 CWTs exp'!AA29</f>
        <v>1972</v>
      </c>
      <c r="AC29" s="592">
        <f>'[7]Table 11 CWTs exp'!AC29</f>
        <v>0.28100000000000003</v>
      </c>
      <c r="AD29" s="592">
        <f t="shared" si="2"/>
        <v>-5.7403651115617293E-4</v>
      </c>
      <c r="AE29" s="593" t="str">
        <f t="shared" si="3"/>
        <v>NIMW593</v>
      </c>
      <c r="AF29" s="442"/>
    </row>
    <row r="30" spans="1:32" ht="14.5" customHeight="1" x14ac:dyDescent="0.25">
      <c r="A30" s="54" t="str">
        <f>'[7]Table 11 CWTs exp'!A30</f>
        <v>MOKE543</v>
      </c>
      <c r="B30" s="75" t="str">
        <f>'[7]Table 11 CWTs exp'!B30</f>
        <v>MOKE</v>
      </c>
      <c r="C30" s="75">
        <f>'[7]Table 11 CWTs exp'!C30</f>
        <v>54</v>
      </c>
      <c r="D30" s="75">
        <f>'[7]Table 11 CWTs exp'!D30</f>
        <v>3</v>
      </c>
      <c r="E30" t="str">
        <f>'[7]Table 11 CWTs exp'!E30</f>
        <v>Mokelumne River</v>
      </c>
      <c r="F30" s="37" t="str">
        <f>'[7]Table 11 CWTs exp'!F30</f>
        <v>Fall</v>
      </c>
      <c r="G30" s="144" t="str">
        <f>IF('[7]Table 11 CWTs exp'!G30/'[7]Table 11 CWTs exp'!$AA30&gt;0.0005,'[7]Table 11 CWTs exp'!G30/'[7]Table 11 CWTs exp'!$AA30,IF('[7]Table 11 CWTs exp'!G30/'[7]Table 11 CWTs exp'!$AA30&gt;0,"-"," "))</f>
        <v xml:space="preserve"> </v>
      </c>
      <c r="H30" s="145" t="str">
        <f>IF('[7]Table 11 CWTs exp'!H30/'[7]Table 11 CWTs exp'!$AA30&gt;0.0005,'[7]Table 11 CWTs exp'!H30/'[7]Table 11 CWTs exp'!$AA30,IF('[7]Table 11 CWTs exp'!H30/'[7]Table 11 CWTs exp'!$AA30&gt;0,"-"," "))</f>
        <v xml:space="preserve"> </v>
      </c>
      <c r="I30" s="144" t="str">
        <f>IF('[7]Table 11 CWTs exp'!I30/'[7]Table 11 CWTs exp'!$AA30&gt;0.0005,'[7]Table 11 CWTs exp'!I30/'[7]Table 11 CWTs exp'!$AA30,IF('[7]Table 11 CWTs exp'!I30/'[7]Table 11 CWTs exp'!$AA30&gt;0,"-"," "))</f>
        <v xml:space="preserve"> </v>
      </c>
      <c r="J30" s="146" t="str">
        <f>IF('[7]Table 11 CWTs exp'!J30/'[7]Table 11 CWTs exp'!$AA30&gt;0.0005,'[7]Table 11 CWTs exp'!J30/'[7]Table 11 CWTs exp'!$AA30,IF('[7]Table 11 CWTs exp'!J30/'[7]Table 11 CWTs exp'!$AA30&gt;0,"-"," "))</f>
        <v xml:space="preserve"> </v>
      </c>
      <c r="K30" s="144" t="str">
        <f>IF('[7]Table 11 CWTs exp'!K30/'[7]Table 11 CWTs exp'!$AA30&gt;0.0005,'[7]Table 11 CWTs exp'!K30/'[7]Table 11 CWTs exp'!$AA30,IF('[7]Table 11 CWTs exp'!K30/'[7]Table 11 CWTs exp'!$AA30&gt;0,"-"," "))</f>
        <v xml:space="preserve"> </v>
      </c>
      <c r="L30" s="144" t="str">
        <f>IF('[7]Table 11 CWTs exp'!L30/'[7]Table 11 CWTs exp'!$AA30&gt;0.0005,'[7]Table 11 CWTs exp'!L30/'[7]Table 11 CWTs exp'!$AA30,IF('[7]Table 11 CWTs exp'!L30/'[7]Table 11 CWTs exp'!$AA30&gt;0,"-"," "))</f>
        <v xml:space="preserve"> </v>
      </c>
      <c r="M30" s="144" t="str">
        <f>IF('[7]Table 11 CWTs exp'!M30/'[7]Table 11 CWTs exp'!$AA30&gt;0.0005,'[7]Table 11 CWTs exp'!M30/'[7]Table 11 CWTs exp'!$AA30,IF('[7]Table 11 CWTs exp'!M30/'[7]Table 11 CWTs exp'!$AA30&gt;0,"-"," "))</f>
        <v xml:space="preserve"> </v>
      </c>
      <c r="N30" s="144">
        <f>IF('[7]Table 11 CWTs exp'!N30/'[7]Table 11 CWTs exp'!$AA30&gt;0.0005,'[7]Table 11 CWTs exp'!N30/'[7]Table 11 CWTs exp'!$AA30,IF('[7]Table 11 CWTs exp'!N30/'[7]Table 11 CWTs exp'!$AA30&gt;0,"-"," "))</f>
        <v>5.7324840764331211E-2</v>
      </c>
      <c r="O30" s="144" t="str">
        <f>IF('[7]Table 11 CWTs exp'!O30/'[7]Table 11 CWTs exp'!$AA30&gt;0.0005,'[7]Table 11 CWTs exp'!O30/'[7]Table 11 CWTs exp'!$AA30,IF('[7]Table 11 CWTs exp'!O30/'[7]Table 11 CWTs exp'!$AA30&gt;0,"-"," "))</f>
        <v xml:space="preserve"> </v>
      </c>
      <c r="P30" s="144" t="str">
        <f>IF('[7]Table 11 CWTs exp'!P30/'[7]Table 11 CWTs exp'!$AA30&gt;0.0005,'[7]Table 11 CWTs exp'!P30/'[7]Table 11 CWTs exp'!$AA30,IF('[7]Table 11 CWTs exp'!P30/'[7]Table 11 CWTs exp'!$AA30&gt;0,"-"," "))</f>
        <v xml:space="preserve"> </v>
      </c>
      <c r="Q30" s="145" t="str">
        <f>IF('[7]Table 11 CWTs exp'!Q30/'[7]Table 11 CWTs exp'!$AA30&gt;0.0005,'[7]Table 11 CWTs exp'!Q30/'[7]Table 11 CWTs exp'!$AA30,IF('[7]Table 11 CWTs exp'!Q30/'[7]Table 11 CWTs exp'!$AA30&gt;0,"-"," "))</f>
        <v xml:space="preserve"> </v>
      </c>
      <c r="R30" s="146" t="str">
        <f>IF('[7]Table 11 CWTs exp'!R30/'[7]Table 11 CWTs exp'!$AA30&gt;0.0005,'[7]Table 11 CWTs exp'!R30/'[7]Table 11 CWTs exp'!$AA30,IF('[7]Table 11 CWTs exp'!R30/'[7]Table 11 CWTs exp'!$AA30&gt;0,"-"," "))</f>
        <v xml:space="preserve"> </v>
      </c>
      <c r="S30" s="144">
        <f>IF('[7]Table 11 CWTs exp'!S30/'[7]Table 11 CWTs exp'!$AA30&gt;0.0005,'[7]Table 11 CWTs exp'!S30/'[7]Table 11 CWTs exp'!$AA30,IF('[7]Table 11 CWTs exp'!S30/'[7]Table 11 CWTs exp'!$AA30&gt;0,"-"," "))</f>
        <v>7.2793448589626936E-3</v>
      </c>
      <c r="T30" s="144">
        <f>IF('[7]Table 11 CWTs exp'!T30/'[7]Table 11 CWTs exp'!$AA30&gt;0.0005,'[7]Table 11 CWTs exp'!T30/'[7]Table 11 CWTs exp'!$AA30,IF('[7]Table 11 CWTs exp'!T30/'[7]Table 11 CWTs exp'!$AA30&gt;0,"-"," "))</f>
        <v>0.58993023961176827</v>
      </c>
      <c r="U30" s="144">
        <f>IF('[7]Table 11 CWTs exp'!U30/'[7]Table 11 CWTs exp'!$AA30&gt;0.0005,'[7]Table 11 CWTs exp'!U30/'[7]Table 11 CWTs exp'!$AA30,IF('[7]Table 11 CWTs exp'!U30/'[7]Table 11 CWTs exp'!$AA30&gt;0,"-"," "))</f>
        <v>5.7324840764331211E-2</v>
      </c>
      <c r="V30" s="145" t="str">
        <f>IF('[7]Table 11 CWTs exp'!V30/'[7]Table 11 CWTs exp'!$AA30&gt;0.0005,'[7]Table 11 CWTs exp'!V30/'[7]Table 11 CWTs exp'!$AA30,IF('[7]Table 11 CWTs exp'!V30/'[7]Table 11 CWTs exp'!$AA30&gt;0,"-"," "))</f>
        <v xml:space="preserve"> </v>
      </c>
      <c r="W30" s="146">
        <f>IF('[7]Table 11 CWTs exp'!W30/'[7]Table 11 CWTs exp'!$AA30&gt;0.0005,'[7]Table 11 CWTs exp'!W30/'[7]Table 11 CWTs exp'!$AA30,IF('[7]Table 11 CWTs exp'!W30/'[7]Table 11 CWTs exp'!$AA30&gt;0,"-"," "))</f>
        <v>5.0045495905368519E-2</v>
      </c>
      <c r="X30" s="206" t="str">
        <f>IF('[7]Table 11 CWTs exp'!X30/'[7]Table 11 CWTs exp'!$AA30&gt;0.0005,'[7]Table 11 CWTs exp'!X30/'[7]Table 11 CWTs exp'!$AA30,IF('[7]Table 11 CWTs exp'!X30/'[7]Table 11 CWTs exp'!$AA30&gt;0,"-"," "))</f>
        <v xml:space="preserve"> </v>
      </c>
      <c r="Y30" s="147">
        <f t="shared" si="4"/>
        <v>0.76190476190476197</v>
      </c>
      <c r="Z30" s="148">
        <f t="shared" si="5"/>
        <v>0.23809523809523803</v>
      </c>
      <c r="AA30" s="38">
        <f>'[7]Table 11 CWTs exp'!AA30</f>
        <v>3297</v>
      </c>
      <c r="AC30" s="592">
        <f>'[7]Table 11 CWTs exp'!AC30</f>
        <v>0.76200000000000001</v>
      </c>
      <c r="AD30" s="592">
        <f t="shared" si="2"/>
        <v>-9.5238095238037168E-5</v>
      </c>
      <c r="AE30" s="593" t="str">
        <f t="shared" si="3"/>
        <v>MOKE543</v>
      </c>
      <c r="AF30" s="442"/>
    </row>
    <row r="31" spans="1:32" ht="14.5" hidden="1" customHeight="1" x14ac:dyDescent="0.25">
      <c r="A31" s="54" t="str">
        <f>'[7]Table 11 CWTs exp'!A31</f>
        <v>COSU543</v>
      </c>
      <c r="B31" s="75" t="str">
        <f>'[7]Table 11 CWTs exp'!B31</f>
        <v>COSU</v>
      </c>
      <c r="C31" s="75">
        <f>'[7]Table 11 CWTs exp'!C31</f>
        <v>54</v>
      </c>
      <c r="D31" s="75">
        <f>'[7]Table 11 CWTs exp'!D31</f>
        <v>3</v>
      </c>
      <c r="E31" t="str">
        <f>'[7]Table 11 CWTs exp'!E31</f>
        <v>Cosumnes River</v>
      </c>
      <c r="F31" s="37" t="str">
        <f>'[7]Table 11 CWTs exp'!F31</f>
        <v>Fall</v>
      </c>
      <c r="G31" s="144" t="e">
        <f>IF('[7]Table 11 CWTs exp'!G31/'[7]Table 11 CWTs exp'!$AA31&gt;0.0005,'[7]Table 11 CWTs exp'!G31/'[7]Table 11 CWTs exp'!$AA31,IF('[7]Table 11 CWTs exp'!G31/'[7]Table 11 CWTs exp'!$AA31&gt;0,"-"," "))</f>
        <v>#DIV/0!</v>
      </c>
      <c r="H31" s="145" t="e">
        <f>IF('[7]Table 11 CWTs exp'!H31/'[7]Table 11 CWTs exp'!$AA31&gt;0.0005,'[7]Table 11 CWTs exp'!H31/'[7]Table 11 CWTs exp'!$AA31,IF('[7]Table 11 CWTs exp'!H31/'[7]Table 11 CWTs exp'!$AA31&gt;0,"-"," "))</f>
        <v>#DIV/0!</v>
      </c>
      <c r="I31" s="144" t="e">
        <f>IF('[7]Table 11 CWTs exp'!I31/'[7]Table 11 CWTs exp'!$AA31&gt;0.0005,'[7]Table 11 CWTs exp'!I31/'[7]Table 11 CWTs exp'!$AA31,IF('[7]Table 11 CWTs exp'!I31/'[7]Table 11 CWTs exp'!$AA31&gt;0,"-"," "))</f>
        <v>#DIV/0!</v>
      </c>
      <c r="J31" s="146" t="e">
        <f>IF('[7]Table 11 CWTs exp'!J31/'[7]Table 11 CWTs exp'!$AA31&gt;0.0005,'[7]Table 11 CWTs exp'!J31/'[7]Table 11 CWTs exp'!$AA31,IF('[7]Table 11 CWTs exp'!J31/'[7]Table 11 CWTs exp'!$AA31&gt;0,"-"," "))</f>
        <v>#DIV/0!</v>
      </c>
      <c r="K31" s="144" t="e">
        <f>IF('[7]Table 11 CWTs exp'!K31/'[7]Table 11 CWTs exp'!$AA31&gt;0.0005,'[7]Table 11 CWTs exp'!K31/'[7]Table 11 CWTs exp'!$AA31,IF('[7]Table 11 CWTs exp'!K31/'[7]Table 11 CWTs exp'!$AA31&gt;0,"-"," "))</f>
        <v>#DIV/0!</v>
      </c>
      <c r="L31" s="144" t="e">
        <f>IF('[7]Table 11 CWTs exp'!L31/'[7]Table 11 CWTs exp'!$AA31&gt;0.0005,'[7]Table 11 CWTs exp'!L31/'[7]Table 11 CWTs exp'!$AA31,IF('[7]Table 11 CWTs exp'!L31/'[7]Table 11 CWTs exp'!$AA31&gt;0,"-"," "))</f>
        <v>#DIV/0!</v>
      </c>
      <c r="M31" s="144" t="e">
        <f>IF('[7]Table 11 CWTs exp'!M31/'[7]Table 11 CWTs exp'!$AA31&gt;0.0005,'[7]Table 11 CWTs exp'!M31/'[7]Table 11 CWTs exp'!$AA31,IF('[7]Table 11 CWTs exp'!M31/'[7]Table 11 CWTs exp'!$AA31&gt;0,"-"," "))</f>
        <v>#DIV/0!</v>
      </c>
      <c r="N31" s="144" t="e">
        <f>IF('[7]Table 11 CWTs exp'!N31/'[7]Table 11 CWTs exp'!$AA31&gt;0.0005,'[7]Table 11 CWTs exp'!N31/'[7]Table 11 CWTs exp'!$AA31,IF('[7]Table 11 CWTs exp'!N31/'[7]Table 11 CWTs exp'!$AA31&gt;0,"-"," "))</f>
        <v>#DIV/0!</v>
      </c>
      <c r="O31" s="144" t="e">
        <f>IF('[7]Table 11 CWTs exp'!O31/'[7]Table 11 CWTs exp'!$AA31&gt;0.0005,'[7]Table 11 CWTs exp'!O31/'[7]Table 11 CWTs exp'!$AA31,IF('[7]Table 11 CWTs exp'!O31/'[7]Table 11 CWTs exp'!$AA31&gt;0,"-"," "))</f>
        <v>#DIV/0!</v>
      </c>
      <c r="P31" s="144" t="e">
        <f>IF('[7]Table 11 CWTs exp'!P31/'[7]Table 11 CWTs exp'!$AA31&gt;0.0005,'[7]Table 11 CWTs exp'!P31/'[7]Table 11 CWTs exp'!$AA31,IF('[7]Table 11 CWTs exp'!P31/'[7]Table 11 CWTs exp'!$AA31&gt;0,"-"," "))</f>
        <v>#DIV/0!</v>
      </c>
      <c r="Q31" s="145" t="e">
        <f>IF('[7]Table 11 CWTs exp'!Q31/'[7]Table 11 CWTs exp'!$AA31&gt;0.0005,'[7]Table 11 CWTs exp'!Q31/'[7]Table 11 CWTs exp'!$AA31,IF('[7]Table 11 CWTs exp'!Q31/'[7]Table 11 CWTs exp'!$AA31&gt;0,"-"," "))</f>
        <v>#DIV/0!</v>
      </c>
      <c r="R31" s="146" t="e">
        <f>IF('[7]Table 11 CWTs exp'!R31/'[7]Table 11 CWTs exp'!$AA31&gt;0.0005,'[7]Table 11 CWTs exp'!R31/'[7]Table 11 CWTs exp'!$AA31,IF('[7]Table 11 CWTs exp'!R31/'[7]Table 11 CWTs exp'!$AA31&gt;0,"-"," "))</f>
        <v>#DIV/0!</v>
      </c>
      <c r="S31" s="144" t="e">
        <f>IF('[7]Table 11 CWTs exp'!S31/'[7]Table 11 CWTs exp'!$AA31&gt;0.0005,'[7]Table 11 CWTs exp'!S31/'[7]Table 11 CWTs exp'!$AA31,IF('[7]Table 11 CWTs exp'!S31/'[7]Table 11 CWTs exp'!$AA31&gt;0,"-"," "))</f>
        <v>#DIV/0!</v>
      </c>
      <c r="T31" s="144" t="e">
        <f>IF('[7]Table 11 CWTs exp'!T31/'[7]Table 11 CWTs exp'!$AA31&gt;0.0005,'[7]Table 11 CWTs exp'!T31/'[7]Table 11 CWTs exp'!$AA31,IF('[7]Table 11 CWTs exp'!T31/'[7]Table 11 CWTs exp'!$AA31&gt;0,"-"," "))</f>
        <v>#DIV/0!</v>
      </c>
      <c r="U31" s="144" t="e">
        <f>IF('[7]Table 11 CWTs exp'!U31/'[7]Table 11 CWTs exp'!$AA31&gt;0.0005,'[7]Table 11 CWTs exp'!U31/'[7]Table 11 CWTs exp'!$AA31,IF('[7]Table 11 CWTs exp'!U31/'[7]Table 11 CWTs exp'!$AA31&gt;0,"-"," "))</f>
        <v>#DIV/0!</v>
      </c>
      <c r="V31" s="145" t="e">
        <f>IF('[7]Table 11 CWTs exp'!V31/'[7]Table 11 CWTs exp'!$AA31&gt;0.0005,'[7]Table 11 CWTs exp'!V31/'[7]Table 11 CWTs exp'!$AA31,IF('[7]Table 11 CWTs exp'!V31/'[7]Table 11 CWTs exp'!$AA31&gt;0,"-"," "))</f>
        <v>#DIV/0!</v>
      </c>
      <c r="W31" s="146" t="e">
        <f>IF('[7]Table 11 CWTs exp'!W31/'[7]Table 11 CWTs exp'!$AA31&gt;0.0005,'[7]Table 11 CWTs exp'!W31/'[7]Table 11 CWTs exp'!$AA31,IF('[7]Table 11 CWTs exp'!W31/'[7]Table 11 CWTs exp'!$AA31&gt;0,"-"," "))</f>
        <v>#DIV/0!</v>
      </c>
      <c r="X31" s="206" t="e">
        <f>IF('[7]Table 11 CWTs exp'!X31/'[7]Table 11 CWTs exp'!$AA31&gt;0.0005,'[7]Table 11 CWTs exp'!X31/'[7]Table 11 CWTs exp'!$AA31,IF('[7]Table 11 CWTs exp'!X31/'[7]Table 11 CWTs exp'!$AA31&gt;0,"-"," "))</f>
        <v>#DIV/0!</v>
      </c>
      <c r="Y31" s="147" t="e">
        <f t="shared" si="4"/>
        <v>#DIV/0!</v>
      </c>
      <c r="Z31" s="148" t="e">
        <f t="shared" si="5"/>
        <v>#DIV/0!</v>
      </c>
      <c r="AA31" s="38">
        <f>'[7]Table 11 CWTs exp'!AA31</f>
        <v>0</v>
      </c>
      <c r="AC31" s="592">
        <f>'[7]Table 11 CWTs exp'!AC31</f>
        <v>0</v>
      </c>
      <c r="AD31" s="592" t="e">
        <f t="shared" si="2"/>
        <v>#DIV/0!</v>
      </c>
      <c r="AE31" s="593" t="str">
        <f t="shared" si="3"/>
        <v>COSU543</v>
      </c>
      <c r="AF31" s="442"/>
    </row>
    <row r="32" spans="1:32" ht="14.5" hidden="1" customHeight="1" x14ac:dyDescent="0.25">
      <c r="A32" s="54" t="str">
        <f>'[7]Table 11 CWTs exp'!A32</f>
        <v>CAL543</v>
      </c>
      <c r="B32" s="75" t="str">
        <f>'[7]Table 11 CWTs exp'!B32</f>
        <v>CAL</v>
      </c>
      <c r="C32" s="75">
        <f>'[7]Table 11 CWTs exp'!C32</f>
        <v>54</v>
      </c>
      <c r="D32" s="75">
        <f>'[7]Table 11 CWTs exp'!D32</f>
        <v>3</v>
      </c>
      <c r="E32" t="str">
        <f>'[7]Table 11 CWTs exp'!E32</f>
        <v>Calaveras River*</v>
      </c>
      <c r="F32" s="37" t="str">
        <f>'[7]Table 11 CWTs exp'!F32</f>
        <v>Fall</v>
      </c>
      <c r="G32" s="144" t="e">
        <f>IF('[7]Table 11 CWTs exp'!G32/'[7]Table 11 CWTs exp'!$AA32&gt;0.0005,'[7]Table 11 CWTs exp'!G32/'[7]Table 11 CWTs exp'!$AA32,IF('[7]Table 11 CWTs exp'!G32/'[7]Table 11 CWTs exp'!$AA32&gt;0,"-"," "))</f>
        <v>#DIV/0!</v>
      </c>
      <c r="H32" s="145" t="e">
        <f>IF('[7]Table 11 CWTs exp'!H32/'[7]Table 11 CWTs exp'!$AA32&gt;0.0005,'[7]Table 11 CWTs exp'!H32/'[7]Table 11 CWTs exp'!$AA32,IF('[7]Table 11 CWTs exp'!H32/'[7]Table 11 CWTs exp'!$AA32&gt;0,"-"," "))</f>
        <v>#DIV/0!</v>
      </c>
      <c r="I32" s="144" t="e">
        <f>IF('[7]Table 11 CWTs exp'!I32/'[7]Table 11 CWTs exp'!$AA32&gt;0.0005,'[7]Table 11 CWTs exp'!I32/'[7]Table 11 CWTs exp'!$AA32,IF('[7]Table 11 CWTs exp'!I32/'[7]Table 11 CWTs exp'!$AA32&gt;0,"-"," "))</f>
        <v>#DIV/0!</v>
      </c>
      <c r="J32" s="146" t="e">
        <f>IF('[7]Table 11 CWTs exp'!J32/'[7]Table 11 CWTs exp'!$AA32&gt;0.0005,'[7]Table 11 CWTs exp'!J32/'[7]Table 11 CWTs exp'!$AA32,IF('[7]Table 11 CWTs exp'!J32/'[7]Table 11 CWTs exp'!$AA32&gt;0,"-"," "))</f>
        <v>#DIV/0!</v>
      </c>
      <c r="K32" s="144" t="e">
        <f>IF('[7]Table 11 CWTs exp'!K32/'[7]Table 11 CWTs exp'!$AA32&gt;0.0005,'[7]Table 11 CWTs exp'!K32/'[7]Table 11 CWTs exp'!$AA32,IF('[7]Table 11 CWTs exp'!K32/'[7]Table 11 CWTs exp'!$AA32&gt;0,"-"," "))</f>
        <v>#DIV/0!</v>
      </c>
      <c r="L32" s="144" t="e">
        <f>IF('[7]Table 11 CWTs exp'!L32/'[7]Table 11 CWTs exp'!$AA32&gt;0.0005,'[7]Table 11 CWTs exp'!L32/'[7]Table 11 CWTs exp'!$AA32,IF('[7]Table 11 CWTs exp'!L32/'[7]Table 11 CWTs exp'!$AA32&gt;0,"-"," "))</f>
        <v>#DIV/0!</v>
      </c>
      <c r="M32" s="144" t="e">
        <f>IF('[7]Table 11 CWTs exp'!M32/'[7]Table 11 CWTs exp'!$AA32&gt;0.0005,'[7]Table 11 CWTs exp'!M32/'[7]Table 11 CWTs exp'!$AA32,IF('[7]Table 11 CWTs exp'!M32/'[7]Table 11 CWTs exp'!$AA32&gt;0,"-"," "))</f>
        <v>#DIV/0!</v>
      </c>
      <c r="N32" s="144" t="e">
        <f>IF('[7]Table 11 CWTs exp'!N32/'[7]Table 11 CWTs exp'!$AA32&gt;0.0005,'[7]Table 11 CWTs exp'!N32/'[7]Table 11 CWTs exp'!$AA32,IF('[7]Table 11 CWTs exp'!N32/'[7]Table 11 CWTs exp'!$AA32&gt;0,"-"," "))</f>
        <v>#DIV/0!</v>
      </c>
      <c r="O32" s="144" t="e">
        <f>IF('[7]Table 11 CWTs exp'!O32/'[7]Table 11 CWTs exp'!$AA32&gt;0.0005,'[7]Table 11 CWTs exp'!O32/'[7]Table 11 CWTs exp'!$AA32,IF('[7]Table 11 CWTs exp'!O32/'[7]Table 11 CWTs exp'!$AA32&gt;0,"-"," "))</f>
        <v>#DIV/0!</v>
      </c>
      <c r="P32" s="144" t="e">
        <f>IF('[7]Table 11 CWTs exp'!P32/'[7]Table 11 CWTs exp'!$AA32&gt;0.0005,'[7]Table 11 CWTs exp'!P32/'[7]Table 11 CWTs exp'!$AA32,IF('[7]Table 11 CWTs exp'!P32/'[7]Table 11 CWTs exp'!$AA32&gt;0,"-"," "))</f>
        <v>#DIV/0!</v>
      </c>
      <c r="Q32" s="145" t="e">
        <f>IF('[7]Table 11 CWTs exp'!Q32/'[7]Table 11 CWTs exp'!$AA32&gt;0.0005,'[7]Table 11 CWTs exp'!Q32/'[7]Table 11 CWTs exp'!$AA32,IF('[7]Table 11 CWTs exp'!Q32/'[7]Table 11 CWTs exp'!$AA32&gt;0,"-"," "))</f>
        <v>#DIV/0!</v>
      </c>
      <c r="R32" s="146" t="e">
        <f>IF('[7]Table 11 CWTs exp'!R32/'[7]Table 11 CWTs exp'!$AA32&gt;0.0005,'[7]Table 11 CWTs exp'!R32/'[7]Table 11 CWTs exp'!$AA32,IF('[7]Table 11 CWTs exp'!R32/'[7]Table 11 CWTs exp'!$AA32&gt;0,"-"," "))</f>
        <v>#DIV/0!</v>
      </c>
      <c r="S32" s="144" t="e">
        <f>IF('[7]Table 11 CWTs exp'!S32/'[7]Table 11 CWTs exp'!$AA32&gt;0.0005,'[7]Table 11 CWTs exp'!S32/'[7]Table 11 CWTs exp'!$AA32,IF('[7]Table 11 CWTs exp'!S32/'[7]Table 11 CWTs exp'!$AA32&gt;0,"-"," "))</f>
        <v>#DIV/0!</v>
      </c>
      <c r="T32" s="144" t="e">
        <f>IF('[7]Table 11 CWTs exp'!T32/'[7]Table 11 CWTs exp'!$AA32&gt;0.0005,'[7]Table 11 CWTs exp'!T32/'[7]Table 11 CWTs exp'!$AA32,IF('[7]Table 11 CWTs exp'!T32/'[7]Table 11 CWTs exp'!$AA32&gt;0,"-"," "))</f>
        <v>#DIV/0!</v>
      </c>
      <c r="U32" s="144" t="e">
        <f>IF('[7]Table 11 CWTs exp'!U32/'[7]Table 11 CWTs exp'!$AA32&gt;0.0005,'[7]Table 11 CWTs exp'!U32/'[7]Table 11 CWTs exp'!$AA32,IF('[7]Table 11 CWTs exp'!U32/'[7]Table 11 CWTs exp'!$AA32&gt;0,"-"," "))</f>
        <v>#DIV/0!</v>
      </c>
      <c r="V32" s="145" t="e">
        <f>IF('[7]Table 11 CWTs exp'!V32/'[7]Table 11 CWTs exp'!$AA32&gt;0.0005,'[7]Table 11 CWTs exp'!V32/'[7]Table 11 CWTs exp'!$AA32,IF('[7]Table 11 CWTs exp'!V32/'[7]Table 11 CWTs exp'!$AA32&gt;0,"-"," "))</f>
        <v>#DIV/0!</v>
      </c>
      <c r="W32" s="146" t="e">
        <f>IF('[7]Table 11 CWTs exp'!W32/'[7]Table 11 CWTs exp'!$AA32&gt;0.0005,'[7]Table 11 CWTs exp'!W32/'[7]Table 11 CWTs exp'!$AA32,IF('[7]Table 11 CWTs exp'!W32/'[7]Table 11 CWTs exp'!$AA32&gt;0,"-"," "))</f>
        <v>#DIV/0!</v>
      </c>
      <c r="X32" s="206" t="e">
        <f>IF('[7]Table 11 CWTs exp'!X32/'[7]Table 11 CWTs exp'!$AA32&gt;0.0005,'[7]Table 11 CWTs exp'!X32/'[7]Table 11 CWTs exp'!$AA32,IF('[7]Table 11 CWTs exp'!X32/'[7]Table 11 CWTs exp'!$AA32&gt;0,"-"," "))</f>
        <v>#DIV/0!</v>
      </c>
      <c r="Y32" s="147" t="e">
        <f t="shared" si="4"/>
        <v>#DIV/0!</v>
      </c>
      <c r="Z32" s="148" t="e">
        <f t="shared" si="5"/>
        <v>#DIV/0!</v>
      </c>
      <c r="AA32" s="38">
        <f>'[7]Table 11 CWTs exp'!AA32</f>
        <v>0</v>
      </c>
      <c r="AC32" s="592">
        <f>'[7]Table 11 CWTs exp'!AC32</f>
        <v>0</v>
      </c>
      <c r="AD32" s="592" t="e">
        <f t="shared" si="2"/>
        <v>#DIV/0!</v>
      </c>
      <c r="AE32" s="593" t="str">
        <f t="shared" si="3"/>
        <v>CAL543</v>
      </c>
      <c r="AF32" s="442"/>
    </row>
    <row r="33" spans="1:34" ht="14.5" customHeight="1" x14ac:dyDescent="0.25">
      <c r="A33" s="54" t="str">
        <f>'[7]Table 11 CWTs exp'!A33</f>
        <v>STA543</v>
      </c>
      <c r="B33" s="75" t="str">
        <f>'[7]Table 11 CWTs exp'!B33</f>
        <v>STA</v>
      </c>
      <c r="C33" s="75">
        <f>'[7]Table 11 CWTs exp'!C33</f>
        <v>54</v>
      </c>
      <c r="D33" s="75">
        <f>'[7]Table 11 CWTs exp'!D33</f>
        <v>3</v>
      </c>
      <c r="E33" t="str">
        <f>'[7]Table 11 CWTs exp'!E33</f>
        <v>Stanislaus River</v>
      </c>
      <c r="F33" s="37" t="str">
        <f>'[7]Table 11 CWTs exp'!F33</f>
        <v>Fall</v>
      </c>
      <c r="G33" s="144" t="str">
        <f>IF('[7]Table 11 CWTs exp'!G33/'[7]Table 11 CWTs exp'!$AA33&gt;0.0005,'[7]Table 11 CWTs exp'!G33/'[7]Table 11 CWTs exp'!$AA33,IF('[7]Table 11 CWTs exp'!G33/'[7]Table 11 CWTs exp'!$AA33&gt;0,"-"," "))</f>
        <v xml:space="preserve"> </v>
      </c>
      <c r="H33" s="145" t="str">
        <f>IF('[7]Table 11 CWTs exp'!H33/'[7]Table 11 CWTs exp'!$AA33&gt;0.0005,'[7]Table 11 CWTs exp'!H33/'[7]Table 11 CWTs exp'!$AA33,IF('[7]Table 11 CWTs exp'!H33/'[7]Table 11 CWTs exp'!$AA33&gt;0,"-"," "))</f>
        <v xml:space="preserve"> </v>
      </c>
      <c r="I33" s="144" t="str">
        <f>IF('[7]Table 11 CWTs exp'!I33/'[7]Table 11 CWTs exp'!$AA33&gt;0.0005,'[7]Table 11 CWTs exp'!I33/'[7]Table 11 CWTs exp'!$AA33,IF('[7]Table 11 CWTs exp'!I33/'[7]Table 11 CWTs exp'!$AA33&gt;0,"-"," "))</f>
        <v xml:space="preserve"> </v>
      </c>
      <c r="J33" s="146">
        <f>IF('[7]Table 11 CWTs exp'!J33/'[7]Table 11 CWTs exp'!$AA33&gt;0.0005,'[7]Table 11 CWTs exp'!J33/'[7]Table 11 CWTs exp'!$AA33,IF('[7]Table 11 CWTs exp'!J33/'[7]Table 11 CWTs exp'!$AA33&gt;0,"-"," "))</f>
        <v>7.1801566579634468E-3</v>
      </c>
      <c r="K33" s="144" t="str">
        <f>IF('[7]Table 11 CWTs exp'!K33/'[7]Table 11 CWTs exp'!$AA33&gt;0.0005,'[7]Table 11 CWTs exp'!K33/'[7]Table 11 CWTs exp'!$AA33,IF('[7]Table 11 CWTs exp'!K33/'[7]Table 11 CWTs exp'!$AA33&gt;0,"-"," "))</f>
        <v xml:space="preserve"> </v>
      </c>
      <c r="L33" s="144" t="str">
        <f>IF('[7]Table 11 CWTs exp'!L33/'[7]Table 11 CWTs exp'!$AA33&gt;0.0005,'[7]Table 11 CWTs exp'!L33/'[7]Table 11 CWTs exp'!$AA33,IF('[7]Table 11 CWTs exp'!L33/'[7]Table 11 CWTs exp'!$AA33&gt;0,"-"," "))</f>
        <v xml:space="preserve"> </v>
      </c>
      <c r="M33" s="144" t="str">
        <f>IF('[7]Table 11 CWTs exp'!M33/'[7]Table 11 CWTs exp'!$AA33&gt;0.0005,'[7]Table 11 CWTs exp'!M33/'[7]Table 11 CWTs exp'!$AA33,IF('[7]Table 11 CWTs exp'!M33/'[7]Table 11 CWTs exp'!$AA33&gt;0,"-"," "))</f>
        <v xml:space="preserve"> </v>
      </c>
      <c r="N33" s="144">
        <f>IF('[7]Table 11 CWTs exp'!N33/'[7]Table 11 CWTs exp'!$AA33&gt;0.0005,'[7]Table 11 CWTs exp'!N33/'[7]Table 11 CWTs exp'!$AA33,IF('[7]Table 11 CWTs exp'!N33/'[7]Table 11 CWTs exp'!$AA33&gt;0,"-"," "))</f>
        <v>6.4621409921671022E-2</v>
      </c>
      <c r="O33" s="144">
        <f>IF('[7]Table 11 CWTs exp'!O33/'[7]Table 11 CWTs exp'!$AA33&gt;0.0005,'[7]Table 11 CWTs exp'!O33/'[7]Table 11 CWTs exp'!$AA33,IF('[7]Table 11 CWTs exp'!O33/'[7]Table 11 CWTs exp'!$AA33&gt;0,"-"," "))</f>
        <v>1.6318537859007835E-2</v>
      </c>
      <c r="P33" s="144" t="str">
        <f>IF('[7]Table 11 CWTs exp'!P33/'[7]Table 11 CWTs exp'!$AA33&gt;0.0005,'[7]Table 11 CWTs exp'!P33/'[7]Table 11 CWTs exp'!$AA33,IF('[7]Table 11 CWTs exp'!P33/'[7]Table 11 CWTs exp'!$AA33&gt;0,"-"," "))</f>
        <v xml:space="preserve"> </v>
      </c>
      <c r="Q33" s="145" t="str">
        <f>IF('[7]Table 11 CWTs exp'!Q33/'[7]Table 11 CWTs exp'!$AA33&gt;0.0005,'[7]Table 11 CWTs exp'!Q33/'[7]Table 11 CWTs exp'!$AA33,IF('[7]Table 11 CWTs exp'!Q33/'[7]Table 11 CWTs exp'!$AA33&gt;0,"-"," "))</f>
        <v xml:space="preserve"> </v>
      </c>
      <c r="R33" s="146" t="str">
        <f>IF('[7]Table 11 CWTs exp'!R33/'[7]Table 11 CWTs exp'!$AA33&gt;0.0005,'[7]Table 11 CWTs exp'!R33/'[7]Table 11 CWTs exp'!$AA33,IF('[7]Table 11 CWTs exp'!R33/'[7]Table 11 CWTs exp'!$AA33&gt;0,"-"," "))</f>
        <v xml:space="preserve"> </v>
      </c>
      <c r="S33" s="144">
        <f>IF('[7]Table 11 CWTs exp'!S33/'[7]Table 11 CWTs exp'!$AA33&gt;0.0005,'[7]Table 11 CWTs exp'!S33/'[7]Table 11 CWTs exp'!$AA33,IF('[7]Table 11 CWTs exp'!S33/'[7]Table 11 CWTs exp'!$AA33&gt;0,"-"," "))</f>
        <v>4.2428198433420369E-3</v>
      </c>
      <c r="T33" s="144">
        <f>IF('[7]Table 11 CWTs exp'!T33/'[7]Table 11 CWTs exp'!$AA33&gt;0.0005,'[7]Table 11 CWTs exp'!T33/'[7]Table 11 CWTs exp'!$AA33,IF('[7]Table 11 CWTs exp'!T33/'[7]Table 11 CWTs exp'!$AA33&gt;0,"-"," "))</f>
        <v>0.4177545691906005</v>
      </c>
      <c r="U33" s="144">
        <f>IF('[7]Table 11 CWTs exp'!U33/'[7]Table 11 CWTs exp'!$AA33&gt;0.0005,'[7]Table 11 CWTs exp'!U33/'[7]Table 11 CWTs exp'!$AA33,IF('[7]Table 11 CWTs exp'!U33/'[7]Table 11 CWTs exp'!$AA33&gt;0,"-"," "))</f>
        <v>5.0587467362924285E-2</v>
      </c>
      <c r="V33" s="145">
        <f>IF('[7]Table 11 CWTs exp'!V33/'[7]Table 11 CWTs exp'!$AA33&gt;0.0005,'[7]Table 11 CWTs exp'!V33/'[7]Table 11 CWTs exp'!$AA33,IF('[7]Table 11 CWTs exp'!V33/'[7]Table 11 CWTs exp'!$AA33&gt;0,"-"," "))</f>
        <v>1.9582245430809398E-3</v>
      </c>
      <c r="W33" s="146">
        <f>IF('[7]Table 11 CWTs exp'!W33/'[7]Table 11 CWTs exp'!$AA33&gt;0.0005,'[7]Table 11 CWTs exp'!W33/'[7]Table 11 CWTs exp'!$AA33,IF('[7]Table 11 CWTs exp'!W33/'[7]Table 11 CWTs exp'!$AA33&gt;0,"-"," "))</f>
        <v>8.3550913838120106E-2</v>
      </c>
      <c r="X33" s="206" t="str">
        <f>IF('[7]Table 11 CWTs exp'!X33/'[7]Table 11 CWTs exp'!$AA33&gt;0.0005,'[7]Table 11 CWTs exp'!X33/'[7]Table 11 CWTs exp'!$AA33,IF('[7]Table 11 CWTs exp'!X33/'[7]Table 11 CWTs exp'!$AA33&gt;0,"-"," "))</f>
        <v xml:space="preserve"> </v>
      </c>
      <c r="Y33" s="147">
        <f t="shared" si="4"/>
        <v>0.64621409921671014</v>
      </c>
      <c r="Z33" s="148">
        <f t="shared" si="5"/>
        <v>0.35378590078328986</v>
      </c>
      <c r="AA33" s="38">
        <f>'[7]Table 11 CWTs exp'!AA33</f>
        <v>3064</v>
      </c>
      <c r="AC33" s="592">
        <f>'[7]Table 11 CWTs exp'!AC33</f>
        <v>0.64700000000000002</v>
      </c>
      <c r="AD33" s="592">
        <f t="shared" si="2"/>
        <v>-7.8590078328988344E-4</v>
      </c>
      <c r="AE33" s="593" t="str">
        <f t="shared" si="3"/>
        <v>STA543</v>
      </c>
      <c r="AF33" s="442"/>
    </row>
    <row r="34" spans="1:34" ht="14.5" customHeight="1" x14ac:dyDescent="0.25">
      <c r="A34" s="54" t="str">
        <f>'[7]Table 11 CWTs exp'!A34</f>
        <v>TUO543</v>
      </c>
      <c r="B34" s="75" t="str">
        <f>'[7]Table 11 CWTs exp'!B34</f>
        <v>TUO</v>
      </c>
      <c r="C34" s="75">
        <f>'[7]Table 11 CWTs exp'!C34</f>
        <v>54</v>
      </c>
      <c r="D34" s="75">
        <f>'[7]Table 11 CWTs exp'!D34</f>
        <v>3</v>
      </c>
      <c r="E34" t="str">
        <f>'[7]Table 11 CWTs exp'!E34</f>
        <v>Tuolumne River</v>
      </c>
      <c r="F34" s="37" t="str">
        <f>'[7]Table 11 CWTs exp'!F34</f>
        <v>Fall</v>
      </c>
      <c r="G34" s="144" t="str">
        <f>IF('[7]Table 11 CWTs exp'!G34/'[7]Table 11 CWTs exp'!$AA34&gt;0.0005,'[7]Table 11 CWTs exp'!G34/'[7]Table 11 CWTs exp'!$AA34,IF('[7]Table 11 CWTs exp'!G34/'[7]Table 11 CWTs exp'!$AA34&gt;0,"-"," "))</f>
        <v xml:space="preserve"> </v>
      </c>
      <c r="H34" s="145" t="str">
        <f>IF('[7]Table 11 CWTs exp'!H34/'[7]Table 11 CWTs exp'!$AA34&gt;0.0005,'[7]Table 11 CWTs exp'!H34/'[7]Table 11 CWTs exp'!$AA34,IF('[7]Table 11 CWTs exp'!H34/'[7]Table 11 CWTs exp'!$AA34&gt;0,"-"," "))</f>
        <v xml:space="preserve"> </v>
      </c>
      <c r="I34" s="144" t="str">
        <f>IF('[7]Table 11 CWTs exp'!I34/'[7]Table 11 CWTs exp'!$AA34&gt;0.0005,'[7]Table 11 CWTs exp'!I34/'[7]Table 11 CWTs exp'!$AA34,IF('[7]Table 11 CWTs exp'!I34/'[7]Table 11 CWTs exp'!$AA34&gt;0,"-"," "))</f>
        <v xml:space="preserve"> </v>
      </c>
      <c r="J34" s="146" t="str">
        <f>IF('[7]Table 11 CWTs exp'!J34/'[7]Table 11 CWTs exp'!$AA34&gt;0.0005,'[7]Table 11 CWTs exp'!J34/'[7]Table 11 CWTs exp'!$AA34,IF('[7]Table 11 CWTs exp'!J34/'[7]Table 11 CWTs exp'!$AA34&gt;0,"-"," "))</f>
        <v xml:space="preserve"> </v>
      </c>
      <c r="K34" s="144" t="str">
        <f>IF('[7]Table 11 CWTs exp'!K34/'[7]Table 11 CWTs exp'!$AA34&gt;0.0005,'[7]Table 11 CWTs exp'!K34/'[7]Table 11 CWTs exp'!$AA34,IF('[7]Table 11 CWTs exp'!K34/'[7]Table 11 CWTs exp'!$AA34&gt;0,"-"," "))</f>
        <v xml:space="preserve"> </v>
      </c>
      <c r="L34" s="144" t="str">
        <f>IF('[7]Table 11 CWTs exp'!L34/'[7]Table 11 CWTs exp'!$AA34&gt;0.0005,'[7]Table 11 CWTs exp'!L34/'[7]Table 11 CWTs exp'!$AA34,IF('[7]Table 11 CWTs exp'!L34/'[7]Table 11 CWTs exp'!$AA34&gt;0,"-"," "))</f>
        <v xml:space="preserve"> </v>
      </c>
      <c r="M34" s="144" t="str">
        <f>IF('[7]Table 11 CWTs exp'!M34/'[7]Table 11 CWTs exp'!$AA34&gt;0.0005,'[7]Table 11 CWTs exp'!M34/'[7]Table 11 CWTs exp'!$AA34,IF('[7]Table 11 CWTs exp'!M34/'[7]Table 11 CWTs exp'!$AA34&gt;0,"-"," "))</f>
        <v xml:space="preserve"> </v>
      </c>
      <c r="N34" s="144" t="str">
        <f>IF('[7]Table 11 CWTs exp'!N34/'[7]Table 11 CWTs exp'!$AA34&gt;0.0005,'[7]Table 11 CWTs exp'!N34/'[7]Table 11 CWTs exp'!$AA34,IF('[7]Table 11 CWTs exp'!N34/'[7]Table 11 CWTs exp'!$AA34&gt;0,"-"," "))</f>
        <v xml:space="preserve"> </v>
      </c>
      <c r="O34" s="144" t="str">
        <f>IF('[7]Table 11 CWTs exp'!O34/'[7]Table 11 CWTs exp'!$AA34&gt;0.0005,'[7]Table 11 CWTs exp'!O34/'[7]Table 11 CWTs exp'!$AA34,IF('[7]Table 11 CWTs exp'!O34/'[7]Table 11 CWTs exp'!$AA34&gt;0,"-"," "))</f>
        <v xml:space="preserve"> </v>
      </c>
      <c r="P34" s="144" t="str">
        <f>IF('[7]Table 11 CWTs exp'!P34/'[7]Table 11 CWTs exp'!$AA34&gt;0.0005,'[7]Table 11 CWTs exp'!P34/'[7]Table 11 CWTs exp'!$AA34,IF('[7]Table 11 CWTs exp'!P34/'[7]Table 11 CWTs exp'!$AA34&gt;0,"-"," "))</f>
        <v xml:space="preserve"> </v>
      </c>
      <c r="Q34" s="145" t="str">
        <f>IF('[7]Table 11 CWTs exp'!Q34/'[7]Table 11 CWTs exp'!$AA34&gt;0.0005,'[7]Table 11 CWTs exp'!Q34/'[7]Table 11 CWTs exp'!$AA34,IF('[7]Table 11 CWTs exp'!Q34/'[7]Table 11 CWTs exp'!$AA34&gt;0,"-"," "))</f>
        <v xml:space="preserve"> </v>
      </c>
      <c r="R34" s="146">
        <f>IF('[7]Table 11 CWTs exp'!R34/'[7]Table 11 CWTs exp'!$AA34&gt;0.0005,'[7]Table 11 CWTs exp'!R34/'[7]Table 11 CWTs exp'!$AA34,IF('[7]Table 11 CWTs exp'!R34/'[7]Table 11 CWTs exp'!$AA34&gt;0,"-"," "))</f>
        <v>0.20873786407766989</v>
      </c>
      <c r="S34" s="144" t="str">
        <f>IF('[7]Table 11 CWTs exp'!S34/'[7]Table 11 CWTs exp'!$AA34&gt;0.0005,'[7]Table 11 CWTs exp'!S34/'[7]Table 11 CWTs exp'!$AA34,IF('[7]Table 11 CWTs exp'!S34/'[7]Table 11 CWTs exp'!$AA34&gt;0,"-"," "))</f>
        <v xml:space="preserve"> </v>
      </c>
      <c r="T34" s="144">
        <f>IF('[7]Table 11 CWTs exp'!T34/'[7]Table 11 CWTs exp'!$AA34&gt;0.0005,'[7]Table 11 CWTs exp'!T34/'[7]Table 11 CWTs exp'!$AA34,IF('[7]Table 11 CWTs exp'!T34/'[7]Table 11 CWTs exp'!$AA34&gt;0,"-"," "))</f>
        <v>0.41747572815533979</v>
      </c>
      <c r="U34" s="144" t="str">
        <f>IF('[7]Table 11 CWTs exp'!U34/'[7]Table 11 CWTs exp'!$AA34&gt;0.0005,'[7]Table 11 CWTs exp'!U34/'[7]Table 11 CWTs exp'!$AA34,IF('[7]Table 11 CWTs exp'!U34/'[7]Table 11 CWTs exp'!$AA34&gt;0,"-"," "))</f>
        <v xml:space="preserve"> </v>
      </c>
      <c r="V34" s="145">
        <f>IF('[7]Table 11 CWTs exp'!V34/'[7]Table 11 CWTs exp'!$AA34&gt;0.0005,'[7]Table 11 CWTs exp'!V34/'[7]Table 11 CWTs exp'!$AA34,IF('[7]Table 11 CWTs exp'!V34/'[7]Table 11 CWTs exp'!$AA34&gt;0,"-"," "))</f>
        <v>2.9126213592233011E-2</v>
      </c>
      <c r="W34" s="146" t="str">
        <f>IF('[7]Table 11 CWTs exp'!W34/'[7]Table 11 CWTs exp'!$AA34&gt;0.0005,'[7]Table 11 CWTs exp'!W34/'[7]Table 11 CWTs exp'!$AA34,IF('[7]Table 11 CWTs exp'!W34/'[7]Table 11 CWTs exp'!$AA34&gt;0,"-"," "))</f>
        <v xml:space="preserve"> </v>
      </c>
      <c r="X34" s="206" t="str">
        <f>IF('[7]Table 11 CWTs exp'!X34/'[7]Table 11 CWTs exp'!$AA34&gt;0.0005,'[7]Table 11 CWTs exp'!X34/'[7]Table 11 CWTs exp'!$AA34,IF('[7]Table 11 CWTs exp'!X34/'[7]Table 11 CWTs exp'!$AA34&gt;0,"-"," "))</f>
        <v xml:space="preserve"> </v>
      </c>
      <c r="Y34" s="147">
        <f>'[7]Table 11 CWTs exp'!AC34</f>
        <v>0.65</v>
      </c>
      <c r="Z34" s="148">
        <f t="shared" si="5"/>
        <v>0.35</v>
      </c>
      <c r="AA34" s="38">
        <f>'[7]Table 11 CWTs exp'!AA34</f>
        <v>206</v>
      </c>
      <c r="AC34" s="592">
        <f>'[7]Table 11 CWTs exp'!AC34</f>
        <v>0.65</v>
      </c>
      <c r="AD34" s="592">
        <f t="shared" si="2"/>
        <v>0</v>
      </c>
      <c r="AE34" s="593" t="str">
        <f t="shared" si="3"/>
        <v>TUO543</v>
      </c>
      <c r="AF34" s="442"/>
    </row>
    <row r="35" spans="1:34" ht="14.5" customHeight="1" x14ac:dyDescent="0.25">
      <c r="A35" s="54" t="str">
        <f>'[7]Table 11 CWTs exp'!A35</f>
        <v>MER543</v>
      </c>
      <c r="B35" s="75" t="str">
        <f>'[7]Table 11 CWTs exp'!B35</f>
        <v>MER</v>
      </c>
      <c r="C35" s="75">
        <f>'[7]Table 11 CWTs exp'!C35</f>
        <v>54</v>
      </c>
      <c r="D35" s="75">
        <f>'[7]Table 11 CWTs exp'!D35</f>
        <v>3</v>
      </c>
      <c r="E35" s="323" t="str">
        <f>'[7]Table 11 CWTs exp'!E35</f>
        <v>Merced River</v>
      </c>
      <c r="F35" s="288" t="str">
        <f>'[7]Table 11 CWTs exp'!F35</f>
        <v>Fall</v>
      </c>
      <c r="G35" s="291" t="str">
        <f>IF('[7]Table 11 CWTs exp'!G35/'[7]Table 11 CWTs exp'!$AA35&gt;0.0005,'[7]Table 11 CWTs exp'!G35/'[7]Table 11 CWTs exp'!$AA35,IF('[7]Table 11 CWTs exp'!G35/'[7]Table 11 CWTs exp'!$AA35&gt;0,"-"," "))</f>
        <v xml:space="preserve"> </v>
      </c>
      <c r="H35" s="290" t="str">
        <f>IF('[7]Table 11 CWTs exp'!H35/'[7]Table 11 CWTs exp'!$AA35&gt;0.0005,'[7]Table 11 CWTs exp'!H35/'[7]Table 11 CWTs exp'!$AA35,IF('[7]Table 11 CWTs exp'!H35/'[7]Table 11 CWTs exp'!$AA35&gt;0,"-"," "))</f>
        <v xml:space="preserve"> </v>
      </c>
      <c r="I35" s="291" t="str">
        <f>IF('[7]Table 11 CWTs exp'!I35/'[7]Table 11 CWTs exp'!$AA35&gt;0.0005,'[7]Table 11 CWTs exp'!I35/'[7]Table 11 CWTs exp'!$AA35,IF('[7]Table 11 CWTs exp'!I35/'[7]Table 11 CWTs exp'!$AA35&gt;0,"-"," "))</f>
        <v xml:space="preserve"> </v>
      </c>
      <c r="J35" s="292" t="str">
        <f>IF('[7]Table 11 CWTs exp'!J35/'[7]Table 11 CWTs exp'!$AA35&gt;0.0005,'[7]Table 11 CWTs exp'!J35/'[7]Table 11 CWTs exp'!$AA35,IF('[7]Table 11 CWTs exp'!J35/'[7]Table 11 CWTs exp'!$AA35&gt;0,"-"," "))</f>
        <v xml:space="preserve"> </v>
      </c>
      <c r="K35" s="291" t="str">
        <f>IF('[7]Table 11 CWTs exp'!K35/'[7]Table 11 CWTs exp'!$AA35&gt;0.0005,'[7]Table 11 CWTs exp'!K35/'[7]Table 11 CWTs exp'!$AA35,IF('[7]Table 11 CWTs exp'!K35/'[7]Table 11 CWTs exp'!$AA35&gt;0,"-"," "))</f>
        <v xml:space="preserve"> </v>
      </c>
      <c r="L35" s="291" t="str">
        <f>IF('[7]Table 11 CWTs exp'!L35/'[7]Table 11 CWTs exp'!$AA35&gt;0.0005,'[7]Table 11 CWTs exp'!L35/'[7]Table 11 CWTs exp'!$AA35,IF('[7]Table 11 CWTs exp'!L35/'[7]Table 11 CWTs exp'!$AA35&gt;0,"-"," "))</f>
        <v xml:space="preserve"> </v>
      </c>
      <c r="M35" s="291" t="str">
        <f>IF('[7]Table 11 CWTs exp'!M35/'[7]Table 11 CWTs exp'!$AA35&gt;0.0005,'[7]Table 11 CWTs exp'!M35/'[7]Table 11 CWTs exp'!$AA35,IF('[7]Table 11 CWTs exp'!M35/'[7]Table 11 CWTs exp'!$AA35&gt;0,"-"," "))</f>
        <v xml:space="preserve"> </v>
      </c>
      <c r="N35" s="291">
        <f>IF('[7]Table 11 CWTs exp'!N35/'[7]Table 11 CWTs exp'!$AA35&gt;0.0005,'[7]Table 11 CWTs exp'!N35/'[7]Table 11 CWTs exp'!$AA35,IF('[7]Table 11 CWTs exp'!N35/'[7]Table 11 CWTs exp'!$AA35&gt;0,"-"," "))</f>
        <v>8.7209302325581398E-2</v>
      </c>
      <c r="O35" s="291">
        <f>IF('[7]Table 11 CWTs exp'!O35/'[7]Table 11 CWTs exp'!$AA35&gt;0.0005,'[7]Table 11 CWTs exp'!O35/'[7]Table 11 CWTs exp'!$AA35,IF('[7]Table 11 CWTs exp'!O35/'[7]Table 11 CWTs exp'!$AA35&gt;0,"-"," "))</f>
        <v>1.0465116279069767E-2</v>
      </c>
      <c r="P35" s="291" t="str">
        <f>IF('[7]Table 11 CWTs exp'!P35/'[7]Table 11 CWTs exp'!$AA35&gt;0.0005,'[7]Table 11 CWTs exp'!P35/'[7]Table 11 CWTs exp'!$AA35,IF('[7]Table 11 CWTs exp'!P35/'[7]Table 11 CWTs exp'!$AA35&gt;0,"-"," "))</f>
        <v xml:space="preserve"> </v>
      </c>
      <c r="Q35" s="290" t="str">
        <f>IF('[7]Table 11 CWTs exp'!Q35/'[7]Table 11 CWTs exp'!$AA35&gt;0.0005,'[7]Table 11 CWTs exp'!Q35/'[7]Table 11 CWTs exp'!$AA35,IF('[7]Table 11 CWTs exp'!Q35/'[7]Table 11 CWTs exp'!$AA35&gt;0,"-"," "))</f>
        <v xml:space="preserve"> </v>
      </c>
      <c r="R35" s="292" t="str">
        <f>IF('[7]Table 11 CWTs exp'!R35/'[7]Table 11 CWTs exp'!$AA35&gt;0.0005,'[7]Table 11 CWTs exp'!R35/'[7]Table 11 CWTs exp'!$AA35,IF('[7]Table 11 CWTs exp'!R35/'[7]Table 11 CWTs exp'!$AA35&gt;0,"-"," "))</f>
        <v xml:space="preserve"> </v>
      </c>
      <c r="S35" s="291" t="str">
        <f>IF('[7]Table 11 CWTs exp'!S35/'[7]Table 11 CWTs exp'!$AA35&gt;0.0005,'[7]Table 11 CWTs exp'!S35/'[7]Table 11 CWTs exp'!$AA35,IF('[7]Table 11 CWTs exp'!S35/'[7]Table 11 CWTs exp'!$AA35&gt;0,"-"," "))</f>
        <v xml:space="preserve"> </v>
      </c>
      <c r="T35" s="291">
        <f>IF('[7]Table 11 CWTs exp'!T35/'[7]Table 11 CWTs exp'!$AA35&gt;0.0005,'[7]Table 11 CWTs exp'!T35/'[7]Table 11 CWTs exp'!$AA35,IF('[7]Table 11 CWTs exp'!T35/'[7]Table 11 CWTs exp'!$AA35&gt;0,"-"," "))</f>
        <v>0.30581395348837209</v>
      </c>
      <c r="U35" s="291">
        <f>IF('[7]Table 11 CWTs exp'!U35/'[7]Table 11 CWTs exp'!$AA35&gt;0.0005,'[7]Table 11 CWTs exp'!U35/'[7]Table 11 CWTs exp'!$AA35,IF('[7]Table 11 CWTs exp'!U35/'[7]Table 11 CWTs exp'!$AA35&gt;0,"-"," "))</f>
        <v>8.8372093023255813E-2</v>
      </c>
      <c r="V35" s="290">
        <f>IF('[7]Table 11 CWTs exp'!V35/'[7]Table 11 CWTs exp'!$AA35&gt;0.0005,'[7]Table 11 CWTs exp'!V35/'[7]Table 11 CWTs exp'!$AA35,IF('[7]Table 11 CWTs exp'!V35/'[7]Table 11 CWTs exp'!$AA35&gt;0,"-"," "))</f>
        <v>3.3720930232558143E-2</v>
      </c>
      <c r="W35" s="292">
        <f>IF('[7]Table 11 CWTs exp'!W35/'[7]Table 11 CWTs exp'!$AA35&gt;0.0005,'[7]Table 11 CWTs exp'!W35/'[7]Table 11 CWTs exp'!$AA35,IF('[7]Table 11 CWTs exp'!W35/'[7]Table 11 CWTs exp'!$AA35&gt;0,"-"," "))</f>
        <v>5.1162790697674418E-2</v>
      </c>
      <c r="X35" s="293" t="str">
        <f>IF('[7]Table 11 CWTs exp'!X35/'[7]Table 11 CWTs exp'!$AA35&gt;0.0005,'[7]Table 11 CWTs exp'!X35/'[7]Table 11 CWTs exp'!$AA35,IF('[7]Table 11 CWTs exp'!X35/'[7]Table 11 CWTs exp'!$AA35&gt;0,"-"," "))</f>
        <v xml:space="preserve"> </v>
      </c>
      <c r="Y35" s="294">
        <f t="shared" si="4"/>
        <v>0.57674418604651156</v>
      </c>
      <c r="Z35" s="295">
        <f t="shared" si="5"/>
        <v>0.42325581395348844</v>
      </c>
      <c r="AA35" s="256">
        <f>'[7]Table 11 CWTs exp'!AA35</f>
        <v>860</v>
      </c>
      <c r="AC35" s="592">
        <f>'[7]Table 11 CWTs exp'!AC35</f>
        <v>0.57699999999999996</v>
      </c>
      <c r="AD35" s="592">
        <f t="shared" si="2"/>
        <v>-2.5581395348839298E-4</v>
      </c>
      <c r="AE35" s="593" t="str">
        <f t="shared" si="3"/>
        <v>MER543</v>
      </c>
      <c r="AF35" s="442"/>
    </row>
    <row r="36" spans="1:34" ht="14.5" customHeight="1" x14ac:dyDescent="0.25">
      <c r="A36" s="54" t="str">
        <f>'[7]Table 11 CWTs exp'!A36</f>
        <v>USAC547</v>
      </c>
      <c r="B36" s="75" t="str">
        <f>'[7]Table 11 CWTs exp'!B36</f>
        <v>USAC</v>
      </c>
      <c r="C36" s="75">
        <f>'[7]Table 11 CWTs exp'!C36</f>
        <v>54</v>
      </c>
      <c r="D36" s="75">
        <f>'[7]Table 11 CWTs exp'!D36</f>
        <v>7</v>
      </c>
      <c r="E36" t="str">
        <f>'[7]Table 11 CWTs exp'!E36</f>
        <v>Upper Sacramento River</v>
      </c>
      <c r="F36" s="37" t="s">
        <v>57</v>
      </c>
      <c r="G36" s="144" t="str">
        <f>IF('[7]Table 11 CWTs exp'!G36/'[7]Table 11 CWTs exp'!$AA36&gt;0.0005,'[7]Table 11 CWTs exp'!G36/'[7]Table 11 CWTs exp'!$AA36,IF('[7]Table 11 CWTs exp'!G36/'[7]Table 11 CWTs exp'!$AA36&gt;0,"-"," "))</f>
        <v xml:space="preserve"> </v>
      </c>
      <c r="H36" s="145">
        <f>IF('[7]Table 11 CWTs exp'!H36/'[7]Table 11 CWTs exp'!$AA36&gt;0.0005,'[7]Table 11 CWTs exp'!H36/'[7]Table 11 CWTs exp'!$AA36,IF('[7]Table 11 CWTs exp'!H36/'[7]Table 11 CWTs exp'!$AA36&gt;0,"-"," "))</f>
        <v>4.9188391539596657E-3</v>
      </c>
      <c r="I36" s="144" t="str">
        <f>IF('[7]Table 11 CWTs exp'!I36/'[7]Table 11 CWTs exp'!$AA36&gt;0.0005,'[7]Table 11 CWTs exp'!I36/'[7]Table 11 CWTs exp'!$AA36,IF('[7]Table 11 CWTs exp'!I36/'[7]Table 11 CWTs exp'!$AA36&gt;0,"-"," "))</f>
        <v xml:space="preserve"> </v>
      </c>
      <c r="J36" s="146" t="str">
        <f>IF('[7]Table 11 CWTs exp'!J36/'[7]Table 11 CWTs exp'!$AA36&gt;0.0005,'[7]Table 11 CWTs exp'!J36/'[7]Table 11 CWTs exp'!$AA36,IF('[7]Table 11 CWTs exp'!J36/'[7]Table 11 CWTs exp'!$AA36&gt;0,"-"," "))</f>
        <v xml:space="preserve"> </v>
      </c>
      <c r="K36" s="144" t="str">
        <f>IF('[7]Table 11 CWTs exp'!K36/'[7]Table 11 CWTs exp'!$AA36&gt;0.0005,'[7]Table 11 CWTs exp'!K36/'[7]Table 11 CWTs exp'!$AA36,IF('[7]Table 11 CWTs exp'!K36/'[7]Table 11 CWTs exp'!$AA36&gt;0,"-"," "))</f>
        <v xml:space="preserve"> </v>
      </c>
      <c r="L36" s="144" t="str">
        <f>IF('[7]Table 11 CWTs exp'!L36/'[7]Table 11 CWTs exp'!$AA36&gt;0.0005,'[7]Table 11 CWTs exp'!L36/'[7]Table 11 CWTs exp'!$AA36,IF('[7]Table 11 CWTs exp'!L36/'[7]Table 11 CWTs exp'!$AA36&gt;0,"-"," "))</f>
        <v xml:space="preserve"> </v>
      </c>
      <c r="M36" s="144" t="str">
        <f>IF('[7]Table 11 CWTs exp'!M36/'[7]Table 11 CWTs exp'!$AA36&gt;0.0005,'[7]Table 11 CWTs exp'!M36/'[7]Table 11 CWTs exp'!$AA36,IF('[7]Table 11 CWTs exp'!M36/'[7]Table 11 CWTs exp'!$AA36&gt;0,"-"," "))</f>
        <v xml:space="preserve"> </v>
      </c>
      <c r="N36" s="144" t="str">
        <f>IF('[7]Table 11 CWTs exp'!N36/'[7]Table 11 CWTs exp'!$AA36&gt;0.0005,'[7]Table 11 CWTs exp'!N36/'[7]Table 11 CWTs exp'!$AA36,IF('[7]Table 11 CWTs exp'!N36/'[7]Table 11 CWTs exp'!$AA36&gt;0,"-"," "))</f>
        <v xml:space="preserve"> </v>
      </c>
      <c r="O36" s="144" t="str">
        <f>IF('[7]Table 11 CWTs exp'!O36/'[7]Table 11 CWTs exp'!$AA36&gt;0.0005,'[7]Table 11 CWTs exp'!O36/'[7]Table 11 CWTs exp'!$AA36,IF('[7]Table 11 CWTs exp'!O36/'[7]Table 11 CWTs exp'!$AA36&gt;0,"-"," "))</f>
        <v xml:space="preserve"> </v>
      </c>
      <c r="P36" s="144" t="str">
        <f>IF('[7]Table 11 CWTs exp'!P36/'[7]Table 11 CWTs exp'!$AA36&gt;0.0005,'[7]Table 11 CWTs exp'!P36/'[7]Table 11 CWTs exp'!$AA36,IF('[7]Table 11 CWTs exp'!P36/'[7]Table 11 CWTs exp'!$AA36&gt;0,"-"," "))</f>
        <v xml:space="preserve"> </v>
      </c>
      <c r="Q36" s="145" t="str">
        <f>IF('[7]Table 11 CWTs exp'!Q36/'[7]Table 11 CWTs exp'!$AA36&gt;0.0005,'[7]Table 11 CWTs exp'!Q36/'[7]Table 11 CWTs exp'!$AA36,IF('[7]Table 11 CWTs exp'!Q36/'[7]Table 11 CWTs exp'!$AA36&gt;0,"-"," "))</f>
        <v xml:space="preserve"> </v>
      </c>
      <c r="R36" s="146">
        <f>IF('[7]Table 11 CWTs exp'!R36/'[7]Table 11 CWTs exp'!$AA36&gt;0.0005,'[7]Table 11 CWTs exp'!R36/'[7]Table 11 CWTs exp'!$AA36,IF('[7]Table 11 CWTs exp'!R36/'[7]Table 11 CWTs exp'!$AA36&gt;0,"-"," "))</f>
        <v>2.0167240531234629E-2</v>
      </c>
      <c r="S36" s="144" t="str">
        <f>IF('[7]Table 11 CWTs exp'!S36/'[7]Table 11 CWTs exp'!$AA36&gt;0.0005,'[7]Table 11 CWTs exp'!S36/'[7]Table 11 CWTs exp'!$AA36,IF('[7]Table 11 CWTs exp'!S36/'[7]Table 11 CWTs exp'!$AA36&gt;0,"-"," "))</f>
        <v xml:space="preserve"> </v>
      </c>
      <c r="T36" s="144" t="str">
        <f>IF('[7]Table 11 CWTs exp'!T36/'[7]Table 11 CWTs exp'!$AA36&gt;0.0005,'[7]Table 11 CWTs exp'!T36/'[7]Table 11 CWTs exp'!$AA36,IF('[7]Table 11 CWTs exp'!T36/'[7]Table 11 CWTs exp'!$AA36&gt;0,"-"," "))</f>
        <v xml:space="preserve"> </v>
      </c>
      <c r="U36" s="144" t="str">
        <f>IF('[7]Table 11 CWTs exp'!U36/'[7]Table 11 CWTs exp'!$AA36&gt;0.0005,'[7]Table 11 CWTs exp'!U36/'[7]Table 11 CWTs exp'!$AA36,IF('[7]Table 11 CWTs exp'!U36/'[7]Table 11 CWTs exp'!$AA36&gt;0,"-"," "))</f>
        <v xml:space="preserve"> </v>
      </c>
      <c r="V36" s="145" t="str">
        <f>IF('[7]Table 11 CWTs exp'!V36/'[7]Table 11 CWTs exp'!$AA36&gt;0.0005,'[7]Table 11 CWTs exp'!V36/'[7]Table 11 CWTs exp'!$AA36,IF('[7]Table 11 CWTs exp'!V36/'[7]Table 11 CWTs exp'!$AA36&gt;0,"-"," "))</f>
        <v xml:space="preserve"> </v>
      </c>
      <c r="W36" s="146" t="str">
        <f>IF('[7]Table 11 CWTs exp'!W36/'[7]Table 11 CWTs exp'!$AA36&gt;0.0005,'[7]Table 11 CWTs exp'!W36/'[7]Table 11 CWTs exp'!$AA36,IF('[7]Table 11 CWTs exp'!W36/'[7]Table 11 CWTs exp'!$AA36&gt;0,"-"," "))</f>
        <v xml:space="preserve"> </v>
      </c>
      <c r="X36" s="206" t="str">
        <f>IF('[7]Table 11 CWTs exp'!X36/'[7]Table 11 CWTs exp'!$AA36&gt;0.0005,'[7]Table 11 CWTs exp'!X36/'[7]Table 11 CWTs exp'!$AA36,IF('[7]Table 11 CWTs exp'!X36/'[7]Table 11 CWTs exp'!$AA36&gt;0,"-"," "))</f>
        <v xml:space="preserve"> </v>
      </c>
      <c r="Y36" s="147">
        <f t="shared" si="4"/>
        <v>2.5086079685194294E-2</v>
      </c>
      <c r="Z36" s="148">
        <f t="shared" si="5"/>
        <v>0.97491392031480573</v>
      </c>
      <c r="AA36" s="38">
        <f>'[7]Table 11 CWTs exp'!AA36</f>
        <v>2033</v>
      </c>
      <c r="AC36" s="592">
        <f>'[7]Table 11 CWTs exp'!AC36</f>
        <v>2.5000000000000001E-2</v>
      </c>
      <c r="AD36" s="592">
        <f t="shared" si="2"/>
        <v>8.6079685194292987E-5</v>
      </c>
      <c r="AE36" s="593" t="str">
        <f t="shared" si="3"/>
        <v>USAC547</v>
      </c>
      <c r="AF36" s="442"/>
    </row>
    <row r="37" spans="1:34" ht="14.15" customHeight="1" x14ac:dyDescent="0.25">
      <c r="E37" s="723" t="s">
        <v>239</v>
      </c>
      <c r="F37" s="723"/>
      <c r="G37" s="195" t="str">
        <f>IF('[7]Table 11 CWTs exp'!G37/'[7]Table 11 CWTs exp'!$AA37&gt;0.0005,'[7]Table 11 CWTs exp'!G37/'[7]Table 11 CWTs exp'!$AA37,IF('[7]Table 11 CWTs exp'!G37/'[7]Table 11 CWTs exp'!$AA37&gt;0,"-"," "))</f>
        <v xml:space="preserve"> </v>
      </c>
      <c r="H37" s="196" t="str">
        <f>IF('[7]Table 11 CWTs exp'!H37/'[7]Table 11 CWTs exp'!$AA37&gt;0.0005,'[7]Table 11 CWTs exp'!H37/'[7]Table 11 CWTs exp'!$AA37,IF('[7]Table 11 CWTs exp'!H37/'[7]Table 11 CWTs exp'!$AA37&gt;0,"-"," "))</f>
        <v xml:space="preserve"> </v>
      </c>
      <c r="I37" s="195">
        <f>IF('[7]Table 11 CWTs exp'!I37/'[7]Table 11 CWTs exp'!$AA37&gt;0.0005,'[7]Table 11 CWTs exp'!I37/'[7]Table 11 CWTs exp'!$AA37,IF('[7]Table 11 CWTs exp'!I37/'[7]Table 11 CWTs exp'!$AA37&gt;0,"-"," "))</f>
        <v>0.17277078263131934</v>
      </c>
      <c r="J37" s="197">
        <f>IF('[7]Table 11 CWTs exp'!J37/'[7]Table 11 CWTs exp'!$AA37&gt;0.0005,'[7]Table 11 CWTs exp'!J37/'[7]Table 11 CWTs exp'!$AA37,IF('[7]Table 11 CWTs exp'!J37/'[7]Table 11 CWTs exp'!$AA37&gt;0,"-"," "))</f>
        <v>1.680280552649694E-2</v>
      </c>
      <c r="K37" s="195">
        <f>IF('[7]Table 11 CWTs exp'!K37/'[7]Table 11 CWTs exp'!$AA37&gt;0.0005,'[7]Table 11 CWTs exp'!K37/'[7]Table 11 CWTs exp'!$AA37,IF('[7]Table 11 CWTs exp'!K37/'[7]Table 11 CWTs exp'!$AA37&gt;0,"-"," "))</f>
        <v>3.4613779384583696E-2</v>
      </c>
      <c r="L37" s="195">
        <f>IF('[7]Table 11 CWTs exp'!L37/'[7]Table 11 CWTs exp'!$AA37&gt;0.0005,'[7]Table 11 CWTs exp'!L37/'[7]Table 11 CWTs exp'!$AA37,IF('[7]Table 11 CWTs exp'!L37/'[7]Table 11 CWTs exp'!$AA37&gt;0,"-"," "))</f>
        <v>1.2959841294791672E-2</v>
      </c>
      <c r="M37" s="195">
        <f>IF('[7]Table 11 CWTs exp'!M37/'[7]Table 11 CWTs exp'!$AA37&gt;0.0005,'[7]Table 11 CWTs exp'!M37/'[7]Table 11 CWTs exp'!$AA37,IF('[7]Table 11 CWTs exp'!M37/'[7]Table 11 CWTs exp'!$AA37&gt;0,"-"," "))</f>
        <v>7.4420167702839678E-3</v>
      </c>
      <c r="N37" s="195">
        <f>IF('[7]Table 11 CWTs exp'!N37/'[7]Table 11 CWTs exp'!$AA37&gt;0.0005,'[7]Table 11 CWTs exp'!N37/'[7]Table 11 CWTs exp'!$AA37,IF('[7]Table 11 CWTs exp'!N37/'[7]Table 11 CWTs exp'!$AA37&gt;0,"-"," "))</f>
        <v>0.32188213102936153</v>
      </c>
      <c r="O37" s="195">
        <f>IF('[7]Table 11 CWTs exp'!O37/'[7]Table 11 CWTs exp'!$AA37&gt;0.0005,'[7]Table 11 CWTs exp'!O37/'[7]Table 11 CWTs exp'!$AA37,IF('[7]Table 11 CWTs exp'!O37/'[7]Table 11 CWTs exp'!$AA37&gt;0,"-"," "))</f>
        <v>1.3702416893865891E-2</v>
      </c>
      <c r="P37" s="195">
        <f>IF('[7]Table 11 CWTs exp'!P37/'[7]Table 11 CWTs exp'!$AA37&gt;0.0005,'[7]Table 11 CWTs exp'!P37/'[7]Table 11 CWTs exp'!$AA37,IF('[7]Table 11 CWTs exp'!P37/'[7]Table 11 CWTs exp'!$AA37&gt;0,"-"," "))</f>
        <v>8.8892261495016067E-4</v>
      </c>
      <c r="Q37" s="196">
        <f>IF('[7]Table 11 CWTs exp'!Q37/'[7]Table 11 CWTs exp'!$AA37&gt;0.0005,'[7]Table 11 CWTs exp'!Q37/'[7]Table 11 CWTs exp'!$AA37,IF('[7]Table 11 CWTs exp'!Q37/'[7]Table 11 CWTs exp'!$AA37&gt;0,"-"," "))</f>
        <v>4.5307952063221912E-2</v>
      </c>
      <c r="R37" s="197">
        <f>IF('[7]Table 11 CWTs exp'!R37/'[7]Table 11 CWTs exp'!$AA37&gt;0.0005,'[7]Table 11 CWTs exp'!R37/'[7]Table 11 CWTs exp'!$AA37,IF('[7]Table 11 CWTs exp'!R37/'[7]Table 11 CWTs exp'!$AA37&gt;0,"-"," "))</f>
        <v>2.4895253478451757E-2</v>
      </c>
      <c r="S37" s="195" t="str">
        <f>IF('[7]Table 11 CWTs exp'!S37/'[7]Table 11 CWTs exp'!$AA37&gt;0.0005,'[7]Table 11 CWTs exp'!S37/'[7]Table 11 CWTs exp'!$AA37,IF('[7]Table 11 CWTs exp'!S37/'[7]Table 11 CWTs exp'!$AA37&gt;0,"-"," "))</f>
        <v>-</v>
      </c>
      <c r="T37" s="195">
        <f>IF('[7]Table 11 CWTs exp'!T37/'[7]Table 11 CWTs exp'!$AA37&gt;0.0005,'[7]Table 11 CWTs exp'!T37/'[7]Table 11 CWTs exp'!$AA37,IF('[7]Table 11 CWTs exp'!T37/'[7]Table 11 CWTs exp'!$AA37&gt;0,"-"," "))</f>
        <v>3.5247949786712772E-2</v>
      </c>
      <c r="U37" s="195">
        <f>IF('[7]Table 11 CWTs exp'!U37/'[7]Table 11 CWTs exp'!$AA37&gt;0.0005,'[7]Table 11 CWTs exp'!U37/'[7]Table 11 CWTs exp'!$AA37,IF('[7]Table 11 CWTs exp'!U37/'[7]Table 11 CWTs exp'!$AA37&gt;0,"-"," "))</f>
        <v>5.0571024374908534E-3</v>
      </c>
      <c r="V37" s="196" t="str">
        <f>IF('[7]Table 11 CWTs exp'!V37/'[7]Table 11 CWTs exp'!$AA37&gt;0.0005,'[7]Table 11 CWTs exp'!V37/'[7]Table 11 CWTs exp'!$AA37,IF('[7]Table 11 CWTs exp'!V37/'[7]Table 11 CWTs exp'!$AA37&gt;0,"-"," "))</f>
        <v>-</v>
      </c>
      <c r="W37" s="197">
        <f>IF('[7]Table 11 CWTs exp'!W37/'[7]Table 11 CWTs exp'!$AA37&gt;0.0005,'[7]Table 11 CWTs exp'!W37/'[7]Table 11 CWTs exp'!$AA37,IF('[7]Table 11 CWTs exp'!W37/'[7]Table 11 CWTs exp'!$AA37&gt;0,"-"," "))</f>
        <v>3.7833413733854401E-3</v>
      </c>
      <c r="X37" s="208">
        <f>IF('[7]Table 11 CWTs exp'!X37/'[7]Table 11 CWTs exp'!$AA37&gt;0.0005,'[7]Table 11 CWTs exp'!X37/'[7]Table 11 CWTs exp'!$AA37,IF('[7]Table 11 CWTs exp'!X37/'[7]Table 11 CWTs exp'!$AA37&gt;0,"-"," "))</f>
        <v>8.1845923693581873E-4</v>
      </c>
      <c r="Y37" s="198">
        <f>'[7]Table 11 CWTs exp'!AC37</f>
        <v>0.69661179556947961</v>
      </c>
      <c r="Z37" s="199">
        <f>1-Y37</f>
        <v>0.30338820443052039</v>
      </c>
      <c r="AA37" s="59">
        <f>'[7]Table 11 CWTs exp'!AA37</f>
        <v>184493</v>
      </c>
      <c r="AB37" s="159"/>
      <c r="AC37" s="592">
        <f>'[7]Table 11 CWTs exp'!AC37</f>
        <v>0.69661179556947961</v>
      </c>
      <c r="AD37" s="592">
        <f t="shared" si="2"/>
        <v>0</v>
      </c>
      <c r="AE37" s="595"/>
      <c r="AF37" s="596"/>
      <c r="AG37" s="37"/>
      <c r="AH37" s="37"/>
    </row>
    <row r="38" spans="1:34" ht="10" customHeight="1" x14ac:dyDescent="0.3">
      <c r="E38" s="83"/>
      <c r="F38"/>
      <c r="G38" s="161"/>
      <c r="H38" s="162"/>
      <c r="I38" s="161"/>
      <c r="J38" s="163"/>
      <c r="K38" s="161"/>
      <c r="L38" s="161"/>
      <c r="M38" s="161"/>
      <c r="N38" s="161"/>
      <c r="O38" s="161"/>
      <c r="P38" s="161"/>
      <c r="Q38" s="162"/>
      <c r="R38" s="163"/>
      <c r="S38" s="161"/>
      <c r="T38" s="161"/>
      <c r="U38" s="161"/>
      <c r="V38" s="162"/>
      <c r="W38" s="163"/>
      <c r="X38" s="209"/>
      <c r="Y38" s="164"/>
      <c r="Z38" s="165"/>
      <c r="AA38" s="64"/>
      <c r="AB38" s="159"/>
      <c r="AC38" s="453"/>
      <c r="AD38" s="453"/>
      <c r="AE38" s="595"/>
      <c r="AF38" s="596"/>
      <c r="AG38" s="37"/>
      <c r="AH38" s="37"/>
    </row>
    <row r="39" spans="1:34" ht="14.9" customHeight="1" x14ac:dyDescent="0.25">
      <c r="E39" s="27" t="s">
        <v>103</v>
      </c>
      <c r="F39" s="3" t="s">
        <v>104</v>
      </c>
      <c r="G39" s="144">
        <f>IF('[7]Table 11 CWTs exp'!G39/'[7]Table 11 CWTs exp'!$AA39&gt;0.0005,'[7]Table 11 CWTs exp'!G39/'[7]Table 11 CWTs exp'!$AA39,IF('[7]Table 11 CWTs exp'!G39/'[7]Table 11 CWTs exp'!$AA39&gt;0,"-"," "))</f>
        <v>1.8857167916502215E-3</v>
      </c>
      <c r="H39" s="145">
        <f>IF('[7]Table 11 CWTs exp'!H39/'[7]Table 11 CWTs exp'!$AA39&gt;0.0005,'[7]Table 11 CWTs exp'!H39/'[7]Table 11 CWTs exp'!$AA39,IF('[7]Table 11 CWTs exp'!H39/'[7]Table 11 CWTs exp'!$AA39&gt;0,"-"," "))</f>
        <v>2.9965355435688287E-2</v>
      </c>
      <c r="I39" s="144">
        <f>IF('[7]Table 11 CWTs exp'!I39/'[7]Table 11 CWTs exp'!$AA39&gt;0.0005,'[7]Table 11 CWTs exp'!I39/'[7]Table 11 CWTs exp'!$AA39,IF('[7]Table 11 CWTs exp'!I39/'[7]Table 11 CWTs exp'!$AA39&gt;0,"-"," "))</f>
        <v>0.18894005174757708</v>
      </c>
      <c r="J39" s="146">
        <f>IF('[7]Table 11 CWTs exp'!J39/'[7]Table 11 CWTs exp'!$AA39&gt;0.0005,'[7]Table 11 CWTs exp'!J39/'[7]Table 11 CWTs exp'!$AA39,IF('[7]Table 11 CWTs exp'!J39/'[7]Table 11 CWTs exp'!$AA39&gt;0,"-"," "))</f>
        <v>6.2667192913213174E-3</v>
      </c>
      <c r="K39" s="144">
        <f>IF('[7]Table 11 CWTs exp'!K39/'[7]Table 11 CWTs exp'!$AA39&gt;0.0005,'[7]Table 11 CWTs exp'!K39/'[7]Table 11 CWTs exp'!$AA39,IF('[7]Table 11 CWTs exp'!K39/'[7]Table 11 CWTs exp'!$AA39&gt;0,"-"," "))</f>
        <v>4.7761259483401305E-2</v>
      </c>
      <c r="L39" s="144">
        <f>IF('[7]Table 11 CWTs exp'!L39/'[7]Table 11 CWTs exp'!$AA39&gt;0.0005,'[7]Table 11 CWTs exp'!L39/'[7]Table 11 CWTs exp'!$AA39,IF('[7]Table 11 CWTs exp'!L39/'[7]Table 11 CWTs exp'!$AA39&gt;0,"-"," "))</f>
        <v>1.404639740385037E-2</v>
      </c>
      <c r="M39" s="144">
        <f>IF('[7]Table 11 CWTs exp'!M39/'[7]Table 11 CWTs exp'!$AA39&gt;0.0005,'[7]Table 11 CWTs exp'!M39/'[7]Table 11 CWTs exp'!$AA39,IF('[7]Table 11 CWTs exp'!M39/'[7]Table 11 CWTs exp'!$AA39&gt;0,"-"," "))</f>
        <v>7.1306407051703723E-3</v>
      </c>
      <c r="N39" s="144">
        <f>IF('[7]Table 11 CWTs exp'!N39/'[7]Table 11 CWTs exp'!$AA39&gt;0.0005,'[7]Table 11 CWTs exp'!N39/'[7]Table 11 CWTs exp'!$AA39,IF('[7]Table 11 CWTs exp'!N39/'[7]Table 11 CWTs exp'!$AA39&gt;0,"-"," "))</f>
        <v>0.2655396219795641</v>
      </c>
      <c r="O39" s="144">
        <f>IF('[7]Table 11 CWTs exp'!O39/'[7]Table 11 CWTs exp'!$AA39&gt;0.0005,'[7]Table 11 CWTs exp'!O39/'[7]Table 11 CWTs exp'!$AA39,IF('[7]Table 11 CWTs exp'!O39/'[7]Table 11 CWTs exp'!$AA39&gt;0,"-"," "))</f>
        <v>9.8978204622198838E-3</v>
      </c>
      <c r="P39" s="144" t="str">
        <f>IF('[7]Table 11 CWTs exp'!P39/'[7]Table 11 CWTs exp'!$AA39&gt;0.0005,'[7]Table 11 CWTs exp'!P39/'[7]Table 11 CWTs exp'!$AA39,IF('[7]Table 11 CWTs exp'!P39/'[7]Table 11 CWTs exp'!$AA39&gt;0,"-"," "))</f>
        <v>-</v>
      </c>
      <c r="Q39" s="145">
        <f>IF('[7]Table 11 CWTs exp'!Q39/'[7]Table 11 CWTs exp'!$AA39&gt;0.0005,'[7]Table 11 CWTs exp'!Q39/'[7]Table 11 CWTs exp'!$AA39,IF('[7]Table 11 CWTs exp'!Q39/'[7]Table 11 CWTs exp'!$AA39&gt;0,"-"," "))</f>
        <v>4.8199798272157174E-2</v>
      </c>
      <c r="R39" s="146">
        <f>IF('[7]Table 11 CWTs exp'!R39/'[7]Table 11 CWTs exp'!$AA39&gt;0.0005,'[7]Table 11 CWTs exp'!R39/'[7]Table 11 CWTs exp'!$AA39,IF('[7]Table 11 CWTs exp'!R39/'[7]Table 11 CWTs exp'!$AA39&gt;0,"-"," "))</f>
        <v>2.802701398938736E-2</v>
      </c>
      <c r="S39" s="144">
        <f>IF('[7]Table 11 CWTs exp'!S39/'[7]Table 11 CWTs exp'!$AA39&gt;0.0005,'[7]Table 11 CWTs exp'!S39/'[7]Table 11 CWTs exp'!$AA39,IF('[7]Table 11 CWTs exp'!S39/'[7]Table 11 CWTs exp'!$AA39&gt;0,"-"," "))</f>
        <v>1.1577424023154848E-3</v>
      </c>
      <c r="T39" s="144">
        <f>IF('[7]Table 11 CWTs exp'!T39/'[7]Table 11 CWTs exp'!$AA39&gt;0.0005,'[7]Table 11 CWTs exp'!T39/'[7]Table 11 CWTs exp'!$AA39,IF('[7]Table 11 CWTs exp'!T39/'[7]Table 11 CWTs exp'!$AA39&gt;0,"-"," "))</f>
        <v>3.4434065693110555E-2</v>
      </c>
      <c r="U39" s="144">
        <f>IF('[7]Table 11 CWTs exp'!U39/'[7]Table 11 CWTs exp'!$AA39&gt;0.0005,'[7]Table 11 CWTs exp'!U39/'[7]Table 11 CWTs exp'!$AA39,IF('[7]Table 11 CWTs exp'!U39/'[7]Table 11 CWTs exp'!$AA39&gt;0,"-"," "))</f>
        <v>3.7144235407621804E-3</v>
      </c>
      <c r="V39" s="145" t="str">
        <f>IF('[7]Table 11 CWTs exp'!V39/'[7]Table 11 CWTs exp'!$AA39&gt;0.0005,'[7]Table 11 CWTs exp'!V39/'[7]Table 11 CWTs exp'!$AA39,IF('[7]Table 11 CWTs exp'!V39/'[7]Table 11 CWTs exp'!$AA39&gt;0,"-"," "))</f>
        <v>-</v>
      </c>
      <c r="W39" s="146">
        <f>IF('[7]Table 11 CWTs exp'!W39/'[7]Table 11 CWTs exp'!$AA39&gt;0.0005,'[7]Table 11 CWTs exp'!W39/'[7]Table 11 CWTs exp'!$AA39,IF('[7]Table 11 CWTs exp'!W39/'[7]Table 11 CWTs exp'!$AA39&gt;0,"-"," "))</f>
        <v>9.7355611103802132E-4</v>
      </c>
      <c r="X39" s="206" t="str">
        <f>IF('[7]Table 11 CWTs exp'!X39/'[7]Table 11 CWTs exp'!$AA39&gt;0.0005,'[7]Table 11 CWTs exp'!X39/'[7]Table 11 CWTs exp'!$AA39,IF('[7]Table 11 CWTs exp'!X39/'[7]Table 11 CWTs exp'!$AA39&gt;0,"-"," "))</f>
        <v xml:space="preserve"> </v>
      </c>
      <c r="Y39" s="147">
        <f t="shared" ref="Y39:Y41" si="6">SUM(G39:X39)</f>
        <v>0.6879401833092138</v>
      </c>
      <c r="Z39" s="148">
        <f t="shared" ref="Z39:Z41" si="7">1-Y39</f>
        <v>0.3120598166907862</v>
      </c>
      <c r="AA39" s="38">
        <f>'[7]Table 11 CWTs exp'!AA39</f>
        <v>228030</v>
      </c>
      <c r="AB39" s="159"/>
      <c r="AC39" s="453">
        <f>'[7]Table 11 CWTs exp'!AC39</f>
        <v>0</v>
      </c>
      <c r="AD39" s="453">
        <f t="shared" si="2"/>
        <v>0.6879401833092138</v>
      </c>
      <c r="AE39" s="595"/>
      <c r="AF39" s="596"/>
      <c r="AG39" s="37"/>
      <c r="AH39" s="37"/>
    </row>
    <row r="40" spans="1:34" ht="14.9" customHeight="1" x14ac:dyDescent="0.25">
      <c r="E40" s="27" t="s">
        <v>105</v>
      </c>
      <c r="F40" s="3" t="s">
        <v>104</v>
      </c>
      <c r="G40" s="144" t="str">
        <f>IF('[7]Table 11 CWTs exp'!G40/'[7]Table 11 CWTs exp'!$AA40&gt;0.0005,'[7]Table 11 CWTs exp'!G40/'[7]Table 11 CWTs exp'!$AA40,IF('[7]Table 11 CWTs exp'!G40/'[7]Table 11 CWTs exp'!$AA40&gt;0,"-"," "))</f>
        <v xml:space="preserve"> </v>
      </c>
      <c r="H40" s="145" t="str">
        <f>IF('[7]Table 11 CWTs exp'!H40/'[7]Table 11 CWTs exp'!$AA40&gt;0.0005,'[7]Table 11 CWTs exp'!H40/'[7]Table 11 CWTs exp'!$AA40,IF('[7]Table 11 CWTs exp'!H40/'[7]Table 11 CWTs exp'!$AA40&gt;0,"-"," "))</f>
        <v>-</v>
      </c>
      <c r="I40" s="144">
        <f>IF('[7]Table 11 CWTs exp'!I40/'[7]Table 11 CWTs exp'!$AA40&gt;0.0005,'[7]Table 11 CWTs exp'!I40/'[7]Table 11 CWTs exp'!$AA40,IF('[7]Table 11 CWTs exp'!I40/'[7]Table 11 CWTs exp'!$AA40&gt;0,"-"," "))</f>
        <v>0.13163857419176569</v>
      </c>
      <c r="J40" s="146">
        <f>IF('[7]Table 11 CWTs exp'!J40/'[7]Table 11 CWTs exp'!$AA40&gt;0.0005,'[7]Table 11 CWTs exp'!J40/'[7]Table 11 CWTs exp'!$AA40,IF('[7]Table 11 CWTs exp'!J40/'[7]Table 11 CWTs exp'!$AA40&gt;0,"-"," "))</f>
        <v>5.4296767062724509E-2</v>
      </c>
      <c r="K40" s="144">
        <f>IF('[7]Table 11 CWTs exp'!K40/'[7]Table 11 CWTs exp'!$AA40&gt;0.0005,'[7]Table 11 CWTs exp'!K40/'[7]Table 11 CWTs exp'!$AA40,IF('[7]Table 11 CWTs exp'!K40/'[7]Table 11 CWTs exp'!$AA40&gt;0,"-"," "))</f>
        <v>3.2329372754904668E-3</v>
      </c>
      <c r="L40" s="144">
        <f>IF('[7]Table 11 CWTs exp'!L40/'[7]Table 11 CWTs exp'!$AA40&gt;0.0005,'[7]Table 11 CWTs exp'!L40/'[7]Table 11 CWTs exp'!$AA40,IF('[7]Table 11 CWTs exp'!L40/'[7]Table 11 CWTs exp'!$AA40&gt;0,"-"," "))</f>
        <v>1.2683061619231831E-2</v>
      </c>
      <c r="M40" s="144">
        <f>IF('[7]Table 11 CWTs exp'!M40/'[7]Table 11 CWTs exp'!$AA40&gt;0.0005,'[7]Table 11 CWTs exp'!M40/'[7]Table 11 CWTs exp'!$AA40,IF('[7]Table 11 CWTs exp'!M40/'[7]Table 11 CWTs exp'!$AA40&gt;0,"-"," "))</f>
        <v>1.2351478308925117E-2</v>
      </c>
      <c r="N40" s="144">
        <f>IF('[7]Table 11 CWTs exp'!N40/'[7]Table 11 CWTs exp'!$AA40&gt;0.0005,'[7]Table 11 CWTs exp'!N40/'[7]Table 11 CWTs exp'!$AA40,IF('[7]Table 11 CWTs exp'!N40/'[7]Table 11 CWTs exp'!$AA40&gt;0,"-"," "))</f>
        <v>0.4805471124620061</v>
      </c>
      <c r="O40" s="144">
        <f>IF('[7]Table 11 CWTs exp'!O40/'[7]Table 11 CWTs exp'!$AA40&gt;0.0005,'[7]Table 11 CWTs exp'!O40/'[7]Table 11 CWTs exp'!$AA40,IF('[7]Table 11 CWTs exp'!O40/'[7]Table 11 CWTs exp'!$AA40&gt;0,"-"," "))</f>
        <v>3.1168831168831169E-2</v>
      </c>
      <c r="P40" s="144">
        <f>IF('[7]Table 11 CWTs exp'!P40/'[7]Table 11 CWTs exp'!$AA40&gt;0.0005,'[7]Table 11 CWTs exp'!P40/'[7]Table 11 CWTs exp'!$AA40,IF('[7]Table 11 CWTs exp'!P40/'[7]Table 11 CWTs exp'!$AA40&gt;0,"-"," "))</f>
        <v>2.735562310030395E-3</v>
      </c>
      <c r="Q40" s="145">
        <f>IF('[7]Table 11 CWTs exp'!Q40/'[7]Table 11 CWTs exp'!$AA40&gt;0.0005,'[7]Table 11 CWTs exp'!Q40/'[7]Table 11 CWTs exp'!$AA40,IF('[7]Table 11 CWTs exp'!Q40/'[7]Table 11 CWTs exp'!$AA40&gt;0,"-"," "))</f>
        <v>4.6974302293451226E-3</v>
      </c>
      <c r="R40" s="146">
        <f>IF('[7]Table 11 CWTs exp'!R40/'[7]Table 11 CWTs exp'!$AA40&gt;0.0005,'[7]Table 11 CWTs exp'!R40/'[7]Table 11 CWTs exp'!$AA40,IF('[7]Table 11 CWTs exp'!R40/'[7]Table 11 CWTs exp'!$AA40&gt;0,"-"," "))</f>
        <v>9.8646034816247587E-3</v>
      </c>
      <c r="S40" s="144">
        <f>IF('[7]Table 11 CWTs exp'!S40/'[7]Table 11 CWTs exp'!$AA40&gt;0.0005,'[7]Table 11 CWTs exp'!S40/'[7]Table 11 CWTs exp'!$AA40,IF('[7]Table 11 CWTs exp'!S40/'[7]Table 11 CWTs exp'!$AA40&gt;0,"-"," "))</f>
        <v>6.6316662061342911E-4</v>
      </c>
      <c r="T40" s="144">
        <f>IF('[7]Table 11 CWTs exp'!T40/'[7]Table 11 CWTs exp'!$AA40&gt;0.0005,'[7]Table 11 CWTs exp'!T40/'[7]Table 11 CWTs exp'!$AA40,IF('[7]Table 11 CWTs exp'!T40/'[7]Table 11 CWTs exp'!$AA40&gt;0,"-"," "))</f>
        <v>0.18850511190936722</v>
      </c>
      <c r="U40" s="144">
        <f>IF('[7]Table 11 CWTs exp'!U40/'[7]Table 11 CWTs exp'!$AA40&gt;0.0005,'[7]Table 11 CWTs exp'!U40/'[7]Table 11 CWTs exp'!$AA40,IF('[7]Table 11 CWTs exp'!U40/'[7]Table 11 CWTs exp'!$AA40&gt;0,"-"," "))</f>
        <v>2.9621442387399836E-2</v>
      </c>
      <c r="V40" s="145" t="str">
        <f>IF('[7]Table 11 CWTs exp'!V40/'[7]Table 11 CWTs exp'!$AA40&gt;0.0005,'[7]Table 11 CWTs exp'!V40/'[7]Table 11 CWTs exp'!$AA40,IF('[7]Table 11 CWTs exp'!V40/'[7]Table 11 CWTs exp'!$AA40&gt;0,"-"," "))</f>
        <v>-</v>
      </c>
      <c r="W40" s="146">
        <f>IF('[7]Table 11 CWTs exp'!W40/'[7]Table 11 CWTs exp'!$AA40&gt;0.0005,'[7]Table 11 CWTs exp'!W40/'[7]Table 11 CWTs exp'!$AA40,IF('[7]Table 11 CWTs exp'!W40/'[7]Table 11 CWTs exp'!$AA40&gt;0,"-"," "))</f>
        <v>3.31306990881459E-2</v>
      </c>
      <c r="X40" s="206">
        <f>IF('[7]Table 11 CWTs exp'!X40/'[7]Table 11 CWTs exp'!$AA40&gt;0.0005,'[7]Table 11 CWTs exp'!X40/'[7]Table 11 CWTs exp'!$AA40,IF('[7]Table 11 CWTs exp'!X40/'[7]Table 11 CWTs exp'!$AA40&gt;0,"-"," "))</f>
        <v>4.1724233213594917E-3</v>
      </c>
      <c r="Y40" s="147">
        <f t="shared" si="6"/>
        <v>0.99930920143686097</v>
      </c>
      <c r="Z40" s="148"/>
      <c r="AA40" s="38">
        <f>'[7]Table 11 CWTs exp'!AA40</f>
        <v>36190</v>
      </c>
      <c r="AB40" s="159"/>
      <c r="AC40" s="453">
        <f>'[7]Table 11 CWTs exp'!AC40</f>
        <v>0</v>
      </c>
      <c r="AD40" s="453">
        <f t="shared" si="2"/>
        <v>0.99930920143686097</v>
      </c>
      <c r="AE40" s="595"/>
      <c r="AF40" s="596"/>
      <c r="AG40" s="37"/>
      <c r="AH40" s="37"/>
    </row>
    <row r="41" spans="1:34" ht="14.9" customHeight="1" x14ac:dyDescent="0.3">
      <c r="E41" s="27"/>
      <c r="F41" s="88" t="s">
        <v>109</v>
      </c>
      <c r="G41" s="315">
        <f>IF('[7]Table 11 CWTs exp'!G41/'[7]Table 11 CWTs exp'!$AA41&gt;0.0005,'[7]Table 11 CWTs exp'!G41/'[7]Table 11 CWTs exp'!$AA41,IF('[7]Table 11 CWTs exp'!G41/'[7]Table 11 CWTs exp'!$AA41&gt;0,"-"," "))</f>
        <v>1.6274316857164484E-3</v>
      </c>
      <c r="H41" s="316">
        <f>IF('[7]Table 11 CWTs exp'!H41/'[7]Table 11 CWTs exp'!$AA41&gt;0.0005,'[7]Table 11 CWTs exp'!H41/'[7]Table 11 CWTs exp'!$AA41,IF('[7]Table 11 CWTs exp'!H41/'[7]Table 11 CWTs exp'!$AA41&gt;0,"-"," "))</f>
        <v>2.5887517977443038E-2</v>
      </c>
      <c r="I41" s="315">
        <f>IF('[7]Table 11 CWTs exp'!I41/'[7]Table 11 CWTs exp'!$AA41&gt;0.0005,'[7]Table 11 CWTs exp'!I41/'[7]Table 11 CWTs exp'!$AA41,IF('[7]Table 11 CWTs exp'!I41/'[7]Table 11 CWTs exp'!$AA41&gt;0,"-"," "))</f>
        <v>0.18109151464688517</v>
      </c>
      <c r="J41" s="317">
        <f>IF('[7]Table 11 CWTs exp'!J41/'[7]Table 11 CWTs exp'!$AA41&gt;0.0005,'[7]Table 11 CWTs exp'!J41/'[7]Table 11 CWTs exp'!$AA41,IF('[7]Table 11 CWTs exp'!J41/'[7]Table 11 CWTs exp'!$AA41&gt;0,"-"," "))</f>
        <v>1.2845356142608432E-2</v>
      </c>
      <c r="K41" s="315">
        <f>IF('[7]Table 11 CWTs exp'!K41/'[7]Table 11 CWTs exp'!$AA41&gt;0.0005,'[7]Table 11 CWTs exp'!K41/'[7]Table 11 CWTs exp'!$AA41,IF('[7]Table 11 CWTs exp'!K41/'[7]Table 11 CWTs exp'!$AA41&gt;0,"-"," "))</f>
        <v>4.1662251154341079E-2</v>
      </c>
      <c r="L41" s="315">
        <f>IF('[7]Table 11 CWTs exp'!L41/'[7]Table 11 CWTs exp'!$AA41&gt;0.0005,'[7]Table 11 CWTs exp'!L41/'[7]Table 11 CWTs exp'!$AA41,IF('[7]Table 11 CWTs exp'!L41/'[7]Table 11 CWTs exp'!$AA41&gt;0,"-"," "))</f>
        <v>1.3859662402543335E-2</v>
      </c>
      <c r="M41" s="315">
        <f>IF('[7]Table 11 CWTs exp'!M41/'[7]Table 11 CWTs exp'!$AA41&gt;0.0005,'[7]Table 11 CWTs exp'!M41/'[7]Table 11 CWTs exp'!$AA41,IF('[7]Table 11 CWTs exp'!M41/'[7]Table 11 CWTs exp'!$AA41&gt;0,"-"," "))</f>
        <v>7.8457346150934831E-3</v>
      </c>
      <c r="N41" s="315">
        <f>IF('[7]Table 11 CWTs exp'!N41/'[7]Table 11 CWTs exp'!$AA41&gt;0.0005,'[7]Table 11 CWTs exp'!N41/'[7]Table 11 CWTs exp'!$AA41,IF('[7]Table 11 CWTs exp'!N41/'[7]Table 11 CWTs exp'!$AA41&gt;0,"-"," "))</f>
        <v>0.29498902429793356</v>
      </c>
      <c r="O41" s="315">
        <f>IF('[7]Table 11 CWTs exp'!O41/'[7]Table 11 CWTs exp'!$AA41&gt;0.0005,'[7]Table 11 CWTs exp'!O41/'[7]Table 11 CWTs exp'!$AA41,IF('[7]Table 11 CWTs exp'!O41/'[7]Table 11 CWTs exp'!$AA41&gt;0,"-"," "))</f>
        <v>1.2811293618953902E-2</v>
      </c>
      <c r="P41" s="315">
        <f>IF('[7]Table 11 CWTs exp'!P41/'[7]Table 11 CWTs exp'!$AA41&gt;0.0005,'[7]Table 11 CWTs exp'!P41/'[7]Table 11 CWTs exp'!$AA41,IF('[7]Table 11 CWTs exp'!P41/'[7]Table 11 CWTs exp'!$AA41&gt;0,"-"," "))</f>
        <v>7.4937552039966698E-4</v>
      </c>
      <c r="Q41" s="316">
        <f>IF('[7]Table 11 CWTs exp'!Q41/'[7]Table 11 CWTs exp'!$AA41&gt;0.0005,'[7]Table 11 CWTs exp'!Q41/'[7]Table 11 CWTs exp'!$AA41,IF('[7]Table 11 CWTs exp'!Q41/'[7]Table 11 CWTs exp'!$AA41&gt;0,"-"," "))</f>
        <v>4.2241314056468096E-2</v>
      </c>
      <c r="R41" s="317">
        <f>IF('[7]Table 11 CWTs exp'!R41/'[7]Table 11 CWTs exp'!$AA41&gt;0.0005,'[7]Table 11 CWTs exp'!R41/'[7]Table 11 CWTs exp'!$AA41,IF('[7]Table 11 CWTs exp'!R41/'[7]Table 11 CWTs exp'!$AA41&gt;0,"-"," "))</f>
        <v>2.5539323291196729E-2</v>
      </c>
      <c r="S41" s="315">
        <f>IF('[7]Table 11 CWTs exp'!S41/'[7]Table 11 CWTs exp'!$AA41&gt;0.0005,'[7]Table 11 CWTs exp'!S41/'[7]Table 11 CWTs exp'!$AA41,IF('[7]Table 11 CWTs exp'!S41/'[7]Table 11 CWTs exp'!$AA41&gt;0,"-"," "))</f>
        <v>1.0900007569449701E-3</v>
      </c>
      <c r="T41" s="315">
        <f>IF('[7]Table 11 CWTs exp'!T41/'[7]Table 11 CWTs exp'!$AA41&gt;0.0005,'[7]Table 11 CWTs exp'!T41/'[7]Table 11 CWTs exp'!$AA41,IF('[7]Table 11 CWTs exp'!T41/'[7]Table 11 CWTs exp'!$AA41&gt;0,"-"," "))</f>
        <v>5.5537052456286429E-2</v>
      </c>
      <c r="U41" s="315">
        <f>IF('[7]Table 11 CWTs exp'!U41/'[7]Table 11 CWTs exp'!$AA41&gt;0.0005,'[7]Table 11 CWTs exp'!U41/'[7]Table 11 CWTs exp'!$AA41,IF('[7]Table 11 CWTs exp'!U41/'[7]Table 11 CWTs exp'!$AA41&gt;0,"-"," "))</f>
        <v>7.2628869881159637E-3</v>
      </c>
      <c r="V41" s="316" t="str">
        <f>IF('[7]Table 11 CWTs exp'!V41/'[7]Table 11 CWTs exp'!$AA41&gt;0.0005,'[7]Table 11 CWTs exp'!V41/'[7]Table 11 CWTs exp'!$AA41,IF('[7]Table 11 CWTs exp'!V41/'[7]Table 11 CWTs exp'!$AA41&gt;0,"-"," "))</f>
        <v>-</v>
      </c>
      <c r="W41" s="317">
        <f>IF('[7]Table 11 CWTs exp'!W41/'[7]Table 11 CWTs exp'!$AA41&gt;0.0005,'[7]Table 11 CWTs exp'!W41/'[7]Table 11 CWTs exp'!$AA41,IF('[7]Table 11 CWTs exp'!W41/'[7]Table 11 CWTs exp'!$AA41&gt;0,"-"," "))</f>
        <v>5.3780940125652864E-3</v>
      </c>
      <c r="X41" s="318">
        <f>IF('[7]Table 11 CWTs exp'!X41/'[7]Table 11 CWTs exp'!$AA41&gt;0.0005,'[7]Table 11 CWTs exp'!X41/'[7]Table 11 CWTs exp'!$AA41,IF('[7]Table 11 CWTs exp'!X41/'[7]Table 11 CWTs exp'!$AA41&gt;0,"-"," "))</f>
        <v>5.7149345242600862E-4</v>
      </c>
      <c r="Y41" s="319">
        <f t="shared" si="6"/>
        <v>0.73098932707592157</v>
      </c>
      <c r="Z41" s="320">
        <f t="shared" si="7"/>
        <v>0.26901067292407843</v>
      </c>
      <c r="AA41" s="321">
        <f>'[7]Table 11 CWTs exp'!AA41</f>
        <v>264220</v>
      </c>
      <c r="AB41" s="159"/>
      <c r="AC41" s="453">
        <f>'[7]Table 11 CWTs exp'!AC41</f>
        <v>0.73122019529180227</v>
      </c>
      <c r="AD41" s="453">
        <f t="shared" si="2"/>
        <v>-2.3086821588069739E-4</v>
      </c>
      <c r="AE41" s="595"/>
      <c r="AF41" s="596"/>
      <c r="AG41" s="37"/>
      <c r="AH41" s="37"/>
    </row>
    <row r="42" spans="1:34" ht="9" customHeight="1" x14ac:dyDescent="0.25">
      <c r="E42" s="173"/>
      <c r="F42" s="173"/>
      <c r="G42" s="161"/>
      <c r="H42" s="162"/>
      <c r="I42" s="161"/>
      <c r="J42" s="163"/>
      <c r="K42" s="161"/>
      <c r="L42" s="161"/>
      <c r="M42" s="161"/>
      <c r="N42" s="161"/>
      <c r="O42" s="161"/>
      <c r="P42" s="161"/>
      <c r="Q42" s="162"/>
      <c r="R42" s="163"/>
      <c r="S42" s="161"/>
      <c r="T42" s="161"/>
      <c r="U42" s="161"/>
      <c r="V42" s="162"/>
      <c r="W42" s="163"/>
      <c r="X42" s="209"/>
      <c r="Y42" s="164"/>
      <c r="Z42" s="165"/>
      <c r="AA42" s="64"/>
      <c r="AB42" s="159"/>
      <c r="AC42" s="453"/>
      <c r="AD42" s="453"/>
      <c r="AE42" s="595"/>
      <c r="AF42" s="596"/>
      <c r="AG42" s="37"/>
      <c r="AH42" s="37"/>
    </row>
    <row r="43" spans="1:34" ht="15.65" customHeight="1" x14ac:dyDescent="0.3">
      <c r="E43" s="26" t="s">
        <v>113</v>
      </c>
      <c r="F43"/>
      <c r="G43" s="213"/>
      <c r="H43" s="145"/>
      <c r="I43" s="144"/>
      <c r="J43" s="146"/>
      <c r="K43" s="144"/>
      <c r="L43" s="144"/>
      <c r="M43" s="144"/>
      <c r="N43" s="144"/>
      <c r="O43" s="144"/>
      <c r="P43" s="144"/>
      <c r="Q43" s="145"/>
      <c r="R43" s="146"/>
      <c r="S43" s="144"/>
      <c r="T43" s="144"/>
      <c r="U43" s="144"/>
      <c r="V43" s="145"/>
      <c r="W43" s="146"/>
      <c r="X43" s="206"/>
      <c r="Y43" s="147"/>
      <c r="Z43" s="148"/>
      <c r="AA43" s="38"/>
      <c r="AC43" s="453"/>
      <c r="AD43" s="453"/>
      <c r="AE43" s="442"/>
      <c r="AF43" s="442"/>
    </row>
    <row r="44" spans="1:34" ht="15.65" customHeight="1" x14ac:dyDescent="0.25">
      <c r="A44" t="str">
        <f>'[7]Table 11 CWTs exp'!A44</f>
        <v>USAC463</v>
      </c>
      <c r="B44" s="4" t="str">
        <f>'[7]Table 11 CWTs exp'!B44</f>
        <v>USAC</v>
      </c>
      <c r="C44" s="4">
        <f>'[7]Table 11 CWTs exp'!C44</f>
        <v>46</v>
      </c>
      <c r="D44" s="4">
        <f>'[7]Table 11 CWTs exp'!D44</f>
        <v>3</v>
      </c>
      <c r="E44" t="str">
        <f>'[7]Table 11 CWTs exp'!E44</f>
        <v xml:space="preserve">Upper Sacramento River </v>
      </c>
      <c r="F44" s="37" t="str">
        <f>'[7]Table 11 CWTs exp'!F44</f>
        <v>Fall</v>
      </c>
      <c r="G44" s="144" t="str">
        <f>IF('[7]Table 11 CWTs exp'!G44/'[7]Table 11 CWTs exp'!$AA44&gt;0.0005,'[7]Table 11 CWTs exp'!G44/'[7]Table 11 CWTs exp'!$AA44,IF('[7]Table 11 CWTs exp'!G44/'[7]Table 11 CWTs exp'!$AA44&gt;0,"-"," "))</f>
        <v xml:space="preserve"> </v>
      </c>
      <c r="H44" s="145" t="str">
        <f>IF('[7]Table 11 CWTs exp'!H44/'[7]Table 11 CWTs exp'!$AA44&gt;0.0005,'[7]Table 11 CWTs exp'!H44/'[7]Table 11 CWTs exp'!$AA44,IF('[7]Table 11 CWTs exp'!H44/'[7]Table 11 CWTs exp'!$AA44&gt;0,"-"," "))</f>
        <v xml:space="preserve"> </v>
      </c>
      <c r="I44" s="144">
        <f>IF('[7]Table 11 CWTs exp'!I44/'[7]Table 11 CWTs exp'!$AA44&gt;0.0005,'[7]Table 11 CWTs exp'!I44/'[7]Table 11 CWTs exp'!$AA44,IF('[7]Table 11 CWTs exp'!I44/'[7]Table 11 CWTs exp'!$AA44&gt;0,"-"," "))</f>
        <v>0.50270229695240953</v>
      </c>
      <c r="J44" s="146">
        <f>IF('[7]Table 11 CWTs exp'!J44/'[7]Table 11 CWTs exp'!$AA44&gt;0.0005,'[7]Table 11 CWTs exp'!J44/'[7]Table 11 CWTs exp'!$AA44,IF('[7]Table 11 CWTs exp'!J44/'[7]Table 11 CWTs exp'!$AA44&gt;0,"-"," "))</f>
        <v>2.717309713256268E-2</v>
      </c>
      <c r="K44" s="144" t="str">
        <f>IF('[7]Table 11 CWTs exp'!K44/'[7]Table 11 CWTs exp'!$AA44&gt;0.0005,'[7]Table 11 CWTs exp'!K44/'[7]Table 11 CWTs exp'!$AA44,IF('[7]Table 11 CWTs exp'!K44/'[7]Table 11 CWTs exp'!$AA44&gt;0,"-"," "))</f>
        <v xml:space="preserve"> </v>
      </c>
      <c r="L44" s="144">
        <f>IF('[7]Table 11 CWTs exp'!L44/'[7]Table 11 CWTs exp'!$AA44&gt;0.0005,'[7]Table 11 CWTs exp'!L44/'[7]Table 11 CWTs exp'!$AA44,IF('[7]Table 11 CWTs exp'!L44/'[7]Table 11 CWTs exp'!$AA44&gt;0,"-"," "))</f>
        <v>8.8575288995646293E-3</v>
      </c>
      <c r="M44" s="144">
        <f>IF('[7]Table 11 CWTs exp'!M44/'[7]Table 11 CWTs exp'!$AA44&gt;0.0005,'[7]Table 11 CWTs exp'!M44/'[7]Table 11 CWTs exp'!$AA44,IF('[7]Table 11 CWTs exp'!M44/'[7]Table 11 CWTs exp'!$AA44&gt;0,"-"," "))</f>
        <v>6.9058699894910675E-3</v>
      </c>
      <c r="N44" s="144">
        <f>IF('[7]Table 11 CWTs exp'!N44/'[7]Table 11 CWTs exp'!$AA44&gt;0.0005,'[7]Table 11 CWTs exp'!N44/'[7]Table 11 CWTs exp'!$AA44,IF('[7]Table 11 CWTs exp'!N44/'[7]Table 11 CWTs exp'!$AA44&gt;0,"-"," "))</f>
        <v>0.156508031827053</v>
      </c>
      <c r="O44" s="144">
        <f>IF('[7]Table 11 CWTs exp'!O44/'[7]Table 11 CWTs exp'!$AA44&gt;0.0005,'[7]Table 11 CWTs exp'!O44/'[7]Table 11 CWTs exp'!$AA44,IF('[7]Table 11 CWTs exp'!O44/'[7]Table 11 CWTs exp'!$AA44&gt;0,"-"," "))</f>
        <v>8.782465095331031E-3</v>
      </c>
      <c r="P44" s="144" t="str">
        <f>IF('[7]Table 11 CWTs exp'!P44/'[7]Table 11 CWTs exp'!$AA44&gt;0.0005,'[7]Table 11 CWTs exp'!P44/'[7]Table 11 CWTs exp'!$AA44,IF('[7]Table 11 CWTs exp'!P44/'[7]Table 11 CWTs exp'!$AA44&gt;0,"-"," "))</f>
        <v xml:space="preserve"> </v>
      </c>
      <c r="Q44" s="145" t="str">
        <f>IF('[7]Table 11 CWTs exp'!Q44/'[7]Table 11 CWTs exp'!$AA44&gt;0.0005,'[7]Table 11 CWTs exp'!Q44/'[7]Table 11 CWTs exp'!$AA44,IF('[7]Table 11 CWTs exp'!Q44/'[7]Table 11 CWTs exp'!$AA44&gt;0,"-"," "))</f>
        <v xml:space="preserve"> </v>
      </c>
      <c r="R44" s="146" t="str">
        <f>IF('[7]Table 11 CWTs exp'!R44/'[7]Table 11 CWTs exp'!$AA44&gt;0.0005,'[7]Table 11 CWTs exp'!R44/'[7]Table 11 CWTs exp'!$AA44,IF('[7]Table 11 CWTs exp'!R44/'[7]Table 11 CWTs exp'!$AA44&gt;0,"-"," "))</f>
        <v xml:space="preserve"> </v>
      </c>
      <c r="S44" s="144" t="str">
        <f>IF('[7]Table 11 CWTs exp'!S44/'[7]Table 11 CWTs exp'!$AA44&gt;0.0005,'[7]Table 11 CWTs exp'!S44/'[7]Table 11 CWTs exp'!$AA44,IF('[7]Table 11 CWTs exp'!S44/'[7]Table 11 CWTs exp'!$AA44&gt;0,"-"," "))</f>
        <v xml:space="preserve"> </v>
      </c>
      <c r="T44" s="144" t="str">
        <f>IF('[7]Table 11 CWTs exp'!T44/'[7]Table 11 CWTs exp'!$AA44&gt;0.0005,'[7]Table 11 CWTs exp'!T44/'[7]Table 11 CWTs exp'!$AA44,IF('[7]Table 11 CWTs exp'!T44/'[7]Table 11 CWTs exp'!$AA44&gt;0,"-"," "))</f>
        <v xml:space="preserve"> </v>
      </c>
      <c r="U44" s="144" t="str">
        <f>IF('[7]Table 11 CWTs exp'!U44/'[7]Table 11 CWTs exp'!$AA44&gt;0.0005,'[7]Table 11 CWTs exp'!U44/'[7]Table 11 CWTs exp'!$AA44,IF('[7]Table 11 CWTs exp'!U44/'[7]Table 11 CWTs exp'!$AA44&gt;0,"-"," "))</f>
        <v xml:space="preserve"> </v>
      </c>
      <c r="V44" s="145" t="str">
        <f>IF('[7]Table 11 CWTs exp'!V44/'[7]Table 11 CWTs exp'!$AA44&gt;0.0005,'[7]Table 11 CWTs exp'!V44/'[7]Table 11 CWTs exp'!$AA44,IF('[7]Table 11 CWTs exp'!V44/'[7]Table 11 CWTs exp'!$AA44&gt;0,"-"," "))</f>
        <v xml:space="preserve"> </v>
      </c>
      <c r="W44" s="146" t="str">
        <f>IF('[7]Table 11 CWTs exp'!W44/'[7]Table 11 CWTs exp'!$AA44&gt;0.0005,'[7]Table 11 CWTs exp'!W44/'[7]Table 11 CWTs exp'!$AA44,IF('[7]Table 11 CWTs exp'!W44/'[7]Table 11 CWTs exp'!$AA44&gt;0,"-"," "))</f>
        <v xml:space="preserve"> </v>
      </c>
      <c r="X44" s="206" t="str">
        <f>IF('[7]Table 11 CWTs exp'!X44/'[7]Table 11 CWTs exp'!$AA44&gt;0.0005,'[7]Table 11 CWTs exp'!X44/'[7]Table 11 CWTs exp'!$AA44,IF('[7]Table 11 CWTs exp'!X44/'[7]Table 11 CWTs exp'!$AA44&gt;0,"-"," "))</f>
        <v xml:space="preserve"> </v>
      </c>
      <c r="Y44" s="147">
        <f t="shared" ref="Y44:Y50" si="8">SUM(G44:X44)</f>
        <v>0.7109292898964118</v>
      </c>
      <c r="Z44" s="148">
        <f t="shared" ref="Z44:Z50" si="9">1-Y44</f>
        <v>0.2890707101035882</v>
      </c>
      <c r="AA44" s="38">
        <f>'[7]Table 11 CWTs exp'!AA44</f>
        <v>13322</v>
      </c>
      <c r="AC44" s="453">
        <f>'[7]Table 11 CWTs exp'!AC44</f>
        <v>0.71099999999999997</v>
      </c>
      <c r="AD44" s="453">
        <f t="shared" si="2"/>
        <v>-7.0710103588167428E-5</v>
      </c>
      <c r="AE44" s="442"/>
      <c r="AF44" s="442"/>
    </row>
    <row r="45" spans="1:34" ht="15.65" customHeight="1" x14ac:dyDescent="0.25">
      <c r="A45" t="str">
        <f>'[7]Table 11 CWTs exp'!A45</f>
        <v>LSAC463</v>
      </c>
      <c r="B45" s="4" t="str">
        <f>'[7]Table 11 CWTs exp'!B45</f>
        <v>LSAC</v>
      </c>
      <c r="C45" s="4">
        <f>'[7]Table 11 CWTs exp'!C45</f>
        <v>46</v>
      </c>
      <c r="D45" s="4">
        <f>'[7]Table 11 CWTs exp'!D45</f>
        <v>3</v>
      </c>
      <c r="E45" t="str">
        <f>'[7]Table 11 CWTs exp'!E45</f>
        <v xml:space="preserve">Lower Sacramento River </v>
      </c>
      <c r="F45" s="37" t="str">
        <f>'[7]Table 11 CWTs exp'!F45</f>
        <v>Fall</v>
      </c>
      <c r="G45" s="144" t="str">
        <f>IF('[7]Table 11 CWTs exp'!G45/'[7]Table 11 CWTs exp'!$AA45&gt;0.0005,'[7]Table 11 CWTs exp'!G45/'[7]Table 11 CWTs exp'!$AA45,IF('[7]Table 11 CWTs exp'!G45/'[7]Table 11 CWTs exp'!$AA45&gt;0,"-"," "))</f>
        <v xml:space="preserve"> </v>
      </c>
      <c r="H45" s="145">
        <f>IF('[7]Table 11 CWTs exp'!H45/'[7]Table 11 CWTs exp'!$AA45&gt;0.0005,'[7]Table 11 CWTs exp'!H45/'[7]Table 11 CWTs exp'!$AA45,IF('[7]Table 11 CWTs exp'!H45/'[7]Table 11 CWTs exp'!$AA45&gt;0,"-"," "))</f>
        <v>2.3977866584691053E-2</v>
      </c>
      <c r="I45" s="144">
        <f>IF('[7]Table 11 CWTs exp'!I45/'[7]Table 11 CWTs exp'!$AA45&gt;0.0005,'[7]Table 11 CWTs exp'!I45/'[7]Table 11 CWTs exp'!$AA45,IF('[7]Table 11 CWTs exp'!I45/'[7]Table 11 CWTs exp'!$AA45&gt;0,"-"," "))</f>
        <v>1.5216723024900092E-2</v>
      </c>
      <c r="J45" s="146">
        <f>IF('[7]Table 11 CWTs exp'!J45/'[7]Table 11 CWTs exp'!$AA45&gt;0.0005,'[7]Table 11 CWTs exp'!J45/'[7]Table 11 CWTs exp'!$AA45,IF('[7]Table 11 CWTs exp'!J45/'[7]Table 11 CWTs exp'!$AA45&gt;0,"-"," "))</f>
        <v>4.5496464801721488E-2</v>
      </c>
      <c r="K45" s="144" t="str">
        <f>IF('[7]Table 11 CWTs exp'!K45/'[7]Table 11 CWTs exp'!$AA45&gt;0.0005,'[7]Table 11 CWTs exp'!K45/'[7]Table 11 CWTs exp'!$AA45,IF('[7]Table 11 CWTs exp'!K45/'[7]Table 11 CWTs exp'!$AA45&gt;0,"-"," "))</f>
        <v xml:space="preserve"> </v>
      </c>
      <c r="L45" s="144" t="str">
        <f>IF('[7]Table 11 CWTs exp'!L45/'[7]Table 11 CWTs exp'!$AA45&gt;0.0005,'[7]Table 11 CWTs exp'!L45/'[7]Table 11 CWTs exp'!$AA45,IF('[7]Table 11 CWTs exp'!L45/'[7]Table 11 CWTs exp'!$AA45&gt;0,"-"," "))</f>
        <v xml:space="preserve"> </v>
      </c>
      <c r="M45" s="144">
        <f>IF('[7]Table 11 CWTs exp'!M45/'[7]Table 11 CWTs exp'!$AA45&gt;0.0005,'[7]Table 11 CWTs exp'!M45/'[7]Table 11 CWTs exp'!$AA45,IF('[7]Table 11 CWTs exp'!M45/'[7]Table 11 CWTs exp'!$AA45&gt;0,"-"," "))</f>
        <v>1.152782047340916E-2</v>
      </c>
      <c r="N45" s="144">
        <f>IF('[7]Table 11 CWTs exp'!N45/'[7]Table 11 CWTs exp'!$AA45&gt;0.0005,'[7]Table 11 CWTs exp'!N45/'[7]Table 11 CWTs exp'!$AA45,IF('[7]Table 11 CWTs exp'!N45/'[7]Table 11 CWTs exp'!$AA45&gt;0,"-"," "))</f>
        <v>0.30510298186289581</v>
      </c>
      <c r="O45" s="144">
        <f>IF('[7]Table 11 CWTs exp'!O45/'[7]Table 11 CWTs exp'!$AA45&gt;0.0005,'[7]Table 11 CWTs exp'!O45/'[7]Table 11 CWTs exp'!$AA45,IF('[7]Table 11 CWTs exp'!O45/'[7]Table 11 CWTs exp'!$AA45&gt;0,"-"," "))</f>
        <v>1.5216723024900092E-2</v>
      </c>
      <c r="P45" s="144" t="str">
        <f>IF('[7]Table 11 CWTs exp'!P45/'[7]Table 11 CWTs exp'!$AA45&gt;0.0005,'[7]Table 11 CWTs exp'!P45/'[7]Table 11 CWTs exp'!$AA45,IF('[7]Table 11 CWTs exp'!P45/'[7]Table 11 CWTs exp'!$AA45&gt;0,"-"," "))</f>
        <v xml:space="preserve"> </v>
      </c>
      <c r="Q45" s="145">
        <f>IF('[7]Table 11 CWTs exp'!Q45/'[7]Table 11 CWTs exp'!$AA45&gt;0.0005,'[7]Table 11 CWTs exp'!Q45/'[7]Table 11 CWTs exp'!$AA45,IF('[7]Table 11 CWTs exp'!Q45/'[7]Table 11 CWTs exp'!$AA45&gt;0,"-"," "))</f>
        <v>3.4276052874269908E-2</v>
      </c>
      <c r="R45" s="146">
        <f>IF('[7]Table 11 CWTs exp'!R45/'[7]Table 11 CWTs exp'!$AA45&gt;0.0005,'[7]Table 11 CWTs exp'!R45/'[7]Table 11 CWTs exp'!$AA45,IF('[7]Table 11 CWTs exp'!R45/'[7]Table 11 CWTs exp'!$AA45&gt;0,"-"," "))</f>
        <v>7.5776206578542879E-2</v>
      </c>
      <c r="S45" s="144" t="str">
        <f>IF('[7]Table 11 CWTs exp'!S45/'[7]Table 11 CWTs exp'!$AA45&gt;0.0005,'[7]Table 11 CWTs exp'!S45/'[7]Table 11 CWTs exp'!$AA45,IF('[7]Table 11 CWTs exp'!S45/'[7]Table 11 CWTs exp'!$AA45&gt;0,"-"," "))</f>
        <v xml:space="preserve"> </v>
      </c>
      <c r="T45" s="144">
        <f>IF('[7]Table 11 CWTs exp'!T45/'[7]Table 11 CWTs exp'!$AA45&gt;0.0005,'[7]Table 11 CWTs exp'!T45/'[7]Table 11 CWTs exp'!$AA45,IF('[7]Table 11 CWTs exp'!T45/'[7]Table 11 CWTs exp'!$AA45&gt;0,"-"," "))</f>
        <v>9.1454042422379339E-2</v>
      </c>
      <c r="U45" s="144">
        <f>IF('[7]Table 11 CWTs exp'!U45/'[7]Table 11 CWTs exp'!$AA45&gt;0.0005,'[7]Table 11 CWTs exp'!U45/'[7]Table 11 CWTs exp'!$AA45,IF('[7]Table 11 CWTs exp'!U45/'[7]Table 11 CWTs exp'!$AA45&gt;0,"-"," "))</f>
        <v>1.537042729787888E-2</v>
      </c>
      <c r="V45" s="145" t="str">
        <f>IF('[7]Table 11 CWTs exp'!V45/'[7]Table 11 CWTs exp'!$AA45&gt;0.0005,'[7]Table 11 CWTs exp'!V45/'[7]Table 11 CWTs exp'!$AA45,IF('[7]Table 11 CWTs exp'!V45/'[7]Table 11 CWTs exp'!$AA45&gt;0,"-"," "))</f>
        <v xml:space="preserve"> </v>
      </c>
      <c r="W45" s="146" t="str">
        <f>IF('[7]Table 11 CWTs exp'!W45/'[7]Table 11 CWTs exp'!$AA45&gt;0.0005,'[7]Table 11 CWTs exp'!W45/'[7]Table 11 CWTs exp'!$AA45,IF('[7]Table 11 CWTs exp'!W45/'[7]Table 11 CWTs exp'!$AA45&gt;0,"-"," "))</f>
        <v xml:space="preserve"> </v>
      </c>
      <c r="X45" s="206" t="str">
        <f>IF('[7]Table 11 CWTs exp'!X45/'[7]Table 11 CWTs exp'!$AA45&gt;0.0005,'[7]Table 11 CWTs exp'!X45/'[7]Table 11 CWTs exp'!$AA45,IF('[7]Table 11 CWTs exp'!X45/'[7]Table 11 CWTs exp'!$AA45&gt;0,"-"," "))</f>
        <v xml:space="preserve"> </v>
      </c>
      <c r="Y45" s="147">
        <f t="shared" si="8"/>
        <v>0.63341530894558862</v>
      </c>
      <c r="Z45" s="148">
        <f t="shared" si="9"/>
        <v>0.36658469105441138</v>
      </c>
      <c r="AA45" s="38">
        <f>'[7]Table 11 CWTs exp'!AA45</f>
        <v>6506</v>
      </c>
      <c r="AC45" s="453">
        <f>'[7]Table 11 CWTs exp'!AC45</f>
        <v>0.63300000000000001</v>
      </c>
      <c r="AD45" s="453">
        <f t="shared" si="2"/>
        <v>4.1530894558861053E-4</v>
      </c>
      <c r="AE45" s="442"/>
      <c r="AF45" s="442"/>
    </row>
    <row r="46" spans="1:34" ht="15.65" customHeight="1" x14ac:dyDescent="0.25">
      <c r="A46" t="str">
        <f>'[7]Table 11 CWTs exp'!A46</f>
        <v>FEA463</v>
      </c>
      <c r="B46" s="4" t="str">
        <f>'[7]Table 11 CWTs exp'!B46</f>
        <v>FEA</v>
      </c>
      <c r="C46" s="4">
        <f>'[7]Table 11 CWTs exp'!C46</f>
        <v>46</v>
      </c>
      <c r="D46" s="4">
        <f>'[7]Table 11 CWTs exp'!D46</f>
        <v>3</v>
      </c>
      <c r="E46" t="str">
        <f>'[7]Table 11 CWTs exp'!E46</f>
        <v xml:space="preserve">Feather River </v>
      </c>
      <c r="F46" s="37" t="str">
        <f>'[7]Table 11 CWTs exp'!F46</f>
        <v>Fall</v>
      </c>
      <c r="G46" s="144" t="str">
        <f>IF('[7]Table 11 CWTs exp'!G46/'[7]Table 11 CWTs exp'!$AA46&gt;0.0005,'[7]Table 11 CWTs exp'!G46/'[7]Table 11 CWTs exp'!$AA46,IF('[7]Table 11 CWTs exp'!G46/'[7]Table 11 CWTs exp'!$AA46&gt;0,"-"," "))</f>
        <v xml:space="preserve"> </v>
      </c>
      <c r="H46" s="145" t="str">
        <f>IF('[7]Table 11 CWTs exp'!H46/'[7]Table 11 CWTs exp'!$AA46&gt;0.0005,'[7]Table 11 CWTs exp'!H46/'[7]Table 11 CWTs exp'!$AA46,IF('[7]Table 11 CWTs exp'!H46/'[7]Table 11 CWTs exp'!$AA46&gt;0,"-"," "))</f>
        <v xml:space="preserve"> </v>
      </c>
      <c r="I46" s="144" t="str">
        <f>IF('[7]Table 11 CWTs exp'!I46/'[7]Table 11 CWTs exp'!$AA46&gt;0.0005,'[7]Table 11 CWTs exp'!I46/'[7]Table 11 CWTs exp'!$AA46,IF('[7]Table 11 CWTs exp'!I46/'[7]Table 11 CWTs exp'!$AA46&gt;0,"-"," "))</f>
        <v xml:space="preserve"> </v>
      </c>
      <c r="J46" s="146">
        <f>IF('[7]Table 11 CWTs exp'!J46/'[7]Table 11 CWTs exp'!$AA46&gt;0.0005,'[7]Table 11 CWTs exp'!J46/'[7]Table 11 CWTs exp'!$AA46,IF('[7]Table 11 CWTs exp'!J46/'[7]Table 11 CWTs exp'!$AA46&gt;0,"-"," "))</f>
        <v>1.7253688719657306E-2</v>
      </c>
      <c r="K46" s="144">
        <f>IF('[7]Table 11 CWTs exp'!K46/'[7]Table 11 CWTs exp'!$AA46&gt;0.0005,'[7]Table 11 CWTs exp'!K46/'[7]Table 11 CWTs exp'!$AA46,IF('[7]Table 11 CWTs exp'!K46/'[7]Table 11 CWTs exp'!$AA46&gt;0,"-"," "))</f>
        <v>3.5102332222751068E-2</v>
      </c>
      <c r="L46" s="144">
        <f>IF('[7]Table 11 CWTs exp'!L46/'[7]Table 11 CWTs exp'!$AA46&gt;0.0005,'[7]Table 11 CWTs exp'!L46/'[7]Table 11 CWTs exp'!$AA46,IF('[7]Table 11 CWTs exp'!L46/'[7]Table 11 CWTs exp'!$AA46&gt;0,"-"," "))</f>
        <v>2.1894336030461686E-2</v>
      </c>
      <c r="M46" s="144">
        <f>IF('[7]Table 11 CWTs exp'!M46/'[7]Table 11 CWTs exp'!$AA46&gt;0.0005,'[7]Table 11 CWTs exp'!M46/'[7]Table 11 CWTs exp'!$AA46,IF('[7]Table 11 CWTs exp'!M46/'[7]Table 11 CWTs exp'!$AA46&gt;0,"-"," "))</f>
        <v>2.5940028557829606E-2</v>
      </c>
      <c r="N46" s="144">
        <f>IF('[7]Table 11 CWTs exp'!N46/'[7]Table 11 CWTs exp'!$AA46&gt;0.0005,'[7]Table 11 CWTs exp'!N46/'[7]Table 11 CWTs exp'!$AA46,IF('[7]Table 11 CWTs exp'!N46/'[7]Table 11 CWTs exp'!$AA46&gt;0,"-"," "))</f>
        <v>0.5548548310328415</v>
      </c>
      <c r="O46" s="144">
        <f>IF('[7]Table 11 CWTs exp'!O46/'[7]Table 11 CWTs exp'!$AA46&gt;0.0005,'[7]Table 11 CWTs exp'!O46/'[7]Table 11 CWTs exp'!$AA46,IF('[7]Table 11 CWTs exp'!O46/'[7]Table 11 CWTs exp'!$AA46&gt;0,"-"," "))</f>
        <v>3.03426939552594E-2</v>
      </c>
      <c r="P46" s="144">
        <f>IF('[7]Table 11 CWTs exp'!P46/'[7]Table 11 CWTs exp'!$AA46&gt;0.0005,'[7]Table 11 CWTs exp'!P46/'[7]Table 11 CWTs exp'!$AA46,IF('[7]Table 11 CWTs exp'!P46/'[7]Table 11 CWTs exp'!$AA46&gt;0,"-"," "))</f>
        <v>4.4026653974297957E-3</v>
      </c>
      <c r="Q46" s="145" t="str">
        <f>IF('[7]Table 11 CWTs exp'!Q46/'[7]Table 11 CWTs exp'!$AA46&gt;0.0005,'[7]Table 11 CWTs exp'!Q46/'[7]Table 11 CWTs exp'!$AA46,IF('[7]Table 11 CWTs exp'!Q46/'[7]Table 11 CWTs exp'!$AA46&gt;0,"-"," "))</f>
        <v xml:space="preserve"> </v>
      </c>
      <c r="R46" s="146" t="str">
        <f>IF('[7]Table 11 CWTs exp'!R46/'[7]Table 11 CWTs exp'!$AA46&gt;0.0005,'[7]Table 11 CWTs exp'!R46/'[7]Table 11 CWTs exp'!$AA46,IF('[7]Table 11 CWTs exp'!R46/'[7]Table 11 CWTs exp'!$AA46&gt;0,"-"," "))</f>
        <v xml:space="preserve"> </v>
      </c>
      <c r="S46" s="144" t="str">
        <f>IF('[7]Table 11 CWTs exp'!S46/'[7]Table 11 CWTs exp'!$AA46&gt;0.0005,'[7]Table 11 CWTs exp'!S46/'[7]Table 11 CWTs exp'!$AA46,IF('[7]Table 11 CWTs exp'!S46/'[7]Table 11 CWTs exp'!$AA46&gt;0,"-"," "))</f>
        <v xml:space="preserve"> </v>
      </c>
      <c r="T46" s="144">
        <f>IF('[7]Table 11 CWTs exp'!T46/'[7]Table 11 CWTs exp'!$AA46&gt;0.0005,'[7]Table 11 CWTs exp'!T46/'[7]Table 11 CWTs exp'!$AA46,IF('[7]Table 11 CWTs exp'!T46/'[7]Table 11 CWTs exp'!$AA46&gt;0,"-"," "))</f>
        <v>3.4626368396001903E-2</v>
      </c>
      <c r="U46" s="144" t="str">
        <f>IF('[7]Table 11 CWTs exp'!U46/'[7]Table 11 CWTs exp'!$AA46&gt;0.0005,'[7]Table 11 CWTs exp'!U46/'[7]Table 11 CWTs exp'!$AA46,IF('[7]Table 11 CWTs exp'!U46/'[7]Table 11 CWTs exp'!$AA46&gt;0,"-"," "))</f>
        <v xml:space="preserve"> </v>
      </c>
      <c r="V46" s="145" t="str">
        <f>IF('[7]Table 11 CWTs exp'!V46/'[7]Table 11 CWTs exp'!$AA46&gt;0.0005,'[7]Table 11 CWTs exp'!V46/'[7]Table 11 CWTs exp'!$AA46,IF('[7]Table 11 CWTs exp'!V46/'[7]Table 11 CWTs exp'!$AA46&gt;0,"-"," "))</f>
        <v xml:space="preserve"> </v>
      </c>
      <c r="W46" s="146" t="str">
        <f>IF('[7]Table 11 CWTs exp'!W46/'[7]Table 11 CWTs exp'!$AA46&gt;0.0005,'[7]Table 11 CWTs exp'!W46/'[7]Table 11 CWTs exp'!$AA46,IF('[7]Table 11 CWTs exp'!W46/'[7]Table 11 CWTs exp'!$AA46&gt;0,"-"," "))</f>
        <v xml:space="preserve"> </v>
      </c>
      <c r="X46" s="206" t="str">
        <f>IF('[7]Table 11 CWTs exp'!X46/'[7]Table 11 CWTs exp'!$AA46&gt;0.0005,'[7]Table 11 CWTs exp'!X46/'[7]Table 11 CWTs exp'!$AA46,IF('[7]Table 11 CWTs exp'!X46/'[7]Table 11 CWTs exp'!$AA46&gt;0,"-"," "))</f>
        <v xml:space="preserve"> </v>
      </c>
      <c r="Y46" s="147">
        <f t="shared" si="8"/>
        <v>0.72441694431223225</v>
      </c>
      <c r="Z46" s="148">
        <f t="shared" si="9"/>
        <v>0.27558305568776775</v>
      </c>
      <c r="AA46" s="38">
        <f>'[7]Table 11 CWTs exp'!AA46</f>
        <v>8404</v>
      </c>
      <c r="AC46" s="453">
        <f>'[7]Table 11 CWTs exp'!AC46</f>
        <v>0.72399999999999998</v>
      </c>
      <c r="AD46" s="453">
        <f t="shared" si="2"/>
        <v>4.1694431223227024E-4</v>
      </c>
      <c r="AE46" s="442"/>
      <c r="AF46" s="442"/>
    </row>
    <row r="47" spans="1:34" ht="15.65" customHeight="1" x14ac:dyDescent="0.25">
      <c r="A47" t="str">
        <f>'[7]Table 11 CWTs exp'!A47</f>
        <v>AMN463</v>
      </c>
      <c r="B47" s="4" t="str">
        <f>'[7]Table 11 CWTs exp'!B47</f>
        <v>AMN</v>
      </c>
      <c r="C47" s="4">
        <f>'[7]Table 11 CWTs exp'!C47</f>
        <v>46</v>
      </c>
      <c r="D47" s="4">
        <f>'[7]Table 11 CWTs exp'!D47</f>
        <v>3</v>
      </c>
      <c r="E47" t="str">
        <f>'[7]Table 11 CWTs exp'!E47</f>
        <v xml:space="preserve">American River </v>
      </c>
      <c r="F47" s="37" t="str">
        <f>'[7]Table 11 CWTs exp'!F47</f>
        <v>Fall</v>
      </c>
      <c r="G47" s="144" t="str">
        <f>IF('[7]Table 11 CWTs exp'!G47/'[7]Table 11 CWTs exp'!$AA47&gt;0.0005,'[7]Table 11 CWTs exp'!G47/'[7]Table 11 CWTs exp'!$AA47,IF('[7]Table 11 CWTs exp'!G47/'[7]Table 11 CWTs exp'!$AA47&gt;0,"-"," "))</f>
        <v xml:space="preserve"> </v>
      </c>
      <c r="H47" s="145" t="str">
        <f>IF('[7]Table 11 CWTs exp'!H47/'[7]Table 11 CWTs exp'!$AA47&gt;0.0005,'[7]Table 11 CWTs exp'!H47/'[7]Table 11 CWTs exp'!$AA47,IF('[7]Table 11 CWTs exp'!H47/'[7]Table 11 CWTs exp'!$AA47&gt;0,"-"," "))</f>
        <v xml:space="preserve"> </v>
      </c>
      <c r="I47" s="144" t="str">
        <f>IF('[7]Table 11 CWTs exp'!I47/'[7]Table 11 CWTs exp'!$AA47&gt;0.0005,'[7]Table 11 CWTs exp'!I47/'[7]Table 11 CWTs exp'!$AA47,IF('[7]Table 11 CWTs exp'!I47/'[7]Table 11 CWTs exp'!$AA47&gt;0,"-"," "))</f>
        <v xml:space="preserve"> </v>
      </c>
      <c r="J47" s="146">
        <f>IF('[7]Table 11 CWTs exp'!J47/'[7]Table 11 CWTs exp'!$AA47&gt;0.0005,'[7]Table 11 CWTs exp'!J47/'[7]Table 11 CWTs exp'!$AA47,IF('[7]Table 11 CWTs exp'!J47/'[7]Table 11 CWTs exp'!$AA47&gt;0,"-"," "))</f>
        <v>1.6613418530351438E-2</v>
      </c>
      <c r="K47" s="144">
        <f>IF('[7]Table 11 CWTs exp'!K47/'[7]Table 11 CWTs exp'!$AA47&gt;0.0005,'[7]Table 11 CWTs exp'!K47/'[7]Table 11 CWTs exp'!$AA47,IF('[7]Table 11 CWTs exp'!K47/'[7]Table 11 CWTs exp'!$AA47&gt;0,"-"," "))</f>
        <v>4.2332268370607025E-3</v>
      </c>
      <c r="L47" s="144">
        <f>IF('[7]Table 11 CWTs exp'!L47/'[7]Table 11 CWTs exp'!$AA47&gt;0.0005,'[7]Table 11 CWTs exp'!L47/'[7]Table 11 CWTs exp'!$AA47,IF('[7]Table 11 CWTs exp'!L47/'[7]Table 11 CWTs exp'!$AA47&gt;0,"-"," "))</f>
        <v>6.3099041533546327E-3</v>
      </c>
      <c r="M47" s="144">
        <f>IF('[7]Table 11 CWTs exp'!M47/'[7]Table 11 CWTs exp'!$AA47&gt;0.0005,'[7]Table 11 CWTs exp'!M47/'[7]Table 11 CWTs exp'!$AA47,IF('[7]Table 11 CWTs exp'!M47/'[7]Table 11 CWTs exp'!$AA47&gt;0,"-"," "))</f>
        <v>1.0463258785942491E-2</v>
      </c>
      <c r="N47" s="144">
        <f>IF('[7]Table 11 CWTs exp'!N47/'[7]Table 11 CWTs exp'!$AA47&gt;0.0005,'[7]Table 11 CWTs exp'!N47/'[7]Table 11 CWTs exp'!$AA47,IF('[7]Table 11 CWTs exp'!N47/'[7]Table 11 CWTs exp'!$AA47&gt;0,"-"," "))</f>
        <v>0.1084664536741214</v>
      </c>
      <c r="O47" s="144">
        <f>IF('[7]Table 11 CWTs exp'!O47/'[7]Table 11 CWTs exp'!$AA47&gt;0.0005,'[7]Table 11 CWTs exp'!O47/'[7]Table 11 CWTs exp'!$AA47,IF('[7]Table 11 CWTs exp'!O47/'[7]Table 11 CWTs exp'!$AA47&gt;0,"-"," "))</f>
        <v>4.1533546325878594E-3</v>
      </c>
      <c r="P47" s="144" t="str">
        <f>IF('[7]Table 11 CWTs exp'!P47/'[7]Table 11 CWTs exp'!$AA47&gt;0.0005,'[7]Table 11 CWTs exp'!P47/'[7]Table 11 CWTs exp'!$AA47,IF('[7]Table 11 CWTs exp'!P47/'[7]Table 11 CWTs exp'!$AA47&gt;0,"-"," "))</f>
        <v xml:space="preserve"> </v>
      </c>
      <c r="Q47" s="145">
        <f>IF('[7]Table 11 CWTs exp'!Q47/'[7]Table 11 CWTs exp'!$AA47&gt;0.0005,'[7]Table 11 CWTs exp'!Q47/'[7]Table 11 CWTs exp'!$AA47,IF('[7]Table 11 CWTs exp'!Q47/'[7]Table 11 CWTs exp'!$AA47&gt;0,"-"," "))</f>
        <v>0.33706070287539935</v>
      </c>
      <c r="R47" s="146">
        <f>IF('[7]Table 11 CWTs exp'!R47/'[7]Table 11 CWTs exp'!$AA47&gt;0.0005,'[7]Table 11 CWTs exp'!R47/'[7]Table 11 CWTs exp'!$AA47,IF('[7]Table 11 CWTs exp'!R47/'[7]Table 11 CWTs exp'!$AA47&gt;0,"-"," "))</f>
        <v>9.5207667731629392E-2</v>
      </c>
      <c r="S47" s="144" t="str">
        <f>IF('[7]Table 11 CWTs exp'!S47/'[7]Table 11 CWTs exp'!$AA47&gt;0.0005,'[7]Table 11 CWTs exp'!S47/'[7]Table 11 CWTs exp'!$AA47,IF('[7]Table 11 CWTs exp'!S47/'[7]Table 11 CWTs exp'!$AA47&gt;0,"-"," "))</f>
        <v xml:space="preserve"> </v>
      </c>
      <c r="T47" s="144">
        <f>IF('[7]Table 11 CWTs exp'!T47/'[7]Table 11 CWTs exp'!$AA47&gt;0.0005,'[7]Table 11 CWTs exp'!T47/'[7]Table 11 CWTs exp'!$AA47,IF('[7]Table 11 CWTs exp'!T47/'[7]Table 11 CWTs exp'!$AA47&gt;0,"-"," "))</f>
        <v>0.21733226837060704</v>
      </c>
      <c r="U47" s="144">
        <f>IF('[7]Table 11 CWTs exp'!U47/'[7]Table 11 CWTs exp'!$AA47&gt;0.0005,'[7]Table 11 CWTs exp'!U47/'[7]Table 11 CWTs exp'!$AA47,IF('[7]Table 11 CWTs exp'!U47/'[7]Table 11 CWTs exp'!$AA47&gt;0,"-"," "))</f>
        <v>1.6773162939297124E-2</v>
      </c>
      <c r="V47" s="145" t="str">
        <f>IF('[7]Table 11 CWTs exp'!V47/'[7]Table 11 CWTs exp'!$AA47&gt;0.0005,'[7]Table 11 CWTs exp'!V47/'[7]Table 11 CWTs exp'!$AA47,IF('[7]Table 11 CWTs exp'!V47/'[7]Table 11 CWTs exp'!$AA47&gt;0,"-"," "))</f>
        <v xml:space="preserve"> </v>
      </c>
      <c r="W47" s="146">
        <f>IF('[7]Table 11 CWTs exp'!W47/'[7]Table 11 CWTs exp'!$AA47&gt;0.0005,'[7]Table 11 CWTs exp'!W47/'[7]Table 11 CWTs exp'!$AA47,IF('[7]Table 11 CWTs exp'!W47/'[7]Table 11 CWTs exp'!$AA47&gt;0,"-"," "))</f>
        <v>1.3019169329073483E-2</v>
      </c>
      <c r="X47" s="206" t="str">
        <f>IF('[7]Table 11 CWTs exp'!X47/'[7]Table 11 CWTs exp'!$AA47&gt;0.0005,'[7]Table 11 CWTs exp'!X47/'[7]Table 11 CWTs exp'!$AA47,IF('[7]Table 11 CWTs exp'!X47/'[7]Table 11 CWTs exp'!$AA47&gt;0,"-"," "))</f>
        <v xml:space="preserve"> </v>
      </c>
      <c r="Y47" s="147">
        <f t="shared" si="8"/>
        <v>0.82963258785942484</v>
      </c>
      <c r="Z47" s="148">
        <f t="shared" si="9"/>
        <v>0.17036741214057516</v>
      </c>
      <c r="AA47" s="38">
        <f>'[7]Table 11 CWTs exp'!AA47</f>
        <v>12520</v>
      </c>
      <c r="AC47" s="453">
        <f>'[7]Table 11 CWTs exp'!AC47</f>
        <v>0.83</v>
      </c>
      <c r="AD47" s="453">
        <f t="shared" si="2"/>
        <v>-3.6741214057511851E-4</v>
      </c>
      <c r="AE47" s="442"/>
      <c r="AF47" s="442"/>
    </row>
    <row r="48" spans="1:34" ht="15.65" customHeight="1" x14ac:dyDescent="0.25">
      <c r="A48" t="str">
        <f>'[7]Table 11 CWTs exp'!A48</f>
        <v>MOKE463</v>
      </c>
      <c r="B48" s="4" t="str">
        <f>'[7]Table 11 CWTs exp'!B48</f>
        <v>MOKE</v>
      </c>
      <c r="C48" s="4">
        <f>'[7]Table 11 CWTs exp'!C48</f>
        <v>46</v>
      </c>
      <c r="D48" s="4">
        <f>'[7]Table 11 CWTs exp'!D48</f>
        <v>3</v>
      </c>
      <c r="E48" t="str">
        <f>'[7]Table 11 CWTs exp'!E48</f>
        <v>Mokelumne River</v>
      </c>
      <c r="F48" s="37" t="str">
        <f>'[7]Table 11 CWTs exp'!F48</f>
        <v>Fall</v>
      </c>
      <c r="G48" s="144" t="str">
        <f>IF('[7]Table 11 CWTs exp'!G48/'[7]Table 11 CWTs exp'!$AA48&gt;0.0005,'[7]Table 11 CWTs exp'!G48/'[7]Table 11 CWTs exp'!$AA48,IF('[7]Table 11 CWTs exp'!G48/'[7]Table 11 CWTs exp'!$AA48&gt;0,"-"," "))</f>
        <v xml:space="preserve"> </v>
      </c>
      <c r="H48" s="145" t="str">
        <f>IF('[7]Table 11 CWTs exp'!H48/'[7]Table 11 CWTs exp'!$AA48&gt;0.0005,'[7]Table 11 CWTs exp'!H48/'[7]Table 11 CWTs exp'!$AA48,IF('[7]Table 11 CWTs exp'!H48/'[7]Table 11 CWTs exp'!$AA48&gt;0,"-"," "))</f>
        <v xml:space="preserve"> </v>
      </c>
      <c r="I48" s="144" t="str">
        <f>IF('[7]Table 11 CWTs exp'!I48/'[7]Table 11 CWTs exp'!$AA48&gt;0.0005,'[7]Table 11 CWTs exp'!I48/'[7]Table 11 CWTs exp'!$AA48,IF('[7]Table 11 CWTs exp'!I48/'[7]Table 11 CWTs exp'!$AA48&gt;0,"-"," "))</f>
        <v xml:space="preserve"> </v>
      </c>
      <c r="J48" s="146" t="str">
        <f>IF('[7]Table 11 CWTs exp'!J48/'[7]Table 11 CWTs exp'!$AA48&gt;0.0005,'[7]Table 11 CWTs exp'!J48/'[7]Table 11 CWTs exp'!$AA48,IF('[7]Table 11 CWTs exp'!J48/'[7]Table 11 CWTs exp'!$AA48&gt;0,"-"," "))</f>
        <v xml:space="preserve"> </v>
      </c>
      <c r="K48" s="144" t="str">
        <f>IF('[7]Table 11 CWTs exp'!K48/'[7]Table 11 CWTs exp'!$AA48&gt;0.0005,'[7]Table 11 CWTs exp'!K48/'[7]Table 11 CWTs exp'!$AA48,IF('[7]Table 11 CWTs exp'!K48/'[7]Table 11 CWTs exp'!$AA48&gt;0,"-"," "))</f>
        <v xml:space="preserve"> </v>
      </c>
      <c r="L48" s="144" t="str">
        <f>IF('[7]Table 11 CWTs exp'!L48/'[7]Table 11 CWTs exp'!$AA48&gt;0.0005,'[7]Table 11 CWTs exp'!L48/'[7]Table 11 CWTs exp'!$AA48,IF('[7]Table 11 CWTs exp'!L48/'[7]Table 11 CWTs exp'!$AA48&gt;0,"-"," "))</f>
        <v xml:space="preserve"> </v>
      </c>
      <c r="M48" s="144" t="str">
        <f>IF('[7]Table 11 CWTs exp'!M48/'[7]Table 11 CWTs exp'!$AA48&gt;0.0005,'[7]Table 11 CWTs exp'!M48/'[7]Table 11 CWTs exp'!$AA48,IF('[7]Table 11 CWTs exp'!M48/'[7]Table 11 CWTs exp'!$AA48&gt;0,"-"," "))</f>
        <v xml:space="preserve"> </v>
      </c>
      <c r="N48" s="144">
        <f>IF('[7]Table 11 CWTs exp'!N48/'[7]Table 11 CWTs exp'!$AA48&gt;0.0005,'[7]Table 11 CWTs exp'!N48/'[7]Table 11 CWTs exp'!$AA48,IF('[7]Table 11 CWTs exp'!N48/'[7]Table 11 CWTs exp'!$AA48&gt;0,"-"," "))</f>
        <v>4.3478260869565216E-2</v>
      </c>
      <c r="O48" s="144" t="str">
        <f>IF('[7]Table 11 CWTs exp'!O48/'[7]Table 11 CWTs exp'!$AA48&gt;0.0005,'[7]Table 11 CWTs exp'!O48/'[7]Table 11 CWTs exp'!$AA48,IF('[7]Table 11 CWTs exp'!O48/'[7]Table 11 CWTs exp'!$AA48&gt;0,"-"," "))</f>
        <v xml:space="preserve"> </v>
      </c>
      <c r="P48" s="144" t="str">
        <f>IF('[7]Table 11 CWTs exp'!P48/'[7]Table 11 CWTs exp'!$AA48&gt;0.0005,'[7]Table 11 CWTs exp'!P48/'[7]Table 11 CWTs exp'!$AA48,IF('[7]Table 11 CWTs exp'!P48/'[7]Table 11 CWTs exp'!$AA48&gt;0,"-"," "))</f>
        <v xml:space="preserve"> </v>
      </c>
      <c r="Q48" s="145">
        <f>IF('[7]Table 11 CWTs exp'!Q48/'[7]Table 11 CWTs exp'!$AA48&gt;0.0005,'[7]Table 11 CWTs exp'!Q48/'[7]Table 11 CWTs exp'!$AA48,IF('[7]Table 11 CWTs exp'!Q48/'[7]Table 11 CWTs exp'!$AA48&gt;0,"-"," "))</f>
        <v>4.3478260869565216E-2</v>
      </c>
      <c r="R48" s="146" t="str">
        <f>IF('[7]Table 11 CWTs exp'!R48/'[7]Table 11 CWTs exp'!$AA48&gt;0.0005,'[7]Table 11 CWTs exp'!R48/'[7]Table 11 CWTs exp'!$AA48,IF('[7]Table 11 CWTs exp'!R48/'[7]Table 11 CWTs exp'!$AA48&gt;0,"-"," "))</f>
        <v xml:space="preserve"> </v>
      </c>
      <c r="S48" s="144">
        <f>IF('[7]Table 11 CWTs exp'!S48/'[7]Table 11 CWTs exp'!$AA48&gt;0.0005,'[7]Table 11 CWTs exp'!S48/'[7]Table 11 CWTs exp'!$AA48,IF('[7]Table 11 CWTs exp'!S48/'[7]Table 11 CWTs exp'!$AA48&gt;0,"-"," "))</f>
        <v>1.0869565217391304E-2</v>
      </c>
      <c r="T48" s="144">
        <f>IF('[7]Table 11 CWTs exp'!T48/'[7]Table 11 CWTs exp'!$AA48&gt;0.0005,'[7]Table 11 CWTs exp'!T48/'[7]Table 11 CWTs exp'!$AA48,IF('[7]Table 11 CWTs exp'!T48/'[7]Table 11 CWTs exp'!$AA48&gt;0,"-"," "))</f>
        <v>0.74275362318840576</v>
      </c>
      <c r="U48" s="144">
        <f>IF('[7]Table 11 CWTs exp'!U48/'[7]Table 11 CWTs exp'!$AA48&gt;0.0005,'[7]Table 11 CWTs exp'!U48/'[7]Table 11 CWTs exp'!$AA48,IF('[7]Table 11 CWTs exp'!U48/'[7]Table 11 CWTs exp'!$AA48&gt;0,"-"," "))</f>
        <v>8.8405797101449274E-2</v>
      </c>
      <c r="V48" s="145" t="str">
        <f>IF('[7]Table 11 CWTs exp'!V48/'[7]Table 11 CWTs exp'!$AA48&gt;0.0005,'[7]Table 11 CWTs exp'!V48/'[7]Table 11 CWTs exp'!$AA48,IF('[7]Table 11 CWTs exp'!V48/'[7]Table 11 CWTs exp'!$AA48&gt;0,"-"," "))</f>
        <v xml:space="preserve"> </v>
      </c>
      <c r="W48" s="146">
        <f>IF('[7]Table 11 CWTs exp'!W48/'[7]Table 11 CWTs exp'!$AA48&gt;0.0005,'[7]Table 11 CWTs exp'!W48/'[7]Table 11 CWTs exp'!$AA48,IF('[7]Table 11 CWTs exp'!W48/'[7]Table 11 CWTs exp'!$AA48&gt;0,"-"," "))</f>
        <v>5.0724637681159424E-2</v>
      </c>
      <c r="X48" s="206" t="str">
        <f>IF('[7]Table 11 CWTs exp'!X48/'[7]Table 11 CWTs exp'!$AA48&gt;0.0005,'[7]Table 11 CWTs exp'!X48/'[7]Table 11 CWTs exp'!$AA48,IF('[7]Table 11 CWTs exp'!X48/'[7]Table 11 CWTs exp'!$AA48&gt;0,"-"," "))</f>
        <v xml:space="preserve"> </v>
      </c>
      <c r="Y48" s="147">
        <f t="shared" si="8"/>
        <v>0.97971014492753616</v>
      </c>
      <c r="Z48" s="148">
        <f t="shared" si="9"/>
        <v>2.0289855072463836E-2</v>
      </c>
      <c r="AA48" s="38">
        <f>'[7]Table 11 CWTs exp'!AA48</f>
        <v>1380</v>
      </c>
      <c r="AC48" s="453">
        <f>'[7]Table 11 CWTs exp'!AC48</f>
        <v>0.98</v>
      </c>
      <c r="AD48" s="453">
        <f t="shared" si="2"/>
        <v>-2.8985507246381825E-4</v>
      </c>
      <c r="AE48" s="442"/>
      <c r="AF48" s="442"/>
    </row>
    <row r="49" spans="1:32" ht="15.65" customHeight="1" x14ac:dyDescent="0.25">
      <c r="A49" t="str">
        <f>'[7]Table 11 CWTs exp'!A49</f>
        <v>USAC467</v>
      </c>
      <c r="B49" s="4" t="str">
        <f>'[7]Table 11 CWTs exp'!B49</f>
        <v>USAC</v>
      </c>
      <c r="C49" s="4">
        <f>'[7]Table 11 CWTs exp'!C49</f>
        <v>46</v>
      </c>
      <c r="D49" s="4">
        <f>'[7]Table 11 CWTs exp'!D49</f>
        <v>7</v>
      </c>
      <c r="E49" t="str">
        <f>'[7]Table 11 CWTs exp'!E49</f>
        <v xml:space="preserve">Upper Sacramento River </v>
      </c>
      <c r="F49" s="37" t="s">
        <v>57</v>
      </c>
      <c r="G49" s="144" t="str">
        <f>IF('[7]Table 11 CWTs exp'!G49/'[7]Table 11 CWTs exp'!$AA49&gt;0.0005,'[7]Table 11 CWTs exp'!G49/'[7]Table 11 CWTs exp'!$AA49,IF('[7]Table 11 CWTs exp'!G49/'[7]Table 11 CWTs exp'!$AA49&gt;0,"-"," "))</f>
        <v xml:space="preserve"> </v>
      </c>
      <c r="H49" s="145">
        <f>IF('[7]Table 11 CWTs exp'!H49/'[7]Table 11 CWTs exp'!$AA49&gt;0.0005,'[7]Table 11 CWTs exp'!H49/'[7]Table 11 CWTs exp'!$AA49,IF('[7]Table 11 CWTs exp'!H49/'[7]Table 11 CWTs exp'!$AA49&gt;0,"-"," "))</f>
        <v>0.3914590747330961</v>
      </c>
      <c r="I49" s="144" t="str">
        <f>IF('[7]Table 11 CWTs exp'!I49/'[7]Table 11 CWTs exp'!$AA49&gt;0.0005,'[7]Table 11 CWTs exp'!I49/'[7]Table 11 CWTs exp'!$AA49,IF('[7]Table 11 CWTs exp'!I49/'[7]Table 11 CWTs exp'!$AA49&gt;0,"-"," "))</f>
        <v xml:space="preserve"> </v>
      </c>
      <c r="J49" s="146" t="str">
        <f>IF('[7]Table 11 CWTs exp'!J49/'[7]Table 11 CWTs exp'!$AA49&gt;0.0005,'[7]Table 11 CWTs exp'!J49/'[7]Table 11 CWTs exp'!$AA49,IF('[7]Table 11 CWTs exp'!J49/'[7]Table 11 CWTs exp'!$AA49&gt;0,"-"," "))</f>
        <v xml:space="preserve"> </v>
      </c>
      <c r="K49" s="144" t="str">
        <f>IF('[7]Table 11 CWTs exp'!K49/'[7]Table 11 CWTs exp'!$AA49&gt;0.0005,'[7]Table 11 CWTs exp'!K49/'[7]Table 11 CWTs exp'!$AA49,IF('[7]Table 11 CWTs exp'!K49/'[7]Table 11 CWTs exp'!$AA49&gt;0,"-"," "))</f>
        <v xml:space="preserve"> </v>
      </c>
      <c r="L49" s="144" t="str">
        <f>IF('[7]Table 11 CWTs exp'!L49/'[7]Table 11 CWTs exp'!$AA49&gt;0.0005,'[7]Table 11 CWTs exp'!L49/'[7]Table 11 CWTs exp'!$AA49,IF('[7]Table 11 CWTs exp'!L49/'[7]Table 11 CWTs exp'!$AA49&gt;0,"-"," "))</f>
        <v xml:space="preserve"> </v>
      </c>
      <c r="M49" s="144" t="str">
        <f>IF('[7]Table 11 CWTs exp'!M49/'[7]Table 11 CWTs exp'!$AA49&gt;0.0005,'[7]Table 11 CWTs exp'!M49/'[7]Table 11 CWTs exp'!$AA49,IF('[7]Table 11 CWTs exp'!M49/'[7]Table 11 CWTs exp'!$AA49&gt;0,"-"," "))</f>
        <v xml:space="preserve"> </v>
      </c>
      <c r="N49" s="144" t="str">
        <f>IF('[7]Table 11 CWTs exp'!N49/'[7]Table 11 CWTs exp'!$AA49&gt;0.0005,'[7]Table 11 CWTs exp'!N49/'[7]Table 11 CWTs exp'!$AA49,IF('[7]Table 11 CWTs exp'!N49/'[7]Table 11 CWTs exp'!$AA49&gt;0,"-"," "))</f>
        <v xml:space="preserve"> </v>
      </c>
      <c r="O49" s="144" t="str">
        <f>IF('[7]Table 11 CWTs exp'!O49/'[7]Table 11 CWTs exp'!$AA49&gt;0.0005,'[7]Table 11 CWTs exp'!O49/'[7]Table 11 CWTs exp'!$AA49,IF('[7]Table 11 CWTs exp'!O49/'[7]Table 11 CWTs exp'!$AA49&gt;0,"-"," "))</f>
        <v xml:space="preserve"> </v>
      </c>
      <c r="P49" s="144" t="str">
        <f>IF('[7]Table 11 CWTs exp'!P49/'[7]Table 11 CWTs exp'!$AA49&gt;0.0005,'[7]Table 11 CWTs exp'!P49/'[7]Table 11 CWTs exp'!$AA49,IF('[7]Table 11 CWTs exp'!P49/'[7]Table 11 CWTs exp'!$AA49&gt;0,"-"," "))</f>
        <v xml:space="preserve"> </v>
      </c>
      <c r="Q49" s="145" t="str">
        <f>IF('[7]Table 11 CWTs exp'!Q49/'[7]Table 11 CWTs exp'!$AA49&gt;0.0005,'[7]Table 11 CWTs exp'!Q49/'[7]Table 11 CWTs exp'!$AA49,IF('[7]Table 11 CWTs exp'!Q49/'[7]Table 11 CWTs exp'!$AA49&gt;0,"-"," "))</f>
        <v xml:space="preserve"> </v>
      </c>
      <c r="R49" s="146" t="str">
        <f>IF('[7]Table 11 CWTs exp'!R49/'[7]Table 11 CWTs exp'!$AA49&gt;0.0005,'[7]Table 11 CWTs exp'!R49/'[7]Table 11 CWTs exp'!$AA49,IF('[7]Table 11 CWTs exp'!R49/'[7]Table 11 CWTs exp'!$AA49&gt;0,"-"," "))</f>
        <v xml:space="preserve"> </v>
      </c>
      <c r="S49" s="144" t="str">
        <f>IF('[7]Table 11 CWTs exp'!S49/'[7]Table 11 CWTs exp'!$AA49&gt;0.0005,'[7]Table 11 CWTs exp'!S49/'[7]Table 11 CWTs exp'!$AA49,IF('[7]Table 11 CWTs exp'!S49/'[7]Table 11 CWTs exp'!$AA49&gt;0,"-"," "))</f>
        <v xml:space="preserve"> </v>
      </c>
      <c r="T49" s="144" t="str">
        <f>IF('[7]Table 11 CWTs exp'!T49/'[7]Table 11 CWTs exp'!$AA49&gt;0.0005,'[7]Table 11 CWTs exp'!T49/'[7]Table 11 CWTs exp'!$AA49,IF('[7]Table 11 CWTs exp'!T49/'[7]Table 11 CWTs exp'!$AA49&gt;0,"-"," "))</f>
        <v xml:space="preserve"> </v>
      </c>
      <c r="U49" s="144" t="str">
        <f>IF('[7]Table 11 CWTs exp'!U49/'[7]Table 11 CWTs exp'!$AA49&gt;0.0005,'[7]Table 11 CWTs exp'!U49/'[7]Table 11 CWTs exp'!$AA49,IF('[7]Table 11 CWTs exp'!U49/'[7]Table 11 CWTs exp'!$AA49&gt;0,"-"," "))</f>
        <v xml:space="preserve"> </v>
      </c>
      <c r="V49" s="145" t="str">
        <f>IF('[7]Table 11 CWTs exp'!V49/'[7]Table 11 CWTs exp'!$AA49&gt;0.0005,'[7]Table 11 CWTs exp'!V49/'[7]Table 11 CWTs exp'!$AA49,IF('[7]Table 11 CWTs exp'!V49/'[7]Table 11 CWTs exp'!$AA49&gt;0,"-"," "))</f>
        <v xml:space="preserve"> </v>
      </c>
      <c r="W49" s="146" t="str">
        <f>IF('[7]Table 11 CWTs exp'!W49/'[7]Table 11 CWTs exp'!$AA49&gt;0.0005,'[7]Table 11 CWTs exp'!W49/'[7]Table 11 CWTs exp'!$AA49,IF('[7]Table 11 CWTs exp'!W49/'[7]Table 11 CWTs exp'!$AA49&gt;0,"-"," "))</f>
        <v xml:space="preserve"> </v>
      </c>
      <c r="X49" s="206" t="str">
        <f>IF('[7]Table 11 CWTs exp'!X49/'[7]Table 11 CWTs exp'!$AA49&gt;0.0005,'[7]Table 11 CWTs exp'!X49/'[7]Table 11 CWTs exp'!$AA49,IF('[7]Table 11 CWTs exp'!X49/'[7]Table 11 CWTs exp'!$AA49&gt;0,"-"," "))</f>
        <v xml:space="preserve"> </v>
      </c>
      <c r="Y49" s="147">
        <f t="shared" si="8"/>
        <v>0.3914590747330961</v>
      </c>
      <c r="Z49" s="148">
        <f t="shared" si="9"/>
        <v>0.60854092526690384</v>
      </c>
      <c r="AA49" s="38">
        <f>'[7]Table 11 CWTs exp'!AA49</f>
        <v>281</v>
      </c>
      <c r="AC49" s="453">
        <f>'[7]Table 11 CWTs exp'!AC49</f>
        <v>0.39100000000000001</v>
      </c>
      <c r="AD49" s="453">
        <f t="shared" si="2"/>
        <v>4.5907473309608759E-4</v>
      </c>
      <c r="AE49" s="442"/>
      <c r="AF49" s="442"/>
    </row>
    <row r="50" spans="1:32" ht="15.65" customHeight="1" x14ac:dyDescent="0.3">
      <c r="E50" s="716" t="s">
        <v>120</v>
      </c>
      <c r="F50" s="716"/>
      <c r="G50" s="144" t="str">
        <f>IF('[7]Table 11 CWTs exp'!G50/'[7]Table 11 CWTs exp'!$AA50&gt;0.0005,'[7]Table 11 CWTs exp'!G50/'[7]Table 11 CWTs exp'!$AA50,IF('[7]Table 11 CWTs exp'!G50/'[7]Table 11 CWTs exp'!$AA50&gt;0,"-"," "))</f>
        <v xml:space="preserve"> </v>
      </c>
      <c r="H50" s="169">
        <f>IF('[7]Table 11 CWTs exp'!H50/'[7]Table 11 CWTs exp'!$AA50&gt;0.0005,'[7]Table 11 CWTs exp'!H50/'[7]Table 11 CWTs exp'!$AA50,IF('[7]Table 11 CWTs exp'!H50/'[7]Table 11 CWTs exp'!$AA50&gt;0,"-"," "))</f>
        <v>6.2716619904274636E-3</v>
      </c>
      <c r="I50" s="168">
        <f>IF('[7]Table 11 CWTs exp'!I50/'[7]Table 11 CWTs exp'!$AA50&gt;0.0005,'[7]Table 11 CWTs exp'!I50/'[7]Table 11 CWTs exp'!$AA50,IF('[7]Table 11 CWTs exp'!I50/'[7]Table 11 CWTs exp'!$AA50&gt;0,"-"," "))</f>
        <v>0.16023389055242496</v>
      </c>
      <c r="J50" s="170">
        <f>IF('[7]Table 11 CWTs exp'!J50/'[7]Table 11 CWTs exp'!$AA50&gt;0.0005,'[7]Table 11 CWTs exp'!J50/'[7]Table 11 CWTs exp'!$AA50,IF('[7]Table 11 CWTs exp'!J50/'[7]Table 11 CWTs exp'!$AA50&gt;0,"-"," "))</f>
        <v>2.3837031098955509E-2</v>
      </c>
      <c r="K50" s="168">
        <f>IF('[7]Table 11 CWTs exp'!K50/'[7]Table 11 CWTs exp'!$AA50&gt;0.0005,'[7]Table 11 CWTs exp'!K50/'[7]Table 11 CWTs exp'!$AA50,IF('[7]Table 11 CWTs exp'!K50/'[7]Table 11 CWTs exp'!$AA50&gt;0,"-"," "))</f>
        <v>8.2050314761983358E-3</v>
      </c>
      <c r="L50" s="168">
        <f>IF('[7]Table 11 CWTs exp'!L50/'[7]Table 11 CWTs exp'!$AA50&gt;0.0005,'[7]Table 11 CWTs exp'!L50/'[7]Table 11 CWTs exp'!$AA50,IF('[7]Table 11 CWTs exp'!L50/'[7]Table 11 CWTs exp'!$AA50&gt;0,"-"," "))</f>
        <v>8.9830948058378327E-3</v>
      </c>
      <c r="M50" s="168">
        <f>IF('[7]Table 11 CWTs exp'!M50/'[7]Table 11 CWTs exp'!$AA50&gt;0.0005,'[7]Table 11 CWTs exp'!M50/'[7]Table 11 CWTs exp'!$AA50,IF('[7]Table 11 CWTs exp'!M50/'[7]Table 11 CWTs exp'!$AA50&gt;0,"-"," "))</f>
        <v>1.2166081154363049E-2</v>
      </c>
      <c r="N50" s="168">
        <f>IF('[7]Table 11 CWTs exp'!N50/'[7]Table 11 CWTs exp'!$AA50&gt;0.0005,'[7]Table 11 CWTs exp'!N50/'[7]Table 11 CWTs exp'!$AA50,IF('[7]Table 11 CWTs exp'!N50/'[7]Table 11 CWTs exp'!$AA50&gt;0,"-"," "))</f>
        <v>0.23933699573244052</v>
      </c>
      <c r="O50" s="168">
        <f>IF('[7]Table 11 CWTs exp'!O50/'[7]Table 11 CWTs exp'!$AA50&gt;0.0005,'[7]Table 11 CWTs exp'!O50/'[7]Table 11 CWTs exp'!$AA50,IF('[7]Table 11 CWTs exp'!O50/'[7]Table 11 CWTs exp'!$AA50&gt;0,"-"," "))</f>
        <v>1.2331124890953246E-2</v>
      </c>
      <c r="P50" s="168">
        <f>IF('[7]Table 11 CWTs exp'!P50/'[7]Table 11 CWTs exp'!$AA50&gt;0.0005,'[7]Table 11 CWTs exp'!P50/'[7]Table 11 CWTs exp'!$AA50,IF('[7]Table 11 CWTs exp'!P50/'[7]Table 11 CWTs exp'!$AA50&gt;0,"-"," "))</f>
        <v>8.7237403626246675E-4</v>
      </c>
      <c r="Q50" s="169">
        <f>IF('[7]Table 11 CWTs exp'!Q50/'[7]Table 11 CWTs exp'!$AA50&gt;0.0005,'[7]Table 11 CWTs exp'!Q50/'[7]Table 11 CWTs exp'!$AA50,IF('[7]Table 11 CWTs exp'!Q50/'[7]Table 11 CWTs exp'!$AA50&gt;0,"-"," "))</f>
        <v>0.10617027798080778</v>
      </c>
      <c r="R50" s="170">
        <f>IF('[7]Table 11 CWTs exp'!R50/'[7]Table 11 CWTs exp'!$AA50&gt;0.0005,'[7]Table 11 CWTs exp'!R50/'[7]Table 11 CWTs exp'!$AA50,IF('[7]Table 11 CWTs exp'!R50/'[7]Table 11 CWTs exp'!$AA50&gt;0,"-"," "))</f>
        <v>3.9728385164925849E-2</v>
      </c>
      <c r="S50" s="168" t="str">
        <f>IF('[7]Table 11 CWTs exp'!S50/'[7]Table 11 CWTs exp'!$AA50&gt;0.0005,'[7]Table 11 CWTs exp'!S50/'[7]Table 11 CWTs exp'!$AA50,IF('[7]Table 11 CWTs exp'!S50/'[7]Table 11 CWTs exp'!$AA50&gt;0,"-"," "))</f>
        <v>-</v>
      </c>
      <c r="T50" s="168">
        <f>IF('[7]Table 11 CWTs exp'!T50/'[7]Table 11 CWTs exp'!$AA50&gt;0.0005,'[7]Table 11 CWTs exp'!T50/'[7]Table 11 CWTs exp'!$AA50,IF('[7]Table 11 CWTs exp'!T50/'[7]Table 11 CWTs exp'!$AA50&gt;0,"-"," "))</f>
        <v>0.10921179826939853</v>
      </c>
      <c r="U50" s="168">
        <f>IF('[7]Table 11 CWTs exp'!U50/'[7]Table 11 CWTs exp'!$AA50&gt;0.0005,'[7]Table 11 CWTs exp'!U50/'[7]Table 11 CWTs exp'!$AA50,IF('[7]Table 11 CWTs exp'!U50/'[7]Table 11 CWTs exp'!$AA50&gt;0,"-"," "))</f>
        <v>1.0185556315280692E-2</v>
      </c>
      <c r="V50" s="169" t="str">
        <f>IF('[7]Table 11 CWTs exp'!V50/'[7]Table 11 CWTs exp'!$AA50&gt;0.0005,'[7]Table 11 CWTs exp'!V50/'[7]Table 11 CWTs exp'!$AA50,IF('[7]Table 11 CWTs exp'!V50/'[7]Table 11 CWTs exp'!$AA50&gt;0,"-"," "))</f>
        <v xml:space="preserve"> </v>
      </c>
      <c r="W50" s="170">
        <f>IF('[7]Table 11 CWTs exp'!W50/'[7]Table 11 CWTs exp'!$AA50&gt;0.0005,'[7]Table 11 CWTs exp'!W50/'[7]Table 11 CWTs exp'!$AA50,IF('[7]Table 11 CWTs exp'!W50/'[7]Table 11 CWTs exp'!$AA50&gt;0,"-"," "))</f>
        <v>5.4935986607879657E-3</v>
      </c>
      <c r="X50" s="212" t="str">
        <f>IF('[7]Table 11 CWTs exp'!X50/'[7]Table 11 CWTs exp'!$AA50&gt;0.0005,'[7]Table 11 CWTs exp'!X50/'[7]Table 11 CWTs exp'!$AA50,IF('[7]Table 11 CWTs exp'!X50/'[7]Table 11 CWTs exp'!$AA50&gt;0,"-"," "))</f>
        <v xml:space="preserve"> </v>
      </c>
      <c r="Y50" s="171">
        <f t="shared" si="8"/>
        <v>0.74302690212906408</v>
      </c>
      <c r="Z50" s="172">
        <f t="shared" si="9"/>
        <v>0.25697309787093592</v>
      </c>
      <c r="AA50" s="89">
        <f>'[7]Table 11 CWTs exp'!AA50</f>
        <v>42413</v>
      </c>
      <c r="AB50" s="159"/>
      <c r="AC50" s="453">
        <f>'[7]Table 11 CWTs exp'!AC50</f>
        <v>0.74333341192558888</v>
      </c>
      <c r="AD50" s="453">
        <f t="shared" si="2"/>
        <v>-3.0650979652480093E-4</v>
      </c>
      <c r="AE50" s="442"/>
      <c r="AF50" s="442"/>
    </row>
    <row r="51" spans="1:32" ht="4.5" customHeight="1" x14ac:dyDescent="0.25">
      <c r="E51" s="110"/>
      <c r="F51" s="111"/>
      <c r="G51" s="25"/>
      <c r="H51" s="214" t="str">
        <f>IF('[7]Table 11 CWTs exp'!H52&gt;0,'[7]Table 11 CWTs exp'!H52/'[7]Table 11 CWTs exp'!$AA52," ")</f>
        <v xml:space="preserve"> </v>
      </c>
      <c r="I51" s="215" t="str">
        <f>IF('[7]Table 11 CWTs exp'!I52&gt;0,'[7]Table 11 CWTs exp'!I52/'[7]Table 11 CWTs exp'!$AA52," ")</f>
        <v xml:space="preserve"> </v>
      </c>
      <c r="J51" s="216" t="str">
        <f>IF('[7]Table 11 CWTs exp'!J52&gt;0,'[7]Table 11 CWTs exp'!J52/'[7]Table 11 CWTs exp'!$AA52," ")</f>
        <v xml:space="preserve"> </v>
      </c>
      <c r="K51" s="215" t="str">
        <f>IF('[7]Table 11 CWTs exp'!K52&gt;0,'[7]Table 11 CWTs exp'!K52/'[7]Table 11 CWTs exp'!$AA52," ")</f>
        <v xml:space="preserve"> </v>
      </c>
      <c r="L51" s="215" t="str">
        <f>IF('[7]Table 11 CWTs exp'!L52&gt;0,'[7]Table 11 CWTs exp'!L52/'[7]Table 11 CWTs exp'!$AA52," ")</f>
        <v xml:space="preserve"> </v>
      </c>
      <c r="M51" s="215" t="str">
        <f>IF('[7]Table 11 CWTs exp'!M52&gt;0,'[7]Table 11 CWTs exp'!M52/'[7]Table 11 CWTs exp'!$AA52," ")</f>
        <v xml:space="preserve"> </v>
      </c>
      <c r="N51" s="215" t="str">
        <f>IF('[7]Table 11 CWTs exp'!N52&gt;0,'[7]Table 11 CWTs exp'!N52/'[7]Table 11 CWTs exp'!$AA52," ")</f>
        <v xml:space="preserve"> </v>
      </c>
      <c r="O51" s="215" t="str">
        <f>IF('[7]Table 11 CWTs exp'!O52&gt;0,'[7]Table 11 CWTs exp'!O52/'[7]Table 11 CWTs exp'!$AA52," ")</f>
        <v xml:space="preserve"> </v>
      </c>
      <c r="P51" s="215" t="str">
        <f>IF('[7]Table 11 CWTs exp'!P52&gt;0,'[7]Table 11 CWTs exp'!P52/'[7]Table 11 CWTs exp'!$AA52," ")</f>
        <v xml:space="preserve"> </v>
      </c>
      <c r="Q51" s="214" t="str">
        <f>IF('[7]Table 11 CWTs exp'!Q52&gt;0,'[7]Table 11 CWTs exp'!Q52/'[7]Table 11 CWTs exp'!$AA52," ")</f>
        <v xml:space="preserve"> </v>
      </c>
      <c r="R51" s="216" t="str">
        <f>IF('[7]Table 11 CWTs exp'!R52&gt;0,'[7]Table 11 CWTs exp'!R52/'[7]Table 11 CWTs exp'!$AA52," ")</f>
        <v xml:space="preserve"> </v>
      </c>
      <c r="S51" s="215" t="str">
        <f>IF('[7]Table 11 CWTs exp'!S52&gt;0,'[7]Table 11 CWTs exp'!S52/'[7]Table 11 CWTs exp'!$AA52," ")</f>
        <v xml:space="preserve"> </v>
      </c>
      <c r="T51" s="215" t="str">
        <f>IF('[7]Table 11 CWTs exp'!T52&gt;0,'[7]Table 11 CWTs exp'!T52/'[7]Table 11 CWTs exp'!$AA52," ")</f>
        <v xml:space="preserve"> </v>
      </c>
      <c r="U51" s="215" t="str">
        <f>IF('[7]Table 11 CWTs exp'!U52&gt;0,'[7]Table 11 CWTs exp'!U52/'[7]Table 11 CWTs exp'!$AA52," ")</f>
        <v xml:space="preserve"> </v>
      </c>
      <c r="V51" s="214" t="str">
        <f>IF('[7]Table 11 CWTs exp'!V52&gt;0,'[7]Table 11 CWTs exp'!V52/'[7]Table 11 CWTs exp'!$AA52," ")</f>
        <v xml:space="preserve"> </v>
      </c>
      <c r="W51" s="216" t="str">
        <f>IF('[7]Table 11 CWTs exp'!W52&gt;0,'[7]Table 11 CWTs exp'!W52/'[7]Table 11 CWTs exp'!$AA52," ")</f>
        <v xml:space="preserve"> </v>
      </c>
      <c r="X51" s="215"/>
      <c r="Y51" s="217"/>
      <c r="Z51" s="218"/>
      <c r="AA51" s="219"/>
      <c r="AC51" s="442"/>
      <c r="AD51" s="453">
        <f t="shared" si="2"/>
        <v>0</v>
      </c>
      <c r="AE51" s="442"/>
      <c r="AF51" s="442"/>
    </row>
    <row r="52" spans="1:32" ht="15" customHeight="1" x14ac:dyDescent="0.25">
      <c r="E52" s="724" t="s">
        <v>228</v>
      </c>
      <c r="F52" s="725"/>
      <c r="G52" s="725"/>
      <c r="H52" s="725"/>
      <c r="I52" s="725"/>
      <c r="J52" s="725"/>
      <c r="K52" s="725"/>
      <c r="L52" s="725"/>
      <c r="M52" s="725"/>
      <c r="N52" s="725"/>
      <c r="O52" s="725"/>
      <c r="P52" s="725"/>
      <c r="Q52" s="725"/>
      <c r="R52" s="725"/>
      <c r="S52" s="725"/>
      <c r="T52" s="725"/>
      <c r="U52" s="725"/>
      <c r="V52" s="725"/>
      <c r="W52" s="725"/>
      <c r="X52" s="725"/>
      <c r="Y52" s="725"/>
      <c r="Z52" s="725"/>
      <c r="AA52" s="725"/>
      <c r="AC52" s="442"/>
      <c r="AD52" s="442"/>
      <c r="AE52" s="442"/>
      <c r="AF52" s="442"/>
    </row>
    <row r="53" spans="1:32" ht="14.15" customHeight="1" x14ac:dyDescent="0.25">
      <c r="E53" s="726" t="s">
        <v>244</v>
      </c>
      <c r="F53" s="726"/>
      <c r="G53" s="726"/>
      <c r="H53" s="726"/>
      <c r="I53" s="726"/>
      <c r="J53" s="726"/>
      <c r="K53" s="726"/>
      <c r="L53" s="726"/>
      <c r="M53" s="726"/>
      <c r="N53" s="726"/>
      <c r="O53" s="726"/>
      <c r="P53" s="726"/>
      <c r="Q53" s="182"/>
      <c r="R53" s="182"/>
      <c r="S53" s="182"/>
      <c r="T53" s="182"/>
      <c r="U53" s="182"/>
      <c r="V53" s="182"/>
      <c r="W53" s="182"/>
      <c r="X53" s="182"/>
      <c r="Y53" s="182"/>
      <c r="Z53" s="182"/>
      <c r="AA53" s="182"/>
      <c r="AC53" s="442"/>
      <c r="AD53" s="442"/>
      <c r="AE53" s="442"/>
      <c r="AF53" s="442"/>
    </row>
    <row r="54" spans="1:32" ht="13.5" hidden="1" customHeight="1" x14ac:dyDescent="0.25">
      <c r="E54" s="183" t="s">
        <v>142</v>
      </c>
      <c r="F54" s="183"/>
      <c r="G54" s="183"/>
      <c r="H54" s="183"/>
      <c r="I54" s="183"/>
      <c r="J54" s="183"/>
      <c r="K54" s="183"/>
      <c r="L54" s="183"/>
      <c r="M54" s="183"/>
      <c r="N54" s="183"/>
      <c r="O54" s="183"/>
      <c r="P54" s="183"/>
      <c r="Q54" s="183"/>
      <c r="R54" s="183"/>
      <c r="S54" s="183"/>
      <c r="T54" s="183"/>
      <c r="U54" s="183"/>
      <c r="V54" s="183"/>
      <c r="W54" s="183"/>
      <c r="X54" s="183"/>
      <c r="Y54" s="183"/>
      <c r="Z54" s="183"/>
      <c r="AA54" s="183"/>
    </row>
    <row r="55" spans="1:32" ht="14.15" customHeight="1" x14ac:dyDescent="0.25">
      <c r="E55" s="27" t="s">
        <v>230</v>
      </c>
      <c r="F55" s="34"/>
      <c r="G55" s="34"/>
      <c r="H55" s="27"/>
      <c r="I55" s="27"/>
      <c r="J55" s="27"/>
      <c r="K55" s="27"/>
      <c r="L55" s="27"/>
      <c r="M55" s="27"/>
      <c r="N55" s="27"/>
      <c r="O55" s="27"/>
      <c r="P55" s="27"/>
      <c r="Q55" s="27"/>
      <c r="R55" s="27"/>
      <c r="S55" s="27"/>
      <c r="T55" s="27"/>
      <c r="U55" s="27"/>
      <c r="V55" s="27"/>
      <c r="W55" s="27"/>
      <c r="X55" s="27"/>
      <c r="Y55" s="27"/>
      <c r="Z55" s="27"/>
      <c r="AA55" s="27"/>
    </row>
    <row r="56" spans="1:32" x14ac:dyDescent="0.25">
      <c r="E56" s="27" t="s">
        <v>242</v>
      </c>
    </row>
  </sheetData>
  <mergeCells count="11">
    <mergeCell ref="Y2:Z2"/>
    <mergeCell ref="H2:J2"/>
    <mergeCell ref="K2:P2"/>
    <mergeCell ref="Q2:R2"/>
    <mergeCell ref="S2:U2"/>
    <mergeCell ref="V2:W2"/>
    <mergeCell ref="E14:F14"/>
    <mergeCell ref="E37:F37"/>
    <mergeCell ref="E50:F50"/>
    <mergeCell ref="E52:AA52"/>
    <mergeCell ref="E53:P53"/>
  </mergeCells>
  <pageMargins left="0.5" right="0.25" top="0.5" bottom="0" header="0.5" footer="0.5"/>
  <pageSetup scale="70" fitToHeight="0"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20A90-CBE8-4663-AF51-64666D8F5392}">
  <sheetPr>
    <pageSetUpPr fitToPage="1"/>
  </sheetPr>
  <dimension ref="A1:BH107"/>
  <sheetViews>
    <sheetView showGridLines="0" showZeros="0" workbookViewId="0">
      <selection activeCell="Y28" sqref="Y28:Z29"/>
    </sheetView>
  </sheetViews>
  <sheetFormatPr defaultRowHeight="12.5" x14ac:dyDescent="0.25"/>
  <cols>
    <col min="1" max="1" width="8" customWidth="1"/>
    <col min="2" max="3" width="0.453125" style="1" customWidth="1"/>
    <col min="4" max="4" width="7.54296875" style="1" bestFit="1" customWidth="1"/>
    <col min="5" max="5" width="26.54296875" customWidth="1"/>
    <col min="6" max="6" width="7.453125" customWidth="1"/>
    <col min="7" max="7" width="5.1796875" style="4" customWidth="1"/>
    <col min="8" max="8" width="6.54296875" customWidth="1"/>
    <col min="9" max="9" width="6.453125" customWidth="1"/>
    <col min="10" max="12" width="6.54296875" customWidth="1"/>
    <col min="13" max="13" width="6.81640625" customWidth="1"/>
    <col min="14" max="14" width="7.453125" customWidth="1"/>
    <col min="15" max="15" width="6.54296875" customWidth="1"/>
    <col min="16" max="18" width="7.453125" customWidth="1"/>
    <col min="19" max="19" width="6.453125" customWidth="1"/>
    <col min="20" max="22" width="7.453125" customWidth="1"/>
    <col min="23" max="23" width="6.54296875" customWidth="1"/>
    <col min="24" max="24" width="5.81640625" customWidth="1"/>
    <col min="25" max="25" width="9" customWidth="1"/>
    <col min="26" max="28" width="8.54296875" customWidth="1"/>
    <col min="29" max="31" width="8" customWidth="1"/>
    <col min="32" max="32" width="12" customWidth="1"/>
    <col min="33" max="33" width="3.54296875" customWidth="1"/>
    <col min="34" max="34" width="10.54296875" customWidth="1"/>
    <col min="35" max="35" width="6.54296875" style="1" customWidth="1"/>
    <col min="36" max="36" width="11.54296875" style="1" customWidth="1"/>
    <col min="37" max="37" width="9.54296875" style="1" customWidth="1"/>
    <col min="38" max="38" width="6.54296875" customWidth="1"/>
    <col min="39" max="39" width="2" customWidth="1"/>
    <col min="42" max="42" width="3.54296875" customWidth="1"/>
    <col min="43" max="43" width="4.453125" customWidth="1"/>
    <col min="44" max="44" width="10.54296875" customWidth="1"/>
    <col min="45" max="45" width="6.54296875" customWidth="1"/>
    <col min="46" max="46" width="11.54296875" customWidth="1"/>
    <col min="47" max="47" width="9.54296875" customWidth="1"/>
    <col min="48" max="48" width="3.54296875" customWidth="1"/>
    <col min="49" max="49" width="2" customWidth="1"/>
  </cols>
  <sheetData>
    <row r="1" spans="1:60" ht="23.9" customHeight="1" x14ac:dyDescent="0.25">
      <c r="E1" s="2" t="s">
        <v>232</v>
      </c>
      <c r="F1" s="3"/>
      <c r="AC1" s="442"/>
      <c r="AD1" s="442"/>
      <c r="AE1" s="442"/>
      <c r="AF1" s="597"/>
      <c r="AG1" s="597"/>
      <c r="AH1" s="442"/>
      <c r="AI1" s="451"/>
      <c r="AJ1" s="451"/>
      <c r="AK1" s="451"/>
      <c r="AL1" s="442"/>
      <c r="AM1" s="442"/>
      <c r="AN1" s="442"/>
      <c r="AO1" s="442"/>
      <c r="AP1" s="442"/>
      <c r="AQ1" s="442"/>
      <c r="AR1" s="442"/>
      <c r="AS1" s="442"/>
      <c r="AT1" s="442"/>
      <c r="AU1" s="442"/>
      <c r="AV1" s="442"/>
      <c r="AW1" s="442"/>
      <c r="AX1" s="442"/>
      <c r="AY1" s="442"/>
      <c r="AZ1" s="442"/>
      <c r="BA1" s="442"/>
      <c r="BB1" s="442"/>
      <c r="BC1" s="442"/>
      <c r="BD1" s="442"/>
      <c r="BE1" s="442"/>
      <c r="BF1" s="442"/>
      <c r="BG1" s="442"/>
      <c r="BH1" s="442"/>
    </row>
    <row r="2" spans="1:60" ht="14.9" customHeight="1" x14ac:dyDescent="0.3">
      <c r="E2" s="6"/>
      <c r="F2" s="7"/>
      <c r="G2" s="8"/>
      <c r="H2" s="727" t="s">
        <v>1</v>
      </c>
      <c r="I2" s="727"/>
      <c r="J2" s="727"/>
      <c r="K2" s="727" t="s">
        <v>2</v>
      </c>
      <c r="L2" s="728"/>
      <c r="M2" s="728"/>
      <c r="N2" s="728"/>
      <c r="O2" s="728"/>
      <c r="P2" s="728"/>
      <c r="Q2" s="727" t="s">
        <v>3</v>
      </c>
      <c r="R2" s="727"/>
      <c r="S2" s="727" t="s">
        <v>4</v>
      </c>
      <c r="T2" s="727"/>
      <c r="U2" s="727"/>
      <c r="V2" s="727" t="s">
        <v>5</v>
      </c>
      <c r="W2" s="727"/>
      <c r="X2" s="221"/>
      <c r="Y2" s="745" t="s">
        <v>8</v>
      </c>
      <c r="Z2" s="746"/>
      <c r="AA2" s="10" t="s">
        <v>9</v>
      </c>
      <c r="AB2" s="11"/>
      <c r="AC2" s="598" t="s">
        <v>10</v>
      </c>
      <c r="AD2" s="598"/>
      <c r="AE2" s="598"/>
      <c r="AF2" s="599"/>
      <c r="AG2" s="597"/>
      <c r="AH2" s="597" t="s">
        <v>11</v>
      </c>
      <c r="AI2" s="599" t="s">
        <v>12</v>
      </c>
      <c r="AJ2" s="451"/>
      <c r="AK2" s="451"/>
      <c r="AL2" s="442"/>
      <c r="AM2" s="442"/>
      <c r="AN2" s="444">
        <f>$G$40</f>
        <v>0</v>
      </c>
      <c r="AO2" s="444">
        <f>$H$40</f>
        <v>7</v>
      </c>
      <c r="AP2" s="444">
        <f>$I$40</f>
        <v>4764</v>
      </c>
      <c r="AQ2" s="444">
        <f>$J$40</f>
        <v>1965</v>
      </c>
      <c r="AR2" s="444">
        <f>$K$40</f>
        <v>117</v>
      </c>
      <c r="AS2" s="444"/>
      <c r="AT2" s="444">
        <f>$L$40</f>
        <v>459</v>
      </c>
      <c r="AU2" s="444">
        <f>$M$40</f>
        <v>447</v>
      </c>
      <c r="AV2" s="444">
        <f>$N$40</f>
        <v>17391</v>
      </c>
      <c r="AW2" s="444">
        <f>$O$40</f>
        <v>1128</v>
      </c>
      <c r="AX2" s="444">
        <f>$P$40</f>
        <v>99</v>
      </c>
      <c r="AY2" s="444">
        <f>$Q$40</f>
        <v>170</v>
      </c>
      <c r="AZ2" s="444">
        <f>$R$40</f>
        <v>357</v>
      </c>
      <c r="BA2" s="444">
        <f>$S$40</f>
        <v>24</v>
      </c>
      <c r="BB2" s="444">
        <f>$T$40</f>
        <v>6822</v>
      </c>
      <c r="BC2" s="444">
        <f>$U$40</f>
        <v>1072</v>
      </c>
      <c r="BD2" s="444">
        <f>$V$40</f>
        <v>15</v>
      </c>
      <c r="BE2" s="444">
        <f>$W$40</f>
        <v>1199</v>
      </c>
      <c r="BF2" s="444">
        <f>$X$40</f>
        <v>151</v>
      </c>
      <c r="BG2" s="442"/>
      <c r="BH2" s="442"/>
    </row>
    <row r="3" spans="1:60" ht="14.9" customHeight="1" x14ac:dyDescent="0.3">
      <c r="A3" s="15" t="s">
        <v>13</v>
      </c>
      <c r="B3" s="16" t="s">
        <v>14</v>
      </c>
      <c r="C3" s="16" t="s">
        <v>15</v>
      </c>
      <c r="D3" s="16" t="s">
        <v>16</v>
      </c>
      <c r="E3" s="17" t="s">
        <v>17</v>
      </c>
      <c r="F3" s="18" t="s">
        <v>18</v>
      </c>
      <c r="G3" s="204" t="s">
        <v>19</v>
      </c>
      <c r="H3" s="20" t="s">
        <v>159</v>
      </c>
      <c r="I3" s="19" t="s">
        <v>160</v>
      </c>
      <c r="J3" s="21" t="s">
        <v>22</v>
      </c>
      <c r="K3" s="19" t="s">
        <v>23</v>
      </c>
      <c r="L3" s="19" t="s">
        <v>183</v>
      </c>
      <c r="M3" s="19" t="s">
        <v>185</v>
      </c>
      <c r="N3" s="19" t="s">
        <v>25</v>
      </c>
      <c r="O3" s="19" t="s">
        <v>184</v>
      </c>
      <c r="P3" s="19" t="s">
        <v>233</v>
      </c>
      <c r="Q3" s="20" t="s">
        <v>27</v>
      </c>
      <c r="R3" s="21" t="s">
        <v>28</v>
      </c>
      <c r="S3" s="19" t="s">
        <v>29</v>
      </c>
      <c r="T3" s="19" t="s">
        <v>30</v>
      </c>
      <c r="U3" s="19" t="s">
        <v>234</v>
      </c>
      <c r="V3" s="20" t="s">
        <v>33</v>
      </c>
      <c r="W3" s="21" t="s">
        <v>207</v>
      </c>
      <c r="X3" s="222" t="s">
        <v>198</v>
      </c>
      <c r="Y3" s="223" t="s">
        <v>36</v>
      </c>
      <c r="Z3" s="224" t="s">
        <v>37</v>
      </c>
      <c r="AA3" s="24" t="s">
        <v>18</v>
      </c>
      <c r="AB3" s="11"/>
      <c r="AC3" s="598" t="s">
        <v>38</v>
      </c>
      <c r="AD3" s="598"/>
      <c r="AE3" s="598"/>
      <c r="AF3" s="599"/>
      <c r="AG3" s="597"/>
      <c r="AH3" s="600"/>
      <c r="AI3" s="599"/>
      <c r="AJ3" s="451"/>
      <c r="AK3" s="451"/>
      <c r="AL3" s="442"/>
      <c r="AM3" s="442"/>
      <c r="AN3" s="442"/>
      <c r="AO3" s="442"/>
      <c r="AP3" s="442"/>
      <c r="AQ3" s="442"/>
      <c r="AR3" s="442"/>
      <c r="AS3" s="442"/>
      <c r="AT3" s="442"/>
      <c r="AU3" s="442"/>
      <c r="AV3" s="442"/>
      <c r="AW3" s="442"/>
      <c r="AX3" s="442"/>
      <c r="AY3" s="442"/>
      <c r="AZ3" s="442"/>
      <c r="BA3" s="442"/>
      <c r="BB3" s="442"/>
      <c r="BC3" s="442"/>
      <c r="BD3" s="442"/>
      <c r="BE3" s="442"/>
      <c r="BF3" s="442"/>
      <c r="BG3" s="442"/>
      <c r="BH3" s="442"/>
    </row>
    <row r="4" spans="1:60" ht="15.65" customHeight="1" x14ac:dyDescent="0.3">
      <c r="A4" s="15" t="s">
        <v>36</v>
      </c>
      <c r="B4" s="13"/>
      <c r="C4" s="13"/>
      <c r="D4" s="13"/>
      <c r="E4" s="26" t="s">
        <v>39</v>
      </c>
      <c r="F4" s="27"/>
      <c r="G4" s="28"/>
      <c r="H4" s="29"/>
      <c r="I4" s="30"/>
      <c r="J4" s="31"/>
      <c r="K4" s="30"/>
      <c r="L4" s="30"/>
      <c r="M4" s="30"/>
      <c r="N4" s="30"/>
      <c r="O4" s="30"/>
      <c r="P4" s="30"/>
      <c r="Q4" s="29"/>
      <c r="R4" s="31"/>
      <c r="S4" s="30"/>
      <c r="T4" s="30"/>
      <c r="U4" s="30"/>
      <c r="V4" s="29"/>
      <c r="W4" s="31"/>
      <c r="X4" s="30"/>
      <c r="Y4" s="32"/>
      <c r="Z4" s="33"/>
      <c r="AA4" s="30"/>
      <c r="AB4" s="30"/>
      <c r="AC4" s="601"/>
      <c r="AD4" s="601"/>
      <c r="AE4" s="601"/>
      <c r="AF4" s="602"/>
      <c r="AG4" s="597"/>
      <c r="AH4" s="600"/>
      <c r="AI4" s="599"/>
      <c r="AJ4" s="451"/>
      <c r="AK4" s="451"/>
      <c r="AL4" s="442"/>
      <c r="AM4" s="442"/>
      <c r="AN4" s="442"/>
      <c r="AO4" s="442"/>
      <c r="AP4" s="442"/>
      <c r="AQ4" s="442"/>
      <c r="AR4" s="442"/>
      <c r="AS4" s="442"/>
      <c r="AT4" s="442"/>
      <c r="AU4" s="442"/>
      <c r="AV4" s="442"/>
      <c r="AW4" s="442"/>
      <c r="AX4" s="442"/>
      <c r="AY4" s="442"/>
      <c r="AZ4" s="442"/>
      <c r="BA4" s="442"/>
      <c r="BB4" s="442"/>
      <c r="BC4" s="442"/>
      <c r="BD4" s="442"/>
      <c r="BE4" s="442"/>
      <c r="BF4" s="442"/>
      <c r="BG4" s="442"/>
      <c r="BH4" s="442"/>
    </row>
    <row r="5" spans="1:60" ht="14.5" customHeight="1" x14ac:dyDescent="0.25">
      <c r="A5" s="50" t="str">
        <f t="shared" ref="A5:A13" si="0">CONCATENATE(B5,C5,D5)</f>
        <v>FRFH501</v>
      </c>
      <c r="B5" s="13" t="s">
        <v>45</v>
      </c>
      <c r="C5" s="13">
        <v>50</v>
      </c>
      <c r="D5" s="13">
        <v>1</v>
      </c>
      <c r="E5" s="3" t="s">
        <v>46</v>
      </c>
      <c r="F5" s="43" t="str">
        <f t="shared" ref="F5:F11" si="1">LOOKUP(D5,$AK$5:$AK$8,$AL$5:$AL$8)</f>
        <v>Spring</v>
      </c>
      <c r="G5" s="243">
        <f>SUMIFS('[7]inland_taf_hatchgrp_tableraw&amp;yy'!G$3:G$38,'[7]inland_taf_hatchgrp_tableraw&amp;yy'!$AC$3:$AC$38,'2014 Table 11 CWTs exp'!$A5)</f>
        <v>0</v>
      </c>
      <c r="H5" s="39">
        <f>SUMIFS('[7]inland_taf_hatchgrp_tableraw&amp;yy'!H$3:H$38,'[7]inland_taf_hatchgrp_tableraw&amp;yy'!$AC$3:$AC$38,'2014 Table 11 CWTs exp'!$A5)</f>
        <v>0</v>
      </c>
      <c r="I5" s="38">
        <f>SUMIFS('[7]inland_taf_hatchgrp_tableraw&amp;yy'!I$3:I$38,'[7]inland_taf_hatchgrp_tableraw&amp;yy'!$AC$3:$AC$38,'2014 Table 11 CWTs exp'!$A5)</f>
        <v>0</v>
      </c>
      <c r="J5" s="40">
        <f>SUMIFS('[7]inland_taf_hatchgrp_tableraw&amp;yy'!J$3:J$38,'[7]inland_taf_hatchgrp_tableraw&amp;yy'!$AC$3:$AC$38,'2014 Table 11 CWTs exp'!$A5)</f>
        <v>0</v>
      </c>
      <c r="K5" s="38">
        <f>SUMIFS('[7]inland_taf_hatchgrp_tableraw&amp;yy'!K$3:K$38,'[7]inland_taf_hatchgrp_tableraw&amp;yy'!$AC$3:$AC$38,'2014 Table 11 CWTs exp'!$A5)</f>
        <v>2251</v>
      </c>
      <c r="L5" s="38">
        <f>SUMIFS('[7]inland_taf_hatchgrp_tableraw&amp;yy'!L$3:L$38,'[7]inland_taf_hatchgrp_tableraw&amp;yy'!$AC$3:$AC$38,'2014 Table 11 CWTs exp'!$A5)</f>
        <v>334</v>
      </c>
      <c r="M5" s="38">
        <f>SUMIFS('[7]inland_taf_hatchgrp_tableraw&amp;yy'!M$3:M$38,'[7]inland_taf_hatchgrp_tableraw&amp;yy'!$AC$3:$AC$38,'2014 Table 11 CWTs exp'!$A5)</f>
        <v>1</v>
      </c>
      <c r="N5" s="38">
        <f>SUMIFS('[7]inland_taf_hatchgrp_tableraw&amp;yy'!N$3:N$38,'[7]inland_taf_hatchgrp_tableraw&amp;yy'!$AC$3:$AC$38,'2014 Table 11 CWTs exp'!$A5)</f>
        <v>182</v>
      </c>
      <c r="O5" s="38">
        <f>SUMIFS('[7]inland_taf_hatchgrp_tableraw&amp;yy'!O$3:O$38,'[7]inland_taf_hatchgrp_tableraw&amp;yy'!$AC$3:$AC$38,'2014 Table 11 CWTs exp'!$A5)</f>
        <v>0</v>
      </c>
      <c r="P5" s="38">
        <f>SUMIFS('[7]inland_taf_hatchgrp_tableraw&amp;yy'!P$3:P$38,'[7]inland_taf_hatchgrp_tableraw&amp;yy'!$AC$3:$AC$38,'2014 Table 11 CWTs exp'!$A5)</f>
        <v>0</v>
      </c>
      <c r="Q5" s="39">
        <f>SUMIFS('[7]inland_taf_hatchgrp_tableraw&amp;yy'!Q$3:Q$38,'[7]inland_taf_hatchgrp_tableraw&amp;yy'!$AC$3:$AC$38,'2014 Table 11 CWTs exp'!$A5)</f>
        <v>0</v>
      </c>
      <c r="R5" s="40">
        <f>SUMIFS('[7]inland_taf_hatchgrp_tableraw&amp;yy'!R$3:R$38,'[7]inland_taf_hatchgrp_tableraw&amp;yy'!$AC$3:$AC$38,'2014 Table 11 CWTs exp'!$A5)</f>
        <v>0</v>
      </c>
      <c r="S5" s="38">
        <f>SUMIFS('[7]inland_taf_hatchgrp_tableraw&amp;yy'!S$3:S$38,'[7]inland_taf_hatchgrp_tableraw&amp;yy'!$AC$3:$AC$38,'2014 Table 11 CWTs exp'!$A5)</f>
        <v>0</v>
      </c>
      <c r="T5" s="38">
        <f>SUMIFS('[7]inland_taf_hatchgrp_tableraw&amp;yy'!T$3:T$38,'[7]inland_taf_hatchgrp_tableraw&amp;yy'!$AC$3:$AC$38,'2014 Table 11 CWTs exp'!$A5)</f>
        <v>0</v>
      </c>
      <c r="U5" s="38">
        <f>SUMIFS('[7]inland_taf_hatchgrp_tableraw&amp;yy'!U$3:U$38,'[7]inland_taf_hatchgrp_tableraw&amp;yy'!$AC$3:$AC$38,'2014 Table 11 CWTs exp'!$A5)</f>
        <v>0</v>
      </c>
      <c r="V5" s="39">
        <f>SUMIFS('[7]inland_taf_hatchgrp_tableraw&amp;yy'!V$3:V$38,'[7]inland_taf_hatchgrp_tableraw&amp;yy'!$AC$3:$AC$38,'2014 Table 11 CWTs exp'!$A5)</f>
        <v>0</v>
      </c>
      <c r="W5" s="40">
        <f>SUMIFS('[7]inland_taf_hatchgrp_tableraw&amp;yy'!W$3:W$38,'[7]inland_taf_hatchgrp_tableraw&amp;yy'!$AC$3:$AC$38,'2014 Table 11 CWTs exp'!$A5)</f>
        <v>0</v>
      </c>
      <c r="X5" s="38">
        <f>SUMIFS('[7]inland_taf_hatchgrp_tableraw&amp;yy'!X$3:X$38,'[7]inland_taf_hatchgrp_tableraw&amp;yy'!$AC$3:$AC$38,'2014 Table 11 CWTs exp'!$A5)</f>
        <v>0</v>
      </c>
      <c r="Y5" s="41">
        <f>SUMIFS('[7]inland_taf_hatchgrp_tableraw&amp;yy'!Y$3:Y$38,'[7]inland_taf_hatchgrp_tableraw&amp;yy'!$AC$3:$AC$38,'2014 Table 11 CWTs exp'!$A5)</f>
        <v>2768</v>
      </c>
      <c r="Z5" s="42">
        <f>SUMIFS('[7]inland_taf_hatchgrp_tableraw&amp;yy'!Z$3:Z$38,'[7]inland_taf_hatchgrp_tableraw&amp;yy'!$AC$3:$AC$38,'2014 Table 11 CWTs exp'!$A5)</f>
        <v>8</v>
      </c>
      <c r="AA5" s="38">
        <f>SUMIFS('[7]inland_taf_hatchgrp_tableraw&amp;yy'!AA$3:AA$38,'[7]inland_taf_hatchgrp_tableraw&amp;yy'!$AC$3:$AC$38,'2014 Table 11 CWTs exp'!$A5)</f>
        <v>2776</v>
      </c>
      <c r="AB5" s="38"/>
      <c r="AC5" s="603" t="e">
        <f>SUMIFS('[7]inland_taf_hatchgrp_tableraw&amp;yy'!AB$3:AB$38,'[7]inland_taf_hatchgrp_tableraw&amp;yy'!$AC$3:$AC$38,'2014 Table 11 CWTs exp'!$A5)</f>
        <v>#VALUE!</v>
      </c>
      <c r="AD5" s="604" t="str">
        <f t="shared" ref="AD5:AD13" si="2">A5</f>
        <v>FRFH501</v>
      </c>
      <c r="AE5" s="603"/>
      <c r="AF5" s="604"/>
      <c r="AG5" s="597"/>
      <c r="AH5" s="597"/>
      <c r="AI5" s="599"/>
      <c r="AJ5" s="451"/>
      <c r="AK5" s="451">
        <v>1</v>
      </c>
      <c r="AL5" s="442" t="s">
        <v>47</v>
      </c>
      <c r="AM5" s="442"/>
      <c r="AN5" s="442"/>
      <c r="AO5" s="442"/>
      <c r="AP5" s="442"/>
      <c r="AQ5" s="442"/>
      <c r="AR5" s="442"/>
      <c r="AS5" s="442"/>
      <c r="AT5" s="442"/>
      <c r="AU5" s="442"/>
      <c r="AV5" s="442"/>
      <c r="AW5" s="442"/>
      <c r="AX5" s="442"/>
      <c r="AY5" s="442"/>
      <c r="AZ5" s="442"/>
      <c r="BA5" s="442"/>
      <c r="BB5" s="442"/>
      <c r="BC5" s="442"/>
      <c r="BD5" s="442"/>
      <c r="BE5" s="442"/>
      <c r="BF5" s="442"/>
      <c r="BG5" s="444"/>
      <c r="BH5" s="442"/>
    </row>
    <row r="6" spans="1:60" ht="14.5" customHeight="1" x14ac:dyDescent="0.25">
      <c r="A6" s="50" t="str">
        <f t="shared" si="0"/>
        <v>FRFH521</v>
      </c>
      <c r="B6" s="13" t="s">
        <v>45</v>
      </c>
      <c r="C6" s="13">
        <v>52</v>
      </c>
      <c r="D6" s="13">
        <v>1</v>
      </c>
      <c r="E6" s="252" t="s">
        <v>217</v>
      </c>
      <c r="F6" s="253" t="str">
        <f t="shared" si="1"/>
        <v>Spring</v>
      </c>
      <c r="G6" s="254">
        <f>SUMIFS('[7]inland_taf_hatchgrp_tableraw&amp;yy'!G$3:G$38,'[7]inland_taf_hatchgrp_tableraw&amp;yy'!$AC$3:$AC$38,'2014 Table 11 CWTs exp'!$A6)</f>
        <v>0</v>
      </c>
      <c r="H6" s="255">
        <f>SUMIFS('[7]inland_taf_hatchgrp_tableraw&amp;yy'!H$3:H$38,'[7]inland_taf_hatchgrp_tableraw&amp;yy'!$AC$3:$AC$38,'2014 Table 11 CWTs exp'!$A6)</f>
        <v>0</v>
      </c>
      <c r="I6" s="256">
        <f>SUMIFS('[7]inland_taf_hatchgrp_tableraw&amp;yy'!I$3:I$38,'[7]inland_taf_hatchgrp_tableraw&amp;yy'!$AC$3:$AC$38,'2014 Table 11 CWTs exp'!$A6)</f>
        <v>0</v>
      </c>
      <c r="J6" s="257">
        <f>SUMIFS('[7]inland_taf_hatchgrp_tableraw&amp;yy'!J$3:J$38,'[7]inland_taf_hatchgrp_tableraw&amp;yy'!$AC$3:$AC$38,'2014 Table 11 CWTs exp'!$A6)</f>
        <v>0</v>
      </c>
      <c r="K6" s="256">
        <f>SUMIFS('[7]inland_taf_hatchgrp_tableraw&amp;yy'!K$3:K$38,'[7]inland_taf_hatchgrp_tableraw&amp;yy'!$AC$3:$AC$38,'2014 Table 11 CWTs exp'!$A6)</f>
        <v>10</v>
      </c>
      <c r="L6" s="256">
        <f>SUMIFS('[7]inland_taf_hatchgrp_tableraw&amp;yy'!L$3:L$38,'[7]inland_taf_hatchgrp_tableraw&amp;yy'!$AC$3:$AC$38,'2014 Table 11 CWTs exp'!$A6)</f>
        <v>5</v>
      </c>
      <c r="M6" s="256">
        <f>SUMIFS('[7]inland_taf_hatchgrp_tableraw&amp;yy'!M$3:M$38,'[7]inland_taf_hatchgrp_tableraw&amp;yy'!$AC$3:$AC$38,'2014 Table 11 CWTs exp'!$A6)</f>
        <v>0</v>
      </c>
      <c r="N6" s="256">
        <f>SUMIFS('[7]inland_taf_hatchgrp_tableraw&amp;yy'!N$3:N$38,'[7]inland_taf_hatchgrp_tableraw&amp;yy'!$AC$3:$AC$38,'2014 Table 11 CWTs exp'!$A6)</f>
        <v>1</v>
      </c>
      <c r="O6" s="256">
        <f>SUMIFS('[7]inland_taf_hatchgrp_tableraw&amp;yy'!O$3:O$38,'[7]inland_taf_hatchgrp_tableraw&amp;yy'!$AC$3:$AC$38,'2014 Table 11 CWTs exp'!$A6)</f>
        <v>0</v>
      </c>
      <c r="P6" s="256">
        <f>SUMIFS('[7]inland_taf_hatchgrp_tableraw&amp;yy'!P$3:P$38,'[7]inland_taf_hatchgrp_tableraw&amp;yy'!$AC$3:$AC$38,'2014 Table 11 CWTs exp'!$A6)</f>
        <v>0</v>
      </c>
      <c r="Q6" s="255">
        <f>SUMIFS('[7]inland_taf_hatchgrp_tableraw&amp;yy'!Q$3:Q$38,'[7]inland_taf_hatchgrp_tableraw&amp;yy'!$AC$3:$AC$38,'2014 Table 11 CWTs exp'!$A6)</f>
        <v>0</v>
      </c>
      <c r="R6" s="257">
        <f>SUMIFS('[7]inland_taf_hatchgrp_tableraw&amp;yy'!R$3:R$38,'[7]inland_taf_hatchgrp_tableraw&amp;yy'!$AC$3:$AC$38,'2014 Table 11 CWTs exp'!$A6)</f>
        <v>0</v>
      </c>
      <c r="S6" s="256">
        <f>SUMIFS('[7]inland_taf_hatchgrp_tableraw&amp;yy'!S$3:S$38,'[7]inland_taf_hatchgrp_tableraw&amp;yy'!$AC$3:$AC$38,'2014 Table 11 CWTs exp'!$A6)</f>
        <v>0</v>
      </c>
      <c r="T6" s="256">
        <f>SUMIFS('[7]inland_taf_hatchgrp_tableraw&amp;yy'!T$3:T$38,'[7]inland_taf_hatchgrp_tableraw&amp;yy'!$AC$3:$AC$38,'2014 Table 11 CWTs exp'!$A6)</f>
        <v>0</v>
      </c>
      <c r="U6" s="256">
        <f>SUMIFS('[7]inland_taf_hatchgrp_tableraw&amp;yy'!U$3:U$38,'[7]inland_taf_hatchgrp_tableraw&amp;yy'!$AC$3:$AC$38,'2014 Table 11 CWTs exp'!$A6)</f>
        <v>0</v>
      </c>
      <c r="V6" s="255">
        <f>SUMIFS('[7]inland_taf_hatchgrp_tableraw&amp;yy'!V$3:V$38,'[7]inland_taf_hatchgrp_tableraw&amp;yy'!$AC$3:$AC$38,'2014 Table 11 CWTs exp'!$A6)</f>
        <v>0</v>
      </c>
      <c r="W6" s="257">
        <f>SUMIFS('[7]inland_taf_hatchgrp_tableraw&amp;yy'!W$3:W$38,'[7]inland_taf_hatchgrp_tableraw&amp;yy'!$AC$3:$AC$38,'2014 Table 11 CWTs exp'!$A6)</f>
        <v>0</v>
      </c>
      <c r="X6" s="256">
        <f>SUMIFS('[7]inland_taf_hatchgrp_tableraw&amp;yy'!X$3:X$38,'[7]inland_taf_hatchgrp_tableraw&amp;yy'!$AC$3:$AC$38,'2014 Table 11 CWTs exp'!$A6)</f>
        <v>0</v>
      </c>
      <c r="Y6" s="258">
        <f>SUMIFS('[7]inland_taf_hatchgrp_tableraw&amp;yy'!Y$3:Y$38,'[7]inland_taf_hatchgrp_tableraw&amp;yy'!$AC$3:$AC$38,'2014 Table 11 CWTs exp'!$A6)</f>
        <v>16</v>
      </c>
      <c r="Z6" s="259">
        <f>SUMIFS('[7]inland_taf_hatchgrp_tableraw&amp;yy'!Z$3:Z$38,'[7]inland_taf_hatchgrp_tableraw&amp;yy'!$AC$3:$AC$38,'2014 Table 11 CWTs exp'!$A6)</f>
        <v>7</v>
      </c>
      <c r="AA6" s="256">
        <f>SUMIFS('[7]inland_taf_hatchgrp_tableraw&amp;yy'!AA$3:AA$38,'[7]inland_taf_hatchgrp_tableraw&amp;yy'!$AC$3:$AC$38,'2014 Table 11 CWTs exp'!$A6)</f>
        <v>23</v>
      </c>
      <c r="AB6" s="38"/>
      <c r="AC6" s="603" t="e">
        <f>SUMIFS('[7]inland_taf_hatchgrp_tableraw&amp;yy'!AB$3:AB$38,'[7]inland_taf_hatchgrp_tableraw&amp;yy'!$AC$3:$AC$38,'2014 Table 11 CWTs exp'!$A6)</f>
        <v>#VALUE!</v>
      </c>
      <c r="AD6" s="604" t="str">
        <f t="shared" si="2"/>
        <v>FRFH521</v>
      </c>
      <c r="AE6" s="603"/>
      <c r="AF6" s="604"/>
      <c r="AG6" s="597"/>
      <c r="AH6" s="600"/>
      <c r="AI6" s="599"/>
      <c r="AJ6" s="451"/>
      <c r="AK6" s="451">
        <v>3</v>
      </c>
      <c r="AL6" s="442" t="s">
        <v>48</v>
      </c>
      <c r="AM6" s="442"/>
      <c r="AN6" s="442"/>
      <c r="AO6" s="442"/>
      <c r="AP6" s="442"/>
      <c r="AQ6" s="442"/>
      <c r="AR6" s="442"/>
      <c r="AS6" s="442"/>
      <c r="AT6" s="442"/>
      <c r="AU6" s="442"/>
      <c r="AV6" s="442"/>
      <c r="AW6" s="442"/>
      <c r="AX6" s="442"/>
      <c r="AY6" s="442"/>
      <c r="AZ6" s="442"/>
      <c r="BA6" s="442"/>
      <c r="BB6" s="442"/>
      <c r="BC6" s="442"/>
      <c r="BD6" s="442"/>
      <c r="BE6" s="442"/>
      <c r="BF6" s="442"/>
      <c r="BG6" s="442"/>
      <c r="BH6" s="442"/>
    </row>
    <row r="7" spans="1:60" ht="14.5" customHeight="1" x14ac:dyDescent="0.25">
      <c r="A7" s="50" t="str">
        <f t="shared" si="0"/>
        <v>CNFH503</v>
      </c>
      <c r="B7" s="13" t="s">
        <v>40</v>
      </c>
      <c r="C7" s="13">
        <v>50</v>
      </c>
      <c r="D7" s="13">
        <v>3</v>
      </c>
      <c r="E7" s="3" t="s">
        <v>41</v>
      </c>
      <c r="F7" s="43" t="str">
        <f t="shared" si="1"/>
        <v>Fall</v>
      </c>
      <c r="G7" s="243">
        <f>SUMIFS('[7]inland_taf_hatchgrp_tableraw&amp;yy'!G$3:G$38,'[7]inland_taf_hatchgrp_tableraw&amp;yy'!$AC$3:$AC$38,'2014 Table 11 CWTs exp'!$A7)</f>
        <v>0</v>
      </c>
      <c r="H7" s="39">
        <f>SUMIFS('[7]inland_taf_hatchgrp_tableraw&amp;yy'!H$3:H$38,'[7]inland_taf_hatchgrp_tableraw&amp;yy'!$AC$3:$AC$38,'2014 Table 11 CWTs exp'!$A7)</f>
        <v>0</v>
      </c>
      <c r="I7" s="38">
        <f>SUMIFS('[7]inland_taf_hatchgrp_tableraw&amp;yy'!I$3:I$38,'[7]inland_taf_hatchgrp_tableraw&amp;yy'!$AC$3:$AC$38,'2014 Table 11 CWTs exp'!$A7)</f>
        <v>15961</v>
      </c>
      <c r="J7" s="40">
        <f>SUMIFS('[7]inland_taf_hatchgrp_tableraw&amp;yy'!J$3:J$38,'[7]inland_taf_hatchgrp_tableraw&amp;yy'!$AC$3:$AC$38,'2014 Table 11 CWTs exp'!$A7)</f>
        <v>153</v>
      </c>
      <c r="K7" s="38">
        <f>SUMIFS('[7]inland_taf_hatchgrp_tableraw&amp;yy'!K$3:K$38,'[7]inland_taf_hatchgrp_tableraw&amp;yy'!$AC$3:$AC$38,'2014 Table 11 CWTs exp'!$A7)</f>
        <v>1</v>
      </c>
      <c r="L7" s="38">
        <f>SUMIFS('[7]inland_taf_hatchgrp_tableraw&amp;yy'!L$3:L$38,'[7]inland_taf_hatchgrp_tableraw&amp;yy'!$AC$3:$AC$38,'2014 Table 11 CWTs exp'!$A7)</f>
        <v>2</v>
      </c>
      <c r="M7" s="38">
        <f>SUMIFS('[7]inland_taf_hatchgrp_tableraw&amp;yy'!M$3:M$38,'[7]inland_taf_hatchgrp_tableraw&amp;yy'!$AC$3:$AC$38,'2014 Table 11 CWTs exp'!$A7)</f>
        <v>12</v>
      </c>
      <c r="N7" s="38">
        <f>SUMIFS('[7]inland_taf_hatchgrp_tableraw&amp;yy'!N$3:N$38,'[7]inland_taf_hatchgrp_tableraw&amp;yy'!$AC$3:$AC$38,'2014 Table 11 CWTs exp'!$A7)</f>
        <v>579</v>
      </c>
      <c r="O7" s="38">
        <f>SUMIFS('[7]inland_taf_hatchgrp_tableraw&amp;yy'!O$3:O$38,'[7]inland_taf_hatchgrp_tableraw&amp;yy'!$AC$3:$AC$38,'2014 Table 11 CWTs exp'!$A7)</f>
        <v>58</v>
      </c>
      <c r="P7" s="38">
        <f>SUMIFS('[7]inland_taf_hatchgrp_tableraw&amp;yy'!P$3:P$38,'[7]inland_taf_hatchgrp_tableraw&amp;yy'!$AC$3:$AC$38,'2014 Table 11 CWTs exp'!$A7)</f>
        <v>4</v>
      </c>
      <c r="Q7" s="39">
        <f>SUMIFS('[7]inland_taf_hatchgrp_tableraw&amp;yy'!Q$3:Q$38,'[7]inland_taf_hatchgrp_tableraw&amp;yy'!$AC$3:$AC$38,'2014 Table 11 CWTs exp'!$A7)</f>
        <v>0</v>
      </c>
      <c r="R7" s="40">
        <f>SUMIFS('[7]inland_taf_hatchgrp_tableraw&amp;yy'!R$3:R$38,'[7]inland_taf_hatchgrp_tableraw&amp;yy'!$AC$3:$AC$38,'2014 Table 11 CWTs exp'!$A7)</f>
        <v>4</v>
      </c>
      <c r="S7" s="38">
        <f>SUMIFS('[7]inland_taf_hatchgrp_tableraw&amp;yy'!S$3:S$38,'[7]inland_taf_hatchgrp_tableraw&amp;yy'!$AC$3:$AC$38,'2014 Table 11 CWTs exp'!$A7)</f>
        <v>0</v>
      </c>
      <c r="T7" s="38">
        <f>SUMIFS('[7]inland_taf_hatchgrp_tableraw&amp;yy'!T$3:T$38,'[7]inland_taf_hatchgrp_tableraw&amp;yy'!$AC$3:$AC$38,'2014 Table 11 CWTs exp'!$A7)</f>
        <v>8</v>
      </c>
      <c r="U7" s="38">
        <f>SUMIFS('[7]inland_taf_hatchgrp_tableraw&amp;yy'!U$3:U$38,'[7]inland_taf_hatchgrp_tableraw&amp;yy'!$AC$3:$AC$38,'2014 Table 11 CWTs exp'!$A7)</f>
        <v>0</v>
      </c>
      <c r="V7" s="39">
        <f>SUMIFS('[7]inland_taf_hatchgrp_tableraw&amp;yy'!V$3:V$38,'[7]inland_taf_hatchgrp_tableraw&amp;yy'!$AC$3:$AC$38,'2014 Table 11 CWTs exp'!$A7)</f>
        <v>0</v>
      </c>
      <c r="W7" s="40">
        <f>SUMIFS('[7]inland_taf_hatchgrp_tableraw&amp;yy'!W$3:W$38,'[7]inland_taf_hatchgrp_tableraw&amp;yy'!$AC$3:$AC$38,'2014 Table 11 CWTs exp'!$A7)</f>
        <v>35</v>
      </c>
      <c r="X7" s="38">
        <f>SUMIFS('[7]inland_taf_hatchgrp_tableraw&amp;yy'!X$3:X$38,'[7]inland_taf_hatchgrp_tableraw&amp;yy'!$AC$3:$AC$38,'2014 Table 11 CWTs exp'!$A7)</f>
        <v>0</v>
      </c>
      <c r="Y7" s="41">
        <f>SUMIFS('[7]inland_taf_hatchgrp_tableraw&amp;yy'!Y$3:Y$38,'[7]inland_taf_hatchgrp_tableraw&amp;yy'!$AC$3:$AC$38,'2014 Table 11 CWTs exp'!$A7)</f>
        <v>16818</v>
      </c>
      <c r="Z7" s="42">
        <f>SUMIFS('[7]inland_taf_hatchgrp_tableraw&amp;yy'!Z$3:Z$38,'[7]inland_taf_hatchgrp_tableraw&amp;yy'!$AC$3:$AC$38,'2014 Table 11 CWTs exp'!$A7)</f>
        <v>2022</v>
      </c>
      <c r="AA7" s="38">
        <f>SUMIFS('[7]inland_taf_hatchgrp_tableraw&amp;yy'!AA$3:AA$38,'[7]inland_taf_hatchgrp_tableraw&amp;yy'!$AC$3:$AC$38,'2014 Table 11 CWTs exp'!$A7)</f>
        <v>18840</v>
      </c>
      <c r="AB7" s="38"/>
      <c r="AC7" s="603" t="e">
        <f>SUMIFS('[7]inland_taf_hatchgrp_tableraw&amp;yy'!AB$3:AB$38,'[7]inland_taf_hatchgrp_tableraw&amp;yy'!$AC$3:$AC$38,'2014 Table 11 CWTs exp'!$A7)</f>
        <v>#VALUE!</v>
      </c>
      <c r="AD7" s="604" t="str">
        <f t="shared" si="2"/>
        <v>CNFH503</v>
      </c>
      <c r="AE7" s="603"/>
      <c r="AF7" s="604"/>
      <c r="AG7" s="597"/>
      <c r="AH7" s="605" t="e">
        <f>1-AC7</f>
        <v>#VALUE!</v>
      </c>
      <c r="AI7" s="447">
        <f>Z7</f>
        <v>2022</v>
      </c>
      <c r="AJ7" s="451"/>
      <c r="AK7" s="451">
        <v>4</v>
      </c>
      <c r="AL7" s="442" t="s">
        <v>42</v>
      </c>
      <c r="AM7" s="442"/>
      <c r="AN7" s="442"/>
      <c r="AO7" s="442"/>
      <c r="AP7" s="442"/>
      <c r="AQ7" s="442"/>
      <c r="AR7" s="442"/>
      <c r="AS7" s="442"/>
      <c r="AT7" s="442"/>
      <c r="AU7" s="442"/>
      <c r="AV7" s="442"/>
      <c r="AW7" s="442"/>
      <c r="AX7" s="442"/>
      <c r="AY7" s="442"/>
      <c r="AZ7" s="442"/>
      <c r="BA7" s="442"/>
      <c r="BB7" s="442"/>
      <c r="BC7" s="442"/>
      <c r="BD7" s="442"/>
      <c r="BE7" s="442"/>
      <c r="BF7" s="442"/>
      <c r="BG7" s="442"/>
      <c r="BH7" s="442"/>
    </row>
    <row r="8" spans="1:60" ht="14.5" customHeight="1" x14ac:dyDescent="0.25">
      <c r="A8" s="50" t="str">
        <f t="shared" si="0"/>
        <v>FRFH503</v>
      </c>
      <c r="B8" s="13" t="s">
        <v>45</v>
      </c>
      <c r="C8" s="13">
        <v>50</v>
      </c>
      <c r="D8" s="13">
        <v>3</v>
      </c>
      <c r="E8" s="3" t="s">
        <v>46</v>
      </c>
      <c r="F8" s="43" t="str">
        <f t="shared" si="1"/>
        <v>Fall</v>
      </c>
      <c r="G8" s="243">
        <f>SUMIFS('[7]inland_taf_hatchgrp_tableraw&amp;yy'!G$3:G$38,'[7]inland_taf_hatchgrp_tableraw&amp;yy'!$AC$3:$AC$38,'2014 Table 11 CWTs exp'!$A8)</f>
        <v>0</v>
      </c>
      <c r="H8" s="39">
        <f>SUMIFS('[7]inland_taf_hatchgrp_tableraw&amp;yy'!H$3:H$38,'[7]inland_taf_hatchgrp_tableraw&amp;yy'!$AC$3:$AC$38,'2014 Table 11 CWTs exp'!$A8)</f>
        <v>0</v>
      </c>
      <c r="I8" s="38">
        <f>SUMIFS('[7]inland_taf_hatchgrp_tableraw&amp;yy'!I$3:I$38,'[7]inland_taf_hatchgrp_tableraw&amp;yy'!$AC$3:$AC$38,'2014 Table 11 CWTs exp'!$A8)</f>
        <v>4</v>
      </c>
      <c r="J8" s="40">
        <f>SUMIFS('[7]inland_taf_hatchgrp_tableraw&amp;yy'!J$3:J$38,'[7]inland_taf_hatchgrp_tableraw&amp;yy'!$AC$3:$AC$38,'2014 Table 11 CWTs exp'!$A8)</f>
        <v>76</v>
      </c>
      <c r="K8" s="38">
        <f>SUMIFS('[7]inland_taf_hatchgrp_tableraw&amp;yy'!K$3:K$38,'[7]inland_taf_hatchgrp_tableraw&amp;yy'!$AC$3:$AC$38,'2014 Table 11 CWTs exp'!$A8)</f>
        <v>2360</v>
      </c>
      <c r="L8" s="38">
        <f>SUMIFS('[7]inland_taf_hatchgrp_tableraw&amp;yy'!L$3:L$38,'[7]inland_taf_hatchgrp_tableraw&amp;yy'!$AC$3:$AC$38,'2014 Table 11 CWTs exp'!$A8)</f>
        <v>930</v>
      </c>
      <c r="M8" s="38">
        <f>SUMIFS('[7]inland_taf_hatchgrp_tableraw&amp;yy'!M$3:M$38,'[7]inland_taf_hatchgrp_tableraw&amp;yy'!$AC$3:$AC$38,'2014 Table 11 CWTs exp'!$A8)</f>
        <v>660</v>
      </c>
      <c r="N8" s="38">
        <f>SUMIFS('[7]inland_taf_hatchgrp_tableraw&amp;yy'!N$3:N$38,'[7]inland_taf_hatchgrp_tableraw&amp;yy'!$AC$3:$AC$38,'2014 Table 11 CWTs exp'!$A8)</f>
        <v>17288</v>
      </c>
      <c r="O8" s="38">
        <f>SUMIFS('[7]inland_taf_hatchgrp_tableraw&amp;yy'!O$3:O$38,'[7]inland_taf_hatchgrp_tableraw&amp;yy'!$AC$3:$AC$38,'2014 Table 11 CWTs exp'!$A8)</f>
        <v>723</v>
      </c>
      <c r="P8" s="38">
        <f>SUMIFS('[7]inland_taf_hatchgrp_tableraw&amp;yy'!P$3:P$38,'[7]inland_taf_hatchgrp_tableraw&amp;yy'!$AC$3:$AC$38,'2014 Table 11 CWTs exp'!$A8)</f>
        <v>30</v>
      </c>
      <c r="Q8" s="39">
        <f>SUMIFS('[7]inland_taf_hatchgrp_tableraw&amp;yy'!Q$3:Q$38,'[7]inland_taf_hatchgrp_tableraw&amp;yy'!$AC$3:$AC$38,'2014 Table 11 CWTs exp'!$A8)</f>
        <v>4</v>
      </c>
      <c r="R8" s="40">
        <f>SUMIFS('[7]inland_taf_hatchgrp_tableraw&amp;yy'!R$3:R$38,'[7]inland_taf_hatchgrp_tableraw&amp;yy'!$AC$3:$AC$38,'2014 Table 11 CWTs exp'!$A8)</f>
        <v>10</v>
      </c>
      <c r="S8" s="38">
        <f>SUMIFS('[7]inland_taf_hatchgrp_tableraw&amp;yy'!S$3:S$38,'[7]inland_taf_hatchgrp_tableraw&amp;yy'!$AC$3:$AC$38,'2014 Table 11 CWTs exp'!$A8)</f>
        <v>1</v>
      </c>
      <c r="T8" s="38">
        <f>SUMIFS('[7]inland_taf_hatchgrp_tableraw&amp;yy'!T$3:T$38,'[7]inland_taf_hatchgrp_tableraw&amp;yy'!$AC$3:$AC$38,'2014 Table 11 CWTs exp'!$A8)</f>
        <v>40</v>
      </c>
      <c r="U8" s="38">
        <f>SUMIFS('[7]inland_taf_hatchgrp_tableraw&amp;yy'!U$3:U$38,'[7]inland_taf_hatchgrp_tableraw&amp;yy'!$AC$3:$AC$38,'2014 Table 11 CWTs exp'!$A8)</f>
        <v>4</v>
      </c>
      <c r="V8" s="39">
        <f>SUMIFS('[7]inland_taf_hatchgrp_tableraw&amp;yy'!V$3:V$38,'[7]inland_taf_hatchgrp_tableraw&amp;yy'!$AC$3:$AC$38,'2014 Table 11 CWTs exp'!$A8)</f>
        <v>1</v>
      </c>
      <c r="W8" s="40">
        <f>SUMIFS('[7]inland_taf_hatchgrp_tableraw&amp;yy'!W$3:W$38,'[7]inland_taf_hatchgrp_tableraw&amp;yy'!$AC$3:$AC$38,'2014 Table 11 CWTs exp'!$A8)</f>
        <v>42</v>
      </c>
      <c r="X8" s="38">
        <f>SUMIFS('[7]inland_taf_hatchgrp_tableraw&amp;yy'!X$3:X$38,'[7]inland_taf_hatchgrp_tableraw&amp;yy'!$AC$3:$AC$38,'2014 Table 11 CWTs exp'!$A8)</f>
        <v>0</v>
      </c>
      <c r="Y8" s="41">
        <f>SUMIFS('[7]inland_taf_hatchgrp_tableraw&amp;yy'!Y$3:Y$38,'[7]inland_taf_hatchgrp_tableraw&amp;yy'!$AC$3:$AC$38,'2014 Table 11 CWTs exp'!$A8)</f>
        <v>22174</v>
      </c>
      <c r="Z8" s="42">
        <f>SUMIFS('[7]inland_taf_hatchgrp_tableraw&amp;yy'!Z$3:Z$38,'[7]inland_taf_hatchgrp_tableraw&amp;yy'!$AC$3:$AC$38,'2014 Table 11 CWTs exp'!$A8)</f>
        <v>1246</v>
      </c>
      <c r="AA8" s="38">
        <f>SUMIFS('[7]inland_taf_hatchgrp_tableraw&amp;yy'!AA$3:AA$38,'[7]inland_taf_hatchgrp_tableraw&amp;yy'!$AC$3:$AC$38,'2014 Table 11 CWTs exp'!$A8)</f>
        <v>23420</v>
      </c>
      <c r="AB8" s="38"/>
      <c r="AC8" s="603" t="e">
        <f>SUMIFS('[7]inland_taf_hatchgrp_tableraw&amp;yy'!AB$3:AB$38,'[7]inland_taf_hatchgrp_tableraw&amp;yy'!$AC$3:$AC$38,'2014 Table 11 CWTs exp'!$A8)</f>
        <v>#VALUE!</v>
      </c>
      <c r="AD8" s="604" t="str">
        <f t="shared" si="2"/>
        <v>FRFH503</v>
      </c>
      <c r="AE8" s="603"/>
      <c r="AF8" s="604"/>
      <c r="AG8" s="597"/>
      <c r="AH8" s="605" t="e">
        <f t="shared" ref="AH8:AH11" si="3">1-AC8</f>
        <v>#VALUE!</v>
      </c>
      <c r="AI8" s="447">
        <f t="shared" ref="AI8:AI11" si="4">Z8</f>
        <v>1246</v>
      </c>
      <c r="AJ8" s="451"/>
      <c r="AK8" s="451">
        <v>7</v>
      </c>
      <c r="AL8" s="442" t="s">
        <v>49</v>
      </c>
      <c r="AM8" s="442"/>
      <c r="AN8" s="442"/>
      <c r="AO8" s="442"/>
      <c r="AP8" s="442"/>
      <c r="AQ8" s="442"/>
      <c r="AR8" s="442"/>
      <c r="AS8" s="442"/>
      <c r="AT8" s="442"/>
      <c r="AU8" s="442"/>
      <c r="AV8" s="442"/>
      <c r="AW8" s="442"/>
      <c r="AX8" s="442"/>
      <c r="AY8" s="442"/>
      <c r="AZ8" s="442"/>
      <c r="BA8" s="442"/>
      <c r="BB8" s="442"/>
      <c r="BC8" s="442"/>
      <c r="BD8" s="442"/>
      <c r="BE8" s="442"/>
      <c r="BF8" s="442"/>
      <c r="BG8" s="442"/>
      <c r="BH8" s="442"/>
    </row>
    <row r="9" spans="1:60" ht="14.5" customHeight="1" x14ac:dyDescent="0.25">
      <c r="A9" s="50" t="str">
        <f t="shared" si="0"/>
        <v>NBFH503</v>
      </c>
      <c r="B9" s="13" t="s">
        <v>50</v>
      </c>
      <c r="C9" s="13">
        <v>50</v>
      </c>
      <c r="D9" s="13">
        <v>3</v>
      </c>
      <c r="E9" s="3" t="s">
        <v>51</v>
      </c>
      <c r="F9" s="43" t="str">
        <f t="shared" si="1"/>
        <v>Fall</v>
      </c>
      <c r="G9" s="243">
        <f>SUMIFS('[7]inland_taf_hatchgrp_tableraw&amp;yy'!G$3:G$38,'[7]inland_taf_hatchgrp_tableraw&amp;yy'!$AC$3:$AC$38,'2014 Table 11 CWTs exp'!$A9)</f>
        <v>0</v>
      </c>
      <c r="H9" s="39">
        <f>SUMIFS('[7]inland_taf_hatchgrp_tableraw&amp;yy'!H$3:H$38,'[7]inland_taf_hatchgrp_tableraw&amp;yy'!$AC$3:$AC$38,'2014 Table 11 CWTs exp'!$A9)</f>
        <v>0</v>
      </c>
      <c r="I9" s="38">
        <f>SUMIFS('[7]inland_taf_hatchgrp_tableraw&amp;yy'!I$3:I$38,'[7]inland_taf_hatchgrp_tableraw&amp;yy'!$AC$3:$AC$38,'2014 Table 11 CWTs exp'!$A9)</f>
        <v>0</v>
      </c>
      <c r="J9" s="40">
        <f>SUMIFS('[7]inland_taf_hatchgrp_tableraw&amp;yy'!J$3:J$38,'[7]inland_taf_hatchgrp_tableraw&amp;yy'!$AC$3:$AC$38,'2014 Table 11 CWTs exp'!$A9)</f>
        <v>45</v>
      </c>
      <c r="K9" s="38">
        <f>SUMIFS('[7]inland_taf_hatchgrp_tableraw&amp;yy'!K$3:K$38,'[7]inland_taf_hatchgrp_tableraw&amp;yy'!$AC$3:$AC$38,'2014 Table 11 CWTs exp'!$A9)</f>
        <v>0</v>
      </c>
      <c r="L9" s="38">
        <f>SUMIFS('[7]inland_taf_hatchgrp_tableraw&amp;yy'!L$3:L$38,'[7]inland_taf_hatchgrp_tableraw&amp;yy'!$AC$3:$AC$38,'2014 Table 11 CWTs exp'!$A9)</f>
        <v>0</v>
      </c>
      <c r="M9" s="38">
        <f>SUMIFS('[7]inland_taf_hatchgrp_tableraw&amp;yy'!M$3:M$38,'[7]inland_taf_hatchgrp_tableraw&amp;yy'!$AC$3:$AC$38,'2014 Table 11 CWTs exp'!$A9)</f>
        <v>17</v>
      </c>
      <c r="N9" s="38">
        <f>SUMIFS('[7]inland_taf_hatchgrp_tableraw&amp;yy'!N$3:N$38,'[7]inland_taf_hatchgrp_tableraw&amp;yy'!$AC$3:$AC$38,'2014 Table 11 CWTs exp'!$A9)</f>
        <v>217</v>
      </c>
      <c r="O9" s="38">
        <f>SUMIFS('[7]inland_taf_hatchgrp_tableraw&amp;yy'!O$3:O$38,'[7]inland_taf_hatchgrp_tableraw&amp;yy'!$AC$3:$AC$38,'2014 Table 11 CWTs exp'!$A9)</f>
        <v>14</v>
      </c>
      <c r="P9" s="38">
        <f>SUMIFS('[7]inland_taf_hatchgrp_tableraw&amp;yy'!P$3:P$38,'[7]inland_taf_hatchgrp_tableraw&amp;yy'!$AC$3:$AC$38,'2014 Table 11 CWTs exp'!$A9)</f>
        <v>0</v>
      </c>
      <c r="Q9" s="39">
        <f>SUMIFS('[7]inland_taf_hatchgrp_tableraw&amp;yy'!Q$3:Q$38,'[7]inland_taf_hatchgrp_tableraw&amp;yy'!$AC$3:$AC$38,'2014 Table 11 CWTs exp'!$A9)</f>
        <v>2794</v>
      </c>
      <c r="R9" s="40">
        <f>SUMIFS('[7]inland_taf_hatchgrp_tableraw&amp;yy'!R$3:R$38,'[7]inland_taf_hatchgrp_tableraw&amp;yy'!$AC$3:$AC$38,'2014 Table 11 CWTs exp'!$A9)</f>
        <v>1996</v>
      </c>
      <c r="S9" s="38">
        <f>SUMIFS('[7]inland_taf_hatchgrp_tableraw&amp;yy'!S$3:S$38,'[7]inland_taf_hatchgrp_tableraw&amp;yy'!$AC$3:$AC$38,'2014 Table 11 CWTs exp'!$A9)</f>
        <v>5</v>
      </c>
      <c r="T9" s="38">
        <f>SUMIFS('[7]inland_taf_hatchgrp_tableraw&amp;yy'!T$3:T$38,'[7]inland_taf_hatchgrp_tableraw&amp;yy'!$AC$3:$AC$38,'2014 Table 11 CWTs exp'!$A9)</f>
        <v>1769</v>
      </c>
      <c r="U9" s="38">
        <f>SUMIFS('[7]inland_taf_hatchgrp_tableraw&amp;yy'!U$3:U$38,'[7]inland_taf_hatchgrp_tableraw&amp;yy'!$AC$3:$AC$38,'2014 Table 11 CWTs exp'!$A9)</f>
        <v>259</v>
      </c>
      <c r="V9" s="39">
        <f>SUMIFS('[7]inland_taf_hatchgrp_tableraw&amp;yy'!V$3:V$38,'[7]inland_taf_hatchgrp_tableraw&amp;yy'!$AC$3:$AC$38,'2014 Table 11 CWTs exp'!$A9)</f>
        <v>0</v>
      </c>
      <c r="W9" s="40">
        <f>SUMIFS('[7]inland_taf_hatchgrp_tableraw&amp;yy'!W$3:W$38,'[7]inland_taf_hatchgrp_tableraw&amp;yy'!$AC$3:$AC$38,'2014 Table 11 CWTs exp'!$A9)</f>
        <v>111</v>
      </c>
      <c r="X9" s="38">
        <f>SUMIFS('[7]inland_taf_hatchgrp_tableraw&amp;yy'!X$3:X$38,'[7]inland_taf_hatchgrp_tableraw&amp;yy'!$AC$3:$AC$38,'2014 Table 11 CWTs exp'!$A9)</f>
        <v>0</v>
      </c>
      <c r="Y9" s="41">
        <f>SUMIFS('[7]inland_taf_hatchgrp_tableraw&amp;yy'!Y$3:Y$38,'[7]inland_taf_hatchgrp_tableraw&amp;yy'!$AC$3:$AC$38,'2014 Table 11 CWTs exp'!$A9)</f>
        <v>7227</v>
      </c>
      <c r="Z9" s="42">
        <f>SUMIFS('[7]inland_taf_hatchgrp_tableraw&amp;yy'!Z$3:Z$38,'[7]inland_taf_hatchgrp_tableraw&amp;yy'!$AC$3:$AC$38,'2014 Table 11 CWTs exp'!$A9)</f>
        <v>1116</v>
      </c>
      <c r="AA9" s="38">
        <f>SUMIFS('[7]inland_taf_hatchgrp_tableraw&amp;yy'!AA$3:AA$38,'[7]inland_taf_hatchgrp_tableraw&amp;yy'!$AC$3:$AC$38,'2014 Table 11 CWTs exp'!$A9)</f>
        <v>8343</v>
      </c>
      <c r="AB9" s="38"/>
      <c r="AC9" s="603" t="e">
        <f>SUMIFS('[7]inland_taf_hatchgrp_tableraw&amp;yy'!AB$3:AB$38,'[7]inland_taf_hatchgrp_tableraw&amp;yy'!$AC$3:$AC$38,'2014 Table 11 CWTs exp'!$A9)</f>
        <v>#VALUE!</v>
      </c>
      <c r="AD9" s="604" t="str">
        <f t="shared" si="2"/>
        <v>NBFH503</v>
      </c>
      <c r="AE9" s="603"/>
      <c r="AF9" s="604"/>
      <c r="AG9" s="597"/>
      <c r="AH9" s="605" t="e">
        <f t="shared" si="3"/>
        <v>#VALUE!</v>
      </c>
      <c r="AI9" s="447">
        <f t="shared" si="4"/>
        <v>1116</v>
      </c>
      <c r="AJ9" s="451"/>
    </row>
    <row r="10" spans="1:60" ht="14.5" customHeight="1" x14ac:dyDescent="0.25">
      <c r="A10" s="50" t="str">
        <f t="shared" si="0"/>
        <v>MRFI503</v>
      </c>
      <c r="B10" s="13" t="s">
        <v>52</v>
      </c>
      <c r="C10" s="13">
        <v>50</v>
      </c>
      <c r="D10" s="13">
        <v>3</v>
      </c>
      <c r="E10" s="3" t="s">
        <v>53</v>
      </c>
      <c r="F10" s="43" t="str">
        <f t="shared" si="1"/>
        <v>Fall</v>
      </c>
      <c r="G10" s="243">
        <f>SUMIFS('[7]inland_taf_hatchgrp_tableraw&amp;yy'!G$3:G$38,'[7]inland_taf_hatchgrp_tableraw&amp;yy'!$AC$3:$AC$38,'2014 Table 11 CWTs exp'!$A10)</f>
        <v>0</v>
      </c>
      <c r="H10" s="39">
        <f>SUMIFS('[7]inland_taf_hatchgrp_tableraw&amp;yy'!H$3:H$38,'[7]inland_taf_hatchgrp_tableraw&amp;yy'!$AC$3:$AC$38,'2014 Table 11 CWTs exp'!$A10)</f>
        <v>6</v>
      </c>
      <c r="I10" s="38">
        <f>SUMIFS('[7]inland_taf_hatchgrp_tableraw&amp;yy'!I$3:I$38,'[7]inland_taf_hatchgrp_tableraw&amp;yy'!$AC$3:$AC$38,'2014 Table 11 CWTs exp'!$A10)</f>
        <v>8</v>
      </c>
      <c r="J10" s="40">
        <f>SUMIFS('[7]inland_taf_hatchgrp_tableraw&amp;yy'!J$3:J$38,'[7]inland_taf_hatchgrp_tableraw&amp;yy'!$AC$3:$AC$38,'2014 Table 11 CWTs exp'!$A10)</f>
        <v>16</v>
      </c>
      <c r="K10" s="38">
        <f>SUMIFS('[7]inland_taf_hatchgrp_tableraw&amp;yy'!K$3:K$38,'[7]inland_taf_hatchgrp_tableraw&amp;yy'!$AC$3:$AC$38,'2014 Table 11 CWTs exp'!$A10)</f>
        <v>0</v>
      </c>
      <c r="L10" s="38">
        <f>SUMIFS('[7]inland_taf_hatchgrp_tableraw&amp;yy'!L$3:L$38,'[7]inland_taf_hatchgrp_tableraw&amp;yy'!$AC$3:$AC$38,'2014 Table 11 CWTs exp'!$A10)</f>
        <v>0</v>
      </c>
      <c r="M10" s="38">
        <f>SUMIFS('[7]inland_taf_hatchgrp_tableraw&amp;yy'!M$3:M$38,'[7]inland_taf_hatchgrp_tableraw&amp;yy'!$AC$3:$AC$38,'2014 Table 11 CWTs exp'!$A10)</f>
        <v>10</v>
      </c>
      <c r="N10" s="38">
        <f>SUMIFS('[7]inland_taf_hatchgrp_tableraw&amp;yy'!N$3:N$38,'[7]inland_taf_hatchgrp_tableraw&amp;yy'!$AC$3:$AC$38,'2014 Table 11 CWTs exp'!$A10)</f>
        <v>245</v>
      </c>
      <c r="O10" s="38">
        <f>SUMIFS('[7]inland_taf_hatchgrp_tableraw&amp;yy'!O$3:O$38,'[7]inland_taf_hatchgrp_tableraw&amp;yy'!$AC$3:$AC$38,'2014 Table 11 CWTs exp'!$A10)</f>
        <v>48</v>
      </c>
      <c r="P10" s="38">
        <f>SUMIFS('[7]inland_taf_hatchgrp_tableraw&amp;yy'!P$3:P$38,'[7]inland_taf_hatchgrp_tableraw&amp;yy'!$AC$3:$AC$38,'2014 Table 11 CWTs exp'!$A10)</f>
        <v>0</v>
      </c>
      <c r="Q10" s="39">
        <f>SUMIFS('[7]inland_taf_hatchgrp_tableraw&amp;yy'!Q$3:Q$38,'[7]inland_taf_hatchgrp_tableraw&amp;yy'!$AC$3:$AC$38,'2014 Table 11 CWTs exp'!$A10)</f>
        <v>4</v>
      </c>
      <c r="R10" s="40">
        <f>SUMIFS('[7]inland_taf_hatchgrp_tableraw&amp;yy'!R$3:R$38,'[7]inland_taf_hatchgrp_tableraw&amp;yy'!$AC$3:$AC$38,'2014 Table 11 CWTs exp'!$A10)</f>
        <v>92</v>
      </c>
      <c r="S10" s="38">
        <f>SUMIFS('[7]inland_taf_hatchgrp_tableraw&amp;yy'!S$3:S$38,'[7]inland_taf_hatchgrp_tableraw&amp;yy'!$AC$3:$AC$38,'2014 Table 11 CWTs exp'!$A10)</f>
        <v>240</v>
      </c>
      <c r="T10" s="38">
        <f>SUMIFS('[7]inland_taf_hatchgrp_tableraw&amp;yy'!T$3:T$38,'[7]inland_taf_hatchgrp_tableraw&amp;yy'!$AC$3:$AC$38,'2014 Table 11 CWTs exp'!$A10)</f>
        <v>5907</v>
      </c>
      <c r="U10" s="38">
        <f>SUMIFS('[7]inland_taf_hatchgrp_tableraw&amp;yy'!U$3:U$38,'[7]inland_taf_hatchgrp_tableraw&amp;yy'!$AC$3:$AC$38,'2014 Table 11 CWTs exp'!$A10)</f>
        <v>658</v>
      </c>
      <c r="V10" s="39">
        <f>SUMIFS('[7]inland_taf_hatchgrp_tableraw&amp;yy'!V$3:V$38,'[7]inland_taf_hatchgrp_tableraw&amp;yy'!$AC$3:$AC$38,'2014 Table 11 CWTs exp'!$A10)</f>
        <v>2</v>
      </c>
      <c r="W10" s="40">
        <f>SUMIFS('[7]inland_taf_hatchgrp_tableraw&amp;yy'!W$3:W$38,'[7]inland_taf_hatchgrp_tableraw&amp;yy'!$AC$3:$AC$38,'2014 Table 11 CWTs exp'!$A10)</f>
        <v>357</v>
      </c>
      <c r="X10" s="38">
        <f>SUMIFS('[7]inland_taf_hatchgrp_tableraw&amp;yy'!X$3:X$38,'[7]inland_taf_hatchgrp_tableraw&amp;yy'!$AC$3:$AC$38,'2014 Table 11 CWTs exp'!$A10)</f>
        <v>0</v>
      </c>
      <c r="Y10" s="41">
        <f>SUMIFS('[7]inland_taf_hatchgrp_tableraw&amp;yy'!Y$3:Y$38,'[7]inland_taf_hatchgrp_tableraw&amp;yy'!$AC$3:$AC$38,'2014 Table 11 CWTs exp'!$A10)</f>
        <v>7595</v>
      </c>
      <c r="Z10" s="42">
        <f>SUMIFS('[7]inland_taf_hatchgrp_tableraw&amp;yy'!Z$3:Z$38,'[7]inland_taf_hatchgrp_tableraw&amp;yy'!$AC$3:$AC$38,'2014 Table 11 CWTs exp'!$A10)</f>
        <v>1225</v>
      </c>
      <c r="AA10" s="38">
        <f>SUMIFS('[7]inland_taf_hatchgrp_tableraw&amp;yy'!AA$3:AA$38,'[7]inland_taf_hatchgrp_tableraw&amp;yy'!$AC$3:$AC$38,'2014 Table 11 CWTs exp'!$A10)</f>
        <v>8820</v>
      </c>
      <c r="AB10" s="38"/>
      <c r="AC10" s="603" t="e">
        <f>SUMIFS('[7]inland_taf_hatchgrp_tableraw&amp;yy'!AB$3:AB$38,'[7]inland_taf_hatchgrp_tableraw&amp;yy'!$AC$3:$AC$38,'2014 Table 11 CWTs exp'!$A10)</f>
        <v>#VALUE!</v>
      </c>
      <c r="AD10" s="604" t="str">
        <f t="shared" si="2"/>
        <v>MRFI503</v>
      </c>
      <c r="AE10" s="603"/>
      <c r="AF10" s="604"/>
      <c r="AG10" s="597"/>
      <c r="AH10" s="605" t="e">
        <f t="shared" si="3"/>
        <v>#VALUE!</v>
      </c>
      <c r="AI10" s="447">
        <f t="shared" si="4"/>
        <v>1225</v>
      </c>
      <c r="AJ10" s="451"/>
    </row>
    <row r="11" spans="1:60" ht="14.5" customHeight="1" x14ac:dyDescent="0.25">
      <c r="A11" s="50" t="str">
        <f t="shared" si="0"/>
        <v>MRFF503</v>
      </c>
      <c r="B11" s="13" t="s">
        <v>54</v>
      </c>
      <c r="C11" s="13">
        <v>50</v>
      </c>
      <c r="D11" s="13">
        <v>3</v>
      </c>
      <c r="E11" s="252" t="s">
        <v>55</v>
      </c>
      <c r="F11" s="253" t="str">
        <f t="shared" si="1"/>
        <v>Fall</v>
      </c>
      <c r="G11" s="254">
        <f>SUMIFS('[7]inland_taf_hatchgrp_tableraw&amp;yy'!G$3:G$38,'[7]inland_taf_hatchgrp_tableraw&amp;yy'!$AC$3:$AC$38,'2014 Table 11 CWTs exp'!$A11)</f>
        <v>0</v>
      </c>
      <c r="H11" s="255">
        <f>SUMIFS('[7]inland_taf_hatchgrp_tableraw&amp;yy'!H$3:H$38,'[7]inland_taf_hatchgrp_tableraw&amp;yy'!$AC$3:$AC$38,'2014 Table 11 CWTs exp'!$A11)</f>
        <v>1</v>
      </c>
      <c r="I11" s="256">
        <f>SUMIFS('[7]inland_taf_hatchgrp_tableraw&amp;yy'!I$3:I$38,'[7]inland_taf_hatchgrp_tableraw&amp;yy'!$AC$3:$AC$38,'2014 Table 11 CWTs exp'!$A11)</f>
        <v>0</v>
      </c>
      <c r="J11" s="257">
        <f>SUMIFS('[7]inland_taf_hatchgrp_tableraw&amp;yy'!J$3:J$38,'[7]inland_taf_hatchgrp_tableraw&amp;yy'!$AC$3:$AC$38,'2014 Table 11 CWTs exp'!$A11)</f>
        <v>4</v>
      </c>
      <c r="K11" s="256">
        <f>SUMIFS('[7]inland_taf_hatchgrp_tableraw&amp;yy'!K$3:K$38,'[7]inland_taf_hatchgrp_tableraw&amp;yy'!$AC$3:$AC$38,'2014 Table 11 CWTs exp'!$A11)</f>
        <v>0</v>
      </c>
      <c r="L11" s="256">
        <f>SUMIFS('[7]inland_taf_hatchgrp_tableraw&amp;yy'!L$3:L$38,'[7]inland_taf_hatchgrp_tableraw&amp;yy'!$AC$3:$AC$38,'2014 Table 11 CWTs exp'!$A11)</f>
        <v>0</v>
      </c>
      <c r="M11" s="256">
        <f>SUMIFS('[7]inland_taf_hatchgrp_tableraw&amp;yy'!M$3:M$38,'[7]inland_taf_hatchgrp_tableraw&amp;yy'!$AC$3:$AC$38,'2014 Table 11 CWTs exp'!$A11)</f>
        <v>0</v>
      </c>
      <c r="N11" s="256">
        <f>SUMIFS('[7]inland_taf_hatchgrp_tableraw&amp;yy'!N$3:N$38,'[7]inland_taf_hatchgrp_tableraw&amp;yy'!$AC$3:$AC$38,'2014 Table 11 CWTs exp'!$A11)</f>
        <v>45</v>
      </c>
      <c r="O11" s="256">
        <f>SUMIFS('[7]inland_taf_hatchgrp_tableraw&amp;yy'!O$3:O$38,'[7]inland_taf_hatchgrp_tableraw&amp;yy'!$AC$3:$AC$38,'2014 Table 11 CWTs exp'!$A11)</f>
        <v>14</v>
      </c>
      <c r="P11" s="256">
        <f>SUMIFS('[7]inland_taf_hatchgrp_tableraw&amp;yy'!P$3:P$38,'[7]inland_taf_hatchgrp_tableraw&amp;yy'!$AC$3:$AC$38,'2014 Table 11 CWTs exp'!$A11)</f>
        <v>0</v>
      </c>
      <c r="Q11" s="255">
        <f>SUMIFS('[7]inland_taf_hatchgrp_tableraw&amp;yy'!Q$3:Q$38,'[7]inland_taf_hatchgrp_tableraw&amp;yy'!$AC$3:$AC$38,'2014 Table 11 CWTs exp'!$A11)</f>
        <v>0</v>
      </c>
      <c r="R11" s="257">
        <f>SUMIFS('[7]inland_taf_hatchgrp_tableraw&amp;yy'!R$3:R$38,'[7]inland_taf_hatchgrp_tableraw&amp;yy'!$AC$3:$AC$38,'2014 Table 11 CWTs exp'!$A11)</f>
        <v>12</v>
      </c>
      <c r="S11" s="256">
        <f>SUMIFS('[7]inland_taf_hatchgrp_tableraw&amp;yy'!S$3:S$38,'[7]inland_taf_hatchgrp_tableraw&amp;yy'!$AC$3:$AC$38,'2014 Table 11 CWTs exp'!$A11)</f>
        <v>0</v>
      </c>
      <c r="T11" s="256">
        <f>SUMIFS('[7]inland_taf_hatchgrp_tableraw&amp;yy'!T$3:T$38,'[7]inland_taf_hatchgrp_tableraw&amp;yy'!$AC$3:$AC$38,'2014 Table 11 CWTs exp'!$A11)</f>
        <v>447</v>
      </c>
      <c r="U11" s="256">
        <f>SUMIFS('[7]inland_taf_hatchgrp_tableraw&amp;yy'!U$3:U$38,'[7]inland_taf_hatchgrp_tableraw&amp;yy'!$AC$3:$AC$38,'2014 Table 11 CWTs exp'!$A11)</f>
        <v>65</v>
      </c>
      <c r="V11" s="255">
        <f>SUMIFS('[7]inland_taf_hatchgrp_tableraw&amp;yy'!V$3:V$38,'[7]inland_taf_hatchgrp_tableraw&amp;yy'!$AC$3:$AC$38,'2014 Table 11 CWTs exp'!$A11)</f>
        <v>14</v>
      </c>
      <c r="W11" s="257">
        <f>SUMIFS('[7]inland_taf_hatchgrp_tableraw&amp;yy'!W$3:W$38,'[7]inland_taf_hatchgrp_tableraw&amp;yy'!$AC$3:$AC$38,'2014 Table 11 CWTs exp'!$A11)</f>
        <v>178</v>
      </c>
      <c r="X11" s="256">
        <f>SUMIFS('[7]inland_taf_hatchgrp_tableraw&amp;yy'!X$3:X$38,'[7]inland_taf_hatchgrp_tableraw&amp;yy'!$AC$3:$AC$38,'2014 Table 11 CWTs exp'!$A11)</f>
        <v>0</v>
      </c>
      <c r="Y11" s="258">
        <f>SUMIFS('[7]inland_taf_hatchgrp_tableraw&amp;yy'!Y$3:Y$38,'[7]inland_taf_hatchgrp_tableraw&amp;yy'!$AC$3:$AC$38,'2014 Table 11 CWTs exp'!$A11)</f>
        <v>781</v>
      </c>
      <c r="Z11" s="259">
        <f>SUMIFS('[7]inland_taf_hatchgrp_tableraw&amp;yy'!Z$3:Z$38,'[7]inland_taf_hatchgrp_tableraw&amp;yy'!$AC$3:$AC$38,'2014 Table 11 CWTs exp'!$A11)</f>
        <v>30</v>
      </c>
      <c r="AA11" s="256">
        <f>SUMIFS('[7]inland_taf_hatchgrp_tableraw&amp;yy'!AA$3:AA$38,'[7]inland_taf_hatchgrp_tableraw&amp;yy'!$AC$3:$AC$38,'2014 Table 11 CWTs exp'!$A11)</f>
        <v>811</v>
      </c>
      <c r="AB11" s="38"/>
      <c r="AC11" s="603" t="e">
        <f>SUMIFS('[7]inland_taf_hatchgrp_tableraw&amp;yy'!AB$3:AB$38,'[7]inland_taf_hatchgrp_tableraw&amp;yy'!$AC$3:$AC$38,'2014 Table 11 CWTs exp'!$A11)</f>
        <v>#VALUE!</v>
      </c>
      <c r="AD11" s="604" t="str">
        <f t="shared" si="2"/>
        <v>MRFF503</v>
      </c>
      <c r="AE11" s="603"/>
      <c r="AF11" s="604"/>
      <c r="AG11" s="597"/>
      <c r="AH11" s="605" t="e">
        <f t="shared" si="3"/>
        <v>#VALUE!</v>
      </c>
      <c r="AI11" s="447">
        <f t="shared" si="4"/>
        <v>30</v>
      </c>
      <c r="AJ11" s="451"/>
    </row>
    <row r="12" spans="1:60" ht="14.5" customHeight="1" x14ac:dyDescent="0.25">
      <c r="A12" s="50" t="str">
        <f t="shared" si="0"/>
        <v>CNFH507</v>
      </c>
      <c r="B12" s="13" t="s">
        <v>40</v>
      </c>
      <c r="C12" s="13">
        <v>50</v>
      </c>
      <c r="D12" s="13">
        <v>7</v>
      </c>
      <c r="E12" s="3" t="s">
        <v>56</v>
      </c>
      <c r="F12" s="37" t="s">
        <v>57</v>
      </c>
      <c r="G12" s="243">
        <f>SUMIFS('[7]inland_taf_hatchgrp_tableraw&amp;yy'!G$3:G$38,'[7]inland_taf_hatchgrp_tableraw&amp;yy'!$AC$3:$AC$38,'2014 Table 11 CWTs exp'!$A12)</f>
        <v>0</v>
      </c>
      <c r="H12" s="39">
        <f>SUMIFS('[7]inland_taf_hatchgrp_tableraw&amp;yy'!H$3:H$38,'[7]inland_taf_hatchgrp_tableraw&amp;yy'!$AC$3:$AC$38,'2014 Table 11 CWTs exp'!$A12)</f>
        <v>6707</v>
      </c>
      <c r="I12" s="38">
        <f>SUMIFS('[7]inland_taf_hatchgrp_tableraw&amp;yy'!I$3:I$38,'[7]inland_taf_hatchgrp_tableraw&amp;yy'!$AC$3:$AC$38,'2014 Table 11 CWTs exp'!$A12)</f>
        <v>0</v>
      </c>
      <c r="J12" s="40">
        <f>SUMIFS('[7]inland_taf_hatchgrp_tableraw&amp;yy'!J$3:J$38,'[7]inland_taf_hatchgrp_tableraw&amp;yy'!$AC$3:$AC$38,'2014 Table 11 CWTs exp'!$A12)</f>
        <v>0</v>
      </c>
      <c r="K12" s="38">
        <f>SUMIFS('[7]inland_taf_hatchgrp_tableraw&amp;yy'!K$3:K$38,'[7]inland_taf_hatchgrp_tableraw&amp;yy'!$AC$3:$AC$38,'2014 Table 11 CWTs exp'!$A12)</f>
        <v>0</v>
      </c>
      <c r="L12" s="38">
        <f>SUMIFS('[7]inland_taf_hatchgrp_tableraw&amp;yy'!L$3:L$38,'[7]inland_taf_hatchgrp_tableraw&amp;yy'!$AC$3:$AC$38,'2014 Table 11 CWTs exp'!$A12)</f>
        <v>0</v>
      </c>
      <c r="M12" s="38">
        <f>SUMIFS('[7]inland_taf_hatchgrp_tableraw&amp;yy'!M$3:M$38,'[7]inland_taf_hatchgrp_tableraw&amp;yy'!$AC$3:$AC$38,'2014 Table 11 CWTs exp'!$A12)</f>
        <v>0</v>
      </c>
      <c r="N12" s="38">
        <f>SUMIFS('[7]inland_taf_hatchgrp_tableraw&amp;yy'!N$3:N$38,'[7]inland_taf_hatchgrp_tableraw&amp;yy'!$AC$3:$AC$38,'2014 Table 11 CWTs exp'!$A12)</f>
        <v>0</v>
      </c>
      <c r="O12" s="38">
        <f>SUMIFS('[7]inland_taf_hatchgrp_tableraw&amp;yy'!O$3:O$38,'[7]inland_taf_hatchgrp_tableraw&amp;yy'!$AC$3:$AC$38,'2014 Table 11 CWTs exp'!$A12)</f>
        <v>0</v>
      </c>
      <c r="P12" s="38">
        <f>SUMIFS('[7]inland_taf_hatchgrp_tableraw&amp;yy'!P$3:P$38,'[7]inland_taf_hatchgrp_tableraw&amp;yy'!$AC$3:$AC$38,'2014 Table 11 CWTs exp'!$A12)</f>
        <v>0</v>
      </c>
      <c r="Q12" s="39">
        <f>SUMIFS('[7]inland_taf_hatchgrp_tableraw&amp;yy'!Q$3:Q$38,'[7]inland_taf_hatchgrp_tableraw&amp;yy'!$AC$3:$AC$38,'2014 Table 11 CWTs exp'!$A12)</f>
        <v>0</v>
      </c>
      <c r="R12" s="40">
        <f>SUMIFS('[7]inland_taf_hatchgrp_tableraw&amp;yy'!R$3:R$38,'[7]inland_taf_hatchgrp_tableraw&amp;yy'!$AC$3:$AC$38,'2014 Table 11 CWTs exp'!$A12)</f>
        <v>0</v>
      </c>
      <c r="S12" s="38">
        <f>SUMIFS('[7]inland_taf_hatchgrp_tableraw&amp;yy'!S$3:S$38,'[7]inland_taf_hatchgrp_tableraw&amp;yy'!$AC$3:$AC$38,'2014 Table 11 CWTs exp'!$A12)</f>
        <v>0</v>
      </c>
      <c r="T12" s="38">
        <f>SUMIFS('[7]inland_taf_hatchgrp_tableraw&amp;yy'!T$3:T$38,'[7]inland_taf_hatchgrp_tableraw&amp;yy'!$AC$3:$AC$38,'2014 Table 11 CWTs exp'!$A12)</f>
        <v>0</v>
      </c>
      <c r="U12" s="38">
        <f>SUMIFS('[7]inland_taf_hatchgrp_tableraw&amp;yy'!U$3:U$38,'[7]inland_taf_hatchgrp_tableraw&amp;yy'!$AC$3:$AC$38,'2014 Table 11 CWTs exp'!$A12)</f>
        <v>0</v>
      </c>
      <c r="V12" s="39">
        <f>SUMIFS('[7]inland_taf_hatchgrp_tableraw&amp;yy'!V$3:V$38,'[7]inland_taf_hatchgrp_tableraw&amp;yy'!$AC$3:$AC$38,'2014 Table 11 CWTs exp'!$A12)</f>
        <v>0</v>
      </c>
      <c r="W12" s="40">
        <f>SUMIFS('[7]inland_taf_hatchgrp_tableraw&amp;yy'!W$3:W$38,'[7]inland_taf_hatchgrp_tableraw&amp;yy'!$AC$3:$AC$38,'2014 Table 11 CWTs exp'!$A12)</f>
        <v>0</v>
      </c>
      <c r="X12" s="38">
        <f>SUMIFS('[7]inland_taf_hatchgrp_tableraw&amp;yy'!X$3:X$38,'[7]inland_taf_hatchgrp_tableraw&amp;yy'!$AC$3:$AC$38,'2014 Table 11 CWTs exp'!$A12)</f>
        <v>0</v>
      </c>
      <c r="Y12" s="41">
        <f>SUMIFS('[7]inland_taf_hatchgrp_tableraw&amp;yy'!Y$3:Y$38,'[7]inland_taf_hatchgrp_tableraw&amp;yy'!$AC$3:$AC$38,'2014 Table 11 CWTs exp'!$A12)</f>
        <v>6707</v>
      </c>
      <c r="Z12" s="42">
        <f>SUMIFS('[7]inland_taf_hatchgrp_tableraw&amp;yy'!Z$3:Z$38,'[7]inland_taf_hatchgrp_tableraw&amp;yy'!$AC$3:$AC$38,'2014 Table 11 CWTs exp'!$A12)</f>
        <v>107</v>
      </c>
      <c r="AA12" s="38">
        <f>SUMIFS('[7]inland_taf_hatchgrp_tableraw&amp;yy'!AA$3:AA$38,'[7]inland_taf_hatchgrp_tableraw&amp;yy'!$AC$3:$AC$38,'2014 Table 11 CWTs exp'!$A12)</f>
        <v>6814</v>
      </c>
      <c r="AB12" s="38"/>
      <c r="AC12" s="603" t="e">
        <f>SUMIFS('[7]inland_taf_hatchgrp_tableraw&amp;yy'!AB$3:AB$38,'[7]inland_taf_hatchgrp_tableraw&amp;yy'!$AC$3:$AC$38,'2014 Table 11 CWTs exp'!$A12)</f>
        <v>#VALUE!</v>
      </c>
      <c r="AD12" s="604" t="str">
        <f t="shared" si="2"/>
        <v>CNFH507</v>
      </c>
      <c r="AE12" s="603"/>
      <c r="AF12" s="604"/>
      <c r="AG12" s="597"/>
      <c r="AH12" s="592" t="e">
        <f>AVERAGE(AH7:AH11)</f>
        <v>#VALUE!</v>
      </c>
      <c r="AI12" s="447">
        <f>SUM(AI7:AI11)</f>
        <v>5639</v>
      </c>
      <c r="AJ12" s="448">
        <f>AI12/AA14</f>
        <v>9.3618222266494008E-2</v>
      </c>
    </row>
    <row r="13" spans="1:60" ht="14.5" customHeight="1" x14ac:dyDescent="0.25">
      <c r="A13" s="50" t="str">
        <f t="shared" si="0"/>
        <v>CNFW527</v>
      </c>
      <c r="B13" s="13" t="s">
        <v>59</v>
      </c>
      <c r="C13" s="13">
        <v>52</v>
      </c>
      <c r="D13" s="13">
        <v>7</v>
      </c>
      <c r="E13" s="3" t="s">
        <v>60</v>
      </c>
      <c r="F13" s="37" t="s">
        <v>57</v>
      </c>
      <c r="G13" s="243">
        <f>SUMIFS('[7]inland_taf_hatchgrp_tableraw&amp;yy'!G$3:G$38,'[7]inland_taf_hatchgrp_tableraw&amp;yy'!$AC$3:$AC$38,'2014 Table 11 CWTs exp'!$A13)</f>
        <v>0</v>
      </c>
      <c r="H13" s="39">
        <f>SUMIFS('[7]inland_taf_hatchgrp_tableraw&amp;yy'!H$3:H$38,'[7]inland_taf_hatchgrp_tableraw&amp;yy'!$AC$3:$AC$38,'2014 Table 11 CWTs exp'!$A13)</f>
        <v>116</v>
      </c>
      <c r="I13" s="38">
        <f>SUMIFS('[7]inland_taf_hatchgrp_tableraw&amp;yy'!I$3:I$38,'[7]inland_taf_hatchgrp_tableraw&amp;yy'!$AC$3:$AC$38,'2014 Table 11 CWTs exp'!$A13)</f>
        <v>0</v>
      </c>
      <c r="J13" s="40">
        <f>SUMIFS('[7]inland_taf_hatchgrp_tableraw&amp;yy'!J$3:J$38,'[7]inland_taf_hatchgrp_tableraw&amp;yy'!$AC$3:$AC$38,'2014 Table 11 CWTs exp'!$A13)</f>
        <v>0</v>
      </c>
      <c r="K13" s="38">
        <f>SUMIFS('[7]inland_taf_hatchgrp_tableraw&amp;yy'!K$3:K$38,'[7]inland_taf_hatchgrp_tableraw&amp;yy'!$AC$3:$AC$38,'2014 Table 11 CWTs exp'!$A13)</f>
        <v>0</v>
      </c>
      <c r="L13" s="38">
        <f>SUMIFS('[7]inland_taf_hatchgrp_tableraw&amp;yy'!L$3:L$38,'[7]inland_taf_hatchgrp_tableraw&amp;yy'!$AC$3:$AC$38,'2014 Table 11 CWTs exp'!$A13)</f>
        <v>0</v>
      </c>
      <c r="M13" s="38">
        <f>SUMIFS('[7]inland_taf_hatchgrp_tableraw&amp;yy'!M$3:M$38,'[7]inland_taf_hatchgrp_tableraw&amp;yy'!$AC$3:$AC$38,'2014 Table 11 CWTs exp'!$A13)</f>
        <v>0</v>
      </c>
      <c r="N13" s="38">
        <f>SUMIFS('[7]inland_taf_hatchgrp_tableraw&amp;yy'!N$3:N$38,'[7]inland_taf_hatchgrp_tableraw&amp;yy'!$AC$3:$AC$38,'2014 Table 11 CWTs exp'!$A13)</f>
        <v>0</v>
      </c>
      <c r="O13" s="38">
        <f>SUMIFS('[7]inland_taf_hatchgrp_tableraw&amp;yy'!O$3:O$38,'[7]inland_taf_hatchgrp_tableraw&amp;yy'!$AC$3:$AC$38,'2014 Table 11 CWTs exp'!$A13)</f>
        <v>0</v>
      </c>
      <c r="P13" s="38">
        <f>SUMIFS('[7]inland_taf_hatchgrp_tableraw&amp;yy'!P$3:P$38,'[7]inland_taf_hatchgrp_tableraw&amp;yy'!$AC$3:$AC$38,'2014 Table 11 CWTs exp'!$A13)</f>
        <v>0</v>
      </c>
      <c r="Q13" s="39">
        <f>SUMIFS('[7]inland_taf_hatchgrp_tableraw&amp;yy'!Q$3:Q$38,'[7]inland_taf_hatchgrp_tableraw&amp;yy'!$AC$3:$AC$38,'2014 Table 11 CWTs exp'!$A13)</f>
        <v>0</v>
      </c>
      <c r="R13" s="40">
        <f>SUMIFS('[7]inland_taf_hatchgrp_tableraw&amp;yy'!R$3:R$38,'[7]inland_taf_hatchgrp_tableraw&amp;yy'!$AC$3:$AC$38,'2014 Table 11 CWTs exp'!$A13)</f>
        <v>0</v>
      </c>
      <c r="S13" s="38">
        <f>SUMIFS('[7]inland_taf_hatchgrp_tableraw&amp;yy'!S$3:S$38,'[7]inland_taf_hatchgrp_tableraw&amp;yy'!$AC$3:$AC$38,'2014 Table 11 CWTs exp'!$A13)</f>
        <v>0</v>
      </c>
      <c r="T13" s="38">
        <f>SUMIFS('[7]inland_taf_hatchgrp_tableraw&amp;yy'!T$3:T$38,'[7]inland_taf_hatchgrp_tableraw&amp;yy'!$AC$3:$AC$38,'2014 Table 11 CWTs exp'!$A13)</f>
        <v>0</v>
      </c>
      <c r="U13" s="38">
        <f>SUMIFS('[7]inland_taf_hatchgrp_tableraw&amp;yy'!U$3:U$38,'[7]inland_taf_hatchgrp_tableraw&amp;yy'!$AC$3:$AC$38,'2014 Table 11 CWTs exp'!$A13)</f>
        <v>0</v>
      </c>
      <c r="V13" s="39">
        <f>SUMIFS('[7]inland_taf_hatchgrp_tableraw&amp;yy'!V$3:V$38,'[7]inland_taf_hatchgrp_tableraw&amp;yy'!$AC$3:$AC$38,'2014 Table 11 CWTs exp'!$A13)</f>
        <v>0</v>
      </c>
      <c r="W13" s="40">
        <f>SUMIFS('[7]inland_taf_hatchgrp_tableraw&amp;yy'!W$3:W$38,'[7]inland_taf_hatchgrp_tableraw&amp;yy'!$AC$3:$AC$38,'2014 Table 11 CWTs exp'!$A13)</f>
        <v>0</v>
      </c>
      <c r="X13" s="38">
        <f>SUMIFS('[7]inland_taf_hatchgrp_tableraw&amp;yy'!X$3:X$38,'[7]inland_taf_hatchgrp_tableraw&amp;yy'!$AC$3:$AC$38,'2014 Table 11 CWTs exp'!$A13)</f>
        <v>0</v>
      </c>
      <c r="Y13" s="41">
        <f>SUMIFS('[7]inland_taf_hatchgrp_tableraw&amp;yy'!Y$3:Y$38,'[7]inland_taf_hatchgrp_tableraw&amp;yy'!$AC$3:$AC$38,'2014 Table 11 CWTs exp'!$A13)</f>
        <v>116</v>
      </c>
      <c r="Z13" s="42">
        <f>SUMIFS('[7]inland_taf_hatchgrp_tableraw&amp;yy'!Z$3:Z$38,'[7]inland_taf_hatchgrp_tableraw&amp;yy'!$AC$3:$AC$38,'2014 Table 11 CWTs exp'!$A13)</f>
        <v>21</v>
      </c>
      <c r="AA13" s="38">
        <f>SUMIFS('[7]inland_taf_hatchgrp_tableraw&amp;yy'!AA$3:AA$38,'[7]inland_taf_hatchgrp_tableraw&amp;yy'!$AC$3:$AC$38,'2014 Table 11 CWTs exp'!$A13)</f>
        <v>137</v>
      </c>
      <c r="AB13" s="38"/>
      <c r="AC13" s="603" t="e">
        <f>SUMIFS('[7]inland_taf_hatchgrp_tableraw&amp;yy'!AB$3:AB$38,'[7]inland_taf_hatchgrp_tableraw&amp;yy'!$AC$3:$AC$38,'2014 Table 11 CWTs exp'!$A13)</f>
        <v>#VALUE!</v>
      </c>
      <c r="AD13" s="604" t="str">
        <f t="shared" si="2"/>
        <v>CNFW527</v>
      </c>
      <c r="AE13" s="444">
        <f>SUM(Y5:Y13)</f>
        <v>64202</v>
      </c>
      <c r="AF13" s="606">
        <f>SUM(Z5:Z13)</f>
        <v>5782</v>
      </c>
      <c r="AG13" s="606">
        <f>SUM(AA5:AA13)</f>
        <v>69984</v>
      </c>
      <c r="AH13" s="600" t="s">
        <v>58</v>
      </c>
      <c r="AI13" s="599"/>
      <c r="AJ13" s="451"/>
    </row>
    <row r="14" spans="1:60" ht="14.15" customHeight="1" x14ac:dyDescent="0.3">
      <c r="A14" s="55"/>
      <c r="B14" s="56"/>
      <c r="C14" s="56"/>
      <c r="D14" s="56"/>
      <c r="E14" s="743" t="s">
        <v>188</v>
      </c>
      <c r="F14" s="743"/>
      <c r="G14" s="276">
        <f t="shared" ref="G14:AA14" si="5">SUM(G7:G11)</f>
        <v>0</v>
      </c>
      <c r="H14" s="58">
        <f t="shared" si="5"/>
        <v>7</v>
      </c>
      <c r="I14" s="59">
        <f t="shared" si="5"/>
        <v>15973</v>
      </c>
      <c r="J14" s="60">
        <f t="shared" si="5"/>
        <v>294</v>
      </c>
      <c r="K14" s="59">
        <f t="shared" si="5"/>
        <v>2361</v>
      </c>
      <c r="L14" s="59">
        <f t="shared" si="5"/>
        <v>932</v>
      </c>
      <c r="M14" s="59">
        <f t="shared" si="5"/>
        <v>699</v>
      </c>
      <c r="N14" s="59">
        <f t="shared" si="5"/>
        <v>18374</v>
      </c>
      <c r="O14" s="59">
        <f t="shared" si="5"/>
        <v>857</v>
      </c>
      <c r="P14" s="59">
        <f t="shared" si="5"/>
        <v>34</v>
      </c>
      <c r="Q14" s="58">
        <f t="shared" si="5"/>
        <v>2802</v>
      </c>
      <c r="R14" s="60">
        <f t="shared" si="5"/>
        <v>2114</v>
      </c>
      <c r="S14" s="59">
        <f t="shared" si="5"/>
        <v>246</v>
      </c>
      <c r="T14" s="59">
        <f t="shared" si="5"/>
        <v>8171</v>
      </c>
      <c r="U14" s="59">
        <f t="shared" si="5"/>
        <v>986</v>
      </c>
      <c r="V14" s="58">
        <f t="shared" si="5"/>
        <v>17</v>
      </c>
      <c r="W14" s="60">
        <f t="shared" si="5"/>
        <v>723</v>
      </c>
      <c r="X14" s="59">
        <f t="shared" si="5"/>
        <v>0</v>
      </c>
      <c r="Y14" s="188">
        <f t="shared" si="5"/>
        <v>54595</v>
      </c>
      <c r="Z14" s="189">
        <f t="shared" si="5"/>
        <v>5639</v>
      </c>
      <c r="AA14" s="59">
        <f t="shared" si="5"/>
        <v>60234</v>
      </c>
      <c r="AB14" s="64"/>
      <c r="AC14" s="562">
        <f>Y14/AA14</f>
        <v>0.90638177773350603</v>
      </c>
      <c r="AD14" s="562"/>
      <c r="AE14" s="607"/>
      <c r="AF14" s="608"/>
      <c r="AG14" s="608"/>
      <c r="AH14" s="608"/>
      <c r="AI14" s="609"/>
      <c r="AJ14" s="610"/>
      <c r="AK14" s="67"/>
    </row>
    <row r="15" spans="1:60" ht="14.15" customHeight="1" x14ac:dyDescent="0.3">
      <c r="A15" s="50" t="s">
        <v>62</v>
      </c>
      <c r="B15" s="13"/>
      <c r="C15" s="13"/>
      <c r="D15" s="13"/>
      <c r="E15" s="26" t="s">
        <v>63</v>
      </c>
      <c r="F15" s="47"/>
      <c r="G15" s="28"/>
      <c r="H15" s="69"/>
      <c r="I15" s="68"/>
      <c r="J15" s="70"/>
      <c r="K15" s="68"/>
      <c r="L15" s="68"/>
      <c r="M15" s="68"/>
      <c r="N15" s="68"/>
      <c r="O15" s="68"/>
      <c r="P15" s="68"/>
      <c r="Q15" s="69"/>
      <c r="R15" s="70"/>
      <c r="S15" s="68"/>
      <c r="T15" s="68"/>
      <c r="U15" s="68"/>
      <c r="V15" s="69"/>
      <c r="W15" s="70"/>
      <c r="X15" s="68"/>
      <c r="Y15" s="86"/>
      <c r="Z15" s="87"/>
      <c r="AA15" s="68"/>
      <c r="AB15" s="68"/>
      <c r="AC15" s="611"/>
      <c r="AD15" s="611"/>
      <c r="AE15" s="442"/>
      <c r="AF15" s="597"/>
      <c r="AG15" s="597"/>
      <c r="AH15" s="597"/>
      <c r="AI15" s="599"/>
      <c r="AJ15" s="451"/>
    </row>
    <row r="16" spans="1:60" ht="14.5" customHeight="1" x14ac:dyDescent="0.25">
      <c r="A16" s="50" t="str">
        <f t="shared" ref="A16:A36" si="6">CONCATENATE(B16,C16,D16)</f>
        <v>USAC544</v>
      </c>
      <c r="B16" s="13" t="s">
        <v>64</v>
      </c>
      <c r="C16" s="13">
        <v>54</v>
      </c>
      <c r="D16" s="13">
        <v>4</v>
      </c>
      <c r="E16" s="3" t="s">
        <v>65</v>
      </c>
      <c r="F16" s="43" t="str">
        <f>LOOKUP(D16,$AK$5:$AK$8,$AL$5:$AL$8)</f>
        <v>Winter</v>
      </c>
      <c r="G16" s="235">
        <f>SUMIFS('[7]inland_taf_hatchgrp_tableraw&amp;yy'!G$3:G$38,'[7]inland_taf_hatchgrp_tableraw&amp;yy'!$AC$3:$AC$38,'2014 Table 11 CWTs exp'!$A16)</f>
        <v>430</v>
      </c>
      <c r="H16" s="45">
        <f>SUMIFS('[7]inland_taf_hatchgrp_tableraw&amp;yy'!H$3:H$38,'[7]inland_taf_hatchgrp_tableraw&amp;yy'!$AC$3:$AC$38,'2014 Table 11 CWTs exp'!$A16)</f>
        <v>0</v>
      </c>
      <c r="I16" s="44">
        <f>SUMIFS('[7]inland_taf_hatchgrp_tableraw&amp;yy'!I$3:I$38,'[7]inland_taf_hatchgrp_tableraw&amp;yy'!$AC$3:$AC$38,'2014 Table 11 CWTs exp'!$A16)</f>
        <v>0</v>
      </c>
      <c r="J16" s="46">
        <f>SUMIFS('[7]inland_taf_hatchgrp_tableraw&amp;yy'!J$3:J$38,'[7]inland_taf_hatchgrp_tableraw&amp;yy'!$AC$3:$AC$38,'2014 Table 11 CWTs exp'!$A16)</f>
        <v>0</v>
      </c>
      <c r="K16" s="44">
        <f>SUMIFS('[7]inland_taf_hatchgrp_tableraw&amp;yy'!K$3:K$38,'[7]inland_taf_hatchgrp_tableraw&amp;yy'!$AC$3:$AC$38,'2014 Table 11 CWTs exp'!$A16)</f>
        <v>0</v>
      </c>
      <c r="L16" s="44">
        <f>SUMIFS('[7]inland_taf_hatchgrp_tableraw&amp;yy'!L$3:L$38,'[7]inland_taf_hatchgrp_tableraw&amp;yy'!$AC$3:$AC$38,'2014 Table 11 CWTs exp'!$A16)</f>
        <v>0</v>
      </c>
      <c r="M16" s="44">
        <f>SUMIFS('[7]inland_taf_hatchgrp_tableraw&amp;yy'!M$3:M$38,'[7]inland_taf_hatchgrp_tableraw&amp;yy'!$AC$3:$AC$38,'2014 Table 11 CWTs exp'!$A16)</f>
        <v>0</v>
      </c>
      <c r="N16" s="44">
        <f>SUMIFS('[7]inland_taf_hatchgrp_tableraw&amp;yy'!N$3:N$38,'[7]inland_taf_hatchgrp_tableraw&amp;yy'!$AC$3:$AC$38,'2014 Table 11 CWTs exp'!$A16)</f>
        <v>0</v>
      </c>
      <c r="O16" s="44">
        <f>SUMIFS('[7]inland_taf_hatchgrp_tableraw&amp;yy'!O$3:O$38,'[7]inland_taf_hatchgrp_tableraw&amp;yy'!$AC$3:$AC$38,'2014 Table 11 CWTs exp'!$A16)</f>
        <v>0</v>
      </c>
      <c r="P16" s="44">
        <f>SUMIFS('[7]inland_taf_hatchgrp_tableraw&amp;yy'!P$3:P$38,'[7]inland_taf_hatchgrp_tableraw&amp;yy'!$AC$3:$AC$38,'2014 Table 11 CWTs exp'!$A16)</f>
        <v>0</v>
      </c>
      <c r="Q16" s="45">
        <f>SUMIFS('[7]inland_taf_hatchgrp_tableraw&amp;yy'!Q$3:Q$38,'[7]inland_taf_hatchgrp_tableraw&amp;yy'!$AC$3:$AC$38,'2014 Table 11 CWTs exp'!$A16)</f>
        <v>0</v>
      </c>
      <c r="R16" s="46">
        <f>SUMIFS('[7]inland_taf_hatchgrp_tableraw&amp;yy'!R$3:R$38,'[7]inland_taf_hatchgrp_tableraw&amp;yy'!$AC$3:$AC$38,'2014 Table 11 CWTs exp'!$A16)</f>
        <v>0</v>
      </c>
      <c r="S16" s="44">
        <f>SUMIFS('[7]inland_taf_hatchgrp_tableraw&amp;yy'!S$3:S$38,'[7]inland_taf_hatchgrp_tableraw&amp;yy'!$AC$3:$AC$38,'2014 Table 11 CWTs exp'!$A16)</f>
        <v>0</v>
      </c>
      <c r="T16" s="44">
        <f>SUMIFS('[7]inland_taf_hatchgrp_tableraw&amp;yy'!T$3:T$38,'[7]inland_taf_hatchgrp_tableraw&amp;yy'!$AC$3:$AC$38,'2014 Table 11 CWTs exp'!$A16)</f>
        <v>0</v>
      </c>
      <c r="U16" s="44">
        <f>SUMIFS('[7]inland_taf_hatchgrp_tableraw&amp;yy'!U$3:U$38,'[7]inland_taf_hatchgrp_tableraw&amp;yy'!$AC$3:$AC$38,'2014 Table 11 CWTs exp'!$A16)</f>
        <v>0</v>
      </c>
      <c r="V16" s="45">
        <f>SUMIFS('[7]inland_taf_hatchgrp_tableraw&amp;yy'!V$3:V$38,'[7]inland_taf_hatchgrp_tableraw&amp;yy'!$AC$3:$AC$38,'2014 Table 11 CWTs exp'!$A16)</f>
        <v>0</v>
      </c>
      <c r="W16" s="46">
        <f>SUMIFS('[7]inland_taf_hatchgrp_tableraw&amp;yy'!W$3:W$38,'[7]inland_taf_hatchgrp_tableraw&amp;yy'!$AC$3:$AC$38,'2014 Table 11 CWTs exp'!$A16)</f>
        <v>0</v>
      </c>
      <c r="X16" s="44">
        <f>SUMIFS('[7]inland_taf_hatchgrp_tableraw&amp;yy'!X$3:X$38,'[7]inland_taf_hatchgrp_tableraw&amp;yy'!$AC$3:$AC$38,'2014 Table 11 CWTs exp'!$A16)</f>
        <v>0</v>
      </c>
      <c r="Y16" s="84">
        <f>SUMIFS('[7]inland_taf_hatchgrp_tableraw&amp;yy'!Y$3:Y$38,'[7]inland_taf_hatchgrp_tableraw&amp;yy'!$AC$3:$AC$38,'2014 Table 11 CWTs exp'!$A16)</f>
        <v>430</v>
      </c>
      <c r="Z16" s="85">
        <f>SUMIFS('[7]inland_taf_hatchgrp_tableraw&amp;yy'!Z$3:Z$38,'[7]inland_taf_hatchgrp_tableraw&amp;yy'!$AC$3:$AC$38,'2014 Table 11 CWTs exp'!$A16)</f>
        <v>2197</v>
      </c>
      <c r="AA16" s="44">
        <f>SUMIFS('[7]inland_taf_hatchgrp_tableraw&amp;yy'!AA$3:AA$38,'[7]inland_taf_hatchgrp_tableraw&amp;yy'!$AC$3:$AC$38,'2014 Table 11 CWTs exp'!$A16)</f>
        <v>2627</v>
      </c>
      <c r="AB16" s="44"/>
      <c r="AC16" s="566" t="e">
        <f>SUMIFS('[7]inland_taf_hatchgrp_tableraw&amp;yy'!AB$3:AB$38,'[7]inland_taf_hatchgrp_tableraw&amp;yy'!$AC$3:$AC$38,'2014 Table 11 CWTs exp'!$A16)</f>
        <v>#VALUE!</v>
      </c>
      <c r="AD16" s="604" t="str">
        <f t="shared" ref="AD16:AD36" si="7">A16</f>
        <v>USAC544</v>
      </c>
      <c r="AE16" s="442"/>
      <c r="AF16" s="597"/>
      <c r="AG16" s="597"/>
      <c r="AH16" s="597"/>
      <c r="AI16" s="599"/>
      <c r="AJ16" s="451"/>
    </row>
    <row r="17" spans="1:36" ht="14.5" customHeight="1" x14ac:dyDescent="0.25">
      <c r="A17" s="50" t="str">
        <f t="shared" si="6"/>
        <v>BUT541</v>
      </c>
      <c r="B17" s="13" t="s">
        <v>208</v>
      </c>
      <c r="C17" s="13">
        <v>54</v>
      </c>
      <c r="D17" s="13">
        <v>1</v>
      </c>
      <c r="E17" s="252" t="s">
        <v>67</v>
      </c>
      <c r="F17" s="253" t="str">
        <f>LOOKUP(D17,$AK$5:$AK$8,$AL$5:$AL$8)</f>
        <v>Spring</v>
      </c>
      <c r="G17" s="254">
        <f>SUMIFS('[7]inland_taf_hatchgrp_tableraw&amp;yy'!G$3:G$38,'[7]inland_taf_hatchgrp_tableraw&amp;yy'!$AC$3:$AC$38,'2014 Table 11 CWTs exp'!$A17)</f>
        <v>0</v>
      </c>
      <c r="H17" s="255">
        <f>SUMIFS('[7]inland_taf_hatchgrp_tableraw&amp;yy'!H$3:H$38,'[7]inland_taf_hatchgrp_tableraw&amp;yy'!$AC$3:$AC$38,'2014 Table 11 CWTs exp'!$A17)</f>
        <v>0</v>
      </c>
      <c r="I17" s="256">
        <f>SUMIFS('[7]inland_taf_hatchgrp_tableraw&amp;yy'!I$3:I$38,'[7]inland_taf_hatchgrp_tableraw&amp;yy'!$AC$3:$AC$38,'2014 Table 11 CWTs exp'!$A17)</f>
        <v>0</v>
      </c>
      <c r="J17" s="257">
        <f>SUMIFS('[7]inland_taf_hatchgrp_tableraw&amp;yy'!J$3:J$38,'[7]inland_taf_hatchgrp_tableraw&amp;yy'!$AC$3:$AC$38,'2014 Table 11 CWTs exp'!$A17)</f>
        <v>0</v>
      </c>
      <c r="K17" s="256">
        <f>SUMIFS('[7]inland_taf_hatchgrp_tableraw&amp;yy'!K$3:K$38,'[7]inland_taf_hatchgrp_tableraw&amp;yy'!$AC$3:$AC$38,'2014 Table 11 CWTs exp'!$A17)</f>
        <v>0</v>
      </c>
      <c r="L17" s="256">
        <f>SUMIFS('[7]inland_taf_hatchgrp_tableraw&amp;yy'!L$3:L$38,'[7]inland_taf_hatchgrp_tableraw&amp;yy'!$AC$3:$AC$38,'2014 Table 11 CWTs exp'!$A17)</f>
        <v>0</v>
      </c>
      <c r="M17" s="256">
        <f>SUMIFS('[7]inland_taf_hatchgrp_tableraw&amp;yy'!M$3:M$38,'[7]inland_taf_hatchgrp_tableraw&amp;yy'!$AC$3:$AC$38,'2014 Table 11 CWTs exp'!$A17)</f>
        <v>0</v>
      </c>
      <c r="N17" s="256">
        <f>SUMIFS('[7]inland_taf_hatchgrp_tableraw&amp;yy'!N$3:N$38,'[7]inland_taf_hatchgrp_tableraw&amp;yy'!$AC$3:$AC$38,'2014 Table 11 CWTs exp'!$A17)</f>
        <v>0</v>
      </c>
      <c r="O17" s="256">
        <f>SUMIFS('[7]inland_taf_hatchgrp_tableraw&amp;yy'!O$3:O$38,'[7]inland_taf_hatchgrp_tableraw&amp;yy'!$AC$3:$AC$38,'2014 Table 11 CWTs exp'!$A17)</f>
        <v>0</v>
      </c>
      <c r="P17" s="256">
        <f>SUMIFS('[7]inland_taf_hatchgrp_tableraw&amp;yy'!P$3:P$38,'[7]inland_taf_hatchgrp_tableraw&amp;yy'!$AC$3:$AC$38,'2014 Table 11 CWTs exp'!$A17)</f>
        <v>0</v>
      </c>
      <c r="Q17" s="255">
        <f>SUMIFS('[7]inland_taf_hatchgrp_tableraw&amp;yy'!Q$3:Q$38,'[7]inland_taf_hatchgrp_tableraw&amp;yy'!$AC$3:$AC$38,'2014 Table 11 CWTs exp'!$A17)</f>
        <v>0</v>
      </c>
      <c r="R17" s="257">
        <f>SUMIFS('[7]inland_taf_hatchgrp_tableraw&amp;yy'!R$3:R$38,'[7]inland_taf_hatchgrp_tableraw&amp;yy'!$AC$3:$AC$38,'2014 Table 11 CWTs exp'!$A17)</f>
        <v>0</v>
      </c>
      <c r="S17" s="256">
        <f>SUMIFS('[7]inland_taf_hatchgrp_tableraw&amp;yy'!S$3:S$38,'[7]inland_taf_hatchgrp_tableraw&amp;yy'!$AC$3:$AC$38,'2014 Table 11 CWTs exp'!$A17)</f>
        <v>0</v>
      </c>
      <c r="T17" s="256">
        <f>SUMIFS('[7]inland_taf_hatchgrp_tableraw&amp;yy'!T$3:T$38,'[7]inland_taf_hatchgrp_tableraw&amp;yy'!$AC$3:$AC$38,'2014 Table 11 CWTs exp'!$A17)</f>
        <v>0</v>
      </c>
      <c r="U17" s="256">
        <f>SUMIFS('[7]inland_taf_hatchgrp_tableraw&amp;yy'!U$3:U$38,'[7]inland_taf_hatchgrp_tableraw&amp;yy'!$AC$3:$AC$38,'2014 Table 11 CWTs exp'!$A17)</f>
        <v>0</v>
      </c>
      <c r="V17" s="255">
        <f>SUMIFS('[7]inland_taf_hatchgrp_tableraw&amp;yy'!V$3:V$38,'[7]inland_taf_hatchgrp_tableraw&amp;yy'!$AC$3:$AC$38,'2014 Table 11 CWTs exp'!$A17)</f>
        <v>0</v>
      </c>
      <c r="W17" s="257">
        <f>SUMIFS('[7]inland_taf_hatchgrp_tableraw&amp;yy'!W$3:W$38,'[7]inland_taf_hatchgrp_tableraw&amp;yy'!$AC$3:$AC$38,'2014 Table 11 CWTs exp'!$A17)</f>
        <v>0</v>
      </c>
      <c r="X17" s="256">
        <f>SUMIFS('[7]inland_taf_hatchgrp_tableraw&amp;yy'!X$3:X$38,'[7]inland_taf_hatchgrp_tableraw&amp;yy'!$AC$3:$AC$38,'2014 Table 11 CWTs exp'!$A17)</f>
        <v>0</v>
      </c>
      <c r="Y17" s="258">
        <f>SUM(G17:X17)</f>
        <v>0</v>
      </c>
      <c r="Z17" s="259">
        <f>AA17-Y17</f>
        <v>5083</v>
      </c>
      <c r="AA17" s="256">
        <v>5083</v>
      </c>
      <c r="AB17" s="44"/>
      <c r="AC17" s="567">
        <v>0</v>
      </c>
      <c r="AD17" s="604" t="str">
        <f t="shared" si="7"/>
        <v>BUT541</v>
      </c>
      <c r="AE17" s="442"/>
      <c r="AF17" s="597"/>
      <c r="AG17" s="597"/>
      <c r="AH17" s="597"/>
      <c r="AI17" s="599"/>
      <c r="AJ17" s="451"/>
    </row>
    <row r="18" spans="1:36" ht="14.5" customHeight="1" x14ac:dyDescent="0.25">
      <c r="A18" s="50" t="str">
        <f t="shared" si="6"/>
        <v>USAC543</v>
      </c>
      <c r="B18" s="13" t="s">
        <v>64</v>
      </c>
      <c r="C18" s="13">
        <v>54</v>
      </c>
      <c r="D18" s="13">
        <v>3</v>
      </c>
      <c r="E18" s="3" t="s">
        <v>65</v>
      </c>
      <c r="F18" s="43" t="str">
        <f>LOOKUP(D18,$AK$5:$AK$8,$AL$5:$AL$8)</f>
        <v>Fall</v>
      </c>
      <c r="G18" s="235">
        <f>SUMIFS('[7]inland_taf_hatchgrp_tableraw&amp;yy'!G$3:G$38,'[7]inland_taf_hatchgrp_tableraw&amp;yy'!$AC$3:$AC$38,'2014 Table 11 CWTs exp'!$A18)</f>
        <v>0</v>
      </c>
      <c r="H18" s="45">
        <f>SUMIFS('[7]inland_taf_hatchgrp_tableraw&amp;yy'!H$3:H$38,'[7]inland_taf_hatchgrp_tableraw&amp;yy'!$AC$3:$AC$38,'2014 Table 11 CWTs exp'!$A18)</f>
        <v>0</v>
      </c>
      <c r="I18" s="44">
        <f>SUMIFS('[7]inland_taf_hatchgrp_tableraw&amp;yy'!I$3:I$38,'[7]inland_taf_hatchgrp_tableraw&amp;yy'!$AC$3:$AC$38,'2014 Table 11 CWTs exp'!$A18)</f>
        <v>4608</v>
      </c>
      <c r="J18" s="46">
        <f>SUMIFS('[7]inland_taf_hatchgrp_tableraw&amp;yy'!J$3:J$38,'[7]inland_taf_hatchgrp_tableraw&amp;yy'!$AC$3:$AC$38,'2014 Table 11 CWTs exp'!$A18)</f>
        <v>1060</v>
      </c>
      <c r="K18" s="44">
        <f>SUMIFS('[7]inland_taf_hatchgrp_tableraw&amp;yy'!K$3:K$38,'[7]inland_taf_hatchgrp_tableraw&amp;yy'!$AC$3:$AC$38,'2014 Table 11 CWTs exp'!$A18)</f>
        <v>112</v>
      </c>
      <c r="L18" s="44">
        <f>SUMIFS('[7]inland_taf_hatchgrp_tableraw&amp;yy'!L$3:L$38,'[7]inland_taf_hatchgrp_tableraw&amp;yy'!$AC$3:$AC$38,'2014 Table 11 CWTs exp'!$A18)</f>
        <v>269</v>
      </c>
      <c r="M18" s="44">
        <f>SUMIFS('[7]inland_taf_hatchgrp_tableraw&amp;yy'!M$3:M$38,'[7]inland_taf_hatchgrp_tableraw&amp;yy'!$AC$3:$AC$38,'2014 Table 11 CWTs exp'!$A18)</f>
        <v>245</v>
      </c>
      <c r="N18" s="44">
        <f>SUMIFS('[7]inland_taf_hatchgrp_tableraw&amp;yy'!N$3:N$38,'[7]inland_taf_hatchgrp_tableraw&amp;yy'!$AC$3:$AC$38,'2014 Table 11 CWTs exp'!$A18)</f>
        <v>9064</v>
      </c>
      <c r="O18" s="44">
        <f>SUMIFS('[7]inland_taf_hatchgrp_tableraw&amp;yy'!O$3:O$38,'[7]inland_taf_hatchgrp_tableraw&amp;yy'!$AC$3:$AC$38,'2014 Table 11 CWTs exp'!$A18)</f>
        <v>576</v>
      </c>
      <c r="P18" s="44">
        <f>SUMIFS('[7]inland_taf_hatchgrp_tableraw&amp;yy'!P$3:P$38,'[7]inland_taf_hatchgrp_tableraw&amp;yy'!$AC$3:$AC$38,'2014 Table 11 CWTs exp'!$A18)</f>
        <v>89</v>
      </c>
      <c r="Q18" s="45">
        <f>SUMIFS('[7]inland_taf_hatchgrp_tableraw&amp;yy'!Q$3:Q$38,'[7]inland_taf_hatchgrp_tableraw&amp;yy'!$AC$3:$AC$38,'2014 Table 11 CWTs exp'!$A18)</f>
        <v>0</v>
      </c>
      <c r="R18" s="46">
        <f>SUMIFS('[7]inland_taf_hatchgrp_tableraw&amp;yy'!R$3:R$38,'[7]inland_taf_hatchgrp_tableraw&amp;yy'!$AC$3:$AC$38,'2014 Table 11 CWTs exp'!$A18)</f>
        <v>0</v>
      </c>
      <c r="S18" s="44">
        <f>SUMIFS('[7]inland_taf_hatchgrp_tableraw&amp;yy'!S$3:S$38,'[7]inland_taf_hatchgrp_tableraw&amp;yy'!$AC$3:$AC$38,'2014 Table 11 CWTs exp'!$A18)</f>
        <v>0</v>
      </c>
      <c r="T18" s="44">
        <f>SUMIFS('[7]inland_taf_hatchgrp_tableraw&amp;yy'!T$3:T$38,'[7]inland_taf_hatchgrp_tableraw&amp;yy'!$AC$3:$AC$38,'2014 Table 11 CWTs exp'!$A18)</f>
        <v>0</v>
      </c>
      <c r="U18" s="44">
        <f>SUMIFS('[7]inland_taf_hatchgrp_tableraw&amp;yy'!U$3:U$38,'[7]inland_taf_hatchgrp_tableraw&amp;yy'!$AC$3:$AC$38,'2014 Table 11 CWTs exp'!$A18)</f>
        <v>0</v>
      </c>
      <c r="V18" s="45">
        <f>SUMIFS('[7]inland_taf_hatchgrp_tableraw&amp;yy'!V$3:V$38,'[7]inland_taf_hatchgrp_tableraw&amp;yy'!$AC$3:$AC$38,'2014 Table 11 CWTs exp'!$A18)</f>
        <v>0</v>
      </c>
      <c r="W18" s="46">
        <f>SUMIFS('[7]inland_taf_hatchgrp_tableraw&amp;yy'!W$3:W$38,'[7]inland_taf_hatchgrp_tableraw&amp;yy'!$AC$3:$AC$38,'2014 Table 11 CWTs exp'!$A18)</f>
        <v>0</v>
      </c>
      <c r="X18" s="44">
        <f>SUMIFS('[7]inland_taf_hatchgrp_tableraw&amp;yy'!X$3:X$38,'[7]inland_taf_hatchgrp_tableraw&amp;yy'!$AC$3:$AC$38,'2014 Table 11 CWTs exp'!$A18)</f>
        <v>99</v>
      </c>
      <c r="Y18" s="84">
        <f>SUMIFS('[7]inland_taf_hatchgrp_tableraw&amp;yy'!Y$3:Y$38,'[7]inland_taf_hatchgrp_tableraw&amp;yy'!$AC$3:$AC$38,'2014 Table 11 CWTs exp'!$A18)</f>
        <v>16123</v>
      </c>
      <c r="Z18" s="85">
        <f>SUMIFS('[7]inland_taf_hatchgrp_tableraw&amp;yy'!Z$3:Z$38,'[7]inland_taf_hatchgrp_tableraw&amp;yy'!$AC$3:$AC$38,'2014 Table 11 CWTs exp'!$A18)</f>
        <v>13762</v>
      </c>
      <c r="AA18" s="44">
        <f>SUMIFS('[7]inland_taf_hatchgrp_tableraw&amp;yy'!AA$3:AA$38,'[7]inland_taf_hatchgrp_tableraw&amp;yy'!$AC$3:$AC$38,'2014 Table 11 CWTs exp'!$A18)</f>
        <v>29885</v>
      </c>
      <c r="AB18" s="44"/>
      <c r="AC18" s="567" t="e">
        <f>SUMIFS('[7]inland_taf_hatchgrp_tableraw&amp;yy'!AB$3:AB$38,'[7]inland_taf_hatchgrp_tableraw&amp;yy'!$AC$3:$AC$38,'2014 Table 11 CWTs exp'!$A18)</f>
        <v>#VALUE!</v>
      </c>
      <c r="AD18" s="604" t="str">
        <f t="shared" si="7"/>
        <v>USAC543</v>
      </c>
      <c r="AE18" s="442"/>
      <c r="AF18" s="597"/>
      <c r="AG18" s="597"/>
      <c r="AH18" s="605" t="e">
        <f>1-AC18</f>
        <v>#VALUE!</v>
      </c>
      <c r="AI18" s="447">
        <f t="shared" ref="AI18:AI34" si="8">Z18</f>
        <v>13762</v>
      </c>
      <c r="AJ18" s="451"/>
    </row>
    <row r="19" spans="1:36" ht="14.5" customHeight="1" x14ac:dyDescent="0.25">
      <c r="A19" s="50" t="str">
        <f t="shared" si="6"/>
        <v>CLR543</v>
      </c>
      <c r="B19" s="13" t="s">
        <v>70</v>
      </c>
      <c r="C19" s="13">
        <v>54</v>
      </c>
      <c r="D19" s="13">
        <v>3</v>
      </c>
      <c r="E19" s="3" t="s">
        <v>71</v>
      </c>
      <c r="F19" s="43" t="str">
        <f>LOOKUP(D19,$AK$5:$AK$8,$AL$5:$AL$8)</f>
        <v>Fall</v>
      </c>
      <c r="G19" s="235">
        <f>SUMIFS('[7]inland_taf_hatchgrp_tableraw&amp;yy'!G$3:G$38,'[7]inland_taf_hatchgrp_tableraw&amp;yy'!$AC$3:$AC$38,'2014 Table 11 CWTs exp'!$A19)</f>
        <v>0</v>
      </c>
      <c r="H19" s="45">
        <f>SUMIFS('[7]inland_taf_hatchgrp_tableraw&amp;yy'!H$3:H$38,'[7]inland_taf_hatchgrp_tableraw&amp;yy'!$AC$3:$AC$38,'2014 Table 11 CWTs exp'!$A19)</f>
        <v>0</v>
      </c>
      <c r="I19" s="44">
        <f>SUMIFS('[7]inland_taf_hatchgrp_tableraw&amp;yy'!I$3:I$38,'[7]inland_taf_hatchgrp_tableraw&amp;yy'!$AC$3:$AC$38,'2014 Table 11 CWTs exp'!$A19)</f>
        <v>3334</v>
      </c>
      <c r="J19" s="46">
        <f>SUMIFS('[7]inland_taf_hatchgrp_tableraw&amp;yy'!J$3:J$38,'[7]inland_taf_hatchgrp_tableraw&amp;yy'!$AC$3:$AC$38,'2014 Table 11 CWTs exp'!$A19)</f>
        <v>188</v>
      </c>
      <c r="K19" s="44">
        <f>SUMIFS('[7]inland_taf_hatchgrp_tableraw&amp;yy'!K$3:K$38,'[7]inland_taf_hatchgrp_tableraw&amp;yy'!$AC$3:$AC$38,'2014 Table 11 CWTs exp'!$A19)</f>
        <v>0</v>
      </c>
      <c r="L19" s="44">
        <f>SUMIFS('[7]inland_taf_hatchgrp_tableraw&amp;yy'!L$3:L$38,'[7]inland_taf_hatchgrp_tableraw&amp;yy'!$AC$3:$AC$38,'2014 Table 11 CWTs exp'!$A19)</f>
        <v>175</v>
      </c>
      <c r="M19" s="44">
        <f>SUMIFS('[7]inland_taf_hatchgrp_tableraw&amp;yy'!M$3:M$38,'[7]inland_taf_hatchgrp_tableraw&amp;yy'!$AC$3:$AC$38,'2014 Table 11 CWTs exp'!$A19)</f>
        <v>127</v>
      </c>
      <c r="N19" s="44">
        <f>SUMIFS('[7]inland_taf_hatchgrp_tableraw&amp;yy'!N$3:N$38,'[7]inland_taf_hatchgrp_tableraw&amp;yy'!$AC$3:$AC$38,'2014 Table 11 CWTs exp'!$A19)</f>
        <v>4799</v>
      </c>
      <c r="O19" s="44">
        <f>SUMIFS('[7]inland_taf_hatchgrp_tableraw&amp;yy'!O$3:O$38,'[7]inland_taf_hatchgrp_tableraw&amp;yy'!$AC$3:$AC$38,'2014 Table 11 CWTs exp'!$A19)</f>
        <v>189</v>
      </c>
      <c r="P19" s="44">
        <f>SUMIFS('[7]inland_taf_hatchgrp_tableraw&amp;yy'!P$3:P$38,'[7]inland_taf_hatchgrp_tableraw&amp;yy'!$AC$3:$AC$38,'2014 Table 11 CWTs exp'!$A19)</f>
        <v>0</v>
      </c>
      <c r="Q19" s="45">
        <f>SUMIFS('[7]inland_taf_hatchgrp_tableraw&amp;yy'!Q$3:Q$38,'[7]inland_taf_hatchgrp_tableraw&amp;yy'!$AC$3:$AC$38,'2014 Table 11 CWTs exp'!$A19)</f>
        <v>63</v>
      </c>
      <c r="R19" s="46">
        <f>SUMIFS('[7]inland_taf_hatchgrp_tableraw&amp;yy'!R$3:R$38,'[7]inland_taf_hatchgrp_tableraw&amp;yy'!$AC$3:$AC$38,'2014 Table 11 CWTs exp'!$A19)</f>
        <v>0</v>
      </c>
      <c r="S19" s="44">
        <f>SUMIFS('[7]inland_taf_hatchgrp_tableraw&amp;yy'!S$3:S$38,'[7]inland_taf_hatchgrp_tableraw&amp;yy'!$AC$3:$AC$38,'2014 Table 11 CWTs exp'!$A19)</f>
        <v>0</v>
      </c>
      <c r="T19" s="44">
        <f>SUMIFS('[7]inland_taf_hatchgrp_tableraw&amp;yy'!T$3:T$38,'[7]inland_taf_hatchgrp_tableraw&amp;yy'!$AC$3:$AC$38,'2014 Table 11 CWTs exp'!$A19)</f>
        <v>63</v>
      </c>
      <c r="U19" s="44">
        <f>SUMIFS('[7]inland_taf_hatchgrp_tableraw&amp;yy'!U$3:U$38,'[7]inland_taf_hatchgrp_tableraw&amp;yy'!$AC$3:$AC$38,'2014 Table 11 CWTs exp'!$A19)</f>
        <v>0</v>
      </c>
      <c r="V19" s="45">
        <f>SUMIFS('[7]inland_taf_hatchgrp_tableraw&amp;yy'!V$3:V$38,'[7]inland_taf_hatchgrp_tableraw&amp;yy'!$AC$3:$AC$38,'2014 Table 11 CWTs exp'!$A19)</f>
        <v>0</v>
      </c>
      <c r="W19" s="46">
        <f>SUMIFS('[7]inland_taf_hatchgrp_tableraw&amp;yy'!W$3:W$38,'[7]inland_taf_hatchgrp_tableraw&amp;yy'!$AC$3:$AC$38,'2014 Table 11 CWTs exp'!$A19)</f>
        <v>0</v>
      </c>
      <c r="X19" s="44">
        <f>SUMIFS('[7]inland_taf_hatchgrp_tableraw&amp;yy'!X$3:X$38,'[7]inland_taf_hatchgrp_tableraw&amp;yy'!$AC$3:$AC$38,'2014 Table 11 CWTs exp'!$A19)</f>
        <v>0</v>
      </c>
      <c r="Y19" s="84">
        <f>SUMIFS('[7]inland_taf_hatchgrp_tableraw&amp;yy'!Y$3:Y$38,'[7]inland_taf_hatchgrp_tableraw&amp;yy'!$AC$3:$AC$38,'2014 Table 11 CWTs exp'!$A19)</f>
        <v>8938</v>
      </c>
      <c r="Z19" s="85">
        <f>SUMIFS('[7]inland_taf_hatchgrp_tableraw&amp;yy'!Z$3:Z$38,'[7]inland_taf_hatchgrp_tableraw&amp;yy'!$AC$3:$AC$38,'2014 Table 11 CWTs exp'!$A19)</f>
        <v>6856</v>
      </c>
      <c r="AA19" s="44">
        <f>SUMIFS('[7]inland_taf_hatchgrp_tableraw&amp;yy'!AA$3:AA$38,'[7]inland_taf_hatchgrp_tableraw&amp;yy'!$AC$3:$AC$38,'2014 Table 11 CWTs exp'!$A19)</f>
        <v>15794</v>
      </c>
      <c r="AB19" s="44"/>
      <c r="AC19" s="567" t="e">
        <f>SUMIFS('[7]inland_taf_hatchgrp_tableraw&amp;yy'!AB$3:AB$38,'[7]inland_taf_hatchgrp_tableraw&amp;yy'!$AC$3:$AC$38,'2014 Table 11 CWTs exp'!$A19)</f>
        <v>#VALUE!</v>
      </c>
      <c r="AD19" s="604" t="str">
        <f t="shared" si="7"/>
        <v>CLR543</v>
      </c>
      <c r="AE19" s="613" t="s">
        <v>235</v>
      </c>
      <c r="AF19" s="600" t="s">
        <v>236</v>
      </c>
      <c r="AG19" s="597"/>
      <c r="AH19" s="605" t="e">
        <f t="shared" ref="AH19:AH35" si="9">1-AC19</f>
        <v>#VALUE!</v>
      </c>
      <c r="AI19" s="447">
        <f t="shared" si="8"/>
        <v>6856</v>
      </c>
      <c r="AJ19" s="451"/>
    </row>
    <row r="20" spans="1:36" ht="14.5" customHeight="1" x14ac:dyDescent="0.25">
      <c r="A20" s="50" t="str">
        <f t="shared" si="6"/>
        <v>BATT543</v>
      </c>
      <c r="B20" s="13" t="s">
        <v>72</v>
      </c>
      <c r="C20" s="13">
        <v>54</v>
      </c>
      <c r="D20" s="13">
        <v>3</v>
      </c>
      <c r="E20" s="75" t="s">
        <v>218</v>
      </c>
      <c r="F20" s="43" t="s">
        <v>219</v>
      </c>
      <c r="G20" s="235">
        <f>SUMIFS('[7]inland_taf_hatchgrp_tableraw&amp;yy'!G$3:G$38,'[7]inland_taf_hatchgrp_tableraw&amp;yy'!$AC$3:$AC$38,'2014 Table 11 CWTs exp'!$A20)</f>
        <v>0</v>
      </c>
      <c r="H20" s="45">
        <f>SUMIFS('[7]inland_taf_hatchgrp_tableraw&amp;yy'!H$3:H$38,'[7]inland_taf_hatchgrp_tableraw&amp;yy'!$AC$3:$AC$38,'2014 Table 11 CWTs exp'!$A20)</f>
        <v>0</v>
      </c>
      <c r="I20" s="44">
        <f>SUMIFS('[7]inland_taf_hatchgrp_tableraw&amp;yy'!I$3:I$38,'[7]inland_taf_hatchgrp_tableraw&amp;yy'!$AC$3:$AC$38,'2014 Table 11 CWTs exp'!$A20)</f>
        <v>22515</v>
      </c>
      <c r="J20" s="46">
        <f>SUMIFS('[7]inland_taf_hatchgrp_tableraw&amp;yy'!J$3:J$38,'[7]inland_taf_hatchgrp_tableraw&amp;yy'!$AC$3:$AC$38,'2014 Table 11 CWTs exp'!$A20)</f>
        <v>216</v>
      </c>
      <c r="K20" s="44">
        <f>SUMIFS('[7]inland_taf_hatchgrp_tableraw&amp;yy'!K$3:K$38,'[7]inland_taf_hatchgrp_tableraw&amp;yy'!$AC$3:$AC$38,'2014 Table 11 CWTs exp'!$A20)</f>
        <v>1</v>
      </c>
      <c r="L20" s="44">
        <f>SUMIFS('[7]inland_taf_hatchgrp_tableraw&amp;yy'!L$3:L$38,'[7]inland_taf_hatchgrp_tableraw&amp;yy'!$AC$3:$AC$38,'2014 Table 11 CWTs exp'!$A20)</f>
        <v>3</v>
      </c>
      <c r="M20" s="44">
        <f>SUMIFS('[7]inland_taf_hatchgrp_tableraw&amp;yy'!M$3:M$38,'[7]inland_taf_hatchgrp_tableraw&amp;yy'!$AC$3:$AC$38,'2014 Table 11 CWTs exp'!$A20)</f>
        <v>17</v>
      </c>
      <c r="N20" s="44">
        <f>SUMIFS('[7]inland_taf_hatchgrp_tableraw&amp;yy'!N$3:N$38,'[7]inland_taf_hatchgrp_tableraw&amp;yy'!$AC$3:$AC$38,'2014 Table 11 CWTs exp'!$A20)</f>
        <v>817</v>
      </c>
      <c r="O20" s="44">
        <f>SUMIFS('[7]inland_taf_hatchgrp_tableraw&amp;yy'!O$3:O$38,'[7]inland_taf_hatchgrp_tableraw&amp;yy'!$AC$3:$AC$38,'2014 Table 11 CWTs exp'!$A20)</f>
        <v>82</v>
      </c>
      <c r="P20" s="44">
        <f>SUMIFS('[7]inland_taf_hatchgrp_tableraw&amp;yy'!P$3:P$38,'[7]inland_taf_hatchgrp_tableraw&amp;yy'!$AC$3:$AC$38,'2014 Table 11 CWTs exp'!$A20)</f>
        <v>6</v>
      </c>
      <c r="Q20" s="45">
        <f>SUMIFS('[7]inland_taf_hatchgrp_tableraw&amp;yy'!Q$3:Q$38,'[7]inland_taf_hatchgrp_tableraw&amp;yy'!$AC$3:$AC$38,'2014 Table 11 CWTs exp'!$A20)</f>
        <v>0</v>
      </c>
      <c r="R20" s="46">
        <f>SUMIFS('[7]inland_taf_hatchgrp_tableraw&amp;yy'!R$3:R$38,'[7]inland_taf_hatchgrp_tableraw&amp;yy'!$AC$3:$AC$38,'2014 Table 11 CWTs exp'!$A20)</f>
        <v>6</v>
      </c>
      <c r="S20" s="44">
        <f>SUMIFS('[7]inland_taf_hatchgrp_tableraw&amp;yy'!S$3:S$38,'[7]inland_taf_hatchgrp_tableraw&amp;yy'!$AC$3:$AC$38,'2014 Table 11 CWTs exp'!$A20)</f>
        <v>0</v>
      </c>
      <c r="T20" s="44">
        <f>SUMIFS('[7]inland_taf_hatchgrp_tableraw&amp;yy'!T$3:T$38,'[7]inland_taf_hatchgrp_tableraw&amp;yy'!$AC$3:$AC$38,'2014 Table 11 CWTs exp'!$A20)</f>
        <v>11</v>
      </c>
      <c r="U20" s="44">
        <f>SUMIFS('[7]inland_taf_hatchgrp_tableraw&amp;yy'!U$3:U$38,'[7]inland_taf_hatchgrp_tableraw&amp;yy'!$AC$3:$AC$38,'2014 Table 11 CWTs exp'!$A20)</f>
        <v>0</v>
      </c>
      <c r="V20" s="45">
        <f>SUMIFS('[7]inland_taf_hatchgrp_tableraw&amp;yy'!V$3:V$38,'[7]inland_taf_hatchgrp_tableraw&amp;yy'!$AC$3:$AC$38,'2014 Table 11 CWTs exp'!$A20)</f>
        <v>0</v>
      </c>
      <c r="W20" s="46">
        <f>SUMIFS('[7]inland_taf_hatchgrp_tableraw&amp;yy'!W$3:W$38,'[7]inland_taf_hatchgrp_tableraw&amp;yy'!$AC$3:$AC$38,'2014 Table 11 CWTs exp'!$A20)</f>
        <v>50</v>
      </c>
      <c r="X20" s="44">
        <f>SUMIFS('[7]inland_taf_hatchgrp_tableraw&amp;yy'!X$3:X$38,'[7]inland_taf_hatchgrp_tableraw&amp;yy'!$AC$3:$AC$38,'2014 Table 11 CWTs exp'!$A20)</f>
        <v>0</v>
      </c>
      <c r="Y20" s="84">
        <f>SUMIFS('[7]inland_taf_hatchgrp_tableraw&amp;yy'!Y$3:Y$38,'[7]inland_taf_hatchgrp_tableraw&amp;yy'!$AC$3:$AC$38,'2014 Table 11 CWTs exp'!$A20)</f>
        <v>23724</v>
      </c>
      <c r="Z20" s="85">
        <f>SUMIFS('[7]inland_taf_hatchgrp_tableraw&amp;yy'!Z$3:Z$38,'[7]inland_taf_hatchgrp_tableraw&amp;yy'!$AC$3:$AC$38,'2014 Table 11 CWTs exp'!$A20)</f>
        <v>2851</v>
      </c>
      <c r="AA20" s="44">
        <f>SUMIFS('[7]inland_taf_hatchgrp_tableraw&amp;yy'!AA$3:AA$38,'[7]inland_taf_hatchgrp_tableraw&amp;yy'!$AC$3:$AC$38,'2014 Table 11 CWTs exp'!$A20)</f>
        <v>26575</v>
      </c>
      <c r="AB20" s="76"/>
      <c r="AC20" s="567">
        <f>Y20/AA20</f>
        <v>0.89271872060206958</v>
      </c>
      <c r="AD20" s="604" t="str">
        <f t="shared" si="7"/>
        <v>BATT543</v>
      </c>
      <c r="AE20" s="442">
        <v>26580</v>
      </c>
      <c r="AF20" s="597">
        <v>26164</v>
      </c>
      <c r="AG20" s="597"/>
      <c r="AH20" s="605">
        <f t="shared" si="9"/>
        <v>0.10728127939793042</v>
      </c>
      <c r="AI20" s="447">
        <f t="shared" si="8"/>
        <v>2851</v>
      </c>
      <c r="AJ20" s="451"/>
    </row>
    <row r="21" spans="1:36" ht="14.5" customHeight="1" x14ac:dyDescent="0.25">
      <c r="A21" s="50" t="str">
        <f t="shared" si="6"/>
        <v>COT543</v>
      </c>
      <c r="B21" s="13" t="s">
        <v>74</v>
      </c>
      <c r="C21" s="13">
        <v>54</v>
      </c>
      <c r="D21" s="13">
        <v>3</v>
      </c>
      <c r="E21" s="3" t="s">
        <v>75</v>
      </c>
      <c r="F21" s="43" t="str">
        <f t="shared" ref="F21:F35" si="10">LOOKUP(D21,$AK$5:$AK$8,$AL$5:$AL$8)</f>
        <v>Fall</v>
      </c>
      <c r="G21" s="235">
        <f>SUMIFS('[7]inland_taf_hatchgrp_tableraw&amp;yy'!G$3:G$38,'[7]inland_taf_hatchgrp_tableraw&amp;yy'!$AC$3:$AC$38,'2014 Table 11 CWTs exp'!$A21)</f>
        <v>0</v>
      </c>
      <c r="H21" s="45">
        <f>SUMIFS('[7]inland_taf_hatchgrp_tableraw&amp;yy'!H$3:H$38,'[7]inland_taf_hatchgrp_tableraw&amp;yy'!$AC$3:$AC$38,'2014 Table 11 CWTs exp'!$A21)</f>
        <v>0</v>
      </c>
      <c r="I21" s="44">
        <f>SUMIFS('[7]inland_taf_hatchgrp_tableraw&amp;yy'!I$3:I$38,'[7]inland_taf_hatchgrp_tableraw&amp;yy'!$AC$3:$AC$38,'2014 Table 11 CWTs exp'!$A21)</f>
        <v>720</v>
      </c>
      <c r="J21" s="46">
        <f>SUMIFS('[7]inland_taf_hatchgrp_tableraw&amp;yy'!J$3:J$38,'[7]inland_taf_hatchgrp_tableraw&amp;yy'!$AC$3:$AC$38,'2014 Table 11 CWTs exp'!$A21)</f>
        <v>0</v>
      </c>
      <c r="K21" s="44">
        <f>SUMIFS('[7]inland_taf_hatchgrp_tableraw&amp;yy'!K$3:K$38,'[7]inland_taf_hatchgrp_tableraw&amp;yy'!$AC$3:$AC$38,'2014 Table 11 CWTs exp'!$A21)</f>
        <v>0</v>
      </c>
      <c r="L21" s="44">
        <f>SUMIFS('[7]inland_taf_hatchgrp_tableraw&amp;yy'!L$3:L$38,'[7]inland_taf_hatchgrp_tableraw&amp;yy'!$AC$3:$AC$38,'2014 Table 11 CWTs exp'!$A21)</f>
        <v>0</v>
      </c>
      <c r="M21" s="44">
        <f>SUMIFS('[7]inland_taf_hatchgrp_tableraw&amp;yy'!M$3:M$38,'[7]inland_taf_hatchgrp_tableraw&amp;yy'!$AC$3:$AC$38,'2014 Table 11 CWTs exp'!$A21)</f>
        <v>0</v>
      </c>
      <c r="N21" s="44">
        <f>SUMIFS('[7]inland_taf_hatchgrp_tableraw&amp;yy'!N$3:N$38,'[7]inland_taf_hatchgrp_tableraw&amp;yy'!$AC$3:$AC$38,'2014 Table 11 CWTs exp'!$A21)</f>
        <v>72</v>
      </c>
      <c r="O21" s="44">
        <f>SUMIFS('[7]inland_taf_hatchgrp_tableraw&amp;yy'!O$3:O$38,'[7]inland_taf_hatchgrp_tableraw&amp;yy'!$AC$3:$AC$38,'2014 Table 11 CWTs exp'!$A21)</f>
        <v>0</v>
      </c>
      <c r="P21" s="44">
        <f>SUMIFS('[7]inland_taf_hatchgrp_tableraw&amp;yy'!P$3:P$38,'[7]inland_taf_hatchgrp_tableraw&amp;yy'!$AC$3:$AC$38,'2014 Table 11 CWTs exp'!$A21)</f>
        <v>0</v>
      </c>
      <c r="Q21" s="45">
        <f>SUMIFS('[7]inland_taf_hatchgrp_tableraw&amp;yy'!Q$3:Q$38,'[7]inland_taf_hatchgrp_tableraw&amp;yy'!$AC$3:$AC$38,'2014 Table 11 CWTs exp'!$A21)</f>
        <v>0</v>
      </c>
      <c r="R21" s="46">
        <f>SUMIFS('[7]inland_taf_hatchgrp_tableraw&amp;yy'!R$3:R$38,'[7]inland_taf_hatchgrp_tableraw&amp;yy'!$AC$3:$AC$38,'2014 Table 11 CWTs exp'!$A21)</f>
        <v>0</v>
      </c>
      <c r="S21" s="44">
        <f>SUMIFS('[7]inland_taf_hatchgrp_tableraw&amp;yy'!S$3:S$38,'[7]inland_taf_hatchgrp_tableraw&amp;yy'!$AC$3:$AC$38,'2014 Table 11 CWTs exp'!$A21)</f>
        <v>0</v>
      </c>
      <c r="T21" s="44">
        <f>SUMIFS('[7]inland_taf_hatchgrp_tableraw&amp;yy'!T$3:T$38,'[7]inland_taf_hatchgrp_tableraw&amp;yy'!$AC$3:$AC$38,'2014 Table 11 CWTs exp'!$A21)</f>
        <v>0</v>
      </c>
      <c r="U21" s="44">
        <f>SUMIFS('[7]inland_taf_hatchgrp_tableraw&amp;yy'!U$3:U$38,'[7]inland_taf_hatchgrp_tableraw&amp;yy'!$AC$3:$AC$38,'2014 Table 11 CWTs exp'!$A21)</f>
        <v>0</v>
      </c>
      <c r="V21" s="45">
        <f>SUMIFS('[7]inland_taf_hatchgrp_tableraw&amp;yy'!V$3:V$38,'[7]inland_taf_hatchgrp_tableraw&amp;yy'!$AC$3:$AC$38,'2014 Table 11 CWTs exp'!$A21)</f>
        <v>0</v>
      </c>
      <c r="W21" s="46">
        <f>SUMIFS('[7]inland_taf_hatchgrp_tableraw&amp;yy'!W$3:W$38,'[7]inland_taf_hatchgrp_tableraw&amp;yy'!$AC$3:$AC$38,'2014 Table 11 CWTs exp'!$A21)</f>
        <v>0</v>
      </c>
      <c r="X21" s="44">
        <f>SUMIFS('[7]inland_taf_hatchgrp_tableraw&amp;yy'!X$3:X$38,'[7]inland_taf_hatchgrp_tableraw&amp;yy'!$AC$3:$AC$38,'2014 Table 11 CWTs exp'!$A21)</f>
        <v>0</v>
      </c>
      <c r="Y21" s="84">
        <f>SUMIFS('[7]inland_taf_hatchgrp_tableraw&amp;yy'!Y$3:Y$38,'[7]inland_taf_hatchgrp_tableraw&amp;yy'!$AC$3:$AC$38,'2014 Table 11 CWTs exp'!$A21)</f>
        <v>792</v>
      </c>
      <c r="Z21" s="85">
        <f>SUMIFS('[7]inland_taf_hatchgrp_tableraw&amp;yy'!Z$3:Z$38,'[7]inland_taf_hatchgrp_tableraw&amp;yy'!$AC$3:$AC$38,'2014 Table 11 CWTs exp'!$A21)</f>
        <v>1148</v>
      </c>
      <c r="AA21" s="44">
        <f>SUMIFS('[7]inland_taf_hatchgrp_tableraw&amp;yy'!AA$3:AA$38,'[7]inland_taf_hatchgrp_tableraw&amp;yy'!$AC$3:$AC$38,'2014 Table 11 CWTs exp'!$A21)</f>
        <v>1940</v>
      </c>
      <c r="AB21" s="44"/>
      <c r="AC21" s="567" t="e">
        <f>SUMIFS('[7]inland_taf_hatchgrp_tableraw&amp;yy'!AB$3:AB$38,'[7]inland_taf_hatchgrp_tableraw&amp;yy'!$AC$3:$AC$38,'2014 Table 11 CWTs exp'!$A21)</f>
        <v>#VALUE!</v>
      </c>
      <c r="AD21" s="604" t="str">
        <f t="shared" si="7"/>
        <v>COT543</v>
      </c>
      <c r="AE21" s="442"/>
      <c r="AF21" s="597"/>
      <c r="AG21" s="597"/>
      <c r="AH21" s="605" t="e">
        <f t="shared" si="9"/>
        <v>#VALUE!</v>
      </c>
      <c r="AI21" s="447">
        <f t="shared" si="8"/>
        <v>1148</v>
      </c>
      <c r="AJ21" s="451"/>
    </row>
    <row r="22" spans="1:36" ht="14.5" customHeight="1" x14ac:dyDescent="0.25">
      <c r="A22" s="50" t="str">
        <f t="shared" si="6"/>
        <v>PAY543</v>
      </c>
      <c r="B22" s="13" t="s">
        <v>237</v>
      </c>
      <c r="C22" s="13">
        <v>54</v>
      </c>
      <c r="D22" s="13">
        <v>3</v>
      </c>
      <c r="E22" s="3" t="s">
        <v>238</v>
      </c>
      <c r="F22" s="43" t="str">
        <f t="shared" si="10"/>
        <v>Fall</v>
      </c>
      <c r="G22" s="235">
        <f>SUMIFS('[7]inland_taf_hatchgrp_tableraw&amp;yy'!G$3:G$38,'[7]inland_taf_hatchgrp_tableraw&amp;yy'!$AC$3:$AC$38,'2014 Table 11 CWTs exp'!$A22)</f>
        <v>0</v>
      </c>
      <c r="H22" s="45">
        <f>SUMIFS('[7]inland_taf_hatchgrp_tableraw&amp;yy'!H$3:H$38,'[7]inland_taf_hatchgrp_tableraw&amp;yy'!$AC$3:$AC$38,'2014 Table 11 CWTs exp'!$A22)</f>
        <v>0</v>
      </c>
      <c r="I22" s="44">
        <f>SUMIFS('[7]inland_taf_hatchgrp_tableraw&amp;yy'!I$3:I$38,'[7]inland_taf_hatchgrp_tableraw&amp;yy'!$AC$3:$AC$38,'2014 Table 11 CWTs exp'!$A22)</f>
        <v>39</v>
      </c>
      <c r="J22" s="46">
        <f>SUMIFS('[7]inland_taf_hatchgrp_tableraw&amp;yy'!J$3:J$38,'[7]inland_taf_hatchgrp_tableraw&amp;yy'!$AC$3:$AC$38,'2014 Table 11 CWTs exp'!$A22)</f>
        <v>0</v>
      </c>
      <c r="K22" s="44">
        <f>SUMIFS('[7]inland_taf_hatchgrp_tableraw&amp;yy'!K$3:K$38,'[7]inland_taf_hatchgrp_tableraw&amp;yy'!$AC$3:$AC$38,'2014 Table 11 CWTs exp'!$A22)</f>
        <v>0</v>
      </c>
      <c r="L22" s="44">
        <f>SUMIFS('[7]inland_taf_hatchgrp_tableraw&amp;yy'!L$3:L$38,'[7]inland_taf_hatchgrp_tableraw&amp;yy'!$AC$3:$AC$38,'2014 Table 11 CWTs exp'!$A22)</f>
        <v>0</v>
      </c>
      <c r="M22" s="44">
        <f>SUMIFS('[7]inland_taf_hatchgrp_tableraw&amp;yy'!M$3:M$38,'[7]inland_taf_hatchgrp_tableraw&amp;yy'!$AC$3:$AC$38,'2014 Table 11 CWTs exp'!$A22)</f>
        <v>0</v>
      </c>
      <c r="N22" s="44">
        <f>SUMIFS('[7]inland_taf_hatchgrp_tableraw&amp;yy'!N$3:N$38,'[7]inland_taf_hatchgrp_tableraw&amp;yy'!$AC$3:$AC$38,'2014 Table 11 CWTs exp'!$A22)</f>
        <v>0</v>
      </c>
      <c r="O22" s="44">
        <f>SUMIFS('[7]inland_taf_hatchgrp_tableraw&amp;yy'!O$3:O$38,'[7]inland_taf_hatchgrp_tableraw&amp;yy'!$AC$3:$AC$38,'2014 Table 11 CWTs exp'!$A22)</f>
        <v>0</v>
      </c>
      <c r="P22" s="44">
        <f>SUMIFS('[7]inland_taf_hatchgrp_tableraw&amp;yy'!P$3:P$38,'[7]inland_taf_hatchgrp_tableraw&amp;yy'!$AC$3:$AC$38,'2014 Table 11 CWTs exp'!$A22)</f>
        <v>0</v>
      </c>
      <c r="Q22" s="45">
        <f>SUMIFS('[7]inland_taf_hatchgrp_tableraw&amp;yy'!Q$3:Q$38,'[7]inland_taf_hatchgrp_tableraw&amp;yy'!$AC$3:$AC$38,'2014 Table 11 CWTs exp'!$A22)</f>
        <v>0</v>
      </c>
      <c r="R22" s="46">
        <f>SUMIFS('[7]inland_taf_hatchgrp_tableraw&amp;yy'!R$3:R$38,'[7]inland_taf_hatchgrp_tableraw&amp;yy'!$AC$3:$AC$38,'2014 Table 11 CWTs exp'!$A22)</f>
        <v>0</v>
      </c>
      <c r="S22" s="44">
        <f>SUMIFS('[7]inland_taf_hatchgrp_tableraw&amp;yy'!S$3:S$38,'[7]inland_taf_hatchgrp_tableraw&amp;yy'!$AC$3:$AC$38,'2014 Table 11 CWTs exp'!$A22)</f>
        <v>0</v>
      </c>
      <c r="T22" s="44">
        <f>SUMIFS('[7]inland_taf_hatchgrp_tableraw&amp;yy'!T$3:T$38,'[7]inland_taf_hatchgrp_tableraw&amp;yy'!$AC$3:$AC$38,'2014 Table 11 CWTs exp'!$A22)</f>
        <v>0</v>
      </c>
      <c r="U22" s="44">
        <f>SUMIFS('[7]inland_taf_hatchgrp_tableraw&amp;yy'!U$3:U$38,'[7]inland_taf_hatchgrp_tableraw&amp;yy'!$AC$3:$AC$38,'2014 Table 11 CWTs exp'!$A22)</f>
        <v>0</v>
      </c>
      <c r="V22" s="45">
        <f>SUMIFS('[7]inland_taf_hatchgrp_tableraw&amp;yy'!V$3:V$38,'[7]inland_taf_hatchgrp_tableraw&amp;yy'!$AC$3:$AC$38,'2014 Table 11 CWTs exp'!$A22)</f>
        <v>0</v>
      </c>
      <c r="W22" s="46">
        <f>SUMIFS('[7]inland_taf_hatchgrp_tableraw&amp;yy'!W$3:W$38,'[7]inland_taf_hatchgrp_tableraw&amp;yy'!$AC$3:$AC$38,'2014 Table 11 CWTs exp'!$A22)</f>
        <v>0</v>
      </c>
      <c r="X22" s="44">
        <f>SUMIFS('[7]inland_taf_hatchgrp_tableraw&amp;yy'!X$3:X$38,'[7]inland_taf_hatchgrp_tableraw&amp;yy'!$AC$3:$AC$38,'2014 Table 11 CWTs exp'!$A22)</f>
        <v>0</v>
      </c>
      <c r="Y22" s="84">
        <f>SUMIFS('[7]inland_taf_hatchgrp_tableraw&amp;yy'!Y$3:Y$38,'[7]inland_taf_hatchgrp_tableraw&amp;yy'!$AC$3:$AC$38,'2014 Table 11 CWTs exp'!$A22)</f>
        <v>39</v>
      </c>
      <c r="Z22" s="85">
        <f>SUMIFS('[7]inland_taf_hatchgrp_tableraw&amp;yy'!Z$3:Z$38,'[7]inland_taf_hatchgrp_tableraw&amp;yy'!$AC$3:$AC$38,'2014 Table 11 CWTs exp'!$A22)</f>
        <v>33</v>
      </c>
      <c r="AA22" s="44">
        <f>SUMIFS('[7]inland_taf_hatchgrp_tableraw&amp;yy'!AA$3:AA$38,'[7]inland_taf_hatchgrp_tableraw&amp;yy'!$AC$3:$AC$38,'2014 Table 11 CWTs exp'!$A22)</f>
        <v>72</v>
      </c>
      <c r="AB22" s="44"/>
      <c r="AC22" s="567" t="e">
        <f>SUMIFS('[7]inland_taf_hatchgrp_tableraw&amp;yy'!AB$3:AB$38,'[7]inland_taf_hatchgrp_tableraw&amp;yy'!$AC$3:$AC$38,'2014 Table 11 CWTs exp'!$A22)</f>
        <v>#VALUE!</v>
      </c>
      <c r="AD22" s="604" t="str">
        <f t="shared" si="7"/>
        <v>PAY543</v>
      </c>
      <c r="AE22" s="442"/>
      <c r="AF22" s="597"/>
      <c r="AG22" s="597"/>
      <c r="AH22" s="605" t="e">
        <f t="shared" si="9"/>
        <v>#VALUE!</v>
      </c>
      <c r="AI22" s="447">
        <f t="shared" si="8"/>
        <v>33</v>
      </c>
      <c r="AJ22" s="451"/>
    </row>
    <row r="23" spans="1:36" ht="14.5" customHeight="1" x14ac:dyDescent="0.25">
      <c r="A23" s="50" t="str">
        <f t="shared" si="6"/>
        <v>MLC543</v>
      </c>
      <c r="B23" s="13" t="s">
        <v>78</v>
      </c>
      <c r="C23" s="13">
        <v>54</v>
      </c>
      <c r="D23" s="13">
        <v>3</v>
      </c>
      <c r="E23" s="3" t="s">
        <v>79</v>
      </c>
      <c r="F23" s="43" t="str">
        <f t="shared" si="10"/>
        <v>Fall</v>
      </c>
      <c r="G23" s="235">
        <f>SUMIFS('[7]inland_taf_hatchgrp_tableraw&amp;yy'!G$3:G$38,'[7]inland_taf_hatchgrp_tableraw&amp;yy'!$AC$3:$AC$38,'2014 Table 11 CWTs exp'!$A23)</f>
        <v>0</v>
      </c>
      <c r="H23" s="45">
        <f>SUMIFS('[7]inland_taf_hatchgrp_tableraw&amp;yy'!H$3:H$38,'[7]inland_taf_hatchgrp_tableraw&amp;yy'!$AC$3:$AC$38,'2014 Table 11 CWTs exp'!$A23)</f>
        <v>0</v>
      </c>
      <c r="I23" s="44">
        <f>SUMIFS('[7]inland_taf_hatchgrp_tableraw&amp;yy'!I$3:I$38,'[7]inland_taf_hatchgrp_tableraw&amp;yy'!$AC$3:$AC$38,'2014 Table 11 CWTs exp'!$A23)</f>
        <v>483</v>
      </c>
      <c r="J23" s="46">
        <f>SUMIFS('[7]inland_taf_hatchgrp_tableraw&amp;yy'!J$3:J$38,'[7]inland_taf_hatchgrp_tableraw&amp;yy'!$AC$3:$AC$38,'2014 Table 11 CWTs exp'!$A23)</f>
        <v>107</v>
      </c>
      <c r="K23" s="44">
        <f>SUMIFS('[7]inland_taf_hatchgrp_tableraw&amp;yy'!K$3:K$38,'[7]inland_taf_hatchgrp_tableraw&amp;yy'!$AC$3:$AC$38,'2014 Table 11 CWTs exp'!$A23)</f>
        <v>0</v>
      </c>
      <c r="L23" s="44">
        <f>SUMIFS('[7]inland_taf_hatchgrp_tableraw&amp;yy'!L$3:L$38,'[7]inland_taf_hatchgrp_tableraw&amp;yy'!$AC$3:$AC$38,'2014 Table 11 CWTs exp'!$A23)</f>
        <v>0</v>
      </c>
      <c r="M23" s="44">
        <f>SUMIFS('[7]inland_taf_hatchgrp_tableraw&amp;yy'!M$3:M$38,'[7]inland_taf_hatchgrp_tableraw&amp;yy'!$AC$3:$AC$38,'2014 Table 11 CWTs exp'!$A23)</f>
        <v>0</v>
      </c>
      <c r="N23" s="44">
        <f>SUMIFS('[7]inland_taf_hatchgrp_tableraw&amp;yy'!N$3:N$38,'[7]inland_taf_hatchgrp_tableraw&amp;yy'!$AC$3:$AC$38,'2014 Table 11 CWTs exp'!$A23)</f>
        <v>483</v>
      </c>
      <c r="O23" s="44">
        <f>SUMIFS('[7]inland_taf_hatchgrp_tableraw&amp;yy'!O$3:O$38,'[7]inland_taf_hatchgrp_tableraw&amp;yy'!$AC$3:$AC$38,'2014 Table 11 CWTs exp'!$A23)</f>
        <v>41</v>
      </c>
      <c r="P23" s="44">
        <f>SUMIFS('[7]inland_taf_hatchgrp_tableraw&amp;yy'!P$3:P$38,'[7]inland_taf_hatchgrp_tableraw&amp;yy'!$AC$3:$AC$38,'2014 Table 11 CWTs exp'!$A23)</f>
        <v>0</v>
      </c>
      <c r="Q23" s="45">
        <f>SUMIFS('[7]inland_taf_hatchgrp_tableraw&amp;yy'!Q$3:Q$38,'[7]inland_taf_hatchgrp_tableraw&amp;yy'!$AC$3:$AC$38,'2014 Table 11 CWTs exp'!$A23)</f>
        <v>0</v>
      </c>
      <c r="R23" s="46">
        <f>SUMIFS('[7]inland_taf_hatchgrp_tableraw&amp;yy'!R$3:R$38,'[7]inland_taf_hatchgrp_tableraw&amp;yy'!$AC$3:$AC$38,'2014 Table 11 CWTs exp'!$A23)</f>
        <v>0</v>
      </c>
      <c r="S23" s="44">
        <f>SUMIFS('[7]inland_taf_hatchgrp_tableraw&amp;yy'!S$3:S$38,'[7]inland_taf_hatchgrp_tableraw&amp;yy'!$AC$3:$AC$38,'2014 Table 11 CWTs exp'!$A23)</f>
        <v>0</v>
      </c>
      <c r="T23" s="44">
        <f>SUMIFS('[7]inland_taf_hatchgrp_tableraw&amp;yy'!T$3:T$38,'[7]inland_taf_hatchgrp_tableraw&amp;yy'!$AC$3:$AC$38,'2014 Table 11 CWTs exp'!$A23)</f>
        <v>0</v>
      </c>
      <c r="U23" s="44">
        <f>SUMIFS('[7]inland_taf_hatchgrp_tableraw&amp;yy'!U$3:U$38,'[7]inland_taf_hatchgrp_tableraw&amp;yy'!$AC$3:$AC$38,'2014 Table 11 CWTs exp'!$A23)</f>
        <v>0</v>
      </c>
      <c r="V23" s="45">
        <f>SUMIFS('[7]inland_taf_hatchgrp_tableraw&amp;yy'!V$3:V$38,'[7]inland_taf_hatchgrp_tableraw&amp;yy'!$AC$3:$AC$38,'2014 Table 11 CWTs exp'!$A23)</f>
        <v>0</v>
      </c>
      <c r="W23" s="46">
        <f>SUMIFS('[7]inland_taf_hatchgrp_tableraw&amp;yy'!W$3:W$38,'[7]inland_taf_hatchgrp_tableraw&amp;yy'!$AC$3:$AC$38,'2014 Table 11 CWTs exp'!$A23)</f>
        <v>0</v>
      </c>
      <c r="X23" s="44">
        <f>SUMIFS('[7]inland_taf_hatchgrp_tableraw&amp;yy'!X$3:X$38,'[7]inland_taf_hatchgrp_tableraw&amp;yy'!$AC$3:$AC$38,'2014 Table 11 CWTs exp'!$A23)</f>
        <v>0</v>
      </c>
      <c r="Y23" s="84">
        <f>SUMIFS('[7]inland_taf_hatchgrp_tableraw&amp;yy'!Y$3:Y$38,'[7]inland_taf_hatchgrp_tableraw&amp;yy'!$AC$3:$AC$38,'2014 Table 11 CWTs exp'!$A23)</f>
        <v>1113</v>
      </c>
      <c r="Z23" s="85">
        <f>SUMIFS('[7]inland_taf_hatchgrp_tableraw&amp;yy'!Z$3:Z$38,'[7]inland_taf_hatchgrp_tableraw&amp;yy'!$AC$3:$AC$38,'2014 Table 11 CWTs exp'!$A23)</f>
        <v>1375</v>
      </c>
      <c r="AA23" s="44">
        <f>SUMIFS('[7]inland_taf_hatchgrp_tableraw&amp;yy'!AA$3:AA$38,'[7]inland_taf_hatchgrp_tableraw&amp;yy'!$AC$3:$AC$38,'2014 Table 11 CWTs exp'!$A23)</f>
        <v>2488</v>
      </c>
      <c r="AB23" s="44"/>
      <c r="AC23" s="567" t="e">
        <f>SUMIFS('[7]inland_taf_hatchgrp_tableraw&amp;yy'!AB$3:AB$38,'[7]inland_taf_hatchgrp_tableraw&amp;yy'!$AC$3:$AC$38,'2014 Table 11 CWTs exp'!$A23)</f>
        <v>#VALUE!</v>
      </c>
      <c r="AD23" s="604" t="str">
        <f t="shared" si="7"/>
        <v>MLC543</v>
      </c>
      <c r="AE23" s="442"/>
      <c r="AF23" s="597"/>
      <c r="AG23" s="597"/>
      <c r="AH23" s="605" t="e">
        <f t="shared" si="9"/>
        <v>#VALUE!</v>
      </c>
      <c r="AI23" s="447">
        <f t="shared" si="8"/>
        <v>1375</v>
      </c>
      <c r="AJ23" s="451"/>
    </row>
    <row r="24" spans="1:36" ht="14.5" customHeight="1" x14ac:dyDescent="0.25">
      <c r="A24" s="50" t="str">
        <f t="shared" si="6"/>
        <v>BUT543</v>
      </c>
      <c r="B24" s="13" t="s">
        <v>208</v>
      </c>
      <c r="C24" s="13">
        <v>54</v>
      </c>
      <c r="D24" s="13">
        <v>3</v>
      </c>
      <c r="E24" s="3" t="s">
        <v>67</v>
      </c>
      <c r="F24" s="43" t="str">
        <f t="shared" si="10"/>
        <v>Fall</v>
      </c>
      <c r="G24" s="235">
        <f>SUMIFS('[7]inland_taf_hatchgrp_tableraw&amp;yy'!G$3:G$38,'[7]inland_taf_hatchgrp_tableraw&amp;yy'!$AC$3:$AC$38,'2014 Table 11 CWTs exp'!$A24)</f>
        <v>0</v>
      </c>
      <c r="H24" s="45">
        <f>SUMIFS('[7]inland_taf_hatchgrp_tableraw&amp;yy'!H$3:H$38,'[7]inland_taf_hatchgrp_tableraw&amp;yy'!$AC$3:$AC$38,'2014 Table 11 CWTs exp'!$A24)</f>
        <v>0</v>
      </c>
      <c r="I24" s="44">
        <f>SUMIFS('[7]inland_taf_hatchgrp_tableraw&amp;yy'!I$3:I$38,'[7]inland_taf_hatchgrp_tableraw&amp;yy'!$AC$3:$AC$38,'2014 Table 11 CWTs exp'!$A24)</f>
        <v>0</v>
      </c>
      <c r="J24" s="619">
        <f>SUMIFS('[7]inland_taf_hatchgrp_tableraw&amp;yy'!J$3:J$38,'[7]inland_taf_hatchgrp_tableraw&amp;yy'!$AC$3:$AC$38,'2014 Table 11 CWTs exp'!$A24)</f>
        <v>16</v>
      </c>
      <c r="K24" s="44">
        <f>SUMIFS('[7]inland_taf_hatchgrp_tableraw&amp;yy'!K$3:K$38,'[7]inland_taf_hatchgrp_tableraw&amp;yy'!$AC$3:$AC$38,'2014 Table 11 CWTs exp'!$A24)</f>
        <v>0</v>
      </c>
      <c r="L24" s="44">
        <f>SUMIFS('[7]inland_taf_hatchgrp_tableraw&amp;yy'!L$3:L$38,'[7]inland_taf_hatchgrp_tableraw&amp;yy'!$AC$3:$AC$38,'2014 Table 11 CWTs exp'!$A24)</f>
        <v>0</v>
      </c>
      <c r="M24" s="44">
        <f>SUMIFS('[7]inland_taf_hatchgrp_tableraw&amp;yy'!M$3:M$38,'[7]inland_taf_hatchgrp_tableraw&amp;yy'!$AC$3:$AC$38,'2014 Table 11 CWTs exp'!$A24)</f>
        <v>2</v>
      </c>
      <c r="N24" s="44">
        <f>SUMIFS('[7]inland_taf_hatchgrp_tableraw&amp;yy'!N$3:N$38,'[7]inland_taf_hatchgrp_tableraw&amp;yy'!$AC$3:$AC$38,'2014 Table 11 CWTs exp'!$A24)</f>
        <v>214</v>
      </c>
      <c r="O24" s="44">
        <f>SUMIFS('[7]inland_taf_hatchgrp_tableraw&amp;yy'!O$3:O$38,'[7]inland_taf_hatchgrp_tableraw&amp;yy'!$AC$3:$AC$38,'2014 Table 11 CWTs exp'!$A24)</f>
        <v>6</v>
      </c>
      <c r="P24" s="44">
        <f>SUMIFS('[7]inland_taf_hatchgrp_tableraw&amp;yy'!P$3:P$38,'[7]inland_taf_hatchgrp_tableraw&amp;yy'!$AC$3:$AC$38,'2014 Table 11 CWTs exp'!$A24)</f>
        <v>0</v>
      </c>
      <c r="Q24" s="45">
        <f>SUMIFS('[7]inland_taf_hatchgrp_tableraw&amp;yy'!Q$3:Q$38,'[7]inland_taf_hatchgrp_tableraw&amp;yy'!$AC$3:$AC$38,'2014 Table 11 CWTs exp'!$A24)</f>
        <v>0</v>
      </c>
      <c r="R24" s="46">
        <f>SUMIFS('[7]inland_taf_hatchgrp_tableraw&amp;yy'!R$3:R$38,'[7]inland_taf_hatchgrp_tableraw&amp;yy'!$AC$3:$AC$38,'2014 Table 11 CWTs exp'!$A24)</f>
        <v>0</v>
      </c>
      <c r="S24" s="44">
        <f>SUMIFS('[7]inland_taf_hatchgrp_tableraw&amp;yy'!S$3:S$38,'[7]inland_taf_hatchgrp_tableraw&amp;yy'!$AC$3:$AC$38,'2014 Table 11 CWTs exp'!$A24)</f>
        <v>0</v>
      </c>
      <c r="T24" s="44">
        <f>SUMIFS('[7]inland_taf_hatchgrp_tableraw&amp;yy'!T$3:T$38,'[7]inland_taf_hatchgrp_tableraw&amp;yy'!$AC$3:$AC$38,'2014 Table 11 CWTs exp'!$A24)</f>
        <v>40</v>
      </c>
      <c r="U24" s="44">
        <f>SUMIFS('[7]inland_taf_hatchgrp_tableraw&amp;yy'!U$3:U$38,'[7]inland_taf_hatchgrp_tableraw&amp;yy'!$AC$3:$AC$38,'2014 Table 11 CWTs exp'!$A24)</f>
        <v>8</v>
      </c>
      <c r="V24" s="45">
        <f>SUMIFS('[7]inland_taf_hatchgrp_tableraw&amp;yy'!V$3:V$38,'[7]inland_taf_hatchgrp_tableraw&amp;yy'!$AC$3:$AC$38,'2014 Table 11 CWTs exp'!$A24)</f>
        <v>0</v>
      </c>
      <c r="W24" s="46">
        <f>SUMIFS('[7]inland_taf_hatchgrp_tableraw&amp;yy'!W$3:W$38,'[7]inland_taf_hatchgrp_tableraw&amp;yy'!$AC$3:$AC$38,'2014 Table 11 CWTs exp'!$A24)</f>
        <v>9</v>
      </c>
      <c r="X24" s="44">
        <f>SUMIFS('[7]inland_taf_hatchgrp_tableraw&amp;yy'!X$3:X$38,'[7]inland_taf_hatchgrp_tableraw&amp;yy'!$AC$3:$AC$38,'2014 Table 11 CWTs exp'!$A24)</f>
        <v>0</v>
      </c>
      <c r="Y24" s="84">
        <f>SUMIFS('[7]inland_taf_hatchgrp_tableraw&amp;yy'!Y$3:Y$38,'[7]inland_taf_hatchgrp_tableraw&amp;yy'!$AC$3:$AC$38,'2014 Table 11 CWTs exp'!$A24)</f>
        <v>294</v>
      </c>
      <c r="Z24" s="85">
        <f>SUMIFS('[7]inland_taf_hatchgrp_tableraw&amp;yy'!Z$3:Z$38,'[7]inland_taf_hatchgrp_tableraw&amp;yy'!$AC$3:$AC$38,'2014 Table 11 CWTs exp'!$A24)</f>
        <v>1118</v>
      </c>
      <c r="AA24" s="44">
        <f>SUMIFS('[7]inland_taf_hatchgrp_tableraw&amp;yy'!AA$3:AA$38,'[7]inland_taf_hatchgrp_tableraw&amp;yy'!$AC$3:$AC$38,'2014 Table 11 CWTs exp'!$A24)</f>
        <v>1412</v>
      </c>
      <c r="AB24" s="44"/>
      <c r="AC24" s="566" t="e">
        <f>SUMIFS('[7]inland_taf_hatchgrp_tableraw&amp;yy'!AB$3:AB$38,'[7]inland_taf_hatchgrp_tableraw&amp;yy'!$AC$3:$AC$38,'2014 Table 11 CWTs exp'!$A24)</f>
        <v>#VALUE!</v>
      </c>
      <c r="AD24" s="604" t="str">
        <f t="shared" si="7"/>
        <v>BUT543</v>
      </c>
      <c r="AE24" s="442"/>
      <c r="AF24" s="597"/>
      <c r="AG24" s="597"/>
      <c r="AH24" s="605" t="e">
        <f t="shared" si="9"/>
        <v>#VALUE!</v>
      </c>
      <c r="AI24" s="447">
        <f t="shared" si="8"/>
        <v>1118</v>
      </c>
      <c r="AJ24" s="451"/>
    </row>
    <row r="25" spans="1:36" ht="14.5" customHeight="1" x14ac:dyDescent="0.25">
      <c r="A25" s="50" t="str">
        <f t="shared" si="6"/>
        <v>FEA543</v>
      </c>
      <c r="B25" s="13" t="s">
        <v>80</v>
      </c>
      <c r="C25" s="13">
        <v>54</v>
      </c>
      <c r="D25" s="13">
        <v>3</v>
      </c>
      <c r="E25" s="3" t="s">
        <v>81</v>
      </c>
      <c r="F25" s="43" t="str">
        <f t="shared" si="10"/>
        <v>Fall</v>
      </c>
      <c r="G25" s="235">
        <f>SUMIFS('[7]inland_taf_hatchgrp_tableraw&amp;yy'!G$3:G$38,'[7]inland_taf_hatchgrp_tableraw&amp;yy'!$AC$3:$AC$38,'2014 Table 11 CWTs exp'!$A25)</f>
        <v>0</v>
      </c>
      <c r="H25" s="45">
        <f>SUMIFS('[7]inland_taf_hatchgrp_tableraw&amp;yy'!H$3:H$38,'[7]inland_taf_hatchgrp_tableraw&amp;yy'!$AC$3:$AC$38,'2014 Table 11 CWTs exp'!$A25)</f>
        <v>0</v>
      </c>
      <c r="I25" s="44">
        <f>SUMIFS('[7]inland_taf_hatchgrp_tableraw&amp;yy'!I$3:I$38,'[7]inland_taf_hatchgrp_tableraw&amp;yy'!$AC$3:$AC$38,'2014 Table 11 CWTs exp'!$A25)</f>
        <v>149</v>
      </c>
      <c r="J25" s="46">
        <f>SUMIFS('[7]inland_taf_hatchgrp_tableraw&amp;yy'!J$3:J$38,'[7]inland_taf_hatchgrp_tableraw&amp;yy'!$AC$3:$AC$38,'2014 Table 11 CWTs exp'!$A25)</f>
        <v>644</v>
      </c>
      <c r="K25" s="44">
        <f>SUMIFS('[7]inland_taf_hatchgrp_tableraw&amp;yy'!K$3:K$38,'[7]inland_taf_hatchgrp_tableraw&amp;yy'!$AC$3:$AC$38,'2014 Table 11 CWTs exp'!$A25)</f>
        <v>6245</v>
      </c>
      <c r="L25" s="44">
        <f>SUMIFS('[7]inland_taf_hatchgrp_tableraw&amp;yy'!L$3:L$38,'[7]inland_taf_hatchgrp_tableraw&amp;yy'!$AC$3:$AC$38,'2014 Table 11 CWTs exp'!$A25)</f>
        <v>1934</v>
      </c>
      <c r="M25" s="44">
        <f>SUMIFS('[7]inland_taf_hatchgrp_tableraw&amp;yy'!M$3:M$38,'[7]inland_taf_hatchgrp_tableraw&amp;yy'!$AC$3:$AC$38,'2014 Table 11 CWTs exp'!$A25)</f>
        <v>895</v>
      </c>
      <c r="N25" s="44">
        <f>SUMIFS('[7]inland_taf_hatchgrp_tableraw&amp;yy'!N$3:N$38,'[7]inland_taf_hatchgrp_tableraw&amp;yy'!$AC$3:$AC$38,'2014 Table 11 CWTs exp'!$A25)</f>
        <v>38925</v>
      </c>
      <c r="O25" s="44">
        <f>SUMIFS('[7]inland_taf_hatchgrp_tableraw&amp;yy'!O$3:O$38,'[7]inland_taf_hatchgrp_tableraw&amp;yy'!$AC$3:$AC$38,'2014 Table 11 CWTs exp'!$A25)</f>
        <v>1266</v>
      </c>
      <c r="P25" s="44">
        <f>SUMIFS('[7]inland_taf_hatchgrp_tableraw&amp;yy'!P$3:P$38,'[7]inland_taf_hatchgrp_tableraw&amp;yy'!$AC$3:$AC$38,'2014 Table 11 CWTs exp'!$A25)</f>
        <v>62</v>
      </c>
      <c r="Q25" s="45">
        <f>SUMIFS('[7]inland_taf_hatchgrp_tableraw&amp;yy'!Q$3:Q$38,'[7]inland_taf_hatchgrp_tableraw&amp;yy'!$AC$3:$AC$38,'2014 Table 11 CWTs exp'!$A25)</f>
        <v>99</v>
      </c>
      <c r="R25" s="46">
        <f>SUMIFS('[7]inland_taf_hatchgrp_tableraw&amp;yy'!R$3:R$38,'[7]inland_taf_hatchgrp_tableraw&amp;yy'!$AC$3:$AC$38,'2014 Table 11 CWTs exp'!$A25)</f>
        <v>50</v>
      </c>
      <c r="S25" s="44">
        <f>SUMIFS('[7]inland_taf_hatchgrp_tableraw&amp;yy'!S$3:S$38,'[7]inland_taf_hatchgrp_tableraw&amp;yy'!$AC$3:$AC$38,'2014 Table 11 CWTs exp'!$A25)</f>
        <v>0</v>
      </c>
      <c r="T25" s="44">
        <f>SUMIFS('[7]inland_taf_hatchgrp_tableraw&amp;yy'!T$3:T$38,'[7]inland_taf_hatchgrp_tableraw&amp;yy'!$AC$3:$AC$38,'2014 Table 11 CWTs exp'!$A25)</f>
        <v>99</v>
      </c>
      <c r="U25" s="44">
        <f>SUMIFS('[7]inland_taf_hatchgrp_tableraw&amp;yy'!U$3:U$38,'[7]inland_taf_hatchgrp_tableraw&amp;yy'!$AC$3:$AC$38,'2014 Table 11 CWTs exp'!$A25)</f>
        <v>0</v>
      </c>
      <c r="V25" s="45">
        <f>SUMIFS('[7]inland_taf_hatchgrp_tableraw&amp;yy'!V$3:V$38,'[7]inland_taf_hatchgrp_tableraw&amp;yy'!$AC$3:$AC$38,'2014 Table 11 CWTs exp'!$A25)</f>
        <v>0</v>
      </c>
      <c r="W25" s="46">
        <f>SUMIFS('[7]inland_taf_hatchgrp_tableraw&amp;yy'!W$3:W$38,'[7]inland_taf_hatchgrp_tableraw&amp;yy'!$AC$3:$AC$38,'2014 Table 11 CWTs exp'!$A25)</f>
        <v>0</v>
      </c>
      <c r="X25" s="44">
        <f>SUMIFS('[7]inland_taf_hatchgrp_tableraw&amp;yy'!X$3:X$38,'[7]inland_taf_hatchgrp_tableraw&amp;yy'!$AC$3:$AC$38,'2014 Table 11 CWTs exp'!$A25)</f>
        <v>52</v>
      </c>
      <c r="Y25" s="84">
        <f>SUMIFS('[7]inland_taf_hatchgrp_tableraw&amp;yy'!Y$3:Y$38,'[7]inland_taf_hatchgrp_tableraw&amp;yy'!$AC$3:$AC$38,'2014 Table 11 CWTs exp'!$A25)</f>
        <v>50420</v>
      </c>
      <c r="Z25" s="85">
        <f>SUMIFS('[7]inland_taf_hatchgrp_tableraw&amp;yy'!Z$3:Z$38,'[7]inland_taf_hatchgrp_tableraw&amp;yy'!$AC$3:$AC$38,'2014 Table 11 CWTs exp'!$A25)</f>
        <v>10301</v>
      </c>
      <c r="AA25" s="44">
        <f>SUMIFS('[7]inland_taf_hatchgrp_tableraw&amp;yy'!AA$3:AA$38,'[7]inland_taf_hatchgrp_tableraw&amp;yy'!$AC$3:$AC$38,'2014 Table 11 CWTs exp'!$A25)</f>
        <v>60721</v>
      </c>
      <c r="AB25" s="44"/>
      <c r="AC25" s="566" t="e">
        <f>SUMIFS('[7]inland_taf_hatchgrp_tableraw&amp;yy'!AB$3:AB$38,'[7]inland_taf_hatchgrp_tableraw&amp;yy'!$AC$3:$AC$38,'2014 Table 11 CWTs exp'!$A25)</f>
        <v>#VALUE!</v>
      </c>
      <c r="AD25" s="604" t="str">
        <f t="shared" si="7"/>
        <v>FEA543</v>
      </c>
      <c r="AE25" s="442"/>
      <c r="AF25" s="597"/>
      <c r="AG25" s="597"/>
      <c r="AH25" s="605" t="e">
        <f t="shared" si="9"/>
        <v>#VALUE!</v>
      </c>
      <c r="AI25" s="447">
        <f t="shared" si="8"/>
        <v>10301</v>
      </c>
      <c r="AJ25" s="451"/>
    </row>
    <row r="26" spans="1:36" ht="14.5" customHeight="1" x14ac:dyDescent="0.25">
      <c r="A26" s="50" t="str">
        <f t="shared" si="6"/>
        <v>YUBA543</v>
      </c>
      <c r="B26" s="13" t="s">
        <v>82</v>
      </c>
      <c r="C26" s="13">
        <v>54</v>
      </c>
      <c r="D26" s="13">
        <v>3</v>
      </c>
      <c r="E26" s="79" t="s">
        <v>147</v>
      </c>
      <c r="F26" s="43" t="str">
        <f t="shared" si="10"/>
        <v>Fall</v>
      </c>
      <c r="G26" s="235">
        <f>SUMIFS('[7]inland_taf_hatchgrp_tableraw&amp;yy'!G$3:G$38,'[7]inland_taf_hatchgrp_tableraw&amp;yy'!$AC$3:$AC$38,'2014 Table 11 CWTs exp'!$A26)</f>
        <v>0</v>
      </c>
      <c r="H26" s="45">
        <f>SUMIFS('[7]inland_taf_hatchgrp_tableraw&amp;yy'!H$3:H$38,'[7]inland_taf_hatchgrp_tableraw&amp;yy'!$AC$3:$AC$38,'2014 Table 11 CWTs exp'!$A26)</f>
        <v>0</v>
      </c>
      <c r="I26" s="44">
        <f>SUMIFS('[7]inland_taf_hatchgrp_tableraw&amp;yy'!I$3:I$38,'[7]inland_taf_hatchgrp_tableraw&amp;yy'!$AC$3:$AC$38,'2014 Table 11 CWTs exp'!$A26)</f>
        <v>0</v>
      </c>
      <c r="J26" s="46">
        <f>SUMIFS('[7]inland_taf_hatchgrp_tableraw&amp;yy'!J$3:J$38,'[7]inland_taf_hatchgrp_tableraw&amp;yy'!$AC$3:$AC$38,'2014 Table 11 CWTs exp'!$A26)</f>
        <v>494</v>
      </c>
      <c r="K26" s="44">
        <f>SUMIFS('[7]inland_taf_hatchgrp_tableraw&amp;yy'!K$3:K$38,'[7]inland_taf_hatchgrp_tableraw&amp;yy'!$AC$3:$AC$38,'2014 Table 11 CWTs exp'!$A26)</f>
        <v>25</v>
      </c>
      <c r="L26" s="44">
        <f>SUMIFS('[7]inland_taf_hatchgrp_tableraw&amp;yy'!L$3:L$38,'[7]inland_taf_hatchgrp_tableraw&amp;yy'!$AC$3:$AC$38,'2014 Table 11 CWTs exp'!$A26)</f>
        <v>0</v>
      </c>
      <c r="M26" s="44">
        <f>SUMIFS('[7]inland_taf_hatchgrp_tableraw&amp;yy'!M$3:M$38,'[7]inland_taf_hatchgrp_tableraw&amp;yy'!$AC$3:$AC$38,'2014 Table 11 CWTs exp'!$A26)</f>
        <v>50</v>
      </c>
      <c r="N26" s="44">
        <f>SUMIFS('[7]inland_taf_hatchgrp_tableraw&amp;yy'!N$3:N$38,'[7]inland_taf_hatchgrp_tableraw&amp;yy'!$AC$3:$AC$38,'2014 Table 11 CWTs exp'!$A26)</f>
        <v>3287</v>
      </c>
      <c r="O26" s="44">
        <f>SUMIFS('[7]inland_taf_hatchgrp_tableraw&amp;yy'!O$3:O$38,'[7]inland_taf_hatchgrp_tableraw&amp;yy'!$AC$3:$AC$38,'2014 Table 11 CWTs exp'!$A26)</f>
        <v>200</v>
      </c>
      <c r="P26" s="44">
        <f>SUMIFS('[7]inland_taf_hatchgrp_tableraw&amp;yy'!P$3:P$38,'[7]inland_taf_hatchgrp_tableraw&amp;yy'!$AC$3:$AC$38,'2014 Table 11 CWTs exp'!$A26)</f>
        <v>0</v>
      </c>
      <c r="Q26" s="45">
        <f>SUMIFS('[7]inland_taf_hatchgrp_tableraw&amp;yy'!Q$3:Q$38,'[7]inland_taf_hatchgrp_tableraw&amp;yy'!$AC$3:$AC$38,'2014 Table 11 CWTs exp'!$A26)</f>
        <v>0</v>
      </c>
      <c r="R26" s="46">
        <f>SUMIFS('[7]inland_taf_hatchgrp_tableraw&amp;yy'!R$3:R$38,'[7]inland_taf_hatchgrp_tableraw&amp;yy'!$AC$3:$AC$38,'2014 Table 11 CWTs exp'!$A26)</f>
        <v>99</v>
      </c>
      <c r="S26" s="44">
        <f>SUMIFS('[7]inland_taf_hatchgrp_tableraw&amp;yy'!S$3:S$38,'[7]inland_taf_hatchgrp_tableraw&amp;yy'!$AC$3:$AC$38,'2014 Table 11 CWTs exp'!$A26)</f>
        <v>0</v>
      </c>
      <c r="T26" s="44">
        <f>SUMIFS('[7]inland_taf_hatchgrp_tableraw&amp;yy'!T$3:T$38,'[7]inland_taf_hatchgrp_tableraw&amp;yy'!$AC$3:$AC$38,'2014 Table 11 CWTs exp'!$A26)</f>
        <v>198</v>
      </c>
      <c r="U26" s="44">
        <f>SUMIFS('[7]inland_taf_hatchgrp_tableraw&amp;yy'!U$3:U$38,'[7]inland_taf_hatchgrp_tableraw&amp;yy'!$AC$3:$AC$38,'2014 Table 11 CWTs exp'!$A26)</f>
        <v>100</v>
      </c>
      <c r="V26" s="45">
        <f>SUMIFS('[7]inland_taf_hatchgrp_tableraw&amp;yy'!V$3:V$38,'[7]inland_taf_hatchgrp_tableraw&amp;yy'!$AC$3:$AC$38,'2014 Table 11 CWTs exp'!$A26)</f>
        <v>0</v>
      </c>
      <c r="W26" s="46">
        <f>SUMIFS('[7]inland_taf_hatchgrp_tableraw&amp;yy'!W$3:W$38,'[7]inland_taf_hatchgrp_tableraw&amp;yy'!$AC$3:$AC$38,'2014 Table 11 CWTs exp'!$A26)</f>
        <v>0</v>
      </c>
      <c r="X26" s="44">
        <f>SUMIFS('[7]inland_taf_hatchgrp_tableraw&amp;yy'!X$3:X$38,'[7]inland_taf_hatchgrp_tableraw&amp;yy'!$AC$3:$AC$38,'2014 Table 11 CWTs exp'!$A26)</f>
        <v>0</v>
      </c>
      <c r="Y26" s="84">
        <f>SUMIFS('[7]inland_taf_hatchgrp_tableraw&amp;yy'!Y$3:Y$38,'[7]inland_taf_hatchgrp_tableraw&amp;yy'!$AC$3:$AC$38,'2014 Table 11 CWTs exp'!$A26)</f>
        <v>4452</v>
      </c>
      <c r="Z26" s="85">
        <f>SUMIFS('[7]inland_taf_hatchgrp_tableraw&amp;yy'!Z$3:Z$38,'[7]inland_taf_hatchgrp_tableraw&amp;yy'!$AC$3:$AC$38,'2014 Table 11 CWTs exp'!$A26)</f>
        <v>4683</v>
      </c>
      <c r="AA26" s="44">
        <f>SUMIFS('[7]inland_taf_hatchgrp_tableraw&amp;yy'!AA$3:AA$38,'[7]inland_taf_hatchgrp_tableraw&amp;yy'!$AC$3:$AC$38,'2014 Table 11 CWTs exp'!$A26)</f>
        <v>9135</v>
      </c>
      <c r="AB26" s="44"/>
      <c r="AC26" s="566" t="e">
        <f>SUMIFS('[7]inland_taf_hatchgrp_tableraw&amp;yy'!AB$3:AB$38,'[7]inland_taf_hatchgrp_tableraw&amp;yy'!$AC$3:$AC$38,'2014 Table 11 CWTs exp'!$A26)</f>
        <v>#VALUE!</v>
      </c>
      <c r="AD26" s="604" t="str">
        <f t="shared" si="7"/>
        <v>YUBA543</v>
      </c>
      <c r="AE26" s="442"/>
      <c r="AF26" s="597"/>
      <c r="AG26" s="597"/>
      <c r="AH26" s="605" t="e">
        <f t="shared" si="9"/>
        <v>#VALUE!</v>
      </c>
      <c r="AI26" s="447">
        <f t="shared" si="8"/>
        <v>4683</v>
      </c>
      <c r="AJ26" s="451"/>
    </row>
    <row r="27" spans="1:36" ht="14.5" customHeight="1" x14ac:dyDescent="0.25">
      <c r="A27" s="50" t="str">
        <f t="shared" si="6"/>
        <v>YUBB543</v>
      </c>
      <c r="B27" s="13" t="s">
        <v>84</v>
      </c>
      <c r="C27" s="13">
        <v>54</v>
      </c>
      <c r="D27" s="13">
        <v>3</v>
      </c>
      <c r="E27" s="79" t="s">
        <v>85</v>
      </c>
      <c r="F27" s="43" t="str">
        <f t="shared" si="10"/>
        <v>Fall</v>
      </c>
      <c r="G27" s="235">
        <f>SUMIFS('[7]inland_taf_hatchgrp_tableraw&amp;yy'!G$3:G$38,'[7]inland_taf_hatchgrp_tableraw&amp;yy'!$AC$3:$AC$38,'2014 Table 11 CWTs exp'!$A27)</f>
        <v>0</v>
      </c>
      <c r="H27" s="45">
        <f>SUMIFS('[7]inland_taf_hatchgrp_tableraw&amp;yy'!H$3:H$38,'[7]inland_taf_hatchgrp_tableraw&amp;yy'!$AC$3:$AC$38,'2014 Table 11 CWTs exp'!$A27)</f>
        <v>0</v>
      </c>
      <c r="I27" s="44">
        <f>SUMIFS('[7]inland_taf_hatchgrp_tableraw&amp;yy'!I$3:I$38,'[7]inland_taf_hatchgrp_tableraw&amp;yy'!$AC$3:$AC$38,'2014 Table 11 CWTs exp'!$A27)</f>
        <v>0</v>
      </c>
      <c r="J27" s="46">
        <f>SUMIFS('[7]inland_taf_hatchgrp_tableraw&amp;yy'!J$3:J$38,'[7]inland_taf_hatchgrp_tableraw&amp;yy'!$AC$3:$AC$38,'2014 Table 11 CWTs exp'!$A27)</f>
        <v>135</v>
      </c>
      <c r="K27" s="44">
        <f>SUMIFS('[7]inland_taf_hatchgrp_tableraw&amp;yy'!K$3:K$38,'[7]inland_taf_hatchgrp_tableraw&amp;yy'!$AC$3:$AC$38,'2014 Table 11 CWTs exp'!$A27)</f>
        <v>0</v>
      </c>
      <c r="L27" s="44">
        <f>SUMIFS('[7]inland_taf_hatchgrp_tableraw&amp;yy'!L$3:L$38,'[7]inland_taf_hatchgrp_tableraw&amp;yy'!$AC$3:$AC$38,'2014 Table 11 CWTs exp'!$A27)</f>
        <v>0</v>
      </c>
      <c r="M27" s="44">
        <f>SUMIFS('[7]inland_taf_hatchgrp_tableraw&amp;yy'!M$3:M$38,'[7]inland_taf_hatchgrp_tableraw&amp;yy'!$AC$3:$AC$38,'2014 Table 11 CWTs exp'!$A27)</f>
        <v>20</v>
      </c>
      <c r="N27" s="44">
        <f>SUMIFS('[7]inland_taf_hatchgrp_tableraw&amp;yy'!N$3:N$38,'[7]inland_taf_hatchgrp_tableraw&amp;yy'!$AC$3:$AC$38,'2014 Table 11 CWTs exp'!$A27)</f>
        <v>868</v>
      </c>
      <c r="O27" s="44">
        <f>SUMIFS('[7]inland_taf_hatchgrp_tableraw&amp;yy'!O$3:O$38,'[7]inland_taf_hatchgrp_tableraw&amp;yy'!$AC$3:$AC$38,'2014 Table 11 CWTs exp'!$A27)</f>
        <v>68</v>
      </c>
      <c r="P27" s="44">
        <f>SUMIFS('[7]inland_taf_hatchgrp_tableraw&amp;yy'!P$3:P$38,'[7]inland_taf_hatchgrp_tableraw&amp;yy'!$AC$3:$AC$38,'2014 Table 11 CWTs exp'!$A27)</f>
        <v>7</v>
      </c>
      <c r="Q27" s="45">
        <f>SUMIFS('[7]inland_taf_hatchgrp_tableraw&amp;yy'!Q$3:Q$38,'[7]inland_taf_hatchgrp_tableraw&amp;yy'!$AC$3:$AC$38,'2014 Table 11 CWTs exp'!$A27)</f>
        <v>0</v>
      </c>
      <c r="R27" s="46">
        <f>SUMIFS('[7]inland_taf_hatchgrp_tableraw&amp;yy'!R$3:R$38,'[7]inland_taf_hatchgrp_tableraw&amp;yy'!$AC$3:$AC$38,'2014 Table 11 CWTs exp'!$A27)</f>
        <v>0</v>
      </c>
      <c r="S27" s="44">
        <f>SUMIFS('[7]inland_taf_hatchgrp_tableraw&amp;yy'!S$3:S$38,'[7]inland_taf_hatchgrp_tableraw&amp;yy'!$AC$3:$AC$38,'2014 Table 11 CWTs exp'!$A27)</f>
        <v>0</v>
      </c>
      <c r="T27" s="44">
        <f>SUMIFS('[7]inland_taf_hatchgrp_tableraw&amp;yy'!T$3:T$38,'[7]inland_taf_hatchgrp_tableraw&amp;yy'!$AC$3:$AC$38,'2014 Table 11 CWTs exp'!$A27)</f>
        <v>61</v>
      </c>
      <c r="U27" s="44">
        <f>SUMIFS('[7]inland_taf_hatchgrp_tableraw&amp;yy'!U$3:U$38,'[7]inland_taf_hatchgrp_tableraw&amp;yy'!$AC$3:$AC$38,'2014 Table 11 CWTs exp'!$A27)</f>
        <v>0</v>
      </c>
      <c r="V27" s="45">
        <f>SUMIFS('[7]inland_taf_hatchgrp_tableraw&amp;yy'!V$3:V$38,'[7]inland_taf_hatchgrp_tableraw&amp;yy'!$AC$3:$AC$38,'2014 Table 11 CWTs exp'!$A27)</f>
        <v>0</v>
      </c>
      <c r="W27" s="46">
        <f>SUMIFS('[7]inland_taf_hatchgrp_tableraw&amp;yy'!W$3:W$38,'[7]inland_taf_hatchgrp_tableraw&amp;yy'!$AC$3:$AC$38,'2014 Table 11 CWTs exp'!$A27)</f>
        <v>0</v>
      </c>
      <c r="X27" s="44">
        <f>SUMIFS('[7]inland_taf_hatchgrp_tableraw&amp;yy'!X$3:X$38,'[7]inland_taf_hatchgrp_tableraw&amp;yy'!$AC$3:$AC$38,'2014 Table 11 CWTs exp'!$A27)</f>
        <v>0</v>
      </c>
      <c r="Y27" s="84">
        <f>SUMIFS('[7]inland_taf_hatchgrp_tableraw&amp;yy'!Y$3:Y$38,'[7]inland_taf_hatchgrp_tableraw&amp;yy'!$AC$3:$AC$38,'2014 Table 11 CWTs exp'!$A27)</f>
        <v>1159</v>
      </c>
      <c r="Z27" s="85">
        <f>SUMIFS('[7]inland_taf_hatchgrp_tableraw&amp;yy'!Z$3:Z$38,'[7]inland_taf_hatchgrp_tableraw&amp;yy'!$AC$3:$AC$38,'2014 Table 11 CWTs exp'!$A27)</f>
        <v>1410</v>
      </c>
      <c r="AA27" s="44">
        <f>SUMIFS('[7]inland_taf_hatchgrp_tableraw&amp;yy'!AA$3:AA$38,'[7]inland_taf_hatchgrp_tableraw&amp;yy'!$AC$3:$AC$38,'2014 Table 11 CWTs exp'!$A27)</f>
        <v>2569</v>
      </c>
      <c r="AB27" s="44"/>
      <c r="AC27" s="566" t="e">
        <f>SUMIFS('[7]inland_taf_hatchgrp_tableraw&amp;yy'!AB$3:AB$38,'[7]inland_taf_hatchgrp_tableraw&amp;yy'!$AC$3:$AC$38,'2014 Table 11 CWTs exp'!$A27)</f>
        <v>#VALUE!</v>
      </c>
      <c r="AD27" s="604" t="str">
        <f t="shared" si="7"/>
        <v>YUBB543</v>
      </c>
      <c r="AE27" s="442"/>
      <c r="AF27" s="597"/>
      <c r="AG27" s="597"/>
      <c r="AH27" s="605" t="e">
        <f t="shared" si="9"/>
        <v>#VALUE!</v>
      </c>
      <c r="AI27" s="447">
        <f t="shared" si="8"/>
        <v>1410</v>
      </c>
      <c r="AJ27" s="451"/>
    </row>
    <row r="28" spans="1:36" ht="14.5" customHeight="1" x14ac:dyDescent="0.25">
      <c r="A28" s="50" t="str">
        <f t="shared" si="6"/>
        <v>LARC543</v>
      </c>
      <c r="B28" s="13" t="s">
        <v>86</v>
      </c>
      <c r="C28" s="13">
        <v>54</v>
      </c>
      <c r="D28" s="13">
        <v>3</v>
      </c>
      <c r="E28" s="3" t="s">
        <v>87</v>
      </c>
      <c r="F28" s="43" t="str">
        <f t="shared" si="10"/>
        <v>Fall</v>
      </c>
      <c r="G28" s="235">
        <f>SUMIFS('[7]inland_taf_hatchgrp_tableraw&amp;yy'!G$3:G$38,'[7]inland_taf_hatchgrp_tableraw&amp;yy'!$AC$3:$AC$38,'2014 Table 11 CWTs exp'!$A28)</f>
        <v>0</v>
      </c>
      <c r="H28" s="45">
        <f>SUMIFS('[7]inland_taf_hatchgrp_tableraw&amp;yy'!H$3:H$38,'[7]inland_taf_hatchgrp_tableraw&amp;yy'!$AC$3:$AC$38,'2014 Table 11 CWTs exp'!$A28)</f>
        <v>0</v>
      </c>
      <c r="I28" s="44">
        <f>SUMIFS('[7]inland_taf_hatchgrp_tableraw&amp;yy'!I$3:I$38,'[7]inland_taf_hatchgrp_tableraw&amp;yy'!$AC$3:$AC$38,'2014 Table 11 CWTs exp'!$A28)</f>
        <v>27</v>
      </c>
      <c r="J28" s="46">
        <f>SUMIFS('[7]inland_taf_hatchgrp_tableraw&amp;yy'!J$3:J$38,'[7]inland_taf_hatchgrp_tableraw&amp;yy'!$AC$3:$AC$38,'2014 Table 11 CWTs exp'!$A28)</f>
        <v>206</v>
      </c>
      <c r="K28" s="44">
        <f>SUMIFS('[7]inland_taf_hatchgrp_tableraw&amp;yy'!K$3:K$38,'[7]inland_taf_hatchgrp_tableraw&amp;yy'!$AC$3:$AC$38,'2014 Table 11 CWTs exp'!$A28)</f>
        <v>0</v>
      </c>
      <c r="L28" s="44">
        <f>SUMIFS('[7]inland_taf_hatchgrp_tableraw&amp;yy'!L$3:L$38,'[7]inland_taf_hatchgrp_tableraw&amp;yy'!$AC$3:$AC$38,'2014 Table 11 CWTs exp'!$A28)</f>
        <v>2</v>
      </c>
      <c r="M28" s="44">
        <f>SUMIFS('[7]inland_taf_hatchgrp_tableraw&amp;yy'!M$3:M$38,'[7]inland_taf_hatchgrp_tableraw&amp;yy'!$AC$3:$AC$38,'2014 Table 11 CWTs exp'!$A28)</f>
        <v>9</v>
      </c>
      <c r="N28" s="44">
        <f>SUMIFS('[7]inland_taf_hatchgrp_tableraw&amp;yy'!N$3:N$38,'[7]inland_taf_hatchgrp_tableraw&amp;yy'!$AC$3:$AC$38,'2014 Table 11 CWTs exp'!$A28)</f>
        <v>324</v>
      </c>
      <c r="O28" s="44">
        <f>SUMIFS('[7]inland_taf_hatchgrp_tableraw&amp;yy'!O$3:O$38,'[7]inland_taf_hatchgrp_tableraw&amp;yy'!$AC$3:$AC$38,'2014 Table 11 CWTs exp'!$A28)</f>
        <v>36</v>
      </c>
      <c r="P28" s="44">
        <f>SUMIFS('[7]inland_taf_hatchgrp_tableraw&amp;yy'!P$3:P$38,'[7]inland_taf_hatchgrp_tableraw&amp;yy'!$AC$3:$AC$38,'2014 Table 11 CWTs exp'!$A28)</f>
        <v>0</v>
      </c>
      <c r="Q28" s="45">
        <f>SUMIFS('[7]inland_taf_hatchgrp_tableraw&amp;yy'!Q$3:Q$38,'[7]inland_taf_hatchgrp_tableraw&amp;yy'!$AC$3:$AC$38,'2014 Table 11 CWTs exp'!$A28)</f>
        <v>8048</v>
      </c>
      <c r="R28" s="46">
        <f>SUMIFS('[7]inland_taf_hatchgrp_tableraw&amp;yy'!R$3:R$38,'[7]inland_taf_hatchgrp_tableraw&amp;yy'!$AC$3:$AC$38,'2014 Table 11 CWTs exp'!$A28)</f>
        <v>4350</v>
      </c>
      <c r="S28" s="44">
        <f>SUMIFS('[7]inland_taf_hatchgrp_tableraw&amp;yy'!S$3:S$38,'[7]inland_taf_hatchgrp_tableraw&amp;yy'!$AC$3:$AC$38,'2014 Table 11 CWTs exp'!$A28)</f>
        <v>5</v>
      </c>
      <c r="T28" s="44">
        <f>SUMIFS('[7]inland_taf_hatchgrp_tableraw&amp;yy'!T$3:T$38,'[7]inland_taf_hatchgrp_tableraw&amp;yy'!$AC$3:$AC$38,'2014 Table 11 CWTs exp'!$A28)</f>
        <v>2297</v>
      </c>
      <c r="U28" s="44">
        <f>SUMIFS('[7]inland_taf_hatchgrp_tableraw&amp;yy'!U$3:U$38,'[7]inland_taf_hatchgrp_tableraw&amp;yy'!$AC$3:$AC$38,'2014 Table 11 CWTs exp'!$A28)</f>
        <v>397</v>
      </c>
      <c r="V28" s="45">
        <f>SUMIFS('[7]inland_taf_hatchgrp_tableraw&amp;yy'!V$3:V$38,'[7]inland_taf_hatchgrp_tableraw&amp;yy'!$AC$3:$AC$38,'2014 Table 11 CWTs exp'!$A28)</f>
        <v>0</v>
      </c>
      <c r="W28" s="46">
        <f>SUMIFS('[7]inland_taf_hatchgrp_tableraw&amp;yy'!W$3:W$38,'[7]inland_taf_hatchgrp_tableraw&amp;yy'!$AC$3:$AC$38,'2014 Table 11 CWTs exp'!$A28)</f>
        <v>89</v>
      </c>
      <c r="X28" s="44">
        <f>SUMIFS('[7]inland_taf_hatchgrp_tableraw&amp;yy'!X$3:X$38,'[7]inland_taf_hatchgrp_tableraw&amp;yy'!$AC$3:$AC$38,'2014 Table 11 CWTs exp'!$A28)</f>
        <v>0</v>
      </c>
      <c r="Y28" s="84">
        <f>SUMIFS('[7]inland_taf_hatchgrp_tableraw&amp;yy'!Y$3:Y$38,'[7]inland_taf_hatchgrp_tableraw&amp;yy'!$AC$3:$AC$38,'2014 Table 11 CWTs exp'!$A28)</f>
        <v>15790</v>
      </c>
      <c r="Z28" s="85">
        <f>SUMIFS('[7]inland_taf_hatchgrp_tableraw&amp;yy'!Z$3:Z$38,'[7]inland_taf_hatchgrp_tableraw&amp;yy'!$AC$3:$AC$38,'2014 Table 11 CWTs exp'!$A28)</f>
        <v>8713</v>
      </c>
      <c r="AA28" s="44">
        <f>SUMIFS('[7]inland_taf_hatchgrp_tableraw&amp;yy'!AA$3:AA$38,'[7]inland_taf_hatchgrp_tableraw&amp;yy'!$AC$3:$AC$38,'2014 Table 11 CWTs exp'!$A28)</f>
        <v>24503</v>
      </c>
      <c r="AB28" s="44"/>
      <c r="AC28" s="566" t="e">
        <f>SUMIFS('[7]inland_taf_hatchgrp_tableraw&amp;yy'!AB$3:AB$38,'[7]inland_taf_hatchgrp_tableraw&amp;yy'!$AC$3:$AC$38,'2014 Table 11 CWTs exp'!$A28)</f>
        <v>#VALUE!</v>
      </c>
      <c r="AD28" s="604" t="str">
        <f t="shared" si="7"/>
        <v>LARC543</v>
      </c>
      <c r="AE28" s="442"/>
      <c r="AF28" s="597"/>
      <c r="AG28" s="597"/>
      <c r="AH28" s="605" t="e">
        <f t="shared" si="9"/>
        <v>#VALUE!</v>
      </c>
      <c r="AI28" s="447">
        <f t="shared" si="8"/>
        <v>8713</v>
      </c>
      <c r="AJ28" s="451"/>
    </row>
    <row r="29" spans="1:36" ht="14.5" customHeight="1" x14ac:dyDescent="0.25">
      <c r="A29" s="36" t="str">
        <f t="shared" si="6"/>
        <v>NIMW593</v>
      </c>
      <c r="B29" s="35" t="s">
        <v>88</v>
      </c>
      <c r="C29" s="35">
        <v>59</v>
      </c>
      <c r="D29" s="35">
        <v>3</v>
      </c>
      <c r="E29" s="3" t="s">
        <v>89</v>
      </c>
      <c r="F29" s="43" t="str">
        <f t="shared" si="10"/>
        <v>Fall</v>
      </c>
      <c r="G29" s="235">
        <f>SUMIFS('[7]inland_taf_hatchgrp_tableraw&amp;yy'!G$3:G$38,'[7]inland_taf_hatchgrp_tableraw&amp;yy'!$AC$3:$AC$38,'2014 Table 11 CWTs exp'!$A29)</f>
        <v>0</v>
      </c>
      <c r="H29" s="45">
        <f>SUMIFS('[7]inland_taf_hatchgrp_tableraw&amp;yy'!H$3:H$38,'[7]inland_taf_hatchgrp_tableraw&amp;yy'!$AC$3:$AC$38,'2014 Table 11 CWTs exp'!$A29)</f>
        <v>0</v>
      </c>
      <c r="I29" s="44">
        <f>SUMIFS('[7]inland_taf_hatchgrp_tableraw&amp;yy'!I$3:I$38,'[7]inland_taf_hatchgrp_tableraw&amp;yy'!$AC$3:$AC$38,'2014 Table 11 CWTs exp'!$A29)</f>
        <v>0</v>
      </c>
      <c r="J29" s="46">
        <f>SUMIFS('[7]inland_taf_hatchgrp_tableraw&amp;yy'!J$3:J$38,'[7]inland_taf_hatchgrp_tableraw&amp;yy'!$AC$3:$AC$38,'2014 Table 11 CWTs exp'!$A29)</f>
        <v>12</v>
      </c>
      <c r="K29" s="44">
        <f>SUMIFS('[7]inland_taf_hatchgrp_tableraw&amp;yy'!K$3:K$38,'[7]inland_taf_hatchgrp_tableraw&amp;yy'!$AC$3:$AC$38,'2014 Table 11 CWTs exp'!$A29)</f>
        <v>3</v>
      </c>
      <c r="L29" s="44">
        <f>SUMIFS('[7]inland_taf_hatchgrp_tableraw&amp;yy'!L$3:L$38,'[7]inland_taf_hatchgrp_tableraw&amp;yy'!$AC$3:$AC$38,'2014 Table 11 CWTs exp'!$A29)</f>
        <v>8</v>
      </c>
      <c r="M29" s="44">
        <f>SUMIFS('[7]inland_taf_hatchgrp_tableraw&amp;yy'!M$3:M$38,'[7]inland_taf_hatchgrp_tableraw&amp;yy'!$AC$3:$AC$38,'2014 Table 11 CWTs exp'!$A29)</f>
        <v>8</v>
      </c>
      <c r="N29" s="44">
        <f>SUMIFS('[7]inland_taf_hatchgrp_tableraw&amp;yy'!N$3:N$38,'[7]inland_taf_hatchgrp_tableraw&amp;yy'!$AC$3:$AC$38,'2014 Table 11 CWTs exp'!$A29)</f>
        <v>70</v>
      </c>
      <c r="O29" s="44">
        <f>SUMIFS('[7]inland_taf_hatchgrp_tableraw&amp;yy'!O$3:O$38,'[7]inland_taf_hatchgrp_tableraw&amp;yy'!$AC$3:$AC$38,'2014 Table 11 CWTs exp'!$A29)</f>
        <v>5</v>
      </c>
      <c r="P29" s="44">
        <f>SUMIFS('[7]inland_taf_hatchgrp_tableraw&amp;yy'!P$3:P$38,'[7]inland_taf_hatchgrp_tableraw&amp;yy'!$AC$3:$AC$38,'2014 Table 11 CWTs exp'!$A29)</f>
        <v>0</v>
      </c>
      <c r="Q29" s="45">
        <f>SUMIFS('[7]inland_taf_hatchgrp_tableraw&amp;yy'!Q$3:Q$38,'[7]inland_taf_hatchgrp_tableraw&amp;yy'!$AC$3:$AC$38,'2014 Table 11 CWTs exp'!$A29)</f>
        <v>149</v>
      </c>
      <c r="R29" s="46">
        <f>SUMIFS('[7]inland_taf_hatchgrp_tableraw&amp;yy'!R$3:R$38,'[7]inland_taf_hatchgrp_tableraw&amp;yy'!$AC$3:$AC$38,'2014 Table 11 CWTs exp'!$A29)</f>
        <v>45</v>
      </c>
      <c r="S29" s="44">
        <f>SUMIFS('[7]inland_taf_hatchgrp_tableraw&amp;yy'!S$3:S$38,'[7]inland_taf_hatchgrp_tableraw&amp;yy'!$AC$3:$AC$38,'2014 Table 11 CWTs exp'!$A29)</f>
        <v>0</v>
      </c>
      <c r="T29" s="44">
        <f>SUMIFS('[7]inland_taf_hatchgrp_tableraw&amp;yy'!T$3:T$38,'[7]inland_taf_hatchgrp_tableraw&amp;yy'!$AC$3:$AC$38,'2014 Table 11 CWTs exp'!$A29)</f>
        <v>160</v>
      </c>
      <c r="U29" s="44">
        <f>SUMIFS('[7]inland_taf_hatchgrp_tableraw&amp;yy'!U$3:U$38,'[7]inland_taf_hatchgrp_tableraw&amp;yy'!$AC$3:$AC$38,'2014 Table 11 CWTs exp'!$A29)</f>
        <v>8</v>
      </c>
      <c r="V29" s="45">
        <f>SUMIFS('[7]inland_taf_hatchgrp_tableraw&amp;yy'!V$3:V$38,'[7]inland_taf_hatchgrp_tableraw&amp;yy'!$AC$3:$AC$38,'2014 Table 11 CWTs exp'!$A29)</f>
        <v>0</v>
      </c>
      <c r="W29" s="46">
        <f>SUMIFS('[7]inland_taf_hatchgrp_tableraw&amp;yy'!W$3:W$38,'[7]inland_taf_hatchgrp_tableraw&amp;yy'!$AC$3:$AC$38,'2014 Table 11 CWTs exp'!$A29)</f>
        <v>85</v>
      </c>
      <c r="X29" s="44">
        <f>SUMIFS('[7]inland_taf_hatchgrp_tableraw&amp;yy'!X$3:X$38,'[7]inland_taf_hatchgrp_tableraw&amp;yy'!$AC$3:$AC$38,'2014 Table 11 CWTs exp'!$A29)</f>
        <v>0</v>
      </c>
      <c r="Y29" s="84">
        <f>SUMIFS('[7]inland_taf_hatchgrp_tableraw&amp;yy'!Y$3:Y$38,'[7]inland_taf_hatchgrp_tableraw&amp;yy'!$AC$3:$AC$38,'2014 Table 11 CWTs exp'!$A29)</f>
        <v>554</v>
      </c>
      <c r="Z29" s="85">
        <f>SUMIFS('[7]inland_taf_hatchgrp_tableraw&amp;yy'!Z$3:Z$38,'[7]inland_taf_hatchgrp_tableraw&amp;yy'!$AC$3:$AC$38,'2014 Table 11 CWTs exp'!$A29)</f>
        <v>1418</v>
      </c>
      <c r="AA29" s="44">
        <f>SUMIFS('[7]inland_taf_hatchgrp_tableraw&amp;yy'!AA$3:AA$38,'[7]inland_taf_hatchgrp_tableraw&amp;yy'!$AC$3:$AC$38,'2014 Table 11 CWTs exp'!$A29)</f>
        <v>1972</v>
      </c>
      <c r="AB29" s="44"/>
      <c r="AC29" s="603" t="e">
        <f>SUMIFS('[7]inland_taf_hatchgrp_tableraw&amp;yy'!AB$3:AB$38,'[7]inland_taf_hatchgrp_tableraw&amp;yy'!$AC$3:$AC$38,'2014 Table 11 CWTs exp'!$A29)</f>
        <v>#VALUE!</v>
      </c>
      <c r="AD29" s="604" t="str">
        <f t="shared" si="7"/>
        <v>NIMW593</v>
      </c>
      <c r="AE29" s="603"/>
      <c r="AF29" s="604"/>
      <c r="AG29" s="597"/>
      <c r="AH29" s="605" t="e">
        <f t="shared" si="9"/>
        <v>#VALUE!</v>
      </c>
      <c r="AI29" s="447">
        <f t="shared" si="8"/>
        <v>1418</v>
      </c>
      <c r="AJ29" s="451"/>
    </row>
    <row r="30" spans="1:36" ht="14.5" customHeight="1" x14ac:dyDescent="0.25">
      <c r="A30" s="50" t="str">
        <f t="shared" si="6"/>
        <v>MOKE543</v>
      </c>
      <c r="B30" s="13" t="s">
        <v>90</v>
      </c>
      <c r="C30" s="13">
        <v>54</v>
      </c>
      <c r="D30" s="13">
        <v>3</v>
      </c>
      <c r="E30" s="3" t="s">
        <v>91</v>
      </c>
      <c r="F30" s="43" t="str">
        <f t="shared" si="10"/>
        <v>Fall</v>
      </c>
      <c r="G30" s="235">
        <f>SUMIFS('[7]inland_taf_hatchgrp_tableraw&amp;yy'!G$3:G$38,'[7]inland_taf_hatchgrp_tableraw&amp;yy'!$AC$3:$AC$38,'2014 Table 11 CWTs exp'!$A30)</f>
        <v>0</v>
      </c>
      <c r="H30" s="45">
        <f>SUMIFS('[7]inland_taf_hatchgrp_tableraw&amp;yy'!H$3:H$38,'[7]inland_taf_hatchgrp_tableraw&amp;yy'!$AC$3:$AC$38,'2014 Table 11 CWTs exp'!$A30)</f>
        <v>0</v>
      </c>
      <c r="I30" s="44">
        <f>SUMIFS('[7]inland_taf_hatchgrp_tableraw&amp;yy'!I$3:I$38,'[7]inland_taf_hatchgrp_tableraw&amp;yy'!$AC$3:$AC$38,'2014 Table 11 CWTs exp'!$A30)</f>
        <v>0</v>
      </c>
      <c r="J30" s="46">
        <f>SUMIFS('[7]inland_taf_hatchgrp_tableraw&amp;yy'!J$3:J$38,'[7]inland_taf_hatchgrp_tableraw&amp;yy'!$AC$3:$AC$38,'2014 Table 11 CWTs exp'!$A30)</f>
        <v>0</v>
      </c>
      <c r="K30" s="44">
        <f>SUMIFS('[7]inland_taf_hatchgrp_tableraw&amp;yy'!K$3:K$38,'[7]inland_taf_hatchgrp_tableraw&amp;yy'!$AC$3:$AC$38,'2014 Table 11 CWTs exp'!$A30)</f>
        <v>0</v>
      </c>
      <c r="L30" s="44">
        <f>SUMIFS('[7]inland_taf_hatchgrp_tableraw&amp;yy'!L$3:L$38,'[7]inland_taf_hatchgrp_tableraw&amp;yy'!$AC$3:$AC$38,'2014 Table 11 CWTs exp'!$A30)</f>
        <v>0</v>
      </c>
      <c r="M30" s="44">
        <f>SUMIFS('[7]inland_taf_hatchgrp_tableraw&amp;yy'!M$3:M$38,'[7]inland_taf_hatchgrp_tableraw&amp;yy'!$AC$3:$AC$38,'2014 Table 11 CWTs exp'!$A30)</f>
        <v>0</v>
      </c>
      <c r="N30" s="44">
        <f>SUMIFS('[7]inland_taf_hatchgrp_tableraw&amp;yy'!N$3:N$38,'[7]inland_taf_hatchgrp_tableraw&amp;yy'!$AC$3:$AC$38,'2014 Table 11 CWTs exp'!$A30)</f>
        <v>189</v>
      </c>
      <c r="O30" s="44">
        <f>SUMIFS('[7]inland_taf_hatchgrp_tableraw&amp;yy'!O$3:O$38,'[7]inland_taf_hatchgrp_tableraw&amp;yy'!$AC$3:$AC$38,'2014 Table 11 CWTs exp'!$A30)</f>
        <v>0</v>
      </c>
      <c r="P30" s="44">
        <f>SUMIFS('[7]inland_taf_hatchgrp_tableraw&amp;yy'!P$3:P$38,'[7]inland_taf_hatchgrp_tableraw&amp;yy'!$AC$3:$AC$38,'2014 Table 11 CWTs exp'!$A30)</f>
        <v>0</v>
      </c>
      <c r="Q30" s="45">
        <f>SUMIFS('[7]inland_taf_hatchgrp_tableraw&amp;yy'!Q$3:Q$38,'[7]inland_taf_hatchgrp_tableraw&amp;yy'!$AC$3:$AC$38,'2014 Table 11 CWTs exp'!$A30)</f>
        <v>0</v>
      </c>
      <c r="R30" s="46">
        <f>SUMIFS('[7]inland_taf_hatchgrp_tableraw&amp;yy'!R$3:R$38,'[7]inland_taf_hatchgrp_tableraw&amp;yy'!$AC$3:$AC$38,'2014 Table 11 CWTs exp'!$A30)</f>
        <v>0</v>
      </c>
      <c r="S30" s="44">
        <f>SUMIFS('[7]inland_taf_hatchgrp_tableraw&amp;yy'!S$3:S$38,'[7]inland_taf_hatchgrp_tableraw&amp;yy'!$AC$3:$AC$38,'2014 Table 11 CWTs exp'!$A30)</f>
        <v>24</v>
      </c>
      <c r="T30" s="44">
        <f>SUMIFS('[7]inland_taf_hatchgrp_tableraw&amp;yy'!T$3:T$38,'[7]inland_taf_hatchgrp_tableraw&amp;yy'!$AC$3:$AC$38,'2014 Table 11 CWTs exp'!$A30)</f>
        <v>1945</v>
      </c>
      <c r="U30" s="44">
        <f>SUMIFS('[7]inland_taf_hatchgrp_tableraw&amp;yy'!U$3:U$38,'[7]inland_taf_hatchgrp_tableraw&amp;yy'!$AC$3:$AC$38,'2014 Table 11 CWTs exp'!$A30)</f>
        <v>189</v>
      </c>
      <c r="V30" s="45">
        <f>SUMIFS('[7]inland_taf_hatchgrp_tableraw&amp;yy'!V$3:V$38,'[7]inland_taf_hatchgrp_tableraw&amp;yy'!$AC$3:$AC$38,'2014 Table 11 CWTs exp'!$A30)</f>
        <v>0</v>
      </c>
      <c r="W30" s="46">
        <f>SUMIFS('[7]inland_taf_hatchgrp_tableraw&amp;yy'!W$3:W$38,'[7]inland_taf_hatchgrp_tableraw&amp;yy'!$AC$3:$AC$38,'2014 Table 11 CWTs exp'!$A30)</f>
        <v>165</v>
      </c>
      <c r="X30" s="44">
        <f>SUMIFS('[7]inland_taf_hatchgrp_tableraw&amp;yy'!X$3:X$38,'[7]inland_taf_hatchgrp_tableraw&amp;yy'!$AC$3:$AC$38,'2014 Table 11 CWTs exp'!$A30)</f>
        <v>0</v>
      </c>
      <c r="Y30" s="84">
        <f>SUMIFS('[7]inland_taf_hatchgrp_tableraw&amp;yy'!Y$3:Y$38,'[7]inland_taf_hatchgrp_tableraw&amp;yy'!$AC$3:$AC$38,'2014 Table 11 CWTs exp'!$A30)</f>
        <v>2511</v>
      </c>
      <c r="Z30" s="85">
        <f>SUMIFS('[7]inland_taf_hatchgrp_tableraw&amp;yy'!Z$3:Z$38,'[7]inland_taf_hatchgrp_tableraw&amp;yy'!$AC$3:$AC$38,'2014 Table 11 CWTs exp'!$A30)</f>
        <v>786</v>
      </c>
      <c r="AA30" s="44">
        <f>SUMIFS('[7]inland_taf_hatchgrp_tableraw&amp;yy'!AA$3:AA$38,'[7]inland_taf_hatchgrp_tableraw&amp;yy'!$AC$3:$AC$38,'2014 Table 11 CWTs exp'!$A30)</f>
        <v>3297</v>
      </c>
      <c r="AB30" s="44"/>
      <c r="AC30" s="566" t="e">
        <f>SUMIFS('[7]inland_taf_hatchgrp_tableraw&amp;yy'!AB$3:AB$38,'[7]inland_taf_hatchgrp_tableraw&amp;yy'!$AC$3:$AC$38,'2014 Table 11 CWTs exp'!$A30)</f>
        <v>#VALUE!</v>
      </c>
      <c r="AD30" s="604" t="str">
        <f t="shared" si="7"/>
        <v>MOKE543</v>
      </c>
      <c r="AE30" s="442"/>
      <c r="AF30" s="597"/>
      <c r="AG30" s="597"/>
      <c r="AH30" s="605" t="e">
        <f t="shared" si="9"/>
        <v>#VALUE!</v>
      </c>
      <c r="AI30" s="447">
        <f t="shared" si="8"/>
        <v>786</v>
      </c>
      <c r="AJ30" s="451"/>
    </row>
    <row r="31" spans="1:36" ht="14.5" hidden="1" customHeight="1" x14ac:dyDescent="0.25">
      <c r="A31" s="50" t="str">
        <f t="shared" si="6"/>
        <v>COSU543</v>
      </c>
      <c r="B31" s="13" t="s">
        <v>92</v>
      </c>
      <c r="C31" s="13">
        <v>54</v>
      </c>
      <c r="D31" s="13">
        <v>3</v>
      </c>
      <c r="E31" s="3" t="s">
        <v>93</v>
      </c>
      <c r="F31" s="43" t="str">
        <f t="shared" si="10"/>
        <v>Fall</v>
      </c>
      <c r="G31" s="235">
        <f>SUMIFS('[7]inland_taf_hatchgrp_tableraw&amp;yy'!G$3:G$38,'[7]inland_taf_hatchgrp_tableraw&amp;yy'!$AC$3:$AC$38,'2014 Table 11 CWTs exp'!$A31)</f>
        <v>0</v>
      </c>
      <c r="H31" s="45">
        <f>SUMIFS('[7]inland_taf_hatchgrp_tableraw&amp;yy'!H$3:H$38,'[7]inland_taf_hatchgrp_tableraw&amp;yy'!$AC$3:$AC$38,'2014 Table 11 CWTs exp'!$A31)</f>
        <v>0</v>
      </c>
      <c r="I31" s="44">
        <f>SUMIFS('[7]inland_taf_hatchgrp_tableraw&amp;yy'!I$3:I$38,'[7]inland_taf_hatchgrp_tableraw&amp;yy'!$AC$3:$AC$38,'2014 Table 11 CWTs exp'!$A31)</f>
        <v>0</v>
      </c>
      <c r="J31" s="46">
        <f>SUMIFS('[7]inland_taf_hatchgrp_tableraw&amp;yy'!J$3:J$38,'[7]inland_taf_hatchgrp_tableraw&amp;yy'!$AC$3:$AC$38,'2014 Table 11 CWTs exp'!$A31)</f>
        <v>0</v>
      </c>
      <c r="K31" s="44">
        <f>SUMIFS('[7]inland_taf_hatchgrp_tableraw&amp;yy'!K$3:K$38,'[7]inland_taf_hatchgrp_tableraw&amp;yy'!$AC$3:$AC$38,'2014 Table 11 CWTs exp'!$A31)</f>
        <v>0</v>
      </c>
      <c r="L31" s="44">
        <f>SUMIFS('[7]inland_taf_hatchgrp_tableraw&amp;yy'!L$3:L$38,'[7]inland_taf_hatchgrp_tableraw&amp;yy'!$AC$3:$AC$38,'2014 Table 11 CWTs exp'!$A31)</f>
        <v>0</v>
      </c>
      <c r="M31" s="44">
        <f>SUMIFS('[7]inland_taf_hatchgrp_tableraw&amp;yy'!M$3:M$38,'[7]inland_taf_hatchgrp_tableraw&amp;yy'!$AC$3:$AC$38,'2014 Table 11 CWTs exp'!$A31)</f>
        <v>0</v>
      </c>
      <c r="N31" s="44">
        <f>SUMIFS('[7]inland_taf_hatchgrp_tableraw&amp;yy'!N$3:N$38,'[7]inland_taf_hatchgrp_tableraw&amp;yy'!$AC$3:$AC$38,'2014 Table 11 CWTs exp'!$A31)</f>
        <v>0</v>
      </c>
      <c r="O31" s="44">
        <f>SUMIFS('[7]inland_taf_hatchgrp_tableraw&amp;yy'!O$3:O$38,'[7]inland_taf_hatchgrp_tableraw&amp;yy'!$AC$3:$AC$38,'2014 Table 11 CWTs exp'!$A31)</f>
        <v>0</v>
      </c>
      <c r="P31" s="44">
        <f>SUMIFS('[7]inland_taf_hatchgrp_tableraw&amp;yy'!P$3:P$38,'[7]inland_taf_hatchgrp_tableraw&amp;yy'!$AC$3:$AC$38,'2014 Table 11 CWTs exp'!$A31)</f>
        <v>0</v>
      </c>
      <c r="Q31" s="45">
        <f>SUMIFS('[7]inland_taf_hatchgrp_tableraw&amp;yy'!Q$3:Q$38,'[7]inland_taf_hatchgrp_tableraw&amp;yy'!$AC$3:$AC$38,'2014 Table 11 CWTs exp'!$A31)</f>
        <v>0</v>
      </c>
      <c r="R31" s="46">
        <f>SUMIFS('[7]inland_taf_hatchgrp_tableraw&amp;yy'!R$3:R$38,'[7]inland_taf_hatchgrp_tableraw&amp;yy'!$AC$3:$AC$38,'2014 Table 11 CWTs exp'!$A31)</f>
        <v>0</v>
      </c>
      <c r="S31" s="44">
        <f>SUMIFS('[7]inland_taf_hatchgrp_tableraw&amp;yy'!S$3:S$38,'[7]inland_taf_hatchgrp_tableraw&amp;yy'!$AC$3:$AC$38,'2014 Table 11 CWTs exp'!$A31)</f>
        <v>0</v>
      </c>
      <c r="T31" s="44">
        <f>SUMIFS('[7]inland_taf_hatchgrp_tableraw&amp;yy'!T$3:T$38,'[7]inland_taf_hatchgrp_tableraw&amp;yy'!$AC$3:$AC$38,'2014 Table 11 CWTs exp'!$A31)</f>
        <v>0</v>
      </c>
      <c r="U31" s="44">
        <f>SUMIFS('[7]inland_taf_hatchgrp_tableraw&amp;yy'!U$3:U$38,'[7]inland_taf_hatchgrp_tableraw&amp;yy'!$AC$3:$AC$38,'2014 Table 11 CWTs exp'!$A31)</f>
        <v>0</v>
      </c>
      <c r="V31" s="45">
        <f>SUMIFS('[7]inland_taf_hatchgrp_tableraw&amp;yy'!V$3:V$38,'[7]inland_taf_hatchgrp_tableraw&amp;yy'!$AC$3:$AC$38,'2014 Table 11 CWTs exp'!$A31)</f>
        <v>0</v>
      </c>
      <c r="W31" s="46">
        <f>SUMIFS('[7]inland_taf_hatchgrp_tableraw&amp;yy'!W$3:W$38,'[7]inland_taf_hatchgrp_tableraw&amp;yy'!$AC$3:$AC$38,'2014 Table 11 CWTs exp'!$A31)</f>
        <v>0</v>
      </c>
      <c r="X31" s="44">
        <f>SUMIFS('[7]inland_taf_hatchgrp_tableraw&amp;yy'!X$3:X$38,'[7]inland_taf_hatchgrp_tableraw&amp;yy'!$AC$3:$AC$38,'2014 Table 11 CWTs exp'!$A31)</f>
        <v>0</v>
      </c>
      <c r="Y31" s="84">
        <f>SUMIFS('[7]inland_taf_hatchgrp_tableraw&amp;yy'!Y$3:Y$38,'[7]inland_taf_hatchgrp_tableraw&amp;yy'!$AC$3:$AC$38,'2014 Table 11 CWTs exp'!$A31)</f>
        <v>0</v>
      </c>
      <c r="Z31" s="85">
        <f>SUMIFS('[7]inland_taf_hatchgrp_tableraw&amp;yy'!Z$3:Z$38,'[7]inland_taf_hatchgrp_tableraw&amp;yy'!$AC$3:$AC$38,'2014 Table 11 CWTs exp'!$A31)</f>
        <v>0</v>
      </c>
      <c r="AA31" s="44">
        <f>SUMIFS('[7]inland_taf_hatchgrp_tableraw&amp;yy'!AA$3:AA$38,'[7]inland_taf_hatchgrp_tableraw&amp;yy'!$AC$3:$AC$38,'2014 Table 11 CWTs exp'!$A31)</f>
        <v>0</v>
      </c>
      <c r="AB31" s="44"/>
      <c r="AC31" s="567" t="e">
        <f>SUMIFS('[7]inland_taf_hatchgrp_tableraw&amp;yy'!AB$3:AB$38,'[7]inland_taf_hatchgrp_tableraw&amp;yy'!$AC$3:$AC$38,'2014 Table 11 CWTs exp'!$A31)</f>
        <v>#VALUE!</v>
      </c>
      <c r="AD31" s="604" t="str">
        <f t="shared" si="7"/>
        <v>COSU543</v>
      </c>
      <c r="AE31" s="442"/>
      <c r="AF31" s="597"/>
      <c r="AG31" s="597"/>
      <c r="AH31" s="605" t="e">
        <f t="shared" si="9"/>
        <v>#VALUE!</v>
      </c>
      <c r="AI31" s="447">
        <f t="shared" si="8"/>
        <v>0</v>
      </c>
      <c r="AJ31" s="451"/>
    </row>
    <row r="32" spans="1:36" ht="14.5" hidden="1" customHeight="1" x14ac:dyDescent="0.25">
      <c r="A32" s="50" t="str">
        <f t="shared" si="6"/>
        <v>CAL543</v>
      </c>
      <c r="B32" s="13" t="s">
        <v>94</v>
      </c>
      <c r="C32" s="13">
        <v>54</v>
      </c>
      <c r="D32" s="13">
        <v>3</v>
      </c>
      <c r="E32" s="3" t="s">
        <v>166</v>
      </c>
      <c r="F32" s="43" t="str">
        <f t="shared" si="10"/>
        <v>Fall</v>
      </c>
      <c r="G32" s="235">
        <f>SUMIFS('[7]inland_taf_hatchgrp_tableraw&amp;yy'!G$3:G$38,'[7]inland_taf_hatchgrp_tableraw&amp;yy'!$AC$3:$AC$38,'2014 Table 11 CWTs exp'!$A32)</f>
        <v>0</v>
      </c>
      <c r="H32" s="45">
        <f>SUMIFS('[7]inland_taf_hatchgrp_tableraw&amp;yy'!H$3:H$38,'[7]inland_taf_hatchgrp_tableraw&amp;yy'!$AC$3:$AC$38,'2014 Table 11 CWTs exp'!$A32)</f>
        <v>0</v>
      </c>
      <c r="I32" s="44">
        <f>SUMIFS('[7]inland_taf_hatchgrp_tableraw&amp;yy'!I$3:I$38,'[7]inland_taf_hatchgrp_tableraw&amp;yy'!$AC$3:$AC$38,'2014 Table 11 CWTs exp'!$A32)</f>
        <v>0</v>
      </c>
      <c r="J32" s="46">
        <f>SUMIFS('[7]inland_taf_hatchgrp_tableraw&amp;yy'!J$3:J$38,'[7]inland_taf_hatchgrp_tableraw&amp;yy'!$AC$3:$AC$38,'2014 Table 11 CWTs exp'!$A32)</f>
        <v>0</v>
      </c>
      <c r="K32" s="44">
        <f>SUMIFS('[7]inland_taf_hatchgrp_tableraw&amp;yy'!K$3:K$38,'[7]inland_taf_hatchgrp_tableraw&amp;yy'!$AC$3:$AC$38,'2014 Table 11 CWTs exp'!$A32)</f>
        <v>0</v>
      </c>
      <c r="L32" s="44">
        <f>SUMIFS('[7]inland_taf_hatchgrp_tableraw&amp;yy'!L$3:L$38,'[7]inland_taf_hatchgrp_tableraw&amp;yy'!$AC$3:$AC$38,'2014 Table 11 CWTs exp'!$A32)</f>
        <v>0</v>
      </c>
      <c r="M32" s="44">
        <f>SUMIFS('[7]inland_taf_hatchgrp_tableraw&amp;yy'!M$3:M$38,'[7]inland_taf_hatchgrp_tableraw&amp;yy'!$AC$3:$AC$38,'2014 Table 11 CWTs exp'!$A32)</f>
        <v>0</v>
      </c>
      <c r="N32" s="44">
        <f>SUMIFS('[7]inland_taf_hatchgrp_tableraw&amp;yy'!N$3:N$38,'[7]inland_taf_hatchgrp_tableraw&amp;yy'!$AC$3:$AC$38,'2014 Table 11 CWTs exp'!$A32)</f>
        <v>0</v>
      </c>
      <c r="O32" s="44">
        <f>SUMIFS('[7]inland_taf_hatchgrp_tableraw&amp;yy'!O$3:O$38,'[7]inland_taf_hatchgrp_tableraw&amp;yy'!$AC$3:$AC$38,'2014 Table 11 CWTs exp'!$A32)</f>
        <v>0</v>
      </c>
      <c r="P32" s="44">
        <f>SUMIFS('[7]inland_taf_hatchgrp_tableraw&amp;yy'!P$3:P$38,'[7]inland_taf_hatchgrp_tableraw&amp;yy'!$AC$3:$AC$38,'2014 Table 11 CWTs exp'!$A32)</f>
        <v>0</v>
      </c>
      <c r="Q32" s="45">
        <f>SUMIFS('[7]inland_taf_hatchgrp_tableraw&amp;yy'!Q$3:Q$38,'[7]inland_taf_hatchgrp_tableraw&amp;yy'!$AC$3:$AC$38,'2014 Table 11 CWTs exp'!$A32)</f>
        <v>0</v>
      </c>
      <c r="R32" s="46">
        <f>SUMIFS('[7]inland_taf_hatchgrp_tableraw&amp;yy'!R$3:R$38,'[7]inland_taf_hatchgrp_tableraw&amp;yy'!$AC$3:$AC$38,'2014 Table 11 CWTs exp'!$A32)</f>
        <v>0</v>
      </c>
      <c r="S32" s="44">
        <f>SUMIFS('[7]inland_taf_hatchgrp_tableraw&amp;yy'!S$3:S$38,'[7]inland_taf_hatchgrp_tableraw&amp;yy'!$AC$3:$AC$38,'2014 Table 11 CWTs exp'!$A32)</f>
        <v>0</v>
      </c>
      <c r="T32" s="44">
        <f>SUMIFS('[7]inland_taf_hatchgrp_tableraw&amp;yy'!T$3:T$38,'[7]inland_taf_hatchgrp_tableraw&amp;yy'!$AC$3:$AC$38,'2014 Table 11 CWTs exp'!$A32)</f>
        <v>0</v>
      </c>
      <c r="U32" s="44">
        <f>SUMIFS('[7]inland_taf_hatchgrp_tableraw&amp;yy'!U$3:U$38,'[7]inland_taf_hatchgrp_tableraw&amp;yy'!$AC$3:$AC$38,'2014 Table 11 CWTs exp'!$A32)</f>
        <v>0</v>
      </c>
      <c r="V32" s="45">
        <f>SUMIFS('[7]inland_taf_hatchgrp_tableraw&amp;yy'!V$3:V$38,'[7]inland_taf_hatchgrp_tableraw&amp;yy'!$AC$3:$AC$38,'2014 Table 11 CWTs exp'!$A32)</f>
        <v>0</v>
      </c>
      <c r="W32" s="46">
        <f>SUMIFS('[7]inland_taf_hatchgrp_tableraw&amp;yy'!W$3:W$38,'[7]inland_taf_hatchgrp_tableraw&amp;yy'!$AC$3:$AC$38,'2014 Table 11 CWTs exp'!$A32)</f>
        <v>0</v>
      </c>
      <c r="X32" s="44">
        <f>SUMIFS('[7]inland_taf_hatchgrp_tableraw&amp;yy'!X$3:X$38,'[7]inland_taf_hatchgrp_tableraw&amp;yy'!$AC$3:$AC$38,'2014 Table 11 CWTs exp'!$A32)</f>
        <v>0</v>
      </c>
      <c r="Y32" s="84">
        <f>SUMIFS('[7]inland_taf_hatchgrp_tableraw&amp;yy'!Y$3:Y$38,'[7]inland_taf_hatchgrp_tableraw&amp;yy'!$AC$3:$AC$38,'2014 Table 11 CWTs exp'!$A32)</f>
        <v>0</v>
      </c>
      <c r="Z32" s="85">
        <f>SUMIFS('[7]inland_taf_hatchgrp_tableraw&amp;yy'!Z$3:Z$38,'[7]inland_taf_hatchgrp_tableraw&amp;yy'!$AC$3:$AC$38,'2014 Table 11 CWTs exp'!$A32)</f>
        <v>0</v>
      </c>
      <c r="AA32" s="44">
        <f>SUMIFS('[7]inland_taf_hatchgrp_tableraw&amp;yy'!AA$3:AA$38,'[7]inland_taf_hatchgrp_tableraw&amp;yy'!$AC$3:$AC$38,'2014 Table 11 CWTs exp'!$A32)</f>
        <v>0</v>
      </c>
      <c r="AB32" s="44"/>
      <c r="AC32" s="567" t="e">
        <f>SUMIFS('[7]inland_taf_hatchgrp_tableraw&amp;yy'!AB$3:AB$38,'[7]inland_taf_hatchgrp_tableraw&amp;yy'!$AC$3:$AC$38,'2014 Table 11 CWTs exp'!$A32)</f>
        <v>#VALUE!</v>
      </c>
      <c r="AD32" s="604" t="str">
        <f t="shared" si="7"/>
        <v>CAL543</v>
      </c>
      <c r="AE32" s="442"/>
      <c r="AF32" s="597"/>
      <c r="AG32" s="597"/>
      <c r="AH32" s="605" t="e">
        <f t="shared" si="9"/>
        <v>#VALUE!</v>
      </c>
      <c r="AI32" s="447">
        <f t="shared" si="8"/>
        <v>0</v>
      </c>
      <c r="AJ32" s="451"/>
    </row>
    <row r="33" spans="1:46" ht="14.5" customHeight="1" x14ac:dyDescent="0.25">
      <c r="A33" s="50" t="str">
        <f t="shared" si="6"/>
        <v>STA543</v>
      </c>
      <c r="B33" s="13" t="s">
        <v>96</v>
      </c>
      <c r="C33" s="13">
        <v>54</v>
      </c>
      <c r="D33" s="13">
        <v>3</v>
      </c>
      <c r="E33" s="3" t="s">
        <v>97</v>
      </c>
      <c r="F33" s="43" t="str">
        <f t="shared" si="10"/>
        <v>Fall</v>
      </c>
      <c r="G33" s="235">
        <f>SUMIFS('[7]inland_taf_hatchgrp_tableraw&amp;yy'!G$3:G$38,'[7]inland_taf_hatchgrp_tableraw&amp;yy'!$AC$3:$AC$38,'2014 Table 11 CWTs exp'!$A33)</f>
        <v>0</v>
      </c>
      <c r="H33" s="45">
        <f>SUMIFS('[7]inland_taf_hatchgrp_tableraw&amp;yy'!H$3:H$38,'[7]inland_taf_hatchgrp_tableraw&amp;yy'!$AC$3:$AC$38,'2014 Table 11 CWTs exp'!$A33)</f>
        <v>0</v>
      </c>
      <c r="I33" s="44">
        <f>SUMIFS('[7]inland_taf_hatchgrp_tableraw&amp;yy'!I$3:I$38,'[7]inland_taf_hatchgrp_tableraw&amp;yy'!$AC$3:$AC$38,'2014 Table 11 CWTs exp'!$A33)</f>
        <v>0</v>
      </c>
      <c r="J33" s="46">
        <f>SUMIFS('[7]inland_taf_hatchgrp_tableraw&amp;yy'!J$3:J$38,'[7]inland_taf_hatchgrp_tableraw&amp;yy'!$AC$3:$AC$38,'2014 Table 11 CWTs exp'!$A33)</f>
        <v>22</v>
      </c>
      <c r="K33" s="44">
        <f>SUMIFS('[7]inland_taf_hatchgrp_tableraw&amp;yy'!K$3:K$38,'[7]inland_taf_hatchgrp_tableraw&amp;yy'!$AC$3:$AC$38,'2014 Table 11 CWTs exp'!$A33)</f>
        <v>0</v>
      </c>
      <c r="L33" s="44">
        <f>SUMIFS('[7]inland_taf_hatchgrp_tableraw&amp;yy'!L$3:L$38,'[7]inland_taf_hatchgrp_tableraw&amp;yy'!$AC$3:$AC$38,'2014 Table 11 CWTs exp'!$A33)</f>
        <v>0</v>
      </c>
      <c r="M33" s="44">
        <f>SUMIFS('[7]inland_taf_hatchgrp_tableraw&amp;yy'!M$3:M$38,'[7]inland_taf_hatchgrp_tableraw&amp;yy'!$AC$3:$AC$38,'2014 Table 11 CWTs exp'!$A33)</f>
        <v>0</v>
      </c>
      <c r="N33" s="44">
        <f>SUMIFS('[7]inland_taf_hatchgrp_tableraw&amp;yy'!N$3:N$38,'[7]inland_taf_hatchgrp_tableraw&amp;yy'!$AC$3:$AC$38,'2014 Table 11 CWTs exp'!$A33)</f>
        <v>198</v>
      </c>
      <c r="O33" s="44">
        <f>SUMIFS('[7]inland_taf_hatchgrp_tableraw&amp;yy'!O$3:O$38,'[7]inland_taf_hatchgrp_tableraw&amp;yy'!$AC$3:$AC$38,'2014 Table 11 CWTs exp'!$A33)</f>
        <v>50</v>
      </c>
      <c r="P33" s="44">
        <f>SUMIFS('[7]inland_taf_hatchgrp_tableraw&amp;yy'!P$3:P$38,'[7]inland_taf_hatchgrp_tableraw&amp;yy'!$AC$3:$AC$38,'2014 Table 11 CWTs exp'!$A33)</f>
        <v>0</v>
      </c>
      <c r="Q33" s="45">
        <f>SUMIFS('[7]inland_taf_hatchgrp_tableraw&amp;yy'!Q$3:Q$38,'[7]inland_taf_hatchgrp_tableraw&amp;yy'!$AC$3:$AC$38,'2014 Table 11 CWTs exp'!$A33)</f>
        <v>0</v>
      </c>
      <c r="R33" s="46">
        <f>SUMIFS('[7]inland_taf_hatchgrp_tableraw&amp;yy'!R$3:R$38,'[7]inland_taf_hatchgrp_tableraw&amp;yy'!$AC$3:$AC$38,'2014 Table 11 CWTs exp'!$A33)</f>
        <v>0</v>
      </c>
      <c r="S33" s="44">
        <f>SUMIFS('[7]inland_taf_hatchgrp_tableraw&amp;yy'!S$3:S$38,'[7]inland_taf_hatchgrp_tableraw&amp;yy'!$AC$3:$AC$38,'2014 Table 11 CWTs exp'!$A33)</f>
        <v>13</v>
      </c>
      <c r="T33" s="44">
        <f>SUMIFS('[7]inland_taf_hatchgrp_tableraw&amp;yy'!T$3:T$38,'[7]inland_taf_hatchgrp_tableraw&amp;yy'!$AC$3:$AC$38,'2014 Table 11 CWTs exp'!$A33)</f>
        <v>1280</v>
      </c>
      <c r="U33" s="44">
        <f>SUMIFS('[7]inland_taf_hatchgrp_tableraw&amp;yy'!U$3:U$38,'[7]inland_taf_hatchgrp_tableraw&amp;yy'!$AC$3:$AC$38,'2014 Table 11 CWTs exp'!$A33)</f>
        <v>155</v>
      </c>
      <c r="V33" s="45">
        <f>SUMIFS('[7]inland_taf_hatchgrp_tableraw&amp;yy'!V$3:V$38,'[7]inland_taf_hatchgrp_tableraw&amp;yy'!$AC$3:$AC$38,'2014 Table 11 CWTs exp'!$A33)</f>
        <v>6</v>
      </c>
      <c r="W33" s="46">
        <f>SUMIFS('[7]inland_taf_hatchgrp_tableraw&amp;yy'!W$3:W$38,'[7]inland_taf_hatchgrp_tableraw&amp;yy'!$AC$3:$AC$38,'2014 Table 11 CWTs exp'!$A33)</f>
        <v>256</v>
      </c>
      <c r="X33" s="44">
        <f>SUMIFS('[7]inland_taf_hatchgrp_tableraw&amp;yy'!X$3:X$38,'[7]inland_taf_hatchgrp_tableraw&amp;yy'!$AC$3:$AC$38,'2014 Table 11 CWTs exp'!$A33)</f>
        <v>0</v>
      </c>
      <c r="Y33" s="84">
        <f>SUMIFS('[7]inland_taf_hatchgrp_tableraw&amp;yy'!Y$3:Y$38,'[7]inland_taf_hatchgrp_tableraw&amp;yy'!$AC$3:$AC$38,'2014 Table 11 CWTs exp'!$A33)</f>
        <v>1981</v>
      </c>
      <c r="Z33" s="85">
        <f>SUMIFS('[7]inland_taf_hatchgrp_tableraw&amp;yy'!Z$3:Z$38,'[7]inland_taf_hatchgrp_tableraw&amp;yy'!$AC$3:$AC$38,'2014 Table 11 CWTs exp'!$A33)</f>
        <v>1083</v>
      </c>
      <c r="AA33" s="44">
        <f>SUMIFS('[7]inland_taf_hatchgrp_tableraw&amp;yy'!AA$3:AA$38,'[7]inland_taf_hatchgrp_tableraw&amp;yy'!$AC$3:$AC$38,'2014 Table 11 CWTs exp'!$A33)</f>
        <v>3064</v>
      </c>
      <c r="AB33" s="44"/>
      <c r="AC33" s="566" t="e">
        <f>SUMIFS('[7]inland_taf_hatchgrp_tableraw&amp;yy'!AB$3:AB$38,'[7]inland_taf_hatchgrp_tableraw&amp;yy'!$AC$3:$AC$38,'2014 Table 11 CWTs exp'!$A33)</f>
        <v>#VALUE!</v>
      </c>
      <c r="AD33" s="604" t="str">
        <f t="shared" si="7"/>
        <v>STA543</v>
      </c>
      <c r="AE33" s="442"/>
      <c r="AF33" s="597"/>
      <c r="AG33" s="597"/>
      <c r="AH33" s="605" t="e">
        <f t="shared" si="9"/>
        <v>#VALUE!</v>
      </c>
      <c r="AI33" s="447">
        <f t="shared" si="8"/>
        <v>1083</v>
      </c>
      <c r="AJ33" s="451"/>
    </row>
    <row r="34" spans="1:46" ht="14.5" customHeight="1" x14ac:dyDescent="0.25">
      <c r="A34" s="50" t="str">
        <f t="shared" si="6"/>
        <v>TUO543</v>
      </c>
      <c r="B34" s="13" t="s">
        <v>98</v>
      </c>
      <c r="C34" s="13">
        <v>54</v>
      </c>
      <c r="D34" s="13">
        <v>3</v>
      </c>
      <c r="E34" s="3" t="s">
        <v>99</v>
      </c>
      <c r="F34" s="43" t="str">
        <f t="shared" si="10"/>
        <v>Fall</v>
      </c>
      <c r="G34" s="235">
        <f>SUMIFS('[7]inland_taf_hatchgrp_tableraw&amp;yy'!G$3:G$38,'[7]inland_taf_hatchgrp_tableraw&amp;yy'!$AC$3:$AC$38,'2014 Table 11 CWTs exp'!$A34)</f>
        <v>0</v>
      </c>
      <c r="H34" s="45">
        <f>SUMIFS('[7]inland_taf_hatchgrp_tableraw&amp;yy'!H$3:H$38,'[7]inland_taf_hatchgrp_tableraw&amp;yy'!$AC$3:$AC$38,'2014 Table 11 CWTs exp'!$A34)</f>
        <v>0</v>
      </c>
      <c r="I34" s="44">
        <f>SUMIFS('[7]inland_taf_hatchgrp_tableraw&amp;yy'!I$3:I$38,'[7]inland_taf_hatchgrp_tableraw&amp;yy'!$AC$3:$AC$38,'2014 Table 11 CWTs exp'!$A34)</f>
        <v>0</v>
      </c>
      <c r="J34" s="46">
        <f>SUMIFS('[7]inland_taf_hatchgrp_tableraw&amp;yy'!J$3:J$38,'[7]inland_taf_hatchgrp_tableraw&amp;yy'!$AC$3:$AC$38,'2014 Table 11 CWTs exp'!$A34)</f>
        <v>0</v>
      </c>
      <c r="K34" s="44">
        <f>SUMIFS('[7]inland_taf_hatchgrp_tableraw&amp;yy'!K$3:K$38,'[7]inland_taf_hatchgrp_tableraw&amp;yy'!$AC$3:$AC$38,'2014 Table 11 CWTs exp'!$A34)</f>
        <v>0</v>
      </c>
      <c r="L34" s="44">
        <f>SUMIFS('[7]inland_taf_hatchgrp_tableraw&amp;yy'!L$3:L$38,'[7]inland_taf_hatchgrp_tableraw&amp;yy'!$AC$3:$AC$38,'2014 Table 11 CWTs exp'!$A34)</f>
        <v>0</v>
      </c>
      <c r="M34" s="44">
        <f>SUMIFS('[7]inland_taf_hatchgrp_tableraw&amp;yy'!M$3:M$38,'[7]inland_taf_hatchgrp_tableraw&amp;yy'!$AC$3:$AC$38,'2014 Table 11 CWTs exp'!$A34)</f>
        <v>0</v>
      </c>
      <c r="N34" s="44">
        <f>SUMIFS('[7]inland_taf_hatchgrp_tableraw&amp;yy'!N$3:N$38,'[7]inland_taf_hatchgrp_tableraw&amp;yy'!$AC$3:$AC$38,'2014 Table 11 CWTs exp'!$A34)</f>
        <v>0</v>
      </c>
      <c r="O34" s="44">
        <f>SUMIFS('[7]inland_taf_hatchgrp_tableraw&amp;yy'!O$3:O$38,'[7]inland_taf_hatchgrp_tableraw&amp;yy'!$AC$3:$AC$38,'2014 Table 11 CWTs exp'!$A34)</f>
        <v>0</v>
      </c>
      <c r="P34" s="44">
        <f>SUMIFS('[7]inland_taf_hatchgrp_tableraw&amp;yy'!P$3:P$38,'[7]inland_taf_hatchgrp_tableraw&amp;yy'!$AC$3:$AC$38,'2014 Table 11 CWTs exp'!$A34)</f>
        <v>0</v>
      </c>
      <c r="Q34" s="45">
        <f>SUMIFS('[7]inland_taf_hatchgrp_tableraw&amp;yy'!Q$3:Q$38,'[7]inland_taf_hatchgrp_tableraw&amp;yy'!$AC$3:$AC$38,'2014 Table 11 CWTs exp'!$A34)</f>
        <v>0</v>
      </c>
      <c r="R34" s="46">
        <f>SUMIFS('[7]inland_taf_hatchgrp_tableraw&amp;yy'!R$3:R$38,'[7]inland_taf_hatchgrp_tableraw&amp;yy'!$AC$3:$AC$38,'2014 Table 11 CWTs exp'!$A34)</f>
        <v>43</v>
      </c>
      <c r="S34" s="44">
        <f>SUMIFS('[7]inland_taf_hatchgrp_tableraw&amp;yy'!S$3:S$38,'[7]inland_taf_hatchgrp_tableraw&amp;yy'!$AC$3:$AC$38,'2014 Table 11 CWTs exp'!$A34)</f>
        <v>0</v>
      </c>
      <c r="T34" s="44">
        <f>SUMIFS('[7]inland_taf_hatchgrp_tableraw&amp;yy'!T$3:T$38,'[7]inland_taf_hatchgrp_tableraw&amp;yy'!$AC$3:$AC$38,'2014 Table 11 CWTs exp'!$A34)</f>
        <v>86</v>
      </c>
      <c r="U34" s="44">
        <f>SUMIFS('[7]inland_taf_hatchgrp_tableraw&amp;yy'!U$3:U$38,'[7]inland_taf_hatchgrp_tableraw&amp;yy'!$AC$3:$AC$38,'2014 Table 11 CWTs exp'!$A34)</f>
        <v>0</v>
      </c>
      <c r="V34" s="45">
        <f>SUMIFS('[7]inland_taf_hatchgrp_tableraw&amp;yy'!V$3:V$38,'[7]inland_taf_hatchgrp_tableraw&amp;yy'!$AC$3:$AC$38,'2014 Table 11 CWTs exp'!$A34)</f>
        <v>6</v>
      </c>
      <c r="W34" s="46">
        <f>SUMIFS('[7]inland_taf_hatchgrp_tableraw&amp;yy'!W$3:W$38,'[7]inland_taf_hatchgrp_tableraw&amp;yy'!$AC$3:$AC$38,'2014 Table 11 CWTs exp'!$A34)</f>
        <v>0</v>
      </c>
      <c r="X34" s="44">
        <f>SUMIFS('[7]inland_taf_hatchgrp_tableraw&amp;yy'!X$3:X$38,'[7]inland_taf_hatchgrp_tableraw&amp;yy'!$AC$3:$AC$38,'2014 Table 11 CWTs exp'!$A34)</f>
        <v>0</v>
      </c>
      <c r="Y34" s="84">
        <f>SUMIFS('[7]inland_taf_hatchgrp_tableraw&amp;yy'!Y$3:Y$38,'[7]inland_taf_hatchgrp_tableraw&amp;yy'!$AC$3:$AC$38,'2014 Table 11 CWTs exp'!$A34)</f>
        <v>134</v>
      </c>
      <c r="Z34" s="85">
        <f>SUMIFS('[7]inland_taf_hatchgrp_tableraw&amp;yy'!Z$3:Z$38,'[7]inland_taf_hatchgrp_tableraw&amp;yy'!$AC$3:$AC$38,'2014 Table 11 CWTs exp'!$A34)</f>
        <v>72</v>
      </c>
      <c r="AA34" s="44">
        <f>SUMIFS('[7]inland_taf_hatchgrp_tableraw&amp;yy'!AA$3:AA$38,'[7]inland_taf_hatchgrp_tableraw&amp;yy'!$AC$3:$AC$38,'2014 Table 11 CWTs exp'!$A34)</f>
        <v>206</v>
      </c>
      <c r="AB34" s="44"/>
      <c r="AC34" s="566" t="e">
        <f>SUMIFS('[7]inland_taf_hatchgrp_tableraw&amp;yy'!AB$3:AB$38,'[7]inland_taf_hatchgrp_tableraw&amp;yy'!$AC$3:$AC$38,'2014 Table 11 CWTs exp'!$A34)</f>
        <v>#VALUE!</v>
      </c>
      <c r="AD34" s="604" t="str">
        <f t="shared" si="7"/>
        <v>TUO543</v>
      </c>
      <c r="AE34" s="442"/>
      <c r="AF34" s="597"/>
      <c r="AG34" s="597"/>
      <c r="AH34" s="605" t="e">
        <f t="shared" si="9"/>
        <v>#VALUE!</v>
      </c>
      <c r="AI34" s="447">
        <f t="shared" si="8"/>
        <v>72</v>
      </c>
      <c r="AJ34" s="451"/>
    </row>
    <row r="35" spans="1:46" ht="14.5" customHeight="1" x14ac:dyDescent="0.25">
      <c r="A35" s="50" t="str">
        <f t="shared" si="6"/>
        <v>MER543</v>
      </c>
      <c r="B35" s="13" t="s">
        <v>5</v>
      </c>
      <c r="C35" s="13">
        <v>54</v>
      </c>
      <c r="D35" s="13">
        <v>3</v>
      </c>
      <c r="E35" s="252" t="s">
        <v>100</v>
      </c>
      <c r="F35" s="253" t="str">
        <f t="shared" si="10"/>
        <v>Fall</v>
      </c>
      <c r="G35" s="254">
        <f>SUMIFS('[7]inland_taf_hatchgrp_tableraw&amp;yy'!G$3:G$38,'[7]inland_taf_hatchgrp_tableraw&amp;yy'!$AC$3:$AC$38,'2014 Table 11 CWTs exp'!$A35)</f>
        <v>0</v>
      </c>
      <c r="H35" s="255">
        <f>SUMIFS('[7]inland_taf_hatchgrp_tableraw&amp;yy'!H$3:H$38,'[7]inland_taf_hatchgrp_tableraw&amp;yy'!$AC$3:$AC$38,'2014 Table 11 CWTs exp'!$A35)</f>
        <v>0</v>
      </c>
      <c r="I35" s="256">
        <f>SUMIFS('[7]inland_taf_hatchgrp_tableraw&amp;yy'!I$3:I$38,'[7]inland_taf_hatchgrp_tableraw&amp;yy'!$AC$3:$AC$38,'2014 Table 11 CWTs exp'!$A35)</f>
        <v>0</v>
      </c>
      <c r="J35" s="257">
        <f>SUMIFS('[7]inland_taf_hatchgrp_tableraw&amp;yy'!J$3:J$38,'[7]inland_taf_hatchgrp_tableraw&amp;yy'!$AC$3:$AC$38,'2014 Table 11 CWTs exp'!$A35)</f>
        <v>0</v>
      </c>
      <c r="K35" s="256">
        <f>SUMIFS('[7]inland_taf_hatchgrp_tableraw&amp;yy'!K$3:K$38,'[7]inland_taf_hatchgrp_tableraw&amp;yy'!$AC$3:$AC$38,'2014 Table 11 CWTs exp'!$A35)</f>
        <v>0</v>
      </c>
      <c r="L35" s="256">
        <f>SUMIFS('[7]inland_taf_hatchgrp_tableraw&amp;yy'!L$3:L$38,'[7]inland_taf_hatchgrp_tableraw&amp;yy'!$AC$3:$AC$38,'2014 Table 11 CWTs exp'!$A35)</f>
        <v>0</v>
      </c>
      <c r="M35" s="256">
        <f>SUMIFS('[7]inland_taf_hatchgrp_tableraw&amp;yy'!M$3:M$38,'[7]inland_taf_hatchgrp_tableraw&amp;yy'!$AC$3:$AC$38,'2014 Table 11 CWTs exp'!$A35)</f>
        <v>0</v>
      </c>
      <c r="N35" s="256">
        <f>SUMIFS('[7]inland_taf_hatchgrp_tableraw&amp;yy'!N$3:N$38,'[7]inland_taf_hatchgrp_tableraw&amp;yy'!$AC$3:$AC$38,'2014 Table 11 CWTs exp'!$A35)</f>
        <v>75</v>
      </c>
      <c r="O35" s="256">
        <f>SUMIFS('[7]inland_taf_hatchgrp_tableraw&amp;yy'!O$3:O$38,'[7]inland_taf_hatchgrp_tableraw&amp;yy'!$AC$3:$AC$38,'2014 Table 11 CWTs exp'!$A35)</f>
        <v>9</v>
      </c>
      <c r="P35" s="256">
        <f>SUMIFS('[7]inland_taf_hatchgrp_tableraw&amp;yy'!P$3:P$38,'[7]inland_taf_hatchgrp_tableraw&amp;yy'!$AC$3:$AC$38,'2014 Table 11 CWTs exp'!$A35)</f>
        <v>0</v>
      </c>
      <c r="Q35" s="255">
        <f>SUMIFS('[7]inland_taf_hatchgrp_tableraw&amp;yy'!Q$3:Q$38,'[7]inland_taf_hatchgrp_tableraw&amp;yy'!$AC$3:$AC$38,'2014 Table 11 CWTs exp'!$A35)</f>
        <v>0</v>
      </c>
      <c r="R35" s="257">
        <f>SUMIFS('[7]inland_taf_hatchgrp_tableraw&amp;yy'!R$3:R$38,'[7]inland_taf_hatchgrp_tableraw&amp;yy'!$AC$3:$AC$38,'2014 Table 11 CWTs exp'!$A35)</f>
        <v>0</v>
      </c>
      <c r="S35" s="256">
        <f>SUMIFS('[7]inland_taf_hatchgrp_tableraw&amp;yy'!S$3:S$38,'[7]inland_taf_hatchgrp_tableraw&amp;yy'!$AC$3:$AC$38,'2014 Table 11 CWTs exp'!$A35)</f>
        <v>0</v>
      </c>
      <c r="T35" s="256">
        <f>SUMIFS('[7]inland_taf_hatchgrp_tableraw&amp;yy'!T$3:T$38,'[7]inland_taf_hatchgrp_tableraw&amp;yy'!$AC$3:$AC$38,'2014 Table 11 CWTs exp'!$A35)</f>
        <v>263</v>
      </c>
      <c r="U35" s="256">
        <f>SUMIFS('[7]inland_taf_hatchgrp_tableraw&amp;yy'!U$3:U$38,'[7]inland_taf_hatchgrp_tableraw&amp;yy'!$AC$3:$AC$38,'2014 Table 11 CWTs exp'!$A35)</f>
        <v>76</v>
      </c>
      <c r="V35" s="255">
        <f>SUMIFS('[7]inland_taf_hatchgrp_tableraw&amp;yy'!V$3:V$38,'[7]inland_taf_hatchgrp_tableraw&amp;yy'!$AC$3:$AC$38,'2014 Table 11 CWTs exp'!$A35)</f>
        <v>29</v>
      </c>
      <c r="W35" s="257">
        <f>SUMIFS('[7]inland_taf_hatchgrp_tableraw&amp;yy'!W$3:W$38,'[7]inland_taf_hatchgrp_tableraw&amp;yy'!$AC$3:$AC$38,'2014 Table 11 CWTs exp'!$A35)</f>
        <v>44</v>
      </c>
      <c r="X35" s="256">
        <f>SUMIFS('[7]inland_taf_hatchgrp_tableraw&amp;yy'!X$3:X$38,'[7]inland_taf_hatchgrp_tableraw&amp;yy'!$AC$3:$AC$38,'2014 Table 11 CWTs exp'!$A35)</f>
        <v>0</v>
      </c>
      <c r="Y35" s="258">
        <f>SUMIFS('[7]inland_taf_hatchgrp_tableraw&amp;yy'!Y$3:Y$38,'[7]inland_taf_hatchgrp_tableraw&amp;yy'!$AC$3:$AC$38,'2014 Table 11 CWTs exp'!$A35)</f>
        <v>496</v>
      </c>
      <c r="Z35" s="259">
        <f>SUMIFS('[7]inland_taf_hatchgrp_tableraw&amp;yy'!Z$3:Z$38,'[7]inland_taf_hatchgrp_tableraw&amp;yy'!$AC$3:$AC$38,'2014 Table 11 CWTs exp'!$A35)</f>
        <v>364</v>
      </c>
      <c r="AA35" s="256">
        <f>SUMIFS('[7]inland_taf_hatchgrp_tableraw&amp;yy'!AA$3:AA$38,'[7]inland_taf_hatchgrp_tableraw&amp;yy'!$AC$3:$AC$38,'2014 Table 11 CWTs exp'!$A35)</f>
        <v>860</v>
      </c>
      <c r="AB35" s="44"/>
      <c r="AC35" s="566" t="e">
        <f>SUMIFS('[7]inland_taf_hatchgrp_tableraw&amp;yy'!AB$3:AB$38,'[7]inland_taf_hatchgrp_tableraw&amp;yy'!$AC$3:$AC$38,'2014 Table 11 CWTs exp'!$A35)</f>
        <v>#VALUE!</v>
      </c>
      <c r="AD35" s="604" t="str">
        <f t="shared" si="7"/>
        <v>MER543</v>
      </c>
      <c r="AE35" s="442"/>
      <c r="AF35" s="597"/>
      <c r="AG35" s="597"/>
      <c r="AH35" s="605" t="e">
        <f t="shared" si="9"/>
        <v>#VALUE!</v>
      </c>
      <c r="AI35" s="447">
        <f>Z35</f>
        <v>364</v>
      </c>
      <c r="AJ35" s="451"/>
    </row>
    <row r="36" spans="1:46" ht="14.5" customHeight="1" x14ac:dyDescent="0.25">
      <c r="A36" s="50" t="str">
        <f t="shared" si="6"/>
        <v>USAC547</v>
      </c>
      <c r="B36" s="13" t="s">
        <v>64</v>
      </c>
      <c r="C36" s="13">
        <v>54</v>
      </c>
      <c r="D36" s="13">
        <v>7</v>
      </c>
      <c r="E36" s="3" t="s">
        <v>65</v>
      </c>
      <c r="F36" s="37" t="s">
        <v>57</v>
      </c>
      <c r="G36" s="235">
        <f>SUMIFS('[7]inland_taf_hatchgrp_tableraw&amp;yy'!G$3:G$38,'[7]inland_taf_hatchgrp_tableraw&amp;yy'!$AC$3:$AC$38,'2014 Table 11 CWTs exp'!$A36)</f>
        <v>0</v>
      </c>
      <c r="H36" s="45">
        <f>SUMIFS('[7]inland_taf_hatchgrp_tableraw&amp;yy'!H$3:H$38,'[7]inland_taf_hatchgrp_tableraw&amp;yy'!$AC$3:$AC$38,'2014 Table 11 CWTs exp'!$A36)</f>
        <v>10</v>
      </c>
      <c r="I36" s="44">
        <f>SUMIFS('[7]inland_taf_hatchgrp_tableraw&amp;yy'!I$3:I$38,'[7]inland_taf_hatchgrp_tableraw&amp;yy'!$AC$3:$AC$38,'2014 Table 11 CWTs exp'!$A36)</f>
        <v>0</v>
      </c>
      <c r="J36" s="46">
        <f>SUMIFS('[7]inland_taf_hatchgrp_tableraw&amp;yy'!J$3:J$38,'[7]inland_taf_hatchgrp_tableraw&amp;yy'!$AC$3:$AC$38,'2014 Table 11 CWTs exp'!$A36)</f>
        <v>0</v>
      </c>
      <c r="K36" s="44">
        <f>SUMIFS('[7]inland_taf_hatchgrp_tableraw&amp;yy'!K$3:K$38,'[7]inland_taf_hatchgrp_tableraw&amp;yy'!$AC$3:$AC$38,'2014 Table 11 CWTs exp'!$A36)</f>
        <v>0</v>
      </c>
      <c r="L36" s="44">
        <f>SUMIFS('[7]inland_taf_hatchgrp_tableraw&amp;yy'!L$3:L$38,'[7]inland_taf_hatchgrp_tableraw&amp;yy'!$AC$3:$AC$38,'2014 Table 11 CWTs exp'!$A36)</f>
        <v>0</v>
      </c>
      <c r="M36" s="44">
        <f>SUMIFS('[7]inland_taf_hatchgrp_tableraw&amp;yy'!M$3:M$38,'[7]inland_taf_hatchgrp_tableraw&amp;yy'!$AC$3:$AC$38,'2014 Table 11 CWTs exp'!$A36)</f>
        <v>0</v>
      </c>
      <c r="N36" s="44">
        <f>SUMIFS('[7]inland_taf_hatchgrp_tableraw&amp;yy'!N$3:N$38,'[7]inland_taf_hatchgrp_tableraw&amp;yy'!$AC$3:$AC$38,'2014 Table 11 CWTs exp'!$A36)</f>
        <v>0</v>
      </c>
      <c r="O36" s="44">
        <f>SUMIFS('[7]inland_taf_hatchgrp_tableraw&amp;yy'!O$3:O$38,'[7]inland_taf_hatchgrp_tableraw&amp;yy'!$AC$3:$AC$38,'2014 Table 11 CWTs exp'!$A36)</f>
        <v>0</v>
      </c>
      <c r="P36" s="44">
        <f>SUMIFS('[7]inland_taf_hatchgrp_tableraw&amp;yy'!P$3:P$38,'[7]inland_taf_hatchgrp_tableraw&amp;yy'!$AC$3:$AC$38,'2014 Table 11 CWTs exp'!$A36)</f>
        <v>0</v>
      </c>
      <c r="Q36" s="45">
        <f>SUMIFS('[7]inland_taf_hatchgrp_tableraw&amp;yy'!Q$3:Q$38,'[7]inland_taf_hatchgrp_tableraw&amp;yy'!$AC$3:$AC$38,'2014 Table 11 CWTs exp'!$A36)</f>
        <v>0</v>
      </c>
      <c r="R36" s="46">
        <f>SUMIFS('[7]inland_taf_hatchgrp_tableraw&amp;yy'!R$3:R$38,'[7]inland_taf_hatchgrp_tableraw&amp;yy'!$AC$3:$AC$38,'2014 Table 11 CWTs exp'!$A36)</f>
        <v>41</v>
      </c>
      <c r="S36" s="44">
        <f>SUMIFS('[7]inland_taf_hatchgrp_tableraw&amp;yy'!S$3:S$38,'[7]inland_taf_hatchgrp_tableraw&amp;yy'!$AC$3:$AC$38,'2014 Table 11 CWTs exp'!$A36)</f>
        <v>0</v>
      </c>
      <c r="T36" s="44">
        <f>SUMIFS('[7]inland_taf_hatchgrp_tableraw&amp;yy'!T$3:T$38,'[7]inland_taf_hatchgrp_tableraw&amp;yy'!$AC$3:$AC$38,'2014 Table 11 CWTs exp'!$A36)</f>
        <v>0</v>
      </c>
      <c r="U36" s="44">
        <f>SUMIFS('[7]inland_taf_hatchgrp_tableraw&amp;yy'!U$3:U$38,'[7]inland_taf_hatchgrp_tableraw&amp;yy'!$AC$3:$AC$38,'2014 Table 11 CWTs exp'!$A36)</f>
        <v>0</v>
      </c>
      <c r="V36" s="45">
        <f>SUMIFS('[7]inland_taf_hatchgrp_tableraw&amp;yy'!V$3:V$38,'[7]inland_taf_hatchgrp_tableraw&amp;yy'!$AC$3:$AC$38,'2014 Table 11 CWTs exp'!$A36)</f>
        <v>0</v>
      </c>
      <c r="W36" s="46">
        <f>SUMIFS('[7]inland_taf_hatchgrp_tableraw&amp;yy'!W$3:W$38,'[7]inland_taf_hatchgrp_tableraw&amp;yy'!$AC$3:$AC$38,'2014 Table 11 CWTs exp'!$A36)</f>
        <v>0</v>
      </c>
      <c r="X36" s="44">
        <f>SUMIFS('[7]inland_taf_hatchgrp_tableraw&amp;yy'!X$3:X$38,'[7]inland_taf_hatchgrp_tableraw&amp;yy'!$AC$3:$AC$38,'2014 Table 11 CWTs exp'!$A36)</f>
        <v>0</v>
      </c>
      <c r="Y36" s="84">
        <f>SUMIFS('[7]inland_taf_hatchgrp_tableraw&amp;yy'!Y$3:Y$38,'[7]inland_taf_hatchgrp_tableraw&amp;yy'!$AC$3:$AC$38,'2014 Table 11 CWTs exp'!$A36)</f>
        <v>51</v>
      </c>
      <c r="Z36" s="85">
        <f>SUMIFS('[7]inland_taf_hatchgrp_tableraw&amp;yy'!Z$3:Z$38,'[7]inland_taf_hatchgrp_tableraw&amp;yy'!$AC$3:$AC$38,'2014 Table 11 CWTs exp'!$A36)</f>
        <v>1982</v>
      </c>
      <c r="AA36" s="44">
        <f>SUMIFS('[7]inland_taf_hatchgrp_tableraw&amp;yy'!AA$3:AA$38,'[7]inland_taf_hatchgrp_tableraw&amp;yy'!$AC$3:$AC$38,'2014 Table 11 CWTs exp'!$A36)</f>
        <v>2033</v>
      </c>
      <c r="AB36" s="44"/>
      <c r="AC36" s="566" t="e">
        <f>SUMIFS('[7]inland_taf_hatchgrp_tableraw&amp;yy'!AB$3:AB$38,'[7]inland_taf_hatchgrp_tableraw&amp;yy'!$AC$3:$AC$38,'2014 Table 11 CWTs exp'!$A36)</f>
        <v>#VALUE!</v>
      </c>
      <c r="AD36" s="604" t="str">
        <f t="shared" si="7"/>
        <v>USAC547</v>
      </c>
      <c r="AE36" s="444">
        <f>SUM(Y16:Y36)</f>
        <v>129001</v>
      </c>
      <c r="AF36" s="606">
        <f>SUM(Z16:Z36)</f>
        <v>65235</v>
      </c>
      <c r="AG36" s="606">
        <f>SUM(AA16:AA36)</f>
        <v>194236</v>
      </c>
      <c r="AH36" s="592" t="e">
        <f>AVERAGE(AH18:AH35)</f>
        <v>#VALUE!</v>
      </c>
      <c r="AI36" s="447">
        <f>SUM(AI18:AI35)</f>
        <v>55973</v>
      </c>
      <c r="AJ36" s="448">
        <f>AI36/AA37</f>
        <v>0.30338820443052039</v>
      </c>
      <c r="AK36" s="451"/>
      <c r="AL36" s="442"/>
      <c r="AM36" s="442"/>
      <c r="AN36" s="442"/>
      <c r="AO36" s="442"/>
      <c r="AP36" s="442"/>
      <c r="AQ36" s="442"/>
      <c r="AR36" s="442"/>
      <c r="AS36" s="442"/>
      <c r="AT36" s="442"/>
    </row>
    <row r="37" spans="1:46" ht="14.15" customHeight="1" x14ac:dyDescent="0.25">
      <c r="A37" s="50"/>
      <c r="B37" s="13"/>
      <c r="C37" s="13"/>
      <c r="D37" s="13"/>
      <c r="E37" s="723" t="s">
        <v>239</v>
      </c>
      <c r="F37" s="723"/>
      <c r="G37" s="284">
        <f t="shared" ref="G37:AA37" si="11">SUM(G18:G35)</f>
        <v>0</v>
      </c>
      <c r="H37" s="58">
        <f t="shared" si="11"/>
        <v>0</v>
      </c>
      <c r="I37" s="59">
        <f t="shared" si="11"/>
        <v>31875</v>
      </c>
      <c r="J37" s="60">
        <f t="shared" si="11"/>
        <v>3100</v>
      </c>
      <c r="K37" s="59">
        <f t="shared" si="11"/>
        <v>6386</v>
      </c>
      <c r="L37" s="59">
        <f t="shared" si="11"/>
        <v>2391</v>
      </c>
      <c r="M37" s="59">
        <f t="shared" si="11"/>
        <v>1373</v>
      </c>
      <c r="N37" s="59">
        <f t="shared" si="11"/>
        <v>59385</v>
      </c>
      <c r="O37" s="59">
        <f t="shared" si="11"/>
        <v>2528</v>
      </c>
      <c r="P37" s="59">
        <f t="shared" si="11"/>
        <v>164</v>
      </c>
      <c r="Q37" s="58">
        <f t="shared" si="11"/>
        <v>8359</v>
      </c>
      <c r="R37" s="60">
        <f t="shared" si="11"/>
        <v>4593</v>
      </c>
      <c r="S37" s="59">
        <f t="shared" si="11"/>
        <v>42</v>
      </c>
      <c r="T37" s="59">
        <f t="shared" si="11"/>
        <v>6503</v>
      </c>
      <c r="U37" s="59">
        <f t="shared" si="11"/>
        <v>933</v>
      </c>
      <c r="V37" s="58">
        <f t="shared" si="11"/>
        <v>41</v>
      </c>
      <c r="W37" s="60">
        <f t="shared" si="11"/>
        <v>698</v>
      </c>
      <c r="X37" s="59">
        <f t="shared" si="11"/>
        <v>151</v>
      </c>
      <c r="Y37" s="188">
        <f t="shared" si="11"/>
        <v>128520</v>
      </c>
      <c r="Z37" s="189">
        <f t="shared" si="11"/>
        <v>55973</v>
      </c>
      <c r="AA37" s="59">
        <f t="shared" si="11"/>
        <v>184493</v>
      </c>
      <c r="AB37" s="64"/>
      <c r="AC37" s="445">
        <f>Y37/(Y37+Z37)</f>
        <v>0.69661179556947961</v>
      </c>
      <c r="AD37" s="445"/>
      <c r="AE37" s="607"/>
      <c r="AF37" s="608"/>
      <c r="AG37" s="608"/>
      <c r="AH37" s="606">
        <f>AA37-AA20</f>
        <v>157918</v>
      </c>
      <c r="AI37" s="447">
        <f>AI36-AI20</f>
        <v>53122</v>
      </c>
      <c r="AJ37" s="448">
        <f>AI37/AH37</f>
        <v>0.33638977190693903</v>
      </c>
      <c r="AK37" s="451" t="s">
        <v>102</v>
      </c>
      <c r="AL37" s="442"/>
      <c r="AM37" s="442"/>
      <c r="AN37" s="442"/>
      <c r="AO37" s="442"/>
      <c r="AP37" s="442"/>
      <c r="AQ37" s="442"/>
      <c r="AR37" s="442"/>
      <c r="AS37" s="442"/>
      <c r="AT37" s="442"/>
    </row>
    <row r="38" spans="1:46" ht="10" customHeight="1" x14ac:dyDescent="0.3">
      <c r="A38" s="50"/>
      <c r="B38" s="13"/>
      <c r="C38" s="13"/>
      <c r="D38" s="13"/>
      <c r="E38" s="83"/>
      <c r="G38" s="235"/>
      <c r="H38" s="45"/>
      <c r="I38" s="44"/>
      <c r="J38" s="46"/>
      <c r="K38" s="44"/>
      <c r="L38" s="44"/>
      <c r="M38" s="44"/>
      <c r="N38" s="44"/>
      <c r="O38" s="44"/>
      <c r="P38" s="44"/>
      <c r="Q38" s="45"/>
      <c r="R38" s="46"/>
      <c r="S38" s="44"/>
      <c r="T38" s="44"/>
      <c r="U38" s="44"/>
      <c r="V38" s="45"/>
      <c r="W38" s="46"/>
      <c r="X38" s="44"/>
      <c r="Y38" s="84"/>
      <c r="Z38" s="85"/>
      <c r="AA38" s="44"/>
      <c r="AB38" s="64"/>
      <c r="AC38" s="445"/>
      <c r="AD38" s="445"/>
      <c r="AE38" s="607"/>
      <c r="AF38" s="608"/>
      <c r="AG38" s="608"/>
      <c r="AH38" s="606"/>
      <c r="AI38" s="447"/>
      <c r="AJ38" s="448"/>
      <c r="AK38" s="451"/>
      <c r="AL38" s="442"/>
      <c r="AM38" s="442"/>
      <c r="AN38" s="442"/>
      <c r="AO38" s="442"/>
      <c r="AP38" s="442"/>
      <c r="AQ38" s="442"/>
      <c r="AR38" s="442"/>
      <c r="AS38" s="442"/>
      <c r="AT38" s="442"/>
    </row>
    <row r="39" spans="1:46" ht="14.9" customHeight="1" x14ac:dyDescent="0.25">
      <c r="A39" s="50"/>
      <c r="B39" s="13"/>
      <c r="C39" s="13"/>
      <c r="D39" s="13"/>
      <c r="E39" s="27" t="s">
        <v>103</v>
      </c>
      <c r="F39" s="37" t="s">
        <v>104</v>
      </c>
      <c r="G39" s="68">
        <f>G16</f>
        <v>430</v>
      </c>
      <c r="H39" s="69">
        <f>H7+H13+H12+H18+H20+H36</f>
        <v>6833</v>
      </c>
      <c r="I39" s="68">
        <f>I7+I13+I12+I18+I20+I36</f>
        <v>43084</v>
      </c>
      <c r="J39" s="70">
        <f>J7+J13+J12+J18+J20+J36</f>
        <v>1429</v>
      </c>
      <c r="K39" s="68">
        <f t="shared" ref="K39:P39" si="12">K5+K6+K8+K25+K26+K27</f>
        <v>10891</v>
      </c>
      <c r="L39" s="68">
        <f t="shared" si="12"/>
        <v>3203</v>
      </c>
      <c r="M39" s="68">
        <f t="shared" si="12"/>
        <v>1626</v>
      </c>
      <c r="N39" s="68">
        <f t="shared" si="12"/>
        <v>60551</v>
      </c>
      <c r="O39" s="68">
        <f t="shared" si="12"/>
        <v>2257</v>
      </c>
      <c r="P39" s="68">
        <f t="shared" si="12"/>
        <v>99</v>
      </c>
      <c r="Q39" s="69">
        <f>Q9+Q29+Q28</f>
        <v>10991</v>
      </c>
      <c r="R39" s="70">
        <f>R9+R29+R28</f>
        <v>6391</v>
      </c>
      <c r="S39" s="68">
        <f>S10+S30</f>
        <v>264</v>
      </c>
      <c r="T39" s="68">
        <f>T10+T30</f>
        <v>7852</v>
      </c>
      <c r="U39" s="68">
        <f>U10+U30</f>
        <v>847</v>
      </c>
      <c r="V39" s="69">
        <f>V11+V35</f>
        <v>43</v>
      </c>
      <c r="W39" s="70">
        <f>W11+W35</f>
        <v>222</v>
      </c>
      <c r="X39" s="68"/>
      <c r="Y39" s="86">
        <f>SUM(G39:X39)</f>
        <v>157013</v>
      </c>
      <c r="Z39" s="87">
        <f>SUM(Z16:Z36,Z5:Z13)</f>
        <v>71017</v>
      </c>
      <c r="AA39" s="44">
        <f>Z39+Y39</f>
        <v>228030</v>
      </c>
      <c r="AB39" s="64"/>
      <c r="AC39" s="445"/>
      <c r="AD39" s="445"/>
      <c r="AE39" s="607"/>
      <c r="AF39" s="608"/>
      <c r="AG39" s="608"/>
      <c r="AH39" s="606"/>
      <c r="AI39" s="447"/>
      <c r="AJ39" s="448"/>
      <c r="AK39" s="451"/>
      <c r="AL39" s="442"/>
      <c r="AM39" s="442"/>
      <c r="AN39" s="442"/>
      <c r="AO39" s="442"/>
      <c r="AP39" s="442"/>
      <c r="AQ39" s="442"/>
      <c r="AR39" s="442"/>
      <c r="AS39" s="442"/>
      <c r="AT39" s="442"/>
    </row>
    <row r="40" spans="1:46" ht="14.9" customHeight="1" x14ac:dyDescent="0.25">
      <c r="A40" s="50"/>
      <c r="B40" s="13"/>
      <c r="C40" s="13"/>
      <c r="D40" s="13"/>
      <c r="E40" s="27" t="s">
        <v>105</v>
      </c>
      <c r="F40" s="37" t="s">
        <v>104</v>
      </c>
      <c r="G40" s="70">
        <f t="shared" ref="G40:Z40" si="13">G41-G39</f>
        <v>0</v>
      </c>
      <c r="H40" s="69">
        <f t="shared" si="13"/>
        <v>7</v>
      </c>
      <c r="I40" s="68">
        <f t="shared" si="13"/>
        <v>4764</v>
      </c>
      <c r="J40" s="70">
        <f t="shared" si="13"/>
        <v>1965</v>
      </c>
      <c r="K40" s="69">
        <f t="shared" si="13"/>
        <v>117</v>
      </c>
      <c r="L40" s="68">
        <f t="shared" si="13"/>
        <v>459</v>
      </c>
      <c r="M40" s="68">
        <f t="shared" si="13"/>
        <v>447</v>
      </c>
      <c r="N40" s="68">
        <f t="shared" si="13"/>
        <v>17391</v>
      </c>
      <c r="O40" s="68">
        <f t="shared" si="13"/>
        <v>1128</v>
      </c>
      <c r="P40" s="68">
        <f t="shared" si="13"/>
        <v>99</v>
      </c>
      <c r="Q40" s="69">
        <f t="shared" si="13"/>
        <v>170</v>
      </c>
      <c r="R40" s="70">
        <f t="shared" si="13"/>
        <v>357</v>
      </c>
      <c r="S40" s="68">
        <f t="shared" si="13"/>
        <v>24</v>
      </c>
      <c r="T40" s="68">
        <f t="shared" si="13"/>
        <v>6822</v>
      </c>
      <c r="U40" s="68">
        <f t="shared" si="13"/>
        <v>1072</v>
      </c>
      <c r="V40" s="69">
        <f t="shared" si="13"/>
        <v>15</v>
      </c>
      <c r="W40" s="70">
        <f t="shared" si="13"/>
        <v>1199</v>
      </c>
      <c r="X40" s="68">
        <f t="shared" si="13"/>
        <v>151</v>
      </c>
      <c r="Y40" s="86">
        <f t="shared" si="13"/>
        <v>36190</v>
      </c>
      <c r="Z40" s="87">
        <f t="shared" si="13"/>
        <v>0</v>
      </c>
      <c r="AA40" s="44">
        <f>AA41-AA39</f>
        <v>36190</v>
      </c>
      <c r="AB40" s="64">
        <f>SUM(G40:W40)</f>
        <v>36036</v>
      </c>
      <c r="AC40" s="445"/>
      <c r="AD40" s="445"/>
      <c r="AE40" s="607"/>
      <c r="AF40" s="600" t="s">
        <v>108</v>
      </c>
      <c r="AG40" s="608"/>
      <c r="AH40" s="606"/>
      <c r="AI40" s="447"/>
      <c r="AJ40" s="448"/>
      <c r="AK40" s="451"/>
      <c r="AL40" s="442"/>
      <c r="AM40" s="442"/>
      <c r="AN40" s="442"/>
      <c r="AO40" s="442"/>
      <c r="AP40" s="442"/>
      <c r="AQ40" s="442"/>
      <c r="AR40" s="442"/>
      <c r="AS40" s="442"/>
      <c r="AT40" s="442"/>
    </row>
    <row r="41" spans="1:46" ht="14.9" customHeight="1" x14ac:dyDescent="0.3">
      <c r="A41" s="50"/>
      <c r="B41" s="13"/>
      <c r="C41" s="13"/>
      <c r="D41" s="13"/>
      <c r="E41" s="27"/>
      <c r="F41" s="88" t="s">
        <v>109</v>
      </c>
      <c r="G41" s="89">
        <f t="shared" ref="G41:Z41" si="14">SUM(G16:G36,G5:G13)</f>
        <v>430</v>
      </c>
      <c r="H41" s="90">
        <f t="shared" si="14"/>
        <v>6840</v>
      </c>
      <c r="I41" s="89">
        <f t="shared" si="14"/>
        <v>47848</v>
      </c>
      <c r="J41" s="91">
        <f t="shared" si="14"/>
        <v>3394</v>
      </c>
      <c r="K41" s="89">
        <f t="shared" si="14"/>
        <v>11008</v>
      </c>
      <c r="L41" s="89">
        <f t="shared" si="14"/>
        <v>3662</v>
      </c>
      <c r="M41" s="89">
        <f t="shared" si="14"/>
        <v>2073</v>
      </c>
      <c r="N41" s="89">
        <f t="shared" si="14"/>
        <v>77942</v>
      </c>
      <c r="O41" s="89">
        <f t="shared" si="14"/>
        <v>3385</v>
      </c>
      <c r="P41" s="89">
        <f t="shared" si="14"/>
        <v>198</v>
      </c>
      <c r="Q41" s="90">
        <f t="shared" si="14"/>
        <v>11161</v>
      </c>
      <c r="R41" s="91">
        <f t="shared" si="14"/>
        <v>6748</v>
      </c>
      <c r="S41" s="89">
        <f t="shared" si="14"/>
        <v>288</v>
      </c>
      <c r="T41" s="89">
        <f t="shared" si="14"/>
        <v>14674</v>
      </c>
      <c r="U41" s="89">
        <f t="shared" si="14"/>
        <v>1919</v>
      </c>
      <c r="V41" s="90">
        <f t="shared" si="14"/>
        <v>58</v>
      </c>
      <c r="W41" s="91">
        <f t="shared" si="14"/>
        <v>1421</v>
      </c>
      <c r="X41" s="89">
        <f t="shared" si="14"/>
        <v>151</v>
      </c>
      <c r="Y41" s="92">
        <f t="shared" si="14"/>
        <v>193203</v>
      </c>
      <c r="Z41" s="93">
        <f t="shared" si="14"/>
        <v>71017</v>
      </c>
      <c r="AA41" s="94">
        <f>Z41+Y41</f>
        <v>264220</v>
      </c>
      <c r="AB41" s="14"/>
      <c r="AC41" s="445">
        <f>Y41/AA41</f>
        <v>0.73122019529180227</v>
      </c>
      <c r="AD41" s="445"/>
      <c r="AE41" s="442"/>
      <c r="AF41" s="614">
        <f>SUM(G41:W41)</f>
        <v>193049</v>
      </c>
      <c r="AG41" s="608"/>
      <c r="AH41" s="606"/>
      <c r="AI41" s="447"/>
      <c r="AJ41" s="448"/>
      <c r="AK41" s="451"/>
      <c r="AL41" s="442"/>
      <c r="AM41" s="442"/>
      <c r="AN41" s="442"/>
      <c r="AO41" s="442"/>
      <c r="AP41" s="442"/>
      <c r="AQ41" s="442"/>
      <c r="AR41" s="442"/>
      <c r="AS41" s="442"/>
      <c r="AT41" s="442"/>
    </row>
    <row r="42" spans="1:46" ht="13.5" customHeight="1" x14ac:dyDescent="0.25">
      <c r="A42" s="50"/>
      <c r="B42" s="13"/>
      <c r="C42" s="13"/>
      <c r="D42" s="13"/>
      <c r="E42" s="27"/>
      <c r="F42" s="95" t="s">
        <v>168</v>
      </c>
      <c r="G42" s="96" t="s">
        <v>222</v>
      </c>
      <c r="H42" s="97">
        <f>H40/H41</f>
        <v>1.0233918128654971E-3</v>
      </c>
      <c r="I42" s="98">
        <f t="shared" ref="I42:M42" si="15">I40/I41</f>
        <v>9.9565290085270028E-2</v>
      </c>
      <c r="J42" s="99">
        <f t="shared" si="15"/>
        <v>0.57896287566293458</v>
      </c>
      <c r="K42" s="98">
        <f t="shared" si="15"/>
        <v>1.0628633720930232E-2</v>
      </c>
      <c r="L42" s="98">
        <f t="shared" si="15"/>
        <v>0.1253413435281267</v>
      </c>
      <c r="M42" s="98">
        <f t="shared" si="15"/>
        <v>0.21562952243125905</v>
      </c>
      <c r="N42" s="98">
        <f>N40/N41</f>
        <v>0.22312745374765852</v>
      </c>
      <c r="O42" s="98">
        <f t="shared" ref="O42:P42" si="16">O40/O41</f>
        <v>0.33323485967503691</v>
      </c>
      <c r="P42" s="98">
        <f t="shared" si="16"/>
        <v>0.5</v>
      </c>
      <c r="Q42" s="101">
        <f>Q40/Q41</f>
        <v>1.5231610070782189E-2</v>
      </c>
      <c r="R42" s="99">
        <f t="shared" ref="R42:S42" si="17">R40/R41</f>
        <v>5.2904564315352696E-2</v>
      </c>
      <c r="S42" s="98">
        <f t="shared" si="17"/>
        <v>8.3333333333333329E-2</v>
      </c>
      <c r="T42" s="98">
        <f>T40/T41</f>
        <v>0.46490391168052336</v>
      </c>
      <c r="U42" s="98">
        <f t="shared" ref="U42:V42" si="18">U40/U41</f>
        <v>0.5586242834809797</v>
      </c>
      <c r="V42" s="101">
        <f t="shared" si="18"/>
        <v>0.25862068965517243</v>
      </c>
      <c r="W42" s="99">
        <f>W40/W41</f>
        <v>0.84377199155524274</v>
      </c>
      <c r="X42" s="98"/>
      <c r="Y42" s="101">
        <f t="shared" ref="Y42" si="19">Y40/Y41</f>
        <v>0.18731593194722648</v>
      </c>
      <c r="Z42" s="102"/>
      <c r="AA42" s="98">
        <f t="shared" ref="AA42" si="20">AA40/AA41</f>
        <v>0.13696919233971691</v>
      </c>
      <c r="AB42" s="64"/>
      <c r="AC42" s="445"/>
      <c r="AD42" s="445"/>
      <c r="AE42" s="607"/>
      <c r="AF42" s="608"/>
      <c r="AG42" s="608"/>
      <c r="AH42" s="606"/>
      <c r="AI42" s="447"/>
      <c r="AJ42" s="448"/>
      <c r="AK42" s="451"/>
      <c r="AL42" s="442"/>
      <c r="AM42" s="442"/>
      <c r="AN42" s="442"/>
      <c r="AO42" s="442"/>
      <c r="AP42" s="442"/>
      <c r="AQ42" s="442"/>
      <c r="AR42" s="442"/>
      <c r="AS42" s="442"/>
      <c r="AT42" s="442"/>
    </row>
    <row r="43" spans="1:46" ht="15" customHeight="1" x14ac:dyDescent="0.25">
      <c r="A43" s="5" t="s">
        <v>112</v>
      </c>
      <c r="B43" s="13"/>
      <c r="C43" s="13"/>
      <c r="D43" s="13"/>
      <c r="E43" s="103" t="s">
        <v>113</v>
      </c>
      <c r="F43" s="47"/>
      <c r="G43" s="28"/>
      <c r="H43" s="69"/>
      <c r="I43" s="68"/>
      <c r="J43" s="70"/>
      <c r="K43" s="68"/>
      <c r="L43" s="68"/>
      <c r="M43" s="68"/>
      <c r="N43" s="68"/>
      <c r="O43" s="68"/>
      <c r="P43" s="68"/>
      <c r="Q43" s="69"/>
      <c r="R43" s="70"/>
      <c r="S43" s="68"/>
      <c r="T43" s="68"/>
      <c r="U43" s="68"/>
      <c r="V43" s="69"/>
      <c r="W43" s="70"/>
      <c r="X43" s="68"/>
      <c r="Y43" s="86"/>
      <c r="Z43" s="87"/>
      <c r="AA43" s="68"/>
      <c r="AB43" s="68"/>
      <c r="AC43" s="566"/>
      <c r="AD43" s="566"/>
      <c r="AE43" s="442"/>
      <c r="AF43" s="597"/>
      <c r="AG43" s="597"/>
      <c r="AH43" s="597"/>
      <c r="AI43" s="599"/>
      <c r="AJ43" s="451"/>
      <c r="AK43" s="451"/>
      <c r="AL43" s="442"/>
      <c r="AM43" s="442"/>
      <c r="AN43" s="442"/>
      <c r="AO43" s="442"/>
      <c r="AP43" s="442"/>
      <c r="AQ43" s="442"/>
      <c r="AR43" s="442"/>
      <c r="AS43" s="442"/>
      <c r="AT43" s="442"/>
    </row>
    <row r="44" spans="1:46" ht="14.5" customHeight="1" x14ac:dyDescent="0.25">
      <c r="A44" s="50" t="str">
        <f t="shared" ref="A44:A49" si="21">CONCATENATE(B44,C44,D44)</f>
        <v>USAC463</v>
      </c>
      <c r="B44" s="13" t="s">
        <v>64</v>
      </c>
      <c r="C44" s="13">
        <v>46</v>
      </c>
      <c r="D44" s="13">
        <v>3</v>
      </c>
      <c r="E44" s="27" t="s">
        <v>114</v>
      </c>
      <c r="F44" s="28" t="str">
        <f>LOOKUP(D44,$AK$5:$AK$8,$AL$5:$AL$8)</f>
        <v>Fall</v>
      </c>
      <c r="G44" s="235">
        <f>SUMIFS('[7]inland_taf_hatchgrp_tableraw&amp;yy'!G$3:G$38,'[7]inland_taf_hatchgrp_tableraw&amp;yy'!$AC$3:$AC$38,'2014 Table 11 CWTs exp'!$A44)</f>
        <v>0</v>
      </c>
      <c r="H44" s="45">
        <f>SUMIFS('[7]inland_taf_hatchgrp_tableraw&amp;yy'!H$3:H$38,'[7]inland_taf_hatchgrp_tableraw&amp;yy'!$AC$3:$AC$38,'2014 Table 11 CWTs exp'!$A44)</f>
        <v>0</v>
      </c>
      <c r="I44" s="44">
        <f>SUMIFS('[7]inland_taf_hatchgrp_tableraw&amp;yy'!I$3:I$38,'[7]inland_taf_hatchgrp_tableraw&amp;yy'!$AC$3:$AC$38,'2014 Table 11 CWTs exp'!$A44)</f>
        <v>6697</v>
      </c>
      <c r="J44" s="46">
        <f>SUMIFS('[7]inland_taf_hatchgrp_tableraw&amp;yy'!J$3:J$38,'[7]inland_taf_hatchgrp_tableraw&amp;yy'!$AC$3:$AC$38,'2014 Table 11 CWTs exp'!$A44)</f>
        <v>362</v>
      </c>
      <c r="K44" s="44">
        <f>SUMIFS('[7]inland_taf_hatchgrp_tableraw&amp;yy'!K$3:K$38,'[7]inland_taf_hatchgrp_tableraw&amp;yy'!$AC$3:$AC$38,'2014 Table 11 CWTs exp'!$A44)</f>
        <v>0</v>
      </c>
      <c r="L44" s="44">
        <f>SUMIFS('[7]inland_taf_hatchgrp_tableraw&amp;yy'!L$3:L$38,'[7]inland_taf_hatchgrp_tableraw&amp;yy'!$AC$3:$AC$38,'2014 Table 11 CWTs exp'!$A44)</f>
        <v>118</v>
      </c>
      <c r="M44" s="44">
        <f>SUMIFS('[7]inland_taf_hatchgrp_tableraw&amp;yy'!M$3:M$38,'[7]inland_taf_hatchgrp_tableraw&amp;yy'!$AC$3:$AC$38,'2014 Table 11 CWTs exp'!$A44)</f>
        <v>92</v>
      </c>
      <c r="N44" s="44">
        <f>SUMIFS('[7]inland_taf_hatchgrp_tableraw&amp;yy'!N$3:N$38,'[7]inland_taf_hatchgrp_tableraw&amp;yy'!$AC$3:$AC$38,'2014 Table 11 CWTs exp'!$A44)</f>
        <v>2085</v>
      </c>
      <c r="O44" s="44">
        <f>SUMIFS('[7]inland_taf_hatchgrp_tableraw&amp;yy'!O$3:O$38,'[7]inland_taf_hatchgrp_tableraw&amp;yy'!$AC$3:$AC$38,'2014 Table 11 CWTs exp'!$A44)</f>
        <v>117</v>
      </c>
      <c r="P44" s="44">
        <f>SUMIFS('[7]inland_taf_hatchgrp_tableraw&amp;yy'!P$3:P$38,'[7]inland_taf_hatchgrp_tableraw&amp;yy'!$AC$3:$AC$38,'2014 Table 11 CWTs exp'!$A44)</f>
        <v>0</v>
      </c>
      <c r="Q44" s="45">
        <f>SUMIFS('[7]inland_taf_hatchgrp_tableraw&amp;yy'!Q$3:Q$38,'[7]inland_taf_hatchgrp_tableraw&amp;yy'!$AC$3:$AC$38,'2014 Table 11 CWTs exp'!$A44)</f>
        <v>0</v>
      </c>
      <c r="R44" s="46">
        <f>SUMIFS('[7]inland_taf_hatchgrp_tableraw&amp;yy'!R$3:R$38,'[7]inland_taf_hatchgrp_tableraw&amp;yy'!$AC$3:$AC$38,'2014 Table 11 CWTs exp'!$A44)</f>
        <v>0</v>
      </c>
      <c r="S44" s="44">
        <f>SUMIFS('[7]inland_taf_hatchgrp_tableraw&amp;yy'!S$3:S$38,'[7]inland_taf_hatchgrp_tableraw&amp;yy'!$AC$3:$AC$38,'2014 Table 11 CWTs exp'!$A44)</f>
        <v>0</v>
      </c>
      <c r="T44" s="44">
        <f>SUMIFS('[7]inland_taf_hatchgrp_tableraw&amp;yy'!T$3:T$38,'[7]inland_taf_hatchgrp_tableraw&amp;yy'!$AC$3:$AC$38,'2014 Table 11 CWTs exp'!$A44)</f>
        <v>0</v>
      </c>
      <c r="U44" s="44">
        <f>SUMIFS('[7]inland_taf_hatchgrp_tableraw&amp;yy'!U$3:U$38,'[7]inland_taf_hatchgrp_tableraw&amp;yy'!$AC$3:$AC$38,'2014 Table 11 CWTs exp'!$A44)</f>
        <v>0</v>
      </c>
      <c r="V44" s="45">
        <f>SUMIFS('[7]inland_taf_hatchgrp_tableraw&amp;yy'!V$3:V$38,'[7]inland_taf_hatchgrp_tableraw&amp;yy'!$AC$3:$AC$38,'2014 Table 11 CWTs exp'!$A44)</f>
        <v>0</v>
      </c>
      <c r="W44" s="46">
        <f>SUMIFS('[7]inland_taf_hatchgrp_tableraw&amp;yy'!W$3:W$38,'[7]inland_taf_hatchgrp_tableraw&amp;yy'!$AC$3:$AC$38,'2014 Table 11 CWTs exp'!$A44)</f>
        <v>0</v>
      </c>
      <c r="X44" s="44">
        <f>SUMIFS('[7]inland_taf_hatchgrp_tableraw&amp;yy'!X$3:X$38,'[7]inland_taf_hatchgrp_tableraw&amp;yy'!$AC$3:$AC$38,'2014 Table 11 CWTs exp'!$A44)</f>
        <v>0</v>
      </c>
      <c r="Y44" s="84">
        <f>SUMIFS('[7]inland_taf_hatchgrp_tableraw&amp;yy'!Y$3:Y$38,'[7]inland_taf_hatchgrp_tableraw&amp;yy'!$AC$3:$AC$38,'2014 Table 11 CWTs exp'!$A44)</f>
        <v>9471</v>
      </c>
      <c r="Z44" s="85">
        <f>SUMIFS('[7]inland_taf_hatchgrp_tableraw&amp;yy'!Z$3:Z$38,'[7]inland_taf_hatchgrp_tableraw&amp;yy'!$AC$3:$AC$38,'2014 Table 11 CWTs exp'!$A44)</f>
        <v>3851</v>
      </c>
      <c r="AA44" s="44">
        <f>SUMIFS('[7]inland_taf_hatchgrp_tableraw&amp;yy'!AA$3:AA$38,'[7]inland_taf_hatchgrp_tableraw&amp;yy'!$AC$3:$AC$38,'2014 Table 11 CWTs exp'!$A44)</f>
        <v>13322</v>
      </c>
      <c r="AB44" s="44"/>
      <c r="AC44" s="566" t="e">
        <f>SUMIFS('[7]inland_taf_hatchgrp_tableraw&amp;yy'!AB$3:AB$38,'[7]inland_taf_hatchgrp_tableraw&amp;yy'!$AC$3:$AC$38,'2014 Table 11 CWTs exp'!$A44)</f>
        <v>#VALUE!</v>
      </c>
      <c r="AD44" s="604" t="str">
        <f t="shared" ref="AD44:AD50" si="22">A44</f>
        <v>USAC463</v>
      </c>
      <c r="AE44" s="442"/>
      <c r="AF44" s="597"/>
      <c r="AG44" s="597"/>
      <c r="AH44" s="597"/>
      <c r="AI44" s="599"/>
      <c r="AJ44" s="451"/>
      <c r="AK44" s="451"/>
      <c r="AL44" s="442"/>
      <c r="AM44" s="442"/>
      <c r="AN44" s="442"/>
      <c r="AO44" s="442"/>
      <c r="AP44" s="442"/>
      <c r="AQ44" s="442"/>
      <c r="AR44" s="442"/>
      <c r="AS44" s="442"/>
      <c r="AT44" s="442"/>
    </row>
    <row r="45" spans="1:46" ht="14.5" customHeight="1" x14ac:dyDescent="0.25">
      <c r="A45" s="50" t="str">
        <f t="shared" si="21"/>
        <v>LSAC463</v>
      </c>
      <c r="B45" s="13" t="s">
        <v>115</v>
      </c>
      <c r="C45" s="13">
        <v>46</v>
      </c>
      <c r="D45" s="13">
        <v>3</v>
      </c>
      <c r="E45" s="27" t="s">
        <v>116</v>
      </c>
      <c r="F45" s="28" t="str">
        <f>LOOKUP(D45,$AK$5:$AK$8,$AL$5:$AL$8)</f>
        <v>Fall</v>
      </c>
      <c r="G45" s="235">
        <f>SUMIFS('[7]inland_taf_hatchgrp_tableraw&amp;yy'!G$3:G$38,'[7]inland_taf_hatchgrp_tableraw&amp;yy'!$AC$3:$AC$38,'2014 Table 11 CWTs exp'!$A45)</f>
        <v>0</v>
      </c>
      <c r="H45" s="45">
        <f>SUMIFS('[7]inland_taf_hatchgrp_tableraw&amp;yy'!H$3:H$38,'[7]inland_taf_hatchgrp_tableraw&amp;yy'!$AC$3:$AC$38,'2014 Table 11 CWTs exp'!$A45)</f>
        <v>156</v>
      </c>
      <c r="I45" s="44">
        <f>SUMIFS('[7]inland_taf_hatchgrp_tableraw&amp;yy'!I$3:I$38,'[7]inland_taf_hatchgrp_tableraw&amp;yy'!$AC$3:$AC$38,'2014 Table 11 CWTs exp'!$A45)</f>
        <v>99</v>
      </c>
      <c r="J45" s="46">
        <f>SUMIFS('[7]inland_taf_hatchgrp_tableraw&amp;yy'!J$3:J$38,'[7]inland_taf_hatchgrp_tableraw&amp;yy'!$AC$3:$AC$38,'2014 Table 11 CWTs exp'!$A45)</f>
        <v>296</v>
      </c>
      <c r="K45" s="44">
        <f>SUMIFS('[7]inland_taf_hatchgrp_tableraw&amp;yy'!K$3:K$38,'[7]inland_taf_hatchgrp_tableraw&amp;yy'!$AC$3:$AC$38,'2014 Table 11 CWTs exp'!$A45)</f>
        <v>0</v>
      </c>
      <c r="L45" s="44">
        <f>SUMIFS('[7]inland_taf_hatchgrp_tableraw&amp;yy'!L$3:L$38,'[7]inland_taf_hatchgrp_tableraw&amp;yy'!$AC$3:$AC$38,'2014 Table 11 CWTs exp'!$A45)</f>
        <v>0</v>
      </c>
      <c r="M45" s="44">
        <f>SUMIFS('[7]inland_taf_hatchgrp_tableraw&amp;yy'!M$3:M$38,'[7]inland_taf_hatchgrp_tableraw&amp;yy'!$AC$3:$AC$38,'2014 Table 11 CWTs exp'!$A45)</f>
        <v>75</v>
      </c>
      <c r="N45" s="44">
        <f>SUMIFS('[7]inland_taf_hatchgrp_tableraw&amp;yy'!N$3:N$38,'[7]inland_taf_hatchgrp_tableraw&amp;yy'!$AC$3:$AC$38,'2014 Table 11 CWTs exp'!$A45)</f>
        <v>1985</v>
      </c>
      <c r="O45" s="44">
        <f>SUMIFS('[7]inland_taf_hatchgrp_tableraw&amp;yy'!O$3:O$38,'[7]inland_taf_hatchgrp_tableraw&amp;yy'!$AC$3:$AC$38,'2014 Table 11 CWTs exp'!$A45)</f>
        <v>99</v>
      </c>
      <c r="P45" s="44">
        <f>SUMIFS('[7]inland_taf_hatchgrp_tableraw&amp;yy'!P$3:P$38,'[7]inland_taf_hatchgrp_tableraw&amp;yy'!$AC$3:$AC$38,'2014 Table 11 CWTs exp'!$A45)</f>
        <v>0</v>
      </c>
      <c r="Q45" s="45">
        <f>SUMIFS('[7]inland_taf_hatchgrp_tableraw&amp;yy'!Q$3:Q$38,'[7]inland_taf_hatchgrp_tableraw&amp;yy'!$AC$3:$AC$38,'2014 Table 11 CWTs exp'!$A45)</f>
        <v>223</v>
      </c>
      <c r="R45" s="46">
        <f>SUMIFS('[7]inland_taf_hatchgrp_tableraw&amp;yy'!R$3:R$38,'[7]inland_taf_hatchgrp_tableraw&amp;yy'!$AC$3:$AC$38,'2014 Table 11 CWTs exp'!$A45)</f>
        <v>493</v>
      </c>
      <c r="S45" s="44">
        <f>SUMIFS('[7]inland_taf_hatchgrp_tableraw&amp;yy'!S$3:S$38,'[7]inland_taf_hatchgrp_tableraw&amp;yy'!$AC$3:$AC$38,'2014 Table 11 CWTs exp'!$A45)</f>
        <v>0</v>
      </c>
      <c r="T45" s="44">
        <f>SUMIFS('[7]inland_taf_hatchgrp_tableraw&amp;yy'!T$3:T$38,'[7]inland_taf_hatchgrp_tableraw&amp;yy'!$AC$3:$AC$38,'2014 Table 11 CWTs exp'!$A45)</f>
        <v>595</v>
      </c>
      <c r="U45" s="44">
        <f>SUMIFS('[7]inland_taf_hatchgrp_tableraw&amp;yy'!U$3:U$38,'[7]inland_taf_hatchgrp_tableraw&amp;yy'!$AC$3:$AC$38,'2014 Table 11 CWTs exp'!$A45)</f>
        <v>100</v>
      </c>
      <c r="V45" s="45">
        <f>SUMIFS('[7]inland_taf_hatchgrp_tableraw&amp;yy'!V$3:V$38,'[7]inland_taf_hatchgrp_tableraw&amp;yy'!$AC$3:$AC$38,'2014 Table 11 CWTs exp'!$A45)</f>
        <v>0</v>
      </c>
      <c r="W45" s="46">
        <f>SUMIFS('[7]inland_taf_hatchgrp_tableraw&amp;yy'!W$3:W$38,'[7]inland_taf_hatchgrp_tableraw&amp;yy'!$AC$3:$AC$38,'2014 Table 11 CWTs exp'!$A45)</f>
        <v>0</v>
      </c>
      <c r="X45" s="44">
        <f>SUMIFS('[7]inland_taf_hatchgrp_tableraw&amp;yy'!X$3:X$38,'[7]inland_taf_hatchgrp_tableraw&amp;yy'!$AC$3:$AC$38,'2014 Table 11 CWTs exp'!$A45)</f>
        <v>0</v>
      </c>
      <c r="Y45" s="84">
        <f>SUMIFS('[7]inland_taf_hatchgrp_tableraw&amp;yy'!Y$3:Y$38,'[7]inland_taf_hatchgrp_tableraw&amp;yy'!$AC$3:$AC$38,'2014 Table 11 CWTs exp'!$A45)</f>
        <v>4120</v>
      </c>
      <c r="Z45" s="85">
        <f>SUMIFS('[7]inland_taf_hatchgrp_tableraw&amp;yy'!Z$3:Z$38,'[7]inland_taf_hatchgrp_tableraw&amp;yy'!$AC$3:$AC$38,'2014 Table 11 CWTs exp'!$A45)</f>
        <v>2386</v>
      </c>
      <c r="AA45" s="44">
        <f>SUMIFS('[7]inland_taf_hatchgrp_tableraw&amp;yy'!AA$3:AA$38,'[7]inland_taf_hatchgrp_tableraw&amp;yy'!$AC$3:$AC$38,'2014 Table 11 CWTs exp'!$A45)</f>
        <v>6506</v>
      </c>
      <c r="AB45" s="44"/>
      <c r="AC45" s="566" t="e">
        <f>SUMIFS('[7]inland_taf_hatchgrp_tableraw&amp;yy'!AB$3:AB$38,'[7]inland_taf_hatchgrp_tableraw&amp;yy'!$AC$3:$AC$38,'2014 Table 11 CWTs exp'!$A45)</f>
        <v>#VALUE!</v>
      </c>
      <c r="AD45" s="604" t="str">
        <f t="shared" si="22"/>
        <v>LSAC463</v>
      </c>
      <c r="AE45" s="442"/>
      <c r="AF45" s="597"/>
      <c r="AG45" s="597"/>
      <c r="AH45" s="597"/>
      <c r="AI45" s="599"/>
      <c r="AJ45" s="451"/>
      <c r="AK45" s="451"/>
      <c r="AL45" s="442"/>
      <c r="AM45" s="442"/>
      <c r="AN45" s="442"/>
      <c r="AO45" s="442"/>
      <c r="AP45" s="442"/>
      <c r="AQ45" s="442"/>
      <c r="AR45" s="442"/>
      <c r="AS45" s="442"/>
      <c r="AT45" s="442"/>
    </row>
    <row r="46" spans="1:46" ht="14.5" customHeight="1" x14ac:dyDescent="0.25">
      <c r="A46" s="50" t="str">
        <f t="shared" si="21"/>
        <v>FEA463</v>
      </c>
      <c r="B46" s="13" t="s">
        <v>80</v>
      </c>
      <c r="C46" s="13">
        <v>46</v>
      </c>
      <c r="D46" s="13">
        <v>3</v>
      </c>
      <c r="E46" s="27" t="s">
        <v>117</v>
      </c>
      <c r="F46" s="28" t="str">
        <f>LOOKUP(D46,$AK$5:$AK$8,$AL$5:$AL$8)</f>
        <v>Fall</v>
      </c>
      <c r="G46" s="235">
        <f>SUMIFS('[7]inland_taf_hatchgrp_tableraw&amp;yy'!G$3:G$38,'[7]inland_taf_hatchgrp_tableraw&amp;yy'!$AC$3:$AC$38,'2014 Table 11 CWTs exp'!$A46)</f>
        <v>0</v>
      </c>
      <c r="H46" s="45">
        <f>SUMIFS('[7]inland_taf_hatchgrp_tableraw&amp;yy'!H$3:H$38,'[7]inland_taf_hatchgrp_tableraw&amp;yy'!$AC$3:$AC$38,'2014 Table 11 CWTs exp'!$A46)</f>
        <v>0</v>
      </c>
      <c r="I46" s="44">
        <f>SUMIFS('[7]inland_taf_hatchgrp_tableraw&amp;yy'!I$3:I$38,'[7]inland_taf_hatchgrp_tableraw&amp;yy'!$AC$3:$AC$38,'2014 Table 11 CWTs exp'!$A46)</f>
        <v>0</v>
      </c>
      <c r="J46" s="46">
        <f>SUMIFS('[7]inland_taf_hatchgrp_tableraw&amp;yy'!J$3:J$38,'[7]inland_taf_hatchgrp_tableraw&amp;yy'!$AC$3:$AC$38,'2014 Table 11 CWTs exp'!$A46)</f>
        <v>145</v>
      </c>
      <c r="K46" s="44">
        <f>SUMIFS('[7]inland_taf_hatchgrp_tableraw&amp;yy'!K$3:K$38,'[7]inland_taf_hatchgrp_tableraw&amp;yy'!$AC$3:$AC$38,'2014 Table 11 CWTs exp'!$A46)</f>
        <v>295</v>
      </c>
      <c r="L46" s="44">
        <f>SUMIFS('[7]inland_taf_hatchgrp_tableraw&amp;yy'!L$3:L$38,'[7]inland_taf_hatchgrp_tableraw&amp;yy'!$AC$3:$AC$38,'2014 Table 11 CWTs exp'!$A46)</f>
        <v>184</v>
      </c>
      <c r="M46" s="44">
        <f>SUMIFS('[7]inland_taf_hatchgrp_tableraw&amp;yy'!M$3:M$38,'[7]inland_taf_hatchgrp_tableraw&amp;yy'!$AC$3:$AC$38,'2014 Table 11 CWTs exp'!$A46)</f>
        <v>218</v>
      </c>
      <c r="N46" s="44">
        <f>SUMIFS('[7]inland_taf_hatchgrp_tableraw&amp;yy'!N$3:N$38,'[7]inland_taf_hatchgrp_tableraw&amp;yy'!$AC$3:$AC$38,'2014 Table 11 CWTs exp'!$A46)</f>
        <v>4663</v>
      </c>
      <c r="O46" s="44">
        <f>SUMIFS('[7]inland_taf_hatchgrp_tableraw&amp;yy'!O$3:O$38,'[7]inland_taf_hatchgrp_tableraw&amp;yy'!$AC$3:$AC$38,'2014 Table 11 CWTs exp'!$A46)</f>
        <v>255</v>
      </c>
      <c r="P46" s="44">
        <f>SUMIFS('[7]inland_taf_hatchgrp_tableraw&amp;yy'!P$3:P$38,'[7]inland_taf_hatchgrp_tableraw&amp;yy'!$AC$3:$AC$38,'2014 Table 11 CWTs exp'!$A46)</f>
        <v>37</v>
      </c>
      <c r="Q46" s="45">
        <f>SUMIFS('[7]inland_taf_hatchgrp_tableraw&amp;yy'!Q$3:Q$38,'[7]inland_taf_hatchgrp_tableraw&amp;yy'!$AC$3:$AC$38,'2014 Table 11 CWTs exp'!$A46)</f>
        <v>0</v>
      </c>
      <c r="R46" s="46">
        <f>SUMIFS('[7]inland_taf_hatchgrp_tableraw&amp;yy'!R$3:R$38,'[7]inland_taf_hatchgrp_tableraw&amp;yy'!$AC$3:$AC$38,'2014 Table 11 CWTs exp'!$A46)</f>
        <v>0</v>
      </c>
      <c r="S46" s="44">
        <f>SUMIFS('[7]inland_taf_hatchgrp_tableraw&amp;yy'!S$3:S$38,'[7]inland_taf_hatchgrp_tableraw&amp;yy'!$AC$3:$AC$38,'2014 Table 11 CWTs exp'!$A46)</f>
        <v>0</v>
      </c>
      <c r="T46" s="44">
        <f>SUMIFS('[7]inland_taf_hatchgrp_tableraw&amp;yy'!T$3:T$38,'[7]inland_taf_hatchgrp_tableraw&amp;yy'!$AC$3:$AC$38,'2014 Table 11 CWTs exp'!$A46)</f>
        <v>291</v>
      </c>
      <c r="U46" s="44">
        <f>SUMIFS('[7]inland_taf_hatchgrp_tableraw&amp;yy'!U$3:U$38,'[7]inland_taf_hatchgrp_tableraw&amp;yy'!$AC$3:$AC$38,'2014 Table 11 CWTs exp'!$A46)</f>
        <v>0</v>
      </c>
      <c r="V46" s="45">
        <f>SUMIFS('[7]inland_taf_hatchgrp_tableraw&amp;yy'!V$3:V$38,'[7]inland_taf_hatchgrp_tableraw&amp;yy'!$AC$3:$AC$38,'2014 Table 11 CWTs exp'!$A46)</f>
        <v>0</v>
      </c>
      <c r="W46" s="46">
        <f>SUMIFS('[7]inland_taf_hatchgrp_tableraw&amp;yy'!W$3:W$38,'[7]inland_taf_hatchgrp_tableraw&amp;yy'!$AC$3:$AC$38,'2014 Table 11 CWTs exp'!$A46)</f>
        <v>0</v>
      </c>
      <c r="X46" s="44">
        <f>SUMIFS('[7]inland_taf_hatchgrp_tableraw&amp;yy'!X$3:X$38,'[7]inland_taf_hatchgrp_tableraw&amp;yy'!$AC$3:$AC$38,'2014 Table 11 CWTs exp'!$A46)</f>
        <v>0</v>
      </c>
      <c r="Y46" s="84">
        <f>SUMIFS('[7]inland_taf_hatchgrp_tableraw&amp;yy'!Y$3:Y$38,'[7]inland_taf_hatchgrp_tableraw&amp;yy'!$AC$3:$AC$38,'2014 Table 11 CWTs exp'!$A46)</f>
        <v>6088</v>
      </c>
      <c r="Z46" s="85">
        <f>SUMIFS('[7]inland_taf_hatchgrp_tableraw&amp;yy'!Z$3:Z$38,'[7]inland_taf_hatchgrp_tableraw&amp;yy'!$AC$3:$AC$38,'2014 Table 11 CWTs exp'!$A46)</f>
        <v>2316</v>
      </c>
      <c r="AA46" s="44">
        <f>SUMIFS('[7]inland_taf_hatchgrp_tableraw&amp;yy'!AA$3:AA$38,'[7]inland_taf_hatchgrp_tableraw&amp;yy'!$AC$3:$AC$38,'2014 Table 11 CWTs exp'!$A46)</f>
        <v>8404</v>
      </c>
      <c r="AB46" s="44"/>
      <c r="AC46" s="566" t="e">
        <f>SUMIFS('[7]inland_taf_hatchgrp_tableraw&amp;yy'!AB$3:AB$38,'[7]inland_taf_hatchgrp_tableraw&amp;yy'!$AC$3:$AC$38,'2014 Table 11 CWTs exp'!$A46)</f>
        <v>#VALUE!</v>
      </c>
      <c r="AD46" s="604" t="str">
        <f t="shared" si="22"/>
        <v>FEA463</v>
      </c>
      <c r="AE46" s="442"/>
      <c r="AF46" s="597"/>
      <c r="AG46" s="597"/>
      <c r="AH46" s="597"/>
      <c r="AI46" s="599"/>
      <c r="AJ46" s="451"/>
      <c r="AK46" s="451"/>
      <c r="AL46" s="442"/>
      <c r="AM46" s="442"/>
      <c r="AN46" s="442"/>
      <c r="AO46" s="442"/>
      <c r="AP46" s="442"/>
      <c r="AQ46" s="442"/>
      <c r="AR46" s="442"/>
      <c r="AS46" s="442"/>
      <c r="AT46" s="442"/>
    </row>
    <row r="47" spans="1:46" ht="14.5" customHeight="1" x14ac:dyDescent="0.25">
      <c r="A47" s="50" t="str">
        <f t="shared" si="21"/>
        <v>AMN463</v>
      </c>
      <c r="B47" s="13" t="s">
        <v>118</v>
      </c>
      <c r="C47" s="13">
        <v>46</v>
      </c>
      <c r="D47" s="13">
        <v>3</v>
      </c>
      <c r="E47" s="27" t="s">
        <v>119</v>
      </c>
      <c r="F47" s="28" t="str">
        <f>LOOKUP(D47,$AK$5:$AK$8,$AL$5:$AL$8)</f>
        <v>Fall</v>
      </c>
      <c r="G47" s="235">
        <f>SUMIFS('[7]inland_taf_hatchgrp_tableraw&amp;yy'!G$3:G$38,'[7]inland_taf_hatchgrp_tableraw&amp;yy'!$AC$3:$AC$38,'2014 Table 11 CWTs exp'!$A47)</f>
        <v>0</v>
      </c>
      <c r="H47" s="45">
        <f>SUMIFS('[7]inland_taf_hatchgrp_tableraw&amp;yy'!H$3:H$38,'[7]inland_taf_hatchgrp_tableraw&amp;yy'!$AC$3:$AC$38,'2014 Table 11 CWTs exp'!$A47)</f>
        <v>0</v>
      </c>
      <c r="I47" s="44">
        <f>SUMIFS('[7]inland_taf_hatchgrp_tableraw&amp;yy'!I$3:I$38,'[7]inland_taf_hatchgrp_tableraw&amp;yy'!$AC$3:$AC$38,'2014 Table 11 CWTs exp'!$A47)</f>
        <v>0</v>
      </c>
      <c r="J47" s="46">
        <f>SUMIFS('[7]inland_taf_hatchgrp_tableraw&amp;yy'!J$3:J$38,'[7]inland_taf_hatchgrp_tableraw&amp;yy'!$AC$3:$AC$38,'2014 Table 11 CWTs exp'!$A47)</f>
        <v>208</v>
      </c>
      <c r="K47" s="44">
        <f>SUMIFS('[7]inland_taf_hatchgrp_tableraw&amp;yy'!K$3:K$38,'[7]inland_taf_hatchgrp_tableraw&amp;yy'!$AC$3:$AC$38,'2014 Table 11 CWTs exp'!$A47)</f>
        <v>53</v>
      </c>
      <c r="L47" s="44">
        <f>SUMIFS('[7]inland_taf_hatchgrp_tableraw&amp;yy'!L$3:L$38,'[7]inland_taf_hatchgrp_tableraw&amp;yy'!$AC$3:$AC$38,'2014 Table 11 CWTs exp'!$A47)</f>
        <v>79</v>
      </c>
      <c r="M47" s="44">
        <f>SUMIFS('[7]inland_taf_hatchgrp_tableraw&amp;yy'!M$3:M$38,'[7]inland_taf_hatchgrp_tableraw&amp;yy'!$AC$3:$AC$38,'2014 Table 11 CWTs exp'!$A47)</f>
        <v>131</v>
      </c>
      <c r="N47" s="44">
        <f>SUMIFS('[7]inland_taf_hatchgrp_tableraw&amp;yy'!N$3:N$38,'[7]inland_taf_hatchgrp_tableraw&amp;yy'!$AC$3:$AC$38,'2014 Table 11 CWTs exp'!$A47)</f>
        <v>1358</v>
      </c>
      <c r="O47" s="44">
        <f>SUMIFS('[7]inland_taf_hatchgrp_tableraw&amp;yy'!O$3:O$38,'[7]inland_taf_hatchgrp_tableraw&amp;yy'!$AC$3:$AC$38,'2014 Table 11 CWTs exp'!$A47)</f>
        <v>52</v>
      </c>
      <c r="P47" s="44">
        <f>SUMIFS('[7]inland_taf_hatchgrp_tableraw&amp;yy'!P$3:P$38,'[7]inland_taf_hatchgrp_tableraw&amp;yy'!$AC$3:$AC$38,'2014 Table 11 CWTs exp'!$A47)</f>
        <v>0</v>
      </c>
      <c r="Q47" s="45">
        <f>SUMIFS('[7]inland_taf_hatchgrp_tableraw&amp;yy'!Q$3:Q$38,'[7]inland_taf_hatchgrp_tableraw&amp;yy'!$AC$3:$AC$38,'2014 Table 11 CWTs exp'!$A47)</f>
        <v>4220</v>
      </c>
      <c r="R47" s="46">
        <f>SUMIFS('[7]inland_taf_hatchgrp_tableraw&amp;yy'!R$3:R$38,'[7]inland_taf_hatchgrp_tableraw&amp;yy'!$AC$3:$AC$38,'2014 Table 11 CWTs exp'!$A47)</f>
        <v>1192</v>
      </c>
      <c r="S47" s="44">
        <f>SUMIFS('[7]inland_taf_hatchgrp_tableraw&amp;yy'!S$3:S$38,'[7]inland_taf_hatchgrp_tableraw&amp;yy'!$AC$3:$AC$38,'2014 Table 11 CWTs exp'!$A47)</f>
        <v>0</v>
      </c>
      <c r="T47" s="44">
        <f>SUMIFS('[7]inland_taf_hatchgrp_tableraw&amp;yy'!T$3:T$38,'[7]inland_taf_hatchgrp_tableraw&amp;yy'!$AC$3:$AC$38,'2014 Table 11 CWTs exp'!$A47)</f>
        <v>2721</v>
      </c>
      <c r="U47" s="44">
        <f>SUMIFS('[7]inland_taf_hatchgrp_tableraw&amp;yy'!U$3:U$38,'[7]inland_taf_hatchgrp_tableraw&amp;yy'!$AC$3:$AC$38,'2014 Table 11 CWTs exp'!$A47)</f>
        <v>210</v>
      </c>
      <c r="V47" s="45">
        <f>SUMIFS('[7]inland_taf_hatchgrp_tableraw&amp;yy'!V$3:V$38,'[7]inland_taf_hatchgrp_tableraw&amp;yy'!$AC$3:$AC$38,'2014 Table 11 CWTs exp'!$A47)</f>
        <v>0</v>
      </c>
      <c r="W47" s="46">
        <f>SUMIFS('[7]inland_taf_hatchgrp_tableraw&amp;yy'!W$3:W$38,'[7]inland_taf_hatchgrp_tableraw&amp;yy'!$AC$3:$AC$38,'2014 Table 11 CWTs exp'!$A47)</f>
        <v>163</v>
      </c>
      <c r="X47" s="44">
        <f>SUMIFS('[7]inland_taf_hatchgrp_tableraw&amp;yy'!X$3:X$38,'[7]inland_taf_hatchgrp_tableraw&amp;yy'!$AC$3:$AC$38,'2014 Table 11 CWTs exp'!$A47)</f>
        <v>0</v>
      </c>
      <c r="Y47" s="84">
        <f>SUMIFS('[7]inland_taf_hatchgrp_tableraw&amp;yy'!Y$3:Y$38,'[7]inland_taf_hatchgrp_tableraw&amp;yy'!$AC$3:$AC$38,'2014 Table 11 CWTs exp'!$A47)</f>
        <v>10386</v>
      </c>
      <c r="Z47" s="85">
        <f>SUMIFS('[7]inland_taf_hatchgrp_tableraw&amp;yy'!Z$3:Z$38,'[7]inland_taf_hatchgrp_tableraw&amp;yy'!$AC$3:$AC$38,'2014 Table 11 CWTs exp'!$A47)</f>
        <v>2134</v>
      </c>
      <c r="AA47" s="44">
        <f>SUMIFS('[7]inland_taf_hatchgrp_tableraw&amp;yy'!AA$3:AA$38,'[7]inland_taf_hatchgrp_tableraw&amp;yy'!$AC$3:$AC$38,'2014 Table 11 CWTs exp'!$A47)</f>
        <v>12520</v>
      </c>
      <c r="AB47" s="44"/>
      <c r="AC47" s="566" t="e">
        <f>SUMIFS('[7]inland_taf_hatchgrp_tableraw&amp;yy'!AB$3:AB$38,'[7]inland_taf_hatchgrp_tableraw&amp;yy'!$AC$3:$AC$38,'2014 Table 11 CWTs exp'!$A47)</f>
        <v>#VALUE!</v>
      </c>
      <c r="AD47" s="604" t="str">
        <f t="shared" si="22"/>
        <v>AMN463</v>
      </c>
      <c r="AE47" s="442"/>
      <c r="AF47" s="597"/>
      <c r="AG47" s="597"/>
      <c r="AH47" s="442"/>
      <c r="AI47" s="451"/>
      <c r="AJ47" s="451"/>
      <c r="AK47" s="451"/>
      <c r="AL47" s="442"/>
      <c r="AM47" s="442"/>
      <c r="AN47" s="442"/>
      <c r="AO47" s="442"/>
      <c r="AP47" s="442"/>
      <c r="AQ47" s="442"/>
      <c r="AR47" s="442"/>
      <c r="AS47" s="442"/>
      <c r="AT47" s="442"/>
    </row>
    <row r="48" spans="1:46" ht="14.5" customHeight="1" x14ac:dyDescent="0.25">
      <c r="A48" s="50" t="str">
        <f t="shared" si="21"/>
        <v>MOKE463</v>
      </c>
      <c r="B48" s="13" t="s">
        <v>90</v>
      </c>
      <c r="C48" s="13">
        <v>46</v>
      </c>
      <c r="D48" s="13">
        <v>3</v>
      </c>
      <c r="E48" s="27" t="s">
        <v>91</v>
      </c>
      <c r="F48" s="28" t="str">
        <f>LOOKUP(D48,$AK$5:$AK$8,$AL$5:$AL$8)</f>
        <v>Fall</v>
      </c>
      <c r="G48" s="235">
        <f>SUMIFS('[7]inland_taf_hatchgrp_tableraw&amp;yy'!G$3:G$38,'[7]inland_taf_hatchgrp_tableraw&amp;yy'!$AC$3:$AC$38,'2014 Table 11 CWTs exp'!$A48)</f>
        <v>0</v>
      </c>
      <c r="H48" s="45">
        <f>SUMIFS('[7]inland_taf_hatchgrp_tableraw&amp;yy'!H$3:H$38,'[7]inland_taf_hatchgrp_tableraw&amp;yy'!$AC$3:$AC$38,'2014 Table 11 CWTs exp'!$A48)</f>
        <v>0</v>
      </c>
      <c r="I48" s="44">
        <f>SUMIFS('[7]inland_taf_hatchgrp_tableraw&amp;yy'!I$3:I$38,'[7]inland_taf_hatchgrp_tableraw&amp;yy'!$AC$3:$AC$38,'2014 Table 11 CWTs exp'!$A48)</f>
        <v>0</v>
      </c>
      <c r="J48" s="46">
        <f>SUMIFS('[7]inland_taf_hatchgrp_tableraw&amp;yy'!J$3:J$38,'[7]inland_taf_hatchgrp_tableraw&amp;yy'!$AC$3:$AC$38,'2014 Table 11 CWTs exp'!$A48)</f>
        <v>0</v>
      </c>
      <c r="K48" s="44">
        <f>SUMIFS('[7]inland_taf_hatchgrp_tableraw&amp;yy'!K$3:K$38,'[7]inland_taf_hatchgrp_tableraw&amp;yy'!$AC$3:$AC$38,'2014 Table 11 CWTs exp'!$A48)</f>
        <v>0</v>
      </c>
      <c r="L48" s="44">
        <f>SUMIFS('[7]inland_taf_hatchgrp_tableraw&amp;yy'!L$3:L$38,'[7]inland_taf_hatchgrp_tableraw&amp;yy'!$AC$3:$AC$38,'2014 Table 11 CWTs exp'!$A48)</f>
        <v>0</v>
      </c>
      <c r="M48" s="44">
        <f>SUMIFS('[7]inland_taf_hatchgrp_tableraw&amp;yy'!M$3:M$38,'[7]inland_taf_hatchgrp_tableraw&amp;yy'!$AC$3:$AC$38,'2014 Table 11 CWTs exp'!$A48)</f>
        <v>0</v>
      </c>
      <c r="N48" s="44">
        <f>SUMIFS('[7]inland_taf_hatchgrp_tableraw&amp;yy'!N$3:N$38,'[7]inland_taf_hatchgrp_tableraw&amp;yy'!$AC$3:$AC$38,'2014 Table 11 CWTs exp'!$A48)</f>
        <v>60</v>
      </c>
      <c r="O48" s="44">
        <f>SUMIFS('[7]inland_taf_hatchgrp_tableraw&amp;yy'!O$3:O$38,'[7]inland_taf_hatchgrp_tableraw&amp;yy'!$AC$3:$AC$38,'2014 Table 11 CWTs exp'!$A48)</f>
        <v>0</v>
      </c>
      <c r="P48" s="44">
        <f>SUMIFS('[7]inland_taf_hatchgrp_tableraw&amp;yy'!P$3:P$38,'[7]inland_taf_hatchgrp_tableraw&amp;yy'!$AC$3:$AC$38,'2014 Table 11 CWTs exp'!$A48)</f>
        <v>0</v>
      </c>
      <c r="Q48" s="45">
        <f>SUMIFS('[7]inland_taf_hatchgrp_tableraw&amp;yy'!Q$3:Q$38,'[7]inland_taf_hatchgrp_tableraw&amp;yy'!$AC$3:$AC$38,'2014 Table 11 CWTs exp'!$A48)</f>
        <v>60</v>
      </c>
      <c r="R48" s="46">
        <f>SUMIFS('[7]inland_taf_hatchgrp_tableraw&amp;yy'!R$3:R$38,'[7]inland_taf_hatchgrp_tableraw&amp;yy'!$AC$3:$AC$38,'2014 Table 11 CWTs exp'!$A48)</f>
        <v>0</v>
      </c>
      <c r="S48" s="44">
        <f>SUMIFS('[7]inland_taf_hatchgrp_tableraw&amp;yy'!S$3:S$38,'[7]inland_taf_hatchgrp_tableraw&amp;yy'!$AC$3:$AC$38,'2014 Table 11 CWTs exp'!$A48)</f>
        <v>15</v>
      </c>
      <c r="T48" s="44">
        <f>SUMIFS('[7]inland_taf_hatchgrp_tableraw&amp;yy'!T$3:T$38,'[7]inland_taf_hatchgrp_tableraw&amp;yy'!$AC$3:$AC$38,'2014 Table 11 CWTs exp'!$A48)</f>
        <v>1025</v>
      </c>
      <c r="U48" s="44">
        <f>SUMIFS('[7]inland_taf_hatchgrp_tableraw&amp;yy'!U$3:U$38,'[7]inland_taf_hatchgrp_tableraw&amp;yy'!$AC$3:$AC$38,'2014 Table 11 CWTs exp'!$A48)</f>
        <v>122</v>
      </c>
      <c r="V48" s="45">
        <f>SUMIFS('[7]inland_taf_hatchgrp_tableraw&amp;yy'!V$3:V$38,'[7]inland_taf_hatchgrp_tableraw&amp;yy'!$AC$3:$AC$38,'2014 Table 11 CWTs exp'!$A48)</f>
        <v>0</v>
      </c>
      <c r="W48" s="46">
        <f>SUMIFS('[7]inland_taf_hatchgrp_tableraw&amp;yy'!W$3:W$38,'[7]inland_taf_hatchgrp_tableraw&amp;yy'!$AC$3:$AC$38,'2014 Table 11 CWTs exp'!$A48)</f>
        <v>70</v>
      </c>
      <c r="X48" s="44">
        <f>SUMIFS('[7]inland_taf_hatchgrp_tableraw&amp;yy'!X$3:X$38,'[7]inland_taf_hatchgrp_tableraw&amp;yy'!$AC$3:$AC$38,'2014 Table 11 CWTs exp'!$A48)</f>
        <v>0</v>
      </c>
      <c r="Y48" s="84">
        <f>SUMIFS('[7]inland_taf_hatchgrp_tableraw&amp;yy'!Y$3:Y$38,'[7]inland_taf_hatchgrp_tableraw&amp;yy'!$AC$3:$AC$38,'2014 Table 11 CWTs exp'!$A48)</f>
        <v>1352</v>
      </c>
      <c r="Z48" s="85">
        <f>SUMIFS('[7]inland_taf_hatchgrp_tableraw&amp;yy'!Z$3:Z$38,'[7]inland_taf_hatchgrp_tableraw&amp;yy'!$AC$3:$AC$38,'2014 Table 11 CWTs exp'!$A48)</f>
        <v>28</v>
      </c>
      <c r="AA48" s="44">
        <f>SUMIFS('[7]inland_taf_hatchgrp_tableraw&amp;yy'!AA$3:AA$38,'[7]inland_taf_hatchgrp_tableraw&amp;yy'!$AC$3:$AC$38,'2014 Table 11 CWTs exp'!$A48)</f>
        <v>1380</v>
      </c>
      <c r="AB48" s="44"/>
      <c r="AC48" s="566" t="e">
        <f>SUMIFS('[7]inland_taf_hatchgrp_tableraw&amp;yy'!AB$3:AB$38,'[7]inland_taf_hatchgrp_tableraw&amp;yy'!$AC$3:$AC$38,'2014 Table 11 CWTs exp'!$A48)</f>
        <v>#VALUE!</v>
      </c>
      <c r="AD48" s="604" t="str">
        <f t="shared" si="22"/>
        <v>MOKE463</v>
      </c>
      <c r="AE48" s="442"/>
      <c r="AF48" s="597"/>
      <c r="AG48" s="597"/>
      <c r="AH48" s="442"/>
      <c r="AI48" s="451"/>
      <c r="AJ48" s="451"/>
      <c r="AK48" s="451"/>
      <c r="AL48" s="442"/>
      <c r="AM48" s="442"/>
      <c r="AN48" s="442"/>
      <c r="AO48" s="442"/>
      <c r="AP48" s="442"/>
      <c r="AQ48" s="442"/>
      <c r="AR48" s="442"/>
      <c r="AS48" s="442"/>
      <c r="AT48" s="442"/>
    </row>
    <row r="49" spans="1:51" ht="14.5" customHeight="1" x14ac:dyDescent="0.25">
      <c r="A49" s="50" t="str">
        <f t="shared" si="21"/>
        <v>USAC467</v>
      </c>
      <c r="B49" s="13" t="s">
        <v>64</v>
      </c>
      <c r="C49" s="13">
        <v>46</v>
      </c>
      <c r="D49" s="13">
        <v>7</v>
      </c>
      <c r="E49" s="27" t="s">
        <v>114</v>
      </c>
      <c r="F49" s="37" t="s">
        <v>57</v>
      </c>
      <c r="G49" s="235">
        <f>SUMIFS('[7]inland_taf_hatchgrp_tableraw&amp;yy'!G$3:G$38,'[7]inland_taf_hatchgrp_tableraw&amp;yy'!$AC$3:$AC$38,'2014 Table 11 CWTs exp'!$A49)</f>
        <v>0</v>
      </c>
      <c r="H49" s="45">
        <f>SUMIFS('[7]inland_taf_hatchgrp_tableraw&amp;yy'!H$3:H$38,'[7]inland_taf_hatchgrp_tableraw&amp;yy'!$AC$3:$AC$38,'2014 Table 11 CWTs exp'!$A49)</f>
        <v>110</v>
      </c>
      <c r="I49" s="44">
        <f>SUMIFS('[7]inland_taf_hatchgrp_tableraw&amp;yy'!I$3:I$38,'[7]inland_taf_hatchgrp_tableraw&amp;yy'!$AC$3:$AC$38,'2014 Table 11 CWTs exp'!$A49)</f>
        <v>0</v>
      </c>
      <c r="J49" s="46">
        <f>SUMIFS('[7]inland_taf_hatchgrp_tableraw&amp;yy'!J$3:J$38,'[7]inland_taf_hatchgrp_tableraw&amp;yy'!$AC$3:$AC$38,'2014 Table 11 CWTs exp'!$A49)</f>
        <v>0</v>
      </c>
      <c r="K49" s="44">
        <f>SUMIFS('[7]inland_taf_hatchgrp_tableraw&amp;yy'!K$3:K$38,'[7]inland_taf_hatchgrp_tableraw&amp;yy'!$AC$3:$AC$38,'2014 Table 11 CWTs exp'!$A49)</f>
        <v>0</v>
      </c>
      <c r="L49" s="44">
        <f>SUMIFS('[7]inland_taf_hatchgrp_tableraw&amp;yy'!L$3:L$38,'[7]inland_taf_hatchgrp_tableraw&amp;yy'!$AC$3:$AC$38,'2014 Table 11 CWTs exp'!$A49)</f>
        <v>0</v>
      </c>
      <c r="M49" s="44">
        <f>SUMIFS('[7]inland_taf_hatchgrp_tableraw&amp;yy'!M$3:M$38,'[7]inland_taf_hatchgrp_tableraw&amp;yy'!$AC$3:$AC$38,'2014 Table 11 CWTs exp'!$A49)</f>
        <v>0</v>
      </c>
      <c r="N49" s="44">
        <f>SUMIFS('[7]inland_taf_hatchgrp_tableraw&amp;yy'!N$3:N$38,'[7]inland_taf_hatchgrp_tableraw&amp;yy'!$AC$3:$AC$38,'2014 Table 11 CWTs exp'!$A49)</f>
        <v>0</v>
      </c>
      <c r="O49" s="44">
        <f>SUMIFS('[7]inland_taf_hatchgrp_tableraw&amp;yy'!O$3:O$38,'[7]inland_taf_hatchgrp_tableraw&amp;yy'!$AC$3:$AC$38,'2014 Table 11 CWTs exp'!$A49)</f>
        <v>0</v>
      </c>
      <c r="P49" s="44">
        <f>SUMIFS('[7]inland_taf_hatchgrp_tableraw&amp;yy'!P$3:P$38,'[7]inland_taf_hatchgrp_tableraw&amp;yy'!$AC$3:$AC$38,'2014 Table 11 CWTs exp'!$A49)</f>
        <v>0</v>
      </c>
      <c r="Q49" s="45">
        <f>SUMIFS('[7]inland_taf_hatchgrp_tableraw&amp;yy'!Q$3:Q$38,'[7]inland_taf_hatchgrp_tableraw&amp;yy'!$AC$3:$AC$38,'2014 Table 11 CWTs exp'!$A49)</f>
        <v>0</v>
      </c>
      <c r="R49" s="46">
        <f>SUMIFS('[7]inland_taf_hatchgrp_tableraw&amp;yy'!R$3:R$38,'[7]inland_taf_hatchgrp_tableraw&amp;yy'!$AC$3:$AC$38,'2014 Table 11 CWTs exp'!$A49)</f>
        <v>0</v>
      </c>
      <c r="S49" s="44">
        <f>SUMIFS('[7]inland_taf_hatchgrp_tableraw&amp;yy'!S$3:S$38,'[7]inland_taf_hatchgrp_tableraw&amp;yy'!$AC$3:$AC$38,'2014 Table 11 CWTs exp'!$A49)</f>
        <v>0</v>
      </c>
      <c r="T49" s="44">
        <f>SUMIFS('[7]inland_taf_hatchgrp_tableraw&amp;yy'!T$3:T$38,'[7]inland_taf_hatchgrp_tableraw&amp;yy'!$AC$3:$AC$38,'2014 Table 11 CWTs exp'!$A49)</f>
        <v>0</v>
      </c>
      <c r="U49" s="44">
        <f>SUMIFS('[7]inland_taf_hatchgrp_tableraw&amp;yy'!U$3:U$38,'[7]inland_taf_hatchgrp_tableraw&amp;yy'!$AC$3:$AC$38,'2014 Table 11 CWTs exp'!$A49)</f>
        <v>0</v>
      </c>
      <c r="V49" s="45">
        <f>SUMIFS('[7]inland_taf_hatchgrp_tableraw&amp;yy'!V$3:V$38,'[7]inland_taf_hatchgrp_tableraw&amp;yy'!$AC$3:$AC$38,'2014 Table 11 CWTs exp'!$A49)</f>
        <v>0</v>
      </c>
      <c r="W49" s="46">
        <f>SUMIFS('[7]inland_taf_hatchgrp_tableraw&amp;yy'!W$3:W$38,'[7]inland_taf_hatchgrp_tableraw&amp;yy'!$AC$3:$AC$38,'2014 Table 11 CWTs exp'!$A49)</f>
        <v>0</v>
      </c>
      <c r="X49" s="44">
        <f>SUMIFS('[7]inland_taf_hatchgrp_tableraw&amp;yy'!X$3:X$38,'[7]inland_taf_hatchgrp_tableraw&amp;yy'!$AC$3:$AC$38,'2014 Table 11 CWTs exp'!$A49)</f>
        <v>0</v>
      </c>
      <c r="Y49" s="84">
        <f>SUMIFS('[7]inland_taf_hatchgrp_tableraw&amp;yy'!Y$3:Y$38,'[7]inland_taf_hatchgrp_tableraw&amp;yy'!$AC$3:$AC$38,'2014 Table 11 CWTs exp'!$A49)</f>
        <v>110</v>
      </c>
      <c r="Z49" s="85">
        <f>SUMIFS('[7]inland_taf_hatchgrp_tableraw&amp;yy'!Z$3:Z$38,'[7]inland_taf_hatchgrp_tableraw&amp;yy'!$AC$3:$AC$38,'2014 Table 11 CWTs exp'!$A49)</f>
        <v>171</v>
      </c>
      <c r="AA49" s="44">
        <f>SUMIFS('[7]inland_taf_hatchgrp_tableraw&amp;yy'!AA$3:AA$38,'[7]inland_taf_hatchgrp_tableraw&amp;yy'!$AC$3:$AC$38,'2014 Table 11 CWTs exp'!$A49)</f>
        <v>281</v>
      </c>
      <c r="AB49" s="44"/>
      <c r="AC49" s="566" t="e">
        <f>SUMIFS('[7]inland_taf_hatchgrp_tableraw&amp;yy'!AB$3:AB$38,'[7]inland_taf_hatchgrp_tableraw&amp;yy'!$AC$3:$AC$38,'2014 Table 11 CWTs exp'!$A49)</f>
        <v>#VALUE!</v>
      </c>
      <c r="AD49" s="604" t="str">
        <f t="shared" si="22"/>
        <v>USAC467</v>
      </c>
      <c r="AE49" s="444">
        <f>SUM(Y44:Y49)</f>
        <v>31527</v>
      </c>
      <c r="AF49" s="606">
        <f>SUM(Z44:Z49)</f>
        <v>10886</v>
      </c>
      <c r="AG49" s="606">
        <f>SUM(AA44:AA49)</f>
        <v>42413</v>
      </c>
      <c r="AH49" s="442"/>
      <c r="AI49" s="451"/>
      <c r="AJ49" s="451"/>
      <c r="AK49" s="451"/>
      <c r="AL49" s="442"/>
      <c r="AM49" s="442"/>
      <c r="AN49" s="442"/>
      <c r="AO49" s="442"/>
      <c r="AP49" s="442"/>
      <c r="AQ49" s="442"/>
      <c r="AR49" s="442"/>
      <c r="AS49" s="442"/>
      <c r="AT49" s="442"/>
    </row>
    <row r="50" spans="1:51" ht="14.15" customHeight="1" x14ac:dyDescent="0.25">
      <c r="A50" s="50"/>
      <c r="B50" s="13"/>
      <c r="C50" s="13"/>
      <c r="D50" s="13"/>
      <c r="E50" s="3"/>
      <c r="F50" s="192" t="s">
        <v>120</v>
      </c>
      <c r="G50" s="285"/>
      <c r="H50" s="237">
        <f t="shared" ref="H50:AA50" si="23">SUM(H44:H49)</f>
        <v>266</v>
      </c>
      <c r="I50" s="64">
        <f t="shared" si="23"/>
        <v>6796</v>
      </c>
      <c r="J50" s="238">
        <f t="shared" si="23"/>
        <v>1011</v>
      </c>
      <c r="K50" s="64">
        <f t="shared" si="23"/>
        <v>348</v>
      </c>
      <c r="L50" s="64">
        <f t="shared" si="23"/>
        <v>381</v>
      </c>
      <c r="M50" s="64">
        <f t="shared" si="23"/>
        <v>516</v>
      </c>
      <c r="N50" s="64">
        <f t="shared" si="23"/>
        <v>10151</v>
      </c>
      <c r="O50" s="64">
        <f t="shared" si="23"/>
        <v>523</v>
      </c>
      <c r="P50" s="64">
        <f t="shared" si="23"/>
        <v>37</v>
      </c>
      <c r="Q50" s="237">
        <f t="shared" si="23"/>
        <v>4503</v>
      </c>
      <c r="R50" s="238">
        <f t="shared" si="23"/>
        <v>1685</v>
      </c>
      <c r="S50" s="64">
        <f t="shared" si="23"/>
        <v>15</v>
      </c>
      <c r="T50" s="64">
        <f t="shared" si="23"/>
        <v>4632</v>
      </c>
      <c r="U50" s="64">
        <f t="shared" si="23"/>
        <v>432</v>
      </c>
      <c r="V50" s="237">
        <f t="shared" si="23"/>
        <v>0</v>
      </c>
      <c r="W50" s="238">
        <f t="shared" si="23"/>
        <v>233</v>
      </c>
      <c r="X50" s="64">
        <f t="shared" si="23"/>
        <v>0</v>
      </c>
      <c r="Y50" s="239">
        <f t="shared" si="23"/>
        <v>31527</v>
      </c>
      <c r="Z50" s="240">
        <f t="shared" si="23"/>
        <v>10886</v>
      </c>
      <c r="AA50" s="64">
        <f t="shared" si="23"/>
        <v>42413</v>
      </c>
      <c r="AB50" s="44"/>
      <c r="AC50" s="566">
        <f>Y50/AA50</f>
        <v>0.74333341192558888</v>
      </c>
      <c r="AD50" s="604">
        <f t="shared" si="22"/>
        <v>0</v>
      </c>
      <c r="AE50" s="444"/>
      <c r="AF50" s="606"/>
      <c r="AG50" s="606"/>
      <c r="AH50" s="442"/>
      <c r="AI50" s="451"/>
      <c r="AJ50" s="451"/>
      <c r="AK50" s="451"/>
      <c r="AL50" s="442"/>
      <c r="AM50" s="442"/>
      <c r="AN50" s="442"/>
      <c r="AO50" s="442"/>
      <c r="AP50" s="442"/>
      <c r="AQ50" s="442"/>
      <c r="AR50" s="442"/>
      <c r="AS50" s="442"/>
      <c r="AT50" s="442"/>
    </row>
    <row r="51" spans="1:51" ht="2.9" customHeight="1" x14ac:dyDescent="0.3">
      <c r="A51" s="50"/>
      <c r="B51" s="11"/>
      <c r="C51" s="11"/>
      <c r="D51" s="11"/>
      <c r="E51" s="110"/>
      <c r="F51" s="110"/>
      <c r="G51" s="241"/>
      <c r="H51" s="112"/>
      <c r="I51" s="111"/>
      <c r="J51" s="113"/>
      <c r="K51" s="111"/>
      <c r="L51" s="111"/>
      <c r="M51" s="111"/>
      <c r="N51" s="111"/>
      <c r="O51" s="111"/>
      <c r="P51" s="111"/>
      <c r="Q51" s="112"/>
      <c r="R51" s="113"/>
      <c r="S51" s="111"/>
      <c r="T51" s="111"/>
      <c r="U51" s="111"/>
      <c r="V51" s="112"/>
      <c r="W51" s="113"/>
      <c r="X51" s="111"/>
      <c r="Y51" s="114"/>
      <c r="Z51" s="115"/>
      <c r="AA51" s="111"/>
      <c r="AB51" s="1"/>
      <c r="AC51" s="451"/>
      <c r="AD51" s="451"/>
      <c r="AE51" s="442"/>
      <c r="AF51" s="597"/>
      <c r="AG51" s="597"/>
      <c r="AH51" s="442"/>
      <c r="AI51" s="451"/>
      <c r="AJ51" s="451"/>
      <c r="AK51" s="451"/>
      <c r="AL51" s="442"/>
      <c r="AM51" s="442"/>
      <c r="AN51" s="442"/>
      <c r="AO51" s="442"/>
      <c r="AP51" s="442"/>
      <c r="AQ51" s="442"/>
      <c r="AR51" s="442"/>
      <c r="AS51" s="442"/>
      <c r="AT51" s="442"/>
    </row>
    <row r="52" spans="1:51" s="47" customFormat="1" ht="15" customHeight="1" x14ac:dyDescent="0.25">
      <c r="A52" s="36"/>
      <c r="B52" s="48"/>
      <c r="C52" s="48"/>
      <c r="D52" s="48"/>
      <c r="E52" s="186" t="s">
        <v>240</v>
      </c>
      <c r="F52" s="202"/>
      <c r="G52" s="220"/>
      <c r="H52" s="202"/>
      <c r="I52" s="202"/>
      <c r="J52" s="202"/>
      <c r="K52" s="202"/>
      <c r="L52" s="202"/>
      <c r="M52" s="202"/>
      <c r="N52" s="202"/>
      <c r="O52" s="202"/>
      <c r="P52" s="202"/>
      <c r="Q52" s="202"/>
      <c r="R52" s="202"/>
      <c r="S52" s="202"/>
      <c r="T52" s="202"/>
      <c r="U52" s="202"/>
      <c r="V52" s="202"/>
      <c r="W52" s="202"/>
      <c r="X52" s="202"/>
      <c r="Y52" s="202"/>
      <c r="Z52" s="202"/>
      <c r="AA52" s="202"/>
      <c r="AB52" s="159"/>
      <c r="AC52" s="615"/>
      <c r="AD52" s="615"/>
      <c r="AE52" s="594"/>
      <c r="AF52" s="616"/>
      <c r="AG52" s="616"/>
      <c r="AH52" s="594"/>
      <c r="AI52" s="601"/>
      <c r="AJ52" s="601"/>
      <c r="AK52" s="601"/>
      <c r="AL52" s="594"/>
      <c r="AM52" s="594"/>
      <c r="AN52" s="594"/>
      <c r="AO52" s="594"/>
      <c r="AP52" s="594"/>
      <c r="AQ52" s="594"/>
      <c r="AR52" s="594"/>
      <c r="AS52" s="594"/>
      <c r="AT52" s="594"/>
    </row>
    <row r="53" spans="1:51" s="47" customFormat="1" ht="13.5" customHeight="1" x14ac:dyDescent="0.25">
      <c r="A53" s="116"/>
      <c r="B53" s="117"/>
      <c r="C53" s="48"/>
      <c r="D53" s="48"/>
      <c r="E53" s="726" t="s">
        <v>241</v>
      </c>
      <c r="F53" s="726"/>
      <c r="G53" s="726"/>
      <c r="H53" s="726"/>
      <c r="I53" s="726"/>
      <c r="J53" s="726"/>
      <c r="K53" s="726"/>
      <c r="L53" s="726"/>
      <c r="M53" s="726"/>
      <c r="N53" s="726"/>
      <c r="O53" s="726"/>
      <c r="P53" s="726"/>
      <c r="Q53" s="27"/>
      <c r="R53" s="27"/>
      <c r="S53" s="27"/>
      <c r="T53" s="27"/>
      <c r="U53" s="27"/>
      <c r="V53" s="27"/>
      <c r="W53" s="27"/>
      <c r="X53" s="27"/>
      <c r="Y53" s="118"/>
      <c r="Z53" s="27"/>
      <c r="AA53" s="27"/>
      <c r="AB53" s="27"/>
      <c r="AC53" s="286"/>
      <c r="AD53" s="286"/>
      <c r="AE53" s="617">
        <f>AE49+AE36+AE13</f>
        <v>224730</v>
      </c>
      <c r="AF53" s="618">
        <f>AF49+AF36+AF13</f>
        <v>81903</v>
      </c>
      <c r="AG53" s="618">
        <f>AG49+AG36+AG13</f>
        <v>306633</v>
      </c>
      <c r="AH53" s="594" t="s">
        <v>212</v>
      </c>
      <c r="AI53" s="601"/>
      <c r="AJ53" s="601"/>
      <c r="AK53" s="601"/>
      <c r="AL53" s="594"/>
      <c r="AM53" s="594"/>
      <c r="AN53" s="594"/>
      <c r="AO53" s="594"/>
      <c r="AP53" s="594"/>
      <c r="AQ53" s="594"/>
      <c r="AR53" s="594"/>
      <c r="AS53" s="594"/>
      <c r="AT53" s="594"/>
    </row>
    <row r="54" spans="1:51" s="47" customFormat="1" ht="13.5" customHeight="1" x14ac:dyDescent="0.25">
      <c r="A54" s="116"/>
      <c r="B54" s="48"/>
      <c r="C54" s="48"/>
      <c r="D54" s="48"/>
      <c r="E54" s="27" t="s">
        <v>225</v>
      </c>
      <c r="F54" s="27"/>
      <c r="G54" s="27"/>
      <c r="H54" s="27"/>
      <c r="I54" s="27"/>
      <c r="J54" s="27"/>
      <c r="K54" s="27"/>
      <c r="L54" s="27"/>
      <c r="M54" s="27"/>
      <c r="N54" s="27"/>
      <c r="O54" s="27"/>
      <c r="P54" s="27"/>
      <c r="Q54" s="27"/>
      <c r="R54" s="27"/>
      <c r="S54" s="27"/>
      <c r="T54" s="27"/>
      <c r="U54" s="27"/>
      <c r="V54" s="27"/>
      <c r="W54" s="27"/>
      <c r="X54" s="27"/>
      <c r="Y54" s="27"/>
      <c r="Z54" s="27"/>
      <c r="AA54" s="27"/>
      <c r="AB54" s="27"/>
      <c r="AE54" s="594"/>
      <c r="AF54" s="594"/>
      <c r="AG54" s="594"/>
      <c r="AH54" s="594"/>
      <c r="AI54" s="601"/>
      <c r="AJ54" s="601"/>
      <c r="AK54" s="601"/>
      <c r="AL54" s="594"/>
      <c r="AM54" s="594"/>
      <c r="AN54" s="594"/>
      <c r="AO54" s="594"/>
      <c r="AP54" s="594"/>
      <c r="AQ54" s="594"/>
      <c r="AR54" s="594"/>
      <c r="AS54" s="594"/>
      <c r="AT54" s="594"/>
    </row>
    <row r="55" spans="1:51" s="47" customFormat="1" ht="13.5" customHeight="1" x14ac:dyDescent="0.25">
      <c r="A55" s="116"/>
      <c r="B55" s="48"/>
      <c r="C55" s="48"/>
      <c r="D55" s="48"/>
      <c r="E55" s="27" t="s">
        <v>242</v>
      </c>
      <c r="F55" s="34"/>
      <c r="G55" s="34"/>
      <c r="H55" s="27"/>
      <c r="I55" s="27"/>
      <c r="J55" s="27"/>
      <c r="K55" s="27"/>
      <c r="L55" s="27"/>
      <c r="M55" s="27"/>
      <c r="N55" s="27"/>
      <c r="O55" s="27"/>
      <c r="P55" s="27"/>
      <c r="Q55" s="27"/>
      <c r="R55" s="27"/>
      <c r="S55" s="27"/>
      <c r="T55" s="27"/>
      <c r="U55" s="27"/>
      <c r="V55" s="27"/>
      <c r="W55" s="27"/>
      <c r="X55" s="27"/>
      <c r="Y55" s="27"/>
      <c r="Z55" s="27"/>
      <c r="AA55" s="27"/>
      <c r="AB55" s="27"/>
      <c r="AC55" s="49"/>
      <c r="AD55" s="49"/>
      <c r="AE55" s="617"/>
      <c r="AF55" s="617"/>
      <c r="AG55" s="617"/>
      <c r="AH55" s="594"/>
      <c r="AI55" s="601"/>
      <c r="AJ55" s="601"/>
      <c r="AK55" s="601"/>
      <c r="AL55" s="594"/>
      <c r="AM55" s="594"/>
      <c r="AN55" s="594"/>
      <c r="AO55" s="594"/>
      <c r="AP55" s="594"/>
      <c r="AQ55" s="594"/>
      <c r="AR55" s="594"/>
      <c r="AS55" s="594"/>
      <c r="AT55" s="594"/>
    </row>
    <row r="56" spans="1:51" x14ac:dyDescent="0.25">
      <c r="A56" s="15"/>
      <c r="AE56" s="442"/>
      <c r="AF56" s="442"/>
      <c r="AG56" s="442"/>
      <c r="AH56" s="442"/>
      <c r="AI56" s="451"/>
      <c r="AJ56" s="451"/>
      <c r="AK56" s="451"/>
      <c r="AL56" s="442"/>
      <c r="AM56" s="442"/>
      <c r="AN56" s="442"/>
      <c r="AO56" s="442"/>
      <c r="AP56" s="442"/>
      <c r="AQ56" s="442"/>
      <c r="AR56" s="442"/>
      <c r="AS56" s="442"/>
      <c r="AT56" s="442"/>
    </row>
    <row r="57" spans="1:51" x14ac:dyDescent="0.25">
      <c r="A57" s="15"/>
      <c r="AE57" s="442"/>
      <c r="AF57" s="442" t="s">
        <v>126</v>
      </c>
      <c r="AG57" s="442" t="s">
        <v>213</v>
      </c>
      <c r="AH57" s="442"/>
      <c r="AI57" s="451"/>
      <c r="AJ57" s="451"/>
      <c r="AK57" s="451"/>
      <c r="AL57" s="442"/>
      <c r="AM57" s="442"/>
      <c r="AN57" s="442"/>
      <c r="AO57" s="442" t="s">
        <v>126</v>
      </c>
      <c r="AP57" s="442"/>
      <c r="AQ57" s="442"/>
      <c r="AR57" s="442" t="s">
        <v>127</v>
      </c>
      <c r="AS57" s="442"/>
      <c r="AT57" s="442"/>
    </row>
    <row r="58" spans="1:51" x14ac:dyDescent="0.25">
      <c r="A58" s="15"/>
      <c r="Y58" s="14"/>
      <c r="AA58" s="14"/>
      <c r="AC58" s="82"/>
      <c r="AD58" s="82"/>
      <c r="AE58" s="445"/>
      <c r="AF58" s="442"/>
      <c r="AG58" s="442"/>
      <c r="AH58" s="442"/>
      <c r="AI58" s="451"/>
      <c r="AJ58" s="451"/>
      <c r="AK58" s="451"/>
      <c r="AL58" s="442"/>
      <c r="AM58" s="442"/>
      <c r="AN58" s="442"/>
      <c r="AO58" s="442"/>
      <c r="AP58" s="442"/>
      <c r="AQ58" s="442"/>
      <c r="AR58" s="442"/>
      <c r="AS58" s="442"/>
      <c r="AT58" s="442"/>
    </row>
    <row r="59" spans="1:51" ht="4.5" customHeight="1" x14ac:dyDescent="0.3">
      <c r="A59" s="15"/>
      <c r="F59" s="119"/>
      <c r="G59" s="120"/>
      <c r="H59" s="741"/>
      <c r="I59" s="741"/>
      <c r="J59" s="741"/>
      <c r="K59" s="741"/>
      <c r="L59" s="744"/>
      <c r="M59" s="744"/>
      <c r="N59" s="744"/>
      <c r="O59" s="744"/>
      <c r="P59" s="744"/>
      <c r="Q59" s="741"/>
      <c r="R59" s="741"/>
      <c r="S59" s="122"/>
      <c r="T59" s="123"/>
      <c r="U59" s="122"/>
      <c r="V59" s="741"/>
      <c r="W59" s="741"/>
      <c r="X59" s="124"/>
      <c r="Y59" s="742"/>
      <c r="Z59" s="742"/>
      <c r="AA59" s="126"/>
      <c r="AE59" s="442"/>
      <c r="AF59" s="442"/>
      <c r="AG59" s="442"/>
      <c r="AH59" s="442"/>
      <c r="AI59" s="451"/>
      <c r="AJ59" s="451"/>
      <c r="AK59" s="451"/>
      <c r="AL59" s="442"/>
      <c r="AM59" s="442"/>
      <c r="AN59" s="442"/>
      <c r="AO59" s="442"/>
      <c r="AP59" s="442"/>
      <c r="AQ59" s="442"/>
      <c r="AR59" s="442"/>
      <c r="AS59" s="442"/>
      <c r="AT59" s="442"/>
    </row>
    <row r="60" spans="1:51" ht="17.5" customHeight="1" x14ac:dyDescent="0.3">
      <c r="A60" s="15"/>
      <c r="F60" s="119"/>
      <c r="G60" s="120"/>
      <c r="H60" s="120"/>
      <c r="I60" s="120"/>
      <c r="J60" s="120"/>
      <c r="K60" s="120"/>
      <c r="L60" s="121"/>
      <c r="M60" s="121"/>
      <c r="N60" s="121"/>
      <c r="O60" s="121"/>
      <c r="P60" s="121"/>
      <c r="Q60" s="120"/>
      <c r="R60" s="120"/>
      <c r="S60" s="122"/>
      <c r="T60" s="123"/>
      <c r="U60" s="122"/>
      <c r="V60" s="120"/>
      <c r="W60" s="120"/>
      <c r="X60" s="124"/>
      <c r="Y60" s="125"/>
      <c r="Z60" s="125"/>
      <c r="AA60" s="126"/>
      <c r="AE60" s="442"/>
      <c r="AF60" s="442"/>
      <c r="AG60" s="442"/>
      <c r="AH60" s="442"/>
      <c r="AI60" s="451"/>
      <c r="AJ60" s="451"/>
      <c r="AK60" s="451"/>
      <c r="AL60" s="442"/>
      <c r="AM60" s="442"/>
      <c r="AN60" s="442"/>
      <c r="AO60" s="442"/>
      <c r="AP60" s="442"/>
      <c r="AQ60" s="442"/>
      <c r="AR60" s="442"/>
      <c r="AS60" s="442"/>
      <c r="AT60" s="442"/>
      <c r="AY60" s="127"/>
    </row>
    <row r="61" spans="1:51" x14ac:dyDescent="0.25">
      <c r="A61" s="15"/>
      <c r="F61" s="119"/>
      <c r="G61" s="242"/>
      <c r="H61" s="132"/>
      <c r="I61" s="132"/>
      <c r="J61" s="132"/>
      <c r="K61" s="132"/>
      <c r="L61" s="132"/>
      <c r="M61" s="132"/>
      <c r="N61" s="132"/>
      <c r="O61" s="132"/>
      <c r="P61" s="132"/>
      <c r="Q61" s="132"/>
      <c r="R61" s="132"/>
      <c r="S61" s="132"/>
      <c r="T61" s="132"/>
      <c r="U61" s="132"/>
      <c r="V61" s="132"/>
      <c r="W61" s="132"/>
      <c r="X61" s="133"/>
      <c r="Y61" s="132"/>
      <c r="Z61" s="132"/>
    </row>
    <row r="62" spans="1:51" x14ac:dyDescent="0.25">
      <c r="A62" s="15"/>
      <c r="H62" s="134"/>
      <c r="I62" s="134"/>
      <c r="J62" s="134"/>
    </row>
    <row r="63" spans="1:51" ht="20.9" customHeight="1" x14ac:dyDescent="0.25">
      <c r="A63" s="15"/>
      <c r="AB63" s="77"/>
      <c r="AC63" s="14"/>
      <c r="AD63" s="14"/>
    </row>
    <row r="64" spans="1:51" x14ac:dyDescent="0.25">
      <c r="A64" s="15"/>
      <c r="AB64" s="78"/>
    </row>
    <row r="65" spans="1:32" x14ac:dyDescent="0.25">
      <c r="A65" s="15"/>
    </row>
    <row r="66" spans="1:32" x14ac:dyDescent="0.25">
      <c r="A66" s="15"/>
    </row>
    <row r="67" spans="1:32" ht="20.9" customHeight="1" x14ac:dyDescent="0.25">
      <c r="A67" s="15"/>
      <c r="F67" s="135"/>
      <c r="G67" s="136"/>
      <c r="H67" s="136"/>
      <c r="I67" s="137"/>
      <c r="J67" s="136"/>
      <c r="K67" s="136"/>
      <c r="L67" s="136"/>
      <c r="M67" s="136"/>
      <c r="N67" s="136"/>
      <c r="O67" s="136"/>
      <c r="P67" s="136"/>
      <c r="Q67" s="136"/>
      <c r="R67" s="136"/>
      <c r="S67" s="136"/>
      <c r="T67" s="136"/>
      <c r="U67" s="136"/>
      <c r="V67" s="136"/>
      <c r="W67" s="136"/>
      <c r="X67" s="136"/>
      <c r="Y67" s="136"/>
      <c r="Z67" s="136"/>
      <c r="AA67" s="136"/>
    </row>
    <row r="68" spans="1:32" x14ac:dyDescent="0.25">
      <c r="A68" s="15"/>
      <c r="F68" s="135"/>
      <c r="G68" s="138"/>
      <c r="H68" s="138"/>
      <c r="I68" s="138"/>
      <c r="J68" s="138"/>
      <c r="K68" s="138"/>
      <c r="L68" s="138"/>
      <c r="M68" s="138"/>
      <c r="N68" s="138"/>
      <c r="O68" s="138"/>
      <c r="P68" s="138"/>
      <c r="Q68" s="138"/>
      <c r="R68" s="138"/>
      <c r="S68" s="138"/>
      <c r="T68" s="138"/>
      <c r="U68" s="138"/>
      <c r="V68" s="138"/>
      <c r="W68" s="138"/>
      <c r="X68" s="138"/>
      <c r="Y68" s="138"/>
    </row>
    <row r="69" spans="1:32" ht="20.9" customHeight="1" x14ac:dyDescent="0.25">
      <c r="A69" s="15"/>
    </row>
    <row r="72" spans="1:32" ht="20.9" customHeight="1" x14ac:dyDescent="0.25"/>
    <row r="74" spans="1:32" ht="20.9" customHeight="1" x14ac:dyDescent="0.25"/>
    <row r="76" spans="1:32" ht="20.9" customHeight="1" x14ac:dyDescent="0.25"/>
    <row r="77" spans="1:32" ht="15" customHeight="1" x14ac:dyDescent="0.25"/>
    <row r="78" spans="1:32" ht="21" customHeight="1" x14ac:dyDescent="0.25"/>
    <row r="79" spans="1:32" ht="21" customHeight="1" x14ac:dyDescent="0.25"/>
    <row r="80" spans="1:32" x14ac:dyDescent="0.25">
      <c r="AC80" s="442"/>
      <c r="AD80" s="442"/>
      <c r="AE80" s="442"/>
      <c r="AF80" s="442"/>
    </row>
    <row r="81" spans="6:38" x14ac:dyDescent="0.25">
      <c r="AC81" s="442" t="s">
        <v>129</v>
      </c>
      <c r="AD81" s="442"/>
      <c r="AE81" s="442" t="s">
        <v>38</v>
      </c>
      <c r="AF81" s="442"/>
    </row>
    <row r="82" spans="6:38" x14ac:dyDescent="0.25">
      <c r="F82" s="4"/>
      <c r="H82" s="4"/>
      <c r="I82" s="4"/>
      <c r="AC82" s="442"/>
      <c r="AD82" s="442"/>
      <c r="AE82" s="442" t="s">
        <v>130</v>
      </c>
      <c r="AF82" s="442"/>
    </row>
    <row r="83" spans="6:38" x14ac:dyDescent="0.25">
      <c r="G83"/>
      <c r="AC83" s="442"/>
      <c r="AD83" s="442"/>
      <c r="AE83" s="442" t="s">
        <v>9</v>
      </c>
      <c r="AF83" s="442"/>
    </row>
    <row r="84" spans="6:38" x14ac:dyDescent="0.25">
      <c r="G84"/>
      <c r="AC84" s="442"/>
      <c r="AD84" s="442"/>
      <c r="AE84" s="442"/>
      <c r="AF84" s="442"/>
      <c r="AJ84"/>
      <c r="AL84" s="1"/>
    </row>
    <row r="85" spans="6:38" x14ac:dyDescent="0.25">
      <c r="G85"/>
    </row>
    <row r="86" spans="6:38" x14ac:dyDescent="0.25">
      <c r="G86"/>
    </row>
    <row r="87" spans="6:38" x14ac:dyDescent="0.25">
      <c r="G87"/>
    </row>
    <row r="88" spans="6:38" x14ac:dyDescent="0.25">
      <c r="G88"/>
    </row>
    <row r="89" spans="6:38" ht="21" customHeight="1" x14ac:dyDescent="0.25">
      <c r="G89"/>
    </row>
    <row r="90" spans="6:38" x14ac:dyDescent="0.25">
      <c r="G90"/>
    </row>
    <row r="91" spans="6:38" x14ac:dyDescent="0.25">
      <c r="G91"/>
    </row>
    <row r="92" spans="6:38" x14ac:dyDescent="0.25">
      <c r="G92"/>
    </row>
    <row r="93" spans="6:38" ht="20.9" customHeight="1" x14ac:dyDescent="0.25">
      <c r="G93"/>
    </row>
    <row r="94" spans="6:38" x14ac:dyDescent="0.25">
      <c r="G94"/>
    </row>
    <row r="95" spans="6:38" ht="21" customHeight="1" x14ac:dyDescent="0.25">
      <c r="G95"/>
    </row>
    <row r="96" spans="6:38" x14ac:dyDescent="0.25">
      <c r="G96"/>
    </row>
    <row r="97" spans="7:31" x14ac:dyDescent="0.25">
      <c r="G97"/>
    </row>
    <row r="98" spans="7:31" ht="21" customHeight="1" x14ac:dyDescent="0.25">
      <c r="G98"/>
    </row>
    <row r="100" spans="7:31" ht="21" customHeight="1" x14ac:dyDescent="0.25"/>
    <row r="102" spans="7:31" ht="21" customHeight="1" x14ac:dyDescent="0.25"/>
    <row r="105" spans="7:31" x14ac:dyDescent="0.25">
      <c r="AE105" s="3"/>
    </row>
    <row r="106" spans="7:31" x14ac:dyDescent="0.25">
      <c r="AE106" s="3"/>
    </row>
    <row r="107" spans="7:31" x14ac:dyDescent="0.25">
      <c r="AE107" s="3" t="s">
        <v>9</v>
      </c>
    </row>
  </sheetData>
  <mergeCells count="14">
    <mergeCell ref="Y2:Z2"/>
    <mergeCell ref="H2:J2"/>
    <mergeCell ref="K2:P2"/>
    <mergeCell ref="Q2:R2"/>
    <mergeCell ref="S2:U2"/>
    <mergeCell ref="V2:W2"/>
    <mergeCell ref="V59:W59"/>
    <mergeCell ref="Y59:Z59"/>
    <mergeCell ref="E14:F14"/>
    <mergeCell ref="E37:F37"/>
    <mergeCell ref="E53:P53"/>
    <mergeCell ref="H59:J59"/>
    <mergeCell ref="K59:P59"/>
    <mergeCell ref="Q59:R59"/>
  </mergeCells>
  <pageMargins left="0.5" right="0.25" top="0.5" bottom="0.25" header="0.3" footer="0.3"/>
  <pageSetup scale="72" fitToHeight="0"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B40B-CA08-41E0-9F34-D7F446B94B22}">
  <sheetPr>
    <pageSetUpPr fitToPage="1"/>
  </sheetPr>
  <dimension ref="A1:AH123"/>
  <sheetViews>
    <sheetView showGridLines="0" zoomScaleNormal="100" workbookViewId="0">
      <selection activeCell="Y30" sqref="Y30:Z31"/>
    </sheetView>
  </sheetViews>
  <sheetFormatPr defaultRowHeight="12.5" x14ac:dyDescent="0.25"/>
  <cols>
    <col min="1" max="1" width="10.54296875" customWidth="1"/>
    <col min="2" max="4" width="0.453125" customWidth="1"/>
    <col min="5" max="5" width="27" customWidth="1"/>
    <col min="6" max="6" width="7.54296875" style="1" customWidth="1"/>
    <col min="7" max="7" width="5.1796875" style="1" customWidth="1"/>
    <col min="8" max="23" width="7.453125" customWidth="1"/>
    <col min="24" max="24" width="6.453125" hidden="1" customWidth="1"/>
    <col min="25" max="26" width="9" customWidth="1"/>
    <col min="27" max="27" width="9.54296875" customWidth="1"/>
    <col min="28" max="28" width="1.453125" customWidth="1"/>
  </cols>
  <sheetData>
    <row r="1" spans="1:34" ht="21.75" customHeight="1" x14ac:dyDescent="0.25">
      <c r="E1" s="2" t="s">
        <v>227</v>
      </c>
    </row>
    <row r="2" spans="1:34" ht="17.899999999999999" customHeight="1" x14ac:dyDescent="0.3">
      <c r="E2" s="6"/>
      <c r="F2" s="7"/>
      <c r="G2" s="8"/>
      <c r="H2" s="727" t="str">
        <f>'[8]Table 11 CWTs exp'!H3:J3</f>
        <v>CFH</v>
      </c>
      <c r="I2" s="727"/>
      <c r="J2" s="727"/>
      <c r="K2" s="727" t="str">
        <f>'[8]Table 11 CWTs exp'!K3:P3</f>
        <v>FRH</v>
      </c>
      <c r="L2" s="728"/>
      <c r="M2" s="728"/>
      <c r="N2" s="728"/>
      <c r="O2" s="728"/>
      <c r="P2" s="728"/>
      <c r="Q2" s="727" t="str">
        <f>'[8]Table 11 CWTs exp'!Q3:R3</f>
        <v>NIM</v>
      </c>
      <c r="R2" s="727"/>
      <c r="S2" s="727" t="str">
        <f>'[8]Table 11 CWTs exp'!S3:U3</f>
        <v>MOK</v>
      </c>
      <c r="T2" s="727"/>
      <c r="U2" s="727"/>
      <c r="V2" s="727" t="str">
        <f>'[8]Table 11 CWTs exp'!V3:W3</f>
        <v>MER</v>
      </c>
      <c r="W2" s="727"/>
      <c r="X2" s="203"/>
      <c r="Y2" s="729" t="s">
        <v>132</v>
      </c>
      <c r="Z2" s="730"/>
      <c r="AA2" s="10" t="s">
        <v>9</v>
      </c>
    </row>
    <row r="3" spans="1:34" ht="15.75" customHeight="1" x14ac:dyDescent="0.3">
      <c r="E3" s="17" t="s">
        <v>17</v>
      </c>
      <c r="F3" s="18" t="s">
        <v>18</v>
      </c>
      <c r="G3" s="204" t="str">
        <f>'[8]Table 11 CWTs exp'!G4</f>
        <v>SacW</v>
      </c>
      <c r="H3" s="20" t="str">
        <f>'[8]Table 11 CWTs exp'!H4</f>
        <v>CFHLh</v>
      </c>
      <c r="I3" s="19" t="str">
        <f>'[8]Table 11 CWTs exp'!I4</f>
        <v>CFHFh</v>
      </c>
      <c r="J3" s="21" t="str">
        <f>'[8]Table 11 CWTs exp'!J4</f>
        <v>CFHFn</v>
      </c>
      <c r="K3" s="19" t="str">
        <f>'[8]Table 11 CWTs exp'!K4</f>
        <v>FRHS</v>
      </c>
      <c r="L3" s="19" t="str">
        <f>'[8]Table 11 CWTs exp'!L4</f>
        <v>FRHSn</v>
      </c>
      <c r="M3" s="19" t="str">
        <f>'[8]Table 11 CWTs exp'!M4</f>
        <v>FRHFk</v>
      </c>
      <c r="N3" s="19" t="str">
        <f>'[8]Table 11 CWTs exp'!N4</f>
        <v>FRHFb</v>
      </c>
      <c r="O3" s="19" t="str">
        <f>'[8]Table 11 CWTs exp'!O4</f>
        <v>FRHFn</v>
      </c>
      <c r="P3" s="19" t="str">
        <f>'[8]Table 11 CWTs exp'!P4</f>
        <v>FRHFnc</v>
      </c>
      <c r="Q3" s="20" t="str">
        <f>'[8]Table 11 CWTs exp'!Q4</f>
        <v>NIMF</v>
      </c>
      <c r="R3" s="21" t="str">
        <f>'[8]Table 11 CWTs exp'!R4</f>
        <v>NIMFn</v>
      </c>
      <c r="S3" s="19" t="str">
        <f>'[8]Table 11 CWTs exp'!S4</f>
        <v>MOKF</v>
      </c>
      <c r="T3" s="19" t="str">
        <f>'[8]Table 11 CWTs exp'!T4</f>
        <v>MOKFn</v>
      </c>
      <c r="U3" s="19" t="str">
        <f>'[8]Table 11 CWTs exp'!U4</f>
        <v>MOKFe</v>
      </c>
      <c r="V3" s="20" t="str">
        <f>'[8]Table 11 CWTs exp'!V4</f>
        <v>MERF</v>
      </c>
      <c r="W3" s="21" t="str">
        <f>'[8]Table 11 CWTs exp'!W4</f>
        <v>MERFt</v>
      </c>
      <c r="X3" s="205" t="s">
        <v>198</v>
      </c>
      <c r="Y3" s="22" t="s">
        <v>36</v>
      </c>
      <c r="Z3" s="23" t="s">
        <v>37</v>
      </c>
      <c r="AA3" s="24" t="s">
        <v>18</v>
      </c>
    </row>
    <row r="4" spans="1:34" ht="14.15" customHeight="1" x14ac:dyDescent="0.3">
      <c r="E4" s="26" t="s">
        <v>39</v>
      </c>
      <c r="F4" s="11"/>
      <c r="G4" s="4"/>
      <c r="H4" s="139"/>
      <c r="J4" s="140"/>
      <c r="Q4" s="139"/>
      <c r="R4" s="140"/>
      <c r="V4" s="139"/>
      <c r="W4" s="140"/>
      <c r="X4" s="88"/>
      <c r="Y4" s="141"/>
      <c r="Z4" s="142"/>
      <c r="AA4" s="88"/>
    </row>
    <row r="5" spans="1:34" ht="14.15" customHeight="1" x14ac:dyDescent="0.25">
      <c r="A5" s="54" t="str">
        <f>'[8]Table 11 CWTs exp'!A6</f>
        <v>KESW504</v>
      </c>
      <c r="E5" s="3" t="str">
        <f>'[8]Table 11 CWTs exp'!E6</f>
        <v>Keswick Dam Fish Trap</v>
      </c>
      <c r="F5" s="143" t="str">
        <f>'[8]Table 11 CWTs exp'!F6</f>
        <v>Winter</v>
      </c>
      <c r="G5" s="287">
        <f>IF('[8]Table 11 CWTs exp'!G6/'[8]Table 11 CWTs exp'!$AA6&gt;0.0005,'[8]Table 11 CWTs exp'!G6/'[8]Table 11 CWTs exp'!$AA6,IF('[8]Table 11 CWTs exp'!G6/'[8]Table 11 CWTs exp'!$AA6&gt;0,"-"," "))</f>
        <v>0.52918287937743191</v>
      </c>
      <c r="H5" s="145" t="str">
        <f>IF('[8]Table 11 CWTs exp'!H6/'[8]Table 11 CWTs exp'!$AA6&gt;0.0005,'[8]Table 11 CWTs exp'!H6/'[8]Table 11 CWTs exp'!$AA6,IF('[8]Table 11 CWTs exp'!H6/'[8]Table 11 CWTs exp'!$AA6&gt;0,"-"," "))</f>
        <v xml:space="preserve"> </v>
      </c>
      <c r="I5" s="144" t="str">
        <f>IF('[8]Table 11 CWTs exp'!I6/'[8]Table 11 CWTs exp'!$AA6&gt;0.0005,'[8]Table 11 CWTs exp'!I6/'[8]Table 11 CWTs exp'!$AA6,IF('[8]Table 11 CWTs exp'!I6/'[8]Table 11 CWTs exp'!$AA6&gt;0,"-"," "))</f>
        <v xml:space="preserve"> </v>
      </c>
      <c r="J5" s="146" t="str">
        <f>IF('[8]Table 11 CWTs exp'!J6/'[8]Table 11 CWTs exp'!$AA6&gt;0.0005,'[8]Table 11 CWTs exp'!J6/'[8]Table 11 CWTs exp'!$AA6,IF('[8]Table 11 CWTs exp'!J6/'[8]Table 11 CWTs exp'!$AA6&gt;0,"-"," "))</f>
        <v xml:space="preserve"> </v>
      </c>
      <c r="K5" s="144" t="str">
        <f>IF('[8]Table 11 CWTs exp'!K6/'[8]Table 11 CWTs exp'!$AA6&gt;0.0005,'[8]Table 11 CWTs exp'!K6/'[8]Table 11 CWTs exp'!$AA6,IF('[8]Table 11 CWTs exp'!K6/'[8]Table 11 CWTs exp'!$AA6&gt;0,"-"," "))</f>
        <v xml:space="preserve"> </v>
      </c>
      <c r="L5" s="144" t="str">
        <f>IF('[8]Table 11 CWTs exp'!L6/'[8]Table 11 CWTs exp'!$AA6&gt;0.0005,'[8]Table 11 CWTs exp'!L6/'[8]Table 11 CWTs exp'!$AA6,IF('[8]Table 11 CWTs exp'!L6/'[8]Table 11 CWTs exp'!$AA6&gt;0,"-"," "))</f>
        <v xml:space="preserve"> </v>
      </c>
      <c r="M5" s="144" t="str">
        <f>IF('[8]Table 11 CWTs exp'!M6/'[8]Table 11 CWTs exp'!$AA6&gt;0.0005,'[8]Table 11 CWTs exp'!M6/'[8]Table 11 CWTs exp'!$AA6,IF('[8]Table 11 CWTs exp'!M6/'[8]Table 11 CWTs exp'!$AA6&gt;0,"-"," "))</f>
        <v xml:space="preserve"> </v>
      </c>
      <c r="N5" s="144" t="str">
        <f>IF('[8]Table 11 CWTs exp'!N6/'[8]Table 11 CWTs exp'!$AA6&gt;0.0005,'[8]Table 11 CWTs exp'!N6/'[8]Table 11 CWTs exp'!$AA6,IF('[8]Table 11 CWTs exp'!N6/'[8]Table 11 CWTs exp'!$AA6&gt;0,"-"," "))</f>
        <v xml:space="preserve"> </v>
      </c>
      <c r="O5" s="144" t="str">
        <f>IF('[8]Table 11 CWTs exp'!O6/'[8]Table 11 CWTs exp'!$AA6&gt;0.0005,'[8]Table 11 CWTs exp'!O6/'[8]Table 11 CWTs exp'!$AA6,IF('[8]Table 11 CWTs exp'!O6/'[8]Table 11 CWTs exp'!$AA6&gt;0,"-"," "))</f>
        <v xml:space="preserve"> </v>
      </c>
      <c r="P5" s="144" t="str">
        <f>IF('[8]Table 11 CWTs exp'!P6/'[8]Table 11 CWTs exp'!$AA6&gt;0.0005,'[8]Table 11 CWTs exp'!P6/'[8]Table 11 CWTs exp'!$AA6,IF('[8]Table 11 CWTs exp'!P6/'[8]Table 11 CWTs exp'!$AA6&gt;0,"-"," "))</f>
        <v xml:space="preserve"> </v>
      </c>
      <c r="Q5" s="145" t="str">
        <f>IF('[8]Table 11 CWTs exp'!Q6/'[8]Table 11 CWTs exp'!$AA6&gt;0.0005,'[8]Table 11 CWTs exp'!Q6/'[8]Table 11 CWTs exp'!$AA6,IF('[8]Table 11 CWTs exp'!Q6/'[8]Table 11 CWTs exp'!$AA6&gt;0,"-"," "))</f>
        <v xml:space="preserve"> </v>
      </c>
      <c r="R5" s="146" t="str">
        <f>IF('[8]Table 11 CWTs exp'!R6/'[8]Table 11 CWTs exp'!$AA6&gt;0.0005,'[8]Table 11 CWTs exp'!R6/'[8]Table 11 CWTs exp'!$AA6,IF('[8]Table 11 CWTs exp'!R6/'[8]Table 11 CWTs exp'!$AA6&gt;0,"-"," "))</f>
        <v xml:space="preserve"> </v>
      </c>
      <c r="S5" s="144" t="str">
        <f>IF('[8]Table 11 CWTs exp'!S6/'[8]Table 11 CWTs exp'!$AA6&gt;0.0005,'[8]Table 11 CWTs exp'!S6/'[8]Table 11 CWTs exp'!$AA6,IF('[8]Table 11 CWTs exp'!S6/'[8]Table 11 CWTs exp'!$AA6&gt;0,"-"," "))</f>
        <v xml:space="preserve"> </v>
      </c>
      <c r="T5" s="144" t="str">
        <f>IF('[8]Table 11 CWTs exp'!T6/'[8]Table 11 CWTs exp'!$AA6&gt;0.0005,'[8]Table 11 CWTs exp'!T6/'[8]Table 11 CWTs exp'!$AA6,IF('[8]Table 11 CWTs exp'!T6/'[8]Table 11 CWTs exp'!$AA6&gt;0,"-"," "))</f>
        <v xml:space="preserve"> </v>
      </c>
      <c r="U5" s="144" t="str">
        <f>IF('[8]Table 11 CWTs exp'!U6/'[8]Table 11 CWTs exp'!$AA6&gt;0.0005,'[8]Table 11 CWTs exp'!U6/'[8]Table 11 CWTs exp'!$AA6,IF('[8]Table 11 CWTs exp'!U6/'[8]Table 11 CWTs exp'!$AA6&gt;0,"-"," "))</f>
        <v xml:space="preserve"> </v>
      </c>
      <c r="V5" s="145" t="str">
        <f>IF('[8]Table 11 CWTs exp'!V6/'[8]Table 11 CWTs exp'!$AA6&gt;0.0005,'[8]Table 11 CWTs exp'!V6/'[8]Table 11 CWTs exp'!$AA6,IF('[8]Table 11 CWTs exp'!V6/'[8]Table 11 CWTs exp'!$AA6&gt;0,"-"," "))</f>
        <v xml:space="preserve"> </v>
      </c>
      <c r="W5" s="146" t="str">
        <f>IF('[8]Table 11 CWTs exp'!W6/'[8]Table 11 CWTs exp'!$AA6&gt;0.0005,'[8]Table 11 CWTs exp'!W6/'[8]Table 11 CWTs exp'!$AA6,IF('[8]Table 11 CWTs exp'!W6/'[8]Table 11 CWTs exp'!$AA6&gt;0,"-"," "))</f>
        <v xml:space="preserve"> </v>
      </c>
      <c r="X5" s="206" t="str">
        <f>IF('[8]Table 11 CWTs exp'!X6/'[8]Table 11 CWTs exp'!$AA6&gt;0.0005,'[8]Table 11 CWTs exp'!X6/'[8]Table 11 CWTs exp'!$AA6,IF('[8]Table 11 CWTs exp'!X6/'[8]Table 11 CWTs exp'!$AA6&gt;0,"-"," "))</f>
        <v xml:space="preserve"> </v>
      </c>
      <c r="Y5" s="147">
        <f>SUM(G5:X5)</f>
        <v>0.52918287937743191</v>
      </c>
      <c r="Z5" s="148">
        <f>1-Y5</f>
        <v>0.47081712062256809</v>
      </c>
      <c r="AA5" s="38">
        <f>'[8]Table 11 CWTs exp'!AA6</f>
        <v>257</v>
      </c>
      <c r="AC5" s="592">
        <f>'[8]Table 11 CWTs exp'!AC6</f>
        <v>0.52900000000000003</v>
      </c>
      <c r="AD5" s="592">
        <f>Y5-AC5</f>
        <v>1.828793774318882E-4</v>
      </c>
      <c r="AE5" s="593" t="str">
        <f>A5</f>
        <v>KESW504</v>
      </c>
      <c r="AF5" s="442"/>
      <c r="AG5" s="442"/>
      <c r="AH5" s="442"/>
    </row>
    <row r="6" spans="1:34" ht="14.5" customHeight="1" x14ac:dyDescent="0.25">
      <c r="A6" s="54" t="str">
        <f>'[8]Table 11 CWTs exp'!A7</f>
        <v>FRFH501</v>
      </c>
      <c r="B6" s="75" t="str">
        <f>'[8]Table 11 CWTs exp'!B7</f>
        <v>FRFH</v>
      </c>
      <c r="C6" s="75">
        <f>'[8]Table 11 CWTs exp'!C7</f>
        <v>50</v>
      </c>
      <c r="D6" s="75">
        <f>'[8]Table 11 CWTs exp'!D7</f>
        <v>1</v>
      </c>
      <c r="E6" s="3" t="str">
        <f>'[8]Table 11 CWTs exp'!E7</f>
        <v>Feather River Hatchery</v>
      </c>
      <c r="F6" s="143" t="str">
        <f>'[8]Table 11 CWTs exp'!F7</f>
        <v>Spring</v>
      </c>
      <c r="G6" s="287" t="str">
        <f>IF('[8]Table 11 CWTs exp'!G7/'[8]Table 11 CWTs exp'!$AA7&gt;0.0005,'[8]Table 11 CWTs exp'!G7/'[8]Table 11 CWTs exp'!$AA7,IF('[8]Table 11 CWTs exp'!G7/'[8]Table 11 CWTs exp'!$AA7&gt;0,"-"," "))</f>
        <v xml:space="preserve"> </v>
      </c>
      <c r="H6" s="145" t="str">
        <f>IF('[8]Table 11 CWTs exp'!H7/'[8]Table 11 CWTs exp'!$AA7&gt;0.0005,'[8]Table 11 CWTs exp'!H7/'[8]Table 11 CWTs exp'!$AA7,IF('[8]Table 11 CWTs exp'!H7/'[8]Table 11 CWTs exp'!$AA7&gt;0,"-"," "))</f>
        <v xml:space="preserve"> </v>
      </c>
      <c r="I6" s="144" t="str">
        <f>IF('[8]Table 11 CWTs exp'!I7/'[8]Table 11 CWTs exp'!$AA7&gt;0.0005,'[8]Table 11 CWTs exp'!I7/'[8]Table 11 CWTs exp'!$AA7,IF('[8]Table 11 CWTs exp'!I7/'[8]Table 11 CWTs exp'!$AA7&gt;0,"-"," "))</f>
        <v xml:space="preserve"> </v>
      </c>
      <c r="J6" s="146" t="str">
        <f>IF('[8]Table 11 CWTs exp'!J7/'[8]Table 11 CWTs exp'!$AA7&gt;0.0005,'[8]Table 11 CWTs exp'!J7/'[8]Table 11 CWTs exp'!$AA7,IF('[8]Table 11 CWTs exp'!J7/'[8]Table 11 CWTs exp'!$AA7&gt;0,"-"," "))</f>
        <v xml:space="preserve"> </v>
      </c>
      <c r="K6" s="144">
        <f>IF('[8]Table 11 CWTs exp'!K7/'[8]Table 11 CWTs exp'!$AA7&gt;0.0005,'[8]Table 11 CWTs exp'!K7/'[8]Table 11 CWTs exp'!$AA7,IF('[8]Table 11 CWTs exp'!K7/'[8]Table 11 CWTs exp'!$AA7&gt;0,"-"," "))</f>
        <v>0.59746012994683995</v>
      </c>
      <c r="L6" s="144">
        <f>IF('[8]Table 11 CWTs exp'!L7/'[8]Table 11 CWTs exp'!$AA7&gt;0.0005,'[8]Table 11 CWTs exp'!L7/'[8]Table 11 CWTs exp'!$AA7,IF('[8]Table 11 CWTs exp'!L7/'[8]Table 11 CWTs exp'!$AA7&gt;0,"-"," "))</f>
        <v>0.37093916125221499</v>
      </c>
      <c r="M6" s="144" t="str">
        <f>IF('[8]Table 11 CWTs exp'!M7/'[8]Table 11 CWTs exp'!$AA7&gt;0.0005,'[8]Table 11 CWTs exp'!M7/'[8]Table 11 CWTs exp'!$AA7,IF('[8]Table 11 CWTs exp'!M7/'[8]Table 11 CWTs exp'!$AA7&gt;0,"-"," "))</f>
        <v xml:space="preserve"> </v>
      </c>
      <c r="N6" s="144">
        <f>IF('[8]Table 11 CWTs exp'!N7/'[8]Table 11 CWTs exp'!$AA7&gt;0.0005,'[8]Table 11 CWTs exp'!N7/'[8]Table 11 CWTs exp'!$AA7,IF('[8]Table 11 CWTs exp'!N7/'[8]Table 11 CWTs exp'!$AA7&gt;0,"-"," "))</f>
        <v>1.1813349084465446E-3</v>
      </c>
      <c r="O6" s="144">
        <f>IF('[8]Table 11 CWTs exp'!O7/'[8]Table 11 CWTs exp'!$AA7&gt;0.0005,'[8]Table 11 CWTs exp'!O7/'[8]Table 11 CWTs exp'!$AA7,IF('[8]Table 11 CWTs exp'!O7/'[8]Table 11 CWTs exp'!$AA7&gt;0,"-"," "))</f>
        <v>7.0880094506792675E-3</v>
      </c>
      <c r="P6" s="144" t="str">
        <f>IF('[8]Table 11 CWTs exp'!P7/'[8]Table 11 CWTs exp'!$AA7&gt;0.0005,'[8]Table 11 CWTs exp'!P7/'[8]Table 11 CWTs exp'!$AA7,IF('[8]Table 11 CWTs exp'!P7/'[8]Table 11 CWTs exp'!$AA7&gt;0,"-"," "))</f>
        <v xml:space="preserve"> </v>
      </c>
      <c r="Q6" s="145" t="str">
        <f>IF('[8]Table 11 CWTs exp'!Q7/'[8]Table 11 CWTs exp'!$AA7&gt;0.0005,'[8]Table 11 CWTs exp'!Q7/'[8]Table 11 CWTs exp'!$AA7,IF('[8]Table 11 CWTs exp'!Q7/'[8]Table 11 CWTs exp'!$AA7&gt;0,"-"," "))</f>
        <v xml:space="preserve"> </v>
      </c>
      <c r="R6" s="146" t="str">
        <f>IF('[8]Table 11 CWTs exp'!R7/'[8]Table 11 CWTs exp'!$AA7&gt;0.0005,'[8]Table 11 CWTs exp'!R7/'[8]Table 11 CWTs exp'!$AA7,IF('[8]Table 11 CWTs exp'!R7/'[8]Table 11 CWTs exp'!$AA7&gt;0,"-"," "))</f>
        <v xml:space="preserve"> </v>
      </c>
      <c r="S6" s="144" t="str">
        <f>IF('[8]Table 11 CWTs exp'!S7/'[8]Table 11 CWTs exp'!$AA7&gt;0.0005,'[8]Table 11 CWTs exp'!S7/'[8]Table 11 CWTs exp'!$AA7,IF('[8]Table 11 CWTs exp'!S7/'[8]Table 11 CWTs exp'!$AA7&gt;0,"-"," "))</f>
        <v xml:space="preserve"> </v>
      </c>
      <c r="T6" s="144" t="str">
        <f>IF('[8]Table 11 CWTs exp'!T7/'[8]Table 11 CWTs exp'!$AA7&gt;0.0005,'[8]Table 11 CWTs exp'!T7/'[8]Table 11 CWTs exp'!$AA7,IF('[8]Table 11 CWTs exp'!T7/'[8]Table 11 CWTs exp'!$AA7&gt;0,"-"," "))</f>
        <v xml:space="preserve"> </v>
      </c>
      <c r="U6" s="144" t="str">
        <f>IF('[8]Table 11 CWTs exp'!U7/'[8]Table 11 CWTs exp'!$AA7&gt;0.0005,'[8]Table 11 CWTs exp'!U7/'[8]Table 11 CWTs exp'!$AA7,IF('[8]Table 11 CWTs exp'!U7/'[8]Table 11 CWTs exp'!$AA7&gt;0,"-"," "))</f>
        <v xml:space="preserve"> </v>
      </c>
      <c r="V6" s="145" t="str">
        <f>IF('[8]Table 11 CWTs exp'!V7/'[8]Table 11 CWTs exp'!$AA7&gt;0.0005,'[8]Table 11 CWTs exp'!V7/'[8]Table 11 CWTs exp'!$AA7,IF('[8]Table 11 CWTs exp'!V7/'[8]Table 11 CWTs exp'!$AA7&gt;0,"-"," "))</f>
        <v xml:space="preserve"> </v>
      </c>
      <c r="W6" s="146" t="str">
        <f>IF('[8]Table 11 CWTs exp'!W7/'[8]Table 11 CWTs exp'!$AA7&gt;0.0005,'[8]Table 11 CWTs exp'!W7/'[8]Table 11 CWTs exp'!$AA7,IF('[8]Table 11 CWTs exp'!W7/'[8]Table 11 CWTs exp'!$AA7&gt;0,"-"," "))</f>
        <v xml:space="preserve"> </v>
      </c>
      <c r="X6" s="206" t="str">
        <f>IF('[8]Table 11 CWTs exp'!X7/'[8]Table 11 CWTs exp'!$AA7&gt;0.0005,'[8]Table 11 CWTs exp'!X7/'[8]Table 11 CWTs exp'!$AA7,IF('[8]Table 11 CWTs exp'!X7/'[8]Table 11 CWTs exp'!$AA7&gt;0,"-"," "))</f>
        <v xml:space="preserve"> </v>
      </c>
      <c r="Y6" s="147">
        <f>SUM(G6:X6)</f>
        <v>0.97666863555818062</v>
      </c>
      <c r="Z6" s="148">
        <f>1-Y6</f>
        <v>2.333136444181938E-2</v>
      </c>
      <c r="AA6" s="38">
        <f>'[8]Table 11 CWTs exp'!AA7</f>
        <v>3386</v>
      </c>
      <c r="AC6" s="592">
        <f>'[8]Table 11 CWTs exp'!AC7</f>
        <v>0.97699999999999998</v>
      </c>
      <c r="AD6" s="592">
        <f>Y6-AC6</f>
        <v>-3.3136444181935953E-4</v>
      </c>
      <c r="AE6" s="593" t="str">
        <f>A6</f>
        <v>FRFH501</v>
      </c>
      <c r="AF6" s="442"/>
      <c r="AG6" s="442"/>
      <c r="AH6" s="442"/>
    </row>
    <row r="7" spans="1:34" ht="14.5" hidden="1" customHeight="1" x14ac:dyDescent="0.25">
      <c r="A7" s="54" t="str">
        <f>'[8]Table 11 CWTs exp'!A8</f>
        <v>FRFH521</v>
      </c>
      <c r="B7" s="75" t="str">
        <f>'[8]Table 11 CWTs exp'!B8</f>
        <v>FRFH</v>
      </c>
      <c r="C7" s="75">
        <f>'[8]Table 11 CWTs exp'!C8</f>
        <v>52</v>
      </c>
      <c r="D7" s="75">
        <f>'[8]Table 11 CWTs exp'!D8</f>
        <v>1</v>
      </c>
      <c r="E7" s="252" t="s">
        <v>217</v>
      </c>
      <c r="F7" s="288" t="str">
        <f>'[8]Table 11 CWTs exp'!F8</f>
        <v>Spring</v>
      </c>
      <c r="G7" s="289" t="e">
        <f>IF('[8]Table 11 CWTs exp'!G8/'[8]Table 11 CWTs exp'!$AA8&gt;0.0005,'[8]Table 11 CWTs exp'!G8/'[8]Table 11 CWTs exp'!$AA8,IF('[8]Table 11 CWTs exp'!G8/'[8]Table 11 CWTs exp'!$AA8&gt;0,"-"," "))</f>
        <v>#DIV/0!</v>
      </c>
      <c r="H7" s="290" t="e">
        <f>IF('[8]Table 11 CWTs exp'!H8/'[8]Table 11 CWTs exp'!$AA8&gt;0.0005,'[8]Table 11 CWTs exp'!H8/'[8]Table 11 CWTs exp'!$AA8,IF('[8]Table 11 CWTs exp'!H8/'[8]Table 11 CWTs exp'!$AA8&gt;0,"-"," "))</f>
        <v>#DIV/0!</v>
      </c>
      <c r="I7" s="291" t="e">
        <f>IF('[8]Table 11 CWTs exp'!I8/'[8]Table 11 CWTs exp'!$AA8&gt;0.0005,'[8]Table 11 CWTs exp'!I8/'[8]Table 11 CWTs exp'!$AA8,IF('[8]Table 11 CWTs exp'!I8/'[8]Table 11 CWTs exp'!$AA8&gt;0,"-"," "))</f>
        <v>#DIV/0!</v>
      </c>
      <c r="J7" s="292" t="e">
        <f>IF('[8]Table 11 CWTs exp'!J8/'[8]Table 11 CWTs exp'!$AA8&gt;0.0005,'[8]Table 11 CWTs exp'!J8/'[8]Table 11 CWTs exp'!$AA8,IF('[8]Table 11 CWTs exp'!J8/'[8]Table 11 CWTs exp'!$AA8&gt;0,"-"," "))</f>
        <v>#DIV/0!</v>
      </c>
      <c r="K7" s="291" t="e">
        <f>IF('[8]Table 11 CWTs exp'!K8/'[8]Table 11 CWTs exp'!$AA8&gt;0.0005,'[8]Table 11 CWTs exp'!K8/'[8]Table 11 CWTs exp'!$AA8,IF('[8]Table 11 CWTs exp'!K8/'[8]Table 11 CWTs exp'!$AA8&gt;0,"-"," "))</f>
        <v>#DIV/0!</v>
      </c>
      <c r="L7" s="291" t="e">
        <f>IF('[8]Table 11 CWTs exp'!L8/'[8]Table 11 CWTs exp'!$AA8&gt;0.0005,'[8]Table 11 CWTs exp'!L8/'[8]Table 11 CWTs exp'!$AA8,IF('[8]Table 11 CWTs exp'!L8/'[8]Table 11 CWTs exp'!$AA8&gt;0,"-"," "))</f>
        <v>#DIV/0!</v>
      </c>
      <c r="M7" s="291" t="e">
        <f>IF('[8]Table 11 CWTs exp'!M8/'[8]Table 11 CWTs exp'!$AA8&gt;0.0005,'[8]Table 11 CWTs exp'!M8/'[8]Table 11 CWTs exp'!$AA8,IF('[8]Table 11 CWTs exp'!M8/'[8]Table 11 CWTs exp'!$AA8&gt;0,"-"," "))</f>
        <v>#DIV/0!</v>
      </c>
      <c r="N7" s="291" t="e">
        <f>IF('[8]Table 11 CWTs exp'!N8/'[8]Table 11 CWTs exp'!$AA8&gt;0.0005,'[8]Table 11 CWTs exp'!N8/'[8]Table 11 CWTs exp'!$AA8,IF('[8]Table 11 CWTs exp'!N8/'[8]Table 11 CWTs exp'!$AA8&gt;0,"-"," "))</f>
        <v>#DIV/0!</v>
      </c>
      <c r="O7" s="291" t="e">
        <f>IF('[8]Table 11 CWTs exp'!O8/'[8]Table 11 CWTs exp'!$AA8&gt;0.0005,'[8]Table 11 CWTs exp'!O8/'[8]Table 11 CWTs exp'!$AA8,IF('[8]Table 11 CWTs exp'!O8/'[8]Table 11 CWTs exp'!$AA8&gt;0,"-"," "))</f>
        <v>#DIV/0!</v>
      </c>
      <c r="P7" s="291" t="e">
        <f>IF('[8]Table 11 CWTs exp'!P8/'[8]Table 11 CWTs exp'!$AA8&gt;0.0005,'[8]Table 11 CWTs exp'!P8/'[8]Table 11 CWTs exp'!$AA8,IF('[8]Table 11 CWTs exp'!P8/'[8]Table 11 CWTs exp'!$AA8&gt;0,"-"," "))</f>
        <v>#DIV/0!</v>
      </c>
      <c r="Q7" s="290" t="e">
        <f>IF('[8]Table 11 CWTs exp'!Q8/'[8]Table 11 CWTs exp'!$AA8&gt;0.0005,'[8]Table 11 CWTs exp'!Q8/'[8]Table 11 CWTs exp'!$AA8,IF('[8]Table 11 CWTs exp'!Q8/'[8]Table 11 CWTs exp'!$AA8&gt;0,"-"," "))</f>
        <v>#DIV/0!</v>
      </c>
      <c r="R7" s="292" t="e">
        <f>IF('[8]Table 11 CWTs exp'!R8/'[8]Table 11 CWTs exp'!$AA8&gt;0.0005,'[8]Table 11 CWTs exp'!R8/'[8]Table 11 CWTs exp'!$AA8,IF('[8]Table 11 CWTs exp'!R8/'[8]Table 11 CWTs exp'!$AA8&gt;0,"-"," "))</f>
        <v>#DIV/0!</v>
      </c>
      <c r="S7" s="291" t="e">
        <f>IF('[8]Table 11 CWTs exp'!S8/'[8]Table 11 CWTs exp'!$AA8&gt;0.0005,'[8]Table 11 CWTs exp'!S8/'[8]Table 11 CWTs exp'!$AA8,IF('[8]Table 11 CWTs exp'!S8/'[8]Table 11 CWTs exp'!$AA8&gt;0,"-"," "))</f>
        <v>#DIV/0!</v>
      </c>
      <c r="T7" s="291" t="e">
        <f>IF('[8]Table 11 CWTs exp'!T8/'[8]Table 11 CWTs exp'!$AA8&gt;0.0005,'[8]Table 11 CWTs exp'!T8/'[8]Table 11 CWTs exp'!$AA8,IF('[8]Table 11 CWTs exp'!T8/'[8]Table 11 CWTs exp'!$AA8&gt;0,"-"," "))</f>
        <v>#DIV/0!</v>
      </c>
      <c r="U7" s="291" t="e">
        <f>IF('[8]Table 11 CWTs exp'!U8/'[8]Table 11 CWTs exp'!$AA8&gt;0.0005,'[8]Table 11 CWTs exp'!U8/'[8]Table 11 CWTs exp'!$AA8,IF('[8]Table 11 CWTs exp'!U8/'[8]Table 11 CWTs exp'!$AA8&gt;0,"-"," "))</f>
        <v>#DIV/0!</v>
      </c>
      <c r="V7" s="290" t="e">
        <f>IF('[8]Table 11 CWTs exp'!V8/'[8]Table 11 CWTs exp'!$AA8&gt;0.0005,'[8]Table 11 CWTs exp'!V8/'[8]Table 11 CWTs exp'!$AA8,IF('[8]Table 11 CWTs exp'!V8/'[8]Table 11 CWTs exp'!$AA8&gt;0,"-"," "))</f>
        <v>#DIV/0!</v>
      </c>
      <c r="W7" s="292" t="e">
        <f>IF('[8]Table 11 CWTs exp'!W8/'[8]Table 11 CWTs exp'!$AA8&gt;0.0005,'[8]Table 11 CWTs exp'!W8/'[8]Table 11 CWTs exp'!$AA8,IF('[8]Table 11 CWTs exp'!W8/'[8]Table 11 CWTs exp'!$AA8&gt;0,"-"," "))</f>
        <v>#DIV/0!</v>
      </c>
      <c r="X7" s="293" t="e">
        <f>IF('[8]Table 11 CWTs exp'!X8/'[8]Table 11 CWTs exp'!$AA8&gt;0.0005,'[8]Table 11 CWTs exp'!X8/'[8]Table 11 CWTs exp'!$AA8,IF('[8]Table 11 CWTs exp'!X8/'[8]Table 11 CWTs exp'!$AA8&gt;0,"-"," "))</f>
        <v>#DIV/0!</v>
      </c>
      <c r="Y7" s="294" t="e">
        <f t="shared" ref="Y7:Y39" si="0">SUM(G7:X7)</f>
        <v>#DIV/0!</v>
      </c>
      <c r="Z7" s="295" t="e">
        <f t="shared" ref="Z7:Z12" si="1">1-Y7</f>
        <v>#DIV/0!</v>
      </c>
      <c r="AA7" s="256">
        <f>'[8]Table 11 CWTs exp'!AA8</f>
        <v>0</v>
      </c>
      <c r="AC7" s="592">
        <f>'[8]Table 11 CWTs exp'!AC8</f>
        <v>0</v>
      </c>
      <c r="AD7" s="592" t="e">
        <f t="shared" ref="AD7:AD53" si="2">Y7-AC7</f>
        <v>#DIV/0!</v>
      </c>
      <c r="AE7" s="593" t="str">
        <f t="shared" ref="AE7:AE38" si="3">A7</f>
        <v>FRFH521</v>
      </c>
      <c r="AF7" s="442"/>
      <c r="AG7" s="442"/>
      <c r="AH7" s="442"/>
    </row>
    <row r="8" spans="1:34" ht="14.5" customHeight="1" x14ac:dyDescent="0.25">
      <c r="A8" s="54" t="str">
        <f>'[8]Table 11 CWTs exp'!A9</f>
        <v>CNFH503</v>
      </c>
      <c r="B8" s="75" t="str">
        <f>'[8]Table 11 CWTs exp'!B9</f>
        <v>CNFH</v>
      </c>
      <c r="C8" s="75">
        <f>'[8]Table 11 CWTs exp'!C9</f>
        <v>50</v>
      </c>
      <c r="D8" s="75">
        <f>'[8]Table 11 CWTs exp'!D9</f>
        <v>3</v>
      </c>
      <c r="E8" s="3" t="str">
        <f>'[8]Table 11 CWTs exp'!E9</f>
        <v>Coleman National Fish Hatchery</v>
      </c>
      <c r="F8" s="37" t="str">
        <f>'[8]Table 11 CWTs exp'!F9</f>
        <v>Fall</v>
      </c>
      <c r="G8" s="287" t="str">
        <f>IF('[8]Table 11 CWTs exp'!G9/'[8]Table 11 CWTs exp'!$AA9&gt;0.0005,'[8]Table 11 CWTs exp'!G9/'[8]Table 11 CWTs exp'!$AA9,IF('[8]Table 11 CWTs exp'!G9/'[8]Table 11 CWTs exp'!$AA9&gt;0,"-"," "))</f>
        <v xml:space="preserve"> </v>
      </c>
      <c r="H8" s="145" t="str">
        <f>IF('[8]Table 11 CWTs exp'!H9/'[8]Table 11 CWTs exp'!$AA9&gt;0.0005,'[8]Table 11 CWTs exp'!H9/'[8]Table 11 CWTs exp'!$AA9,IF('[8]Table 11 CWTs exp'!H9/'[8]Table 11 CWTs exp'!$AA9&gt;0,"-"," "))</f>
        <v xml:space="preserve"> </v>
      </c>
      <c r="I8" s="144">
        <f>IF('[8]Table 11 CWTs exp'!I9/'[8]Table 11 CWTs exp'!$AA9&gt;0.0005,'[8]Table 11 CWTs exp'!I9/'[8]Table 11 CWTs exp'!$AA9,IF('[8]Table 11 CWTs exp'!I9/'[8]Table 11 CWTs exp'!$AA9&gt;0,"-"," "))</f>
        <v>0.6041719664207581</v>
      </c>
      <c r="J8" s="146">
        <f>IF('[8]Table 11 CWTs exp'!J9/'[8]Table 11 CWTs exp'!$AA9&gt;0.0005,'[8]Table 11 CWTs exp'!J9/'[8]Table 11 CWTs exp'!$AA9,IF('[8]Table 11 CWTs exp'!J9/'[8]Table 11 CWTs exp'!$AA9&gt;0,"-"," "))</f>
        <v>3.0717374713813278E-2</v>
      </c>
      <c r="K8" s="144" t="str">
        <f>IF('[8]Table 11 CWTs exp'!K9/'[8]Table 11 CWTs exp'!$AA9&gt;0.0005,'[8]Table 11 CWTs exp'!K9/'[8]Table 11 CWTs exp'!$AA9,IF('[8]Table 11 CWTs exp'!K9/'[8]Table 11 CWTs exp'!$AA9&gt;0,"-"," "))</f>
        <v xml:space="preserve"> </v>
      </c>
      <c r="L8" s="144" t="str">
        <f>IF('[8]Table 11 CWTs exp'!L9/'[8]Table 11 CWTs exp'!$AA9&gt;0.0005,'[8]Table 11 CWTs exp'!L9/'[8]Table 11 CWTs exp'!$AA9,IF('[8]Table 11 CWTs exp'!L9/'[8]Table 11 CWTs exp'!$AA9&gt;0,"-"," "))</f>
        <v>-</v>
      </c>
      <c r="M8" s="144" t="str">
        <f>IF('[8]Table 11 CWTs exp'!M9/'[8]Table 11 CWTs exp'!$AA9&gt;0.0005,'[8]Table 11 CWTs exp'!M9/'[8]Table 11 CWTs exp'!$AA9,IF('[8]Table 11 CWTs exp'!M9/'[8]Table 11 CWTs exp'!$AA9&gt;0,"-"," "))</f>
        <v xml:space="preserve"> </v>
      </c>
      <c r="N8" s="144">
        <f>IF('[8]Table 11 CWTs exp'!N9/'[8]Table 11 CWTs exp'!$AA9&gt;0.0005,'[8]Table 11 CWTs exp'!N9/'[8]Table 11 CWTs exp'!$AA9,IF('[8]Table 11 CWTs exp'!N9/'[8]Table 11 CWTs exp'!$AA9&gt;0,"-"," "))</f>
        <v>5.5965403205291272E-3</v>
      </c>
      <c r="O8" s="144">
        <f>IF('[8]Table 11 CWTs exp'!O9/'[8]Table 11 CWTs exp'!$AA9&gt;0.0005,'[8]Table 11 CWTs exp'!O9/'[8]Table 11 CWTs exp'!$AA9,IF('[8]Table 11 CWTs exp'!O9/'[8]Table 11 CWTs exp'!$AA9&gt;0,"-"," "))</f>
        <v>9.4696006105316713E-2</v>
      </c>
      <c r="P8" s="144">
        <f>IF('[8]Table 11 CWTs exp'!P9/'[8]Table 11 CWTs exp'!$AA9&gt;0.0005,'[8]Table 11 CWTs exp'!P9/'[8]Table 11 CWTs exp'!$AA9,IF('[8]Table 11 CWTs exp'!P9/'[8]Table 11 CWTs exp'!$AA9&gt;0,"-"," "))</f>
        <v>6.6776901551767994E-3</v>
      </c>
      <c r="Q8" s="145">
        <f>IF('[8]Table 11 CWTs exp'!Q9/'[8]Table 11 CWTs exp'!$AA9&gt;0.0005,'[8]Table 11 CWTs exp'!Q9/'[8]Table 11 CWTs exp'!$AA9,IF('[8]Table 11 CWTs exp'!Q9/'[8]Table 11 CWTs exp'!$AA9&gt;0,"-"," "))</f>
        <v>5.0877639277537522E-4</v>
      </c>
      <c r="R8" s="146" t="str">
        <f>IF('[8]Table 11 CWTs exp'!R9/'[8]Table 11 CWTs exp'!$AA9&gt;0.0005,'[8]Table 11 CWTs exp'!R9/'[8]Table 11 CWTs exp'!$AA9,IF('[8]Table 11 CWTs exp'!R9/'[8]Table 11 CWTs exp'!$AA9&gt;0,"-"," "))</f>
        <v>-</v>
      </c>
      <c r="S8" s="144" t="str">
        <f>IF('[8]Table 11 CWTs exp'!S9/'[8]Table 11 CWTs exp'!$AA9&gt;0.0005,'[8]Table 11 CWTs exp'!S9/'[8]Table 11 CWTs exp'!$AA9,IF('[8]Table 11 CWTs exp'!S9/'[8]Table 11 CWTs exp'!$AA9&gt;0,"-"," "))</f>
        <v xml:space="preserve"> </v>
      </c>
      <c r="T8" s="144">
        <f>IF('[8]Table 11 CWTs exp'!T9/'[8]Table 11 CWTs exp'!$AA9&gt;0.0005,'[8]Table 11 CWTs exp'!T9/'[8]Table 11 CWTs exp'!$AA9,IF('[8]Table 11 CWTs exp'!T9/'[8]Table 11 CWTs exp'!$AA9&gt;0,"-"," "))</f>
        <v>7.6316458916306283E-4</v>
      </c>
      <c r="U8" s="144" t="str">
        <f>IF('[8]Table 11 CWTs exp'!U9/'[8]Table 11 CWTs exp'!$AA9&gt;0.0005,'[8]Table 11 CWTs exp'!U9/'[8]Table 11 CWTs exp'!$AA9,IF('[8]Table 11 CWTs exp'!U9/'[8]Table 11 CWTs exp'!$AA9&gt;0,"-"," "))</f>
        <v>-</v>
      </c>
      <c r="V8" s="145" t="str">
        <f>IF('[8]Table 11 CWTs exp'!V9/'[8]Table 11 CWTs exp'!$AA9&gt;0.0005,'[8]Table 11 CWTs exp'!V9/'[8]Table 11 CWTs exp'!$AA9,IF('[8]Table 11 CWTs exp'!V9/'[8]Table 11 CWTs exp'!$AA9&gt;0,"-"," "))</f>
        <v xml:space="preserve"> </v>
      </c>
      <c r="W8" s="146">
        <f>IF('[8]Table 11 CWTs exp'!W9/'[8]Table 11 CWTs exp'!$AA9&gt;0.0005,'[8]Table 11 CWTs exp'!W9/'[8]Table 11 CWTs exp'!$AA9,IF('[8]Table 11 CWTs exp'!W9/'[8]Table 11 CWTs exp'!$AA9&gt;0,"-"," "))</f>
        <v>1.2083439328415162E-3</v>
      </c>
      <c r="X8" s="206" t="str">
        <f>IF('[8]Table 11 CWTs exp'!X9/'[8]Table 11 CWTs exp'!$AA9&gt;0.0005,'[8]Table 11 CWTs exp'!X9/'[8]Table 11 CWTs exp'!$AA9,IF('[8]Table 11 CWTs exp'!X9/'[8]Table 11 CWTs exp'!$AA9&gt;0,"-"," "))</f>
        <v xml:space="preserve"> </v>
      </c>
      <c r="Y8" s="147">
        <f t="shared" si="0"/>
        <v>0.74433986263037399</v>
      </c>
      <c r="Z8" s="148">
        <f t="shared" si="1"/>
        <v>0.25566013736962601</v>
      </c>
      <c r="AA8" s="38">
        <f>'[8]Table 11 CWTs exp'!AA9</f>
        <v>15724</v>
      </c>
      <c r="AC8" s="592">
        <f>'[8]Table 11 CWTs exp'!AC9</f>
        <v>0.745</v>
      </c>
      <c r="AD8" s="592">
        <f t="shared" si="2"/>
        <v>-6.6013736962600156E-4</v>
      </c>
      <c r="AE8" s="593" t="str">
        <f t="shared" si="3"/>
        <v>CNFH503</v>
      </c>
      <c r="AF8" s="442"/>
      <c r="AG8" s="442"/>
      <c r="AH8" s="442"/>
    </row>
    <row r="9" spans="1:34" ht="14.5" customHeight="1" x14ac:dyDescent="0.25">
      <c r="A9" s="54" t="str">
        <f>'[8]Table 11 CWTs exp'!A10</f>
        <v>FRFH503</v>
      </c>
      <c r="B9" s="75" t="str">
        <f>'[8]Table 11 CWTs exp'!B10</f>
        <v>FRFH</v>
      </c>
      <c r="C9" s="75">
        <f>'[8]Table 11 CWTs exp'!C10</f>
        <v>50</v>
      </c>
      <c r="D9" s="75">
        <f>'[8]Table 11 CWTs exp'!D10</f>
        <v>3</v>
      </c>
      <c r="E9" s="3" t="str">
        <f>'[8]Table 11 CWTs exp'!E10</f>
        <v>Feather River Hatchery</v>
      </c>
      <c r="F9" s="37" t="str">
        <f>'[8]Table 11 CWTs exp'!F10</f>
        <v>Fall</v>
      </c>
      <c r="G9" s="287" t="str">
        <f>IF('[8]Table 11 CWTs exp'!G10/'[8]Table 11 CWTs exp'!$AA10&gt;0.0005,'[8]Table 11 CWTs exp'!G10/'[8]Table 11 CWTs exp'!$AA10,IF('[8]Table 11 CWTs exp'!G10/'[8]Table 11 CWTs exp'!$AA10&gt;0,"-"," "))</f>
        <v xml:space="preserve"> </v>
      </c>
      <c r="H9" s="145" t="str">
        <f>IF('[8]Table 11 CWTs exp'!H10/'[8]Table 11 CWTs exp'!$AA10&gt;0.0005,'[8]Table 11 CWTs exp'!H10/'[8]Table 11 CWTs exp'!$AA10,IF('[8]Table 11 CWTs exp'!H10/'[8]Table 11 CWTs exp'!$AA10&gt;0,"-"," "))</f>
        <v xml:space="preserve"> </v>
      </c>
      <c r="I9" s="144">
        <f>IF('[8]Table 11 CWTs exp'!I10/'[8]Table 11 CWTs exp'!$AA10&gt;0.0005,'[8]Table 11 CWTs exp'!I10/'[8]Table 11 CWTs exp'!$AA10,IF('[8]Table 11 CWTs exp'!I10/'[8]Table 11 CWTs exp'!$AA10&gt;0,"-"," "))</f>
        <v>9.6079938508839349E-4</v>
      </c>
      <c r="J9" s="146">
        <f>IF('[8]Table 11 CWTs exp'!J10/'[8]Table 11 CWTs exp'!$AA10&gt;0.0005,'[8]Table 11 CWTs exp'!J10/'[8]Table 11 CWTs exp'!$AA10,IF('[8]Table 11 CWTs exp'!J10/'[8]Table 11 CWTs exp'!$AA10&gt;0,"-"," "))</f>
        <v>2.2194465795541889E-2</v>
      </c>
      <c r="K9" s="144">
        <f>IF('[8]Table 11 CWTs exp'!K10/'[8]Table 11 CWTs exp'!$AA10&gt;0.0005,'[8]Table 11 CWTs exp'!K10/'[8]Table 11 CWTs exp'!$AA10,IF('[8]Table 11 CWTs exp'!K10/'[8]Table 11 CWTs exp'!$AA10&gt;0,"-"," "))</f>
        <v>9.9923136049192923E-2</v>
      </c>
      <c r="L9" s="144">
        <f>IF('[8]Table 11 CWTs exp'!L10/'[8]Table 11 CWTs exp'!$AA10&gt;0.0005,'[8]Table 11 CWTs exp'!L10/'[8]Table 11 CWTs exp'!$AA10,IF('[8]Table 11 CWTs exp'!L10/'[8]Table 11 CWTs exp'!$AA10&gt;0,"-"," "))</f>
        <v>9.5695618754803993E-2</v>
      </c>
      <c r="M9" s="144">
        <f>IF('[8]Table 11 CWTs exp'!M10/'[8]Table 11 CWTs exp'!$AA10&gt;0.0005,'[8]Table 11 CWTs exp'!M10/'[8]Table 11 CWTs exp'!$AA10,IF('[8]Table 11 CWTs exp'!M10/'[8]Table 11 CWTs exp'!$AA10&gt;0,"-"," "))</f>
        <v>8.6471944657955417E-4</v>
      </c>
      <c r="N9" s="144">
        <f>IF('[8]Table 11 CWTs exp'!N10/'[8]Table 11 CWTs exp'!$AA10&gt;0.0005,'[8]Table 11 CWTs exp'!N10/'[8]Table 11 CWTs exp'!$AA10,IF('[8]Table 11 CWTs exp'!N10/'[8]Table 11 CWTs exp'!$AA10&gt;0,"-"," "))</f>
        <v>4.1458493466564182E-2</v>
      </c>
      <c r="O9" s="144">
        <f>IF('[8]Table 11 CWTs exp'!O10/'[8]Table 11 CWTs exp'!$AA10&gt;0.0005,'[8]Table 11 CWTs exp'!O10/'[8]Table 11 CWTs exp'!$AA10,IF('[8]Table 11 CWTs exp'!O10/'[8]Table 11 CWTs exp'!$AA10&gt;0,"-"," "))</f>
        <v>0.57854534973097616</v>
      </c>
      <c r="P9" s="144">
        <f>IF('[8]Table 11 CWTs exp'!P10/'[8]Table 11 CWTs exp'!$AA10&gt;0.0005,'[8]Table 11 CWTs exp'!P10/'[8]Table 11 CWTs exp'!$AA10,IF('[8]Table 11 CWTs exp'!P10/'[8]Table 11 CWTs exp'!$AA10&gt;0,"-"," "))</f>
        <v>3.8143735588009223E-2</v>
      </c>
      <c r="Q9" s="145">
        <f>IF('[8]Table 11 CWTs exp'!Q10/'[8]Table 11 CWTs exp'!$AA10&gt;0.0005,'[8]Table 11 CWTs exp'!Q10/'[8]Table 11 CWTs exp'!$AA10,IF('[8]Table 11 CWTs exp'!Q10/'[8]Table 11 CWTs exp'!$AA10&gt;0,"-"," "))</f>
        <v>2.4500384319754037E-3</v>
      </c>
      <c r="R9" s="146">
        <f>IF('[8]Table 11 CWTs exp'!R10/'[8]Table 11 CWTs exp'!$AA10&gt;0.0005,'[8]Table 11 CWTs exp'!R10/'[8]Table 11 CWTs exp'!$AA10,IF('[8]Table 11 CWTs exp'!R10/'[8]Table 11 CWTs exp'!$AA10&gt;0,"-"," "))</f>
        <v>8.2628747117601837E-3</v>
      </c>
      <c r="S9" s="144" t="str">
        <f>IF('[8]Table 11 CWTs exp'!S10/'[8]Table 11 CWTs exp'!$AA10&gt;0.0005,'[8]Table 11 CWTs exp'!S10/'[8]Table 11 CWTs exp'!$AA10,IF('[8]Table 11 CWTs exp'!S10/'[8]Table 11 CWTs exp'!$AA10&gt;0,"-"," "))</f>
        <v>-</v>
      </c>
      <c r="T9" s="144">
        <f>IF('[8]Table 11 CWTs exp'!T10/'[8]Table 11 CWTs exp'!$AA10&gt;0.0005,'[8]Table 11 CWTs exp'!T10/'[8]Table 11 CWTs exp'!$AA10,IF('[8]Table 11 CWTs exp'!T10/'[8]Table 11 CWTs exp'!$AA10&gt;0,"-"," "))</f>
        <v>6.6775557263643349E-3</v>
      </c>
      <c r="U9" s="144">
        <f>IF('[8]Table 11 CWTs exp'!U10/'[8]Table 11 CWTs exp'!$AA10&gt;0.0005,'[8]Table 11 CWTs exp'!U10/'[8]Table 11 CWTs exp'!$AA10,IF('[8]Table 11 CWTs exp'!U10/'[8]Table 11 CWTs exp'!$AA10&gt;0,"-"," "))</f>
        <v>5.2843966179861646E-4</v>
      </c>
      <c r="V9" s="145" t="str">
        <f>IF('[8]Table 11 CWTs exp'!V10/'[8]Table 11 CWTs exp'!$AA10&gt;0.0005,'[8]Table 11 CWTs exp'!V10/'[8]Table 11 CWTs exp'!$AA10,IF('[8]Table 11 CWTs exp'!V10/'[8]Table 11 CWTs exp'!$AA10&gt;0,"-"," "))</f>
        <v xml:space="preserve"> </v>
      </c>
      <c r="W9" s="146">
        <f>IF('[8]Table 11 CWTs exp'!W10/'[8]Table 11 CWTs exp'!$AA10&gt;0.0005,'[8]Table 11 CWTs exp'!W10/'[8]Table 11 CWTs exp'!$AA10,IF('[8]Table 11 CWTs exp'!W10/'[8]Table 11 CWTs exp'!$AA10&gt;0,"-"," "))</f>
        <v>7.3501152959262106E-3</v>
      </c>
      <c r="X9" s="206" t="str">
        <f>IF('[8]Table 11 CWTs exp'!X10/'[8]Table 11 CWTs exp'!$AA10&gt;0.0005,'[8]Table 11 CWTs exp'!X10/'[8]Table 11 CWTs exp'!$AA10,IF('[8]Table 11 CWTs exp'!X10/'[8]Table 11 CWTs exp'!$AA10&gt;0,"-"," "))</f>
        <v xml:space="preserve"> </v>
      </c>
      <c r="Y9" s="147">
        <f t="shared" si="0"/>
        <v>0.90305534204458104</v>
      </c>
      <c r="Z9" s="148">
        <f t="shared" si="1"/>
        <v>9.6944657955418956E-2</v>
      </c>
      <c r="AA9" s="38">
        <f>'[8]Table 11 CWTs exp'!AA10</f>
        <v>20816</v>
      </c>
      <c r="AC9" s="592">
        <f>'[8]Table 11 CWTs exp'!AC10</f>
        <v>0.90300000000000002</v>
      </c>
      <c r="AD9" s="592">
        <f t="shared" si="2"/>
        <v>5.5342044581019323E-5</v>
      </c>
      <c r="AE9" s="593" t="str">
        <f t="shared" si="3"/>
        <v>FRFH503</v>
      </c>
      <c r="AF9" s="442"/>
      <c r="AG9" s="442"/>
      <c r="AH9" s="442"/>
    </row>
    <row r="10" spans="1:34" ht="14.5" customHeight="1" x14ac:dyDescent="0.25">
      <c r="A10" s="54" t="str">
        <f>'[8]Table 11 CWTs exp'!A11</f>
        <v>NBFH503</v>
      </c>
      <c r="B10" s="75" t="str">
        <f>'[8]Table 11 CWTs exp'!B11</f>
        <v>NBFH</v>
      </c>
      <c r="C10" s="75">
        <f>'[8]Table 11 CWTs exp'!C11</f>
        <v>50</v>
      </c>
      <c r="D10" s="75">
        <f>'[8]Table 11 CWTs exp'!D11</f>
        <v>3</v>
      </c>
      <c r="E10" s="3" t="str">
        <f>'[8]Table 11 CWTs exp'!E11</f>
        <v>Nimbus Fish Hatchery</v>
      </c>
      <c r="F10" s="37" t="str">
        <f>'[8]Table 11 CWTs exp'!F11</f>
        <v>Fall</v>
      </c>
      <c r="G10" s="287" t="str">
        <f>IF('[8]Table 11 CWTs exp'!G11/'[8]Table 11 CWTs exp'!$AA11&gt;0.0005,'[8]Table 11 CWTs exp'!G11/'[8]Table 11 CWTs exp'!$AA11,IF('[8]Table 11 CWTs exp'!G11/'[8]Table 11 CWTs exp'!$AA11&gt;0,"-"," "))</f>
        <v xml:space="preserve"> </v>
      </c>
      <c r="H10" s="145" t="str">
        <f>IF('[8]Table 11 CWTs exp'!H11/'[8]Table 11 CWTs exp'!$AA11&gt;0.0005,'[8]Table 11 CWTs exp'!H11/'[8]Table 11 CWTs exp'!$AA11,IF('[8]Table 11 CWTs exp'!H11/'[8]Table 11 CWTs exp'!$AA11&gt;0,"-"," "))</f>
        <v>-</v>
      </c>
      <c r="I10" s="144" t="str">
        <f>IF('[8]Table 11 CWTs exp'!I11/'[8]Table 11 CWTs exp'!$AA11&gt;0.0005,'[8]Table 11 CWTs exp'!I11/'[8]Table 11 CWTs exp'!$AA11,IF('[8]Table 11 CWTs exp'!I11/'[8]Table 11 CWTs exp'!$AA11&gt;0,"-"," "))</f>
        <v xml:space="preserve"> </v>
      </c>
      <c r="J10" s="146">
        <f>IF('[8]Table 11 CWTs exp'!J11/'[8]Table 11 CWTs exp'!$AA11&gt;0.0005,'[8]Table 11 CWTs exp'!J11/'[8]Table 11 CWTs exp'!$AA11,IF('[8]Table 11 CWTs exp'!J11/'[8]Table 11 CWTs exp'!$AA11&gt;0,"-"," "))</f>
        <v>2.2093260028507433E-2</v>
      </c>
      <c r="K10" s="144" t="str">
        <f>IF('[8]Table 11 CWTs exp'!K11/'[8]Table 11 CWTs exp'!$AA11&gt;0.0005,'[8]Table 11 CWTs exp'!K11/'[8]Table 11 CWTs exp'!$AA11,IF('[8]Table 11 CWTs exp'!K11/'[8]Table 11 CWTs exp'!$AA11&gt;0,"-"," "))</f>
        <v xml:space="preserve"> </v>
      </c>
      <c r="L10" s="144" t="str">
        <f>IF('[8]Table 11 CWTs exp'!L11/'[8]Table 11 CWTs exp'!$AA11&gt;0.0005,'[8]Table 11 CWTs exp'!L11/'[8]Table 11 CWTs exp'!$AA11,IF('[8]Table 11 CWTs exp'!L11/'[8]Table 11 CWTs exp'!$AA11&gt;0,"-"," "))</f>
        <v xml:space="preserve"> </v>
      </c>
      <c r="M10" s="144" t="str">
        <f>IF('[8]Table 11 CWTs exp'!M11/'[8]Table 11 CWTs exp'!$AA11&gt;0.0005,'[8]Table 11 CWTs exp'!M11/'[8]Table 11 CWTs exp'!$AA11,IF('[8]Table 11 CWTs exp'!M11/'[8]Table 11 CWTs exp'!$AA11&gt;0,"-"," "))</f>
        <v xml:space="preserve"> </v>
      </c>
      <c r="N10" s="144" t="str">
        <f>IF('[8]Table 11 CWTs exp'!N11/'[8]Table 11 CWTs exp'!$AA11&gt;0.0005,'[8]Table 11 CWTs exp'!N11/'[8]Table 11 CWTs exp'!$AA11,IF('[8]Table 11 CWTs exp'!N11/'[8]Table 11 CWTs exp'!$AA11&gt;0,"-"," "))</f>
        <v>-</v>
      </c>
      <c r="O10" s="144">
        <f>IF('[8]Table 11 CWTs exp'!O11/'[8]Table 11 CWTs exp'!$AA11&gt;0.0005,'[8]Table 11 CWTs exp'!O11/'[8]Table 11 CWTs exp'!$AA11,IF('[8]Table 11 CWTs exp'!O11/'[8]Table 11 CWTs exp'!$AA11&gt;0,"-"," "))</f>
        <v>2.5554876807167583E-2</v>
      </c>
      <c r="P10" s="144">
        <f>IF('[8]Table 11 CWTs exp'!P11/'[8]Table 11 CWTs exp'!$AA11&gt;0.0005,'[8]Table 11 CWTs exp'!P11/'[8]Table 11 CWTs exp'!$AA11,IF('[8]Table 11 CWTs exp'!P11/'[8]Table 11 CWTs exp'!$AA11&gt;0,"-"," "))</f>
        <v>2.5453064548971696E-3</v>
      </c>
      <c r="Q10" s="145">
        <f>IF('[8]Table 11 CWTs exp'!Q11/'[8]Table 11 CWTs exp'!$AA11&gt;0.0005,'[8]Table 11 CWTs exp'!Q11/'[8]Table 11 CWTs exp'!$AA11,IF('[8]Table 11 CWTs exp'!Q11/'[8]Table 11 CWTs exp'!$AA11&gt;0,"-"," "))</f>
        <v>0.23661168804724089</v>
      </c>
      <c r="R10" s="146">
        <f>IF('[8]Table 11 CWTs exp'!R11/'[8]Table 11 CWTs exp'!$AA11&gt;0.0005,'[8]Table 11 CWTs exp'!R11/'[8]Table 11 CWTs exp'!$AA11,IF('[8]Table 11 CWTs exp'!R11/'[8]Table 11 CWTs exp'!$AA11&gt;0,"-"," "))</f>
        <v>0.24353492160456119</v>
      </c>
      <c r="S10" s="144">
        <f>IF('[8]Table 11 CWTs exp'!S11/'[8]Table 11 CWTs exp'!$AA11&gt;0.0005,'[8]Table 11 CWTs exp'!S11/'[8]Table 11 CWTs exp'!$AA11,IF('[8]Table 11 CWTs exp'!S11/'[8]Table 11 CWTs exp'!$AA11&gt;0,"-"," "))</f>
        <v>9.1631032376298109E-4</v>
      </c>
      <c r="T10" s="144">
        <f>IF('[8]Table 11 CWTs exp'!T11/'[8]Table 11 CWTs exp'!$AA11&gt;0.0005,'[8]Table 11 CWTs exp'!T11/'[8]Table 11 CWTs exp'!$AA11,IF('[8]Table 11 CWTs exp'!T11/'[8]Table 11 CWTs exp'!$AA11&gt;0,"-"," "))</f>
        <v>0.24210954998981876</v>
      </c>
      <c r="U10" s="144">
        <f>IF('[8]Table 11 CWTs exp'!U11/'[8]Table 11 CWTs exp'!$AA11&gt;0.0005,'[8]Table 11 CWTs exp'!U11/'[8]Table 11 CWTs exp'!$AA11,IF('[8]Table 11 CWTs exp'!U11/'[8]Table 11 CWTs exp'!$AA11&gt;0,"-"," "))</f>
        <v>1.8631643249847282E-2</v>
      </c>
      <c r="V10" s="145" t="str">
        <f>IF('[8]Table 11 CWTs exp'!V11/'[8]Table 11 CWTs exp'!$AA11&gt;0.0005,'[8]Table 11 CWTs exp'!V11/'[8]Table 11 CWTs exp'!$AA11,IF('[8]Table 11 CWTs exp'!V11/'[8]Table 11 CWTs exp'!$AA11&gt;0,"-"," "))</f>
        <v xml:space="preserve"> </v>
      </c>
      <c r="W10" s="146">
        <f>IF('[8]Table 11 CWTs exp'!W11/'[8]Table 11 CWTs exp'!$AA11&gt;0.0005,'[8]Table 11 CWTs exp'!W11/'[8]Table 11 CWTs exp'!$AA11,IF('[8]Table 11 CWTs exp'!W11/'[8]Table 11 CWTs exp'!$AA11&gt;0,"-"," "))</f>
        <v>3.4514355528405621E-2</v>
      </c>
      <c r="X10" s="206">
        <f>IF('[8]Table 11 CWTs exp'!X11/'[8]Table 11 CWTs exp'!$AA11&gt;0.0005,'[8]Table 11 CWTs exp'!X11/'[8]Table 11 CWTs exp'!$AA11,IF('[8]Table 11 CWTs exp'!X11/'[8]Table 11 CWTs exp'!$AA11&gt;0,"-"," "))</f>
        <v>5.090612909794339E-4</v>
      </c>
      <c r="Y10" s="147">
        <f t="shared" si="0"/>
        <v>0.82702097332518831</v>
      </c>
      <c r="Z10" s="148">
        <f t="shared" si="1"/>
        <v>0.17297902667481169</v>
      </c>
      <c r="AA10" s="38">
        <f>'[8]Table 11 CWTs exp'!AA11</f>
        <v>9822</v>
      </c>
      <c r="AC10" s="592">
        <f>'[8]Table 11 CWTs exp'!AC11</f>
        <v>0.82799999999999996</v>
      </c>
      <c r="AD10" s="592">
        <f t="shared" si="2"/>
        <v>-9.7902667481164496E-4</v>
      </c>
      <c r="AE10" s="593" t="str">
        <f t="shared" si="3"/>
        <v>NBFH503</v>
      </c>
      <c r="AF10" s="442"/>
      <c r="AG10" s="442"/>
      <c r="AH10" s="442"/>
    </row>
    <row r="11" spans="1:34" ht="14.5" customHeight="1" x14ac:dyDescent="0.25">
      <c r="A11" s="54" t="str">
        <f>'[8]Table 11 CWTs exp'!A12</f>
        <v>MRFI503</v>
      </c>
      <c r="B11" s="75" t="str">
        <f>'[8]Table 11 CWTs exp'!B12</f>
        <v>MRFI</v>
      </c>
      <c r="C11" s="75">
        <f>'[8]Table 11 CWTs exp'!C12</f>
        <v>50</v>
      </c>
      <c r="D11" s="75">
        <f>'[8]Table 11 CWTs exp'!D12</f>
        <v>3</v>
      </c>
      <c r="E11" s="3" t="str">
        <f>'[8]Table 11 CWTs exp'!E12</f>
        <v>Mokelumne River Hatchery</v>
      </c>
      <c r="F11" s="37" t="str">
        <f>'[8]Table 11 CWTs exp'!F12</f>
        <v>Fall</v>
      </c>
      <c r="G11" s="287" t="str">
        <f>IF('[8]Table 11 CWTs exp'!G12/'[8]Table 11 CWTs exp'!$AA12&gt;0.0005,'[8]Table 11 CWTs exp'!G12/'[8]Table 11 CWTs exp'!$AA12,IF('[8]Table 11 CWTs exp'!G12/'[8]Table 11 CWTs exp'!$AA12&gt;0,"-"," "))</f>
        <v xml:space="preserve"> </v>
      </c>
      <c r="H11" s="145" t="str">
        <f>IF('[8]Table 11 CWTs exp'!H12/'[8]Table 11 CWTs exp'!$AA12&gt;0.0005,'[8]Table 11 CWTs exp'!H12/'[8]Table 11 CWTs exp'!$AA12,IF('[8]Table 11 CWTs exp'!H12/'[8]Table 11 CWTs exp'!$AA12&gt;0,"-"," "))</f>
        <v>-</v>
      </c>
      <c r="I11" s="144" t="str">
        <f>IF('[8]Table 11 CWTs exp'!I12/'[8]Table 11 CWTs exp'!$AA12&gt;0.0005,'[8]Table 11 CWTs exp'!I12/'[8]Table 11 CWTs exp'!$AA12,IF('[8]Table 11 CWTs exp'!I12/'[8]Table 11 CWTs exp'!$AA12&gt;0,"-"," "))</f>
        <v xml:space="preserve"> </v>
      </c>
      <c r="J11" s="146">
        <f>IF('[8]Table 11 CWTs exp'!J12/'[8]Table 11 CWTs exp'!$AA12&gt;0.0005,'[8]Table 11 CWTs exp'!J12/'[8]Table 11 CWTs exp'!$AA12,IF('[8]Table 11 CWTs exp'!J12/'[8]Table 11 CWTs exp'!$AA12&gt;0,"-"," "))</f>
        <v>3.1935406121957097E-2</v>
      </c>
      <c r="K11" s="144" t="str">
        <f>IF('[8]Table 11 CWTs exp'!K12/'[8]Table 11 CWTs exp'!$AA12&gt;0.0005,'[8]Table 11 CWTs exp'!K12/'[8]Table 11 CWTs exp'!$AA12,IF('[8]Table 11 CWTs exp'!K12/'[8]Table 11 CWTs exp'!$AA12&gt;0,"-"," "))</f>
        <v xml:space="preserve"> </v>
      </c>
      <c r="L11" s="144" t="str">
        <f>IF('[8]Table 11 CWTs exp'!L12/'[8]Table 11 CWTs exp'!$AA12&gt;0.0005,'[8]Table 11 CWTs exp'!L12/'[8]Table 11 CWTs exp'!$AA12,IF('[8]Table 11 CWTs exp'!L12/'[8]Table 11 CWTs exp'!$AA12&gt;0,"-"," "))</f>
        <v>-</v>
      </c>
      <c r="M11" s="144" t="str">
        <f>IF('[8]Table 11 CWTs exp'!M12/'[8]Table 11 CWTs exp'!$AA12&gt;0.0005,'[8]Table 11 CWTs exp'!M12/'[8]Table 11 CWTs exp'!$AA12,IF('[8]Table 11 CWTs exp'!M12/'[8]Table 11 CWTs exp'!$AA12&gt;0,"-"," "))</f>
        <v xml:space="preserve"> </v>
      </c>
      <c r="N11" s="144">
        <f>IF('[8]Table 11 CWTs exp'!N12/'[8]Table 11 CWTs exp'!$AA12&gt;0.0005,'[8]Table 11 CWTs exp'!N12/'[8]Table 11 CWTs exp'!$AA12,IF('[8]Table 11 CWTs exp'!N12/'[8]Table 11 CWTs exp'!$AA12&gt;0,"-"," "))</f>
        <v>6.0255483248975654E-4</v>
      </c>
      <c r="O11" s="144">
        <f>IF('[8]Table 11 CWTs exp'!O12/'[8]Table 11 CWTs exp'!$AA12&gt;0.0005,'[8]Table 11 CWTs exp'!O12/'[8]Table 11 CWTs exp'!$AA12,IF('[8]Table 11 CWTs exp'!O12/'[8]Table 11 CWTs exp'!$AA12&gt;0,"-"," "))</f>
        <v>3.3984092552422268E-2</v>
      </c>
      <c r="P11" s="144">
        <f>IF('[8]Table 11 CWTs exp'!P12/'[8]Table 11 CWTs exp'!$AA12&gt;0.0005,'[8]Table 11 CWTs exp'!P12/'[8]Table 11 CWTs exp'!$AA12,IF('[8]Table 11 CWTs exp'!P12/'[8]Table 11 CWTs exp'!$AA12&gt;0,"-"," "))</f>
        <v>3.7358399614364907E-3</v>
      </c>
      <c r="Q11" s="145" t="str">
        <f>IF('[8]Table 11 CWTs exp'!Q12/'[8]Table 11 CWTs exp'!$AA12&gt;0.0005,'[8]Table 11 CWTs exp'!Q12/'[8]Table 11 CWTs exp'!$AA12,IF('[8]Table 11 CWTs exp'!Q12/'[8]Table 11 CWTs exp'!$AA12&gt;0,"-"," "))</f>
        <v xml:space="preserve"> </v>
      </c>
      <c r="R11" s="146">
        <f>IF('[8]Table 11 CWTs exp'!R12/'[8]Table 11 CWTs exp'!$AA12&gt;0.0005,'[8]Table 11 CWTs exp'!R12/'[8]Table 11 CWTs exp'!$AA12,IF('[8]Table 11 CWTs exp'!R12/'[8]Table 11 CWTs exp'!$AA12&gt;0,"-"," "))</f>
        <v>0.10038563509279344</v>
      </c>
      <c r="S11" s="144">
        <f>IF('[8]Table 11 CWTs exp'!S12/'[8]Table 11 CWTs exp'!$AA12&gt;0.0005,'[8]Table 11 CWTs exp'!S12/'[8]Table 11 CWTs exp'!$AA12,IF('[8]Table 11 CWTs exp'!S12/'[8]Table 11 CWTs exp'!$AA12&gt;0,"-"," "))</f>
        <v>1.2894673415280791E-2</v>
      </c>
      <c r="T11" s="144">
        <f>IF('[8]Table 11 CWTs exp'!T12/'[8]Table 11 CWTs exp'!$AA12&gt;0.0005,'[8]Table 11 CWTs exp'!T12/'[8]Table 11 CWTs exp'!$AA12,IF('[8]Table 11 CWTs exp'!T12/'[8]Table 11 CWTs exp'!$AA12&gt;0,"-"," "))</f>
        <v>0.69378163412870575</v>
      </c>
      <c r="U11" s="144">
        <f>IF('[8]Table 11 CWTs exp'!U12/'[8]Table 11 CWTs exp'!$AA12&gt;0.0005,'[8]Table 11 CWTs exp'!U12/'[8]Table 11 CWTs exp'!$AA12,IF('[8]Table 11 CWTs exp'!U12/'[8]Table 11 CWTs exp'!$AA12&gt;0,"-"," "))</f>
        <v>2.5548324897565679E-2</v>
      </c>
      <c r="V11" s="145" t="str">
        <f>IF('[8]Table 11 CWTs exp'!V12/'[8]Table 11 CWTs exp'!$AA12&gt;0.0005,'[8]Table 11 CWTs exp'!V12/'[8]Table 11 CWTs exp'!$AA12,IF('[8]Table 11 CWTs exp'!V12/'[8]Table 11 CWTs exp'!$AA12&gt;0,"-"," "))</f>
        <v xml:space="preserve"> </v>
      </c>
      <c r="W11" s="146">
        <f>IF('[8]Table 11 CWTs exp'!W12/'[8]Table 11 CWTs exp'!$AA12&gt;0.0005,'[8]Table 11 CWTs exp'!W12/'[8]Table 11 CWTs exp'!$AA12,IF('[8]Table 11 CWTs exp'!W12/'[8]Table 11 CWTs exp'!$AA12&gt;0,"-"," "))</f>
        <v>5.4953000723065797E-2</v>
      </c>
      <c r="X11" s="144" t="str">
        <f>IF('[8]Table 11 CWTs exp'!X12/'[8]Table 11 CWTs exp'!$AA12&gt;0.0005,'[8]Table 11 CWTs exp'!X12/'[8]Table 11 CWTs exp'!$AA12,IF('[8]Table 11 CWTs exp'!X12/'[8]Table 11 CWTs exp'!$AA12&gt;0,"-"," "))</f>
        <v xml:space="preserve"> </v>
      </c>
      <c r="Y11" s="147">
        <f t="shared" si="0"/>
        <v>0.95782116172571696</v>
      </c>
      <c r="Z11" s="148">
        <f t="shared" si="1"/>
        <v>4.2178838274283037E-2</v>
      </c>
      <c r="AA11" s="38">
        <f>'[8]Table 11 CWTs exp'!AA12</f>
        <v>8298</v>
      </c>
      <c r="AC11" s="592">
        <f>'[8]Table 11 CWTs exp'!AC12</f>
        <v>0.95799999999999996</v>
      </c>
      <c r="AD11" s="592">
        <f t="shared" si="2"/>
        <v>-1.788382742829997E-4</v>
      </c>
      <c r="AE11" s="593" t="str">
        <f t="shared" si="3"/>
        <v>MRFI503</v>
      </c>
      <c r="AF11" s="442"/>
      <c r="AG11" s="442"/>
      <c r="AH11" s="442"/>
    </row>
    <row r="12" spans="1:34" ht="14.5" customHeight="1" x14ac:dyDescent="0.25">
      <c r="A12" s="54" t="str">
        <f>'[8]Table 11 CWTs exp'!A13</f>
        <v>MRFF503</v>
      </c>
      <c r="B12" s="75" t="str">
        <f>'[8]Table 11 CWTs exp'!B13</f>
        <v>MRFF</v>
      </c>
      <c r="C12" s="75">
        <f>'[8]Table 11 CWTs exp'!C13</f>
        <v>50</v>
      </c>
      <c r="D12" s="75">
        <f>'[8]Table 11 CWTs exp'!D13</f>
        <v>3</v>
      </c>
      <c r="E12" s="268" t="str">
        <f>'[8]Table 11 CWTs exp'!E13</f>
        <v>Merced River Hatchery</v>
      </c>
      <c r="F12" s="296" t="str">
        <f>'[8]Table 11 CWTs exp'!F13</f>
        <v>Fall</v>
      </c>
      <c r="G12" s="297" t="str">
        <f>IF('[8]Table 11 CWTs exp'!G13/'[8]Table 11 CWTs exp'!$AA13&gt;0.0005,'[8]Table 11 CWTs exp'!G13/'[8]Table 11 CWTs exp'!$AA13,IF('[8]Table 11 CWTs exp'!G13/'[8]Table 11 CWTs exp'!$AA13&gt;0,"-"," "))</f>
        <v xml:space="preserve"> </v>
      </c>
      <c r="H12" s="298" t="str">
        <f>IF('[8]Table 11 CWTs exp'!H13/'[8]Table 11 CWTs exp'!$AA13&gt;0.0005,'[8]Table 11 CWTs exp'!H13/'[8]Table 11 CWTs exp'!$AA13,IF('[8]Table 11 CWTs exp'!H13/'[8]Table 11 CWTs exp'!$AA13&gt;0,"-"," "))</f>
        <v xml:space="preserve"> </v>
      </c>
      <c r="I12" s="299" t="str">
        <f>IF('[8]Table 11 CWTs exp'!I13/'[8]Table 11 CWTs exp'!$AA13&gt;0.0005,'[8]Table 11 CWTs exp'!I13/'[8]Table 11 CWTs exp'!$AA13,IF('[8]Table 11 CWTs exp'!I13/'[8]Table 11 CWTs exp'!$AA13&gt;0,"-"," "))</f>
        <v xml:space="preserve"> </v>
      </c>
      <c r="J12" s="300">
        <f>IF('[8]Table 11 CWTs exp'!J13/'[8]Table 11 CWTs exp'!$AA13&gt;0.0005,'[8]Table 11 CWTs exp'!J13/'[8]Table 11 CWTs exp'!$AA13,IF('[8]Table 11 CWTs exp'!J13/'[8]Table 11 CWTs exp'!$AA13&gt;0,"-"," "))</f>
        <v>3.589315525876461E-2</v>
      </c>
      <c r="K12" s="299" t="str">
        <f>IF('[8]Table 11 CWTs exp'!K13/'[8]Table 11 CWTs exp'!$AA13&gt;0.0005,'[8]Table 11 CWTs exp'!K13/'[8]Table 11 CWTs exp'!$AA13,IF('[8]Table 11 CWTs exp'!K13/'[8]Table 11 CWTs exp'!$AA13&gt;0,"-"," "))</f>
        <v xml:space="preserve"> </v>
      </c>
      <c r="L12" s="299" t="str">
        <f>IF('[8]Table 11 CWTs exp'!L13/'[8]Table 11 CWTs exp'!$AA13&gt;0.0005,'[8]Table 11 CWTs exp'!L13/'[8]Table 11 CWTs exp'!$AA13,IF('[8]Table 11 CWTs exp'!L13/'[8]Table 11 CWTs exp'!$AA13&gt;0,"-"," "))</f>
        <v xml:space="preserve"> </v>
      </c>
      <c r="M12" s="299" t="str">
        <f>IF('[8]Table 11 CWTs exp'!M13/'[8]Table 11 CWTs exp'!$AA13&gt;0.0005,'[8]Table 11 CWTs exp'!M13/'[8]Table 11 CWTs exp'!$AA13,IF('[8]Table 11 CWTs exp'!M13/'[8]Table 11 CWTs exp'!$AA13&gt;0,"-"," "))</f>
        <v xml:space="preserve"> </v>
      </c>
      <c r="N12" s="299" t="str">
        <f>IF('[8]Table 11 CWTs exp'!N13/'[8]Table 11 CWTs exp'!$AA13&gt;0.0005,'[8]Table 11 CWTs exp'!N13/'[8]Table 11 CWTs exp'!$AA13,IF('[8]Table 11 CWTs exp'!N13/'[8]Table 11 CWTs exp'!$AA13&gt;0,"-"," "))</f>
        <v xml:space="preserve"> </v>
      </c>
      <c r="O12" s="299">
        <f>IF('[8]Table 11 CWTs exp'!O13/'[8]Table 11 CWTs exp'!$AA13&gt;0.0005,'[8]Table 11 CWTs exp'!O13/'[8]Table 11 CWTs exp'!$AA13,IF('[8]Table 11 CWTs exp'!O13/'[8]Table 11 CWTs exp'!$AA13&gt;0,"-"," "))</f>
        <v>5.7595993322203672E-2</v>
      </c>
      <c r="P12" s="299">
        <f>IF('[8]Table 11 CWTs exp'!P13/'[8]Table 11 CWTs exp'!$AA13&gt;0.0005,'[8]Table 11 CWTs exp'!P13/'[8]Table 11 CWTs exp'!$AA13,IF('[8]Table 11 CWTs exp'!P13/'[8]Table 11 CWTs exp'!$AA13&gt;0,"-"," "))</f>
        <v>5.008347245409015E-3</v>
      </c>
      <c r="Q12" s="298" t="str">
        <f>IF('[8]Table 11 CWTs exp'!Q13/'[8]Table 11 CWTs exp'!$AA13&gt;0.0005,'[8]Table 11 CWTs exp'!Q13/'[8]Table 11 CWTs exp'!$AA13,IF('[8]Table 11 CWTs exp'!Q13/'[8]Table 11 CWTs exp'!$AA13&gt;0,"-"," "))</f>
        <v xml:space="preserve"> </v>
      </c>
      <c r="R12" s="300">
        <f>IF('[8]Table 11 CWTs exp'!R13/'[8]Table 11 CWTs exp'!$AA13&gt;0.0005,'[8]Table 11 CWTs exp'!R13/'[8]Table 11 CWTs exp'!$AA13,IF('[8]Table 11 CWTs exp'!R13/'[8]Table 11 CWTs exp'!$AA13&gt;0,"-"," "))</f>
        <v>2.8380634390651086E-2</v>
      </c>
      <c r="S12" s="299" t="str">
        <f>IF('[8]Table 11 CWTs exp'!S13/'[8]Table 11 CWTs exp'!$AA13&gt;0.0005,'[8]Table 11 CWTs exp'!S13/'[8]Table 11 CWTs exp'!$AA13,IF('[8]Table 11 CWTs exp'!S13/'[8]Table 11 CWTs exp'!$AA13&gt;0,"-"," "))</f>
        <v xml:space="preserve"> </v>
      </c>
      <c r="T12" s="299">
        <f>IF('[8]Table 11 CWTs exp'!T13/'[8]Table 11 CWTs exp'!$AA13&gt;0.0005,'[8]Table 11 CWTs exp'!T13/'[8]Table 11 CWTs exp'!$AA13,IF('[8]Table 11 CWTs exp'!T13/'[8]Table 11 CWTs exp'!$AA13&gt;0,"-"," "))</f>
        <v>0.61853088480801333</v>
      </c>
      <c r="U12" s="299">
        <f>IF('[8]Table 11 CWTs exp'!U13/'[8]Table 11 CWTs exp'!$AA13&gt;0.0005,'[8]Table 11 CWTs exp'!U13/'[8]Table 11 CWTs exp'!$AA13,IF('[8]Table 11 CWTs exp'!U13/'[8]Table 11 CWTs exp'!$AA13&gt;0,"-"," "))</f>
        <v>2.003338898163606E-2</v>
      </c>
      <c r="V12" s="298" t="str">
        <f>IF('[8]Table 11 CWTs exp'!V13/'[8]Table 11 CWTs exp'!$AA13&gt;0.0005,'[8]Table 11 CWTs exp'!V13/'[8]Table 11 CWTs exp'!$AA13,IF('[8]Table 11 CWTs exp'!V13/'[8]Table 11 CWTs exp'!$AA13&gt;0,"-"," "))</f>
        <v xml:space="preserve"> </v>
      </c>
      <c r="W12" s="300">
        <f>IF('[8]Table 11 CWTs exp'!W13/'[8]Table 11 CWTs exp'!$AA13&gt;0.0005,'[8]Table 11 CWTs exp'!W13/'[8]Table 11 CWTs exp'!$AA13,IF('[8]Table 11 CWTs exp'!W13/'[8]Table 11 CWTs exp'!$AA13&gt;0,"-"," "))</f>
        <v>0.11853088480801335</v>
      </c>
      <c r="X12" s="301" t="str">
        <f>IF('[8]Table 11 CWTs exp'!X13/'[8]Table 11 CWTs exp'!$AA13&gt;0.0005,'[8]Table 11 CWTs exp'!X13/'[8]Table 11 CWTs exp'!$AA13,IF('[8]Table 11 CWTs exp'!X13/'[8]Table 11 CWTs exp'!$AA13&gt;0,"-"," "))</f>
        <v xml:space="preserve"> </v>
      </c>
      <c r="Y12" s="302">
        <f t="shared" si="0"/>
        <v>0.88397328881469106</v>
      </c>
      <c r="Z12" s="303">
        <f t="shared" si="1"/>
        <v>0.11602671118530894</v>
      </c>
      <c r="AA12" s="272">
        <f>'[8]Table 11 CWTs exp'!AA13</f>
        <v>1198</v>
      </c>
      <c r="AC12" s="592">
        <f>'[8]Table 11 CWTs exp'!AC13</f>
        <v>0.88300000000000001</v>
      </c>
      <c r="AD12" s="592">
        <f t="shared" si="2"/>
        <v>9.7328881469105344E-4</v>
      </c>
      <c r="AE12" s="593" t="str">
        <f t="shared" si="3"/>
        <v>MRFF503</v>
      </c>
      <c r="AF12" s="442"/>
      <c r="AG12" s="442"/>
      <c r="AH12" s="442"/>
    </row>
    <row r="13" spans="1:34" ht="14.5" customHeight="1" x14ac:dyDescent="0.25">
      <c r="A13" s="54" t="str">
        <f>'[8]Table 11 CWTs exp'!A14</f>
        <v>CNFH507</v>
      </c>
      <c r="B13" s="75" t="str">
        <f>'[8]Table 11 CWTs exp'!B14</f>
        <v>CNFH</v>
      </c>
      <c r="C13" s="75">
        <f>'[8]Table 11 CWTs exp'!C14</f>
        <v>50</v>
      </c>
      <c r="D13" s="75">
        <f>'[8]Table 11 CWTs exp'!D14</f>
        <v>7</v>
      </c>
      <c r="E13" s="3" t="str">
        <f>'[8]Table 11 CWTs exp'!E14</f>
        <v xml:space="preserve">Coleman National Fish Hatchery </v>
      </c>
      <c r="F13" s="37" t="s">
        <v>57</v>
      </c>
      <c r="G13" s="287" t="str">
        <f>IF('[8]Table 11 CWTs exp'!G14/'[8]Table 11 CWTs exp'!$AA14&gt;0.0005,'[8]Table 11 CWTs exp'!G14/'[8]Table 11 CWTs exp'!$AA14,IF('[8]Table 11 CWTs exp'!G14/'[8]Table 11 CWTs exp'!$AA14&gt;0,"-"," "))</f>
        <v xml:space="preserve"> </v>
      </c>
      <c r="H13" s="145">
        <f>IF('[8]Table 11 CWTs exp'!H14/'[8]Table 11 CWTs exp'!$AA14&gt;0.0005,'[8]Table 11 CWTs exp'!H14/'[8]Table 11 CWTs exp'!$AA14,IF('[8]Table 11 CWTs exp'!H14/'[8]Table 11 CWTs exp'!$AA14&gt;0,"-"," "))</f>
        <v>1</v>
      </c>
      <c r="I13" s="144" t="str">
        <f>IF('[8]Table 11 CWTs exp'!I14/'[8]Table 11 CWTs exp'!$AA14&gt;0.0005,'[8]Table 11 CWTs exp'!I14/'[8]Table 11 CWTs exp'!$AA14,IF('[8]Table 11 CWTs exp'!I14/'[8]Table 11 CWTs exp'!$AA14&gt;0,"-"," "))</f>
        <v xml:space="preserve"> </v>
      </c>
      <c r="J13" s="146" t="str">
        <f>IF('[8]Table 11 CWTs exp'!J14/'[8]Table 11 CWTs exp'!$AA14&gt;0.0005,'[8]Table 11 CWTs exp'!J14/'[8]Table 11 CWTs exp'!$AA14,IF('[8]Table 11 CWTs exp'!J14/'[8]Table 11 CWTs exp'!$AA14&gt;0,"-"," "))</f>
        <v xml:space="preserve"> </v>
      </c>
      <c r="K13" s="144" t="str">
        <f>IF('[8]Table 11 CWTs exp'!K14/'[8]Table 11 CWTs exp'!$AA14&gt;0.0005,'[8]Table 11 CWTs exp'!K14/'[8]Table 11 CWTs exp'!$AA14,IF('[8]Table 11 CWTs exp'!K14/'[8]Table 11 CWTs exp'!$AA14&gt;0,"-"," "))</f>
        <v xml:space="preserve"> </v>
      </c>
      <c r="L13" s="144" t="str">
        <f>IF('[8]Table 11 CWTs exp'!L14/'[8]Table 11 CWTs exp'!$AA14&gt;0.0005,'[8]Table 11 CWTs exp'!L14/'[8]Table 11 CWTs exp'!$AA14,IF('[8]Table 11 CWTs exp'!L14/'[8]Table 11 CWTs exp'!$AA14&gt;0,"-"," "))</f>
        <v xml:space="preserve"> </v>
      </c>
      <c r="M13" s="144" t="str">
        <f>IF('[8]Table 11 CWTs exp'!M14/'[8]Table 11 CWTs exp'!$AA14&gt;0.0005,'[8]Table 11 CWTs exp'!M14/'[8]Table 11 CWTs exp'!$AA14,IF('[8]Table 11 CWTs exp'!M14/'[8]Table 11 CWTs exp'!$AA14&gt;0,"-"," "))</f>
        <v xml:space="preserve"> </v>
      </c>
      <c r="N13" s="144" t="str">
        <f>IF('[8]Table 11 CWTs exp'!N14/'[8]Table 11 CWTs exp'!$AA14&gt;0.0005,'[8]Table 11 CWTs exp'!N14/'[8]Table 11 CWTs exp'!$AA14,IF('[8]Table 11 CWTs exp'!N14/'[8]Table 11 CWTs exp'!$AA14&gt;0,"-"," "))</f>
        <v xml:space="preserve"> </v>
      </c>
      <c r="O13" s="144" t="str">
        <f>IF('[8]Table 11 CWTs exp'!O14/'[8]Table 11 CWTs exp'!$AA14&gt;0.0005,'[8]Table 11 CWTs exp'!O14/'[8]Table 11 CWTs exp'!$AA14,IF('[8]Table 11 CWTs exp'!O14/'[8]Table 11 CWTs exp'!$AA14&gt;0,"-"," "))</f>
        <v xml:space="preserve"> </v>
      </c>
      <c r="P13" s="144" t="str">
        <f>IF('[8]Table 11 CWTs exp'!P14/'[8]Table 11 CWTs exp'!$AA14&gt;0.0005,'[8]Table 11 CWTs exp'!P14/'[8]Table 11 CWTs exp'!$AA14,IF('[8]Table 11 CWTs exp'!P14/'[8]Table 11 CWTs exp'!$AA14&gt;0,"-"," "))</f>
        <v xml:space="preserve"> </v>
      </c>
      <c r="Q13" s="145" t="str">
        <f>IF('[8]Table 11 CWTs exp'!Q14/'[8]Table 11 CWTs exp'!$AA14&gt;0.0005,'[8]Table 11 CWTs exp'!Q14/'[8]Table 11 CWTs exp'!$AA14,IF('[8]Table 11 CWTs exp'!Q14/'[8]Table 11 CWTs exp'!$AA14&gt;0,"-"," "))</f>
        <v xml:space="preserve"> </v>
      </c>
      <c r="R13" s="146" t="str">
        <f>IF('[8]Table 11 CWTs exp'!R14/'[8]Table 11 CWTs exp'!$AA14&gt;0.0005,'[8]Table 11 CWTs exp'!R14/'[8]Table 11 CWTs exp'!$AA14,IF('[8]Table 11 CWTs exp'!R14/'[8]Table 11 CWTs exp'!$AA14&gt;0,"-"," "))</f>
        <v xml:space="preserve"> </v>
      </c>
      <c r="S13" s="144" t="str">
        <f>IF('[8]Table 11 CWTs exp'!S14/'[8]Table 11 CWTs exp'!$AA14&gt;0.0005,'[8]Table 11 CWTs exp'!S14/'[8]Table 11 CWTs exp'!$AA14,IF('[8]Table 11 CWTs exp'!S14/'[8]Table 11 CWTs exp'!$AA14&gt;0,"-"," "))</f>
        <v xml:space="preserve"> </v>
      </c>
      <c r="T13" s="144" t="str">
        <f>IF('[8]Table 11 CWTs exp'!T14/'[8]Table 11 CWTs exp'!$AA14&gt;0.0005,'[8]Table 11 CWTs exp'!T14/'[8]Table 11 CWTs exp'!$AA14,IF('[8]Table 11 CWTs exp'!T14/'[8]Table 11 CWTs exp'!$AA14&gt;0,"-"," "))</f>
        <v xml:space="preserve"> </v>
      </c>
      <c r="U13" s="144" t="str">
        <f>IF('[8]Table 11 CWTs exp'!U14/'[8]Table 11 CWTs exp'!$AA14&gt;0.0005,'[8]Table 11 CWTs exp'!U14/'[8]Table 11 CWTs exp'!$AA14,IF('[8]Table 11 CWTs exp'!U14/'[8]Table 11 CWTs exp'!$AA14&gt;0,"-"," "))</f>
        <v xml:space="preserve"> </v>
      </c>
      <c r="V13" s="145" t="str">
        <f>IF('[8]Table 11 CWTs exp'!V14/'[8]Table 11 CWTs exp'!$AA14&gt;0.0005,'[8]Table 11 CWTs exp'!V14/'[8]Table 11 CWTs exp'!$AA14,IF('[8]Table 11 CWTs exp'!V14/'[8]Table 11 CWTs exp'!$AA14&gt;0,"-"," "))</f>
        <v xml:space="preserve"> </v>
      </c>
      <c r="W13" s="146" t="str">
        <f>IF('[8]Table 11 CWTs exp'!W14/'[8]Table 11 CWTs exp'!$AA14&gt;0.0005,'[8]Table 11 CWTs exp'!W14/'[8]Table 11 CWTs exp'!$AA14,IF('[8]Table 11 CWTs exp'!W14/'[8]Table 11 CWTs exp'!$AA14&gt;0,"-"," "))</f>
        <v xml:space="preserve"> </v>
      </c>
      <c r="X13" s="206" t="str">
        <f>IF('[8]Table 11 CWTs exp'!X14/'[8]Table 11 CWTs exp'!$AA14&gt;0.0005,'[8]Table 11 CWTs exp'!X14/'[8]Table 11 CWTs exp'!$AA14,IF('[8]Table 11 CWTs exp'!X14/'[8]Table 11 CWTs exp'!$AA14&gt;0,"-"," "))</f>
        <v xml:space="preserve"> </v>
      </c>
      <c r="Y13" s="147">
        <f t="shared" si="0"/>
        <v>1</v>
      </c>
      <c r="Z13" s="148"/>
      <c r="AA13" s="38">
        <f>'[8]Table 11 CWTs exp'!AA14</f>
        <v>2348</v>
      </c>
      <c r="AC13" s="592">
        <f>'[8]Table 11 CWTs exp'!AC14</f>
        <v>1</v>
      </c>
      <c r="AD13" s="592">
        <f t="shared" si="2"/>
        <v>0</v>
      </c>
      <c r="AE13" s="593" t="str">
        <f t="shared" si="3"/>
        <v>CNFH507</v>
      </c>
      <c r="AF13" s="442"/>
      <c r="AG13" s="442"/>
      <c r="AH13" s="442"/>
    </row>
    <row r="14" spans="1:34" ht="14.5" customHeight="1" x14ac:dyDescent="0.25">
      <c r="A14" s="54" t="str">
        <f>'[8]Table 11 CWTs exp'!A15</f>
        <v>CNFW527</v>
      </c>
      <c r="B14" s="75" t="str">
        <f>'[8]Table 11 CWTs exp'!B15</f>
        <v>CNFW</v>
      </c>
      <c r="C14" s="75">
        <f>'[8]Table 11 CWTs exp'!C15</f>
        <v>52</v>
      </c>
      <c r="D14" s="75">
        <f>'[8]Table 11 CWTs exp'!D15</f>
        <v>7</v>
      </c>
      <c r="E14" s="3" t="str">
        <f>'[8]Table 11 CWTs exp'!E15</f>
        <v>Coleman Hatchery Fish Trap</v>
      </c>
      <c r="F14" s="37" t="s">
        <v>57</v>
      </c>
      <c r="G14" s="287" t="str">
        <f>IF('[8]Table 11 CWTs exp'!G15/'[8]Table 11 CWTs exp'!$AA15&gt;0.0005,'[8]Table 11 CWTs exp'!G15/'[8]Table 11 CWTs exp'!$AA15,IF('[8]Table 11 CWTs exp'!G15/'[8]Table 11 CWTs exp'!$AA15&gt;0,"-"," "))</f>
        <v xml:space="preserve"> </v>
      </c>
      <c r="H14" s="145">
        <f>IF('[8]Table 11 CWTs exp'!H15/'[8]Table 11 CWTs exp'!$AA15&gt;0.0005,'[8]Table 11 CWTs exp'!H15/'[8]Table 11 CWTs exp'!$AA15,IF('[8]Table 11 CWTs exp'!H15/'[8]Table 11 CWTs exp'!$AA15&gt;0,"-"," "))</f>
        <v>1</v>
      </c>
      <c r="I14" s="144" t="str">
        <f>IF('[8]Table 11 CWTs exp'!I15/'[8]Table 11 CWTs exp'!$AA15&gt;0.0005,'[8]Table 11 CWTs exp'!I15/'[8]Table 11 CWTs exp'!$AA15,IF('[8]Table 11 CWTs exp'!I15/'[8]Table 11 CWTs exp'!$AA15&gt;0,"-"," "))</f>
        <v xml:space="preserve"> </v>
      </c>
      <c r="J14" s="146" t="str">
        <f>IF('[8]Table 11 CWTs exp'!J15/'[8]Table 11 CWTs exp'!$AA15&gt;0.0005,'[8]Table 11 CWTs exp'!J15/'[8]Table 11 CWTs exp'!$AA15,IF('[8]Table 11 CWTs exp'!J15/'[8]Table 11 CWTs exp'!$AA15&gt;0,"-"," "))</f>
        <v xml:space="preserve"> </v>
      </c>
      <c r="K14" s="144" t="str">
        <f>IF('[8]Table 11 CWTs exp'!K15/'[8]Table 11 CWTs exp'!$AA15&gt;0.0005,'[8]Table 11 CWTs exp'!K15/'[8]Table 11 CWTs exp'!$AA15,IF('[8]Table 11 CWTs exp'!K15/'[8]Table 11 CWTs exp'!$AA15&gt;0,"-"," "))</f>
        <v xml:space="preserve"> </v>
      </c>
      <c r="L14" s="144" t="str">
        <f>IF('[8]Table 11 CWTs exp'!L15/'[8]Table 11 CWTs exp'!$AA15&gt;0.0005,'[8]Table 11 CWTs exp'!L15/'[8]Table 11 CWTs exp'!$AA15,IF('[8]Table 11 CWTs exp'!L15/'[8]Table 11 CWTs exp'!$AA15&gt;0,"-"," "))</f>
        <v xml:space="preserve"> </v>
      </c>
      <c r="M14" s="144" t="str">
        <f>IF('[8]Table 11 CWTs exp'!M15/'[8]Table 11 CWTs exp'!$AA15&gt;0.0005,'[8]Table 11 CWTs exp'!M15/'[8]Table 11 CWTs exp'!$AA15,IF('[8]Table 11 CWTs exp'!M15/'[8]Table 11 CWTs exp'!$AA15&gt;0,"-"," "))</f>
        <v xml:space="preserve"> </v>
      </c>
      <c r="N14" s="144" t="str">
        <f>IF('[8]Table 11 CWTs exp'!N15/'[8]Table 11 CWTs exp'!$AA15&gt;0.0005,'[8]Table 11 CWTs exp'!N15/'[8]Table 11 CWTs exp'!$AA15,IF('[8]Table 11 CWTs exp'!N15/'[8]Table 11 CWTs exp'!$AA15&gt;0,"-"," "))</f>
        <v xml:space="preserve"> </v>
      </c>
      <c r="O14" s="144" t="str">
        <f>IF('[8]Table 11 CWTs exp'!O15/'[8]Table 11 CWTs exp'!$AA15&gt;0.0005,'[8]Table 11 CWTs exp'!O15/'[8]Table 11 CWTs exp'!$AA15,IF('[8]Table 11 CWTs exp'!O15/'[8]Table 11 CWTs exp'!$AA15&gt;0,"-"," "))</f>
        <v xml:space="preserve"> </v>
      </c>
      <c r="P14" s="144" t="str">
        <f>IF('[8]Table 11 CWTs exp'!P15/'[8]Table 11 CWTs exp'!$AA15&gt;0.0005,'[8]Table 11 CWTs exp'!P15/'[8]Table 11 CWTs exp'!$AA15,IF('[8]Table 11 CWTs exp'!P15/'[8]Table 11 CWTs exp'!$AA15&gt;0,"-"," "))</f>
        <v xml:space="preserve"> </v>
      </c>
      <c r="Q14" s="145" t="str">
        <f>IF('[8]Table 11 CWTs exp'!Q15/'[8]Table 11 CWTs exp'!$AA15&gt;0.0005,'[8]Table 11 CWTs exp'!Q15/'[8]Table 11 CWTs exp'!$AA15,IF('[8]Table 11 CWTs exp'!Q15/'[8]Table 11 CWTs exp'!$AA15&gt;0,"-"," "))</f>
        <v xml:space="preserve"> </v>
      </c>
      <c r="R14" s="146" t="str">
        <f>IF('[8]Table 11 CWTs exp'!R15/'[8]Table 11 CWTs exp'!$AA15&gt;0.0005,'[8]Table 11 CWTs exp'!R15/'[8]Table 11 CWTs exp'!$AA15,IF('[8]Table 11 CWTs exp'!R15/'[8]Table 11 CWTs exp'!$AA15&gt;0,"-"," "))</f>
        <v xml:space="preserve"> </v>
      </c>
      <c r="S14" s="144" t="str">
        <f>IF('[8]Table 11 CWTs exp'!S15/'[8]Table 11 CWTs exp'!$AA15&gt;0.0005,'[8]Table 11 CWTs exp'!S15/'[8]Table 11 CWTs exp'!$AA15,IF('[8]Table 11 CWTs exp'!S15/'[8]Table 11 CWTs exp'!$AA15&gt;0,"-"," "))</f>
        <v xml:space="preserve"> </v>
      </c>
      <c r="T14" s="144" t="str">
        <f>IF('[8]Table 11 CWTs exp'!T15/'[8]Table 11 CWTs exp'!$AA15&gt;0.0005,'[8]Table 11 CWTs exp'!T15/'[8]Table 11 CWTs exp'!$AA15,IF('[8]Table 11 CWTs exp'!T15/'[8]Table 11 CWTs exp'!$AA15&gt;0,"-"," "))</f>
        <v xml:space="preserve"> </v>
      </c>
      <c r="U14" s="144" t="str">
        <f>IF('[8]Table 11 CWTs exp'!U15/'[8]Table 11 CWTs exp'!$AA15&gt;0.0005,'[8]Table 11 CWTs exp'!U15/'[8]Table 11 CWTs exp'!$AA15,IF('[8]Table 11 CWTs exp'!U15/'[8]Table 11 CWTs exp'!$AA15&gt;0,"-"," "))</f>
        <v xml:space="preserve"> </v>
      </c>
      <c r="V14" s="145" t="str">
        <f>IF('[8]Table 11 CWTs exp'!V15/'[8]Table 11 CWTs exp'!$AA15&gt;0.0005,'[8]Table 11 CWTs exp'!V15/'[8]Table 11 CWTs exp'!$AA15,IF('[8]Table 11 CWTs exp'!V15/'[8]Table 11 CWTs exp'!$AA15&gt;0,"-"," "))</f>
        <v xml:space="preserve"> </v>
      </c>
      <c r="W14" s="146" t="str">
        <f>IF('[8]Table 11 CWTs exp'!W15/'[8]Table 11 CWTs exp'!$AA15&gt;0.0005,'[8]Table 11 CWTs exp'!W15/'[8]Table 11 CWTs exp'!$AA15,IF('[8]Table 11 CWTs exp'!W15/'[8]Table 11 CWTs exp'!$AA15&gt;0,"-"," "))</f>
        <v xml:space="preserve"> </v>
      </c>
      <c r="X14" s="206" t="str">
        <f>IF('[8]Table 11 CWTs exp'!X15/'[8]Table 11 CWTs exp'!$AA15&gt;0.0005,'[8]Table 11 CWTs exp'!X15/'[8]Table 11 CWTs exp'!$AA15,IF('[8]Table 11 CWTs exp'!X15/'[8]Table 11 CWTs exp'!$AA15&gt;0,"-"," "))</f>
        <v xml:space="preserve"> </v>
      </c>
      <c r="Y14" s="147">
        <f t="shared" si="0"/>
        <v>1</v>
      </c>
      <c r="Z14" s="148"/>
      <c r="AA14" s="38">
        <f>'[8]Table 11 CWTs exp'!AA15</f>
        <v>104</v>
      </c>
      <c r="AC14" s="592">
        <f>'[8]Table 11 CWTs exp'!AC15</f>
        <v>1</v>
      </c>
      <c r="AD14" s="592">
        <f t="shared" si="2"/>
        <v>0</v>
      </c>
      <c r="AE14" s="593" t="str">
        <f t="shared" si="3"/>
        <v>CNFW527</v>
      </c>
      <c r="AF14" s="442"/>
      <c r="AG14" s="442"/>
      <c r="AH14" s="442"/>
    </row>
    <row r="15" spans="1:34" ht="14.5" customHeight="1" x14ac:dyDescent="0.25">
      <c r="A15" s="50" t="s">
        <v>134</v>
      </c>
      <c r="B15" s="75" t="str">
        <f>'[8]Table 11 CWTs exp'!B16</f>
        <v>KESW</v>
      </c>
      <c r="C15" s="75">
        <f>'[8]Table 11 CWTs exp'!C16</f>
        <v>0</v>
      </c>
      <c r="D15" s="75">
        <f>'[8]Table 11 CWTs exp'!D16</f>
        <v>0</v>
      </c>
      <c r="E15" s="3" t="str">
        <f>'[8]Table 11 CWTs exp'!E16</f>
        <v>Keswick Dam Fish Trap</v>
      </c>
      <c r="F15" s="37" t="s">
        <v>57</v>
      </c>
      <c r="G15" s="287" t="str">
        <f>IF('[8]Table 11 CWTs exp'!G16/'[8]Table 11 CWTs exp'!$AA16&gt;0.0005,'[8]Table 11 CWTs exp'!G16/'[8]Table 11 CWTs exp'!$AA16,IF('[8]Table 11 CWTs exp'!G16/'[8]Table 11 CWTs exp'!$AA16&gt;0,"-"," "))</f>
        <v xml:space="preserve"> </v>
      </c>
      <c r="H15" s="145">
        <f>IF('[8]Table 11 CWTs exp'!H16/'[8]Table 11 CWTs exp'!$AA16&gt;0.0005,'[8]Table 11 CWTs exp'!H16/'[8]Table 11 CWTs exp'!$AA16,IF('[8]Table 11 CWTs exp'!H16/'[8]Table 11 CWTs exp'!$AA16&gt;0,"-"," "))</f>
        <v>6.1538461538461542E-2</v>
      </c>
      <c r="I15" s="144" t="str">
        <f>IF('[8]Table 11 CWTs exp'!I16/'[8]Table 11 CWTs exp'!$AA16&gt;0.0005,'[8]Table 11 CWTs exp'!I16/'[8]Table 11 CWTs exp'!$AA16,IF('[8]Table 11 CWTs exp'!I16/'[8]Table 11 CWTs exp'!$AA16&gt;0,"-"," "))</f>
        <v xml:space="preserve"> </v>
      </c>
      <c r="J15" s="146" t="str">
        <f>IF('[8]Table 11 CWTs exp'!J16/'[8]Table 11 CWTs exp'!$AA16&gt;0.0005,'[8]Table 11 CWTs exp'!J16/'[8]Table 11 CWTs exp'!$AA16,IF('[8]Table 11 CWTs exp'!J16/'[8]Table 11 CWTs exp'!$AA16&gt;0,"-"," "))</f>
        <v xml:space="preserve"> </v>
      </c>
      <c r="K15" s="144" t="str">
        <f>IF('[8]Table 11 CWTs exp'!K16/'[8]Table 11 CWTs exp'!$AA16&gt;0.0005,'[8]Table 11 CWTs exp'!K16/'[8]Table 11 CWTs exp'!$AA16,IF('[8]Table 11 CWTs exp'!K16/'[8]Table 11 CWTs exp'!$AA16&gt;0,"-"," "))</f>
        <v xml:space="preserve"> </v>
      </c>
      <c r="L15" s="144" t="str">
        <f>IF('[8]Table 11 CWTs exp'!L16/'[8]Table 11 CWTs exp'!$AA16&gt;0.0005,'[8]Table 11 CWTs exp'!L16/'[8]Table 11 CWTs exp'!$AA16,IF('[8]Table 11 CWTs exp'!L16/'[8]Table 11 CWTs exp'!$AA16&gt;0,"-"," "))</f>
        <v xml:space="preserve"> </v>
      </c>
      <c r="M15" s="144" t="str">
        <f>IF('[8]Table 11 CWTs exp'!M16/'[8]Table 11 CWTs exp'!$AA16&gt;0.0005,'[8]Table 11 CWTs exp'!M16/'[8]Table 11 CWTs exp'!$AA16,IF('[8]Table 11 CWTs exp'!M16/'[8]Table 11 CWTs exp'!$AA16&gt;0,"-"," "))</f>
        <v xml:space="preserve"> </v>
      </c>
      <c r="N15" s="144" t="str">
        <f>IF('[8]Table 11 CWTs exp'!N16/'[8]Table 11 CWTs exp'!$AA16&gt;0.0005,'[8]Table 11 CWTs exp'!N16/'[8]Table 11 CWTs exp'!$AA16,IF('[8]Table 11 CWTs exp'!N16/'[8]Table 11 CWTs exp'!$AA16&gt;0,"-"," "))</f>
        <v xml:space="preserve"> </v>
      </c>
      <c r="O15" s="144" t="str">
        <f>IF('[8]Table 11 CWTs exp'!O16/'[8]Table 11 CWTs exp'!$AA16&gt;0.0005,'[8]Table 11 CWTs exp'!O16/'[8]Table 11 CWTs exp'!$AA16,IF('[8]Table 11 CWTs exp'!O16/'[8]Table 11 CWTs exp'!$AA16&gt;0,"-"," "))</f>
        <v xml:space="preserve"> </v>
      </c>
      <c r="P15" s="144" t="str">
        <f>IF('[8]Table 11 CWTs exp'!P16/'[8]Table 11 CWTs exp'!$AA16&gt;0.0005,'[8]Table 11 CWTs exp'!P16/'[8]Table 11 CWTs exp'!$AA16,IF('[8]Table 11 CWTs exp'!P16/'[8]Table 11 CWTs exp'!$AA16&gt;0,"-"," "))</f>
        <v xml:space="preserve"> </v>
      </c>
      <c r="Q15" s="145" t="str">
        <f>IF('[8]Table 11 CWTs exp'!Q16/'[8]Table 11 CWTs exp'!$AA16&gt;0.0005,'[8]Table 11 CWTs exp'!Q16/'[8]Table 11 CWTs exp'!$AA16,IF('[8]Table 11 CWTs exp'!Q16/'[8]Table 11 CWTs exp'!$AA16&gt;0,"-"," "))</f>
        <v xml:space="preserve"> </v>
      </c>
      <c r="R15" s="146" t="str">
        <f>IF('[8]Table 11 CWTs exp'!R16/'[8]Table 11 CWTs exp'!$AA16&gt;0.0005,'[8]Table 11 CWTs exp'!R16/'[8]Table 11 CWTs exp'!$AA16,IF('[8]Table 11 CWTs exp'!R16/'[8]Table 11 CWTs exp'!$AA16&gt;0,"-"," "))</f>
        <v xml:space="preserve"> </v>
      </c>
      <c r="S15" s="144" t="str">
        <f>IF('[8]Table 11 CWTs exp'!S16/'[8]Table 11 CWTs exp'!$AA16&gt;0.0005,'[8]Table 11 CWTs exp'!S16/'[8]Table 11 CWTs exp'!$AA16,IF('[8]Table 11 CWTs exp'!S16/'[8]Table 11 CWTs exp'!$AA16&gt;0,"-"," "))</f>
        <v xml:space="preserve"> </v>
      </c>
      <c r="T15" s="144" t="str">
        <f>IF('[8]Table 11 CWTs exp'!T16/'[8]Table 11 CWTs exp'!$AA16&gt;0.0005,'[8]Table 11 CWTs exp'!T16/'[8]Table 11 CWTs exp'!$AA16,IF('[8]Table 11 CWTs exp'!T16/'[8]Table 11 CWTs exp'!$AA16&gt;0,"-"," "))</f>
        <v xml:space="preserve"> </v>
      </c>
      <c r="U15" s="144" t="str">
        <f>IF('[8]Table 11 CWTs exp'!U16/'[8]Table 11 CWTs exp'!$AA16&gt;0.0005,'[8]Table 11 CWTs exp'!U16/'[8]Table 11 CWTs exp'!$AA16,IF('[8]Table 11 CWTs exp'!U16/'[8]Table 11 CWTs exp'!$AA16&gt;0,"-"," "))</f>
        <v xml:space="preserve"> </v>
      </c>
      <c r="V15" s="145" t="str">
        <f>IF('[8]Table 11 CWTs exp'!V16/'[8]Table 11 CWTs exp'!$AA16&gt;0.0005,'[8]Table 11 CWTs exp'!V16/'[8]Table 11 CWTs exp'!$AA16,IF('[8]Table 11 CWTs exp'!V16/'[8]Table 11 CWTs exp'!$AA16&gt;0,"-"," "))</f>
        <v xml:space="preserve"> </v>
      </c>
      <c r="W15" s="146" t="str">
        <f>IF('[8]Table 11 CWTs exp'!W16/'[8]Table 11 CWTs exp'!$AA16&gt;0.0005,'[8]Table 11 CWTs exp'!W16/'[8]Table 11 CWTs exp'!$AA16,IF('[8]Table 11 CWTs exp'!W16/'[8]Table 11 CWTs exp'!$AA16&gt;0,"-"," "))</f>
        <v xml:space="preserve"> </v>
      </c>
      <c r="X15" s="206" t="str">
        <f>IF('[8]Table 11 CWTs exp'!X16/'[8]Table 11 CWTs exp'!$AA16&gt;0.0005,'[8]Table 11 CWTs exp'!X16/'[8]Table 11 CWTs exp'!$AA16,IF('[8]Table 11 CWTs exp'!X16/'[8]Table 11 CWTs exp'!$AA16&gt;0,"-"," "))</f>
        <v xml:space="preserve"> </v>
      </c>
      <c r="Y15" s="147">
        <f t="shared" si="0"/>
        <v>6.1538461538461542E-2</v>
      </c>
      <c r="Z15" s="148">
        <f t="shared" ref="Z15" si="4">1-Y15</f>
        <v>0.93846153846153846</v>
      </c>
      <c r="AA15" s="38">
        <f>'[8]Table 11 CWTs exp'!AA16</f>
        <v>65</v>
      </c>
      <c r="AC15" s="592"/>
      <c r="AD15" s="592"/>
      <c r="AE15" s="593"/>
      <c r="AF15" s="442"/>
      <c r="AG15" s="442"/>
      <c r="AH15" s="442"/>
    </row>
    <row r="16" spans="1:34" ht="14.15" customHeight="1" x14ac:dyDescent="0.25">
      <c r="A16" s="5"/>
      <c r="E16" s="723" t="s">
        <v>193</v>
      </c>
      <c r="F16" s="723"/>
      <c r="G16" s="304" t="str">
        <f>IF('[8]Table 11 CWTs exp'!G17/'[8]Table 11 CWTs exp'!$AA17&gt;0.0005,'[8]Table 11 CWTs exp'!G17/'[8]Table 11 CWTs exp'!$AA17,IF('[8]Table 11 CWTs exp'!G17/'[8]Table 11 CWTs exp'!$AA17&gt;0,"-"," "))</f>
        <v xml:space="preserve"> </v>
      </c>
      <c r="H16" s="196" t="str">
        <f>IF('[8]Table 11 CWTs exp'!H17/'[8]Table 11 CWTs exp'!$AA17&gt;0.0005,'[8]Table 11 CWTs exp'!H17/'[8]Table 11 CWTs exp'!$AA17,IF('[8]Table 11 CWTs exp'!H17/'[8]Table 11 CWTs exp'!$AA17&gt;0,"-"," "))</f>
        <v>-</v>
      </c>
      <c r="I16" s="195">
        <f>IF('[8]Table 11 CWTs exp'!I17/'[8]Table 11 CWTs exp'!$AA17&gt;0.0005,'[8]Table 11 CWTs exp'!I17/'[8]Table 11 CWTs exp'!$AA17,IF('[8]Table 11 CWTs exp'!I17/'[8]Table 11 CWTs exp'!$AA17&gt;0,"-"," "))</f>
        <v>0.17043216728132049</v>
      </c>
      <c r="J16" s="197">
        <f>IF('[8]Table 11 CWTs exp'!J17/'[8]Table 11 CWTs exp'!$AA17&gt;0.0005,'[8]Table 11 CWTs exp'!J17/'[8]Table 11 CWTs exp'!$AA17,IF('[8]Table 11 CWTs exp'!J17/'[8]Table 11 CWTs exp'!$AA17&gt;0,"-"," "))</f>
        <v>2.6316731712556839E-2</v>
      </c>
      <c r="K16" s="195">
        <f>IF('[8]Table 11 CWTs exp'!K17/'[8]Table 11 CWTs exp'!$AA17&gt;0.0005,'[8]Table 11 CWTs exp'!K17/'[8]Table 11 CWTs exp'!$AA17,IF('[8]Table 11 CWTs exp'!K17/'[8]Table 11 CWTs exp'!$AA17&gt;0,"-"," "))</f>
        <v>3.7237280246338933E-2</v>
      </c>
      <c r="L16" s="195">
        <f>IF('[8]Table 11 CWTs exp'!L17/'[8]Table 11 CWTs exp'!$AA17&gt;0.0005,'[8]Table 11 CWTs exp'!L17/'[8]Table 11 CWTs exp'!$AA17,IF('[8]Table 11 CWTs exp'!L17/'[8]Table 11 CWTs exp'!$AA17&gt;0,"-"," "))</f>
        <v>3.5733467005621397E-2</v>
      </c>
      <c r="M16" s="195" t="str">
        <f>IF('[8]Table 11 CWTs exp'!M17/'[8]Table 11 CWTs exp'!$AA17&gt;0.0005,'[8]Table 11 CWTs exp'!M17/'[8]Table 11 CWTs exp'!$AA17,IF('[8]Table 11 CWTs exp'!M17/'[8]Table 11 CWTs exp'!$AA17&gt;0,"-"," "))</f>
        <v>-</v>
      </c>
      <c r="N16" s="195">
        <f>IF('[8]Table 11 CWTs exp'!N17/'[8]Table 11 CWTs exp'!$AA17&gt;0.0005,'[8]Table 11 CWTs exp'!N17/'[8]Table 11 CWTs exp'!$AA17,IF('[8]Table 11 CWTs exp'!N17/'[8]Table 11 CWTs exp'!$AA17&gt;0,"-"," "))</f>
        <v>1.7186437036771814E-2</v>
      </c>
      <c r="O16" s="195">
        <f>IF('[8]Table 11 CWTs exp'!O17/'[8]Table 11 CWTs exp'!$AA17&gt;0.0005,'[8]Table 11 CWTs exp'!O17/'[8]Table 11 CWTs exp'!$AA17,IF('[8]Table 11 CWTs exp'!O17/'[8]Table 11 CWTs exp'!$AA17&gt;0,"-"," "))</f>
        <v>0.25303448028930503</v>
      </c>
      <c r="P16" s="195">
        <f>IF('[8]Table 11 CWTs exp'!P17/'[8]Table 11 CWTs exp'!$AA17&gt;0.0005,'[8]Table 11 CWTs exp'!P17/'[8]Table 11 CWTs exp'!$AA17,IF('[8]Table 11 CWTs exp'!P17/'[8]Table 11 CWTs exp'!$AA17&gt;0,"-"," "))</f>
        <v>1.7204339575351786E-2</v>
      </c>
      <c r="Q16" s="196">
        <f>IF('[8]Table 11 CWTs exp'!Q17/'[8]Table 11 CWTs exp'!$AA17&gt;0.0005,'[8]Table 11 CWTs exp'!Q17/'[8]Table 11 CWTs exp'!$AA17,IF('[8]Table 11 CWTs exp'!Q17/'[8]Table 11 CWTs exp'!$AA17&gt;0,"-"," "))</f>
        <v>4.2661749436070033E-2</v>
      </c>
      <c r="R16" s="197">
        <f>IF('[8]Table 11 CWTs exp'!R17/'[8]Table 11 CWTs exp'!$AA17&gt;0.0005,'[8]Table 11 CWTs exp'!R17/'[8]Table 11 CWTs exp'!$AA17,IF('[8]Table 11 CWTs exp'!R17/'[8]Table 11 CWTs exp'!$AA17&gt;0,"-"," "))</f>
        <v>6.1495220022199149E-2</v>
      </c>
      <c r="S16" s="195">
        <f>IF('[8]Table 11 CWTs exp'!S17/'[8]Table 11 CWTs exp'!$AA17&gt;0.0005,'[8]Table 11 CWTs exp'!S17/'[8]Table 11 CWTs exp'!$AA17,IF('[8]Table 11 CWTs exp'!S17/'[8]Table 11 CWTs exp'!$AA17&gt;0,"-"," "))</f>
        <v>2.0945970138565649E-3</v>
      </c>
      <c r="T16" s="195">
        <f>IF('[8]Table 11 CWTs exp'!T17/'[8]Table 11 CWTs exp'!$AA17&gt;0.0005,'[8]Table 11 CWTs exp'!T17/'[8]Table 11 CWTs exp'!$AA17,IF('[8]Table 11 CWTs exp'!T17/'[8]Table 11 CWTs exp'!$AA17&gt;0,"-"," "))</f>
        <v>0.16160621576139497</v>
      </c>
      <c r="U16" s="195">
        <f>IF('[8]Table 11 CWTs exp'!U17/'[8]Table 11 CWTs exp'!$AA17&gt;0.0005,'[8]Table 11 CWTs exp'!U17/'[8]Table 11 CWTs exp'!$AA17,IF('[8]Table 11 CWTs exp'!U17/'[8]Table 11 CWTs exp'!$AA17&gt;0,"-"," "))</f>
        <v>7.7159941279673454E-3</v>
      </c>
      <c r="V16" s="196" t="str">
        <f>IF('[8]Table 11 CWTs exp'!V17/'[8]Table 11 CWTs exp'!$AA17&gt;0.0005,'[8]Table 11 CWTs exp'!V17/'[8]Table 11 CWTs exp'!$AA17,IF('[8]Table 11 CWTs exp'!V17/'[8]Table 11 CWTs exp'!$AA17&gt;0,"-"," "))</f>
        <v xml:space="preserve"> </v>
      </c>
      <c r="W16" s="197">
        <f>IF('[8]Table 11 CWTs exp'!W17/'[8]Table 11 CWTs exp'!$AA17&gt;0.0005,'[8]Table 11 CWTs exp'!W17/'[8]Table 11 CWTs exp'!$AA17,IF('[8]Table 11 CWTs exp'!W17/'[8]Table 11 CWTs exp'!$AA17&gt;0,"-"," "))</f>
        <v>1.9853915285187439E-2</v>
      </c>
      <c r="X16" s="195" t="str">
        <f>IF('[8]Table 11 CWTs exp'!X17/'[8]Table 11 CWTs exp'!$AA17&gt;0.0005,'[8]Table 11 CWTs exp'!X17/'[8]Table 11 CWTs exp'!$AA17,IF('[8]Table 11 CWTs exp'!X17/'[8]Table 11 CWTs exp'!$AA17&gt;0,"-"," "))</f>
        <v>-</v>
      </c>
      <c r="Y16" s="198">
        <f t="shared" si="0"/>
        <v>0.85257259479394187</v>
      </c>
      <c r="Z16" s="199">
        <f>IF('[8]Table 11 CWTs exp'!Z17&gt;0,'[8]Table 11 CWTs exp'!Z17/'[8]Table 11 CWTs exp'!$AA17," ")</f>
        <v>0.14697984174155895</v>
      </c>
      <c r="AA16" s="59">
        <f>'[8]Table 11 CWTs exp'!AA17</f>
        <v>55858</v>
      </c>
      <c r="AB16" s="47"/>
      <c r="AC16" s="592">
        <f>'[8]Table 11 CWTs exp'!AC17</f>
        <v>0.85302015825844102</v>
      </c>
      <c r="AD16" s="592">
        <f t="shared" si="2"/>
        <v>-4.4756346449914552E-4</v>
      </c>
      <c r="AE16" s="593"/>
      <c r="AF16" s="594"/>
      <c r="AG16" s="442"/>
      <c r="AH16" s="442"/>
    </row>
    <row r="17" spans="1:34" ht="14.15" customHeight="1" x14ac:dyDescent="0.3">
      <c r="A17" s="5"/>
      <c r="E17" s="26" t="s">
        <v>63</v>
      </c>
      <c r="F17"/>
      <c r="G17" s="287"/>
      <c r="H17" s="157"/>
      <c r="I17" s="151"/>
      <c r="J17" s="158"/>
      <c r="K17" s="151"/>
      <c r="L17" s="151"/>
      <c r="M17" s="151"/>
      <c r="N17" s="151"/>
      <c r="O17" s="151"/>
      <c r="P17" s="151"/>
      <c r="Q17" s="157"/>
      <c r="R17" s="158"/>
      <c r="S17" s="151"/>
      <c r="T17" s="151"/>
      <c r="U17" s="151"/>
      <c r="V17" s="157"/>
      <c r="W17" s="158"/>
      <c r="X17" s="206"/>
      <c r="Y17" s="147"/>
      <c r="Z17" s="148"/>
      <c r="AA17" s="38"/>
      <c r="AC17" s="592"/>
      <c r="AD17" s="592"/>
      <c r="AE17" s="593"/>
      <c r="AF17" s="442"/>
      <c r="AG17" s="442"/>
      <c r="AH17" s="442"/>
    </row>
    <row r="18" spans="1:34" ht="14.5" customHeight="1" x14ac:dyDescent="0.25">
      <c r="A18" s="54" t="str">
        <f>'[8]Table 11 CWTs exp'!A19</f>
        <v>USAC544</v>
      </c>
      <c r="B18" s="75" t="str">
        <f>'[8]Table 11 CWTs exp'!B19</f>
        <v>USAC</v>
      </c>
      <c r="C18" s="75">
        <f>'[8]Table 11 CWTs exp'!C19</f>
        <v>54</v>
      </c>
      <c r="D18" s="75">
        <f>'[8]Table 11 CWTs exp'!D19</f>
        <v>4</v>
      </c>
      <c r="E18" s="305" t="str">
        <f>'[8]Table 11 CWTs exp'!E19</f>
        <v>Upper Sacramento River</v>
      </c>
      <c r="F18" s="296" t="str">
        <f>'[8]Table 11 CWTs exp'!F19</f>
        <v>Winter</v>
      </c>
      <c r="G18" s="306">
        <f>IF('[8]Table 11 CWTs exp'!G19/'[8]Table 11 CWTs exp'!$AA19&gt;0.0005,'[8]Table 11 CWTs exp'!G19/'[8]Table 11 CWTs exp'!$AA19,IF('[8]Table 11 CWTs exp'!G19/'[8]Table 11 CWTs exp'!$AA19&gt;0,"-"," "))</f>
        <v>0.17536140791954746</v>
      </c>
      <c r="H18" s="298" t="str">
        <f>IF('[8]Table 11 CWTs exp'!H19/'[8]Table 11 CWTs exp'!$AA19&gt;0.0005,'[8]Table 11 CWTs exp'!H19/'[8]Table 11 CWTs exp'!$AA19,IF('[8]Table 11 CWTs exp'!H19/'[8]Table 11 CWTs exp'!$AA19&gt;0,"-"," "))</f>
        <v xml:space="preserve"> </v>
      </c>
      <c r="I18" s="299" t="str">
        <f>IF('[8]Table 11 CWTs exp'!I19/'[8]Table 11 CWTs exp'!$AA19&gt;0.0005,'[8]Table 11 CWTs exp'!I19/'[8]Table 11 CWTs exp'!$AA19,IF('[8]Table 11 CWTs exp'!I19/'[8]Table 11 CWTs exp'!$AA19&gt;0,"-"," "))</f>
        <v xml:space="preserve"> </v>
      </c>
      <c r="J18" s="300" t="str">
        <f>IF('[8]Table 11 CWTs exp'!J19/'[8]Table 11 CWTs exp'!$AA19&gt;0.0005,'[8]Table 11 CWTs exp'!J19/'[8]Table 11 CWTs exp'!$AA19,IF('[8]Table 11 CWTs exp'!J19/'[8]Table 11 CWTs exp'!$AA19&gt;0,"-"," "))</f>
        <v xml:space="preserve"> </v>
      </c>
      <c r="K18" s="299" t="str">
        <f>IF('[8]Table 11 CWTs exp'!K19/'[8]Table 11 CWTs exp'!$AA19&gt;0.0005,'[8]Table 11 CWTs exp'!K19/'[8]Table 11 CWTs exp'!$AA19,IF('[8]Table 11 CWTs exp'!K19/'[8]Table 11 CWTs exp'!$AA19&gt;0,"-"," "))</f>
        <v xml:space="preserve"> </v>
      </c>
      <c r="L18" s="299" t="str">
        <f>IF('[8]Table 11 CWTs exp'!L19/'[8]Table 11 CWTs exp'!$AA19&gt;0.0005,'[8]Table 11 CWTs exp'!L19/'[8]Table 11 CWTs exp'!$AA19,IF('[8]Table 11 CWTs exp'!L19/'[8]Table 11 CWTs exp'!$AA19&gt;0,"-"," "))</f>
        <v xml:space="preserve"> </v>
      </c>
      <c r="M18" s="299" t="str">
        <f>IF('[8]Table 11 CWTs exp'!M19/'[8]Table 11 CWTs exp'!$AA19&gt;0.0005,'[8]Table 11 CWTs exp'!M19/'[8]Table 11 CWTs exp'!$AA19,IF('[8]Table 11 CWTs exp'!M19/'[8]Table 11 CWTs exp'!$AA19&gt;0,"-"," "))</f>
        <v xml:space="preserve"> </v>
      </c>
      <c r="N18" s="299" t="str">
        <f>IF('[8]Table 11 CWTs exp'!N19/'[8]Table 11 CWTs exp'!$AA19&gt;0.0005,'[8]Table 11 CWTs exp'!N19/'[8]Table 11 CWTs exp'!$AA19,IF('[8]Table 11 CWTs exp'!N19/'[8]Table 11 CWTs exp'!$AA19&gt;0,"-"," "))</f>
        <v xml:space="preserve"> </v>
      </c>
      <c r="O18" s="299" t="str">
        <f>IF('[8]Table 11 CWTs exp'!O19/'[8]Table 11 CWTs exp'!$AA19&gt;0.0005,'[8]Table 11 CWTs exp'!O19/'[8]Table 11 CWTs exp'!$AA19,IF('[8]Table 11 CWTs exp'!O19/'[8]Table 11 CWTs exp'!$AA19&gt;0,"-"," "))</f>
        <v xml:space="preserve"> </v>
      </c>
      <c r="P18" s="299" t="str">
        <f>IF('[8]Table 11 CWTs exp'!P19/'[8]Table 11 CWTs exp'!$AA19&gt;0.0005,'[8]Table 11 CWTs exp'!P19/'[8]Table 11 CWTs exp'!$AA19,IF('[8]Table 11 CWTs exp'!P19/'[8]Table 11 CWTs exp'!$AA19&gt;0,"-"," "))</f>
        <v xml:space="preserve"> </v>
      </c>
      <c r="Q18" s="298" t="str">
        <f>IF('[8]Table 11 CWTs exp'!Q19/'[8]Table 11 CWTs exp'!$AA19&gt;0.0005,'[8]Table 11 CWTs exp'!Q19/'[8]Table 11 CWTs exp'!$AA19,IF('[8]Table 11 CWTs exp'!Q19/'[8]Table 11 CWTs exp'!$AA19&gt;0,"-"," "))</f>
        <v xml:space="preserve"> </v>
      </c>
      <c r="R18" s="300" t="str">
        <f>IF('[8]Table 11 CWTs exp'!R19/'[8]Table 11 CWTs exp'!$AA19&gt;0.0005,'[8]Table 11 CWTs exp'!R19/'[8]Table 11 CWTs exp'!$AA19,IF('[8]Table 11 CWTs exp'!R19/'[8]Table 11 CWTs exp'!$AA19&gt;0,"-"," "))</f>
        <v xml:space="preserve"> </v>
      </c>
      <c r="S18" s="299" t="str">
        <f>IF('[8]Table 11 CWTs exp'!S19/'[8]Table 11 CWTs exp'!$AA19&gt;0.0005,'[8]Table 11 CWTs exp'!S19/'[8]Table 11 CWTs exp'!$AA19,IF('[8]Table 11 CWTs exp'!S19/'[8]Table 11 CWTs exp'!$AA19&gt;0,"-"," "))</f>
        <v xml:space="preserve"> </v>
      </c>
      <c r="T18" s="299" t="str">
        <f>IF('[8]Table 11 CWTs exp'!T19/'[8]Table 11 CWTs exp'!$AA19&gt;0.0005,'[8]Table 11 CWTs exp'!T19/'[8]Table 11 CWTs exp'!$AA19,IF('[8]Table 11 CWTs exp'!T19/'[8]Table 11 CWTs exp'!$AA19&gt;0,"-"," "))</f>
        <v xml:space="preserve"> </v>
      </c>
      <c r="U18" s="299" t="str">
        <f>IF('[8]Table 11 CWTs exp'!U19/'[8]Table 11 CWTs exp'!$AA19&gt;0.0005,'[8]Table 11 CWTs exp'!U19/'[8]Table 11 CWTs exp'!$AA19,IF('[8]Table 11 CWTs exp'!U19/'[8]Table 11 CWTs exp'!$AA19&gt;0,"-"," "))</f>
        <v xml:space="preserve"> </v>
      </c>
      <c r="V18" s="298" t="str">
        <f>IF('[8]Table 11 CWTs exp'!V19/'[8]Table 11 CWTs exp'!$AA19&gt;0.0005,'[8]Table 11 CWTs exp'!V19/'[8]Table 11 CWTs exp'!$AA19,IF('[8]Table 11 CWTs exp'!V19/'[8]Table 11 CWTs exp'!$AA19&gt;0,"-"," "))</f>
        <v xml:space="preserve"> </v>
      </c>
      <c r="W18" s="300" t="str">
        <f>IF('[8]Table 11 CWTs exp'!W19/'[8]Table 11 CWTs exp'!$AA19&gt;0.0005,'[8]Table 11 CWTs exp'!W19/'[8]Table 11 CWTs exp'!$AA19,IF('[8]Table 11 CWTs exp'!W19/'[8]Table 11 CWTs exp'!$AA19&gt;0,"-"," "))</f>
        <v xml:space="preserve"> </v>
      </c>
      <c r="X18" s="301" t="str">
        <f>IF('[8]Table 11 CWTs exp'!X19/'[8]Table 11 CWTs exp'!$AA19&gt;0.0005,'[8]Table 11 CWTs exp'!X19/'[8]Table 11 CWTs exp'!$AA19,IF('[8]Table 11 CWTs exp'!X19/'[8]Table 11 CWTs exp'!$AA19&gt;0,"-"," "))</f>
        <v xml:space="preserve"> </v>
      </c>
      <c r="Y18" s="302">
        <f t="shared" si="0"/>
        <v>0.17536140791954746</v>
      </c>
      <c r="Z18" s="303">
        <f t="shared" ref="Z18:Z38" si="5">1-Y18</f>
        <v>0.82463859208045254</v>
      </c>
      <c r="AA18" s="272">
        <f>'[8]Table 11 CWTs exp'!AA19</f>
        <v>3182</v>
      </c>
      <c r="AC18" s="592">
        <f>'[8]Table 11 CWTs exp'!AC19</f>
        <v>0.17499999999999999</v>
      </c>
      <c r="AD18" s="592">
        <f t="shared" si="2"/>
        <v>3.6140791954747398E-4</v>
      </c>
      <c r="AE18" s="593" t="str">
        <f t="shared" si="3"/>
        <v>USAC544</v>
      </c>
      <c r="AF18" s="442"/>
      <c r="AG18" s="442"/>
      <c r="AH18" s="442"/>
    </row>
    <row r="19" spans="1:34" ht="14.5" hidden="1" customHeight="1" x14ac:dyDescent="0.25">
      <c r="A19" s="54" t="str">
        <f>'[8]Table 11 CWTs exp'!A20</f>
        <v>BUT541</v>
      </c>
      <c r="B19" s="75" t="str">
        <f>'[8]Table 11 CWTs exp'!B20</f>
        <v>BUT</v>
      </c>
      <c r="C19" s="75">
        <f>'[8]Table 11 CWTs exp'!C20</f>
        <v>54</v>
      </c>
      <c r="D19" s="75">
        <f>'[8]Table 11 CWTs exp'!D20</f>
        <v>1</v>
      </c>
      <c r="E19" t="str">
        <f>'[8]Table 11 CWTs exp'!E20</f>
        <v>Butte Creek</v>
      </c>
      <c r="F19" s="37" t="str">
        <f>'[8]Table 11 CWTs exp'!F20</f>
        <v>Spring</v>
      </c>
      <c r="G19" s="144" t="str">
        <f>IF('[8]Table 11 CWTs exp'!G20/'[8]Table 11 CWTs exp'!$AA20&gt;0.0005,'[8]Table 11 CWTs exp'!G20/'[8]Table 11 CWTs exp'!$AA20,IF('[8]Table 11 CWTs exp'!G20/'[8]Table 11 CWTs exp'!$AA20&gt;0,"-"," "))</f>
        <v xml:space="preserve"> </v>
      </c>
      <c r="H19" s="145" t="str">
        <f>IF('[8]Table 11 CWTs exp'!H20/'[8]Table 11 CWTs exp'!$AA20&gt;0.0005,'[8]Table 11 CWTs exp'!H20/'[8]Table 11 CWTs exp'!$AA20,IF('[8]Table 11 CWTs exp'!H20/'[8]Table 11 CWTs exp'!$AA20&gt;0,"-"," "))</f>
        <v xml:space="preserve"> </v>
      </c>
      <c r="I19" s="144" t="str">
        <f>IF('[8]Table 11 CWTs exp'!I20/'[8]Table 11 CWTs exp'!$AA20&gt;0.0005,'[8]Table 11 CWTs exp'!I20/'[8]Table 11 CWTs exp'!$AA20,IF('[8]Table 11 CWTs exp'!I20/'[8]Table 11 CWTs exp'!$AA20&gt;0,"-"," "))</f>
        <v xml:space="preserve"> </v>
      </c>
      <c r="J19" s="146" t="str">
        <f>IF('[8]Table 11 CWTs exp'!J20/'[8]Table 11 CWTs exp'!$AA20&gt;0.0005,'[8]Table 11 CWTs exp'!J20/'[8]Table 11 CWTs exp'!$AA20,IF('[8]Table 11 CWTs exp'!J20/'[8]Table 11 CWTs exp'!$AA20&gt;0,"-"," "))</f>
        <v xml:space="preserve"> </v>
      </c>
      <c r="K19" s="144" t="str">
        <f>IF('[8]Table 11 CWTs exp'!K20/'[8]Table 11 CWTs exp'!$AA20&gt;0.0005,'[8]Table 11 CWTs exp'!K20/'[8]Table 11 CWTs exp'!$AA20,IF('[8]Table 11 CWTs exp'!K20/'[8]Table 11 CWTs exp'!$AA20&gt;0,"-"," "))</f>
        <v xml:space="preserve"> </v>
      </c>
      <c r="L19" s="144" t="str">
        <f>IF('[8]Table 11 CWTs exp'!L20/'[8]Table 11 CWTs exp'!$AA20&gt;0.0005,'[8]Table 11 CWTs exp'!L20/'[8]Table 11 CWTs exp'!$AA20,IF('[8]Table 11 CWTs exp'!L20/'[8]Table 11 CWTs exp'!$AA20&gt;0,"-"," "))</f>
        <v xml:space="preserve"> </v>
      </c>
      <c r="M19" s="144" t="str">
        <f>IF('[8]Table 11 CWTs exp'!M20/'[8]Table 11 CWTs exp'!$AA20&gt;0.0005,'[8]Table 11 CWTs exp'!M20/'[8]Table 11 CWTs exp'!$AA20,IF('[8]Table 11 CWTs exp'!M20/'[8]Table 11 CWTs exp'!$AA20&gt;0,"-"," "))</f>
        <v xml:space="preserve"> </v>
      </c>
      <c r="N19" s="144" t="str">
        <f>IF('[8]Table 11 CWTs exp'!N20/'[8]Table 11 CWTs exp'!$AA20&gt;0.0005,'[8]Table 11 CWTs exp'!N20/'[8]Table 11 CWTs exp'!$AA20,IF('[8]Table 11 CWTs exp'!N20/'[8]Table 11 CWTs exp'!$AA20&gt;0,"-"," "))</f>
        <v xml:space="preserve"> </v>
      </c>
      <c r="O19" s="144" t="str">
        <f>IF('[8]Table 11 CWTs exp'!O20/'[8]Table 11 CWTs exp'!$AA20&gt;0.0005,'[8]Table 11 CWTs exp'!O20/'[8]Table 11 CWTs exp'!$AA20,IF('[8]Table 11 CWTs exp'!O20/'[8]Table 11 CWTs exp'!$AA20&gt;0,"-"," "))</f>
        <v xml:space="preserve"> </v>
      </c>
      <c r="P19" s="144" t="str">
        <f>IF('[8]Table 11 CWTs exp'!P20/'[8]Table 11 CWTs exp'!$AA20&gt;0.0005,'[8]Table 11 CWTs exp'!P20/'[8]Table 11 CWTs exp'!$AA20,IF('[8]Table 11 CWTs exp'!P20/'[8]Table 11 CWTs exp'!$AA20&gt;0,"-"," "))</f>
        <v xml:space="preserve"> </v>
      </c>
      <c r="Q19" s="145" t="str">
        <f>IF('[8]Table 11 CWTs exp'!Q20/'[8]Table 11 CWTs exp'!$AA20&gt;0.0005,'[8]Table 11 CWTs exp'!Q20/'[8]Table 11 CWTs exp'!$AA20,IF('[8]Table 11 CWTs exp'!Q20/'[8]Table 11 CWTs exp'!$AA20&gt;0,"-"," "))</f>
        <v xml:space="preserve"> </v>
      </c>
      <c r="R19" s="146" t="str">
        <f>IF('[8]Table 11 CWTs exp'!R20/'[8]Table 11 CWTs exp'!$AA20&gt;0.0005,'[8]Table 11 CWTs exp'!R20/'[8]Table 11 CWTs exp'!$AA20,IF('[8]Table 11 CWTs exp'!R20/'[8]Table 11 CWTs exp'!$AA20&gt;0,"-"," "))</f>
        <v xml:space="preserve"> </v>
      </c>
      <c r="S19" s="144" t="str">
        <f>IF('[8]Table 11 CWTs exp'!S20/'[8]Table 11 CWTs exp'!$AA20&gt;0.0005,'[8]Table 11 CWTs exp'!S20/'[8]Table 11 CWTs exp'!$AA20,IF('[8]Table 11 CWTs exp'!S20/'[8]Table 11 CWTs exp'!$AA20&gt;0,"-"," "))</f>
        <v xml:space="preserve"> </v>
      </c>
      <c r="T19" s="144" t="str">
        <f>IF('[8]Table 11 CWTs exp'!T20/'[8]Table 11 CWTs exp'!$AA20&gt;0.0005,'[8]Table 11 CWTs exp'!T20/'[8]Table 11 CWTs exp'!$AA20,IF('[8]Table 11 CWTs exp'!T20/'[8]Table 11 CWTs exp'!$AA20&gt;0,"-"," "))</f>
        <v xml:space="preserve"> </v>
      </c>
      <c r="U19" s="144" t="str">
        <f>IF('[8]Table 11 CWTs exp'!U20/'[8]Table 11 CWTs exp'!$AA20&gt;0.0005,'[8]Table 11 CWTs exp'!U20/'[8]Table 11 CWTs exp'!$AA20,IF('[8]Table 11 CWTs exp'!U20/'[8]Table 11 CWTs exp'!$AA20&gt;0,"-"," "))</f>
        <v xml:space="preserve"> </v>
      </c>
      <c r="V19" s="145" t="str">
        <f>IF('[8]Table 11 CWTs exp'!V20/'[8]Table 11 CWTs exp'!$AA20&gt;0.0005,'[8]Table 11 CWTs exp'!V20/'[8]Table 11 CWTs exp'!$AA20,IF('[8]Table 11 CWTs exp'!V20/'[8]Table 11 CWTs exp'!$AA20&gt;0,"-"," "))</f>
        <v xml:space="preserve"> </v>
      </c>
      <c r="W19" s="146" t="str">
        <f>IF('[8]Table 11 CWTs exp'!W20/'[8]Table 11 CWTs exp'!$AA20&gt;0.0005,'[8]Table 11 CWTs exp'!W20/'[8]Table 11 CWTs exp'!$AA20,IF('[8]Table 11 CWTs exp'!W20/'[8]Table 11 CWTs exp'!$AA20&gt;0,"-"," "))</f>
        <v xml:space="preserve"> </v>
      </c>
      <c r="X19" s="206" t="str">
        <f>IF('[8]Table 11 CWTs exp'!X20/'[8]Table 11 CWTs exp'!$AA20&gt;0.0005,'[8]Table 11 CWTs exp'!X20/'[8]Table 11 CWTs exp'!$AA20,IF('[8]Table 11 CWTs exp'!X20/'[8]Table 11 CWTs exp'!$AA20&gt;0,"-"," "))</f>
        <v xml:space="preserve"> </v>
      </c>
      <c r="Y19" s="147">
        <f t="shared" si="0"/>
        <v>0</v>
      </c>
      <c r="Z19" s="148">
        <f t="shared" si="5"/>
        <v>1</v>
      </c>
      <c r="AA19" s="38">
        <f>'[8]Table 11 CWTs exp'!AA20</f>
        <v>413</v>
      </c>
      <c r="AC19" s="592">
        <f>'[8]Table 11 CWTs exp'!AC20</f>
        <v>0</v>
      </c>
      <c r="AD19" s="592">
        <f t="shared" si="2"/>
        <v>0</v>
      </c>
      <c r="AE19" s="593" t="str">
        <f t="shared" si="3"/>
        <v>BUT541</v>
      </c>
      <c r="AF19" s="442"/>
      <c r="AG19" s="442"/>
      <c r="AH19" s="442"/>
    </row>
    <row r="20" spans="1:34" ht="14.5" customHeight="1" x14ac:dyDescent="0.25">
      <c r="A20" s="54" t="str">
        <f>'[8]Table 11 CWTs exp'!A21</f>
        <v>USAC543</v>
      </c>
      <c r="B20" s="75" t="str">
        <f>'[8]Table 11 CWTs exp'!B21</f>
        <v>USAC</v>
      </c>
      <c r="C20" s="75">
        <f>'[8]Table 11 CWTs exp'!C21</f>
        <v>54</v>
      </c>
      <c r="D20" s="75">
        <f>'[8]Table 11 CWTs exp'!D21</f>
        <v>3</v>
      </c>
      <c r="E20" t="str">
        <f>'[8]Table 11 CWTs exp'!E21</f>
        <v>Upper Sacramento River</v>
      </c>
      <c r="F20" s="307" t="str">
        <f>'[8]Table 11 CWTs exp'!F21</f>
        <v>Fall</v>
      </c>
      <c r="G20" s="308" t="str">
        <f>IF('[8]Table 11 CWTs exp'!G21/'[8]Table 11 CWTs exp'!$AA21&gt;0.0005,'[8]Table 11 CWTs exp'!G21/'[8]Table 11 CWTs exp'!$AA21,IF('[8]Table 11 CWTs exp'!G21/'[8]Table 11 CWTs exp'!$AA21&gt;0,"-"," "))</f>
        <v xml:space="preserve"> </v>
      </c>
      <c r="H20" s="309" t="str">
        <f>IF('[8]Table 11 CWTs exp'!H21/'[8]Table 11 CWTs exp'!$AA21&gt;0.0005,'[8]Table 11 CWTs exp'!H21/'[8]Table 11 CWTs exp'!$AA21,IF('[8]Table 11 CWTs exp'!H21/'[8]Table 11 CWTs exp'!$AA21&gt;0,"-"," "))</f>
        <v xml:space="preserve"> </v>
      </c>
      <c r="I20" s="308">
        <f>IF('[8]Table 11 CWTs exp'!I21/'[8]Table 11 CWTs exp'!$AA21&gt;0.0005,'[8]Table 11 CWTs exp'!I21/'[8]Table 11 CWTs exp'!$AA21,IF('[8]Table 11 CWTs exp'!I21/'[8]Table 11 CWTs exp'!$AA21&gt;0,"-"," "))</f>
        <v>8.3089158643784009E-2</v>
      </c>
      <c r="J20" s="310">
        <f>IF('[8]Table 11 CWTs exp'!J21/'[8]Table 11 CWTs exp'!$AA21&gt;0.0005,'[8]Table 11 CWTs exp'!J21/'[8]Table 11 CWTs exp'!$AA21,IF('[8]Table 11 CWTs exp'!J21/'[8]Table 11 CWTs exp'!$AA21&gt;0,"-"," "))</f>
        <v>1.5801590623691922E-2</v>
      </c>
      <c r="K20" s="308" t="str">
        <f>IF('[8]Table 11 CWTs exp'!K21/'[8]Table 11 CWTs exp'!$AA21&gt;0.0005,'[8]Table 11 CWTs exp'!K21/'[8]Table 11 CWTs exp'!$AA21,IF('[8]Table 11 CWTs exp'!K21/'[8]Table 11 CWTs exp'!$AA21&gt;0,"-"," "))</f>
        <v xml:space="preserve"> </v>
      </c>
      <c r="L20" s="308">
        <f>IF('[8]Table 11 CWTs exp'!L21/'[8]Table 11 CWTs exp'!$AA21&gt;0.0005,'[8]Table 11 CWTs exp'!L21/'[8]Table 11 CWTs exp'!$AA21,IF('[8]Table 11 CWTs exp'!L21/'[8]Table 11 CWTs exp'!$AA21&gt;0,"-"," "))</f>
        <v>1.3673782614762105E-2</v>
      </c>
      <c r="M20" s="308" t="str">
        <f>IF('[8]Table 11 CWTs exp'!M21/'[8]Table 11 CWTs exp'!$AA21&gt;0.0005,'[8]Table 11 CWTs exp'!M21/'[8]Table 11 CWTs exp'!$AA21,IF('[8]Table 11 CWTs exp'!M21/'[8]Table 11 CWTs exp'!$AA21&gt;0,"-"," "))</f>
        <v xml:space="preserve"> </v>
      </c>
      <c r="N20" s="308">
        <f>IF('[8]Table 11 CWTs exp'!N21/'[8]Table 11 CWTs exp'!$AA21&gt;0.0005,'[8]Table 11 CWTs exp'!N21/'[8]Table 11 CWTs exp'!$AA21,IF('[8]Table 11 CWTs exp'!N21/'[8]Table 11 CWTs exp'!$AA21&gt;0,"-"," "))</f>
        <v>2.0999023301241804E-2</v>
      </c>
      <c r="O20" s="308">
        <f>IF('[8]Table 11 CWTs exp'!O21/'[8]Table 11 CWTs exp'!$AA21&gt;0.0005,'[8]Table 11 CWTs exp'!O21/'[8]Table 11 CWTs exp'!$AA21,IF('[8]Table 11 CWTs exp'!O21/'[8]Table 11 CWTs exp'!$AA21&gt;0,"-"," "))</f>
        <v>0.51569694432817081</v>
      </c>
      <c r="P20" s="308">
        <f>IF('[8]Table 11 CWTs exp'!P21/'[8]Table 11 CWTs exp'!$AA21&gt;0.0005,'[8]Table 11 CWTs exp'!P21/'[8]Table 11 CWTs exp'!$AA21,IF('[8]Table 11 CWTs exp'!P21/'[8]Table 11 CWTs exp'!$AA21&gt;0,"-"," "))</f>
        <v>2.65103948653551E-2</v>
      </c>
      <c r="Q20" s="309" t="str">
        <f>IF('[8]Table 11 CWTs exp'!Q21/'[8]Table 11 CWTs exp'!$AA21&gt;0.0005,'[8]Table 11 CWTs exp'!Q21/'[8]Table 11 CWTs exp'!$AA21,IF('[8]Table 11 CWTs exp'!Q21/'[8]Table 11 CWTs exp'!$AA21&gt;0,"-"," "))</f>
        <v xml:space="preserve"> </v>
      </c>
      <c r="R20" s="310" t="str">
        <f>IF('[8]Table 11 CWTs exp'!R21/'[8]Table 11 CWTs exp'!$AA21&gt;0.0005,'[8]Table 11 CWTs exp'!R21/'[8]Table 11 CWTs exp'!$AA21,IF('[8]Table 11 CWTs exp'!R21/'[8]Table 11 CWTs exp'!$AA21&gt;0,"-"," "))</f>
        <v xml:space="preserve"> </v>
      </c>
      <c r="S20" s="308" t="str">
        <f>IF('[8]Table 11 CWTs exp'!S21/'[8]Table 11 CWTs exp'!$AA21&gt;0.0005,'[8]Table 11 CWTs exp'!S21/'[8]Table 11 CWTs exp'!$AA21,IF('[8]Table 11 CWTs exp'!S21/'[8]Table 11 CWTs exp'!$AA21&gt;0,"-"," "))</f>
        <v xml:space="preserve"> </v>
      </c>
      <c r="T20" s="308" t="str">
        <f>IF('[8]Table 11 CWTs exp'!T21/'[8]Table 11 CWTs exp'!$AA21&gt;0.0005,'[8]Table 11 CWTs exp'!T21/'[8]Table 11 CWTs exp'!$AA21,IF('[8]Table 11 CWTs exp'!T21/'[8]Table 11 CWTs exp'!$AA21&gt;0,"-"," "))</f>
        <v xml:space="preserve"> </v>
      </c>
      <c r="U20" s="308" t="str">
        <f>IF('[8]Table 11 CWTs exp'!U21/'[8]Table 11 CWTs exp'!$AA21&gt;0.0005,'[8]Table 11 CWTs exp'!U21/'[8]Table 11 CWTs exp'!$AA21,IF('[8]Table 11 CWTs exp'!U21/'[8]Table 11 CWTs exp'!$AA21&gt;0,"-"," "))</f>
        <v xml:space="preserve"> </v>
      </c>
      <c r="V20" s="309" t="str">
        <f>IF('[8]Table 11 CWTs exp'!V21/'[8]Table 11 CWTs exp'!$AA21&gt;0.0005,'[8]Table 11 CWTs exp'!V21/'[8]Table 11 CWTs exp'!$AA21,IF('[8]Table 11 CWTs exp'!V21/'[8]Table 11 CWTs exp'!$AA21&gt;0,"-"," "))</f>
        <v xml:space="preserve"> </v>
      </c>
      <c r="W20" s="310" t="str">
        <f>IF('[8]Table 11 CWTs exp'!W21/'[8]Table 11 CWTs exp'!$AA21&gt;0.0005,'[8]Table 11 CWTs exp'!W21/'[8]Table 11 CWTs exp'!$AA21,IF('[8]Table 11 CWTs exp'!W21/'[8]Table 11 CWTs exp'!$AA21&gt;0,"-"," "))</f>
        <v xml:space="preserve"> </v>
      </c>
      <c r="X20" s="311" t="str">
        <f>IF('[8]Table 11 CWTs exp'!X21/'[8]Table 11 CWTs exp'!$AA21&gt;0.0005,'[8]Table 11 CWTs exp'!X21/'[8]Table 11 CWTs exp'!$AA21,IF('[8]Table 11 CWTs exp'!X21/'[8]Table 11 CWTs exp'!$AA21&gt;0,"-"," "))</f>
        <v xml:space="preserve"> </v>
      </c>
      <c r="Y20" s="312">
        <f t="shared" si="0"/>
        <v>0.67577089437700577</v>
      </c>
      <c r="Z20" s="313">
        <f t="shared" si="5"/>
        <v>0.32422910562299423</v>
      </c>
      <c r="AA20" s="314">
        <f>'[8]Table 11 CWTs exp'!AA21</f>
        <v>28668</v>
      </c>
      <c r="AB20" s="207"/>
      <c r="AC20" s="620">
        <f>'[8]Table 11 CWTs exp'!AC21</f>
        <v>0.67600000000000005</v>
      </c>
      <c r="AD20" s="620">
        <f t="shared" si="2"/>
        <v>-2.291056229942745E-4</v>
      </c>
      <c r="AE20" s="621" t="str">
        <f t="shared" si="3"/>
        <v>USAC543</v>
      </c>
      <c r="AF20" s="442"/>
      <c r="AG20" s="442"/>
      <c r="AH20" s="442"/>
    </row>
    <row r="21" spans="1:34" ht="14.5" customHeight="1" x14ac:dyDescent="0.25">
      <c r="A21" s="54" t="str">
        <f>'[8]Table 11 CWTs exp'!A22</f>
        <v>CLR543</v>
      </c>
      <c r="B21" s="75" t="str">
        <f>'[8]Table 11 CWTs exp'!B22</f>
        <v>CLR</v>
      </c>
      <c r="C21" s="75">
        <f>'[8]Table 11 CWTs exp'!C22</f>
        <v>54</v>
      </c>
      <c r="D21" s="75">
        <f>'[8]Table 11 CWTs exp'!D22</f>
        <v>3</v>
      </c>
      <c r="E21" t="str">
        <f>'[8]Table 11 CWTs exp'!E22</f>
        <v>Clear Creek</v>
      </c>
      <c r="F21" s="37" t="str">
        <f>'[8]Table 11 CWTs exp'!F22</f>
        <v>Fall</v>
      </c>
      <c r="G21" s="144" t="str">
        <f>IF('[8]Table 11 CWTs exp'!G22/'[8]Table 11 CWTs exp'!$AA22&gt;0.0005,'[8]Table 11 CWTs exp'!G22/'[8]Table 11 CWTs exp'!$AA22,IF('[8]Table 11 CWTs exp'!G22/'[8]Table 11 CWTs exp'!$AA22&gt;0,"-"," "))</f>
        <v xml:space="preserve"> </v>
      </c>
      <c r="H21" s="145" t="str">
        <f>IF('[8]Table 11 CWTs exp'!H22/'[8]Table 11 CWTs exp'!$AA22&gt;0.0005,'[8]Table 11 CWTs exp'!H22/'[8]Table 11 CWTs exp'!$AA22,IF('[8]Table 11 CWTs exp'!H22/'[8]Table 11 CWTs exp'!$AA22&gt;0,"-"," "))</f>
        <v xml:space="preserve"> </v>
      </c>
      <c r="I21" s="144">
        <f>IF('[8]Table 11 CWTs exp'!I22/'[8]Table 11 CWTs exp'!$AA22&gt;0.0005,'[8]Table 11 CWTs exp'!I22/'[8]Table 11 CWTs exp'!$AA22,IF('[8]Table 11 CWTs exp'!I22/'[8]Table 11 CWTs exp'!$AA22&gt;0,"-"," "))</f>
        <v>7.5604495402429334E-2</v>
      </c>
      <c r="J21" s="146">
        <f>IF('[8]Table 11 CWTs exp'!J22/'[8]Table 11 CWTs exp'!$AA22&gt;0.0005,'[8]Table 11 CWTs exp'!J22/'[8]Table 11 CWTs exp'!$AA22,IF('[8]Table 11 CWTs exp'!J22/'[8]Table 11 CWTs exp'!$AA22&gt;0,"-"," "))</f>
        <v>4.1775456919060053E-2</v>
      </c>
      <c r="K21" s="144" t="str">
        <f>IF('[8]Table 11 CWTs exp'!K22/'[8]Table 11 CWTs exp'!$AA22&gt;0.0005,'[8]Table 11 CWTs exp'!K22/'[8]Table 11 CWTs exp'!$AA22,IF('[8]Table 11 CWTs exp'!K22/'[8]Table 11 CWTs exp'!$AA22&gt;0,"-"," "))</f>
        <v xml:space="preserve"> </v>
      </c>
      <c r="L21" s="144">
        <f>IF('[8]Table 11 CWTs exp'!L22/'[8]Table 11 CWTs exp'!$AA22&gt;0.0005,'[8]Table 11 CWTs exp'!L22/'[8]Table 11 CWTs exp'!$AA22,IF('[8]Table 11 CWTs exp'!L22/'[8]Table 11 CWTs exp'!$AA22&gt;0,"-"," "))</f>
        <v>9.6492223861959353E-3</v>
      </c>
      <c r="M21" s="144" t="str">
        <f>IF('[8]Table 11 CWTs exp'!M22/'[8]Table 11 CWTs exp'!$AA22&gt;0.0005,'[8]Table 11 CWTs exp'!M22/'[8]Table 11 CWTs exp'!$AA22,IF('[8]Table 11 CWTs exp'!M22/'[8]Table 11 CWTs exp'!$AA22&gt;0,"-"," "))</f>
        <v xml:space="preserve"> </v>
      </c>
      <c r="N21" s="144">
        <f>IF('[8]Table 11 CWTs exp'!N22/'[8]Table 11 CWTs exp'!$AA22&gt;0.0005,'[8]Table 11 CWTs exp'!N22/'[8]Table 11 CWTs exp'!$AA22,IF('[8]Table 11 CWTs exp'!N22/'[8]Table 11 CWTs exp'!$AA22&gt;0,"-"," "))</f>
        <v>2.6677261891247587E-2</v>
      </c>
      <c r="O21" s="144">
        <f>IF('[8]Table 11 CWTs exp'!O22/'[8]Table 11 CWTs exp'!$AA22&gt;0.0005,'[8]Table 11 CWTs exp'!O22/'[8]Table 11 CWTs exp'!$AA22,IF('[8]Table 11 CWTs exp'!O22/'[8]Table 11 CWTs exp'!$AA22&gt;0,"-"," "))</f>
        <v>0.55341128391417871</v>
      </c>
      <c r="P21" s="144">
        <f>IF('[8]Table 11 CWTs exp'!P22/'[8]Table 11 CWTs exp'!$AA22&gt;0.0005,'[8]Table 11 CWTs exp'!P22/'[8]Table 11 CWTs exp'!$AA22,IF('[8]Table 11 CWTs exp'!P22/'[8]Table 11 CWTs exp'!$AA22&gt;0,"-"," "))</f>
        <v>2.940174821205585E-2</v>
      </c>
      <c r="Q21" s="145" t="str">
        <f>IF('[8]Table 11 CWTs exp'!Q22/'[8]Table 11 CWTs exp'!$AA22&gt;0.0005,'[8]Table 11 CWTs exp'!Q22/'[8]Table 11 CWTs exp'!$AA22,IF('[8]Table 11 CWTs exp'!Q22/'[8]Table 11 CWTs exp'!$AA22&gt;0,"-"," "))</f>
        <v xml:space="preserve"> </v>
      </c>
      <c r="R21" s="146" t="str">
        <f>IF('[8]Table 11 CWTs exp'!R22/'[8]Table 11 CWTs exp'!$AA22&gt;0.0005,'[8]Table 11 CWTs exp'!R22/'[8]Table 11 CWTs exp'!$AA22,IF('[8]Table 11 CWTs exp'!R22/'[8]Table 11 CWTs exp'!$AA22&gt;0,"-"," "))</f>
        <v xml:space="preserve"> </v>
      </c>
      <c r="S21" s="144" t="str">
        <f>IF('[8]Table 11 CWTs exp'!S22/'[8]Table 11 CWTs exp'!$AA22&gt;0.0005,'[8]Table 11 CWTs exp'!S22/'[8]Table 11 CWTs exp'!$AA22,IF('[8]Table 11 CWTs exp'!S22/'[8]Table 11 CWTs exp'!$AA22&gt;0,"-"," "))</f>
        <v xml:space="preserve"> </v>
      </c>
      <c r="T21" s="144" t="str">
        <f>IF('[8]Table 11 CWTs exp'!T22/'[8]Table 11 CWTs exp'!$AA22&gt;0.0005,'[8]Table 11 CWTs exp'!T22/'[8]Table 11 CWTs exp'!$AA22,IF('[8]Table 11 CWTs exp'!T22/'[8]Table 11 CWTs exp'!$AA22&gt;0,"-"," "))</f>
        <v xml:space="preserve"> </v>
      </c>
      <c r="U21" s="144" t="str">
        <f>IF('[8]Table 11 CWTs exp'!U22/'[8]Table 11 CWTs exp'!$AA22&gt;0.0005,'[8]Table 11 CWTs exp'!U22/'[8]Table 11 CWTs exp'!$AA22,IF('[8]Table 11 CWTs exp'!U22/'[8]Table 11 CWTs exp'!$AA22&gt;0,"-"," "))</f>
        <v xml:space="preserve"> </v>
      </c>
      <c r="V21" s="145" t="str">
        <f>IF('[8]Table 11 CWTs exp'!V22/'[8]Table 11 CWTs exp'!$AA22&gt;0.0005,'[8]Table 11 CWTs exp'!V22/'[8]Table 11 CWTs exp'!$AA22,IF('[8]Table 11 CWTs exp'!V22/'[8]Table 11 CWTs exp'!$AA22&gt;0,"-"," "))</f>
        <v xml:space="preserve"> </v>
      </c>
      <c r="W21" s="146" t="str">
        <f>IF('[8]Table 11 CWTs exp'!W22/'[8]Table 11 CWTs exp'!$AA22&gt;0.0005,'[8]Table 11 CWTs exp'!W22/'[8]Table 11 CWTs exp'!$AA22,IF('[8]Table 11 CWTs exp'!W22/'[8]Table 11 CWTs exp'!$AA22&gt;0,"-"," "))</f>
        <v xml:space="preserve"> </v>
      </c>
      <c r="X21" s="206" t="str">
        <f>IF('[8]Table 11 CWTs exp'!X22/'[8]Table 11 CWTs exp'!$AA22&gt;0.0005,'[8]Table 11 CWTs exp'!X22/'[8]Table 11 CWTs exp'!$AA22,IF('[8]Table 11 CWTs exp'!X22/'[8]Table 11 CWTs exp'!$AA22&gt;0,"-"," "))</f>
        <v xml:space="preserve"> </v>
      </c>
      <c r="Y21" s="147">
        <f t="shared" si="0"/>
        <v>0.73651946872516749</v>
      </c>
      <c r="Z21" s="148">
        <f t="shared" si="5"/>
        <v>0.26348053127483251</v>
      </c>
      <c r="AA21" s="38">
        <f>'[8]Table 11 CWTs exp'!AA22</f>
        <v>8809</v>
      </c>
      <c r="AC21" s="592">
        <f>'[8]Table 11 CWTs exp'!AC22</f>
        <v>0.73699999999999999</v>
      </c>
      <c r="AD21" s="592">
        <f t="shared" si="2"/>
        <v>-4.8053127483249636E-4</v>
      </c>
      <c r="AE21" s="593" t="str">
        <f t="shared" si="3"/>
        <v>CLR543</v>
      </c>
      <c r="AF21" s="442"/>
      <c r="AG21" s="442"/>
      <c r="AH21" s="442"/>
    </row>
    <row r="22" spans="1:34" ht="14.5" customHeight="1" x14ac:dyDescent="0.25">
      <c r="A22" s="54" t="str">
        <f>'[8]Table 11 CWTs exp'!A23</f>
        <v>BATT543</v>
      </c>
      <c r="B22" s="75" t="str">
        <f>'[8]Table 11 CWTs exp'!B23</f>
        <v>BATT</v>
      </c>
      <c r="C22" s="75">
        <f>'[8]Table 11 CWTs exp'!C23</f>
        <v>54</v>
      </c>
      <c r="D22" s="75">
        <f>'[8]Table 11 CWTs exp'!D23</f>
        <v>3</v>
      </c>
      <c r="E22" t="str">
        <f>'[8]Table 11 CWTs exp'!E23</f>
        <v>Battle Creek</v>
      </c>
      <c r="F22" s="28" t="s">
        <v>219</v>
      </c>
      <c r="G22" s="144" t="str">
        <f>IF('[8]Table 11 CWTs exp'!G23/'[8]Table 11 CWTs exp'!$AA23&gt;0.0005,'[8]Table 11 CWTs exp'!G23/'[8]Table 11 CWTs exp'!$AA23,IF('[8]Table 11 CWTs exp'!G23/'[8]Table 11 CWTs exp'!$AA23&gt;0,"-"," "))</f>
        <v xml:space="preserve"> </v>
      </c>
      <c r="H22" s="145" t="str">
        <f>IF('[8]Table 11 CWTs exp'!H23/'[8]Table 11 CWTs exp'!$AA23&gt;0.0005,'[8]Table 11 CWTs exp'!H23/'[8]Table 11 CWTs exp'!$AA23,IF('[8]Table 11 CWTs exp'!H23/'[8]Table 11 CWTs exp'!$AA23&gt;0,"-"," "))</f>
        <v xml:space="preserve"> </v>
      </c>
      <c r="I22" s="144">
        <f>IF('[8]Table 11 CWTs exp'!I23/'[8]Table 11 CWTs exp'!$AA23&gt;0.0005,'[8]Table 11 CWTs exp'!I23/'[8]Table 11 CWTs exp'!$AA23,IF('[8]Table 11 CWTs exp'!I23/'[8]Table 11 CWTs exp'!$AA23&gt;0,"-"," "))</f>
        <v>0.60341503717984024</v>
      </c>
      <c r="J22" s="146">
        <f>IF('[8]Table 11 CWTs exp'!J23/'[8]Table 11 CWTs exp'!$AA23&gt;0.0005,'[8]Table 11 CWTs exp'!J23/'[8]Table 11 CWTs exp'!$AA23,IF('[8]Table 11 CWTs exp'!J23/'[8]Table 11 CWTs exp'!$AA23&gt;0,"-"," "))</f>
        <v>3.057009088405398E-2</v>
      </c>
      <c r="K22" s="144" t="str">
        <f>IF('[8]Table 11 CWTs exp'!K23/'[8]Table 11 CWTs exp'!$AA23&gt;0.0005,'[8]Table 11 CWTs exp'!K23/'[8]Table 11 CWTs exp'!$AA23,IF('[8]Table 11 CWTs exp'!K23/'[8]Table 11 CWTs exp'!$AA23&gt;0,"-"," "))</f>
        <v xml:space="preserve"> </v>
      </c>
      <c r="L22" s="144" t="str">
        <f>IF('[8]Table 11 CWTs exp'!L23/'[8]Table 11 CWTs exp'!$AA23&gt;0.0005,'[8]Table 11 CWTs exp'!L23/'[8]Table 11 CWTs exp'!$AA23,IF('[8]Table 11 CWTs exp'!L23/'[8]Table 11 CWTs exp'!$AA23&gt;0,"-"," "))</f>
        <v xml:space="preserve"> </v>
      </c>
      <c r="M22" s="144" t="str">
        <f>IF('[8]Table 11 CWTs exp'!M23/'[8]Table 11 CWTs exp'!$AA23&gt;0.0005,'[8]Table 11 CWTs exp'!M23/'[8]Table 11 CWTs exp'!$AA23,IF('[8]Table 11 CWTs exp'!M23/'[8]Table 11 CWTs exp'!$AA23&gt;0,"-"," "))</f>
        <v xml:space="preserve"> </v>
      </c>
      <c r="N22" s="144">
        <f>IF('[8]Table 11 CWTs exp'!N23/'[8]Table 11 CWTs exp'!$AA23&gt;0.0005,'[8]Table 11 CWTs exp'!N23/'[8]Table 11 CWTs exp'!$AA23,IF('[8]Table 11 CWTs exp'!N23/'[8]Table 11 CWTs exp'!$AA23&gt;0,"-"," "))</f>
        <v>5.7835307077939964E-3</v>
      </c>
      <c r="O22" s="144">
        <f>IF('[8]Table 11 CWTs exp'!O23/'[8]Table 11 CWTs exp'!$AA23&gt;0.0005,'[8]Table 11 CWTs exp'!O23/'[8]Table 11 CWTs exp'!$AA23,IF('[8]Table 11 CWTs exp'!O23/'[8]Table 11 CWTs exp'!$AA23&gt;0,"-"," "))</f>
        <v>9.4464334893968605E-2</v>
      </c>
      <c r="P22" s="144">
        <f>IF('[8]Table 11 CWTs exp'!P23/'[8]Table 11 CWTs exp'!$AA23&gt;0.0005,'[8]Table 11 CWTs exp'!P23/'[8]Table 11 CWTs exp'!$AA23,IF('[8]Table 11 CWTs exp'!P23/'[8]Table 11 CWTs exp'!$AA23&gt;0,"-"," "))</f>
        <v>6.885155604516662E-3</v>
      </c>
      <c r="Q22" s="145">
        <f>IF('[8]Table 11 CWTs exp'!Q23/'[8]Table 11 CWTs exp'!$AA23&gt;0.0005,'[8]Table 11 CWTs exp'!Q23/'[8]Table 11 CWTs exp'!$AA23,IF('[8]Table 11 CWTs exp'!Q23/'[8]Table 11 CWTs exp'!$AA23&gt;0,"-"," "))</f>
        <v>5.50812448361333E-4</v>
      </c>
      <c r="R22" s="146" t="str">
        <f>IF('[8]Table 11 CWTs exp'!R23/'[8]Table 11 CWTs exp'!$AA23&gt;0.0005,'[8]Table 11 CWTs exp'!R23/'[8]Table 11 CWTs exp'!$AA23,IF('[8]Table 11 CWTs exp'!R23/'[8]Table 11 CWTs exp'!$AA23&gt;0,"-"," "))</f>
        <v>-</v>
      </c>
      <c r="S22" s="144" t="str">
        <f>IF('[8]Table 11 CWTs exp'!S23/'[8]Table 11 CWTs exp'!$AA23&gt;0.0005,'[8]Table 11 CWTs exp'!S23/'[8]Table 11 CWTs exp'!$AA23,IF('[8]Table 11 CWTs exp'!S23/'[8]Table 11 CWTs exp'!$AA23&gt;0,"-"," "))</f>
        <v xml:space="preserve"> </v>
      </c>
      <c r="T22" s="144">
        <f>IF('[8]Table 11 CWTs exp'!T23/'[8]Table 11 CWTs exp'!$AA23&gt;0.0005,'[8]Table 11 CWTs exp'!T23/'[8]Table 11 CWTs exp'!$AA23,IF('[8]Table 11 CWTs exp'!T23/'[8]Table 11 CWTs exp'!$AA23&gt;0,"-"," "))</f>
        <v>8.262186725419994E-4</v>
      </c>
      <c r="U22" s="144" t="str">
        <f>IF('[8]Table 11 CWTs exp'!U23/'[8]Table 11 CWTs exp'!$AA23&gt;0.0005,'[8]Table 11 CWTs exp'!U23/'[8]Table 11 CWTs exp'!$AA23,IF('[8]Table 11 CWTs exp'!U23/'[8]Table 11 CWTs exp'!$AA23&gt;0,"-"," "))</f>
        <v xml:space="preserve"> </v>
      </c>
      <c r="V22" s="145" t="str">
        <f>IF('[8]Table 11 CWTs exp'!V23/'[8]Table 11 CWTs exp'!$AA23&gt;0.0005,'[8]Table 11 CWTs exp'!V23/'[8]Table 11 CWTs exp'!$AA23,IF('[8]Table 11 CWTs exp'!V23/'[8]Table 11 CWTs exp'!$AA23&gt;0,"-"," "))</f>
        <v xml:space="preserve"> </v>
      </c>
      <c r="W22" s="146">
        <f>IF('[8]Table 11 CWTs exp'!W23/'[8]Table 11 CWTs exp'!$AA23&gt;0.0005,'[8]Table 11 CWTs exp'!W23/'[8]Table 11 CWTs exp'!$AA23,IF('[8]Table 11 CWTs exp'!W23/'[8]Table 11 CWTs exp'!$AA23&gt;0,"-"," "))</f>
        <v>1.101624896722666E-3</v>
      </c>
      <c r="X22" s="206" t="str">
        <f>IF('[8]Table 11 CWTs exp'!X23/'[8]Table 11 CWTs exp'!$AA23&gt;0.0005,'[8]Table 11 CWTs exp'!X23/'[8]Table 11 CWTs exp'!$AA23,IF('[8]Table 11 CWTs exp'!X23/'[8]Table 11 CWTs exp'!$AA23&gt;0,"-"," "))</f>
        <v xml:space="preserve"> </v>
      </c>
      <c r="Y22" s="147">
        <f t="shared" si="0"/>
        <v>0.74359680528779948</v>
      </c>
      <c r="Z22" s="148">
        <f t="shared" si="5"/>
        <v>0.25640319471220052</v>
      </c>
      <c r="AA22" s="38">
        <f>'[8]Table 11 CWTs exp'!AA23</f>
        <v>3631</v>
      </c>
      <c r="AC22" s="592">
        <f>'[8]Table 11 CWTs exp'!AC23</f>
        <v>0.74387221151198013</v>
      </c>
      <c r="AD22" s="592">
        <f t="shared" si="2"/>
        <v>-2.7540622418065208E-4</v>
      </c>
      <c r="AE22" s="593" t="str">
        <f t="shared" si="3"/>
        <v>BATT543</v>
      </c>
      <c r="AF22" s="442"/>
      <c r="AG22" s="442"/>
      <c r="AH22" s="442"/>
    </row>
    <row r="23" spans="1:34" ht="14.5" customHeight="1" x14ac:dyDescent="0.25">
      <c r="A23" s="54" t="str">
        <f>'[8]Table 11 CWTs exp'!A24</f>
        <v>COT543</v>
      </c>
      <c r="B23" s="75" t="str">
        <f>'[8]Table 11 CWTs exp'!B24</f>
        <v>COT</v>
      </c>
      <c r="C23" s="75">
        <f>'[8]Table 11 CWTs exp'!C24</f>
        <v>54</v>
      </c>
      <c r="D23" s="75">
        <f>'[8]Table 11 CWTs exp'!D24</f>
        <v>3</v>
      </c>
      <c r="E23" t="str">
        <f>'[8]Table 11 CWTs exp'!E24</f>
        <v>Cottonwood Creek</v>
      </c>
      <c r="F23" s="37" t="str">
        <f>'[8]Table 11 CWTs exp'!F24</f>
        <v>Fall</v>
      </c>
      <c r="G23" s="144" t="str">
        <f>IF('[8]Table 11 CWTs exp'!G24/'[8]Table 11 CWTs exp'!$AA24&gt;0.0005,'[8]Table 11 CWTs exp'!G24/'[8]Table 11 CWTs exp'!$AA24,IF('[8]Table 11 CWTs exp'!G24/'[8]Table 11 CWTs exp'!$AA24&gt;0,"-"," "))</f>
        <v xml:space="preserve"> </v>
      </c>
      <c r="H23" s="145" t="str">
        <f>IF('[8]Table 11 CWTs exp'!H24/'[8]Table 11 CWTs exp'!$AA24&gt;0.0005,'[8]Table 11 CWTs exp'!H24/'[8]Table 11 CWTs exp'!$AA24,IF('[8]Table 11 CWTs exp'!H24/'[8]Table 11 CWTs exp'!$AA24&gt;0,"-"," "))</f>
        <v xml:space="preserve"> </v>
      </c>
      <c r="I23" s="144" t="str">
        <f>IF('[8]Table 11 CWTs exp'!I24/'[8]Table 11 CWTs exp'!$AA24&gt;0.0005,'[8]Table 11 CWTs exp'!I24/'[8]Table 11 CWTs exp'!$AA24,IF('[8]Table 11 CWTs exp'!I24/'[8]Table 11 CWTs exp'!$AA24&gt;0,"-"," "))</f>
        <v xml:space="preserve"> </v>
      </c>
      <c r="J23" s="146">
        <f>IF('[8]Table 11 CWTs exp'!J24/'[8]Table 11 CWTs exp'!$AA24&gt;0.0005,'[8]Table 11 CWTs exp'!J24/'[8]Table 11 CWTs exp'!$AA24,IF('[8]Table 11 CWTs exp'!J24/'[8]Table 11 CWTs exp'!$AA24&gt;0,"-"," "))</f>
        <v>0.12086092715231789</v>
      </c>
      <c r="K23" s="144" t="str">
        <f>IF('[8]Table 11 CWTs exp'!K24/'[8]Table 11 CWTs exp'!$AA24&gt;0.0005,'[8]Table 11 CWTs exp'!K24/'[8]Table 11 CWTs exp'!$AA24,IF('[8]Table 11 CWTs exp'!K24/'[8]Table 11 CWTs exp'!$AA24&gt;0,"-"," "))</f>
        <v xml:space="preserve"> </v>
      </c>
      <c r="L23" s="144" t="str">
        <f>IF('[8]Table 11 CWTs exp'!L24/'[8]Table 11 CWTs exp'!$AA24&gt;0.0005,'[8]Table 11 CWTs exp'!L24/'[8]Table 11 CWTs exp'!$AA24,IF('[8]Table 11 CWTs exp'!L24/'[8]Table 11 CWTs exp'!$AA24&gt;0,"-"," "))</f>
        <v xml:space="preserve"> </v>
      </c>
      <c r="M23" s="144" t="str">
        <f>IF('[8]Table 11 CWTs exp'!M24/'[8]Table 11 CWTs exp'!$AA24&gt;0.0005,'[8]Table 11 CWTs exp'!M24/'[8]Table 11 CWTs exp'!$AA24,IF('[8]Table 11 CWTs exp'!M24/'[8]Table 11 CWTs exp'!$AA24&gt;0,"-"," "))</f>
        <v xml:space="preserve"> </v>
      </c>
      <c r="N23" s="144" t="str">
        <f>IF('[8]Table 11 CWTs exp'!N24/'[8]Table 11 CWTs exp'!$AA24&gt;0.0005,'[8]Table 11 CWTs exp'!N24/'[8]Table 11 CWTs exp'!$AA24,IF('[8]Table 11 CWTs exp'!N24/'[8]Table 11 CWTs exp'!$AA24&gt;0,"-"," "))</f>
        <v xml:space="preserve"> </v>
      </c>
      <c r="O23" s="144" t="str">
        <f>IF('[8]Table 11 CWTs exp'!O24/'[8]Table 11 CWTs exp'!$AA24&gt;0.0005,'[8]Table 11 CWTs exp'!O24/'[8]Table 11 CWTs exp'!$AA24,IF('[8]Table 11 CWTs exp'!O24/'[8]Table 11 CWTs exp'!$AA24&gt;0,"-"," "))</f>
        <v xml:space="preserve"> </v>
      </c>
      <c r="P23" s="144">
        <f>IF('[8]Table 11 CWTs exp'!P24/'[8]Table 11 CWTs exp'!$AA24&gt;0.0005,'[8]Table 11 CWTs exp'!P24/'[8]Table 11 CWTs exp'!$AA24,IF('[8]Table 11 CWTs exp'!P24/'[8]Table 11 CWTs exp'!$AA24&gt;0,"-"," "))</f>
        <v>2.9801324503311258E-2</v>
      </c>
      <c r="Q23" s="145" t="str">
        <f>IF('[8]Table 11 CWTs exp'!Q24/'[8]Table 11 CWTs exp'!$AA24&gt;0.0005,'[8]Table 11 CWTs exp'!Q24/'[8]Table 11 CWTs exp'!$AA24,IF('[8]Table 11 CWTs exp'!Q24/'[8]Table 11 CWTs exp'!$AA24&gt;0,"-"," "))</f>
        <v xml:space="preserve"> </v>
      </c>
      <c r="R23" s="146" t="str">
        <f>IF('[8]Table 11 CWTs exp'!R24/'[8]Table 11 CWTs exp'!$AA24&gt;0.0005,'[8]Table 11 CWTs exp'!R24/'[8]Table 11 CWTs exp'!$AA24,IF('[8]Table 11 CWTs exp'!R24/'[8]Table 11 CWTs exp'!$AA24&gt;0,"-"," "))</f>
        <v xml:space="preserve"> </v>
      </c>
      <c r="S23" s="144" t="str">
        <f>IF('[8]Table 11 CWTs exp'!S24/'[8]Table 11 CWTs exp'!$AA24&gt;0.0005,'[8]Table 11 CWTs exp'!S24/'[8]Table 11 CWTs exp'!$AA24,IF('[8]Table 11 CWTs exp'!S24/'[8]Table 11 CWTs exp'!$AA24&gt;0,"-"," "))</f>
        <v xml:space="preserve"> </v>
      </c>
      <c r="T23" s="144" t="str">
        <f>IF('[8]Table 11 CWTs exp'!T24/'[8]Table 11 CWTs exp'!$AA24&gt;0.0005,'[8]Table 11 CWTs exp'!T24/'[8]Table 11 CWTs exp'!$AA24,IF('[8]Table 11 CWTs exp'!T24/'[8]Table 11 CWTs exp'!$AA24&gt;0,"-"," "))</f>
        <v xml:space="preserve"> </v>
      </c>
      <c r="U23" s="144" t="str">
        <f>IF('[8]Table 11 CWTs exp'!U24/'[8]Table 11 CWTs exp'!$AA24&gt;0.0005,'[8]Table 11 CWTs exp'!U24/'[8]Table 11 CWTs exp'!$AA24,IF('[8]Table 11 CWTs exp'!U24/'[8]Table 11 CWTs exp'!$AA24&gt;0,"-"," "))</f>
        <v xml:space="preserve"> </v>
      </c>
      <c r="V23" s="145" t="str">
        <f>IF('[8]Table 11 CWTs exp'!V24/'[8]Table 11 CWTs exp'!$AA24&gt;0.0005,'[8]Table 11 CWTs exp'!V24/'[8]Table 11 CWTs exp'!$AA24,IF('[8]Table 11 CWTs exp'!V24/'[8]Table 11 CWTs exp'!$AA24&gt;0,"-"," "))</f>
        <v xml:space="preserve"> </v>
      </c>
      <c r="W23" s="146" t="str">
        <f>IF('[8]Table 11 CWTs exp'!W24/'[8]Table 11 CWTs exp'!$AA24&gt;0.0005,'[8]Table 11 CWTs exp'!W24/'[8]Table 11 CWTs exp'!$AA24,IF('[8]Table 11 CWTs exp'!W24/'[8]Table 11 CWTs exp'!$AA24&gt;0,"-"," "))</f>
        <v xml:space="preserve"> </v>
      </c>
      <c r="X23" s="206" t="str">
        <f>IF('[8]Table 11 CWTs exp'!X24/'[8]Table 11 CWTs exp'!$AA24&gt;0.0005,'[8]Table 11 CWTs exp'!X24/'[8]Table 11 CWTs exp'!$AA24,IF('[8]Table 11 CWTs exp'!X24/'[8]Table 11 CWTs exp'!$AA24&gt;0,"-"," "))</f>
        <v xml:space="preserve"> </v>
      </c>
      <c r="Y23" s="147">
        <f t="shared" si="0"/>
        <v>0.15066225165562913</v>
      </c>
      <c r="Z23" s="148">
        <f t="shared" si="5"/>
        <v>0.84933774834437092</v>
      </c>
      <c r="AA23" s="38">
        <f>'[8]Table 11 CWTs exp'!AA24</f>
        <v>604</v>
      </c>
      <c r="AC23" s="592">
        <f>'[8]Table 11 CWTs exp'!AC24</f>
        <v>0.152</v>
      </c>
      <c r="AD23" s="592">
        <f t="shared" si="2"/>
        <v>-1.3377483443708649E-3</v>
      </c>
      <c r="AE23" s="593" t="str">
        <f t="shared" si="3"/>
        <v>COT543</v>
      </c>
      <c r="AF23" s="442"/>
      <c r="AG23" s="442"/>
      <c r="AH23" s="442"/>
    </row>
    <row r="24" spans="1:34" ht="14.5" customHeight="1" x14ac:dyDescent="0.25">
      <c r="A24" s="54" t="str">
        <f>'[8]Table 11 CWTs exp'!A25</f>
        <v>DEE543</v>
      </c>
      <c r="B24" s="75" t="str">
        <f>'[8]Table 11 CWTs exp'!B25</f>
        <v>DEE</v>
      </c>
      <c r="C24" s="75">
        <f>'[8]Table 11 CWTs exp'!C25</f>
        <v>54</v>
      </c>
      <c r="D24" s="75">
        <f>'[8]Table 11 CWTs exp'!D25</f>
        <v>3</v>
      </c>
      <c r="E24" t="str">
        <f>'[8]Table 11 CWTs exp'!E25</f>
        <v>Deer Creek</v>
      </c>
      <c r="F24" s="37" t="str">
        <f>'[8]Table 11 CWTs exp'!F25</f>
        <v>Fall</v>
      </c>
      <c r="G24" s="144" t="str">
        <f>IF('[8]Table 11 CWTs exp'!G25/'[8]Table 11 CWTs exp'!$AA25&gt;0.0005,'[8]Table 11 CWTs exp'!G25/'[8]Table 11 CWTs exp'!$AA25,IF('[8]Table 11 CWTs exp'!G25/'[8]Table 11 CWTs exp'!$AA25&gt;0,"-"," "))</f>
        <v xml:space="preserve"> </v>
      </c>
      <c r="H24" s="145" t="str">
        <f>IF('[8]Table 11 CWTs exp'!H25/'[8]Table 11 CWTs exp'!$AA25&gt;0.0005,'[8]Table 11 CWTs exp'!H25/'[8]Table 11 CWTs exp'!$AA25,IF('[8]Table 11 CWTs exp'!H25/'[8]Table 11 CWTs exp'!$AA25&gt;0,"-"," "))</f>
        <v xml:space="preserve"> </v>
      </c>
      <c r="I24" s="144" t="str">
        <f>IF('[8]Table 11 CWTs exp'!I25/'[8]Table 11 CWTs exp'!$AA25&gt;0.0005,'[8]Table 11 CWTs exp'!I25/'[8]Table 11 CWTs exp'!$AA25,IF('[8]Table 11 CWTs exp'!I25/'[8]Table 11 CWTs exp'!$AA25&gt;0,"-"," "))</f>
        <v xml:space="preserve"> </v>
      </c>
      <c r="J24" s="146">
        <f>IF('[8]Table 11 CWTs exp'!J25/'[8]Table 11 CWTs exp'!$AA25&gt;0.0005,'[8]Table 11 CWTs exp'!J25/'[8]Table 11 CWTs exp'!$AA25,IF('[8]Table 11 CWTs exp'!J25/'[8]Table 11 CWTs exp'!$AA25&gt;0,"-"," "))</f>
        <v>0.14052287581699346</v>
      </c>
      <c r="K24" s="144" t="str">
        <f>IF('[8]Table 11 CWTs exp'!K25/'[8]Table 11 CWTs exp'!$AA25&gt;0.0005,'[8]Table 11 CWTs exp'!K25/'[8]Table 11 CWTs exp'!$AA25,IF('[8]Table 11 CWTs exp'!K25/'[8]Table 11 CWTs exp'!$AA25&gt;0,"-"," "))</f>
        <v xml:space="preserve"> </v>
      </c>
      <c r="L24" s="144" t="str">
        <f>IF('[8]Table 11 CWTs exp'!L25/'[8]Table 11 CWTs exp'!$AA25&gt;0.0005,'[8]Table 11 CWTs exp'!L25/'[8]Table 11 CWTs exp'!$AA25,IF('[8]Table 11 CWTs exp'!L25/'[8]Table 11 CWTs exp'!$AA25&gt;0,"-"," "))</f>
        <v xml:space="preserve"> </v>
      </c>
      <c r="M24" s="144" t="str">
        <f>IF('[8]Table 11 CWTs exp'!M25/'[8]Table 11 CWTs exp'!$AA25&gt;0.0005,'[8]Table 11 CWTs exp'!M25/'[8]Table 11 CWTs exp'!$AA25,IF('[8]Table 11 CWTs exp'!M25/'[8]Table 11 CWTs exp'!$AA25&gt;0,"-"," "))</f>
        <v xml:space="preserve"> </v>
      </c>
      <c r="N24" s="144" t="str">
        <f>IF('[8]Table 11 CWTs exp'!N25/'[8]Table 11 CWTs exp'!$AA25&gt;0.0005,'[8]Table 11 CWTs exp'!N25/'[8]Table 11 CWTs exp'!$AA25,IF('[8]Table 11 CWTs exp'!N25/'[8]Table 11 CWTs exp'!$AA25&gt;0,"-"," "))</f>
        <v xml:space="preserve"> </v>
      </c>
      <c r="O24" s="144">
        <f>IF('[8]Table 11 CWTs exp'!O25/'[8]Table 11 CWTs exp'!$AA25&gt;0.0005,'[8]Table 11 CWTs exp'!O25/'[8]Table 11 CWTs exp'!$AA25,IF('[8]Table 11 CWTs exp'!O25/'[8]Table 11 CWTs exp'!$AA25&gt;0,"-"," "))</f>
        <v>0.77124183006535951</v>
      </c>
      <c r="P24" s="144">
        <f>IF('[8]Table 11 CWTs exp'!P25/'[8]Table 11 CWTs exp'!$AA25&gt;0.0005,'[8]Table 11 CWTs exp'!P25/'[8]Table 11 CWTs exp'!$AA25,IF('[8]Table 11 CWTs exp'!P25/'[8]Table 11 CWTs exp'!$AA25&gt;0,"-"," "))</f>
        <v>1.7973856209150325E-2</v>
      </c>
      <c r="Q24" s="145" t="str">
        <f>IF('[8]Table 11 CWTs exp'!Q25/'[8]Table 11 CWTs exp'!$AA25&gt;0.0005,'[8]Table 11 CWTs exp'!Q25/'[8]Table 11 CWTs exp'!$AA25,IF('[8]Table 11 CWTs exp'!Q25/'[8]Table 11 CWTs exp'!$AA25&gt;0,"-"," "))</f>
        <v xml:space="preserve"> </v>
      </c>
      <c r="R24" s="146" t="str">
        <f>IF('[8]Table 11 CWTs exp'!R25/'[8]Table 11 CWTs exp'!$AA25&gt;0.0005,'[8]Table 11 CWTs exp'!R25/'[8]Table 11 CWTs exp'!$AA25,IF('[8]Table 11 CWTs exp'!R25/'[8]Table 11 CWTs exp'!$AA25&gt;0,"-"," "))</f>
        <v xml:space="preserve"> </v>
      </c>
      <c r="S24" s="144" t="str">
        <f>IF('[8]Table 11 CWTs exp'!S25/'[8]Table 11 CWTs exp'!$AA25&gt;0.0005,'[8]Table 11 CWTs exp'!S25/'[8]Table 11 CWTs exp'!$AA25,IF('[8]Table 11 CWTs exp'!S25/'[8]Table 11 CWTs exp'!$AA25&gt;0,"-"," "))</f>
        <v xml:space="preserve"> </v>
      </c>
      <c r="T24" s="144">
        <f>IF('[8]Table 11 CWTs exp'!T25/'[8]Table 11 CWTs exp'!$AA25&gt;0.0005,'[8]Table 11 CWTs exp'!T25/'[8]Table 11 CWTs exp'!$AA25,IF('[8]Table 11 CWTs exp'!T25/'[8]Table 11 CWTs exp'!$AA25&gt;0,"-"," "))</f>
        <v>7.0261437908496732E-2</v>
      </c>
      <c r="U24" s="144" t="str">
        <f>IF('[8]Table 11 CWTs exp'!U25/'[8]Table 11 CWTs exp'!$AA25&gt;0.0005,'[8]Table 11 CWTs exp'!U25/'[8]Table 11 CWTs exp'!$AA25,IF('[8]Table 11 CWTs exp'!U25/'[8]Table 11 CWTs exp'!$AA25&gt;0,"-"," "))</f>
        <v xml:space="preserve"> </v>
      </c>
      <c r="V24" s="145" t="str">
        <f>IF('[8]Table 11 CWTs exp'!V25/'[8]Table 11 CWTs exp'!$AA25&gt;0.0005,'[8]Table 11 CWTs exp'!V25/'[8]Table 11 CWTs exp'!$AA25,IF('[8]Table 11 CWTs exp'!V25/'[8]Table 11 CWTs exp'!$AA25&gt;0,"-"," "))</f>
        <v xml:space="preserve"> </v>
      </c>
      <c r="W24" s="146" t="str">
        <f>IF('[8]Table 11 CWTs exp'!W25/'[8]Table 11 CWTs exp'!$AA25&gt;0.0005,'[8]Table 11 CWTs exp'!W25/'[8]Table 11 CWTs exp'!$AA25,IF('[8]Table 11 CWTs exp'!W25/'[8]Table 11 CWTs exp'!$AA25&gt;0,"-"," "))</f>
        <v xml:space="preserve"> </v>
      </c>
      <c r="X24" s="206" t="str">
        <f>IF('[8]Table 11 CWTs exp'!X25/'[8]Table 11 CWTs exp'!$AA25&gt;0.0005,'[8]Table 11 CWTs exp'!X25/'[8]Table 11 CWTs exp'!$AA25,IF('[8]Table 11 CWTs exp'!X25/'[8]Table 11 CWTs exp'!$AA25&gt;0,"-"," "))</f>
        <v xml:space="preserve"> </v>
      </c>
      <c r="Y24" s="147">
        <f t="shared" si="0"/>
        <v>1.0000000000000002</v>
      </c>
      <c r="Z24" s="148"/>
      <c r="AA24" s="38">
        <f>'[8]Table 11 CWTs exp'!AA25</f>
        <v>612</v>
      </c>
      <c r="AC24" s="592">
        <f>'[8]Table 11 CWTs exp'!AC25</f>
        <v>1</v>
      </c>
      <c r="AD24" s="592">
        <f t="shared" si="2"/>
        <v>0</v>
      </c>
      <c r="AE24" s="593" t="str">
        <f t="shared" si="3"/>
        <v>DEE543</v>
      </c>
      <c r="AF24" s="442"/>
      <c r="AG24" s="442"/>
      <c r="AH24" s="442"/>
    </row>
    <row r="25" spans="1:34" ht="14.5" customHeight="1" x14ac:dyDescent="0.25">
      <c r="A25" s="54" t="str">
        <f>'[8]Table 11 CWTs exp'!A26</f>
        <v>MLC543</v>
      </c>
      <c r="B25" s="75" t="str">
        <f>'[8]Table 11 CWTs exp'!B26</f>
        <v>MLC</v>
      </c>
      <c r="C25" s="75">
        <f>'[8]Table 11 CWTs exp'!C26</f>
        <v>54</v>
      </c>
      <c r="D25" s="75">
        <f>'[8]Table 11 CWTs exp'!D26</f>
        <v>3</v>
      </c>
      <c r="E25" t="str">
        <f>'[8]Table 11 CWTs exp'!E26</f>
        <v>Mill Creek</v>
      </c>
      <c r="F25" s="37" t="str">
        <f>'[8]Table 11 CWTs exp'!F26</f>
        <v>Fall</v>
      </c>
      <c r="G25" s="144" t="str">
        <f>IF('[8]Table 11 CWTs exp'!G26/'[8]Table 11 CWTs exp'!$AA26&gt;0.0005,'[8]Table 11 CWTs exp'!G26/'[8]Table 11 CWTs exp'!$AA26,IF('[8]Table 11 CWTs exp'!G26/'[8]Table 11 CWTs exp'!$AA26&gt;0,"-"," "))</f>
        <v xml:space="preserve"> </v>
      </c>
      <c r="H25" s="145" t="str">
        <f>IF('[8]Table 11 CWTs exp'!H26/'[8]Table 11 CWTs exp'!$AA26&gt;0.0005,'[8]Table 11 CWTs exp'!H26/'[8]Table 11 CWTs exp'!$AA26,IF('[8]Table 11 CWTs exp'!H26/'[8]Table 11 CWTs exp'!$AA26&gt;0,"-"," "))</f>
        <v xml:space="preserve"> </v>
      </c>
      <c r="I25" s="144">
        <f>IF('[8]Table 11 CWTs exp'!I26/'[8]Table 11 CWTs exp'!$AA26&gt;0.0005,'[8]Table 11 CWTs exp'!I26/'[8]Table 11 CWTs exp'!$AA26,IF('[8]Table 11 CWTs exp'!I26/'[8]Table 11 CWTs exp'!$AA26&gt;0,"-"," "))</f>
        <v>6.0987415295256538E-2</v>
      </c>
      <c r="J25" s="146">
        <f>IF('[8]Table 11 CWTs exp'!J26/'[8]Table 11 CWTs exp'!$AA26&gt;0.0005,'[8]Table 11 CWTs exp'!J26/'[8]Table 11 CWTs exp'!$AA26,IF('[8]Table 11 CWTs exp'!J26/'[8]Table 11 CWTs exp'!$AA26&gt;0,"-"," "))</f>
        <v>6.0987415295256538E-2</v>
      </c>
      <c r="K25" s="144" t="str">
        <f>IF('[8]Table 11 CWTs exp'!K26/'[8]Table 11 CWTs exp'!$AA26&gt;0.0005,'[8]Table 11 CWTs exp'!K26/'[8]Table 11 CWTs exp'!$AA26,IF('[8]Table 11 CWTs exp'!K26/'[8]Table 11 CWTs exp'!$AA26&gt;0,"-"," "))</f>
        <v xml:space="preserve"> </v>
      </c>
      <c r="L25" s="144" t="str">
        <f>IF('[8]Table 11 CWTs exp'!L26/'[8]Table 11 CWTs exp'!$AA26&gt;0.0005,'[8]Table 11 CWTs exp'!L26/'[8]Table 11 CWTs exp'!$AA26,IF('[8]Table 11 CWTs exp'!L26/'[8]Table 11 CWTs exp'!$AA26&gt;0,"-"," "))</f>
        <v xml:space="preserve"> </v>
      </c>
      <c r="M25" s="144" t="str">
        <f>IF('[8]Table 11 CWTs exp'!M26/'[8]Table 11 CWTs exp'!$AA26&gt;0.0005,'[8]Table 11 CWTs exp'!M26/'[8]Table 11 CWTs exp'!$AA26,IF('[8]Table 11 CWTs exp'!M26/'[8]Table 11 CWTs exp'!$AA26&gt;0,"-"," "))</f>
        <v xml:space="preserve"> </v>
      </c>
      <c r="N25" s="144" t="str">
        <f>IF('[8]Table 11 CWTs exp'!N26/'[8]Table 11 CWTs exp'!$AA26&gt;0.0005,'[8]Table 11 CWTs exp'!N26/'[8]Table 11 CWTs exp'!$AA26,IF('[8]Table 11 CWTs exp'!N26/'[8]Table 11 CWTs exp'!$AA26&gt;0,"-"," "))</f>
        <v xml:space="preserve"> </v>
      </c>
      <c r="O25" s="144">
        <f>IF('[8]Table 11 CWTs exp'!O26/'[8]Table 11 CWTs exp'!$AA26&gt;0.0005,'[8]Table 11 CWTs exp'!O26/'[8]Table 11 CWTs exp'!$AA26,IF('[8]Table 11 CWTs exp'!O26/'[8]Table 11 CWTs exp'!$AA26&gt;0,"-"," "))</f>
        <v>0.30396902226524686</v>
      </c>
      <c r="P25" s="144">
        <f>IF('[8]Table 11 CWTs exp'!P26/'[8]Table 11 CWTs exp'!$AA26&gt;0.0005,'[8]Table 11 CWTs exp'!P26/'[8]Table 11 CWTs exp'!$AA26,IF('[8]Table 11 CWTs exp'!P26/'[8]Table 11 CWTs exp'!$AA26&gt;0,"-"," "))</f>
        <v>1.5488867376573089E-2</v>
      </c>
      <c r="Q25" s="145" t="str">
        <f>IF('[8]Table 11 CWTs exp'!Q26/'[8]Table 11 CWTs exp'!$AA26&gt;0.0005,'[8]Table 11 CWTs exp'!Q26/'[8]Table 11 CWTs exp'!$AA26,IF('[8]Table 11 CWTs exp'!Q26/'[8]Table 11 CWTs exp'!$AA26&gt;0,"-"," "))</f>
        <v xml:space="preserve"> </v>
      </c>
      <c r="R25" s="146" t="str">
        <f>IF('[8]Table 11 CWTs exp'!R26/'[8]Table 11 CWTs exp'!$AA26&gt;0.0005,'[8]Table 11 CWTs exp'!R26/'[8]Table 11 CWTs exp'!$AA26,IF('[8]Table 11 CWTs exp'!R26/'[8]Table 11 CWTs exp'!$AA26&gt;0,"-"," "))</f>
        <v xml:space="preserve"> </v>
      </c>
      <c r="S25" s="144" t="str">
        <f>IF('[8]Table 11 CWTs exp'!S26/'[8]Table 11 CWTs exp'!$AA26&gt;0.0005,'[8]Table 11 CWTs exp'!S26/'[8]Table 11 CWTs exp'!$AA26,IF('[8]Table 11 CWTs exp'!S26/'[8]Table 11 CWTs exp'!$AA26&gt;0,"-"," "))</f>
        <v xml:space="preserve"> </v>
      </c>
      <c r="T25" s="144" t="str">
        <f>IF('[8]Table 11 CWTs exp'!T26/'[8]Table 11 CWTs exp'!$AA26&gt;0.0005,'[8]Table 11 CWTs exp'!T26/'[8]Table 11 CWTs exp'!$AA26,IF('[8]Table 11 CWTs exp'!T26/'[8]Table 11 CWTs exp'!$AA26&gt;0,"-"," "))</f>
        <v xml:space="preserve"> </v>
      </c>
      <c r="U25" s="144" t="str">
        <f>IF('[8]Table 11 CWTs exp'!U26/'[8]Table 11 CWTs exp'!$AA26&gt;0.0005,'[8]Table 11 CWTs exp'!U26/'[8]Table 11 CWTs exp'!$AA26,IF('[8]Table 11 CWTs exp'!U26/'[8]Table 11 CWTs exp'!$AA26&gt;0,"-"," "))</f>
        <v xml:space="preserve"> </v>
      </c>
      <c r="V25" s="145" t="str">
        <f>IF('[8]Table 11 CWTs exp'!V26/'[8]Table 11 CWTs exp'!$AA26&gt;0.0005,'[8]Table 11 CWTs exp'!V26/'[8]Table 11 CWTs exp'!$AA26,IF('[8]Table 11 CWTs exp'!V26/'[8]Table 11 CWTs exp'!$AA26&gt;0,"-"," "))</f>
        <v xml:space="preserve"> </v>
      </c>
      <c r="W25" s="146" t="str">
        <f>IF('[8]Table 11 CWTs exp'!W26/'[8]Table 11 CWTs exp'!$AA26&gt;0.0005,'[8]Table 11 CWTs exp'!W26/'[8]Table 11 CWTs exp'!$AA26,IF('[8]Table 11 CWTs exp'!W26/'[8]Table 11 CWTs exp'!$AA26&gt;0,"-"," "))</f>
        <v xml:space="preserve"> </v>
      </c>
      <c r="X25" s="206" t="str">
        <f>IF('[8]Table 11 CWTs exp'!X26/'[8]Table 11 CWTs exp'!$AA26&gt;0.0005,'[8]Table 11 CWTs exp'!X26/'[8]Table 11 CWTs exp'!$AA26,IF('[8]Table 11 CWTs exp'!X26/'[8]Table 11 CWTs exp'!$AA26&gt;0,"-"," "))</f>
        <v xml:space="preserve"> </v>
      </c>
      <c r="Y25" s="147">
        <f t="shared" si="0"/>
        <v>0.44143272023233299</v>
      </c>
      <c r="Z25" s="148">
        <f t="shared" ref="Z25:Z26" si="6">1-Y25</f>
        <v>0.55856727976766707</v>
      </c>
      <c r="AA25" s="38">
        <f>'[8]Table 11 CWTs exp'!AA26</f>
        <v>1033</v>
      </c>
      <c r="AC25" s="592">
        <f>'[8]Table 11 CWTs exp'!AC26</f>
        <v>0.44</v>
      </c>
      <c r="AD25" s="592">
        <f t="shared" si="2"/>
        <v>1.4327202323329846E-3</v>
      </c>
      <c r="AE25" s="593" t="str">
        <f t="shared" si="3"/>
        <v>MLC543</v>
      </c>
      <c r="AF25" s="442"/>
      <c r="AG25" s="442"/>
      <c r="AH25" s="442"/>
    </row>
    <row r="26" spans="1:34" ht="14.5" hidden="1" customHeight="1" x14ac:dyDescent="0.25">
      <c r="A26" s="54" t="str">
        <f>'[8]Table 11 CWTs exp'!A27</f>
        <v>BUT543</v>
      </c>
      <c r="B26" s="75" t="str">
        <f>'[8]Table 11 CWTs exp'!B27</f>
        <v>BUT</v>
      </c>
      <c r="C26" s="75">
        <f>'[8]Table 11 CWTs exp'!C27</f>
        <v>54</v>
      </c>
      <c r="D26" s="75">
        <f>'[8]Table 11 CWTs exp'!D27</f>
        <v>3</v>
      </c>
      <c r="E26" t="str">
        <f>'[8]Table 11 CWTs exp'!E27</f>
        <v>Butte Creek</v>
      </c>
      <c r="F26" s="37" t="str">
        <f>'[8]Table 11 CWTs exp'!F27</f>
        <v>Fall</v>
      </c>
      <c r="G26" s="144" t="e">
        <f>IF('[8]Table 11 CWTs exp'!G27/'[8]Table 11 CWTs exp'!$AA27&gt;0.0005,'[8]Table 11 CWTs exp'!G27/'[8]Table 11 CWTs exp'!$AA27,IF('[8]Table 11 CWTs exp'!G27/'[8]Table 11 CWTs exp'!$AA27&gt;0,"-"," "))</f>
        <v>#DIV/0!</v>
      </c>
      <c r="H26" s="145" t="e">
        <f>IF('[8]Table 11 CWTs exp'!H27/'[8]Table 11 CWTs exp'!$AA27&gt;0.0005,'[8]Table 11 CWTs exp'!H27/'[8]Table 11 CWTs exp'!$AA27,IF('[8]Table 11 CWTs exp'!H27/'[8]Table 11 CWTs exp'!$AA27&gt;0,"-"," "))</f>
        <v>#DIV/0!</v>
      </c>
      <c r="I26" s="144" t="e">
        <f>IF('[8]Table 11 CWTs exp'!I27/'[8]Table 11 CWTs exp'!$AA27&gt;0.0005,'[8]Table 11 CWTs exp'!I27/'[8]Table 11 CWTs exp'!$AA27,IF('[8]Table 11 CWTs exp'!I27/'[8]Table 11 CWTs exp'!$AA27&gt;0,"-"," "))</f>
        <v>#DIV/0!</v>
      </c>
      <c r="J26" s="146" t="e">
        <f>IF('[8]Table 11 CWTs exp'!J27/'[8]Table 11 CWTs exp'!$AA27&gt;0.0005,'[8]Table 11 CWTs exp'!J27/'[8]Table 11 CWTs exp'!$AA27,IF('[8]Table 11 CWTs exp'!J27/'[8]Table 11 CWTs exp'!$AA27&gt;0,"-"," "))</f>
        <v>#DIV/0!</v>
      </c>
      <c r="K26" s="144" t="e">
        <f>IF('[8]Table 11 CWTs exp'!K27/'[8]Table 11 CWTs exp'!$AA27&gt;0.0005,'[8]Table 11 CWTs exp'!K27/'[8]Table 11 CWTs exp'!$AA27,IF('[8]Table 11 CWTs exp'!K27/'[8]Table 11 CWTs exp'!$AA27&gt;0,"-"," "))</f>
        <v>#DIV/0!</v>
      </c>
      <c r="L26" s="144" t="e">
        <f>IF('[8]Table 11 CWTs exp'!L27/'[8]Table 11 CWTs exp'!$AA27&gt;0.0005,'[8]Table 11 CWTs exp'!L27/'[8]Table 11 CWTs exp'!$AA27,IF('[8]Table 11 CWTs exp'!L27/'[8]Table 11 CWTs exp'!$AA27&gt;0,"-"," "))</f>
        <v>#DIV/0!</v>
      </c>
      <c r="M26" s="144" t="e">
        <f>IF('[8]Table 11 CWTs exp'!M27/'[8]Table 11 CWTs exp'!$AA27&gt;0.0005,'[8]Table 11 CWTs exp'!M27/'[8]Table 11 CWTs exp'!$AA27,IF('[8]Table 11 CWTs exp'!M27/'[8]Table 11 CWTs exp'!$AA27&gt;0,"-"," "))</f>
        <v>#DIV/0!</v>
      </c>
      <c r="N26" s="144" t="e">
        <f>IF('[8]Table 11 CWTs exp'!N27/'[8]Table 11 CWTs exp'!$AA27&gt;0.0005,'[8]Table 11 CWTs exp'!N27/'[8]Table 11 CWTs exp'!$AA27,IF('[8]Table 11 CWTs exp'!N27/'[8]Table 11 CWTs exp'!$AA27&gt;0,"-"," "))</f>
        <v>#DIV/0!</v>
      </c>
      <c r="O26" s="144" t="e">
        <f>IF('[8]Table 11 CWTs exp'!O27/'[8]Table 11 CWTs exp'!$AA27&gt;0.0005,'[8]Table 11 CWTs exp'!O27/'[8]Table 11 CWTs exp'!$AA27,IF('[8]Table 11 CWTs exp'!O27/'[8]Table 11 CWTs exp'!$AA27&gt;0,"-"," "))</f>
        <v>#DIV/0!</v>
      </c>
      <c r="P26" s="144" t="e">
        <f>IF('[8]Table 11 CWTs exp'!P27/'[8]Table 11 CWTs exp'!$AA27&gt;0.0005,'[8]Table 11 CWTs exp'!P27/'[8]Table 11 CWTs exp'!$AA27,IF('[8]Table 11 CWTs exp'!P27/'[8]Table 11 CWTs exp'!$AA27&gt;0,"-"," "))</f>
        <v>#DIV/0!</v>
      </c>
      <c r="Q26" s="145" t="e">
        <f>IF('[8]Table 11 CWTs exp'!Q27/'[8]Table 11 CWTs exp'!$AA27&gt;0.0005,'[8]Table 11 CWTs exp'!Q27/'[8]Table 11 CWTs exp'!$AA27,IF('[8]Table 11 CWTs exp'!Q27/'[8]Table 11 CWTs exp'!$AA27&gt;0,"-"," "))</f>
        <v>#DIV/0!</v>
      </c>
      <c r="R26" s="146" t="e">
        <f>IF('[8]Table 11 CWTs exp'!R27/'[8]Table 11 CWTs exp'!$AA27&gt;0.0005,'[8]Table 11 CWTs exp'!R27/'[8]Table 11 CWTs exp'!$AA27,IF('[8]Table 11 CWTs exp'!R27/'[8]Table 11 CWTs exp'!$AA27&gt;0,"-"," "))</f>
        <v>#DIV/0!</v>
      </c>
      <c r="S26" s="144" t="e">
        <f>IF('[8]Table 11 CWTs exp'!S27/'[8]Table 11 CWTs exp'!$AA27&gt;0.0005,'[8]Table 11 CWTs exp'!S27/'[8]Table 11 CWTs exp'!$AA27,IF('[8]Table 11 CWTs exp'!S27/'[8]Table 11 CWTs exp'!$AA27&gt;0,"-"," "))</f>
        <v>#DIV/0!</v>
      </c>
      <c r="T26" s="144" t="e">
        <f>IF('[8]Table 11 CWTs exp'!T27/'[8]Table 11 CWTs exp'!$AA27&gt;0.0005,'[8]Table 11 CWTs exp'!T27/'[8]Table 11 CWTs exp'!$AA27,IF('[8]Table 11 CWTs exp'!T27/'[8]Table 11 CWTs exp'!$AA27&gt;0,"-"," "))</f>
        <v>#DIV/0!</v>
      </c>
      <c r="U26" s="144" t="e">
        <f>IF('[8]Table 11 CWTs exp'!U27/'[8]Table 11 CWTs exp'!$AA27&gt;0.0005,'[8]Table 11 CWTs exp'!U27/'[8]Table 11 CWTs exp'!$AA27,IF('[8]Table 11 CWTs exp'!U27/'[8]Table 11 CWTs exp'!$AA27&gt;0,"-"," "))</f>
        <v>#DIV/0!</v>
      </c>
      <c r="V26" s="145" t="e">
        <f>IF('[8]Table 11 CWTs exp'!V27/'[8]Table 11 CWTs exp'!$AA27&gt;0.0005,'[8]Table 11 CWTs exp'!V27/'[8]Table 11 CWTs exp'!$AA27,IF('[8]Table 11 CWTs exp'!V27/'[8]Table 11 CWTs exp'!$AA27&gt;0,"-"," "))</f>
        <v>#DIV/0!</v>
      </c>
      <c r="W26" s="146" t="e">
        <f>IF('[8]Table 11 CWTs exp'!W27/'[8]Table 11 CWTs exp'!$AA27&gt;0.0005,'[8]Table 11 CWTs exp'!W27/'[8]Table 11 CWTs exp'!$AA27,IF('[8]Table 11 CWTs exp'!W27/'[8]Table 11 CWTs exp'!$AA27&gt;0,"-"," "))</f>
        <v>#DIV/0!</v>
      </c>
      <c r="X26" s="206" t="e">
        <f>IF('[8]Table 11 CWTs exp'!X27/'[8]Table 11 CWTs exp'!$AA27&gt;0.0005,'[8]Table 11 CWTs exp'!X27/'[8]Table 11 CWTs exp'!$AA27,IF('[8]Table 11 CWTs exp'!X27/'[8]Table 11 CWTs exp'!$AA27&gt;0,"-"," "))</f>
        <v>#DIV/0!</v>
      </c>
      <c r="Y26" s="147" t="e">
        <f t="shared" si="0"/>
        <v>#DIV/0!</v>
      </c>
      <c r="Z26" s="148" t="e">
        <f t="shared" si="6"/>
        <v>#DIV/0!</v>
      </c>
      <c r="AA26" s="38">
        <f>'[8]Table 11 CWTs exp'!AA27</f>
        <v>0</v>
      </c>
      <c r="AC26" s="592">
        <f>'[8]Table 11 CWTs exp'!AC27</f>
        <v>0</v>
      </c>
      <c r="AD26" s="592" t="e">
        <f t="shared" si="2"/>
        <v>#DIV/0!</v>
      </c>
      <c r="AE26" s="593" t="str">
        <f t="shared" si="3"/>
        <v>BUT543</v>
      </c>
      <c r="AF26" s="442"/>
      <c r="AG26" s="442"/>
      <c r="AH26" s="442"/>
    </row>
    <row r="27" spans="1:34" ht="14.5" customHeight="1" x14ac:dyDescent="0.25">
      <c r="A27" s="54" t="str">
        <f>'[8]Table 11 CWTs exp'!A28</f>
        <v>FEA543</v>
      </c>
      <c r="B27" s="75" t="str">
        <f>'[8]Table 11 CWTs exp'!B28</f>
        <v>FEA</v>
      </c>
      <c r="C27" s="75">
        <f>'[8]Table 11 CWTs exp'!C28</f>
        <v>54</v>
      </c>
      <c r="D27" s="75">
        <f>'[8]Table 11 CWTs exp'!D28</f>
        <v>3</v>
      </c>
      <c r="E27" t="str">
        <f>'[8]Table 11 CWTs exp'!E28</f>
        <v>Feather River</v>
      </c>
      <c r="F27" s="37" t="str">
        <f>'[8]Table 11 CWTs exp'!F28</f>
        <v>Fall</v>
      </c>
      <c r="G27" s="144" t="str">
        <f>IF('[8]Table 11 CWTs exp'!G28/'[8]Table 11 CWTs exp'!$AA28&gt;0.0005,'[8]Table 11 CWTs exp'!G28/'[8]Table 11 CWTs exp'!$AA28,IF('[8]Table 11 CWTs exp'!G28/'[8]Table 11 CWTs exp'!$AA28&gt;0,"-"," "))</f>
        <v xml:space="preserve"> </v>
      </c>
      <c r="H27" s="145" t="str">
        <f>IF('[8]Table 11 CWTs exp'!H28/'[8]Table 11 CWTs exp'!$AA28&gt;0.0005,'[8]Table 11 CWTs exp'!H28/'[8]Table 11 CWTs exp'!$AA28,IF('[8]Table 11 CWTs exp'!H28/'[8]Table 11 CWTs exp'!$AA28&gt;0,"-"," "))</f>
        <v xml:space="preserve"> </v>
      </c>
      <c r="I27" s="144">
        <f>IF('[8]Table 11 CWTs exp'!I28/'[8]Table 11 CWTs exp'!$AA28&gt;0.0005,'[8]Table 11 CWTs exp'!I28/'[8]Table 11 CWTs exp'!$AA28,IF('[8]Table 11 CWTs exp'!I28/'[8]Table 11 CWTs exp'!$AA28&gt;0,"-"," "))</f>
        <v>1.166974618302052E-3</v>
      </c>
      <c r="J27" s="146">
        <f>IF('[8]Table 11 CWTs exp'!J28/'[8]Table 11 CWTs exp'!$AA28&gt;0.0005,'[8]Table 11 CWTs exp'!J28/'[8]Table 11 CWTs exp'!$AA28,IF('[8]Table 11 CWTs exp'!J28/'[8]Table 11 CWTs exp'!$AA28&gt;0,"-"," "))</f>
        <v>2.202664592045123E-2</v>
      </c>
      <c r="K27" s="144">
        <f>IF('[8]Table 11 CWTs exp'!K28/'[8]Table 11 CWTs exp'!$AA28&gt;0.0005,'[8]Table 11 CWTs exp'!K28/'[8]Table 11 CWTs exp'!$AA28,IF('[8]Table 11 CWTs exp'!K28/'[8]Table 11 CWTs exp'!$AA28&gt;0,"-"," "))</f>
        <v>7.7749683944374204E-2</v>
      </c>
      <c r="L27" s="144">
        <f>IF('[8]Table 11 CWTs exp'!L28/'[8]Table 11 CWTs exp'!$AA28&gt;0.0005,'[8]Table 11 CWTs exp'!L28/'[8]Table 11 CWTs exp'!$AA28,IF('[8]Table 11 CWTs exp'!L28/'[8]Table 11 CWTs exp'!$AA28&gt;0,"-"," "))</f>
        <v>7.7944179714091219E-2</v>
      </c>
      <c r="M27" s="144" t="str">
        <f>IF('[8]Table 11 CWTs exp'!M28/'[8]Table 11 CWTs exp'!$AA28&gt;0.0005,'[8]Table 11 CWTs exp'!M28/'[8]Table 11 CWTs exp'!$AA28,IF('[8]Table 11 CWTs exp'!M28/'[8]Table 11 CWTs exp'!$AA28&gt;0,"-"," "))</f>
        <v xml:space="preserve"> </v>
      </c>
      <c r="N27" s="144">
        <f>IF('[8]Table 11 CWTs exp'!N28/'[8]Table 11 CWTs exp'!$AA28&gt;0.0005,'[8]Table 11 CWTs exp'!N28/'[8]Table 11 CWTs exp'!$AA28,IF('[8]Table 11 CWTs exp'!N28/'[8]Table 11 CWTs exp'!$AA28&gt;0,"-"," "))</f>
        <v>2.5430321890498882E-2</v>
      </c>
      <c r="O27" s="144">
        <f>IF('[8]Table 11 CWTs exp'!O28/'[8]Table 11 CWTs exp'!$AA28&gt;0.0005,'[8]Table 11 CWTs exp'!O28/'[8]Table 11 CWTs exp'!$AA28,IF('[8]Table 11 CWTs exp'!O28/'[8]Table 11 CWTs exp'!$AA28&gt;0,"-"," "))</f>
        <v>0.571914810852864</v>
      </c>
      <c r="P27" s="144">
        <f>IF('[8]Table 11 CWTs exp'!P28/'[8]Table 11 CWTs exp'!$AA28&gt;0.0005,'[8]Table 11 CWTs exp'!P28/'[8]Table 11 CWTs exp'!$AA28,IF('[8]Table 11 CWTs exp'!P28/'[8]Table 11 CWTs exp'!$AA28&gt;0,"-"," "))</f>
        <v>2.562481766021589E-2</v>
      </c>
      <c r="Q27" s="145">
        <f>IF('[8]Table 11 CWTs exp'!Q28/'[8]Table 11 CWTs exp'!$AA28&gt;0.0005,'[8]Table 11 CWTs exp'!Q28/'[8]Table 11 CWTs exp'!$AA28,IF('[8]Table 11 CWTs exp'!Q28/'[8]Table 11 CWTs exp'!$AA28&gt;0,"-"," "))</f>
        <v>6.369736458232033E-3</v>
      </c>
      <c r="R27" s="146">
        <f>IF('[8]Table 11 CWTs exp'!R28/'[8]Table 11 CWTs exp'!$AA28&gt;0.0005,'[8]Table 11 CWTs exp'!R28/'[8]Table 11 CWTs exp'!$AA28,IF('[8]Table 11 CWTs exp'!R28/'[8]Table 11 CWTs exp'!$AA28&gt;0,"-"," "))</f>
        <v>3.4522999124769038E-3</v>
      </c>
      <c r="S27" s="144" t="str">
        <f>IF('[8]Table 11 CWTs exp'!S28/'[8]Table 11 CWTs exp'!$AA28&gt;0.0005,'[8]Table 11 CWTs exp'!S28/'[8]Table 11 CWTs exp'!$AA28,IF('[8]Table 11 CWTs exp'!S28/'[8]Table 11 CWTs exp'!$AA28&gt;0,"-"," "))</f>
        <v xml:space="preserve"> </v>
      </c>
      <c r="T27" s="144">
        <f>IF('[8]Table 11 CWTs exp'!T28/'[8]Table 11 CWTs exp'!$AA28&gt;0.0005,'[8]Table 11 CWTs exp'!T28/'[8]Table 11 CWTs exp'!$AA28,IF('[8]Table 11 CWTs exp'!T28/'[8]Table 11 CWTs exp'!$AA28&gt;0,"-"," "))</f>
        <v>5.7862491490810073E-3</v>
      </c>
      <c r="U27" s="144" t="str">
        <f>IF('[8]Table 11 CWTs exp'!U28/'[8]Table 11 CWTs exp'!$AA28&gt;0.0005,'[8]Table 11 CWTs exp'!U28/'[8]Table 11 CWTs exp'!$AA28,IF('[8]Table 11 CWTs exp'!U28/'[8]Table 11 CWTs exp'!$AA28&gt;0,"-"," "))</f>
        <v>-</v>
      </c>
      <c r="V27" s="145" t="str">
        <f>IF('[8]Table 11 CWTs exp'!V28/'[8]Table 11 CWTs exp'!$AA28&gt;0.0005,'[8]Table 11 CWTs exp'!V28/'[8]Table 11 CWTs exp'!$AA28,IF('[8]Table 11 CWTs exp'!V28/'[8]Table 11 CWTs exp'!$AA28&gt;0,"-"," "))</f>
        <v xml:space="preserve"> </v>
      </c>
      <c r="W27" s="146">
        <f>IF('[8]Table 11 CWTs exp'!W28/'[8]Table 11 CWTs exp'!$AA28&gt;0.0005,'[8]Table 11 CWTs exp'!W28/'[8]Table 11 CWTs exp'!$AA28,IF('[8]Table 11 CWTs exp'!W28/'[8]Table 11 CWTs exp'!$AA28&gt;0,"-"," "))</f>
        <v>6.6614801128075463E-3</v>
      </c>
      <c r="X27" s="206">
        <f>IF('[8]Table 11 CWTs exp'!X28/'[8]Table 11 CWTs exp'!$AA28&gt;0.0005,'[8]Table 11 CWTs exp'!X28/'[8]Table 11 CWTs exp'!$AA28,IF('[8]Table 11 CWTs exp'!X28/'[8]Table 11 CWTs exp'!$AA28&gt;0,"-"," "))</f>
        <v>1.166974618302052E-3</v>
      </c>
      <c r="Y27" s="147">
        <f t="shared" si="0"/>
        <v>0.82529417485169687</v>
      </c>
      <c r="Z27" s="148">
        <f t="shared" si="5"/>
        <v>0.17470582514830313</v>
      </c>
      <c r="AA27" s="38">
        <f>'[8]Table 11 CWTs exp'!AA28</f>
        <v>20566</v>
      </c>
      <c r="AC27" s="592">
        <f>'[8]Table 11 CWTs exp'!AC28</f>
        <v>0.82599999999999996</v>
      </c>
      <c r="AD27" s="592">
        <f t="shared" si="2"/>
        <v>-7.0582514830308529E-4</v>
      </c>
      <c r="AE27" s="593" t="str">
        <f t="shared" si="3"/>
        <v>FEA543</v>
      </c>
      <c r="AF27" s="442"/>
      <c r="AG27" s="442"/>
      <c r="AH27" s="442"/>
    </row>
    <row r="28" spans="1:34" ht="14.5" customHeight="1" x14ac:dyDescent="0.25">
      <c r="A28" s="54" t="str">
        <f>'[8]Table 11 CWTs exp'!A29</f>
        <v>YUBA543</v>
      </c>
      <c r="B28" s="75" t="str">
        <f>'[8]Table 11 CWTs exp'!B29</f>
        <v>YUBA</v>
      </c>
      <c r="C28" s="75">
        <f>'[8]Table 11 CWTs exp'!C29</f>
        <v>54</v>
      </c>
      <c r="D28" s="75">
        <f>'[8]Table 11 CWTs exp'!D29</f>
        <v>3</v>
      </c>
      <c r="E28" s="79" t="s">
        <v>147</v>
      </c>
      <c r="F28" s="37" t="str">
        <f>'[8]Table 11 CWTs exp'!F29</f>
        <v>Fall</v>
      </c>
      <c r="G28" s="144" t="str">
        <f>IF('[8]Table 11 CWTs exp'!G29/'[8]Table 11 CWTs exp'!$AA29&gt;0.0005,'[8]Table 11 CWTs exp'!G29/'[8]Table 11 CWTs exp'!$AA29,IF('[8]Table 11 CWTs exp'!G29/'[8]Table 11 CWTs exp'!$AA29&gt;0,"-"," "))</f>
        <v xml:space="preserve"> </v>
      </c>
      <c r="H28" s="145" t="str">
        <f>IF('[8]Table 11 CWTs exp'!H29/'[8]Table 11 CWTs exp'!$AA29&gt;0.0005,'[8]Table 11 CWTs exp'!H29/'[8]Table 11 CWTs exp'!$AA29,IF('[8]Table 11 CWTs exp'!H29/'[8]Table 11 CWTs exp'!$AA29&gt;0,"-"," "))</f>
        <v xml:space="preserve"> </v>
      </c>
      <c r="I28" s="144" t="str">
        <f>IF('[8]Table 11 CWTs exp'!I29/'[8]Table 11 CWTs exp'!$AA29&gt;0.0005,'[8]Table 11 CWTs exp'!I29/'[8]Table 11 CWTs exp'!$AA29,IF('[8]Table 11 CWTs exp'!I29/'[8]Table 11 CWTs exp'!$AA29&gt;0,"-"," "))</f>
        <v xml:space="preserve"> </v>
      </c>
      <c r="J28" s="146">
        <f>IF('[8]Table 11 CWTs exp'!J29/'[8]Table 11 CWTs exp'!$AA29&gt;0.0005,'[8]Table 11 CWTs exp'!J29/'[8]Table 11 CWTs exp'!$AA29,IF('[8]Table 11 CWTs exp'!J29/'[8]Table 11 CWTs exp'!$AA29&gt;0,"-"," "))</f>
        <v>0.1897209395703674</v>
      </c>
      <c r="K28" s="144" t="str">
        <f>IF('[8]Table 11 CWTs exp'!K29/'[8]Table 11 CWTs exp'!$AA29&gt;0.0005,'[8]Table 11 CWTs exp'!K29/'[8]Table 11 CWTs exp'!$AA29,IF('[8]Table 11 CWTs exp'!K29/'[8]Table 11 CWTs exp'!$AA29&gt;0,"-"," "))</f>
        <v xml:space="preserve"> </v>
      </c>
      <c r="L28" s="144">
        <f>IF('[8]Table 11 CWTs exp'!L29/'[8]Table 11 CWTs exp'!$AA29&gt;0.0005,'[8]Table 11 CWTs exp'!L29/'[8]Table 11 CWTs exp'!$AA29,IF('[8]Table 11 CWTs exp'!L29/'[8]Table 11 CWTs exp'!$AA29&gt;0,"-"," "))</f>
        <v>6.8259385665529011E-3</v>
      </c>
      <c r="M28" s="144" t="str">
        <f>IF('[8]Table 11 CWTs exp'!M29/'[8]Table 11 CWTs exp'!$AA29&gt;0.0005,'[8]Table 11 CWTs exp'!M29/'[8]Table 11 CWTs exp'!$AA29,IF('[8]Table 11 CWTs exp'!M29/'[8]Table 11 CWTs exp'!$AA29&gt;0,"-"," "))</f>
        <v xml:space="preserve"> </v>
      </c>
      <c r="N28" s="144">
        <f>IF('[8]Table 11 CWTs exp'!N29/'[8]Table 11 CWTs exp'!$AA29&gt;0.0005,'[8]Table 11 CWTs exp'!N29/'[8]Table 11 CWTs exp'!$AA29,IF('[8]Table 11 CWTs exp'!N29/'[8]Table 11 CWTs exp'!$AA29&gt;0,"-"," "))</f>
        <v>1.3651877133105802E-2</v>
      </c>
      <c r="O28" s="144">
        <f>IF('[8]Table 11 CWTs exp'!O29/'[8]Table 11 CWTs exp'!$AA29&gt;0.0005,'[8]Table 11 CWTs exp'!O29/'[8]Table 11 CWTs exp'!$AA29,IF('[8]Table 11 CWTs exp'!O29/'[8]Table 11 CWTs exp'!$AA29&gt;0,"-"," "))</f>
        <v>0.10921501706484642</v>
      </c>
      <c r="P28" s="144">
        <f>IF('[8]Table 11 CWTs exp'!P29/'[8]Table 11 CWTs exp'!$AA29&gt;0.0005,'[8]Table 11 CWTs exp'!P29/'[8]Table 11 CWTs exp'!$AA29,IF('[8]Table 11 CWTs exp'!P29/'[8]Table 11 CWTs exp'!$AA29&gt;0,"-"," "))</f>
        <v>2.0678578598674963E-2</v>
      </c>
      <c r="Q28" s="145">
        <f>IF('[8]Table 11 CWTs exp'!Q29/'[8]Table 11 CWTs exp'!$AA29&gt;0.0005,'[8]Table 11 CWTs exp'!Q29/'[8]Table 11 CWTs exp'!$AA29,IF('[8]Table 11 CWTs exp'!Q29/'[8]Table 11 CWTs exp'!$AA29&gt;0,"-"," "))</f>
        <v>8.8134912668138929E-2</v>
      </c>
      <c r="R28" s="146">
        <f>IF('[8]Table 11 CWTs exp'!R29/'[8]Table 11 CWTs exp'!$AA29&gt;0.0005,'[8]Table 11 CWTs exp'!R29/'[8]Table 11 CWTs exp'!$AA29,IF('[8]Table 11 CWTs exp'!R29/'[8]Table 11 CWTs exp'!$AA29&gt;0,"-"," "))</f>
        <v>2.7102991367195343E-2</v>
      </c>
      <c r="S28" s="144" t="str">
        <f>IF('[8]Table 11 CWTs exp'!S29/'[8]Table 11 CWTs exp'!$AA29&gt;0.0005,'[8]Table 11 CWTs exp'!S29/'[8]Table 11 CWTs exp'!$AA29,IF('[8]Table 11 CWTs exp'!S29/'[8]Table 11 CWTs exp'!$AA29&gt;0,"-"," "))</f>
        <v xml:space="preserve"> </v>
      </c>
      <c r="T28" s="144">
        <f>IF('[8]Table 11 CWTs exp'!T29/'[8]Table 11 CWTs exp'!$AA29&gt;0.0005,'[8]Table 11 CWTs exp'!T29/'[8]Table 11 CWTs exp'!$AA29,IF('[8]Table 11 CWTs exp'!T29/'[8]Table 11 CWTs exp'!$AA29&gt;0,"-"," "))</f>
        <v>0.11543866693435054</v>
      </c>
      <c r="U28" s="144">
        <f>IF('[8]Table 11 CWTs exp'!U29/'[8]Table 11 CWTs exp'!$AA29&gt;0.0005,'[8]Table 11 CWTs exp'!U29/'[8]Table 11 CWTs exp'!$AA29,IF('[8]Table 11 CWTs exp'!U29/'[8]Table 11 CWTs exp'!$AA29&gt;0,"-"," "))</f>
        <v>2.7303754266211604E-2</v>
      </c>
      <c r="V28" s="145" t="str">
        <f>IF('[8]Table 11 CWTs exp'!V29/'[8]Table 11 CWTs exp'!$AA29&gt;0.0005,'[8]Table 11 CWTs exp'!V29/'[8]Table 11 CWTs exp'!$AA29,IF('[8]Table 11 CWTs exp'!V29/'[8]Table 11 CWTs exp'!$AA29&gt;0,"-"," "))</f>
        <v xml:space="preserve"> </v>
      </c>
      <c r="W28" s="146" t="str">
        <f>IF('[8]Table 11 CWTs exp'!W29/'[8]Table 11 CWTs exp'!$AA29&gt;0.0005,'[8]Table 11 CWTs exp'!W29/'[8]Table 11 CWTs exp'!$AA29,IF('[8]Table 11 CWTs exp'!W29/'[8]Table 11 CWTs exp'!$AA29&gt;0,"-"," "))</f>
        <v xml:space="preserve"> </v>
      </c>
      <c r="X28" s="206" t="str">
        <f>IF('[8]Table 11 CWTs exp'!X29/'[8]Table 11 CWTs exp'!$AA29&gt;0.0005,'[8]Table 11 CWTs exp'!X29/'[8]Table 11 CWTs exp'!$AA29,IF('[8]Table 11 CWTs exp'!X29/'[8]Table 11 CWTs exp'!$AA29&gt;0,"-"," "))</f>
        <v xml:space="preserve"> </v>
      </c>
      <c r="Y28" s="147">
        <f t="shared" si="0"/>
        <v>0.59807267616944382</v>
      </c>
      <c r="Z28" s="148">
        <f t="shared" si="5"/>
        <v>0.40192732383055618</v>
      </c>
      <c r="AA28" s="38">
        <f>'[8]Table 11 CWTs exp'!AA29</f>
        <v>4981</v>
      </c>
      <c r="AC28" s="592">
        <f>'[8]Table 11 CWTs exp'!AC29</f>
        <v>0.59799999999999998</v>
      </c>
      <c r="AD28" s="592">
        <f t="shared" si="2"/>
        <v>7.2676169443841587E-5</v>
      </c>
      <c r="AE28" s="593" t="str">
        <f t="shared" si="3"/>
        <v>YUBA543</v>
      </c>
      <c r="AF28" s="442"/>
      <c r="AG28" s="442"/>
      <c r="AH28" s="442"/>
    </row>
    <row r="29" spans="1:34" ht="14.5" customHeight="1" x14ac:dyDescent="0.25">
      <c r="A29" s="54" t="str">
        <f>'[8]Table 11 CWTs exp'!A30</f>
        <v>YUBB543</v>
      </c>
      <c r="B29" s="75" t="str">
        <f>'[8]Table 11 CWTs exp'!B30</f>
        <v>YUBB</v>
      </c>
      <c r="C29" s="75">
        <f>'[8]Table 11 CWTs exp'!C30</f>
        <v>54</v>
      </c>
      <c r="D29" s="75">
        <f>'[8]Table 11 CWTs exp'!D30</f>
        <v>3</v>
      </c>
      <c r="E29" s="79" t="s">
        <v>85</v>
      </c>
      <c r="F29" s="37" t="str">
        <f>'[8]Table 11 CWTs exp'!F30</f>
        <v>Fall</v>
      </c>
      <c r="G29" s="144" t="str">
        <f>IF('[8]Table 11 CWTs exp'!G30/'[8]Table 11 CWTs exp'!$AA30&gt;0.0005,'[8]Table 11 CWTs exp'!G30/'[8]Table 11 CWTs exp'!$AA30,IF('[8]Table 11 CWTs exp'!G30/'[8]Table 11 CWTs exp'!$AA30&gt;0,"-"," "))</f>
        <v xml:space="preserve"> </v>
      </c>
      <c r="H29" s="145" t="str">
        <f>IF('[8]Table 11 CWTs exp'!H30/'[8]Table 11 CWTs exp'!$AA30&gt;0.0005,'[8]Table 11 CWTs exp'!H30/'[8]Table 11 CWTs exp'!$AA30,IF('[8]Table 11 CWTs exp'!H30/'[8]Table 11 CWTs exp'!$AA30&gt;0,"-"," "))</f>
        <v xml:space="preserve"> </v>
      </c>
      <c r="I29" s="144" t="str">
        <f>IF('[8]Table 11 CWTs exp'!I30/'[8]Table 11 CWTs exp'!$AA30&gt;0.0005,'[8]Table 11 CWTs exp'!I30/'[8]Table 11 CWTs exp'!$AA30,IF('[8]Table 11 CWTs exp'!I30/'[8]Table 11 CWTs exp'!$AA30&gt;0,"-"," "))</f>
        <v xml:space="preserve"> </v>
      </c>
      <c r="J29" s="146">
        <f>IF('[8]Table 11 CWTs exp'!J30/'[8]Table 11 CWTs exp'!$AA30&gt;0.0005,'[8]Table 11 CWTs exp'!J30/'[8]Table 11 CWTs exp'!$AA30,IF('[8]Table 11 CWTs exp'!J30/'[8]Table 11 CWTs exp'!$AA30&gt;0,"-"," "))</f>
        <v>0.11483067341377969</v>
      </c>
      <c r="K29" s="144" t="str">
        <f>IF('[8]Table 11 CWTs exp'!K30/'[8]Table 11 CWTs exp'!$AA30&gt;0.0005,'[8]Table 11 CWTs exp'!K30/'[8]Table 11 CWTs exp'!$AA30,IF('[8]Table 11 CWTs exp'!K30/'[8]Table 11 CWTs exp'!$AA30&gt;0,"-"," "))</f>
        <v xml:space="preserve"> </v>
      </c>
      <c r="L29" s="144" t="str">
        <f>IF('[8]Table 11 CWTs exp'!L30/'[8]Table 11 CWTs exp'!$AA30&gt;0.0005,'[8]Table 11 CWTs exp'!L30/'[8]Table 11 CWTs exp'!$AA30,IF('[8]Table 11 CWTs exp'!L30/'[8]Table 11 CWTs exp'!$AA30&gt;0,"-"," "))</f>
        <v xml:space="preserve"> </v>
      </c>
      <c r="M29" s="144" t="str">
        <f>IF('[8]Table 11 CWTs exp'!M30/'[8]Table 11 CWTs exp'!$AA30&gt;0.0005,'[8]Table 11 CWTs exp'!M30/'[8]Table 11 CWTs exp'!$AA30,IF('[8]Table 11 CWTs exp'!M30/'[8]Table 11 CWTs exp'!$AA30&gt;0,"-"," "))</f>
        <v xml:space="preserve"> </v>
      </c>
      <c r="N29" s="144">
        <f>IF('[8]Table 11 CWTs exp'!N30/'[8]Table 11 CWTs exp'!$AA30&gt;0.0005,'[8]Table 11 CWTs exp'!N30/'[8]Table 11 CWTs exp'!$AA30,IF('[8]Table 11 CWTs exp'!N30/'[8]Table 11 CWTs exp'!$AA30&gt;0,"-"," "))</f>
        <v>4.2818217205138186E-3</v>
      </c>
      <c r="O29" s="144">
        <f>IF('[8]Table 11 CWTs exp'!O30/'[8]Table 11 CWTs exp'!$AA30&gt;0.0005,'[8]Table 11 CWTs exp'!O30/'[8]Table 11 CWTs exp'!$AA30,IF('[8]Table 11 CWTs exp'!O30/'[8]Table 11 CWTs exp'!$AA30&gt;0,"-"," "))</f>
        <v>0.14791747761775009</v>
      </c>
      <c r="P29" s="144">
        <f>IF('[8]Table 11 CWTs exp'!P30/'[8]Table 11 CWTs exp'!$AA30&gt;0.0005,'[8]Table 11 CWTs exp'!P30/'[8]Table 11 CWTs exp'!$AA30,IF('[8]Table 11 CWTs exp'!P30/'[8]Table 11 CWTs exp'!$AA30&gt;0,"-"," "))</f>
        <v>1.2456208641494744E-2</v>
      </c>
      <c r="Q29" s="145" t="str">
        <f>IF('[8]Table 11 CWTs exp'!Q30/'[8]Table 11 CWTs exp'!$AA30&gt;0.0005,'[8]Table 11 CWTs exp'!Q30/'[8]Table 11 CWTs exp'!$AA30,IF('[8]Table 11 CWTs exp'!Q30/'[8]Table 11 CWTs exp'!$AA30&gt;0,"-"," "))</f>
        <v xml:space="preserve"> </v>
      </c>
      <c r="R29" s="146">
        <f>IF('[8]Table 11 CWTs exp'!R30/'[8]Table 11 CWTs exp'!$AA30&gt;0.0005,'[8]Table 11 CWTs exp'!R30/'[8]Table 11 CWTs exp'!$AA30,IF('[8]Table 11 CWTs exp'!R30/'[8]Table 11 CWTs exp'!$AA30&gt;0,"-"," "))</f>
        <v>3.2697547683923703E-2</v>
      </c>
      <c r="S29" s="144" t="str">
        <f>IF('[8]Table 11 CWTs exp'!S30/'[8]Table 11 CWTs exp'!$AA30&gt;0.0005,'[8]Table 11 CWTs exp'!S30/'[8]Table 11 CWTs exp'!$AA30,IF('[8]Table 11 CWTs exp'!S30/'[8]Table 11 CWTs exp'!$AA30&gt;0,"-"," "))</f>
        <v xml:space="preserve"> </v>
      </c>
      <c r="T29" s="144">
        <f>IF('[8]Table 11 CWTs exp'!T30/'[8]Table 11 CWTs exp'!$AA30&gt;0.0005,'[8]Table 11 CWTs exp'!T30/'[8]Table 11 CWTs exp'!$AA30,IF('[8]Table 11 CWTs exp'!T30/'[8]Table 11 CWTs exp'!$AA30&gt;0,"-"," "))</f>
        <v>9.8481899571817827E-2</v>
      </c>
      <c r="U29" s="144">
        <f>IF('[8]Table 11 CWTs exp'!U30/'[8]Table 11 CWTs exp'!$AA30&gt;0.0005,'[8]Table 11 CWTs exp'!U30/'[8]Table 11 CWTs exp'!$AA30,IF('[8]Table 11 CWTs exp'!U30/'[8]Table 11 CWTs exp'!$AA30&gt;0,"-"," "))</f>
        <v>8.1743869209809257E-3</v>
      </c>
      <c r="V29" s="145" t="str">
        <f>IF('[8]Table 11 CWTs exp'!V30/'[8]Table 11 CWTs exp'!$AA30&gt;0.0005,'[8]Table 11 CWTs exp'!V30/'[8]Table 11 CWTs exp'!$AA30,IF('[8]Table 11 CWTs exp'!V30/'[8]Table 11 CWTs exp'!$AA30&gt;0,"-"," "))</f>
        <v xml:space="preserve"> </v>
      </c>
      <c r="W29" s="146">
        <f>IF('[8]Table 11 CWTs exp'!W30/'[8]Table 11 CWTs exp'!$AA30&gt;0.0005,'[8]Table 11 CWTs exp'!W30/'[8]Table 11 CWTs exp'!$AA30,IF('[8]Table 11 CWTs exp'!W30/'[8]Table 11 CWTs exp'!$AA30&gt;0,"-"," "))</f>
        <v>3.62008563643441E-2</v>
      </c>
      <c r="X29" s="206" t="str">
        <f>IF('[8]Table 11 CWTs exp'!X30/'[8]Table 11 CWTs exp'!$AA30&gt;0.0005,'[8]Table 11 CWTs exp'!X30/'[8]Table 11 CWTs exp'!$AA30,IF('[8]Table 11 CWTs exp'!X30/'[8]Table 11 CWTs exp'!$AA30&gt;0,"-"," "))</f>
        <v xml:space="preserve"> </v>
      </c>
      <c r="Y29" s="147">
        <f t="shared" si="0"/>
        <v>0.45504087193460496</v>
      </c>
      <c r="Z29" s="148">
        <f t="shared" si="5"/>
        <v>0.54495912806539504</v>
      </c>
      <c r="AA29" s="38">
        <f>'[8]Table 11 CWTs exp'!AA30</f>
        <v>2569</v>
      </c>
      <c r="AC29" s="592">
        <f>'[8]Table 11 CWTs exp'!AC30</f>
        <v>0.45500000000000002</v>
      </c>
      <c r="AD29" s="592">
        <f t="shared" si="2"/>
        <v>4.0871934604946869E-5</v>
      </c>
      <c r="AE29" s="593" t="str">
        <f t="shared" si="3"/>
        <v>YUBB543</v>
      </c>
      <c r="AF29" s="442"/>
      <c r="AG29" s="442"/>
      <c r="AH29" s="442"/>
    </row>
    <row r="30" spans="1:34" ht="14.5" customHeight="1" x14ac:dyDescent="0.25">
      <c r="A30" s="54" t="str">
        <f>'[8]Table 11 CWTs exp'!A31</f>
        <v>LARC543</v>
      </c>
      <c r="B30" s="75" t="str">
        <f>'[8]Table 11 CWTs exp'!B31</f>
        <v>LARC</v>
      </c>
      <c r="C30" s="75">
        <f>'[8]Table 11 CWTs exp'!C31</f>
        <v>54</v>
      </c>
      <c r="D30" s="75">
        <f>'[8]Table 11 CWTs exp'!D31</f>
        <v>3</v>
      </c>
      <c r="E30" t="str">
        <f>'[8]Table 11 CWTs exp'!E31</f>
        <v>American River</v>
      </c>
      <c r="F30" s="37" t="str">
        <f>'[8]Table 11 CWTs exp'!F31</f>
        <v>Fall</v>
      </c>
      <c r="G30" s="144" t="str">
        <f>IF('[8]Table 11 CWTs exp'!G31/'[8]Table 11 CWTs exp'!$AA31&gt;0.0005,'[8]Table 11 CWTs exp'!G31/'[8]Table 11 CWTs exp'!$AA31,IF('[8]Table 11 CWTs exp'!G31/'[8]Table 11 CWTs exp'!$AA31&gt;0,"-"," "))</f>
        <v xml:space="preserve"> </v>
      </c>
      <c r="H30" s="145" t="str">
        <f>IF('[8]Table 11 CWTs exp'!H31/'[8]Table 11 CWTs exp'!$AA31&gt;0.0005,'[8]Table 11 CWTs exp'!H31/'[8]Table 11 CWTs exp'!$AA31,IF('[8]Table 11 CWTs exp'!H31/'[8]Table 11 CWTs exp'!$AA31&gt;0,"-"," "))</f>
        <v>-</v>
      </c>
      <c r="I30" s="144" t="str">
        <f>IF('[8]Table 11 CWTs exp'!I31/'[8]Table 11 CWTs exp'!$AA31&gt;0.0005,'[8]Table 11 CWTs exp'!I31/'[8]Table 11 CWTs exp'!$AA31,IF('[8]Table 11 CWTs exp'!I31/'[8]Table 11 CWTs exp'!$AA31&gt;0,"-"," "))</f>
        <v xml:space="preserve"> </v>
      </c>
      <c r="J30" s="146">
        <f>IF('[8]Table 11 CWTs exp'!J31/'[8]Table 11 CWTs exp'!$AA31&gt;0.0005,'[8]Table 11 CWTs exp'!J31/'[8]Table 11 CWTs exp'!$AA31,IF('[8]Table 11 CWTs exp'!J31/'[8]Table 11 CWTs exp'!$AA31&gt;0,"-"," "))</f>
        <v>1.5587616907126803E-2</v>
      </c>
      <c r="K30" s="144" t="str">
        <f>IF('[8]Table 11 CWTs exp'!K31/'[8]Table 11 CWTs exp'!$AA31&gt;0.0005,'[8]Table 11 CWTs exp'!K31/'[8]Table 11 CWTs exp'!$AA31,IF('[8]Table 11 CWTs exp'!K31/'[8]Table 11 CWTs exp'!$AA31&gt;0,"-"," "))</f>
        <v xml:space="preserve"> </v>
      </c>
      <c r="L30" s="144" t="str">
        <f>IF('[8]Table 11 CWTs exp'!L31/'[8]Table 11 CWTs exp'!$AA31&gt;0.0005,'[8]Table 11 CWTs exp'!L31/'[8]Table 11 CWTs exp'!$AA31,IF('[8]Table 11 CWTs exp'!L31/'[8]Table 11 CWTs exp'!$AA31&gt;0,"-"," "))</f>
        <v xml:space="preserve"> </v>
      </c>
      <c r="M30" s="144" t="str">
        <f>IF('[8]Table 11 CWTs exp'!M31/'[8]Table 11 CWTs exp'!$AA31&gt;0.0005,'[8]Table 11 CWTs exp'!M31/'[8]Table 11 CWTs exp'!$AA31,IF('[8]Table 11 CWTs exp'!M31/'[8]Table 11 CWTs exp'!$AA31&gt;0,"-"," "))</f>
        <v xml:space="preserve"> </v>
      </c>
      <c r="N30" s="144" t="str">
        <f>IF('[8]Table 11 CWTs exp'!N31/'[8]Table 11 CWTs exp'!$AA31&gt;0.0005,'[8]Table 11 CWTs exp'!N31/'[8]Table 11 CWTs exp'!$AA31,IF('[8]Table 11 CWTs exp'!N31/'[8]Table 11 CWTs exp'!$AA31&gt;0,"-"," "))</f>
        <v>-</v>
      </c>
      <c r="O30" s="144">
        <f>IF('[8]Table 11 CWTs exp'!O31/'[8]Table 11 CWTs exp'!$AA31&gt;0.0005,'[8]Table 11 CWTs exp'!O31/'[8]Table 11 CWTs exp'!$AA31,IF('[8]Table 11 CWTs exp'!O31/'[8]Table 11 CWTs exp'!$AA31&gt;0,"-"," "))</f>
        <v>1.2977597331979989E-2</v>
      </c>
      <c r="P30" s="144">
        <f>IF('[8]Table 11 CWTs exp'!P31/'[8]Table 11 CWTs exp'!$AA31&gt;0.0005,'[8]Table 11 CWTs exp'!P31/'[8]Table 11 CWTs exp'!$AA31,IF('[8]Table 11 CWTs exp'!P31/'[8]Table 11 CWTs exp'!$AA31&gt;0,"-"," "))</f>
        <v>6.5250489378670343E-4</v>
      </c>
      <c r="Q30" s="145">
        <f>IF('[8]Table 11 CWTs exp'!Q31/'[8]Table 11 CWTs exp'!$AA31&gt;0.0005,'[8]Table 11 CWTs exp'!Q31/'[8]Table 11 CWTs exp'!$AA31,IF('[8]Table 11 CWTs exp'!Q31/'[8]Table 11 CWTs exp'!$AA31&gt;0,"-"," "))</f>
        <v>0.23265424490683681</v>
      </c>
      <c r="R30" s="146">
        <f>IF('[8]Table 11 CWTs exp'!R31/'[8]Table 11 CWTs exp'!$AA31&gt;0.0005,'[8]Table 11 CWTs exp'!R31/'[8]Table 11 CWTs exp'!$AA31,IF('[8]Table 11 CWTs exp'!R31/'[8]Table 11 CWTs exp'!$AA31&gt;0,"-"," "))</f>
        <v>0.21213659102443269</v>
      </c>
      <c r="S30" s="144" t="str">
        <f>IF('[8]Table 11 CWTs exp'!S31/'[8]Table 11 CWTs exp'!$AA31&gt;0.0005,'[8]Table 11 CWTs exp'!S31/'[8]Table 11 CWTs exp'!$AA31,IF('[8]Table 11 CWTs exp'!S31/'[8]Table 11 CWTs exp'!$AA31&gt;0,"-"," "))</f>
        <v>-</v>
      </c>
      <c r="T30" s="144">
        <f>IF('[8]Table 11 CWTs exp'!T31/'[8]Table 11 CWTs exp'!$AA31&gt;0.0005,'[8]Table 11 CWTs exp'!T31/'[8]Table 11 CWTs exp'!$AA31,IF('[8]Table 11 CWTs exp'!T31/'[8]Table 11 CWTs exp'!$AA31&gt;0,"-"," "))</f>
        <v>0.14855361415210613</v>
      </c>
      <c r="U30" s="144">
        <f>IF('[8]Table 11 CWTs exp'!U31/'[8]Table 11 CWTs exp'!$AA31&gt;0.0005,'[8]Table 11 CWTs exp'!U31/'[8]Table 11 CWTs exp'!$AA31,IF('[8]Table 11 CWTs exp'!U31/'[8]Table 11 CWTs exp'!$AA31&gt;0,"-"," "))</f>
        <v>1.1745088088160662E-2</v>
      </c>
      <c r="V30" s="145" t="str">
        <f>IF('[8]Table 11 CWTs exp'!V31/'[8]Table 11 CWTs exp'!$AA31&gt;0.0005,'[8]Table 11 CWTs exp'!V31/'[8]Table 11 CWTs exp'!$AA31,IF('[8]Table 11 CWTs exp'!V31/'[8]Table 11 CWTs exp'!$AA31&gt;0,"-"," "))</f>
        <v xml:space="preserve"> </v>
      </c>
      <c r="W30" s="146">
        <f>IF('[8]Table 11 CWTs exp'!W31/'[8]Table 11 CWTs exp'!$AA31&gt;0.0005,'[8]Table 11 CWTs exp'!W31/'[8]Table 11 CWTs exp'!$AA31,IF('[8]Table 11 CWTs exp'!W31/'[8]Table 11 CWTs exp'!$AA31&gt;0,"-"," "))</f>
        <v>1.2760095700717755E-2</v>
      </c>
      <c r="X30" s="206" t="str">
        <f>IF('[8]Table 11 CWTs exp'!X31/'[8]Table 11 CWTs exp'!$AA31&gt;0.0005,'[8]Table 11 CWTs exp'!X31/'[8]Table 11 CWTs exp'!$AA31,IF('[8]Table 11 CWTs exp'!X31/'[8]Table 11 CWTs exp'!$AA31&gt;0,"-"," "))</f>
        <v>-</v>
      </c>
      <c r="Y30" s="147">
        <f t="shared" si="0"/>
        <v>0.64706735300514751</v>
      </c>
      <c r="Z30" s="148">
        <f t="shared" si="5"/>
        <v>0.35293264699485249</v>
      </c>
      <c r="AA30" s="38">
        <f>'[8]Table 11 CWTs exp'!AA31</f>
        <v>13793</v>
      </c>
      <c r="AC30" s="592">
        <f>'[8]Table 11 CWTs exp'!AC31</f>
        <v>0.64800000000000002</v>
      </c>
      <c r="AD30" s="592">
        <f t="shared" si="2"/>
        <v>-9.3264699485251512E-4</v>
      </c>
      <c r="AE30" s="593" t="str">
        <f t="shared" si="3"/>
        <v>LARC543</v>
      </c>
      <c r="AF30" s="442"/>
      <c r="AG30" s="442"/>
      <c r="AH30" s="442"/>
    </row>
    <row r="31" spans="1:34" ht="14.5" customHeight="1" x14ac:dyDescent="0.25">
      <c r="A31" s="54" t="str">
        <f>'[8]Table 11 CWTs exp'!A32</f>
        <v>NIMW593</v>
      </c>
      <c r="B31" s="75" t="str">
        <f>'[8]Table 11 CWTs exp'!B32</f>
        <v>NIMW</v>
      </c>
      <c r="C31" s="75">
        <f>'[8]Table 11 CWTs exp'!C32</f>
        <v>59</v>
      </c>
      <c r="D31" s="75">
        <f>'[8]Table 11 CWTs exp'!D32</f>
        <v>3</v>
      </c>
      <c r="E31" t="str">
        <f>'[8]Table 11 CWTs exp'!E32</f>
        <v>Nimbus Fish Hatchery Weir</v>
      </c>
      <c r="F31" s="37" t="str">
        <f>'[8]Table 11 CWTs exp'!F32</f>
        <v>Fall</v>
      </c>
      <c r="G31" s="144" t="str">
        <f>IF('[8]Table 11 CWTs exp'!G32/'[8]Table 11 CWTs exp'!$AA32&gt;0.0005,'[8]Table 11 CWTs exp'!G32/'[8]Table 11 CWTs exp'!$AA32,IF('[8]Table 11 CWTs exp'!G32/'[8]Table 11 CWTs exp'!$AA32&gt;0,"-"," "))</f>
        <v xml:space="preserve"> </v>
      </c>
      <c r="H31" s="145" t="str">
        <f>IF('[8]Table 11 CWTs exp'!H32/'[8]Table 11 CWTs exp'!$AA32&gt;0.0005,'[8]Table 11 CWTs exp'!H32/'[8]Table 11 CWTs exp'!$AA32,IF('[8]Table 11 CWTs exp'!H32/'[8]Table 11 CWTs exp'!$AA32&gt;0,"-"," "))</f>
        <v xml:space="preserve"> </v>
      </c>
      <c r="I31" s="144" t="str">
        <f>IF('[8]Table 11 CWTs exp'!I32/'[8]Table 11 CWTs exp'!$AA32&gt;0.0005,'[8]Table 11 CWTs exp'!I32/'[8]Table 11 CWTs exp'!$AA32,IF('[8]Table 11 CWTs exp'!I32/'[8]Table 11 CWTs exp'!$AA32&gt;0,"-"," "))</f>
        <v xml:space="preserve"> </v>
      </c>
      <c r="J31" s="146">
        <f>IF('[8]Table 11 CWTs exp'!J32/'[8]Table 11 CWTs exp'!$AA32&gt;0.0005,'[8]Table 11 CWTs exp'!J32/'[8]Table 11 CWTs exp'!$AA32,IF('[8]Table 11 CWTs exp'!J32/'[8]Table 11 CWTs exp'!$AA32&gt;0,"-"," "))</f>
        <v>5.3442959917780058E-2</v>
      </c>
      <c r="K31" s="144">
        <f>IF('[8]Table 11 CWTs exp'!K32/'[8]Table 11 CWTs exp'!$AA32&gt;0.0005,'[8]Table 11 CWTs exp'!K32/'[8]Table 11 CWTs exp'!$AA32,IF('[8]Table 11 CWTs exp'!K32/'[8]Table 11 CWTs exp'!$AA32&gt;0,"-"," "))</f>
        <v>2.0554984583761563E-3</v>
      </c>
      <c r="L31" s="144">
        <f>IF('[8]Table 11 CWTs exp'!L32/'[8]Table 11 CWTs exp'!$AA32&gt;0.0005,'[8]Table 11 CWTs exp'!L32/'[8]Table 11 CWTs exp'!$AA32,IF('[8]Table 11 CWTs exp'!L32/'[8]Table 11 CWTs exp'!$AA32&gt;0,"-"," "))</f>
        <v>1.2846865364850977E-2</v>
      </c>
      <c r="M31" s="144" t="str">
        <f>IF('[8]Table 11 CWTs exp'!M32/'[8]Table 11 CWTs exp'!$AA32&gt;0.0005,'[8]Table 11 CWTs exp'!M32/'[8]Table 11 CWTs exp'!$AA32,IF('[8]Table 11 CWTs exp'!M32/'[8]Table 11 CWTs exp'!$AA32&gt;0,"-"," "))</f>
        <v xml:space="preserve"> </v>
      </c>
      <c r="N31" s="144">
        <f>IF('[8]Table 11 CWTs exp'!N32/'[8]Table 11 CWTs exp'!$AA32&gt;0.0005,'[8]Table 11 CWTs exp'!N32/'[8]Table 11 CWTs exp'!$AA32,IF('[8]Table 11 CWTs exp'!N32/'[8]Table 11 CWTs exp'!$AA32&gt;0,"-"," "))</f>
        <v>3.5971223021582736E-3</v>
      </c>
      <c r="O31" s="144">
        <f>IF('[8]Table 11 CWTs exp'!O32/'[8]Table 11 CWTs exp'!$AA32&gt;0.0005,'[8]Table 11 CWTs exp'!O32/'[8]Table 11 CWTs exp'!$AA32,IF('[8]Table 11 CWTs exp'!O32/'[8]Table 11 CWTs exp'!$AA32&gt;0,"-"," "))</f>
        <v>2.5693730729701953E-2</v>
      </c>
      <c r="P31" s="144">
        <f>IF('[8]Table 11 CWTs exp'!P32/'[8]Table 11 CWTs exp'!$AA32&gt;0.0005,'[8]Table 11 CWTs exp'!P32/'[8]Table 11 CWTs exp'!$AA32,IF('[8]Table 11 CWTs exp'!P32/'[8]Table 11 CWTs exp'!$AA32&gt;0,"-"," "))</f>
        <v>3.0832476875642342E-3</v>
      </c>
      <c r="Q31" s="145">
        <f>IF('[8]Table 11 CWTs exp'!Q32/'[8]Table 11 CWTs exp'!$AA32&gt;0.0005,'[8]Table 11 CWTs exp'!Q32/'[8]Table 11 CWTs exp'!$AA32,IF('[8]Table 11 CWTs exp'!Q32/'[8]Table 11 CWTs exp'!$AA32&gt;0,"-"," "))</f>
        <v>6.6803699897225073E-3</v>
      </c>
      <c r="R31" s="146">
        <f>IF('[8]Table 11 CWTs exp'!R32/'[8]Table 11 CWTs exp'!$AA32&gt;0.0005,'[8]Table 11 CWTs exp'!R32/'[8]Table 11 CWTs exp'!$AA32,IF('[8]Table 11 CWTs exp'!R32/'[8]Table 11 CWTs exp'!$AA32&gt;0,"-"," "))</f>
        <v>0.23072970195272355</v>
      </c>
      <c r="S31" s="144">
        <f>IF('[8]Table 11 CWTs exp'!S32/'[8]Table 11 CWTs exp'!$AA32&gt;0.0005,'[8]Table 11 CWTs exp'!S32/'[8]Table 11 CWTs exp'!$AA32,IF('[8]Table 11 CWTs exp'!S32/'[8]Table 11 CWTs exp'!$AA32&gt;0,"-"," "))</f>
        <v>5.1387461459403907E-4</v>
      </c>
      <c r="T31" s="144">
        <f>IF('[8]Table 11 CWTs exp'!T32/'[8]Table 11 CWTs exp'!$AA32&gt;0.0005,'[8]Table 11 CWTs exp'!T32/'[8]Table 11 CWTs exp'!$AA32,IF('[8]Table 11 CWTs exp'!T32/'[8]Table 11 CWTs exp'!$AA32&gt;0,"-"," "))</f>
        <v>7.5539568345323743E-2</v>
      </c>
      <c r="U31" s="144">
        <f>IF('[8]Table 11 CWTs exp'!U32/'[8]Table 11 CWTs exp'!$AA32&gt;0.0005,'[8]Table 11 CWTs exp'!U32/'[8]Table 11 CWTs exp'!$AA32,IF('[8]Table 11 CWTs exp'!U32/'[8]Table 11 CWTs exp'!$AA32&gt;0,"-"," "))</f>
        <v>8.2219938335046251E-3</v>
      </c>
      <c r="V31" s="145" t="str">
        <f>IF('[8]Table 11 CWTs exp'!V32/'[8]Table 11 CWTs exp'!$AA32&gt;0.0005,'[8]Table 11 CWTs exp'!V32/'[8]Table 11 CWTs exp'!$AA32,IF('[8]Table 11 CWTs exp'!V32/'[8]Table 11 CWTs exp'!$AA32&gt;0,"-"," "))</f>
        <v xml:space="preserve"> </v>
      </c>
      <c r="W31" s="146">
        <f>IF('[8]Table 11 CWTs exp'!W32/'[8]Table 11 CWTs exp'!$AA32&gt;0.0005,'[8]Table 11 CWTs exp'!W32/'[8]Table 11 CWTs exp'!$AA32,IF('[8]Table 11 CWTs exp'!W32/'[8]Table 11 CWTs exp'!$AA32&gt;0,"-"," "))</f>
        <v>7.1942446043165471E-3</v>
      </c>
      <c r="X31" s="206" t="str">
        <f>IF('[8]Table 11 CWTs exp'!X32/'[8]Table 11 CWTs exp'!$AA32&gt;0.0005,'[8]Table 11 CWTs exp'!X32/'[8]Table 11 CWTs exp'!$AA32,IF('[8]Table 11 CWTs exp'!X32/'[8]Table 11 CWTs exp'!$AA32&gt;0,"-"," "))</f>
        <v xml:space="preserve"> </v>
      </c>
      <c r="Y31" s="147">
        <f t="shared" si="0"/>
        <v>0.42959917780061668</v>
      </c>
      <c r="Z31" s="148">
        <f t="shared" si="5"/>
        <v>0.57040082219938326</v>
      </c>
      <c r="AA31" s="38">
        <f>'[8]Table 11 CWTs exp'!AA32</f>
        <v>1946</v>
      </c>
      <c r="AC31" s="592">
        <f>'[8]Table 11 CWTs exp'!AC32</f>
        <v>0.43099999999999999</v>
      </c>
      <c r="AD31" s="592">
        <f t="shared" si="2"/>
        <v>-1.4008221993833114E-3</v>
      </c>
      <c r="AE31" s="593" t="str">
        <f t="shared" si="3"/>
        <v>NIMW593</v>
      </c>
      <c r="AF31" s="442"/>
      <c r="AG31" s="442"/>
      <c r="AH31" s="442"/>
    </row>
    <row r="32" spans="1:34" ht="14.5" customHeight="1" x14ac:dyDescent="0.25">
      <c r="A32" s="54" t="str">
        <f>'[8]Table 11 CWTs exp'!A33</f>
        <v>MOKE543</v>
      </c>
      <c r="B32" s="75" t="str">
        <f>'[8]Table 11 CWTs exp'!B33</f>
        <v>MOKE</v>
      </c>
      <c r="C32" s="75">
        <f>'[8]Table 11 CWTs exp'!C33</f>
        <v>54</v>
      </c>
      <c r="D32" s="75">
        <f>'[8]Table 11 CWTs exp'!D33</f>
        <v>3</v>
      </c>
      <c r="E32" t="str">
        <f>'[8]Table 11 CWTs exp'!E33</f>
        <v>Mokelumne River</v>
      </c>
      <c r="F32" s="37" t="str">
        <f>'[8]Table 11 CWTs exp'!F33</f>
        <v>Fall</v>
      </c>
      <c r="G32" s="144" t="str">
        <f>IF('[8]Table 11 CWTs exp'!G33/'[8]Table 11 CWTs exp'!$AA33&gt;0.0005,'[8]Table 11 CWTs exp'!G33/'[8]Table 11 CWTs exp'!$AA33,IF('[8]Table 11 CWTs exp'!G33/'[8]Table 11 CWTs exp'!$AA33&gt;0,"-"," "))</f>
        <v xml:space="preserve"> </v>
      </c>
      <c r="H32" s="145" t="str">
        <f>IF('[8]Table 11 CWTs exp'!H33/'[8]Table 11 CWTs exp'!$AA33&gt;0.0005,'[8]Table 11 CWTs exp'!H33/'[8]Table 11 CWTs exp'!$AA33,IF('[8]Table 11 CWTs exp'!H33/'[8]Table 11 CWTs exp'!$AA33&gt;0,"-"," "))</f>
        <v xml:space="preserve"> </v>
      </c>
      <c r="I32" s="144" t="str">
        <f>IF('[8]Table 11 CWTs exp'!I33/'[8]Table 11 CWTs exp'!$AA33&gt;0.0005,'[8]Table 11 CWTs exp'!I33/'[8]Table 11 CWTs exp'!$AA33,IF('[8]Table 11 CWTs exp'!I33/'[8]Table 11 CWTs exp'!$AA33&gt;0,"-"," "))</f>
        <v xml:space="preserve"> </v>
      </c>
      <c r="J32" s="146">
        <f>IF('[8]Table 11 CWTs exp'!J33/'[8]Table 11 CWTs exp'!$AA33&gt;0.0005,'[8]Table 11 CWTs exp'!J33/'[8]Table 11 CWTs exp'!$AA33,IF('[8]Table 11 CWTs exp'!J33/'[8]Table 11 CWTs exp'!$AA33&gt;0,"-"," "))</f>
        <v>2.2484173761187512E-2</v>
      </c>
      <c r="K32" s="144" t="str">
        <f>IF('[8]Table 11 CWTs exp'!K33/'[8]Table 11 CWTs exp'!$AA33&gt;0.0005,'[8]Table 11 CWTs exp'!K33/'[8]Table 11 CWTs exp'!$AA33,IF('[8]Table 11 CWTs exp'!K33/'[8]Table 11 CWTs exp'!$AA33&gt;0,"-"," "))</f>
        <v xml:space="preserve"> </v>
      </c>
      <c r="L32" s="144" t="str">
        <f>IF('[8]Table 11 CWTs exp'!L33/'[8]Table 11 CWTs exp'!$AA33&gt;0.0005,'[8]Table 11 CWTs exp'!L33/'[8]Table 11 CWTs exp'!$AA33,IF('[8]Table 11 CWTs exp'!L33/'[8]Table 11 CWTs exp'!$AA33&gt;0,"-"," "))</f>
        <v xml:space="preserve"> </v>
      </c>
      <c r="M32" s="144" t="str">
        <f>IF('[8]Table 11 CWTs exp'!M33/'[8]Table 11 CWTs exp'!$AA33&gt;0.0005,'[8]Table 11 CWTs exp'!M33/'[8]Table 11 CWTs exp'!$AA33,IF('[8]Table 11 CWTs exp'!M33/'[8]Table 11 CWTs exp'!$AA33&gt;0,"-"," "))</f>
        <v xml:space="preserve"> </v>
      </c>
      <c r="N32" s="144" t="str">
        <f>IF('[8]Table 11 CWTs exp'!N33/'[8]Table 11 CWTs exp'!$AA33&gt;0.0005,'[8]Table 11 CWTs exp'!N33/'[8]Table 11 CWTs exp'!$AA33,IF('[8]Table 11 CWTs exp'!N33/'[8]Table 11 CWTs exp'!$AA33&gt;0,"-"," "))</f>
        <v xml:space="preserve"> </v>
      </c>
      <c r="O32" s="144">
        <f>IF('[8]Table 11 CWTs exp'!O33/'[8]Table 11 CWTs exp'!$AA33&gt;0.0005,'[8]Table 11 CWTs exp'!O33/'[8]Table 11 CWTs exp'!$AA33,IF('[8]Table 11 CWTs exp'!O33/'[8]Table 11 CWTs exp'!$AA33&gt;0,"-"," "))</f>
        <v>1.68085570836062E-2</v>
      </c>
      <c r="P32" s="144">
        <f>IF('[8]Table 11 CWTs exp'!P33/'[8]Table 11 CWTs exp'!$AA33&gt;0.0005,'[8]Table 11 CWTs exp'!P33/'[8]Table 11 CWTs exp'!$AA33,IF('[8]Table 11 CWTs exp'!P33/'[8]Table 11 CWTs exp'!$AA33&gt;0,"-"," "))</f>
        <v>1.3097576948264572E-3</v>
      </c>
      <c r="Q32" s="145" t="str">
        <f>IF('[8]Table 11 CWTs exp'!Q33/'[8]Table 11 CWTs exp'!$AA33&gt;0.0005,'[8]Table 11 CWTs exp'!Q33/'[8]Table 11 CWTs exp'!$AA33,IF('[8]Table 11 CWTs exp'!Q33/'[8]Table 11 CWTs exp'!$AA33&gt;0,"-"," "))</f>
        <v xml:space="preserve"> </v>
      </c>
      <c r="R32" s="146">
        <f>IF('[8]Table 11 CWTs exp'!R33/'[8]Table 11 CWTs exp'!$AA33&gt;0.0005,'[8]Table 11 CWTs exp'!R33/'[8]Table 11 CWTs exp'!$AA33,IF('[8]Table 11 CWTs exp'!R33/'[8]Table 11 CWTs exp'!$AA33&gt;0,"-"," "))</f>
        <v>0.10041475660336172</v>
      </c>
      <c r="S32" s="144">
        <f>IF('[8]Table 11 CWTs exp'!S33/'[8]Table 11 CWTs exp'!$AA33&gt;0.0005,'[8]Table 11 CWTs exp'!S33/'[8]Table 11 CWTs exp'!$AA33,IF('[8]Table 11 CWTs exp'!S33/'[8]Table 11 CWTs exp'!$AA33&gt;0,"-"," "))</f>
        <v>1.0914647456887142E-2</v>
      </c>
      <c r="T32" s="144">
        <f>IF('[8]Table 11 CWTs exp'!T33/'[8]Table 11 CWTs exp'!$AA33&gt;0.0005,'[8]Table 11 CWTs exp'!T33/'[8]Table 11 CWTs exp'!$AA33,IF('[8]Table 11 CWTs exp'!T33/'[8]Table 11 CWTs exp'!$AA33&gt;0,"-"," "))</f>
        <v>0.67714472822527827</v>
      </c>
      <c r="U32" s="144">
        <f>IF('[8]Table 11 CWTs exp'!U33/'[8]Table 11 CWTs exp'!$AA33&gt;0.0005,'[8]Table 11 CWTs exp'!U33/'[8]Table 11 CWTs exp'!$AA33,IF('[8]Table 11 CWTs exp'!U33/'[8]Table 11 CWTs exp'!$AA33&gt;0,"-"," "))</f>
        <v>6.1995197555118967E-2</v>
      </c>
      <c r="V32" s="145" t="str">
        <f>IF('[8]Table 11 CWTs exp'!V33/'[8]Table 11 CWTs exp'!$AA33&gt;0.0005,'[8]Table 11 CWTs exp'!V33/'[8]Table 11 CWTs exp'!$AA33,IF('[8]Table 11 CWTs exp'!V33/'[8]Table 11 CWTs exp'!$AA33&gt;0,"-"," "))</f>
        <v xml:space="preserve"> </v>
      </c>
      <c r="W32" s="146">
        <f>IF('[8]Table 11 CWTs exp'!W33/'[8]Table 11 CWTs exp'!$AA33&gt;0.0005,'[8]Table 11 CWTs exp'!W33/'[8]Table 11 CWTs exp'!$AA33,IF('[8]Table 11 CWTs exp'!W33/'[8]Table 11 CWTs exp'!$AA33&gt;0,"-"," "))</f>
        <v>5.3918358437022487E-2</v>
      </c>
      <c r="X32" s="206" t="str">
        <f>IF('[8]Table 11 CWTs exp'!X33/'[8]Table 11 CWTs exp'!$AA33&gt;0.0005,'[8]Table 11 CWTs exp'!X33/'[8]Table 11 CWTs exp'!$AA33,IF('[8]Table 11 CWTs exp'!X33/'[8]Table 11 CWTs exp'!$AA33&gt;0,"-"," "))</f>
        <v xml:space="preserve"> </v>
      </c>
      <c r="Y32" s="147">
        <f t="shared" si="0"/>
        <v>0.94499017681728881</v>
      </c>
      <c r="Z32" s="148">
        <f t="shared" si="5"/>
        <v>5.5009823182711193E-2</v>
      </c>
      <c r="AA32" s="38">
        <f>'[8]Table 11 CWTs exp'!AA33</f>
        <v>4581</v>
      </c>
      <c r="AC32" s="592">
        <f>'[8]Table 11 CWTs exp'!AC33</f>
        <v>0.94499999999999995</v>
      </c>
      <c r="AD32" s="592">
        <f t="shared" si="2"/>
        <v>-9.8231827111439074E-6</v>
      </c>
      <c r="AE32" s="593" t="str">
        <f t="shared" si="3"/>
        <v>MOKE543</v>
      </c>
      <c r="AF32" s="442"/>
      <c r="AG32" s="442"/>
      <c r="AH32" s="442"/>
    </row>
    <row r="33" spans="1:34" ht="14.5" hidden="1" customHeight="1" x14ac:dyDescent="0.25">
      <c r="A33" s="54" t="str">
        <f>'[8]Table 11 CWTs exp'!A34</f>
        <v>COSU543</v>
      </c>
      <c r="B33" s="75" t="str">
        <f>'[8]Table 11 CWTs exp'!B34</f>
        <v>COSU</v>
      </c>
      <c r="C33" s="75">
        <f>'[8]Table 11 CWTs exp'!C34</f>
        <v>54</v>
      </c>
      <c r="D33" s="75">
        <f>'[8]Table 11 CWTs exp'!D34</f>
        <v>3</v>
      </c>
      <c r="E33" t="str">
        <f>'[8]Table 11 CWTs exp'!E34</f>
        <v>Cosumnes River</v>
      </c>
      <c r="F33" s="37" t="str">
        <f>'[8]Table 11 CWTs exp'!F34</f>
        <v>Fall</v>
      </c>
      <c r="G33" s="144" t="e">
        <f>IF('[8]Table 11 CWTs exp'!G34/'[8]Table 11 CWTs exp'!$AA34&gt;0.0005,'[8]Table 11 CWTs exp'!G34/'[8]Table 11 CWTs exp'!$AA34,IF('[8]Table 11 CWTs exp'!G34/'[8]Table 11 CWTs exp'!$AA34&gt;0,"-"," "))</f>
        <v>#DIV/0!</v>
      </c>
      <c r="H33" s="145" t="e">
        <f>IF('[8]Table 11 CWTs exp'!H34/'[8]Table 11 CWTs exp'!$AA34&gt;0.0005,'[8]Table 11 CWTs exp'!H34/'[8]Table 11 CWTs exp'!$AA34,IF('[8]Table 11 CWTs exp'!H34/'[8]Table 11 CWTs exp'!$AA34&gt;0,"-"," "))</f>
        <v>#DIV/0!</v>
      </c>
      <c r="I33" s="144" t="e">
        <f>IF('[8]Table 11 CWTs exp'!I34/'[8]Table 11 CWTs exp'!$AA34&gt;0.0005,'[8]Table 11 CWTs exp'!I34/'[8]Table 11 CWTs exp'!$AA34,IF('[8]Table 11 CWTs exp'!I34/'[8]Table 11 CWTs exp'!$AA34&gt;0,"-"," "))</f>
        <v>#DIV/0!</v>
      </c>
      <c r="J33" s="146" t="e">
        <f>IF('[8]Table 11 CWTs exp'!J34/'[8]Table 11 CWTs exp'!$AA34&gt;0.0005,'[8]Table 11 CWTs exp'!J34/'[8]Table 11 CWTs exp'!$AA34,IF('[8]Table 11 CWTs exp'!J34/'[8]Table 11 CWTs exp'!$AA34&gt;0,"-"," "))</f>
        <v>#DIV/0!</v>
      </c>
      <c r="K33" s="144" t="e">
        <f>IF('[8]Table 11 CWTs exp'!K34/'[8]Table 11 CWTs exp'!$AA34&gt;0.0005,'[8]Table 11 CWTs exp'!K34/'[8]Table 11 CWTs exp'!$AA34,IF('[8]Table 11 CWTs exp'!K34/'[8]Table 11 CWTs exp'!$AA34&gt;0,"-"," "))</f>
        <v>#DIV/0!</v>
      </c>
      <c r="L33" s="144" t="e">
        <f>IF('[8]Table 11 CWTs exp'!L34/'[8]Table 11 CWTs exp'!$AA34&gt;0.0005,'[8]Table 11 CWTs exp'!L34/'[8]Table 11 CWTs exp'!$AA34,IF('[8]Table 11 CWTs exp'!L34/'[8]Table 11 CWTs exp'!$AA34&gt;0,"-"," "))</f>
        <v>#DIV/0!</v>
      </c>
      <c r="M33" s="144" t="e">
        <f>IF('[8]Table 11 CWTs exp'!M34/'[8]Table 11 CWTs exp'!$AA34&gt;0.0005,'[8]Table 11 CWTs exp'!M34/'[8]Table 11 CWTs exp'!$AA34,IF('[8]Table 11 CWTs exp'!M34/'[8]Table 11 CWTs exp'!$AA34&gt;0,"-"," "))</f>
        <v>#DIV/0!</v>
      </c>
      <c r="N33" s="144" t="e">
        <f>IF('[8]Table 11 CWTs exp'!N34/'[8]Table 11 CWTs exp'!$AA34&gt;0.0005,'[8]Table 11 CWTs exp'!N34/'[8]Table 11 CWTs exp'!$AA34,IF('[8]Table 11 CWTs exp'!N34/'[8]Table 11 CWTs exp'!$AA34&gt;0,"-"," "))</f>
        <v>#DIV/0!</v>
      </c>
      <c r="O33" s="144" t="e">
        <f>IF('[8]Table 11 CWTs exp'!O34/'[8]Table 11 CWTs exp'!$AA34&gt;0.0005,'[8]Table 11 CWTs exp'!O34/'[8]Table 11 CWTs exp'!$AA34,IF('[8]Table 11 CWTs exp'!O34/'[8]Table 11 CWTs exp'!$AA34&gt;0,"-"," "))</f>
        <v>#DIV/0!</v>
      </c>
      <c r="P33" s="144" t="e">
        <f>IF('[8]Table 11 CWTs exp'!P34/'[8]Table 11 CWTs exp'!$AA34&gt;0.0005,'[8]Table 11 CWTs exp'!P34/'[8]Table 11 CWTs exp'!$AA34,IF('[8]Table 11 CWTs exp'!P34/'[8]Table 11 CWTs exp'!$AA34&gt;0,"-"," "))</f>
        <v>#DIV/0!</v>
      </c>
      <c r="Q33" s="145" t="e">
        <f>IF('[8]Table 11 CWTs exp'!Q34/'[8]Table 11 CWTs exp'!$AA34&gt;0.0005,'[8]Table 11 CWTs exp'!Q34/'[8]Table 11 CWTs exp'!$AA34,IF('[8]Table 11 CWTs exp'!Q34/'[8]Table 11 CWTs exp'!$AA34&gt;0,"-"," "))</f>
        <v>#DIV/0!</v>
      </c>
      <c r="R33" s="146" t="e">
        <f>IF('[8]Table 11 CWTs exp'!R34/'[8]Table 11 CWTs exp'!$AA34&gt;0.0005,'[8]Table 11 CWTs exp'!R34/'[8]Table 11 CWTs exp'!$AA34,IF('[8]Table 11 CWTs exp'!R34/'[8]Table 11 CWTs exp'!$AA34&gt;0,"-"," "))</f>
        <v>#DIV/0!</v>
      </c>
      <c r="S33" s="144" t="e">
        <f>IF('[8]Table 11 CWTs exp'!S34/'[8]Table 11 CWTs exp'!$AA34&gt;0.0005,'[8]Table 11 CWTs exp'!S34/'[8]Table 11 CWTs exp'!$AA34,IF('[8]Table 11 CWTs exp'!S34/'[8]Table 11 CWTs exp'!$AA34&gt;0,"-"," "))</f>
        <v>#DIV/0!</v>
      </c>
      <c r="T33" s="144" t="e">
        <f>IF('[8]Table 11 CWTs exp'!T34/'[8]Table 11 CWTs exp'!$AA34&gt;0.0005,'[8]Table 11 CWTs exp'!T34/'[8]Table 11 CWTs exp'!$AA34,IF('[8]Table 11 CWTs exp'!T34/'[8]Table 11 CWTs exp'!$AA34&gt;0,"-"," "))</f>
        <v>#DIV/0!</v>
      </c>
      <c r="U33" s="144" t="e">
        <f>IF('[8]Table 11 CWTs exp'!U34/'[8]Table 11 CWTs exp'!$AA34&gt;0.0005,'[8]Table 11 CWTs exp'!U34/'[8]Table 11 CWTs exp'!$AA34,IF('[8]Table 11 CWTs exp'!U34/'[8]Table 11 CWTs exp'!$AA34&gt;0,"-"," "))</f>
        <v>#DIV/0!</v>
      </c>
      <c r="V33" s="145" t="e">
        <f>IF('[8]Table 11 CWTs exp'!V34/'[8]Table 11 CWTs exp'!$AA34&gt;0.0005,'[8]Table 11 CWTs exp'!V34/'[8]Table 11 CWTs exp'!$AA34,IF('[8]Table 11 CWTs exp'!V34/'[8]Table 11 CWTs exp'!$AA34&gt;0,"-"," "))</f>
        <v>#DIV/0!</v>
      </c>
      <c r="W33" s="146" t="e">
        <f>IF('[8]Table 11 CWTs exp'!W34/'[8]Table 11 CWTs exp'!$AA34&gt;0.0005,'[8]Table 11 CWTs exp'!W34/'[8]Table 11 CWTs exp'!$AA34,IF('[8]Table 11 CWTs exp'!W34/'[8]Table 11 CWTs exp'!$AA34&gt;0,"-"," "))</f>
        <v>#DIV/0!</v>
      </c>
      <c r="X33" s="206" t="e">
        <f>IF('[8]Table 11 CWTs exp'!X34/'[8]Table 11 CWTs exp'!$AA34&gt;0.0005,'[8]Table 11 CWTs exp'!X34/'[8]Table 11 CWTs exp'!$AA34,IF('[8]Table 11 CWTs exp'!X34/'[8]Table 11 CWTs exp'!$AA34&gt;0,"-"," "))</f>
        <v>#DIV/0!</v>
      </c>
      <c r="Y33" s="147" t="e">
        <f t="shared" si="0"/>
        <v>#DIV/0!</v>
      </c>
      <c r="Z33" s="148" t="e">
        <f t="shared" si="5"/>
        <v>#DIV/0!</v>
      </c>
      <c r="AA33" s="38">
        <f>'[8]Table 11 CWTs exp'!AA34</f>
        <v>0</v>
      </c>
      <c r="AC33" s="592">
        <f>'[8]Table 11 CWTs exp'!AC34</f>
        <v>0</v>
      </c>
      <c r="AD33" s="592" t="e">
        <f t="shared" si="2"/>
        <v>#DIV/0!</v>
      </c>
      <c r="AE33" s="593" t="str">
        <f t="shared" si="3"/>
        <v>COSU543</v>
      </c>
      <c r="AF33" s="442"/>
      <c r="AG33" s="442"/>
      <c r="AH33" s="442"/>
    </row>
    <row r="34" spans="1:34" ht="14.5" hidden="1" customHeight="1" x14ac:dyDescent="0.25">
      <c r="A34" s="54" t="str">
        <f>'[8]Table 11 CWTs exp'!A35</f>
        <v>CAL543</v>
      </c>
      <c r="B34" s="75" t="str">
        <f>'[8]Table 11 CWTs exp'!B35</f>
        <v>CAL</v>
      </c>
      <c r="C34" s="75">
        <f>'[8]Table 11 CWTs exp'!C35</f>
        <v>54</v>
      </c>
      <c r="D34" s="75">
        <f>'[8]Table 11 CWTs exp'!D35</f>
        <v>3</v>
      </c>
      <c r="E34" t="str">
        <f>'[8]Table 11 CWTs exp'!E35</f>
        <v>Calaveras River*</v>
      </c>
      <c r="F34" s="37" t="str">
        <f>'[8]Table 11 CWTs exp'!F35</f>
        <v>Fall</v>
      </c>
      <c r="G34" s="144" t="e">
        <f>IF('[8]Table 11 CWTs exp'!G35/'[8]Table 11 CWTs exp'!$AA35&gt;0.0005,'[8]Table 11 CWTs exp'!G35/'[8]Table 11 CWTs exp'!$AA35,IF('[8]Table 11 CWTs exp'!G35/'[8]Table 11 CWTs exp'!$AA35&gt;0,"-"," "))</f>
        <v>#DIV/0!</v>
      </c>
      <c r="H34" s="145" t="e">
        <f>IF('[8]Table 11 CWTs exp'!H35/'[8]Table 11 CWTs exp'!$AA35&gt;0.0005,'[8]Table 11 CWTs exp'!H35/'[8]Table 11 CWTs exp'!$AA35,IF('[8]Table 11 CWTs exp'!H35/'[8]Table 11 CWTs exp'!$AA35&gt;0,"-"," "))</f>
        <v>#DIV/0!</v>
      </c>
      <c r="I34" s="144" t="e">
        <f>IF('[8]Table 11 CWTs exp'!I35/'[8]Table 11 CWTs exp'!$AA35&gt;0.0005,'[8]Table 11 CWTs exp'!I35/'[8]Table 11 CWTs exp'!$AA35,IF('[8]Table 11 CWTs exp'!I35/'[8]Table 11 CWTs exp'!$AA35&gt;0,"-"," "))</f>
        <v>#DIV/0!</v>
      </c>
      <c r="J34" s="146" t="e">
        <f>IF('[8]Table 11 CWTs exp'!J35/'[8]Table 11 CWTs exp'!$AA35&gt;0.0005,'[8]Table 11 CWTs exp'!J35/'[8]Table 11 CWTs exp'!$AA35,IF('[8]Table 11 CWTs exp'!J35/'[8]Table 11 CWTs exp'!$AA35&gt;0,"-"," "))</f>
        <v>#DIV/0!</v>
      </c>
      <c r="K34" s="144" t="e">
        <f>IF('[8]Table 11 CWTs exp'!K35/'[8]Table 11 CWTs exp'!$AA35&gt;0.0005,'[8]Table 11 CWTs exp'!K35/'[8]Table 11 CWTs exp'!$AA35,IF('[8]Table 11 CWTs exp'!K35/'[8]Table 11 CWTs exp'!$AA35&gt;0,"-"," "))</f>
        <v>#DIV/0!</v>
      </c>
      <c r="L34" s="144" t="e">
        <f>IF('[8]Table 11 CWTs exp'!L35/'[8]Table 11 CWTs exp'!$AA35&gt;0.0005,'[8]Table 11 CWTs exp'!L35/'[8]Table 11 CWTs exp'!$AA35,IF('[8]Table 11 CWTs exp'!L35/'[8]Table 11 CWTs exp'!$AA35&gt;0,"-"," "))</f>
        <v>#DIV/0!</v>
      </c>
      <c r="M34" s="144" t="e">
        <f>IF('[8]Table 11 CWTs exp'!M35/'[8]Table 11 CWTs exp'!$AA35&gt;0.0005,'[8]Table 11 CWTs exp'!M35/'[8]Table 11 CWTs exp'!$AA35,IF('[8]Table 11 CWTs exp'!M35/'[8]Table 11 CWTs exp'!$AA35&gt;0,"-"," "))</f>
        <v>#DIV/0!</v>
      </c>
      <c r="N34" s="144" t="e">
        <f>IF('[8]Table 11 CWTs exp'!N35/'[8]Table 11 CWTs exp'!$AA35&gt;0.0005,'[8]Table 11 CWTs exp'!N35/'[8]Table 11 CWTs exp'!$AA35,IF('[8]Table 11 CWTs exp'!N35/'[8]Table 11 CWTs exp'!$AA35&gt;0,"-"," "))</f>
        <v>#DIV/0!</v>
      </c>
      <c r="O34" s="144" t="e">
        <f>IF('[8]Table 11 CWTs exp'!O35/'[8]Table 11 CWTs exp'!$AA35&gt;0.0005,'[8]Table 11 CWTs exp'!O35/'[8]Table 11 CWTs exp'!$AA35,IF('[8]Table 11 CWTs exp'!O35/'[8]Table 11 CWTs exp'!$AA35&gt;0,"-"," "))</f>
        <v>#DIV/0!</v>
      </c>
      <c r="P34" s="144" t="e">
        <f>IF('[8]Table 11 CWTs exp'!P35/'[8]Table 11 CWTs exp'!$AA35&gt;0.0005,'[8]Table 11 CWTs exp'!P35/'[8]Table 11 CWTs exp'!$AA35,IF('[8]Table 11 CWTs exp'!P35/'[8]Table 11 CWTs exp'!$AA35&gt;0,"-"," "))</f>
        <v>#DIV/0!</v>
      </c>
      <c r="Q34" s="145" t="e">
        <f>IF('[8]Table 11 CWTs exp'!Q35/'[8]Table 11 CWTs exp'!$AA35&gt;0.0005,'[8]Table 11 CWTs exp'!Q35/'[8]Table 11 CWTs exp'!$AA35,IF('[8]Table 11 CWTs exp'!Q35/'[8]Table 11 CWTs exp'!$AA35&gt;0,"-"," "))</f>
        <v>#DIV/0!</v>
      </c>
      <c r="R34" s="146" t="e">
        <f>IF('[8]Table 11 CWTs exp'!R35/'[8]Table 11 CWTs exp'!$AA35&gt;0.0005,'[8]Table 11 CWTs exp'!R35/'[8]Table 11 CWTs exp'!$AA35,IF('[8]Table 11 CWTs exp'!R35/'[8]Table 11 CWTs exp'!$AA35&gt;0,"-"," "))</f>
        <v>#DIV/0!</v>
      </c>
      <c r="S34" s="144" t="e">
        <f>IF('[8]Table 11 CWTs exp'!S35/'[8]Table 11 CWTs exp'!$AA35&gt;0.0005,'[8]Table 11 CWTs exp'!S35/'[8]Table 11 CWTs exp'!$AA35,IF('[8]Table 11 CWTs exp'!S35/'[8]Table 11 CWTs exp'!$AA35&gt;0,"-"," "))</f>
        <v>#DIV/0!</v>
      </c>
      <c r="T34" s="144" t="e">
        <f>IF('[8]Table 11 CWTs exp'!T35/'[8]Table 11 CWTs exp'!$AA35&gt;0.0005,'[8]Table 11 CWTs exp'!T35/'[8]Table 11 CWTs exp'!$AA35,IF('[8]Table 11 CWTs exp'!T35/'[8]Table 11 CWTs exp'!$AA35&gt;0,"-"," "))</f>
        <v>#DIV/0!</v>
      </c>
      <c r="U34" s="144" t="e">
        <f>IF('[8]Table 11 CWTs exp'!U35/'[8]Table 11 CWTs exp'!$AA35&gt;0.0005,'[8]Table 11 CWTs exp'!U35/'[8]Table 11 CWTs exp'!$AA35,IF('[8]Table 11 CWTs exp'!U35/'[8]Table 11 CWTs exp'!$AA35&gt;0,"-"," "))</f>
        <v>#DIV/0!</v>
      </c>
      <c r="V34" s="145" t="e">
        <f>IF('[8]Table 11 CWTs exp'!V35/'[8]Table 11 CWTs exp'!$AA35&gt;0.0005,'[8]Table 11 CWTs exp'!V35/'[8]Table 11 CWTs exp'!$AA35,IF('[8]Table 11 CWTs exp'!V35/'[8]Table 11 CWTs exp'!$AA35&gt;0,"-"," "))</f>
        <v>#DIV/0!</v>
      </c>
      <c r="W34" s="146" t="e">
        <f>IF('[8]Table 11 CWTs exp'!W35/'[8]Table 11 CWTs exp'!$AA35&gt;0.0005,'[8]Table 11 CWTs exp'!W35/'[8]Table 11 CWTs exp'!$AA35,IF('[8]Table 11 CWTs exp'!W35/'[8]Table 11 CWTs exp'!$AA35&gt;0,"-"," "))</f>
        <v>#DIV/0!</v>
      </c>
      <c r="X34" s="206" t="e">
        <f>IF('[8]Table 11 CWTs exp'!X35/'[8]Table 11 CWTs exp'!$AA35&gt;0.0005,'[8]Table 11 CWTs exp'!X35/'[8]Table 11 CWTs exp'!$AA35,IF('[8]Table 11 CWTs exp'!X35/'[8]Table 11 CWTs exp'!$AA35&gt;0,"-"," "))</f>
        <v>#DIV/0!</v>
      </c>
      <c r="Y34" s="147" t="e">
        <f t="shared" si="0"/>
        <v>#DIV/0!</v>
      </c>
      <c r="Z34" s="148" t="e">
        <f t="shared" si="5"/>
        <v>#DIV/0!</v>
      </c>
      <c r="AA34" s="38">
        <f>'[8]Table 11 CWTs exp'!AA35</f>
        <v>0</v>
      </c>
      <c r="AC34" s="592">
        <f>'[8]Table 11 CWTs exp'!AC35</f>
        <v>0</v>
      </c>
      <c r="AD34" s="592" t="e">
        <f t="shared" si="2"/>
        <v>#DIV/0!</v>
      </c>
      <c r="AE34" s="593" t="str">
        <f t="shared" si="3"/>
        <v>CAL543</v>
      </c>
      <c r="AF34" s="442"/>
      <c r="AG34" s="442"/>
      <c r="AH34" s="442"/>
    </row>
    <row r="35" spans="1:34" ht="14.5" customHeight="1" x14ac:dyDescent="0.25">
      <c r="A35" s="54" t="str">
        <f>'[8]Table 11 CWTs exp'!A36</f>
        <v>STA543</v>
      </c>
      <c r="B35" s="75" t="str">
        <f>'[8]Table 11 CWTs exp'!B36</f>
        <v>STA</v>
      </c>
      <c r="C35" s="75">
        <f>'[8]Table 11 CWTs exp'!C36</f>
        <v>54</v>
      </c>
      <c r="D35" s="75">
        <f>'[8]Table 11 CWTs exp'!D36</f>
        <v>3</v>
      </c>
      <c r="E35" t="str">
        <f>'[8]Table 11 CWTs exp'!E36</f>
        <v>Stanislaus River</v>
      </c>
      <c r="F35" s="37" t="str">
        <f>'[8]Table 11 CWTs exp'!F36</f>
        <v>Fall</v>
      </c>
      <c r="G35" s="144" t="str">
        <f>IF('[8]Table 11 CWTs exp'!G36/'[8]Table 11 CWTs exp'!$AA36&gt;0.0005,'[8]Table 11 CWTs exp'!G36/'[8]Table 11 CWTs exp'!$AA36,IF('[8]Table 11 CWTs exp'!G36/'[8]Table 11 CWTs exp'!$AA36&gt;0,"-"," "))</f>
        <v xml:space="preserve"> </v>
      </c>
      <c r="H35" s="145" t="str">
        <f>IF('[8]Table 11 CWTs exp'!H36/'[8]Table 11 CWTs exp'!$AA36&gt;0.0005,'[8]Table 11 CWTs exp'!H36/'[8]Table 11 CWTs exp'!$AA36,IF('[8]Table 11 CWTs exp'!H36/'[8]Table 11 CWTs exp'!$AA36&gt;0,"-"," "))</f>
        <v xml:space="preserve"> </v>
      </c>
      <c r="I35" s="144" t="str">
        <f>IF('[8]Table 11 CWTs exp'!I36/'[8]Table 11 CWTs exp'!$AA36&gt;0.0005,'[8]Table 11 CWTs exp'!I36/'[8]Table 11 CWTs exp'!$AA36,IF('[8]Table 11 CWTs exp'!I36/'[8]Table 11 CWTs exp'!$AA36&gt;0,"-"," "))</f>
        <v xml:space="preserve"> </v>
      </c>
      <c r="J35" s="146">
        <f>IF('[8]Table 11 CWTs exp'!J36/'[8]Table 11 CWTs exp'!$AA36&gt;0.0005,'[8]Table 11 CWTs exp'!J36/'[8]Table 11 CWTs exp'!$AA36,IF('[8]Table 11 CWTs exp'!J36/'[8]Table 11 CWTs exp'!$AA36&gt;0,"-"," "))</f>
        <v>2.9986962190352021E-2</v>
      </c>
      <c r="K35" s="144" t="str">
        <f>IF('[8]Table 11 CWTs exp'!K36/'[8]Table 11 CWTs exp'!$AA36&gt;0.0005,'[8]Table 11 CWTs exp'!K36/'[8]Table 11 CWTs exp'!$AA36,IF('[8]Table 11 CWTs exp'!K36/'[8]Table 11 CWTs exp'!$AA36&gt;0,"-"," "))</f>
        <v xml:space="preserve"> </v>
      </c>
      <c r="L35" s="144" t="str">
        <f>IF('[8]Table 11 CWTs exp'!L36/'[8]Table 11 CWTs exp'!$AA36&gt;0.0005,'[8]Table 11 CWTs exp'!L36/'[8]Table 11 CWTs exp'!$AA36,IF('[8]Table 11 CWTs exp'!L36/'[8]Table 11 CWTs exp'!$AA36&gt;0,"-"," "))</f>
        <v xml:space="preserve"> </v>
      </c>
      <c r="M35" s="144" t="str">
        <f>IF('[8]Table 11 CWTs exp'!M36/'[8]Table 11 CWTs exp'!$AA36&gt;0.0005,'[8]Table 11 CWTs exp'!M36/'[8]Table 11 CWTs exp'!$AA36,IF('[8]Table 11 CWTs exp'!M36/'[8]Table 11 CWTs exp'!$AA36&gt;0,"-"," "))</f>
        <v xml:space="preserve"> </v>
      </c>
      <c r="N35" s="144" t="str">
        <f>IF('[8]Table 11 CWTs exp'!N36/'[8]Table 11 CWTs exp'!$AA36&gt;0.0005,'[8]Table 11 CWTs exp'!N36/'[8]Table 11 CWTs exp'!$AA36,IF('[8]Table 11 CWTs exp'!N36/'[8]Table 11 CWTs exp'!$AA36&gt;0,"-"," "))</f>
        <v xml:space="preserve"> </v>
      </c>
      <c r="O35" s="144">
        <f>IF('[8]Table 11 CWTs exp'!O36/'[8]Table 11 CWTs exp'!$AA36&gt;0.0005,'[8]Table 11 CWTs exp'!O36/'[8]Table 11 CWTs exp'!$AA36,IF('[8]Table 11 CWTs exp'!O36/'[8]Table 11 CWTs exp'!$AA36&gt;0,"-"," "))</f>
        <v>1.7275097783572359E-2</v>
      </c>
      <c r="P35" s="144">
        <f>IF('[8]Table 11 CWTs exp'!P36/'[8]Table 11 CWTs exp'!$AA36&gt;0.0005,'[8]Table 11 CWTs exp'!P36/'[8]Table 11 CWTs exp'!$AA36,IF('[8]Table 11 CWTs exp'!P36/'[8]Table 11 CWTs exp'!$AA36&gt;0,"-"," "))</f>
        <v>3.259452411994785E-3</v>
      </c>
      <c r="Q35" s="145" t="str">
        <f>IF('[8]Table 11 CWTs exp'!Q36/'[8]Table 11 CWTs exp'!$AA36&gt;0.0005,'[8]Table 11 CWTs exp'!Q36/'[8]Table 11 CWTs exp'!$AA36,IF('[8]Table 11 CWTs exp'!Q36/'[8]Table 11 CWTs exp'!$AA36&gt;0,"-"," "))</f>
        <v xml:space="preserve"> </v>
      </c>
      <c r="R35" s="146">
        <f>IF('[8]Table 11 CWTs exp'!R36/'[8]Table 11 CWTs exp'!$AA36&gt;0.0005,'[8]Table 11 CWTs exp'!R36/'[8]Table 11 CWTs exp'!$AA36,IF('[8]Table 11 CWTs exp'!R36/'[8]Table 11 CWTs exp'!$AA36&gt;0,"-"," "))</f>
        <v>8.6375488917861797E-3</v>
      </c>
      <c r="S35" s="144" t="str">
        <f>IF('[8]Table 11 CWTs exp'!S36/'[8]Table 11 CWTs exp'!$AA36&gt;0.0005,'[8]Table 11 CWTs exp'!S36/'[8]Table 11 CWTs exp'!$AA36,IF('[8]Table 11 CWTs exp'!S36/'[8]Table 11 CWTs exp'!$AA36&gt;0,"-"," "))</f>
        <v xml:space="preserve"> </v>
      </c>
      <c r="T35" s="144">
        <f>IF('[8]Table 11 CWTs exp'!T36/'[8]Table 11 CWTs exp'!$AA36&gt;0.0005,'[8]Table 11 CWTs exp'!T36/'[8]Table 11 CWTs exp'!$AA36,IF('[8]Table 11 CWTs exp'!T36/'[8]Table 11 CWTs exp'!$AA36&gt;0,"-"," "))</f>
        <v>0.66117992177314211</v>
      </c>
      <c r="U35" s="144">
        <f>IF('[8]Table 11 CWTs exp'!U36/'[8]Table 11 CWTs exp'!$AA36&gt;0.0005,'[8]Table 11 CWTs exp'!U36/'[8]Table 11 CWTs exp'!$AA36,IF('[8]Table 11 CWTs exp'!U36/'[8]Table 11 CWTs exp'!$AA36&gt;0,"-"," "))</f>
        <v>3.2268578878748372E-2</v>
      </c>
      <c r="V35" s="145" t="str">
        <f>IF('[8]Table 11 CWTs exp'!V36/'[8]Table 11 CWTs exp'!$AA36&gt;0.0005,'[8]Table 11 CWTs exp'!V36/'[8]Table 11 CWTs exp'!$AA36,IF('[8]Table 11 CWTs exp'!V36/'[8]Table 11 CWTs exp'!$AA36&gt;0,"-"," "))</f>
        <v xml:space="preserve"> </v>
      </c>
      <c r="W35" s="146">
        <f>IF('[8]Table 11 CWTs exp'!W36/'[8]Table 11 CWTs exp'!$AA36&gt;0.0005,'[8]Table 11 CWTs exp'!W36/'[8]Table 11 CWTs exp'!$AA36,IF('[8]Table 11 CWTs exp'!W36/'[8]Table 11 CWTs exp'!$AA36&gt;0,"-"," "))</f>
        <v>2.9335071707953065E-2</v>
      </c>
      <c r="X35" s="206" t="str">
        <f>IF('[8]Table 11 CWTs exp'!X36/'[8]Table 11 CWTs exp'!$AA36&gt;0.0005,'[8]Table 11 CWTs exp'!X36/'[8]Table 11 CWTs exp'!$AA36,IF('[8]Table 11 CWTs exp'!X36/'[8]Table 11 CWTs exp'!$AA36&gt;0,"-"," "))</f>
        <v xml:space="preserve"> </v>
      </c>
      <c r="Y35" s="147">
        <f t="shared" si="0"/>
        <v>0.78194263363754879</v>
      </c>
      <c r="Z35" s="148">
        <f t="shared" si="5"/>
        <v>0.21805736636245121</v>
      </c>
      <c r="AA35" s="38">
        <f>'[8]Table 11 CWTs exp'!AA36</f>
        <v>6136</v>
      </c>
      <c r="AC35" s="592">
        <f>'[8]Table 11 CWTs exp'!AC36</f>
        <v>0.78200000000000003</v>
      </c>
      <c r="AD35" s="592">
        <f t="shared" si="2"/>
        <v>-5.7366362451238828E-5</v>
      </c>
      <c r="AE35" s="593" t="str">
        <f t="shared" si="3"/>
        <v>STA543</v>
      </c>
      <c r="AF35" s="442"/>
      <c r="AG35" s="442"/>
      <c r="AH35" s="442"/>
    </row>
    <row r="36" spans="1:34" ht="14.5" customHeight="1" x14ac:dyDescent="0.25">
      <c r="A36" s="54" t="str">
        <f>'[8]Table 11 CWTs exp'!A37</f>
        <v>TUO543</v>
      </c>
      <c r="B36" s="75" t="str">
        <f>'[8]Table 11 CWTs exp'!B37</f>
        <v>TUO</v>
      </c>
      <c r="C36" s="75">
        <f>'[8]Table 11 CWTs exp'!C37</f>
        <v>54</v>
      </c>
      <c r="D36" s="75">
        <f>'[8]Table 11 CWTs exp'!D37</f>
        <v>3</v>
      </c>
      <c r="E36" t="str">
        <f>'[8]Table 11 CWTs exp'!E37</f>
        <v>Tuolumne River</v>
      </c>
      <c r="F36" s="37" t="str">
        <f>'[8]Table 11 CWTs exp'!F37</f>
        <v>Fall</v>
      </c>
      <c r="G36" s="144" t="str">
        <f>IF('[8]Table 11 CWTs exp'!G37/'[8]Table 11 CWTs exp'!$AA37&gt;0.0005,'[8]Table 11 CWTs exp'!G37/'[8]Table 11 CWTs exp'!$AA37,IF('[8]Table 11 CWTs exp'!G37/'[8]Table 11 CWTs exp'!$AA37&gt;0,"-"," "))</f>
        <v xml:space="preserve"> </v>
      </c>
      <c r="H36" s="145" t="str">
        <f>IF('[8]Table 11 CWTs exp'!H37/'[8]Table 11 CWTs exp'!$AA37&gt;0.0005,'[8]Table 11 CWTs exp'!H37/'[8]Table 11 CWTs exp'!$AA37,IF('[8]Table 11 CWTs exp'!H37/'[8]Table 11 CWTs exp'!$AA37&gt;0,"-"," "))</f>
        <v xml:space="preserve"> </v>
      </c>
      <c r="I36" s="144" t="str">
        <f>IF('[8]Table 11 CWTs exp'!I37/'[8]Table 11 CWTs exp'!$AA37&gt;0.0005,'[8]Table 11 CWTs exp'!I37/'[8]Table 11 CWTs exp'!$AA37,IF('[8]Table 11 CWTs exp'!I37/'[8]Table 11 CWTs exp'!$AA37&gt;0,"-"," "))</f>
        <v xml:space="preserve"> </v>
      </c>
      <c r="J36" s="146" t="str">
        <f>IF('[8]Table 11 CWTs exp'!J37/'[8]Table 11 CWTs exp'!$AA37&gt;0.0005,'[8]Table 11 CWTs exp'!J37/'[8]Table 11 CWTs exp'!$AA37,IF('[8]Table 11 CWTs exp'!J37/'[8]Table 11 CWTs exp'!$AA37&gt;0,"-"," "))</f>
        <v xml:space="preserve"> </v>
      </c>
      <c r="K36" s="144" t="str">
        <f>IF('[8]Table 11 CWTs exp'!K37/'[8]Table 11 CWTs exp'!$AA37&gt;0.0005,'[8]Table 11 CWTs exp'!K37/'[8]Table 11 CWTs exp'!$AA37,IF('[8]Table 11 CWTs exp'!K37/'[8]Table 11 CWTs exp'!$AA37&gt;0,"-"," "))</f>
        <v xml:space="preserve"> </v>
      </c>
      <c r="L36" s="144" t="str">
        <f>IF('[8]Table 11 CWTs exp'!L37/'[8]Table 11 CWTs exp'!$AA37&gt;0.0005,'[8]Table 11 CWTs exp'!L37/'[8]Table 11 CWTs exp'!$AA37,IF('[8]Table 11 CWTs exp'!L37/'[8]Table 11 CWTs exp'!$AA37&gt;0,"-"," "))</f>
        <v xml:space="preserve"> </v>
      </c>
      <c r="M36" s="144" t="str">
        <f>IF('[8]Table 11 CWTs exp'!M37/'[8]Table 11 CWTs exp'!$AA37&gt;0.0005,'[8]Table 11 CWTs exp'!M37/'[8]Table 11 CWTs exp'!$AA37,IF('[8]Table 11 CWTs exp'!M37/'[8]Table 11 CWTs exp'!$AA37&gt;0,"-"," "))</f>
        <v xml:space="preserve"> </v>
      </c>
      <c r="N36" s="144" t="str">
        <f>IF('[8]Table 11 CWTs exp'!N37/'[8]Table 11 CWTs exp'!$AA37&gt;0.0005,'[8]Table 11 CWTs exp'!N37/'[8]Table 11 CWTs exp'!$AA37,IF('[8]Table 11 CWTs exp'!N37/'[8]Table 11 CWTs exp'!$AA37&gt;0,"-"," "))</f>
        <v xml:space="preserve"> </v>
      </c>
      <c r="O36" s="144" t="str">
        <f>IF('[8]Table 11 CWTs exp'!O37/'[8]Table 11 CWTs exp'!$AA37&gt;0.0005,'[8]Table 11 CWTs exp'!O37/'[8]Table 11 CWTs exp'!$AA37,IF('[8]Table 11 CWTs exp'!O37/'[8]Table 11 CWTs exp'!$AA37&gt;0,"-"," "))</f>
        <v xml:space="preserve"> </v>
      </c>
      <c r="P36" s="144" t="str">
        <f>IF('[8]Table 11 CWTs exp'!P37/'[8]Table 11 CWTs exp'!$AA37&gt;0.0005,'[8]Table 11 CWTs exp'!P37/'[8]Table 11 CWTs exp'!$AA37,IF('[8]Table 11 CWTs exp'!P37/'[8]Table 11 CWTs exp'!$AA37&gt;0,"-"," "))</f>
        <v xml:space="preserve"> </v>
      </c>
      <c r="Q36" s="145" t="str">
        <f>IF('[8]Table 11 CWTs exp'!Q37/'[8]Table 11 CWTs exp'!$AA37&gt;0.0005,'[8]Table 11 CWTs exp'!Q37/'[8]Table 11 CWTs exp'!$AA37,IF('[8]Table 11 CWTs exp'!Q37/'[8]Table 11 CWTs exp'!$AA37&gt;0,"-"," "))</f>
        <v xml:space="preserve"> </v>
      </c>
      <c r="R36" s="146">
        <f>IF('[8]Table 11 CWTs exp'!R37/'[8]Table 11 CWTs exp'!$AA37&gt;0.0005,'[8]Table 11 CWTs exp'!R37/'[8]Table 11 CWTs exp'!$AA37,IF('[8]Table 11 CWTs exp'!R37/'[8]Table 11 CWTs exp'!$AA37&gt;0,"-"," "))</f>
        <v>8.8495575221238937E-2</v>
      </c>
      <c r="S36" s="144" t="str">
        <f>IF('[8]Table 11 CWTs exp'!S37/'[8]Table 11 CWTs exp'!$AA37&gt;0.0005,'[8]Table 11 CWTs exp'!S37/'[8]Table 11 CWTs exp'!$AA37,IF('[8]Table 11 CWTs exp'!S37/'[8]Table 11 CWTs exp'!$AA37&gt;0,"-"," "))</f>
        <v xml:space="preserve"> </v>
      </c>
      <c r="T36" s="144">
        <f>IF('[8]Table 11 CWTs exp'!T37/'[8]Table 11 CWTs exp'!$AA37&gt;0.0005,'[8]Table 11 CWTs exp'!T37/'[8]Table 11 CWTs exp'!$AA37,IF('[8]Table 11 CWTs exp'!T37/'[8]Table 11 CWTs exp'!$AA37&gt;0,"-"," "))</f>
        <v>0.46902654867256638</v>
      </c>
      <c r="U36" s="144" t="str">
        <f>IF('[8]Table 11 CWTs exp'!U37/'[8]Table 11 CWTs exp'!$AA37&gt;0.0005,'[8]Table 11 CWTs exp'!U37/'[8]Table 11 CWTs exp'!$AA37,IF('[8]Table 11 CWTs exp'!U37/'[8]Table 11 CWTs exp'!$AA37&gt;0,"-"," "))</f>
        <v xml:space="preserve"> </v>
      </c>
      <c r="V36" s="145" t="str">
        <f>IF('[8]Table 11 CWTs exp'!V37/'[8]Table 11 CWTs exp'!$AA37&gt;0.0005,'[8]Table 11 CWTs exp'!V37/'[8]Table 11 CWTs exp'!$AA37,IF('[8]Table 11 CWTs exp'!V37/'[8]Table 11 CWTs exp'!$AA37&gt;0,"-"," "))</f>
        <v xml:space="preserve"> </v>
      </c>
      <c r="W36" s="146">
        <f>IF('[8]Table 11 CWTs exp'!W37/'[8]Table 11 CWTs exp'!$AA37&gt;0.0005,'[8]Table 11 CWTs exp'!W37/'[8]Table 11 CWTs exp'!$AA37,IF('[8]Table 11 CWTs exp'!W37/'[8]Table 11 CWTs exp'!$AA37&gt;0,"-"," "))</f>
        <v>9.7345132743362831E-2</v>
      </c>
      <c r="X36" s="206" t="str">
        <f>IF('[8]Table 11 CWTs exp'!X37/'[8]Table 11 CWTs exp'!$AA37&gt;0.0005,'[8]Table 11 CWTs exp'!X37/'[8]Table 11 CWTs exp'!$AA37,IF('[8]Table 11 CWTs exp'!X37/'[8]Table 11 CWTs exp'!$AA37&gt;0,"-"," "))</f>
        <v xml:space="preserve"> </v>
      </c>
      <c r="Y36" s="147">
        <f t="shared" si="0"/>
        <v>0.65486725663716816</v>
      </c>
      <c r="Z36" s="148">
        <f t="shared" si="5"/>
        <v>0.34513274336283184</v>
      </c>
      <c r="AA36" s="38">
        <f>'[8]Table 11 CWTs exp'!AA37</f>
        <v>113</v>
      </c>
      <c r="AC36" s="592">
        <f>'[8]Table 11 CWTs exp'!AC37</f>
        <v>0.65500000000000003</v>
      </c>
      <c r="AD36" s="592">
        <f t="shared" si="2"/>
        <v>-1.3274336283186638E-4</v>
      </c>
      <c r="AE36" s="593" t="str">
        <f t="shared" si="3"/>
        <v>TUO543</v>
      </c>
      <c r="AF36" s="442"/>
      <c r="AG36" s="442"/>
      <c r="AH36" s="442"/>
    </row>
    <row r="37" spans="1:34" ht="14.5" customHeight="1" x14ac:dyDescent="0.25">
      <c r="A37" s="54" t="str">
        <f>'[8]Table 11 CWTs exp'!A38</f>
        <v>MER543</v>
      </c>
      <c r="B37" s="75" t="str">
        <f>'[8]Table 11 CWTs exp'!B38</f>
        <v>MER</v>
      </c>
      <c r="C37" s="75">
        <f>'[8]Table 11 CWTs exp'!C38</f>
        <v>54</v>
      </c>
      <c r="D37" s="75">
        <f>'[8]Table 11 CWTs exp'!D38</f>
        <v>3</v>
      </c>
      <c r="E37" s="305" t="str">
        <f>'[8]Table 11 CWTs exp'!E38</f>
        <v>Merced River</v>
      </c>
      <c r="F37" s="296" t="str">
        <f>'[8]Table 11 CWTs exp'!F38</f>
        <v>Fall</v>
      </c>
      <c r="G37" s="299" t="str">
        <f>IF('[8]Table 11 CWTs exp'!G38/'[8]Table 11 CWTs exp'!$AA38&gt;0.0005,'[8]Table 11 CWTs exp'!G38/'[8]Table 11 CWTs exp'!$AA38,IF('[8]Table 11 CWTs exp'!G38/'[8]Table 11 CWTs exp'!$AA38&gt;0,"-"," "))</f>
        <v xml:space="preserve"> </v>
      </c>
      <c r="H37" s="298" t="str">
        <f>IF('[8]Table 11 CWTs exp'!H38/'[8]Table 11 CWTs exp'!$AA38&gt;0.0005,'[8]Table 11 CWTs exp'!H38/'[8]Table 11 CWTs exp'!$AA38,IF('[8]Table 11 CWTs exp'!H38/'[8]Table 11 CWTs exp'!$AA38&gt;0,"-"," "))</f>
        <v xml:space="preserve"> </v>
      </c>
      <c r="I37" s="299" t="str">
        <f>IF('[8]Table 11 CWTs exp'!I38/'[8]Table 11 CWTs exp'!$AA38&gt;0.0005,'[8]Table 11 CWTs exp'!I38/'[8]Table 11 CWTs exp'!$AA38,IF('[8]Table 11 CWTs exp'!I38/'[8]Table 11 CWTs exp'!$AA38&gt;0,"-"," "))</f>
        <v xml:space="preserve"> </v>
      </c>
      <c r="J37" s="300">
        <f>IF('[8]Table 11 CWTs exp'!J38/'[8]Table 11 CWTs exp'!$AA38&gt;0.0005,'[8]Table 11 CWTs exp'!J38/'[8]Table 11 CWTs exp'!$AA38,IF('[8]Table 11 CWTs exp'!J38/'[8]Table 11 CWTs exp'!$AA38&gt;0,"-"," "))</f>
        <v>1.2028869286287089E-2</v>
      </c>
      <c r="K37" s="299" t="str">
        <f>IF('[8]Table 11 CWTs exp'!K38/'[8]Table 11 CWTs exp'!$AA38&gt;0.0005,'[8]Table 11 CWTs exp'!K38/'[8]Table 11 CWTs exp'!$AA38,IF('[8]Table 11 CWTs exp'!K38/'[8]Table 11 CWTs exp'!$AA38&gt;0,"-"," "))</f>
        <v xml:space="preserve"> </v>
      </c>
      <c r="L37" s="299" t="str">
        <f>IF('[8]Table 11 CWTs exp'!L38/'[8]Table 11 CWTs exp'!$AA38&gt;0.0005,'[8]Table 11 CWTs exp'!L38/'[8]Table 11 CWTs exp'!$AA38,IF('[8]Table 11 CWTs exp'!L38/'[8]Table 11 CWTs exp'!$AA38&gt;0,"-"," "))</f>
        <v xml:space="preserve"> </v>
      </c>
      <c r="M37" s="299" t="str">
        <f>IF('[8]Table 11 CWTs exp'!M38/'[8]Table 11 CWTs exp'!$AA38&gt;0.0005,'[8]Table 11 CWTs exp'!M38/'[8]Table 11 CWTs exp'!$AA38,IF('[8]Table 11 CWTs exp'!M38/'[8]Table 11 CWTs exp'!$AA38&gt;0,"-"," "))</f>
        <v xml:space="preserve"> </v>
      </c>
      <c r="N37" s="299" t="str">
        <f>IF('[8]Table 11 CWTs exp'!N38/'[8]Table 11 CWTs exp'!$AA38&gt;0.0005,'[8]Table 11 CWTs exp'!N38/'[8]Table 11 CWTs exp'!$AA38,IF('[8]Table 11 CWTs exp'!N38/'[8]Table 11 CWTs exp'!$AA38&gt;0,"-"," "))</f>
        <v xml:space="preserve"> </v>
      </c>
      <c r="O37" s="299">
        <f>IF('[8]Table 11 CWTs exp'!O38/'[8]Table 11 CWTs exp'!$AA38&gt;0.0005,'[8]Table 11 CWTs exp'!O38/'[8]Table 11 CWTs exp'!$AA38,IF('[8]Table 11 CWTs exp'!O38/'[8]Table 11 CWTs exp'!$AA38&gt;0,"-"," "))</f>
        <v>3.6888532477947072E-2</v>
      </c>
      <c r="P37" s="299">
        <f>IF('[8]Table 11 CWTs exp'!P38/'[8]Table 11 CWTs exp'!$AA38&gt;0.0005,'[8]Table 11 CWTs exp'!P38/'[8]Table 11 CWTs exp'!$AA38,IF('[8]Table 11 CWTs exp'!P38/'[8]Table 11 CWTs exp'!$AA38&gt;0,"-"," "))</f>
        <v>3.2076984763432237E-3</v>
      </c>
      <c r="Q37" s="298" t="str">
        <f>IF('[8]Table 11 CWTs exp'!Q38/'[8]Table 11 CWTs exp'!$AA38&gt;0.0005,'[8]Table 11 CWTs exp'!Q38/'[8]Table 11 CWTs exp'!$AA38,IF('[8]Table 11 CWTs exp'!Q38/'[8]Table 11 CWTs exp'!$AA38&gt;0,"-"," "))</f>
        <v xml:space="preserve"> </v>
      </c>
      <c r="R37" s="300">
        <f>IF('[8]Table 11 CWTs exp'!R38/'[8]Table 11 CWTs exp'!$AA38&gt;0.0005,'[8]Table 11 CWTs exp'!R38/'[8]Table 11 CWTs exp'!$AA38,IF('[8]Table 11 CWTs exp'!R38/'[8]Table 11 CWTs exp'!$AA38&gt;0,"-"," "))</f>
        <v>1.2028869286287089E-2</v>
      </c>
      <c r="S37" s="299" t="str">
        <f>IF('[8]Table 11 CWTs exp'!S38/'[8]Table 11 CWTs exp'!$AA38&gt;0.0005,'[8]Table 11 CWTs exp'!S38/'[8]Table 11 CWTs exp'!$AA38,IF('[8]Table 11 CWTs exp'!S38/'[8]Table 11 CWTs exp'!$AA38&gt;0,"-"," "))</f>
        <v xml:space="preserve"> </v>
      </c>
      <c r="T37" s="299">
        <f>IF('[8]Table 11 CWTs exp'!T38/'[8]Table 11 CWTs exp'!$AA38&gt;0.0005,'[8]Table 11 CWTs exp'!T38/'[8]Table 11 CWTs exp'!$AA38,IF('[8]Table 11 CWTs exp'!T38/'[8]Table 11 CWTs exp'!$AA38&gt;0,"-"," "))</f>
        <v>0.62068965517241381</v>
      </c>
      <c r="U37" s="299">
        <f>IF('[8]Table 11 CWTs exp'!U38/'[8]Table 11 CWTs exp'!$AA38&gt;0.0005,'[8]Table 11 CWTs exp'!U38/'[8]Table 11 CWTs exp'!$AA38,IF('[8]Table 11 CWTs exp'!U38/'[8]Table 11 CWTs exp'!$AA38&gt;0,"-"," "))</f>
        <v>4.0096230954290296E-2</v>
      </c>
      <c r="V37" s="298">
        <f>IF('[8]Table 11 CWTs exp'!V38/'[8]Table 11 CWTs exp'!$AA38&gt;0.0005,'[8]Table 11 CWTs exp'!V38/'[8]Table 11 CWTs exp'!$AA38,IF('[8]Table 11 CWTs exp'!V38/'[8]Table 11 CWTs exp'!$AA38&gt;0,"-"," "))</f>
        <v>3.2076984763432237E-3</v>
      </c>
      <c r="W37" s="300">
        <f>IF('[8]Table 11 CWTs exp'!W38/'[8]Table 11 CWTs exp'!$AA38&gt;0.0005,'[8]Table 11 CWTs exp'!W38/'[8]Table 11 CWTs exp'!$AA38,IF('[8]Table 11 CWTs exp'!W38/'[8]Table 11 CWTs exp'!$AA38&gt;0,"-"," "))</f>
        <v>8.5805934242181234E-2</v>
      </c>
      <c r="X37" s="301" t="str">
        <f>IF('[8]Table 11 CWTs exp'!X38/'[8]Table 11 CWTs exp'!$AA38&gt;0.0005,'[8]Table 11 CWTs exp'!X38/'[8]Table 11 CWTs exp'!$AA38,IF('[8]Table 11 CWTs exp'!X38/'[8]Table 11 CWTs exp'!$AA38&gt;0,"-"," "))</f>
        <v xml:space="preserve"> </v>
      </c>
      <c r="Y37" s="302">
        <f t="shared" si="0"/>
        <v>0.81395348837209303</v>
      </c>
      <c r="Z37" s="303">
        <f t="shared" si="5"/>
        <v>0.18604651162790697</v>
      </c>
      <c r="AA37" s="272">
        <f>'[8]Table 11 CWTs exp'!AA38</f>
        <v>1247</v>
      </c>
      <c r="AC37" s="592">
        <f>'[8]Table 11 CWTs exp'!AC38</f>
        <v>0.81299999999999994</v>
      </c>
      <c r="AD37" s="592">
        <f t="shared" si="2"/>
        <v>9.534883720930809E-4</v>
      </c>
      <c r="AE37" s="593" t="str">
        <f t="shared" si="3"/>
        <v>MER543</v>
      </c>
      <c r="AF37" s="442"/>
      <c r="AG37" s="442"/>
      <c r="AH37" s="442"/>
    </row>
    <row r="38" spans="1:34" ht="14.5" customHeight="1" x14ac:dyDescent="0.25">
      <c r="A38" s="54" t="str">
        <f>'[8]Table 11 CWTs exp'!A39</f>
        <v>USAC547</v>
      </c>
      <c r="B38" s="75" t="str">
        <f>'[8]Table 11 CWTs exp'!B39</f>
        <v>USAC</v>
      </c>
      <c r="C38" s="75">
        <f>'[8]Table 11 CWTs exp'!C39</f>
        <v>54</v>
      </c>
      <c r="D38" s="75">
        <f>'[8]Table 11 CWTs exp'!D39</f>
        <v>7</v>
      </c>
      <c r="E38" t="str">
        <f>'[8]Table 11 CWTs exp'!E39</f>
        <v>Upper Sacramento River</v>
      </c>
      <c r="F38" s="37" t="s">
        <v>57</v>
      </c>
      <c r="G38" s="144" t="str">
        <f>IF('[8]Table 11 CWTs exp'!G39/'[8]Table 11 CWTs exp'!$AA39&gt;0.0005,'[8]Table 11 CWTs exp'!G39/'[8]Table 11 CWTs exp'!$AA39,IF('[8]Table 11 CWTs exp'!G39/'[8]Table 11 CWTs exp'!$AA39&gt;0,"-"," "))</f>
        <v xml:space="preserve"> </v>
      </c>
      <c r="H38" s="145">
        <f>IF('[8]Table 11 CWTs exp'!H39/'[8]Table 11 CWTs exp'!$AA39&gt;0.0005,'[8]Table 11 CWTs exp'!H39/'[8]Table 11 CWTs exp'!$AA39,IF('[8]Table 11 CWTs exp'!H39/'[8]Table 11 CWTs exp'!$AA39&gt;0,"-"," "))</f>
        <v>6.0291734197730956E-2</v>
      </c>
      <c r="I38" s="144" t="str">
        <f>IF('[8]Table 11 CWTs exp'!I39/'[8]Table 11 CWTs exp'!$AA39&gt;0.0005,'[8]Table 11 CWTs exp'!I39/'[8]Table 11 CWTs exp'!$AA39,IF('[8]Table 11 CWTs exp'!I39/'[8]Table 11 CWTs exp'!$AA39&gt;0,"-"," "))</f>
        <v xml:space="preserve"> </v>
      </c>
      <c r="J38" s="146" t="str">
        <f>IF('[8]Table 11 CWTs exp'!J39/'[8]Table 11 CWTs exp'!$AA39&gt;0.0005,'[8]Table 11 CWTs exp'!J39/'[8]Table 11 CWTs exp'!$AA39,IF('[8]Table 11 CWTs exp'!J39/'[8]Table 11 CWTs exp'!$AA39&gt;0,"-"," "))</f>
        <v xml:space="preserve"> </v>
      </c>
      <c r="K38" s="144" t="str">
        <f>IF('[8]Table 11 CWTs exp'!K39/'[8]Table 11 CWTs exp'!$AA39&gt;0.0005,'[8]Table 11 CWTs exp'!K39/'[8]Table 11 CWTs exp'!$AA39,IF('[8]Table 11 CWTs exp'!K39/'[8]Table 11 CWTs exp'!$AA39&gt;0,"-"," "))</f>
        <v xml:space="preserve"> </v>
      </c>
      <c r="L38" s="144" t="str">
        <f>IF('[8]Table 11 CWTs exp'!L39/'[8]Table 11 CWTs exp'!$AA39&gt;0.0005,'[8]Table 11 CWTs exp'!L39/'[8]Table 11 CWTs exp'!$AA39,IF('[8]Table 11 CWTs exp'!L39/'[8]Table 11 CWTs exp'!$AA39&gt;0,"-"," "))</f>
        <v xml:space="preserve"> </v>
      </c>
      <c r="M38" s="144" t="str">
        <f>IF('[8]Table 11 CWTs exp'!M39/'[8]Table 11 CWTs exp'!$AA39&gt;0.0005,'[8]Table 11 CWTs exp'!M39/'[8]Table 11 CWTs exp'!$AA39,IF('[8]Table 11 CWTs exp'!M39/'[8]Table 11 CWTs exp'!$AA39&gt;0,"-"," "))</f>
        <v xml:space="preserve"> </v>
      </c>
      <c r="N38" s="144" t="str">
        <f>IF('[8]Table 11 CWTs exp'!N39/'[8]Table 11 CWTs exp'!$AA39&gt;0.0005,'[8]Table 11 CWTs exp'!N39/'[8]Table 11 CWTs exp'!$AA39,IF('[8]Table 11 CWTs exp'!N39/'[8]Table 11 CWTs exp'!$AA39&gt;0,"-"," "))</f>
        <v xml:space="preserve"> </v>
      </c>
      <c r="O38" s="144" t="str">
        <f>IF('[8]Table 11 CWTs exp'!O39/'[8]Table 11 CWTs exp'!$AA39&gt;0.0005,'[8]Table 11 CWTs exp'!O39/'[8]Table 11 CWTs exp'!$AA39,IF('[8]Table 11 CWTs exp'!O39/'[8]Table 11 CWTs exp'!$AA39&gt;0,"-"," "))</f>
        <v xml:space="preserve"> </v>
      </c>
      <c r="P38" s="144" t="str">
        <f>IF('[8]Table 11 CWTs exp'!P39/'[8]Table 11 CWTs exp'!$AA39&gt;0.0005,'[8]Table 11 CWTs exp'!P39/'[8]Table 11 CWTs exp'!$AA39,IF('[8]Table 11 CWTs exp'!P39/'[8]Table 11 CWTs exp'!$AA39&gt;0,"-"," "))</f>
        <v xml:space="preserve"> </v>
      </c>
      <c r="Q38" s="145" t="str">
        <f>IF('[8]Table 11 CWTs exp'!Q39/'[8]Table 11 CWTs exp'!$AA39&gt;0.0005,'[8]Table 11 CWTs exp'!Q39/'[8]Table 11 CWTs exp'!$AA39,IF('[8]Table 11 CWTs exp'!Q39/'[8]Table 11 CWTs exp'!$AA39&gt;0,"-"," "))</f>
        <v xml:space="preserve"> </v>
      </c>
      <c r="R38" s="146" t="str">
        <f>IF('[8]Table 11 CWTs exp'!R39/'[8]Table 11 CWTs exp'!$AA39&gt;0.0005,'[8]Table 11 CWTs exp'!R39/'[8]Table 11 CWTs exp'!$AA39,IF('[8]Table 11 CWTs exp'!R39/'[8]Table 11 CWTs exp'!$AA39&gt;0,"-"," "))</f>
        <v xml:space="preserve"> </v>
      </c>
      <c r="S38" s="144" t="str">
        <f>IF('[8]Table 11 CWTs exp'!S39/'[8]Table 11 CWTs exp'!$AA39&gt;0.0005,'[8]Table 11 CWTs exp'!S39/'[8]Table 11 CWTs exp'!$AA39,IF('[8]Table 11 CWTs exp'!S39/'[8]Table 11 CWTs exp'!$AA39&gt;0,"-"," "))</f>
        <v xml:space="preserve"> </v>
      </c>
      <c r="T38" s="144" t="str">
        <f>IF('[8]Table 11 CWTs exp'!T39/'[8]Table 11 CWTs exp'!$AA39&gt;0.0005,'[8]Table 11 CWTs exp'!T39/'[8]Table 11 CWTs exp'!$AA39,IF('[8]Table 11 CWTs exp'!T39/'[8]Table 11 CWTs exp'!$AA39&gt;0,"-"," "))</f>
        <v xml:space="preserve"> </v>
      </c>
      <c r="U38" s="144" t="str">
        <f>IF('[8]Table 11 CWTs exp'!U39/'[8]Table 11 CWTs exp'!$AA39&gt;0.0005,'[8]Table 11 CWTs exp'!U39/'[8]Table 11 CWTs exp'!$AA39,IF('[8]Table 11 CWTs exp'!U39/'[8]Table 11 CWTs exp'!$AA39&gt;0,"-"," "))</f>
        <v xml:space="preserve"> </v>
      </c>
      <c r="V38" s="145" t="str">
        <f>IF('[8]Table 11 CWTs exp'!V39/'[8]Table 11 CWTs exp'!$AA39&gt;0.0005,'[8]Table 11 CWTs exp'!V39/'[8]Table 11 CWTs exp'!$AA39,IF('[8]Table 11 CWTs exp'!V39/'[8]Table 11 CWTs exp'!$AA39&gt;0,"-"," "))</f>
        <v xml:space="preserve"> </v>
      </c>
      <c r="W38" s="146">
        <f>IF('[8]Table 11 CWTs exp'!W39/'[8]Table 11 CWTs exp'!$AA39&gt;0.0005,'[8]Table 11 CWTs exp'!W39/'[8]Table 11 CWTs exp'!$AA39,IF('[8]Table 11 CWTs exp'!W39/'[8]Table 11 CWTs exp'!$AA39&gt;0,"-"," "))</f>
        <v>2.1069692058346839E-2</v>
      </c>
      <c r="X38" s="206" t="str">
        <f>IF('[8]Table 11 CWTs exp'!X39/'[8]Table 11 CWTs exp'!$AA39&gt;0.0005,'[8]Table 11 CWTs exp'!X39/'[8]Table 11 CWTs exp'!$AA39,IF('[8]Table 11 CWTs exp'!X39/'[8]Table 11 CWTs exp'!$AA39&gt;0,"-"," "))</f>
        <v xml:space="preserve"> </v>
      </c>
      <c r="Y38" s="147">
        <f t="shared" si="0"/>
        <v>8.1361426256077798E-2</v>
      </c>
      <c r="Z38" s="148">
        <f t="shared" si="5"/>
        <v>0.91863857374392222</v>
      </c>
      <c r="AA38" s="38">
        <f>'[8]Table 11 CWTs exp'!AA39</f>
        <v>3085</v>
      </c>
      <c r="AC38" s="592">
        <f>'[8]Table 11 CWTs exp'!AC39</f>
        <v>8.1000000000000003E-2</v>
      </c>
      <c r="AD38" s="592">
        <f t="shared" si="2"/>
        <v>3.6142625607779588E-4</v>
      </c>
      <c r="AE38" s="593" t="str">
        <f t="shared" si="3"/>
        <v>USAC547</v>
      </c>
      <c r="AF38" s="442"/>
      <c r="AG38" s="442"/>
      <c r="AH38" s="442"/>
    </row>
    <row r="39" spans="1:34" ht="14.15" customHeight="1" x14ac:dyDescent="0.25">
      <c r="E39" s="723" t="s">
        <v>200</v>
      </c>
      <c r="F39" s="723"/>
      <c r="G39" s="195" t="str">
        <f>IF('[8]Table 11 CWTs exp'!G40/'[8]Table 11 CWTs exp'!$AA40&gt;0.0005,'[8]Table 11 CWTs exp'!G40/'[8]Table 11 CWTs exp'!$AA40,IF('[8]Table 11 CWTs exp'!G40/'[8]Table 11 CWTs exp'!$AA40&gt;0,"-"," "))</f>
        <v xml:space="preserve"> </v>
      </c>
      <c r="H39" s="196" t="str">
        <f>IF('[8]Table 11 CWTs exp'!H40/'[8]Table 11 CWTs exp'!$AA40&gt;0.0005,'[8]Table 11 CWTs exp'!H40/'[8]Table 11 CWTs exp'!$AA40,IF('[8]Table 11 CWTs exp'!H40/'[8]Table 11 CWTs exp'!$AA40&gt;0,"-"," "))</f>
        <v>-</v>
      </c>
      <c r="I39" s="195">
        <f>IF('[8]Table 11 CWTs exp'!I40/'[8]Table 11 CWTs exp'!$AA40&gt;0.0005,'[8]Table 11 CWTs exp'!I40/'[8]Table 11 CWTs exp'!$AA40,IF('[8]Table 11 CWTs exp'!I40/'[8]Table 11 CWTs exp'!$AA40&gt;0,"-"," "))</f>
        <v>5.3641390284925823E-2</v>
      </c>
      <c r="J39" s="197">
        <f>IF('[8]Table 11 CWTs exp'!J40/'[8]Table 11 CWTs exp'!$AA40&gt;0.0005,'[8]Table 11 CWTs exp'!J40/'[8]Table 11 CWTs exp'!$AA40,IF('[8]Table 11 CWTs exp'!J40/'[8]Table 11 CWTs exp'!$AA40&gt;0,"-"," "))</f>
        <v>3.4928340500961837E-2</v>
      </c>
      <c r="K39" s="195">
        <f>IF('[8]Table 11 CWTs exp'!K40/'[8]Table 11 CWTs exp'!$AA40&gt;0.0005,'[8]Table 11 CWTs exp'!K40/'[8]Table 11 CWTs exp'!$AA40,IF('[8]Table 11 CWTs exp'!K40/'[8]Table 11 CWTs exp'!$AA40&gt;0,"-"," "))</f>
        <v>1.6144789453010906E-2</v>
      </c>
      <c r="L39" s="195">
        <f>IF('[8]Table 11 CWTs exp'!L40/'[8]Table 11 CWTs exp'!$AA40&gt;0.0005,'[8]Table 11 CWTs exp'!L40/'[8]Table 11 CWTs exp'!$AA40,IF('[8]Table 11 CWTs exp'!L40/'[8]Table 11 CWTs exp'!$AA40&gt;0,"-"," "))</f>
        <v>2.1543171952582863E-2</v>
      </c>
      <c r="M39" s="195" t="str">
        <f>IF('[8]Table 11 CWTs exp'!M40/'[8]Table 11 CWTs exp'!$AA40&gt;0.0005,'[8]Table 11 CWTs exp'!M40/'[8]Table 11 CWTs exp'!$AA40,IF('[8]Table 11 CWTs exp'!M40/'[8]Table 11 CWTs exp'!$AA40&gt;0,"-"," "))</f>
        <v xml:space="preserve"> </v>
      </c>
      <c r="N39" s="195">
        <f>IF('[8]Table 11 CWTs exp'!N40/'[8]Table 11 CWTs exp'!$AA40&gt;0.0005,'[8]Table 11 CWTs exp'!N40/'[8]Table 11 CWTs exp'!$AA40,IF('[8]Table 11 CWTs exp'!N40/'[8]Table 11 CWTs exp'!$AA40&gt;0,"-"," "))</f>
        <v>1.4815337046399903E-2</v>
      </c>
      <c r="O39" s="195">
        <f>IF('[8]Table 11 CWTs exp'!O40/'[8]Table 11 CWTs exp'!$AA40&gt;0.0005,'[8]Table 11 CWTs exp'!O40/'[8]Table 11 CWTs exp'!$AA40,IF('[8]Table 11 CWTs exp'!O40/'[8]Table 11 CWTs exp'!$AA40&gt;0,"-"," "))</f>
        <v>0.34174984137215603</v>
      </c>
      <c r="P39" s="195">
        <f>IF('[8]Table 11 CWTs exp'!P40/'[8]Table 11 CWTs exp'!$AA40&gt;0.0005,'[8]Table 11 CWTs exp'!P40/'[8]Table 11 CWTs exp'!$AA40,IF('[8]Table 11 CWTs exp'!P40/'[8]Table 11 CWTs exp'!$AA40&gt;0,"-"," "))</f>
        <v>1.8088610017222451E-2</v>
      </c>
      <c r="Q39" s="196">
        <f>IF('[8]Table 11 CWTs exp'!Q40/'[8]Table 11 CWTs exp'!$AA40&gt;0.0005,'[8]Table 11 CWTs exp'!Q40/'[8]Table 11 CWTs exp'!$AA40,IF('[8]Table 11 CWTs exp'!Q40/'[8]Table 11 CWTs exp'!$AA40&gt;0,"-"," "))</f>
        <v>3.821168508092538E-2</v>
      </c>
      <c r="R39" s="197">
        <f>IF('[8]Table 11 CWTs exp'!R40/'[8]Table 11 CWTs exp'!$AA40&gt;0.0005,'[8]Table 11 CWTs exp'!R40/'[8]Table 11 CWTs exp'!$AA40,IF('[8]Table 11 CWTs exp'!R40/'[8]Table 11 CWTs exp'!$AA40&gt;0,"-"," "))</f>
        <v>4.2341044828732285E-2</v>
      </c>
      <c r="S39" s="195">
        <f>IF('[8]Table 11 CWTs exp'!S40/'[8]Table 11 CWTs exp'!$AA40&gt;0.0005,'[8]Table 11 CWTs exp'!S40/'[8]Table 11 CWTs exp'!$AA40,IF('[8]Table 11 CWTs exp'!S40/'[8]Table 11 CWTs exp'!$AA40&gt;0,"-"," "))</f>
        <v>5.6401011189557754E-4</v>
      </c>
      <c r="T39" s="195">
        <f>IF('[8]Table 11 CWTs exp'!T40/'[8]Table 11 CWTs exp'!$AA40&gt;0.0005,'[8]Table 11 CWTs exp'!T40/'[8]Table 11 CWTs exp'!$AA40,IF('[8]Table 11 CWTs exp'!T40/'[8]Table 11 CWTs exp'!$AA40&gt;0,"-"," "))</f>
        <v>0.11255023215059071</v>
      </c>
      <c r="U39" s="195">
        <f>IF('[8]Table 11 CWTs exp'!U40/'[8]Table 11 CWTs exp'!$AA40&gt;0.0005,'[8]Table 11 CWTs exp'!U40/'[8]Table 11 CWTs exp'!$AA40,IF('[8]Table 11 CWTs exp'!U40/'[8]Table 11 CWTs exp'!$AA40&gt;0,"-"," "))</f>
        <v>8.7925147800864151E-3</v>
      </c>
      <c r="V39" s="196" t="str">
        <f>IF('[8]Table 11 CWTs exp'!V40/'[8]Table 11 CWTs exp'!$AA40&gt;0.0005,'[8]Table 11 CWTs exp'!V40/'[8]Table 11 CWTs exp'!$AA40,IF('[8]Table 11 CWTs exp'!V40/'[8]Table 11 CWTs exp'!$AA40&gt;0,"-"," "))</f>
        <v>-</v>
      </c>
      <c r="W39" s="197">
        <f>IF('[8]Table 11 CWTs exp'!W40/'[8]Table 11 CWTs exp'!$AA40&gt;0.0005,'[8]Table 11 CWTs exp'!W40/'[8]Table 11 CWTs exp'!$AA40,IF('[8]Table 11 CWTs exp'!W40/'[8]Table 11 CWTs exp'!$AA40&gt;0,"-"," "))</f>
        <v>9.7593892576216899E-3</v>
      </c>
      <c r="X39" s="208" t="str">
        <f>IF('[8]Table 11 CWTs exp'!X40/'[8]Table 11 CWTs exp'!$AA40&gt;0.0005,'[8]Table 11 CWTs exp'!X40/'[8]Table 11 CWTs exp'!$AA40,IF('[8]Table 11 CWTs exp'!X40/'[8]Table 11 CWTs exp'!$AA40&gt;0,"-"," "))</f>
        <v>-</v>
      </c>
      <c r="Y39" s="198">
        <f t="shared" si="0"/>
        <v>0.7131303568371119</v>
      </c>
      <c r="Z39" s="199">
        <f>1-Y39</f>
        <v>0.2868696431628881</v>
      </c>
      <c r="AA39" s="59">
        <f>'[8]Table 11 CWTs exp'!AA40</f>
        <v>99289</v>
      </c>
      <c r="AB39" s="159"/>
      <c r="AC39" s="592">
        <f>'[8]Table 11 CWTs exp'!AC40</f>
        <v>0.71345264832962363</v>
      </c>
      <c r="AD39" s="592">
        <f t="shared" si="2"/>
        <v>-3.2229149251172817E-4</v>
      </c>
      <c r="AE39" s="595"/>
      <c r="AF39" s="596"/>
      <c r="AG39" s="596"/>
      <c r="AH39" s="596"/>
    </row>
    <row r="40" spans="1:34" ht="10" customHeight="1" x14ac:dyDescent="0.3">
      <c r="E40" s="83"/>
      <c r="F40"/>
      <c r="G40" s="161"/>
      <c r="H40" s="162"/>
      <c r="I40" s="161"/>
      <c r="J40" s="163"/>
      <c r="K40" s="161"/>
      <c r="L40" s="161"/>
      <c r="M40" s="161"/>
      <c r="N40" s="161"/>
      <c r="O40" s="161"/>
      <c r="P40" s="161"/>
      <c r="Q40" s="162"/>
      <c r="R40" s="163"/>
      <c r="S40" s="161"/>
      <c r="T40" s="161"/>
      <c r="U40" s="161"/>
      <c r="V40" s="162"/>
      <c r="W40" s="163"/>
      <c r="X40" s="209"/>
      <c r="Y40" s="164"/>
      <c r="Z40" s="165"/>
      <c r="AA40" s="64"/>
      <c r="AB40" s="159"/>
      <c r="AC40" s="453"/>
      <c r="AD40" s="453"/>
      <c r="AE40" s="595"/>
      <c r="AF40" s="596"/>
      <c r="AG40" s="596"/>
      <c r="AH40" s="596"/>
    </row>
    <row r="41" spans="1:34" ht="14.9" customHeight="1" x14ac:dyDescent="0.25">
      <c r="E41" s="27" t="s">
        <v>103</v>
      </c>
      <c r="F41" s="3" t="s">
        <v>104</v>
      </c>
      <c r="G41" s="144">
        <f>IF('[8]Table 11 CWTs exp'!G42/'[8]Table 11 CWTs exp'!$AA42&gt;0.0005,'[8]Table 11 CWTs exp'!G42/'[8]Table 11 CWTs exp'!$AA42,IF('[8]Table 11 CWTs exp'!G42/'[8]Table 11 CWTs exp'!$AA42&gt;0,"-"," "))</f>
        <v>4.6387124663319259E-3</v>
      </c>
      <c r="H41" s="145">
        <f>IF('[8]Table 11 CWTs exp'!H42/'[8]Table 11 CWTs exp'!$AA42&gt;0.0005,'[8]Table 11 CWTs exp'!H42/'[8]Table 11 CWTs exp'!$AA42,IF('[8]Table 11 CWTs exp'!H42/'[8]Table 11 CWTs exp'!$AA42&gt;0,"-"," "))</f>
        <v>2.196322282446048E-2</v>
      </c>
      <c r="I41" s="144">
        <f>IF('[8]Table 11 CWTs exp'!I42/'[8]Table 11 CWTs exp'!$AA42&gt;0.0005,'[8]Table 11 CWTs exp'!I42/'[8]Table 11 CWTs exp'!$AA42,IF('[8]Table 11 CWTs exp'!I42/'[8]Table 11 CWTs exp'!$AA42&gt;0,"-"," "))</f>
        <v>0.11699032354603797</v>
      </c>
      <c r="J41" s="146">
        <f>IF('[8]Table 11 CWTs exp'!J42/'[8]Table 11 CWTs exp'!$AA42&gt;0.0005,'[8]Table 11 CWTs exp'!J42/'[8]Table 11 CWTs exp'!$AA42,IF('[8]Table 11 CWTs exp'!J42/'[8]Table 11 CWTs exp'!$AA42&gt;0,"-"," "))</f>
        <v>8.7038207029561405E-3</v>
      </c>
      <c r="K41" s="144">
        <f>IF('[8]Table 11 CWTs exp'!K42/'[8]Table 11 CWTs exp'!$AA42&gt;0.0005,'[8]Table 11 CWTs exp'!K42/'[8]Table 11 CWTs exp'!$AA42,IF('[8]Table 11 CWTs exp'!K42/'[8]Table 11 CWTs exp'!$AA42&gt;0,"-"," "))</f>
        <v>4.7401323446280716E-2</v>
      </c>
      <c r="L41" s="144">
        <f>IF('[8]Table 11 CWTs exp'!L42/'[8]Table 11 CWTs exp'!$AA42&gt;0.0005,'[8]Table 11 CWTs exp'!L42/'[8]Table 11 CWTs exp'!$AA42,IF('[8]Table 11 CWTs exp'!L42/'[8]Table 11 CWTs exp'!$AA42&gt;0,"-"," "))</f>
        <v>4.0609516842350278E-2</v>
      </c>
      <c r="M41" s="144" t="str">
        <f>IF('[8]Table 11 CWTs exp'!M42/'[8]Table 11 CWTs exp'!$AA42&gt;0.0005,'[8]Table 11 CWTs exp'!M42/'[8]Table 11 CWTs exp'!$AA42,IF('[8]Table 11 CWTs exp'!M42/'[8]Table 11 CWTs exp'!$AA42&gt;0,"-"," "))</f>
        <v>-</v>
      </c>
      <c r="N41" s="144">
        <f>IF('[8]Table 11 CWTs exp'!N42/'[8]Table 11 CWTs exp'!$AA42&gt;0.0005,'[8]Table 11 CWTs exp'!N42/'[8]Table 11 CWTs exp'!$AA42,IF('[8]Table 11 CWTs exp'!N42/'[8]Table 11 CWTs exp'!$AA42&gt;0,"-"," "))</f>
        <v>1.2211950919429388E-2</v>
      </c>
      <c r="O41" s="144">
        <f>IF('[8]Table 11 CWTs exp'!O42/'[8]Table 11 CWTs exp'!$AA42&gt;0.0005,'[8]Table 11 CWTs exp'!O42/'[8]Table 11 CWTs exp'!$AA42,IF('[8]Table 11 CWTs exp'!O42/'[8]Table 11 CWTs exp'!$AA42&gt;0,"-"," "))</f>
        <v>0.20577428257905764</v>
      </c>
      <c r="P41" s="144">
        <f>IF('[8]Table 11 CWTs exp'!P42/'[8]Table 11 CWTs exp'!$AA42&gt;0.0005,'[8]Table 11 CWTs exp'!P42/'[8]Table 11 CWTs exp'!$AA42,IF('[8]Table 11 CWTs exp'!P42/'[8]Table 11 CWTs exp'!$AA42&gt;0,"-"," "))</f>
        <v>1.2103880557310544E-2</v>
      </c>
      <c r="Q41" s="145">
        <f>IF('[8]Table 11 CWTs exp'!Q42/'[8]Table 11 CWTs exp'!$AA42&gt;0.0005,'[8]Table 11 CWTs exp'!Q42/'[8]Table 11 CWTs exp'!$AA42,IF('[8]Table 11 CWTs exp'!Q42/'[8]Table 11 CWTs exp'!$AA42&gt;0,"-"," "))</f>
        <v>4.6104479100854585E-2</v>
      </c>
      <c r="R41" s="146">
        <f>IF('[8]Table 11 CWTs exp'!R42/'[8]Table 11 CWTs exp'!$AA42&gt;0.0005,'[8]Table 11 CWTs exp'!R42/'[8]Table 11 CWTs exp'!$AA42,IF('[8]Table 11 CWTs exp'!R42/'[8]Table 11 CWTs exp'!$AA42&gt;0,"-"," "))</f>
        <v>4.7941675256874941E-2</v>
      </c>
      <c r="S41" s="144">
        <f>IF('[8]Table 11 CWTs exp'!S42/'[8]Table 11 CWTs exp'!$AA42&gt;0.0005,'[8]Table 11 CWTs exp'!S42/'[8]Table 11 CWTs exp'!$AA42,IF('[8]Table 11 CWTs exp'!S42/'[8]Table 11 CWTs exp'!$AA42&gt;0,"-"," "))</f>
        <v>1.3051574502045023E-3</v>
      </c>
      <c r="T41" s="144">
        <f>IF('[8]Table 11 CWTs exp'!T42/'[8]Table 11 CWTs exp'!$AA42&gt;0.0005,'[8]Table 11 CWTs exp'!T42/'[8]Table 11 CWTs exp'!$AA42,IF('[8]Table 11 CWTs exp'!T42/'[8]Table 11 CWTs exp'!$AA42&gt;0,"-"," "))</f>
        <v>7.3645795231603098E-2</v>
      </c>
      <c r="U41" s="144">
        <f>IF('[8]Table 11 CWTs exp'!U42/'[8]Table 11 CWTs exp'!$AA42&gt;0.0005,'[8]Table 11 CWTs exp'!U42/'[8]Table 11 CWTs exp'!$AA42,IF('[8]Table 11 CWTs exp'!U42/'[8]Table 11 CWTs exp'!$AA42&gt;0,"-"," "))</f>
        <v>4.1232999700728228E-3</v>
      </c>
      <c r="V41" s="145" t="str">
        <f>IF('[8]Table 11 CWTs exp'!V42/'[8]Table 11 CWTs exp'!$AA42&gt;0.0005,'[8]Table 11 CWTs exp'!V42/'[8]Table 11 CWTs exp'!$AA42,IF('[8]Table 11 CWTs exp'!V42/'[8]Table 11 CWTs exp'!$AA42&gt;0,"-"," "))</f>
        <v>-</v>
      </c>
      <c r="W41" s="146">
        <f>IF('[8]Table 11 CWTs exp'!W42/'[8]Table 11 CWTs exp'!$AA42&gt;0.0005,'[8]Table 11 CWTs exp'!W42/'[8]Table 11 CWTs exp'!$AA42,IF('[8]Table 11 CWTs exp'!W42/'[8]Table 11 CWTs exp'!$AA42&gt;0,"-"," "))</f>
        <v>2.0699630898147838E-3</v>
      </c>
      <c r="X41" s="206" t="str">
        <f>IF('[8]Table 11 CWTs exp'!X42/'[8]Table 11 CWTs exp'!$AA42&gt;0.0005,'[8]Table 11 CWTs exp'!X42/'[8]Table 11 CWTs exp'!$AA42,IF('[8]Table 11 CWTs exp'!X42/'[8]Table 11 CWTs exp'!$AA42&gt;0,"-"," "))</f>
        <v xml:space="preserve"> </v>
      </c>
      <c r="Y41" s="147">
        <f t="shared" ref="Y41:Y43" si="7">SUM(G41:X41)</f>
        <v>0.6455874039836399</v>
      </c>
      <c r="Z41" s="148">
        <f t="shared" ref="Z41:Z43" si="8">1-Y41</f>
        <v>0.3544125960163601</v>
      </c>
      <c r="AA41" s="38">
        <f>'[8]Table 11 CWTs exp'!AA42</f>
        <v>120292</v>
      </c>
      <c r="AB41" s="159"/>
      <c r="AC41" s="453">
        <f>'[8]Table 11 CWTs exp'!AC42</f>
        <v>0</v>
      </c>
      <c r="AD41" s="453">
        <f t="shared" si="2"/>
        <v>0.6455874039836399</v>
      </c>
      <c r="AE41" s="595"/>
      <c r="AF41" s="596"/>
      <c r="AG41" s="596"/>
      <c r="AH41" s="596"/>
    </row>
    <row r="42" spans="1:34" ht="14.9" customHeight="1" x14ac:dyDescent="0.25">
      <c r="E42" s="27" t="s">
        <v>105</v>
      </c>
      <c r="F42" s="3" t="s">
        <v>104</v>
      </c>
      <c r="G42" s="144" t="str">
        <f>IF('[8]Table 11 CWTs exp'!G43/'[8]Table 11 CWTs exp'!$AA43&gt;0.0005,'[8]Table 11 CWTs exp'!G43/'[8]Table 11 CWTs exp'!$AA43,IF('[8]Table 11 CWTs exp'!G43/'[8]Table 11 CWTs exp'!$AA43&gt;0,"-"," "))</f>
        <v xml:space="preserve"> </v>
      </c>
      <c r="H42" s="145" t="str">
        <f>IF('[8]Table 11 CWTs exp'!H43/'[8]Table 11 CWTs exp'!$AA43&gt;0.0005,'[8]Table 11 CWTs exp'!H43/'[8]Table 11 CWTs exp'!$AA43,IF('[8]Table 11 CWTs exp'!H43/'[8]Table 11 CWTs exp'!$AA43&gt;0,"-"," "))</f>
        <v>-</v>
      </c>
      <c r="I42" s="144">
        <f>IF('[8]Table 11 CWTs exp'!I43/'[8]Table 11 CWTs exp'!$AA43&gt;0.0005,'[8]Table 11 CWTs exp'!I43/'[8]Table 11 CWTs exp'!$AA43,IF('[8]Table 11 CWTs exp'!I43/'[8]Table 11 CWTs exp'!$AA43&gt;0,"-"," "))</f>
        <v>1.6317311548772508E-2</v>
      </c>
      <c r="J42" s="146">
        <f>IF('[8]Table 11 CWTs exp'!J43/'[8]Table 11 CWTs exp'!$AA43&gt;0.0005,'[8]Table 11 CWTs exp'!J43/'[8]Table 11 CWTs exp'!$AA43,IF('[8]Table 11 CWTs exp'!J43/'[8]Table 11 CWTs exp'!$AA43&gt;0,"-"," "))</f>
        <v>8.2135393578620736E-2</v>
      </c>
      <c r="K42" s="144" t="str">
        <f>IF('[8]Table 11 CWTs exp'!K43/'[8]Table 11 CWTs exp'!$AA43&gt;0.0005,'[8]Table 11 CWTs exp'!K43/'[8]Table 11 CWTs exp'!$AA43,IF('[8]Table 11 CWTs exp'!K43/'[8]Table 11 CWTs exp'!$AA43&gt;0,"-"," "))</f>
        <v>-</v>
      </c>
      <c r="L42" s="144">
        <f>IF('[8]Table 11 CWTs exp'!L43/'[8]Table 11 CWTs exp'!$AA43&gt;0.0005,'[8]Table 11 CWTs exp'!L43/'[8]Table 11 CWTs exp'!$AA43,IF('[8]Table 11 CWTs exp'!L43/'[8]Table 11 CWTs exp'!$AA43&gt;0,"-"," "))</f>
        <v>1.0681189707217192E-2</v>
      </c>
      <c r="M42" s="144" t="str">
        <f>IF('[8]Table 11 CWTs exp'!M43/'[8]Table 11 CWTs exp'!$AA43&gt;0.0005,'[8]Table 11 CWTs exp'!M43/'[8]Table 11 CWTs exp'!$AA43,IF('[8]Table 11 CWTs exp'!M43/'[8]Table 11 CWTs exp'!$AA43&gt;0,"-"," "))</f>
        <v xml:space="preserve"> </v>
      </c>
      <c r="N42" s="144">
        <f>IF('[8]Table 11 CWTs exp'!N43/'[8]Table 11 CWTs exp'!$AA43&gt;0.0005,'[8]Table 11 CWTs exp'!N43/'[8]Table 11 CWTs exp'!$AA43,IF('[8]Table 11 CWTs exp'!N43/'[8]Table 11 CWTs exp'!$AA43&gt;0,"-"," "))</f>
        <v>2.039136216832373E-2</v>
      </c>
      <c r="O42" s="144">
        <f>IF('[8]Table 11 CWTs exp'!O43/'[8]Table 11 CWTs exp'!$AA43&gt;0.0005,'[8]Table 11 CWTs exp'!O43/'[8]Table 11 CWTs exp'!$AA43,IF('[8]Table 11 CWTs exp'!O43/'[8]Table 11 CWTs exp'!$AA43&gt;0,"-"," "))</f>
        <v>0.49262237983661578</v>
      </c>
      <c r="P42" s="144">
        <f>IF('[8]Table 11 CWTs exp'!P43/'[8]Table 11 CWTs exp'!$AA43&gt;0.0005,'[8]Table 11 CWTs exp'!P43/'[8]Table 11 CWTs exp'!$AA43,IF('[8]Table 11 CWTs exp'!P43/'[8]Table 11 CWTs exp'!$AA43&gt;0,"-"," "))</f>
        <v>2.7462900808477402E-2</v>
      </c>
      <c r="Q42" s="145">
        <f>IF('[8]Table 11 CWTs exp'!Q43/'[8]Table 11 CWTs exp'!$AA43&gt;0.0005,'[8]Table 11 CWTs exp'!Q43/'[8]Table 11 CWTs exp'!$AA43,IF('[8]Table 11 CWTs exp'!Q43/'[8]Table 11 CWTs exp'!$AA43&gt;0,"-"," "))</f>
        <v>1.3319823528170054E-2</v>
      </c>
      <c r="R42" s="146">
        <f>IF('[8]Table 11 CWTs exp'!R43/'[8]Table 11 CWTs exp'!$AA43&gt;0.0005,'[8]Table 11 CWTs exp'!R43/'[8]Table 11 CWTs exp'!$AA43,IF('[8]Table 11 CWTs exp'!R43/'[8]Table 11 CWTs exp'!$AA43&gt;0,"-"," "))</f>
        <v>3.951618010259008E-2</v>
      </c>
      <c r="S42" s="144" t="str">
        <f>IF('[8]Table 11 CWTs exp'!S43/'[8]Table 11 CWTs exp'!$AA43&gt;0.0005,'[8]Table 11 CWTs exp'!S43/'[8]Table 11 CWTs exp'!$AA43,IF('[8]Table 11 CWTs exp'!S43/'[8]Table 11 CWTs exp'!$AA43&gt;0,"-"," "))</f>
        <v>-</v>
      </c>
      <c r="T42" s="144">
        <f>IF('[8]Table 11 CWTs exp'!T43/'[8]Table 11 CWTs exp'!$AA43&gt;0.0005,'[8]Table 11 CWTs exp'!T43/'[8]Table 11 CWTs exp'!$AA43,IF('[8]Table 11 CWTs exp'!T43/'[8]Table 11 CWTs exp'!$AA43&gt;0,"-"," "))</f>
        <v>0.23944018744854664</v>
      </c>
      <c r="U42" s="144">
        <f>IF('[8]Table 11 CWTs exp'!U43/'[8]Table 11 CWTs exp'!$AA43&gt;0.0005,'[8]Table 11 CWTs exp'!U43/'[8]Table 11 CWTs exp'!$AA43,IF('[8]Table 11 CWTs exp'!U43/'[8]Table 11 CWTs exp'!$AA43&gt;0,"-"," "))</f>
        <v>1.7056129018639309E-2</v>
      </c>
      <c r="V42" s="145" t="str">
        <f>IF('[8]Table 11 CWTs exp'!V43/'[8]Table 11 CWTs exp'!$AA43&gt;0.0005,'[8]Table 11 CWTs exp'!V43/'[8]Table 11 CWTs exp'!$AA43,IF('[8]Table 11 CWTs exp'!V43/'[8]Table 11 CWTs exp'!$AA43&gt;0,"-"," "))</f>
        <v xml:space="preserve"> </v>
      </c>
      <c r="W42" s="146">
        <f>IF('[8]Table 11 CWTs exp'!W43/'[8]Table 11 CWTs exp'!$AA43&gt;0.0005,'[8]Table 11 CWTs exp'!W43/'[8]Table 11 CWTs exp'!$AA43,IF('[8]Table 11 CWTs exp'!W43/'[8]Table 11 CWTs exp'!$AA43&gt;0,"-"," "))</f>
        <v>3.9980579655077786E-2</v>
      </c>
      <c r="X42" s="206">
        <f>IF('[8]Table 11 CWTs exp'!X43/'[8]Table 11 CWTs exp'!$AA43&gt;0.0005,'[8]Table 11 CWTs exp'!X43/'[8]Table 11 CWTs exp'!$AA43,IF('[8]Table 11 CWTs exp'!X43/'[8]Table 11 CWTs exp'!$AA43&gt;0,"-"," "))</f>
        <v>6.7549025816393299E-4</v>
      </c>
      <c r="Y42" s="147">
        <f t="shared" si="7"/>
        <v>0.9995989276592151</v>
      </c>
      <c r="Z42" s="148"/>
      <c r="AA42" s="38">
        <f>'[8]Table 11 CWTs exp'!AA43</f>
        <v>47373</v>
      </c>
      <c r="AB42" s="159"/>
      <c r="AC42" s="453">
        <f>'[8]Table 11 CWTs exp'!AC43</f>
        <v>0</v>
      </c>
      <c r="AD42" s="453">
        <f t="shared" si="2"/>
        <v>0.9995989276592151</v>
      </c>
      <c r="AE42" s="595"/>
      <c r="AF42" s="596"/>
      <c r="AG42" s="596"/>
      <c r="AH42" s="596"/>
    </row>
    <row r="43" spans="1:34" ht="14.9" customHeight="1" x14ac:dyDescent="0.3">
      <c r="E43" s="27"/>
      <c r="F43" s="88" t="s">
        <v>109</v>
      </c>
      <c r="G43" s="315">
        <f>IF('[8]Table 11 CWTs exp'!G44/'[8]Table 11 CWTs exp'!$AA44&gt;0.0005,'[8]Table 11 CWTs exp'!G44/'[8]Table 11 CWTs exp'!$AA44,IF('[8]Table 11 CWTs exp'!G44/'[8]Table 11 CWTs exp'!$AA44&gt;0,"-"," "))</f>
        <v>3.3280648913011062E-3</v>
      </c>
      <c r="H43" s="316">
        <f>IF('[8]Table 11 CWTs exp'!H44/'[8]Table 11 CWTs exp'!$AA44&gt;0.0005,'[8]Table 11 CWTs exp'!H44/'[8]Table 11 CWTs exp'!$AA44,IF('[8]Table 11 CWTs exp'!H44/'[8]Table 11 CWTs exp'!$AA44&gt;0,"-"," "))</f>
        <v>1.5781469000685892E-2</v>
      </c>
      <c r="I43" s="315">
        <f>IF('[8]Table 11 CWTs exp'!I44/'[8]Table 11 CWTs exp'!$AA44&gt;0.0005,'[8]Table 11 CWTs exp'!I44/'[8]Table 11 CWTs exp'!$AA44,IF('[8]Table 11 CWTs exp'!I44/'[8]Table 11 CWTs exp'!$AA44&gt;0,"-"," "))</f>
        <v>8.8545611785405418E-2</v>
      </c>
      <c r="J43" s="317">
        <f>IF('[8]Table 11 CWTs exp'!J44/'[8]Table 11 CWTs exp'!$AA44&gt;0.0005,'[8]Table 11 CWTs exp'!J44/'[8]Table 11 CWTs exp'!$AA44,IF('[8]Table 11 CWTs exp'!J44/'[8]Table 11 CWTs exp'!$AA44&gt;0,"-"," "))</f>
        <v>2.9451585005815167E-2</v>
      </c>
      <c r="K43" s="315">
        <f>IF('[8]Table 11 CWTs exp'!K44/'[8]Table 11 CWTs exp'!$AA44&gt;0.0005,'[8]Table 11 CWTs exp'!K44/'[8]Table 11 CWTs exp'!$AA44,IF('[8]Table 11 CWTs exp'!K44/'[8]Table 11 CWTs exp'!$AA44&gt;0,"-"," "))</f>
        <v>3.4032147436853247E-2</v>
      </c>
      <c r="L43" s="315">
        <f>IF('[8]Table 11 CWTs exp'!L44/'[8]Table 11 CWTs exp'!$AA44&gt;0.0005,'[8]Table 11 CWTs exp'!L44/'[8]Table 11 CWTs exp'!$AA44,IF('[8]Table 11 CWTs exp'!L44/'[8]Table 11 CWTs exp'!$AA44&gt;0,"-"," "))</f>
        <v>3.2153401127247787E-2</v>
      </c>
      <c r="M43" s="315" t="str">
        <f>IF('[8]Table 11 CWTs exp'!M44/'[8]Table 11 CWTs exp'!$AA44&gt;0.0005,'[8]Table 11 CWTs exp'!M44/'[8]Table 11 CWTs exp'!$AA44,IF('[8]Table 11 CWTs exp'!M44/'[8]Table 11 CWTs exp'!$AA44&gt;0,"-"," "))</f>
        <v>-</v>
      </c>
      <c r="N43" s="315">
        <f>IF('[8]Table 11 CWTs exp'!N44/'[8]Table 11 CWTs exp'!$AA44&gt;0.0005,'[8]Table 11 CWTs exp'!N44/'[8]Table 11 CWTs exp'!$AA44,IF('[8]Table 11 CWTs exp'!N44/'[8]Table 11 CWTs exp'!$AA44&gt;0,"-"," "))</f>
        <v>1.4523007186950168E-2</v>
      </c>
      <c r="O43" s="315">
        <f>IF('[8]Table 11 CWTs exp'!O44/'[8]Table 11 CWTs exp'!$AA44&gt;0.0005,'[8]Table 11 CWTs exp'!O44/'[8]Table 11 CWTs exp'!$AA44,IF('[8]Table 11 CWTs exp'!O44/'[8]Table 11 CWTs exp'!$AA44&gt;0,"-"," "))</f>
        <v>0.2868219365997674</v>
      </c>
      <c r="P43" s="315">
        <f>IF('[8]Table 11 CWTs exp'!P44/'[8]Table 11 CWTs exp'!$AA44&gt;0.0005,'[8]Table 11 CWTs exp'!P44/'[8]Table 11 CWTs exp'!$AA44,IF('[8]Table 11 CWTs exp'!P44/'[8]Table 11 CWTs exp'!$AA44&gt;0,"-"," "))</f>
        <v>1.6443503414546864E-2</v>
      </c>
      <c r="Q43" s="316">
        <f>IF('[8]Table 11 CWTs exp'!Q44/'[8]Table 11 CWTs exp'!$AA44&gt;0.0005,'[8]Table 11 CWTs exp'!Q44/'[8]Table 11 CWTs exp'!$AA44,IF('[8]Table 11 CWTs exp'!Q44/'[8]Table 11 CWTs exp'!$AA44&gt;0,"-"," "))</f>
        <v>3.684132049026332E-2</v>
      </c>
      <c r="R43" s="317">
        <f>IF('[8]Table 11 CWTs exp'!R44/'[8]Table 11 CWTs exp'!$AA44&gt;0.0005,'[8]Table 11 CWTs exp'!R44/'[8]Table 11 CWTs exp'!$AA44,IF('[8]Table 11 CWTs exp'!R44/'[8]Table 11 CWTs exp'!$AA44&gt;0,"-"," "))</f>
        <v>4.5561089076432172E-2</v>
      </c>
      <c r="S43" s="315">
        <f>IF('[8]Table 11 CWTs exp'!S44/'[8]Table 11 CWTs exp'!$AA44&gt;0.0005,'[8]Table 11 CWTs exp'!S44/'[8]Table 11 CWTs exp'!$AA44,IF('[8]Table 11 CWTs exp'!S44/'[8]Table 11 CWTs exp'!$AA44&gt;0,"-"," "))</f>
        <v>1.031819401783318E-3</v>
      </c>
      <c r="T43" s="315">
        <f>IF('[8]Table 11 CWTs exp'!T44/'[8]Table 11 CWTs exp'!$AA44&gt;0.0005,'[8]Table 11 CWTs exp'!T44/'[8]Table 11 CWTs exp'!$AA44,IF('[8]Table 11 CWTs exp'!T44/'[8]Table 11 CWTs exp'!$AA44&gt;0,"-"," "))</f>
        <v>0.12049026332269705</v>
      </c>
      <c r="U43" s="315">
        <f>IF('[8]Table 11 CWTs exp'!U44/'[8]Table 11 CWTs exp'!$AA44&gt;0.0005,'[8]Table 11 CWTs exp'!U44/'[8]Table 11 CWTs exp'!$AA44,IF('[8]Table 11 CWTs exp'!U44/'[8]Table 11 CWTs exp'!$AA44&gt;0,"-"," "))</f>
        <v>7.7774132943667432E-3</v>
      </c>
      <c r="V43" s="316" t="str">
        <f>IF('[8]Table 11 CWTs exp'!V44/'[8]Table 11 CWTs exp'!$AA44&gt;0.0005,'[8]Table 11 CWTs exp'!V44/'[8]Table 11 CWTs exp'!$AA44,IF('[8]Table 11 CWTs exp'!V44/'[8]Table 11 CWTs exp'!$AA44&gt;0,"-"," "))</f>
        <v>-</v>
      </c>
      <c r="W43" s="317">
        <f>IF('[8]Table 11 CWTs exp'!W44/'[8]Table 11 CWTs exp'!$AA44&gt;0.0005,'[8]Table 11 CWTs exp'!W44/'[8]Table 11 CWTs exp'!$AA44,IF('[8]Table 11 CWTs exp'!W44/'[8]Table 11 CWTs exp'!$AA44&gt;0,"-"," "))</f>
        <v>1.2781439179315898E-2</v>
      </c>
      <c r="X43" s="318" t="str">
        <f>IF('[8]Table 11 CWTs exp'!X44/'[8]Table 11 CWTs exp'!$AA44&gt;0.0005,'[8]Table 11 CWTs exp'!X44/'[8]Table 11 CWTs exp'!$AA44,IF('[8]Table 11 CWTs exp'!X44/'[8]Table 11 CWTs exp'!$AA44&gt;0,"-"," "))</f>
        <v>-</v>
      </c>
      <c r="Y43" s="319">
        <f t="shared" si="7"/>
        <v>0.74556407121343149</v>
      </c>
      <c r="Z43" s="320">
        <f t="shared" si="8"/>
        <v>0.25443592878656851</v>
      </c>
      <c r="AA43" s="321">
        <f>'[8]Table 11 CWTs exp'!AA44</f>
        <v>167665</v>
      </c>
      <c r="AB43" s="159"/>
      <c r="AC43" s="453">
        <f>'[8]Table 11 CWTs exp'!AC44</f>
        <v>0.74585632063937013</v>
      </c>
      <c r="AD43" s="453">
        <f t="shared" si="2"/>
        <v>-2.922494259386399E-4</v>
      </c>
      <c r="AE43" s="595"/>
      <c r="AF43" s="596"/>
      <c r="AG43" s="596"/>
      <c r="AH43" s="596"/>
    </row>
    <row r="44" spans="1:34" ht="9" customHeight="1" x14ac:dyDescent="0.25">
      <c r="E44" s="173"/>
      <c r="F44" s="173"/>
      <c r="G44" s="161"/>
      <c r="H44" s="162"/>
      <c r="I44" s="161"/>
      <c r="J44" s="163"/>
      <c r="K44" s="161"/>
      <c r="L44" s="161"/>
      <c r="M44" s="161"/>
      <c r="N44" s="161"/>
      <c r="O44" s="161"/>
      <c r="P44" s="161"/>
      <c r="Q44" s="162"/>
      <c r="R44" s="163"/>
      <c r="S44" s="161"/>
      <c r="T44" s="161"/>
      <c r="U44" s="161"/>
      <c r="V44" s="162"/>
      <c r="W44" s="163"/>
      <c r="X44" s="209"/>
      <c r="Y44" s="164"/>
      <c r="Z44" s="165"/>
      <c r="AA44" s="64"/>
      <c r="AB44" s="159"/>
      <c r="AC44" s="453"/>
      <c r="AD44" s="453"/>
      <c r="AE44" s="595"/>
      <c r="AF44" s="596"/>
      <c r="AG44" s="596"/>
      <c r="AH44" s="596"/>
    </row>
    <row r="45" spans="1:34" ht="15.65" customHeight="1" x14ac:dyDescent="0.3">
      <c r="E45" s="26" t="s">
        <v>113</v>
      </c>
      <c r="F45"/>
      <c r="G45" s="213"/>
      <c r="H45" s="145"/>
      <c r="I45" s="144"/>
      <c r="J45" s="146"/>
      <c r="K45" s="144"/>
      <c r="L45" s="144"/>
      <c r="M45" s="144"/>
      <c r="N45" s="144"/>
      <c r="O45" s="144"/>
      <c r="P45" s="144"/>
      <c r="Q45" s="145"/>
      <c r="R45" s="146"/>
      <c r="S45" s="144"/>
      <c r="T45" s="144"/>
      <c r="U45" s="144"/>
      <c r="V45" s="145"/>
      <c r="W45" s="146"/>
      <c r="X45" s="206"/>
      <c r="Y45" s="147"/>
      <c r="Z45" s="148"/>
      <c r="AA45" s="38"/>
      <c r="AC45" s="453"/>
      <c r="AD45" s="453"/>
      <c r="AE45" s="442"/>
      <c r="AF45" s="442"/>
      <c r="AG45" s="442"/>
      <c r="AH45" s="442"/>
    </row>
    <row r="46" spans="1:34" ht="15.65" customHeight="1" x14ac:dyDescent="0.25">
      <c r="A46" t="str">
        <f>'[8]Table 11 CWTs exp'!A47</f>
        <v>USAC463</v>
      </c>
      <c r="B46" s="4" t="str">
        <f>'[8]Table 11 CWTs exp'!B47</f>
        <v>USAC</v>
      </c>
      <c r="C46" s="4">
        <f>'[8]Table 11 CWTs exp'!C47</f>
        <v>46</v>
      </c>
      <c r="D46" s="4">
        <f>'[8]Table 11 CWTs exp'!D47</f>
        <v>3</v>
      </c>
      <c r="E46" t="str">
        <f>'[8]Table 11 CWTs exp'!E47</f>
        <v xml:space="preserve">Upper Sacramento River </v>
      </c>
      <c r="F46" s="37" t="str">
        <f>'[8]Table 11 CWTs exp'!F47</f>
        <v>Fall</v>
      </c>
      <c r="G46" s="144" t="str">
        <f>IF('[8]Table 11 CWTs exp'!G47/'[8]Table 11 CWTs exp'!$AA47&gt;0.0005,'[8]Table 11 CWTs exp'!G47/'[8]Table 11 CWTs exp'!$AA47,IF('[8]Table 11 CWTs exp'!G47/'[8]Table 11 CWTs exp'!$AA47&gt;0,"-"," "))</f>
        <v xml:space="preserve"> </v>
      </c>
      <c r="H46" s="145" t="str">
        <f>IF('[8]Table 11 CWTs exp'!H47/'[8]Table 11 CWTs exp'!$AA47&gt;0.0005,'[8]Table 11 CWTs exp'!H47/'[8]Table 11 CWTs exp'!$AA47,IF('[8]Table 11 CWTs exp'!H47/'[8]Table 11 CWTs exp'!$AA47&gt;0,"-"," "))</f>
        <v xml:space="preserve"> </v>
      </c>
      <c r="I46" s="144">
        <f>IF('[8]Table 11 CWTs exp'!I47/'[8]Table 11 CWTs exp'!$AA47&gt;0.0005,'[8]Table 11 CWTs exp'!I47/'[8]Table 11 CWTs exp'!$AA47,IF('[8]Table 11 CWTs exp'!I47/'[8]Table 11 CWTs exp'!$AA47&gt;0,"-"," "))</f>
        <v>0.40257171117705243</v>
      </c>
      <c r="J46" s="146">
        <f>IF('[8]Table 11 CWTs exp'!J47/'[8]Table 11 CWTs exp'!$AA47&gt;0.0005,'[8]Table 11 CWTs exp'!J47/'[8]Table 11 CWTs exp'!$AA47,IF('[8]Table 11 CWTs exp'!J47/'[8]Table 11 CWTs exp'!$AA47&gt;0,"-"," "))</f>
        <v>6.1819980217606334E-3</v>
      </c>
      <c r="K46" s="144" t="str">
        <f>IF('[8]Table 11 CWTs exp'!K47/'[8]Table 11 CWTs exp'!$AA47&gt;0.0005,'[8]Table 11 CWTs exp'!K47/'[8]Table 11 CWTs exp'!$AA47,IF('[8]Table 11 CWTs exp'!K47/'[8]Table 11 CWTs exp'!$AA47&gt;0,"-"," "))</f>
        <v xml:space="preserve"> </v>
      </c>
      <c r="L46" s="144">
        <f>IF('[8]Table 11 CWTs exp'!L47/'[8]Table 11 CWTs exp'!$AA47&gt;0.0005,'[8]Table 11 CWTs exp'!L47/'[8]Table 11 CWTs exp'!$AA47,IF('[8]Table 11 CWTs exp'!L47/'[8]Table 11 CWTs exp'!$AA47&gt;0,"-"," "))</f>
        <v>1.1003956478733926E-2</v>
      </c>
      <c r="M46" s="144" t="str">
        <f>IF('[8]Table 11 CWTs exp'!M47/'[8]Table 11 CWTs exp'!$AA47&gt;0.0005,'[8]Table 11 CWTs exp'!M47/'[8]Table 11 CWTs exp'!$AA47,IF('[8]Table 11 CWTs exp'!M47/'[8]Table 11 CWTs exp'!$AA47&gt;0,"-"," "))</f>
        <v xml:space="preserve"> </v>
      </c>
      <c r="N46" s="144">
        <f>IF('[8]Table 11 CWTs exp'!N47/'[8]Table 11 CWTs exp'!$AA47&gt;0.0005,'[8]Table 11 CWTs exp'!N47/'[8]Table 11 CWTs exp'!$AA47,IF('[8]Table 11 CWTs exp'!N47/'[8]Table 11 CWTs exp'!$AA47&gt;0,"-"," "))</f>
        <v>1.8793273986152326E-2</v>
      </c>
      <c r="O46" s="144">
        <f>IF('[8]Table 11 CWTs exp'!O47/'[8]Table 11 CWTs exp'!$AA47&gt;0.0005,'[8]Table 11 CWTs exp'!O47/'[8]Table 11 CWTs exp'!$AA47,IF('[8]Table 11 CWTs exp'!O47/'[8]Table 11 CWTs exp'!$AA47&gt;0,"-"," "))</f>
        <v>0.27979723046488625</v>
      </c>
      <c r="P46" s="144">
        <f>IF('[8]Table 11 CWTs exp'!P47/'[8]Table 11 CWTs exp'!$AA47&gt;0.0005,'[8]Table 11 CWTs exp'!P47/'[8]Table 11 CWTs exp'!$AA47,IF('[8]Table 11 CWTs exp'!P47/'[8]Table 11 CWTs exp'!$AA47&gt;0,"-"," "))</f>
        <v>6.1819980217606334E-3</v>
      </c>
      <c r="Q46" s="145" t="str">
        <f>IF('[8]Table 11 CWTs exp'!Q47/'[8]Table 11 CWTs exp'!$AA47&gt;0.0005,'[8]Table 11 CWTs exp'!Q47/'[8]Table 11 CWTs exp'!$AA47,IF('[8]Table 11 CWTs exp'!Q47/'[8]Table 11 CWTs exp'!$AA47&gt;0,"-"," "))</f>
        <v xml:space="preserve"> </v>
      </c>
      <c r="R46" s="146" t="str">
        <f>IF('[8]Table 11 CWTs exp'!R47/'[8]Table 11 CWTs exp'!$AA47&gt;0.0005,'[8]Table 11 CWTs exp'!R47/'[8]Table 11 CWTs exp'!$AA47,IF('[8]Table 11 CWTs exp'!R47/'[8]Table 11 CWTs exp'!$AA47&gt;0,"-"," "))</f>
        <v xml:space="preserve"> </v>
      </c>
      <c r="S46" s="144" t="str">
        <f>IF('[8]Table 11 CWTs exp'!S47/'[8]Table 11 CWTs exp'!$AA47&gt;0.0005,'[8]Table 11 CWTs exp'!S47/'[8]Table 11 CWTs exp'!$AA47,IF('[8]Table 11 CWTs exp'!S47/'[8]Table 11 CWTs exp'!$AA47&gt;0,"-"," "))</f>
        <v xml:space="preserve"> </v>
      </c>
      <c r="T46" s="144" t="str">
        <f>IF('[8]Table 11 CWTs exp'!T47/'[8]Table 11 CWTs exp'!$AA47&gt;0.0005,'[8]Table 11 CWTs exp'!T47/'[8]Table 11 CWTs exp'!$AA47,IF('[8]Table 11 CWTs exp'!T47/'[8]Table 11 CWTs exp'!$AA47&gt;0,"-"," "))</f>
        <v xml:space="preserve"> </v>
      </c>
      <c r="U46" s="144" t="str">
        <f>IF('[8]Table 11 CWTs exp'!U47/'[8]Table 11 CWTs exp'!$AA47&gt;0.0005,'[8]Table 11 CWTs exp'!U47/'[8]Table 11 CWTs exp'!$AA47,IF('[8]Table 11 CWTs exp'!U47/'[8]Table 11 CWTs exp'!$AA47&gt;0,"-"," "))</f>
        <v xml:space="preserve"> </v>
      </c>
      <c r="V46" s="145" t="str">
        <f>IF('[8]Table 11 CWTs exp'!V47/'[8]Table 11 CWTs exp'!$AA47&gt;0.0005,'[8]Table 11 CWTs exp'!V47/'[8]Table 11 CWTs exp'!$AA47,IF('[8]Table 11 CWTs exp'!V47/'[8]Table 11 CWTs exp'!$AA47&gt;0,"-"," "))</f>
        <v xml:space="preserve"> </v>
      </c>
      <c r="W46" s="146" t="str">
        <f>IF('[8]Table 11 CWTs exp'!W47/'[8]Table 11 CWTs exp'!$AA47&gt;0.0005,'[8]Table 11 CWTs exp'!W47/'[8]Table 11 CWTs exp'!$AA47,IF('[8]Table 11 CWTs exp'!W47/'[8]Table 11 CWTs exp'!$AA47&gt;0,"-"," "))</f>
        <v xml:space="preserve"> </v>
      </c>
      <c r="X46" s="206" t="str">
        <f>IF('[8]Table 11 CWTs exp'!X47/'[8]Table 11 CWTs exp'!$AA47&gt;0.0005,'[8]Table 11 CWTs exp'!X47/'[8]Table 11 CWTs exp'!$AA47,IF('[8]Table 11 CWTs exp'!X47/'[8]Table 11 CWTs exp'!$AA47&gt;0,"-"," "))</f>
        <v xml:space="preserve"> </v>
      </c>
      <c r="Y46" s="147">
        <f>AC46</f>
        <v>0.72499999999999998</v>
      </c>
      <c r="Z46" s="148">
        <f>1-ROUND(Y46,2)</f>
        <v>0.27</v>
      </c>
      <c r="AA46" s="38">
        <f>'[8]Table 11 CWTs exp'!AA47</f>
        <v>8088</v>
      </c>
      <c r="AC46" s="453">
        <f>'[8]Table 11 CWTs exp'!AC47</f>
        <v>0.72499999999999998</v>
      </c>
      <c r="AD46" s="453">
        <f t="shared" si="2"/>
        <v>0</v>
      </c>
      <c r="AE46" s="442"/>
      <c r="AF46" s="442"/>
      <c r="AG46" s="442"/>
      <c r="AH46" s="442"/>
    </row>
    <row r="47" spans="1:34" ht="15.65" customHeight="1" x14ac:dyDescent="0.25">
      <c r="A47" t="str">
        <f>'[8]Table 11 CWTs exp'!A48</f>
        <v>LSAC463</v>
      </c>
      <c r="B47" s="4" t="str">
        <f>'[8]Table 11 CWTs exp'!B48</f>
        <v>LSAC</v>
      </c>
      <c r="C47" s="4">
        <f>'[8]Table 11 CWTs exp'!C48</f>
        <v>46</v>
      </c>
      <c r="D47" s="4">
        <f>'[8]Table 11 CWTs exp'!D48</f>
        <v>3</v>
      </c>
      <c r="E47" t="str">
        <f>'[8]Table 11 CWTs exp'!E48</f>
        <v xml:space="preserve">Lower Sacramento River </v>
      </c>
      <c r="F47" s="37" t="str">
        <f>'[8]Table 11 CWTs exp'!F48</f>
        <v>Fall</v>
      </c>
      <c r="G47" s="144" t="str">
        <f>IF('[8]Table 11 CWTs exp'!G48/'[8]Table 11 CWTs exp'!$AA48&gt;0.0005,'[8]Table 11 CWTs exp'!G48/'[8]Table 11 CWTs exp'!$AA48,IF('[8]Table 11 CWTs exp'!G48/'[8]Table 11 CWTs exp'!$AA48&gt;0,"-"," "))</f>
        <v xml:space="preserve"> </v>
      </c>
      <c r="H47" s="145">
        <f>IF('[8]Table 11 CWTs exp'!H48/'[8]Table 11 CWTs exp'!$AA48&gt;0.0005,'[8]Table 11 CWTs exp'!H48/'[8]Table 11 CWTs exp'!$AA48,IF('[8]Table 11 CWTs exp'!H48/'[8]Table 11 CWTs exp'!$AA48&gt;0,"-"," "))</f>
        <v>2.7236099919419821E-2</v>
      </c>
      <c r="I47" s="144" t="str">
        <f>IF('[8]Table 11 CWTs exp'!I48/'[8]Table 11 CWTs exp'!$AA48&gt;0.0005,'[8]Table 11 CWTs exp'!I48/'[8]Table 11 CWTs exp'!$AA48,IF('[8]Table 11 CWTs exp'!I48/'[8]Table 11 CWTs exp'!$AA48&gt;0,"-"," "))</f>
        <v xml:space="preserve"> </v>
      </c>
      <c r="J47" s="146">
        <f>IF('[8]Table 11 CWTs exp'!J48/'[8]Table 11 CWTs exp'!$AA48&gt;0.0005,'[8]Table 11 CWTs exp'!J48/'[8]Table 11 CWTs exp'!$AA48,IF('[8]Table 11 CWTs exp'!J48/'[8]Table 11 CWTs exp'!$AA48&gt;0,"-"," "))</f>
        <v>8.7832393231265113E-2</v>
      </c>
      <c r="K47" s="144" t="str">
        <f>IF('[8]Table 11 CWTs exp'!K48/'[8]Table 11 CWTs exp'!$AA48&gt;0.0005,'[8]Table 11 CWTs exp'!K48/'[8]Table 11 CWTs exp'!$AA48,IF('[8]Table 11 CWTs exp'!K48/'[8]Table 11 CWTs exp'!$AA48&gt;0,"-"," "))</f>
        <v xml:space="preserve"> </v>
      </c>
      <c r="L47" s="144" t="str">
        <f>IF('[8]Table 11 CWTs exp'!L48/'[8]Table 11 CWTs exp'!$AA48&gt;0.0005,'[8]Table 11 CWTs exp'!L48/'[8]Table 11 CWTs exp'!$AA48,IF('[8]Table 11 CWTs exp'!L48/'[8]Table 11 CWTs exp'!$AA48&gt;0,"-"," "))</f>
        <v xml:space="preserve"> </v>
      </c>
      <c r="M47" s="144" t="str">
        <f>IF('[8]Table 11 CWTs exp'!M48/'[8]Table 11 CWTs exp'!$AA48&gt;0.0005,'[8]Table 11 CWTs exp'!M48/'[8]Table 11 CWTs exp'!$AA48,IF('[8]Table 11 CWTs exp'!M48/'[8]Table 11 CWTs exp'!$AA48&gt;0,"-"," "))</f>
        <v xml:space="preserve"> </v>
      </c>
      <c r="N47" s="144">
        <f>IF('[8]Table 11 CWTs exp'!N48/'[8]Table 11 CWTs exp'!$AA48&gt;0.0005,'[8]Table 11 CWTs exp'!N48/'[8]Table 11 CWTs exp'!$AA48,IF('[8]Table 11 CWTs exp'!N48/'[8]Table 11 CWTs exp'!$AA48&gt;0,"-"," "))</f>
        <v>1.3215149073327961E-2</v>
      </c>
      <c r="O47" s="144">
        <f>IF('[8]Table 11 CWTs exp'!O48/'[8]Table 11 CWTs exp'!$AA48&gt;0.0005,'[8]Table 11 CWTs exp'!O48/'[8]Table 11 CWTs exp'!$AA48,IF('[8]Table 11 CWTs exp'!O48/'[8]Table 11 CWTs exp'!$AA48&gt;0,"-"," "))</f>
        <v>0.28251410153102335</v>
      </c>
      <c r="P47" s="144">
        <f>IF('[8]Table 11 CWTs exp'!P48/'[8]Table 11 CWTs exp'!$AA48&gt;0.0005,'[8]Table 11 CWTs exp'!P48/'[8]Table 11 CWTs exp'!$AA48,IF('[8]Table 11 CWTs exp'!P48/'[8]Table 11 CWTs exp'!$AA48&gt;0,"-"," "))</f>
        <v>2.6591458501208701E-2</v>
      </c>
      <c r="Q47" s="145" t="str">
        <f>IF('[8]Table 11 CWTs exp'!Q48/'[8]Table 11 CWTs exp'!$AA48&gt;0.0005,'[8]Table 11 CWTs exp'!Q48/'[8]Table 11 CWTs exp'!$AA48,IF('[8]Table 11 CWTs exp'!Q48/'[8]Table 11 CWTs exp'!$AA48&gt;0,"-"," "))</f>
        <v xml:space="preserve"> </v>
      </c>
      <c r="R47" s="146">
        <f>IF('[8]Table 11 CWTs exp'!R48/'[8]Table 11 CWTs exp'!$AA48&gt;0.0005,'[8]Table 11 CWTs exp'!R48/'[8]Table 11 CWTs exp'!$AA48,IF('[8]Table 11 CWTs exp'!R48/'[8]Table 11 CWTs exp'!$AA48&gt;0,"-"," "))</f>
        <v>0.21079774375503627</v>
      </c>
      <c r="S47" s="144" t="str">
        <f>IF('[8]Table 11 CWTs exp'!S48/'[8]Table 11 CWTs exp'!$AA48&gt;0.0005,'[8]Table 11 CWTs exp'!S48/'[8]Table 11 CWTs exp'!$AA48,IF('[8]Table 11 CWTs exp'!S48/'[8]Table 11 CWTs exp'!$AA48&gt;0,"-"," "))</f>
        <v xml:space="preserve"> </v>
      </c>
      <c r="T47" s="144">
        <f>IF('[8]Table 11 CWTs exp'!T48/'[8]Table 11 CWTs exp'!$AA48&gt;0.0005,'[8]Table 11 CWTs exp'!T48/'[8]Table 11 CWTs exp'!$AA48,IF('[8]Table 11 CWTs exp'!T48/'[8]Table 11 CWTs exp'!$AA48&gt;0,"-"," "))</f>
        <v>8.8154713940370666E-2</v>
      </c>
      <c r="U47" s="144">
        <f>IF('[8]Table 11 CWTs exp'!U48/'[8]Table 11 CWTs exp'!$AA48&gt;0.0005,'[8]Table 11 CWTs exp'!U48/'[8]Table 11 CWTs exp'!$AA48,IF('[8]Table 11 CWTs exp'!U48/'[8]Table 11 CWTs exp'!$AA48&gt;0,"-"," "))</f>
        <v>1.3215149073327961E-2</v>
      </c>
      <c r="V47" s="145" t="str">
        <f>IF('[8]Table 11 CWTs exp'!V48/'[8]Table 11 CWTs exp'!$AA48&gt;0.0005,'[8]Table 11 CWTs exp'!V48/'[8]Table 11 CWTs exp'!$AA48,IF('[8]Table 11 CWTs exp'!V48/'[8]Table 11 CWTs exp'!$AA48&gt;0,"-"," "))</f>
        <v xml:space="preserve"> </v>
      </c>
      <c r="W47" s="146">
        <f>IF('[8]Table 11 CWTs exp'!W48/'[8]Table 11 CWTs exp'!$AA48&gt;0.0005,'[8]Table 11 CWTs exp'!W48/'[8]Table 11 CWTs exp'!$AA48,IF('[8]Table 11 CWTs exp'!W48/'[8]Table 11 CWTs exp'!$AA48&gt;0,"-"," "))</f>
        <v>2.0950846091861403E-2</v>
      </c>
      <c r="X47" s="206" t="str">
        <f>IF('[8]Table 11 CWTs exp'!X48/'[8]Table 11 CWTs exp'!$AA48&gt;0.0005,'[8]Table 11 CWTs exp'!X48/'[8]Table 11 CWTs exp'!$AA48,IF('[8]Table 11 CWTs exp'!X48/'[8]Table 11 CWTs exp'!$AA48&gt;0,"-"," "))</f>
        <v xml:space="preserve"> </v>
      </c>
      <c r="Y47" s="147">
        <f t="shared" ref="Y47:Y52" si="9">SUM(G47:X47)</f>
        <v>0.77050765511684127</v>
      </c>
      <c r="Z47" s="148">
        <f t="shared" ref="Z47:Z52" si="10">1-Y47</f>
        <v>0.22949234488315873</v>
      </c>
      <c r="AA47" s="38">
        <f>'[8]Table 11 CWTs exp'!AA48</f>
        <v>6205</v>
      </c>
      <c r="AC47" s="453">
        <f>'[8]Table 11 CWTs exp'!AC48</f>
        <v>0.77100000000000002</v>
      </c>
      <c r="AD47" s="453">
        <f t="shared" si="2"/>
        <v>-4.9234488315874625E-4</v>
      </c>
      <c r="AE47" s="442"/>
      <c r="AF47" s="442"/>
      <c r="AG47" s="442"/>
      <c r="AH47" s="442"/>
    </row>
    <row r="48" spans="1:34" ht="15.65" customHeight="1" x14ac:dyDescent="0.25">
      <c r="A48" t="str">
        <f>'[8]Table 11 CWTs exp'!A49</f>
        <v>FEA463</v>
      </c>
      <c r="B48" s="4" t="str">
        <f>'[8]Table 11 CWTs exp'!B49</f>
        <v>FEA</v>
      </c>
      <c r="C48" s="4">
        <f>'[8]Table 11 CWTs exp'!C49</f>
        <v>46</v>
      </c>
      <c r="D48" s="4">
        <f>'[8]Table 11 CWTs exp'!D49</f>
        <v>3</v>
      </c>
      <c r="E48" t="str">
        <f>'[8]Table 11 CWTs exp'!E49</f>
        <v xml:space="preserve">Feather River </v>
      </c>
      <c r="F48" s="37" t="str">
        <f>'[8]Table 11 CWTs exp'!F49</f>
        <v>Fall</v>
      </c>
      <c r="G48" s="144" t="str">
        <f>IF('[8]Table 11 CWTs exp'!G49/'[8]Table 11 CWTs exp'!$AA49&gt;0.0005,'[8]Table 11 CWTs exp'!G49/'[8]Table 11 CWTs exp'!$AA49,IF('[8]Table 11 CWTs exp'!G49/'[8]Table 11 CWTs exp'!$AA49&gt;0,"-"," "))</f>
        <v xml:space="preserve"> </v>
      </c>
      <c r="H48" s="145" t="str">
        <f>IF('[8]Table 11 CWTs exp'!H49/'[8]Table 11 CWTs exp'!$AA49&gt;0.0005,'[8]Table 11 CWTs exp'!H49/'[8]Table 11 CWTs exp'!$AA49,IF('[8]Table 11 CWTs exp'!H49/'[8]Table 11 CWTs exp'!$AA49&gt;0,"-"," "))</f>
        <v xml:space="preserve"> </v>
      </c>
      <c r="I48" s="144" t="str">
        <f>IF('[8]Table 11 CWTs exp'!I49/'[8]Table 11 CWTs exp'!$AA49&gt;0.0005,'[8]Table 11 CWTs exp'!I49/'[8]Table 11 CWTs exp'!$AA49,IF('[8]Table 11 CWTs exp'!I49/'[8]Table 11 CWTs exp'!$AA49&gt;0,"-"," "))</f>
        <v xml:space="preserve"> </v>
      </c>
      <c r="J48" s="146">
        <f>IF('[8]Table 11 CWTs exp'!J49/'[8]Table 11 CWTs exp'!$AA49&gt;0.0005,'[8]Table 11 CWTs exp'!J49/'[8]Table 11 CWTs exp'!$AA49,IF('[8]Table 11 CWTs exp'!J49/'[8]Table 11 CWTs exp'!$AA49&gt;0,"-"," "))</f>
        <v>4.564533053515215E-2</v>
      </c>
      <c r="K48" s="144">
        <f>IF('[8]Table 11 CWTs exp'!K49/'[8]Table 11 CWTs exp'!$AA49&gt;0.0005,'[8]Table 11 CWTs exp'!K49/'[8]Table 11 CWTs exp'!$AA49,IF('[8]Table 11 CWTs exp'!K49/'[8]Table 11 CWTs exp'!$AA49&gt;0,"-"," "))</f>
        <v>3.5152151101783838E-2</v>
      </c>
      <c r="L48" s="144">
        <f>IF('[8]Table 11 CWTs exp'!L49/'[8]Table 11 CWTs exp'!$AA49&gt;0.0005,'[8]Table 11 CWTs exp'!L49/'[8]Table 11 CWTs exp'!$AA49,IF('[8]Table 11 CWTs exp'!L49/'[8]Table 11 CWTs exp'!$AA49&gt;0,"-"," "))</f>
        <v>5.8237145855194121E-2</v>
      </c>
      <c r="M48" s="144" t="str">
        <f>IF('[8]Table 11 CWTs exp'!M49/'[8]Table 11 CWTs exp'!$AA49&gt;0.0005,'[8]Table 11 CWTs exp'!M49/'[8]Table 11 CWTs exp'!$AA49,IF('[8]Table 11 CWTs exp'!M49/'[8]Table 11 CWTs exp'!$AA49&gt;0,"-"," "))</f>
        <v xml:space="preserve"> </v>
      </c>
      <c r="N48" s="144">
        <f>IF('[8]Table 11 CWTs exp'!N49/'[8]Table 11 CWTs exp'!$AA49&gt;0.0005,'[8]Table 11 CWTs exp'!N49/'[8]Table 11 CWTs exp'!$AA49,IF('[8]Table 11 CWTs exp'!N49/'[8]Table 11 CWTs exp'!$AA49&gt;0,"-"," "))</f>
        <v>5.7712486883525711E-2</v>
      </c>
      <c r="O48" s="144">
        <f>IF('[8]Table 11 CWTs exp'!O49/'[8]Table 11 CWTs exp'!$AA49&gt;0.0005,'[8]Table 11 CWTs exp'!O49/'[8]Table 11 CWTs exp'!$AA49,IF('[8]Table 11 CWTs exp'!O49/'[8]Table 11 CWTs exp'!$AA49&gt;0,"-"," "))</f>
        <v>0.73714585519412379</v>
      </c>
      <c r="P48" s="144">
        <f>IF('[8]Table 11 CWTs exp'!P49/'[8]Table 11 CWTs exp'!$AA49&gt;0.0005,'[8]Table 11 CWTs exp'!P49/'[8]Table 11 CWTs exp'!$AA49,IF('[8]Table 11 CWTs exp'!P49/'[8]Table 11 CWTs exp'!$AA49&gt;0,"-"," "))</f>
        <v>1.1542497376705142E-2</v>
      </c>
      <c r="Q48" s="145" t="str">
        <f>IF('[8]Table 11 CWTs exp'!Q49/'[8]Table 11 CWTs exp'!$AA49&gt;0.0005,'[8]Table 11 CWTs exp'!Q49/'[8]Table 11 CWTs exp'!$AA49,IF('[8]Table 11 CWTs exp'!Q49/'[8]Table 11 CWTs exp'!$AA49&gt;0,"-"," "))</f>
        <v xml:space="preserve"> </v>
      </c>
      <c r="R48" s="146" t="str">
        <f>IF('[8]Table 11 CWTs exp'!R49/'[8]Table 11 CWTs exp'!$AA49&gt;0.0005,'[8]Table 11 CWTs exp'!R49/'[8]Table 11 CWTs exp'!$AA49,IF('[8]Table 11 CWTs exp'!R49/'[8]Table 11 CWTs exp'!$AA49&gt;0,"-"," "))</f>
        <v xml:space="preserve"> </v>
      </c>
      <c r="S48" s="144" t="str">
        <f>IF('[8]Table 11 CWTs exp'!S49/'[8]Table 11 CWTs exp'!$AA49&gt;0.0005,'[8]Table 11 CWTs exp'!S49/'[8]Table 11 CWTs exp'!$AA49,IF('[8]Table 11 CWTs exp'!S49/'[8]Table 11 CWTs exp'!$AA49&gt;0,"-"," "))</f>
        <v xml:space="preserve"> </v>
      </c>
      <c r="T48" s="144" t="str">
        <f>IF('[8]Table 11 CWTs exp'!T49/'[8]Table 11 CWTs exp'!$AA49&gt;0.0005,'[8]Table 11 CWTs exp'!T49/'[8]Table 11 CWTs exp'!$AA49,IF('[8]Table 11 CWTs exp'!T49/'[8]Table 11 CWTs exp'!$AA49&gt;0,"-"," "))</f>
        <v xml:space="preserve"> </v>
      </c>
      <c r="U48" s="144" t="str">
        <f>IF('[8]Table 11 CWTs exp'!U49/'[8]Table 11 CWTs exp'!$AA49&gt;0.0005,'[8]Table 11 CWTs exp'!U49/'[8]Table 11 CWTs exp'!$AA49,IF('[8]Table 11 CWTs exp'!U49/'[8]Table 11 CWTs exp'!$AA49&gt;0,"-"," "))</f>
        <v xml:space="preserve"> </v>
      </c>
      <c r="V48" s="145" t="str">
        <f>IF('[8]Table 11 CWTs exp'!V49/'[8]Table 11 CWTs exp'!$AA49&gt;0.0005,'[8]Table 11 CWTs exp'!V49/'[8]Table 11 CWTs exp'!$AA49,IF('[8]Table 11 CWTs exp'!V49/'[8]Table 11 CWTs exp'!$AA49&gt;0,"-"," "))</f>
        <v xml:space="preserve"> </v>
      </c>
      <c r="W48" s="146">
        <f>IF('[8]Table 11 CWTs exp'!W49/'[8]Table 11 CWTs exp'!$AA49&gt;0.0005,'[8]Table 11 CWTs exp'!W49/'[8]Table 11 CWTs exp'!$AA49,IF('[8]Table 11 CWTs exp'!W49/'[8]Table 11 CWTs exp'!$AA49&gt;0,"-"," "))</f>
        <v>5.4564533053515218E-2</v>
      </c>
      <c r="X48" s="206" t="str">
        <f>IF('[8]Table 11 CWTs exp'!X49/'[8]Table 11 CWTs exp'!$AA49&gt;0.0005,'[8]Table 11 CWTs exp'!X49/'[8]Table 11 CWTs exp'!$AA49,IF('[8]Table 11 CWTs exp'!X49/'[8]Table 11 CWTs exp'!$AA49&gt;0,"-"," "))</f>
        <v xml:space="preserve"> </v>
      </c>
      <c r="Y48" s="147">
        <f t="shared" si="9"/>
        <v>1</v>
      </c>
      <c r="Z48" s="148"/>
      <c r="AA48" s="38">
        <f>'[8]Table 11 CWTs exp'!AA49</f>
        <v>1906</v>
      </c>
      <c r="AC48" s="453">
        <f>'[8]Table 11 CWTs exp'!AC49</f>
        <v>1</v>
      </c>
      <c r="AD48" s="453">
        <f t="shared" si="2"/>
        <v>0</v>
      </c>
      <c r="AE48" s="442"/>
      <c r="AF48" s="442"/>
      <c r="AG48" s="442"/>
      <c r="AH48" s="442"/>
    </row>
    <row r="49" spans="1:34" ht="15.65" customHeight="1" x14ac:dyDescent="0.25">
      <c r="A49" t="str">
        <f>'[8]Table 11 CWTs exp'!A50</f>
        <v>AMN463</v>
      </c>
      <c r="B49" s="4" t="str">
        <f>'[8]Table 11 CWTs exp'!B50</f>
        <v>AMN</v>
      </c>
      <c r="C49" s="4">
        <f>'[8]Table 11 CWTs exp'!C50</f>
        <v>46</v>
      </c>
      <c r="D49" s="4">
        <f>'[8]Table 11 CWTs exp'!D50</f>
        <v>3</v>
      </c>
      <c r="E49" t="str">
        <f>'[8]Table 11 CWTs exp'!E50</f>
        <v xml:space="preserve">American River </v>
      </c>
      <c r="F49" s="37" t="str">
        <f>'[8]Table 11 CWTs exp'!F50</f>
        <v>Fall</v>
      </c>
      <c r="G49" s="144" t="str">
        <f>IF('[8]Table 11 CWTs exp'!G50/'[8]Table 11 CWTs exp'!$AA50&gt;0.0005,'[8]Table 11 CWTs exp'!G50/'[8]Table 11 CWTs exp'!$AA50,IF('[8]Table 11 CWTs exp'!G50/'[8]Table 11 CWTs exp'!$AA50&gt;0,"-"," "))</f>
        <v xml:space="preserve"> </v>
      </c>
      <c r="H49" s="145" t="str">
        <f>IF('[8]Table 11 CWTs exp'!H50/'[8]Table 11 CWTs exp'!$AA50&gt;0.0005,'[8]Table 11 CWTs exp'!H50/'[8]Table 11 CWTs exp'!$AA50,IF('[8]Table 11 CWTs exp'!H50/'[8]Table 11 CWTs exp'!$AA50&gt;0,"-"," "))</f>
        <v xml:space="preserve"> </v>
      </c>
      <c r="I49" s="144" t="str">
        <f>IF('[8]Table 11 CWTs exp'!I50/'[8]Table 11 CWTs exp'!$AA50&gt;0.0005,'[8]Table 11 CWTs exp'!I50/'[8]Table 11 CWTs exp'!$AA50,IF('[8]Table 11 CWTs exp'!I50/'[8]Table 11 CWTs exp'!$AA50&gt;0,"-"," "))</f>
        <v xml:space="preserve"> </v>
      </c>
      <c r="J49" s="146">
        <f>IF('[8]Table 11 CWTs exp'!J50/'[8]Table 11 CWTs exp'!$AA50&gt;0.0005,'[8]Table 11 CWTs exp'!J50/'[8]Table 11 CWTs exp'!$AA50,IF('[8]Table 11 CWTs exp'!J50/'[8]Table 11 CWTs exp'!$AA50&gt;0,"-"," "))</f>
        <v>2.5339366515837104E-2</v>
      </c>
      <c r="K49" s="144">
        <f>IF('[8]Table 11 CWTs exp'!K50/'[8]Table 11 CWTs exp'!$AA50&gt;0.0005,'[8]Table 11 CWTs exp'!K50/'[8]Table 11 CWTs exp'!$AA50,IF('[8]Table 11 CWTs exp'!K50/'[8]Table 11 CWTs exp'!$AA50&gt;0,"-"," "))</f>
        <v>1.282051282051282E-2</v>
      </c>
      <c r="L49" s="144">
        <f>IF('[8]Table 11 CWTs exp'!L50/'[8]Table 11 CWTs exp'!$AA50&gt;0.0005,'[8]Table 11 CWTs exp'!L50/'[8]Table 11 CWTs exp'!$AA50,IF('[8]Table 11 CWTs exp'!L50/'[8]Table 11 CWTs exp'!$AA50&gt;0,"-"," "))</f>
        <v>3.5294117647058823E-2</v>
      </c>
      <c r="M49" s="144" t="str">
        <f>IF('[8]Table 11 CWTs exp'!M50/'[8]Table 11 CWTs exp'!$AA50&gt;0.0005,'[8]Table 11 CWTs exp'!M50/'[8]Table 11 CWTs exp'!$AA50,IF('[8]Table 11 CWTs exp'!M50/'[8]Table 11 CWTs exp'!$AA50&gt;0,"-"," "))</f>
        <v xml:space="preserve"> </v>
      </c>
      <c r="N49" s="144">
        <f>IF('[8]Table 11 CWTs exp'!N50/'[8]Table 11 CWTs exp'!$AA50&gt;0.0005,'[8]Table 11 CWTs exp'!N50/'[8]Table 11 CWTs exp'!$AA50,IF('[8]Table 11 CWTs exp'!N50/'[8]Table 11 CWTs exp'!$AA50&gt;0,"-"," "))</f>
        <v>9.5022624434389132E-3</v>
      </c>
      <c r="O49" s="144">
        <f>IF('[8]Table 11 CWTs exp'!O50/'[8]Table 11 CWTs exp'!$AA50&gt;0.0005,'[8]Table 11 CWTs exp'!O50/'[8]Table 11 CWTs exp'!$AA50,IF('[8]Table 11 CWTs exp'!O50/'[8]Table 11 CWTs exp'!$AA50&gt;0,"-"," "))</f>
        <v>5.0829562594268476E-2</v>
      </c>
      <c r="P49" s="144">
        <f>IF('[8]Table 11 CWTs exp'!P50/'[8]Table 11 CWTs exp'!$AA50&gt;0.0005,'[8]Table 11 CWTs exp'!P50/'[8]Table 11 CWTs exp'!$AA50,IF('[8]Table 11 CWTs exp'!P50/'[8]Table 11 CWTs exp'!$AA50&gt;0,"-"," "))</f>
        <v>3.167420814479638E-3</v>
      </c>
      <c r="Q49" s="145">
        <f>IF('[8]Table 11 CWTs exp'!Q50/'[8]Table 11 CWTs exp'!$AA50&gt;0.0005,'[8]Table 11 CWTs exp'!Q50/'[8]Table 11 CWTs exp'!$AA50,IF('[8]Table 11 CWTs exp'!Q50/'[8]Table 11 CWTs exp'!$AA50&gt;0,"-"," "))</f>
        <v>0.12006033182503771</v>
      </c>
      <c r="R49" s="146">
        <f>IF('[8]Table 11 CWTs exp'!R50/'[8]Table 11 CWTs exp'!$AA50&gt;0.0005,'[8]Table 11 CWTs exp'!R50/'[8]Table 11 CWTs exp'!$AA50,IF('[8]Table 11 CWTs exp'!R50/'[8]Table 11 CWTs exp'!$AA50&gt;0,"-"," "))</f>
        <v>0.25218702865761689</v>
      </c>
      <c r="S49" s="144" t="str">
        <f>IF('[8]Table 11 CWTs exp'!S50/'[8]Table 11 CWTs exp'!$AA50&gt;0.0005,'[8]Table 11 CWTs exp'!S50/'[8]Table 11 CWTs exp'!$AA50,IF('[8]Table 11 CWTs exp'!S50/'[8]Table 11 CWTs exp'!$AA50&gt;0,"-"," "))</f>
        <v xml:space="preserve"> </v>
      </c>
      <c r="T49" s="144">
        <f>IF('[8]Table 11 CWTs exp'!T50/'[8]Table 11 CWTs exp'!$AA50&gt;0.0005,'[8]Table 11 CWTs exp'!T50/'[8]Table 11 CWTs exp'!$AA50,IF('[8]Table 11 CWTs exp'!T50/'[8]Table 11 CWTs exp'!$AA50&gt;0,"-"," "))</f>
        <v>0.22730015082956259</v>
      </c>
      <c r="U49" s="144" t="str">
        <f>IF('[8]Table 11 CWTs exp'!U50/'[8]Table 11 CWTs exp'!$AA50&gt;0.0005,'[8]Table 11 CWTs exp'!U50/'[8]Table 11 CWTs exp'!$AA50,IF('[8]Table 11 CWTs exp'!U50/'[8]Table 11 CWTs exp'!$AA50&gt;0,"-"," "))</f>
        <v xml:space="preserve"> </v>
      </c>
      <c r="V49" s="145" t="str">
        <f>IF('[8]Table 11 CWTs exp'!V50/'[8]Table 11 CWTs exp'!$AA50&gt;0.0005,'[8]Table 11 CWTs exp'!V50/'[8]Table 11 CWTs exp'!$AA50,IF('[8]Table 11 CWTs exp'!V50/'[8]Table 11 CWTs exp'!$AA50&gt;0,"-"," "))</f>
        <v xml:space="preserve"> </v>
      </c>
      <c r="W49" s="146">
        <f>IF('[8]Table 11 CWTs exp'!W50/'[8]Table 11 CWTs exp'!$AA50&gt;0.0005,'[8]Table 11 CWTs exp'!W50/'[8]Table 11 CWTs exp'!$AA50,IF('[8]Table 11 CWTs exp'!W50/'[8]Table 11 CWTs exp'!$AA50&gt;0,"-"," "))</f>
        <v>1.3876319758672699E-2</v>
      </c>
      <c r="X49" s="206" t="str">
        <f>IF('[8]Table 11 CWTs exp'!X50/'[8]Table 11 CWTs exp'!$AA50&gt;0.0005,'[8]Table 11 CWTs exp'!X50/'[8]Table 11 CWTs exp'!$AA50,IF('[8]Table 11 CWTs exp'!X50/'[8]Table 11 CWTs exp'!$AA50&gt;0,"-"," "))</f>
        <v xml:space="preserve"> </v>
      </c>
      <c r="Y49" s="147">
        <f t="shared" si="9"/>
        <v>0.75037707390648556</v>
      </c>
      <c r="Z49" s="148">
        <f t="shared" si="10"/>
        <v>0.24962292609351444</v>
      </c>
      <c r="AA49" s="38">
        <f>'[8]Table 11 CWTs exp'!AA50</f>
        <v>6630</v>
      </c>
      <c r="AC49" s="453">
        <f>'[8]Table 11 CWTs exp'!AC50</f>
        <v>0.75</v>
      </c>
      <c r="AD49" s="453">
        <f t="shared" si="2"/>
        <v>3.7707390648555883E-4</v>
      </c>
      <c r="AE49" s="442"/>
      <c r="AF49" s="442"/>
      <c r="AG49" s="442"/>
      <c r="AH49" s="442"/>
    </row>
    <row r="50" spans="1:34" ht="15.65" customHeight="1" x14ac:dyDescent="0.25">
      <c r="A50" t="str">
        <f>'[8]Table 11 CWTs exp'!A51</f>
        <v>MOKE463</v>
      </c>
      <c r="B50" s="4" t="str">
        <f>'[8]Table 11 CWTs exp'!B51</f>
        <v>MOKE</v>
      </c>
      <c r="C50" s="4">
        <f>'[8]Table 11 CWTs exp'!C51</f>
        <v>46</v>
      </c>
      <c r="D50" s="4">
        <f>'[8]Table 11 CWTs exp'!D51</f>
        <v>3</v>
      </c>
      <c r="E50" t="str">
        <f>'[8]Table 11 CWTs exp'!E51</f>
        <v>Mokelumne River</v>
      </c>
      <c r="F50" s="37" t="str">
        <f>'[8]Table 11 CWTs exp'!F51</f>
        <v>Fall</v>
      </c>
      <c r="G50" s="144" t="str">
        <f>IF('[8]Table 11 CWTs exp'!G51/'[8]Table 11 CWTs exp'!$AA51&gt;0.0005,'[8]Table 11 CWTs exp'!G51/'[8]Table 11 CWTs exp'!$AA51,IF('[8]Table 11 CWTs exp'!G51/'[8]Table 11 CWTs exp'!$AA51&gt;0,"-"," "))</f>
        <v xml:space="preserve"> </v>
      </c>
      <c r="H50" s="145">
        <f>IF('[8]Table 11 CWTs exp'!H51/'[8]Table 11 CWTs exp'!$AA51&gt;0.0005,'[8]Table 11 CWTs exp'!H51/'[8]Table 11 CWTs exp'!$AA51,IF('[8]Table 11 CWTs exp'!H51/'[8]Table 11 CWTs exp'!$AA51&gt;0,"-"," "))</f>
        <v>1.092896174863388E-2</v>
      </c>
      <c r="I50" s="144" t="str">
        <f>IF('[8]Table 11 CWTs exp'!I51/'[8]Table 11 CWTs exp'!$AA51&gt;0.0005,'[8]Table 11 CWTs exp'!I51/'[8]Table 11 CWTs exp'!$AA51,IF('[8]Table 11 CWTs exp'!I51/'[8]Table 11 CWTs exp'!$AA51&gt;0,"-"," "))</f>
        <v xml:space="preserve"> </v>
      </c>
      <c r="J50" s="146" t="str">
        <f>IF('[8]Table 11 CWTs exp'!J51/'[8]Table 11 CWTs exp'!$AA51&gt;0.0005,'[8]Table 11 CWTs exp'!J51/'[8]Table 11 CWTs exp'!$AA51,IF('[8]Table 11 CWTs exp'!J51/'[8]Table 11 CWTs exp'!$AA51&gt;0,"-"," "))</f>
        <v xml:space="preserve"> </v>
      </c>
      <c r="K50" s="144" t="str">
        <f>IF('[8]Table 11 CWTs exp'!K51/'[8]Table 11 CWTs exp'!$AA51&gt;0.0005,'[8]Table 11 CWTs exp'!K51/'[8]Table 11 CWTs exp'!$AA51,IF('[8]Table 11 CWTs exp'!K51/'[8]Table 11 CWTs exp'!$AA51&gt;0,"-"," "))</f>
        <v xml:space="preserve"> </v>
      </c>
      <c r="L50" s="144" t="str">
        <f>IF('[8]Table 11 CWTs exp'!L51/'[8]Table 11 CWTs exp'!$AA51&gt;0.0005,'[8]Table 11 CWTs exp'!L51/'[8]Table 11 CWTs exp'!$AA51,IF('[8]Table 11 CWTs exp'!L51/'[8]Table 11 CWTs exp'!$AA51&gt;0,"-"," "))</f>
        <v xml:space="preserve"> </v>
      </c>
      <c r="M50" s="144" t="str">
        <f>IF('[8]Table 11 CWTs exp'!M51/'[8]Table 11 CWTs exp'!$AA51&gt;0.0005,'[8]Table 11 CWTs exp'!M51/'[8]Table 11 CWTs exp'!$AA51,IF('[8]Table 11 CWTs exp'!M51/'[8]Table 11 CWTs exp'!$AA51&gt;0,"-"," "))</f>
        <v xml:space="preserve"> </v>
      </c>
      <c r="N50" s="144" t="str">
        <f>IF('[8]Table 11 CWTs exp'!N51/'[8]Table 11 CWTs exp'!$AA51&gt;0.0005,'[8]Table 11 CWTs exp'!N51/'[8]Table 11 CWTs exp'!$AA51,IF('[8]Table 11 CWTs exp'!N51/'[8]Table 11 CWTs exp'!$AA51&gt;0,"-"," "))</f>
        <v xml:space="preserve"> </v>
      </c>
      <c r="O50" s="144">
        <f>IF('[8]Table 11 CWTs exp'!O51/'[8]Table 11 CWTs exp'!$AA51&gt;0.0005,'[8]Table 11 CWTs exp'!O51/'[8]Table 11 CWTs exp'!$AA51,IF('[8]Table 11 CWTs exp'!O51/'[8]Table 11 CWTs exp'!$AA51&gt;0,"-"," "))</f>
        <v>7.9625292740046844E-2</v>
      </c>
      <c r="P50" s="144" t="str">
        <f>IF('[8]Table 11 CWTs exp'!P51/'[8]Table 11 CWTs exp'!$AA51&gt;0.0005,'[8]Table 11 CWTs exp'!P51/'[8]Table 11 CWTs exp'!$AA51,IF('[8]Table 11 CWTs exp'!P51/'[8]Table 11 CWTs exp'!$AA51&gt;0,"-"," "))</f>
        <v xml:space="preserve"> </v>
      </c>
      <c r="Q50" s="145" t="str">
        <f>IF('[8]Table 11 CWTs exp'!Q51/'[8]Table 11 CWTs exp'!$AA51&gt;0.0005,'[8]Table 11 CWTs exp'!Q51/'[8]Table 11 CWTs exp'!$AA51,IF('[8]Table 11 CWTs exp'!Q51/'[8]Table 11 CWTs exp'!$AA51&gt;0,"-"," "))</f>
        <v xml:space="preserve"> </v>
      </c>
      <c r="R50" s="146">
        <f>IF('[8]Table 11 CWTs exp'!R51/'[8]Table 11 CWTs exp'!$AA51&gt;0.0005,'[8]Table 11 CWTs exp'!R51/'[8]Table 11 CWTs exp'!$AA51,IF('[8]Table 11 CWTs exp'!R51/'[8]Table 11 CWTs exp'!$AA51&gt;0,"-"," "))</f>
        <v>0.11865729898516784</v>
      </c>
      <c r="S50" s="144" t="str">
        <f>IF('[8]Table 11 CWTs exp'!S51/'[8]Table 11 CWTs exp'!$AA51&gt;0.0005,'[8]Table 11 CWTs exp'!S51/'[8]Table 11 CWTs exp'!$AA51,IF('[8]Table 11 CWTs exp'!S51/'[8]Table 11 CWTs exp'!$AA51&gt;0,"-"," "))</f>
        <v xml:space="preserve"> </v>
      </c>
      <c r="T50" s="144">
        <f>IF('[8]Table 11 CWTs exp'!T51/'[8]Table 11 CWTs exp'!$AA51&gt;0.0005,'[8]Table 11 CWTs exp'!T51/'[8]Table 11 CWTs exp'!$AA51,IF('[8]Table 11 CWTs exp'!T51/'[8]Table 11 CWTs exp'!$AA51&gt;0,"-"," "))</f>
        <v>0.71584699453551914</v>
      </c>
      <c r="U50" s="144">
        <f>IF('[8]Table 11 CWTs exp'!U51/'[8]Table 11 CWTs exp'!$AA51&gt;0.0005,'[8]Table 11 CWTs exp'!U51/'[8]Table 11 CWTs exp'!$AA51,IF('[8]Table 11 CWTs exp'!U51/'[8]Table 11 CWTs exp'!$AA51&gt;0,"-"," "))</f>
        <v>1.0148321623731461E-2</v>
      </c>
      <c r="V50" s="145" t="str">
        <f>IF('[8]Table 11 CWTs exp'!V51/'[8]Table 11 CWTs exp'!$AA51&gt;0.0005,'[8]Table 11 CWTs exp'!V51/'[8]Table 11 CWTs exp'!$AA51,IF('[8]Table 11 CWTs exp'!V51/'[8]Table 11 CWTs exp'!$AA51&gt;0,"-"," "))</f>
        <v xml:space="preserve"> </v>
      </c>
      <c r="W50" s="146">
        <f>IF('[8]Table 11 CWTs exp'!W51/'[8]Table 11 CWTs exp'!$AA51&gt;0.0005,'[8]Table 11 CWTs exp'!W51/'[8]Table 11 CWTs exp'!$AA51,IF('[8]Table 11 CWTs exp'!W51/'[8]Table 11 CWTs exp'!$AA51&gt;0,"-"," "))</f>
        <v>4.3715846994535519E-2</v>
      </c>
      <c r="X50" s="206" t="str">
        <f>IF('[8]Table 11 CWTs exp'!X51/'[8]Table 11 CWTs exp'!$AA51&gt;0.0005,'[8]Table 11 CWTs exp'!X51/'[8]Table 11 CWTs exp'!$AA51,IF('[8]Table 11 CWTs exp'!X51/'[8]Table 11 CWTs exp'!$AA51&gt;0,"-"," "))</f>
        <v xml:space="preserve"> </v>
      </c>
      <c r="Y50" s="147">
        <f t="shared" si="9"/>
        <v>0.97892271662763475</v>
      </c>
      <c r="Z50" s="148">
        <f t="shared" si="10"/>
        <v>2.1077283372365252E-2</v>
      </c>
      <c r="AA50" s="38">
        <f>'[8]Table 11 CWTs exp'!AA51</f>
        <v>1281</v>
      </c>
      <c r="AC50" s="453">
        <f>'[8]Table 11 CWTs exp'!AC51</f>
        <v>0.97799999999999998</v>
      </c>
      <c r="AD50" s="453">
        <f t="shared" si="2"/>
        <v>9.2271662763476758E-4</v>
      </c>
      <c r="AE50" s="442"/>
      <c r="AF50" s="442"/>
      <c r="AG50" s="442"/>
      <c r="AH50" s="442"/>
    </row>
    <row r="51" spans="1:34" ht="15.65" customHeight="1" x14ac:dyDescent="0.25">
      <c r="A51" t="str">
        <f>'[8]Table 11 CWTs exp'!A52</f>
        <v>USAC467</v>
      </c>
      <c r="B51" s="4" t="str">
        <f>'[8]Table 11 CWTs exp'!B52</f>
        <v>USAC</v>
      </c>
      <c r="C51" s="4">
        <f>'[8]Table 11 CWTs exp'!C52</f>
        <v>46</v>
      </c>
      <c r="D51" s="4">
        <f>'[8]Table 11 CWTs exp'!D52</f>
        <v>7</v>
      </c>
      <c r="E51" t="str">
        <f>'[8]Table 11 CWTs exp'!E52</f>
        <v xml:space="preserve">Upper Sacramento River </v>
      </c>
      <c r="F51" s="37" t="s">
        <v>57</v>
      </c>
      <c r="G51" s="144" t="str">
        <f>IF('[8]Table 11 CWTs exp'!G52/'[8]Table 11 CWTs exp'!$AA52&gt;0.0005,'[8]Table 11 CWTs exp'!G52/'[8]Table 11 CWTs exp'!$AA52,IF('[8]Table 11 CWTs exp'!G52/'[8]Table 11 CWTs exp'!$AA52&gt;0,"-"," "))</f>
        <v xml:space="preserve"> </v>
      </c>
      <c r="H51" s="145">
        <f>IF('[8]Table 11 CWTs exp'!H52/'[8]Table 11 CWTs exp'!$AA52&gt;0.0005,'[8]Table 11 CWTs exp'!H52/'[8]Table 11 CWTs exp'!$AA52,IF('[8]Table 11 CWTs exp'!H52/'[8]Table 11 CWTs exp'!$AA52&gt;0,"-"," "))</f>
        <v>0.36904761904761907</v>
      </c>
      <c r="I51" s="144" t="str">
        <f>IF('[8]Table 11 CWTs exp'!I52/'[8]Table 11 CWTs exp'!$AA52&gt;0.0005,'[8]Table 11 CWTs exp'!I52/'[8]Table 11 CWTs exp'!$AA52,IF('[8]Table 11 CWTs exp'!I52/'[8]Table 11 CWTs exp'!$AA52&gt;0,"-"," "))</f>
        <v xml:space="preserve"> </v>
      </c>
      <c r="J51" s="146" t="str">
        <f>IF('[8]Table 11 CWTs exp'!J52/'[8]Table 11 CWTs exp'!$AA52&gt;0.0005,'[8]Table 11 CWTs exp'!J52/'[8]Table 11 CWTs exp'!$AA52,IF('[8]Table 11 CWTs exp'!J52/'[8]Table 11 CWTs exp'!$AA52&gt;0,"-"," "))</f>
        <v xml:space="preserve"> </v>
      </c>
      <c r="K51" s="144" t="str">
        <f>IF('[8]Table 11 CWTs exp'!K52/'[8]Table 11 CWTs exp'!$AA52&gt;0.0005,'[8]Table 11 CWTs exp'!K52/'[8]Table 11 CWTs exp'!$AA52,IF('[8]Table 11 CWTs exp'!K52/'[8]Table 11 CWTs exp'!$AA52&gt;0,"-"," "))</f>
        <v xml:space="preserve"> </v>
      </c>
      <c r="L51" s="144" t="str">
        <f>IF('[8]Table 11 CWTs exp'!L52/'[8]Table 11 CWTs exp'!$AA52&gt;0.0005,'[8]Table 11 CWTs exp'!L52/'[8]Table 11 CWTs exp'!$AA52,IF('[8]Table 11 CWTs exp'!L52/'[8]Table 11 CWTs exp'!$AA52&gt;0,"-"," "))</f>
        <v xml:space="preserve"> </v>
      </c>
      <c r="M51" s="144" t="str">
        <f>IF('[8]Table 11 CWTs exp'!M52/'[8]Table 11 CWTs exp'!$AA52&gt;0.0005,'[8]Table 11 CWTs exp'!M52/'[8]Table 11 CWTs exp'!$AA52,IF('[8]Table 11 CWTs exp'!M52/'[8]Table 11 CWTs exp'!$AA52&gt;0,"-"," "))</f>
        <v xml:space="preserve"> </v>
      </c>
      <c r="N51" s="144" t="str">
        <f>IF('[8]Table 11 CWTs exp'!N52/'[8]Table 11 CWTs exp'!$AA52&gt;0.0005,'[8]Table 11 CWTs exp'!N52/'[8]Table 11 CWTs exp'!$AA52,IF('[8]Table 11 CWTs exp'!N52/'[8]Table 11 CWTs exp'!$AA52&gt;0,"-"," "))</f>
        <v xml:space="preserve"> </v>
      </c>
      <c r="O51" s="144">
        <f>IF('[8]Table 11 CWTs exp'!O52/'[8]Table 11 CWTs exp'!$AA52&gt;0.0005,'[8]Table 11 CWTs exp'!O52/'[8]Table 11 CWTs exp'!$AA52,IF('[8]Table 11 CWTs exp'!O52/'[8]Table 11 CWTs exp'!$AA52&gt;0,"-"," "))</f>
        <v>0.14285714285714285</v>
      </c>
      <c r="P51" s="144" t="str">
        <f>IF('[8]Table 11 CWTs exp'!P52/'[8]Table 11 CWTs exp'!$AA52&gt;0.0005,'[8]Table 11 CWTs exp'!P52/'[8]Table 11 CWTs exp'!$AA52,IF('[8]Table 11 CWTs exp'!P52/'[8]Table 11 CWTs exp'!$AA52&gt;0,"-"," "))</f>
        <v xml:space="preserve"> </v>
      </c>
      <c r="Q51" s="145" t="str">
        <f>IF('[8]Table 11 CWTs exp'!Q52/'[8]Table 11 CWTs exp'!$AA52&gt;0.0005,'[8]Table 11 CWTs exp'!Q52/'[8]Table 11 CWTs exp'!$AA52,IF('[8]Table 11 CWTs exp'!Q52/'[8]Table 11 CWTs exp'!$AA52&gt;0,"-"," "))</f>
        <v xml:space="preserve"> </v>
      </c>
      <c r="R51" s="146" t="str">
        <f>IF('[8]Table 11 CWTs exp'!R52/'[8]Table 11 CWTs exp'!$AA52&gt;0.0005,'[8]Table 11 CWTs exp'!R52/'[8]Table 11 CWTs exp'!$AA52,IF('[8]Table 11 CWTs exp'!R52/'[8]Table 11 CWTs exp'!$AA52&gt;0,"-"," "))</f>
        <v xml:space="preserve"> </v>
      </c>
      <c r="S51" s="144" t="str">
        <f>IF('[8]Table 11 CWTs exp'!S52/'[8]Table 11 CWTs exp'!$AA52&gt;0.0005,'[8]Table 11 CWTs exp'!S52/'[8]Table 11 CWTs exp'!$AA52,IF('[8]Table 11 CWTs exp'!S52/'[8]Table 11 CWTs exp'!$AA52&gt;0,"-"," "))</f>
        <v xml:space="preserve"> </v>
      </c>
      <c r="T51" s="144" t="str">
        <f>IF('[8]Table 11 CWTs exp'!T52/'[8]Table 11 CWTs exp'!$AA52&gt;0.0005,'[8]Table 11 CWTs exp'!T52/'[8]Table 11 CWTs exp'!$AA52,IF('[8]Table 11 CWTs exp'!T52/'[8]Table 11 CWTs exp'!$AA52&gt;0,"-"," "))</f>
        <v xml:space="preserve"> </v>
      </c>
      <c r="U51" s="144" t="str">
        <f>IF('[8]Table 11 CWTs exp'!U52/'[8]Table 11 CWTs exp'!$AA52&gt;0.0005,'[8]Table 11 CWTs exp'!U52/'[8]Table 11 CWTs exp'!$AA52,IF('[8]Table 11 CWTs exp'!U52/'[8]Table 11 CWTs exp'!$AA52&gt;0,"-"," "))</f>
        <v xml:space="preserve"> </v>
      </c>
      <c r="V51" s="145" t="str">
        <f>IF('[8]Table 11 CWTs exp'!V52/'[8]Table 11 CWTs exp'!$AA52&gt;0.0005,'[8]Table 11 CWTs exp'!V52/'[8]Table 11 CWTs exp'!$AA52,IF('[8]Table 11 CWTs exp'!V52/'[8]Table 11 CWTs exp'!$AA52&gt;0,"-"," "))</f>
        <v xml:space="preserve"> </v>
      </c>
      <c r="W51" s="146" t="str">
        <f>IF('[8]Table 11 CWTs exp'!W52/'[8]Table 11 CWTs exp'!$AA52&gt;0.0005,'[8]Table 11 CWTs exp'!W52/'[8]Table 11 CWTs exp'!$AA52,IF('[8]Table 11 CWTs exp'!W52/'[8]Table 11 CWTs exp'!$AA52&gt;0,"-"," "))</f>
        <v xml:space="preserve"> </v>
      </c>
      <c r="X51" s="206" t="str">
        <f>IF('[8]Table 11 CWTs exp'!X52/'[8]Table 11 CWTs exp'!$AA52&gt;0.0005,'[8]Table 11 CWTs exp'!X52/'[8]Table 11 CWTs exp'!$AA52,IF('[8]Table 11 CWTs exp'!X52/'[8]Table 11 CWTs exp'!$AA52&gt;0,"-"," "))</f>
        <v xml:space="preserve"> </v>
      </c>
      <c r="Y51" s="147">
        <f t="shared" si="9"/>
        <v>0.51190476190476186</v>
      </c>
      <c r="Z51" s="148">
        <f t="shared" si="10"/>
        <v>0.48809523809523814</v>
      </c>
      <c r="AA51" s="38">
        <f>'[8]Table 11 CWTs exp'!AA52</f>
        <v>252</v>
      </c>
      <c r="AC51" s="453">
        <f>'[8]Table 11 CWTs exp'!AC52</f>
        <v>0.51200000000000001</v>
      </c>
      <c r="AD51" s="453">
        <f t="shared" si="2"/>
        <v>-9.523809523814819E-5</v>
      </c>
      <c r="AE51" s="442"/>
      <c r="AF51" s="442"/>
      <c r="AG51" s="442"/>
      <c r="AH51" s="442"/>
    </row>
    <row r="52" spans="1:34" ht="15.65" customHeight="1" x14ac:dyDescent="0.3">
      <c r="E52" s="716" t="s">
        <v>120</v>
      </c>
      <c r="F52" s="716"/>
      <c r="G52" s="144" t="str">
        <f>IF('[8]Table 11 CWTs exp'!G53/'[8]Table 11 CWTs exp'!$AA53&gt;0.0005,'[8]Table 11 CWTs exp'!G53/'[8]Table 11 CWTs exp'!$AA53,IF('[8]Table 11 CWTs exp'!G53/'[8]Table 11 CWTs exp'!$AA53&gt;0,"-"," "))</f>
        <v xml:space="preserve"> </v>
      </c>
      <c r="H52" s="169">
        <f>IF('[8]Table 11 CWTs exp'!H53/'[8]Table 11 CWTs exp'!$AA53&gt;0.0005,'[8]Table 11 CWTs exp'!H53/'[8]Table 11 CWTs exp'!$AA53,IF('[8]Table 11 CWTs exp'!H53/'[8]Table 11 CWTs exp'!$AA53&gt;0,"-"," "))</f>
        <v>1.1329119119940891E-2</v>
      </c>
      <c r="I52" s="168">
        <f>IF('[8]Table 11 CWTs exp'!I53/'[8]Table 11 CWTs exp'!$AA53&gt;0.0005,'[8]Table 11 CWTs exp'!I53/'[8]Table 11 CWTs exp'!$AA53,IF('[8]Table 11 CWTs exp'!I53/'[8]Table 11 CWTs exp'!$AA53&gt;0,"-"," "))</f>
        <v>0.1336507675888679</v>
      </c>
      <c r="J52" s="170">
        <f>IF('[8]Table 11 CWTs exp'!J53/'[8]Table 11 CWTs exp'!$AA53&gt;0.0005,'[8]Table 11 CWTs exp'!J53/'[8]Table 11 CWTs exp'!$AA53,IF('[8]Table 11 CWTs exp'!J53/'[8]Table 11 CWTs exp'!$AA53&gt;0,"-"," "))</f>
        <v>3.4890403086774484E-2</v>
      </c>
      <c r="K52" s="168">
        <f>IF('[8]Table 11 CWTs exp'!K53/'[8]Table 11 CWTs exp'!$AA53&gt;0.0005,'[8]Table 11 CWTs exp'!K53/'[8]Table 11 CWTs exp'!$AA53,IF('[8]Table 11 CWTs exp'!K53/'[8]Table 11 CWTs exp'!$AA53&gt;0,"-"," "))</f>
        <v>6.2392250225761434E-3</v>
      </c>
      <c r="L52" s="168">
        <f>IF('[8]Table 11 CWTs exp'!L53/'[8]Table 11 CWTs exp'!$AA53&gt;0.0005,'[8]Table 11 CWTs exp'!L53/'[8]Table 11 CWTs exp'!$AA53,IF('[8]Table 11 CWTs exp'!L53/'[8]Table 11 CWTs exp'!$AA53&gt;0,"-"," "))</f>
        <v>1.7814629340776621E-2</v>
      </c>
      <c r="M52" s="168" t="str">
        <f>IF('[8]Table 11 CWTs exp'!M53/'[8]Table 11 CWTs exp'!$AA53&gt;0.0005,'[8]Table 11 CWTs exp'!M53/'[8]Table 11 CWTs exp'!$AA53,IF('[8]Table 11 CWTs exp'!M53/'[8]Table 11 CWTs exp'!$AA53&gt;0,"-"," "))</f>
        <v xml:space="preserve"> </v>
      </c>
      <c r="N52" s="168">
        <f>IF('[8]Table 11 CWTs exp'!N53/'[8]Table 11 CWTs exp'!$AA53&gt;0.0005,'[8]Table 11 CWTs exp'!N53/'[8]Table 11 CWTs exp'!$AA53,IF('[8]Table 11 CWTs exp'!N53/'[8]Table 11 CWTs exp'!$AA53&gt;0,"-"," "))</f>
        <v>1.6706345948608488E-2</v>
      </c>
      <c r="O52" s="168">
        <f>IF('[8]Table 11 CWTs exp'!O53/'[8]Table 11 CWTs exp'!$AA53&gt;0.0005,'[8]Table 11 CWTs exp'!O53/'[8]Table 11 CWTs exp'!$AA53,IF('[8]Table 11 CWTs exp'!O53/'[8]Table 11 CWTs exp'!$AA53&gt;0,"-"," "))</f>
        <v>0.24201625482308514</v>
      </c>
      <c r="P52" s="168">
        <f>IF('[8]Table 11 CWTs exp'!P53/'[8]Table 11 CWTs exp'!$AA53&gt;0.0005,'[8]Table 11 CWTs exp'!P53/'[8]Table 11 CWTs exp'!$AA53,IF('[8]Table 11 CWTs exp'!P53/'[8]Table 11 CWTs exp'!$AA53&gt;0,"-"," "))</f>
        <v>1.0590263525162139E-2</v>
      </c>
      <c r="Q52" s="169">
        <f>IF('[8]Table 11 CWTs exp'!Q53/'[8]Table 11 CWTs exp'!$AA53&gt;0.0005,'[8]Table 11 CWTs exp'!Q53/'[8]Table 11 CWTs exp'!$AA53,IF('[8]Table 11 CWTs exp'!Q53/'[8]Table 11 CWTs exp'!$AA53&gt;0,"-"," "))</f>
        <v>3.2673836302438225E-2</v>
      </c>
      <c r="R52" s="170">
        <f>IF('[8]Table 11 CWTs exp'!R53/'[8]Table 11 CWTs exp'!$AA53&gt;0.0005,'[8]Table 11 CWTs exp'!R53/'[8]Table 11 CWTs exp'!$AA53,IF('[8]Table 11 CWTs exp'!R53/'[8]Table 11 CWTs exp'!$AA53&gt;0,"-"," "))</f>
        <v>0.12856087349150316</v>
      </c>
      <c r="S52" s="168" t="str">
        <f>IF('[8]Table 11 CWTs exp'!S53/'[8]Table 11 CWTs exp'!$AA53&gt;0.0005,'[8]Table 11 CWTs exp'!S53/'[8]Table 11 CWTs exp'!$AA53,IF('[8]Table 11 CWTs exp'!S53/'[8]Table 11 CWTs exp'!$AA53&gt;0,"-"," "))</f>
        <v xml:space="preserve"> </v>
      </c>
      <c r="T52" s="168">
        <f>IF('[8]Table 11 CWTs exp'!T53/'[8]Table 11 CWTs exp'!$AA53&gt;0.0005,'[8]Table 11 CWTs exp'!T53/'[8]Table 11 CWTs exp'!$AA53,IF('[8]Table 11 CWTs exp'!T53/'[8]Table 11 CWTs exp'!$AA53&gt;0,"-"," "))</f>
        <v>0.12195222067153765</v>
      </c>
      <c r="U52" s="168">
        <f>IF('[8]Table 11 CWTs exp'!U53/'[8]Table 11 CWTs exp'!$AA53&gt;0.0005,'[8]Table 11 CWTs exp'!U53/'[8]Table 11 CWTs exp'!$AA53,IF('[8]Table 11 CWTs exp'!U53/'[8]Table 11 CWTs exp'!$AA53&gt;0,"-"," "))</f>
        <v>3.8995156391100896E-3</v>
      </c>
      <c r="V52" s="169" t="str">
        <f>IF('[8]Table 11 CWTs exp'!V53/'[8]Table 11 CWTs exp'!$AA53&gt;0.0005,'[8]Table 11 CWTs exp'!V53/'[8]Table 11 CWTs exp'!$AA53,IF('[8]Table 11 CWTs exp'!V53/'[8]Table 11 CWTs exp'!$AA53&gt;0,"-"," "))</f>
        <v xml:space="preserve"> </v>
      </c>
      <c r="W52" s="170">
        <f>IF('[8]Table 11 CWTs exp'!W53/'[8]Table 11 CWTs exp'!$AA53&gt;0.0005,'[8]Table 11 CWTs exp'!W53/'[8]Table 11 CWTs exp'!$AA53,IF('[8]Table 11 CWTs exp'!W53/'[8]Table 11 CWTs exp'!$AA53&gt;0,"-"," "))</f>
        <v>1.5680157622526888E-2</v>
      </c>
      <c r="X52" s="212" t="str">
        <f>IF('[8]Table 11 CWTs exp'!X53/'[8]Table 11 CWTs exp'!$AA53&gt;0.0005,'[8]Table 11 CWTs exp'!X53/'[8]Table 11 CWTs exp'!$AA53,IF('[8]Table 11 CWTs exp'!X53/'[8]Table 11 CWTs exp'!$AA53&gt;0,"-"," "))</f>
        <v xml:space="preserve"> </v>
      </c>
      <c r="Y52" s="171">
        <f t="shared" si="9"/>
        <v>0.7760036121829077</v>
      </c>
      <c r="Z52" s="172">
        <f t="shared" si="10"/>
        <v>0.2239963878170923</v>
      </c>
      <c r="AA52" s="89">
        <f>'[8]Table 11 CWTs exp'!AA53</f>
        <v>24362</v>
      </c>
      <c r="AB52" s="159"/>
      <c r="AC52" s="453">
        <f>'[8]Table 11 CWTs exp'!AC53</f>
        <v>0.77592151711682122</v>
      </c>
      <c r="AD52" s="453">
        <f t="shared" si="2"/>
        <v>8.2095066086473878E-5</v>
      </c>
      <c r="AE52" s="442"/>
      <c r="AF52" s="442"/>
      <c r="AG52" s="442"/>
      <c r="AH52" s="442"/>
    </row>
    <row r="53" spans="1:34" ht="4" customHeight="1" x14ac:dyDescent="0.25">
      <c r="E53" s="110"/>
      <c r="F53" s="111"/>
      <c r="G53" s="25"/>
      <c r="H53" s="214"/>
      <c r="I53" s="215"/>
      <c r="J53" s="216"/>
      <c r="K53" s="215"/>
      <c r="L53" s="215"/>
      <c r="M53" s="215"/>
      <c r="N53" s="215"/>
      <c r="O53" s="215"/>
      <c r="P53" s="215"/>
      <c r="Q53" s="214"/>
      <c r="R53" s="216"/>
      <c r="S53" s="215"/>
      <c r="T53" s="215"/>
      <c r="U53" s="215"/>
      <c r="V53" s="214"/>
      <c r="W53" s="216"/>
      <c r="X53" s="215"/>
      <c r="Y53" s="217"/>
      <c r="Z53" s="218"/>
      <c r="AA53" s="219"/>
      <c r="AC53" s="442"/>
      <c r="AD53" s="453">
        <f t="shared" si="2"/>
        <v>0</v>
      </c>
      <c r="AE53" s="442"/>
      <c r="AF53" s="442"/>
      <c r="AG53" s="442"/>
      <c r="AH53" s="442"/>
    </row>
    <row r="54" spans="1:34" ht="15" customHeight="1" x14ac:dyDescent="0.25">
      <c r="E54" s="724" t="s">
        <v>228</v>
      </c>
      <c r="F54" s="725"/>
      <c r="G54" s="725"/>
      <c r="H54" s="725"/>
      <c r="I54" s="725"/>
      <c r="J54" s="725"/>
      <c r="K54" s="725"/>
      <c r="L54" s="725"/>
      <c r="M54" s="725"/>
      <c r="N54" s="725"/>
      <c r="O54" s="725"/>
      <c r="P54" s="725"/>
      <c r="Q54" s="725"/>
      <c r="R54" s="725"/>
      <c r="S54" s="725"/>
      <c r="T54" s="725"/>
      <c r="U54" s="725"/>
      <c r="V54" s="725"/>
      <c r="W54" s="725"/>
      <c r="X54" s="725"/>
      <c r="Y54" s="725"/>
      <c r="Z54" s="725"/>
      <c r="AA54" s="725"/>
      <c r="AC54" s="442"/>
      <c r="AD54" s="442"/>
      <c r="AE54" s="442"/>
      <c r="AF54" s="442"/>
      <c r="AG54" s="442"/>
      <c r="AH54" s="442"/>
    </row>
    <row r="55" spans="1:34" ht="15" customHeight="1" x14ac:dyDescent="0.25">
      <c r="E55" s="726" t="s">
        <v>229</v>
      </c>
      <c r="F55" s="726"/>
      <c r="G55" s="726"/>
      <c r="H55" s="726"/>
      <c r="I55" s="726"/>
      <c r="J55" s="726"/>
      <c r="K55" s="726"/>
      <c r="L55" s="726"/>
      <c r="M55" s="726"/>
      <c r="N55" s="726"/>
      <c r="O55" s="726"/>
      <c r="P55" s="726"/>
      <c r="Q55" s="182"/>
      <c r="R55" s="182"/>
      <c r="S55" s="182"/>
      <c r="T55" s="182"/>
      <c r="U55" s="182"/>
      <c r="V55" s="182"/>
      <c r="W55" s="182"/>
      <c r="X55" s="182"/>
      <c r="Y55" s="182"/>
      <c r="Z55" s="182"/>
      <c r="AA55" s="182"/>
      <c r="AC55" s="442"/>
      <c r="AD55" s="442"/>
      <c r="AE55" s="442"/>
      <c r="AF55" s="442"/>
      <c r="AG55" s="442"/>
      <c r="AH55" s="442"/>
    </row>
    <row r="56" spans="1:34" ht="15" hidden="1" customHeight="1" x14ac:dyDescent="0.25">
      <c r="E56" s="183" t="s">
        <v>142</v>
      </c>
      <c r="F56" s="183"/>
      <c r="G56" s="183"/>
      <c r="H56" s="183"/>
      <c r="I56" s="183"/>
      <c r="J56" s="183"/>
      <c r="K56" s="183"/>
      <c r="L56" s="183"/>
      <c r="M56" s="183"/>
      <c r="N56" s="183"/>
      <c r="O56" s="183"/>
      <c r="P56" s="183"/>
      <c r="Q56" s="183"/>
      <c r="R56" s="183"/>
      <c r="S56" s="183"/>
      <c r="T56" s="183"/>
      <c r="U56" s="183"/>
      <c r="V56" s="183"/>
      <c r="W56" s="183"/>
      <c r="X56" s="183"/>
      <c r="Y56" s="183"/>
      <c r="Z56" s="183"/>
      <c r="AA56" s="183"/>
      <c r="AC56" s="442"/>
      <c r="AD56" s="442"/>
      <c r="AE56" s="442"/>
      <c r="AF56" s="442"/>
      <c r="AG56" s="442"/>
      <c r="AH56" s="442"/>
    </row>
    <row r="57" spans="1:34" ht="15" customHeight="1" x14ac:dyDescent="0.25">
      <c r="E57" s="27" t="s">
        <v>230</v>
      </c>
      <c r="F57" s="34"/>
      <c r="G57" s="34"/>
      <c r="H57" s="27"/>
      <c r="I57" s="27"/>
      <c r="J57" s="27"/>
      <c r="K57" s="27"/>
      <c r="L57" s="27"/>
      <c r="M57" s="27"/>
      <c r="N57" s="27"/>
      <c r="O57" s="27"/>
      <c r="P57" s="27"/>
      <c r="Q57" s="27"/>
      <c r="R57" s="27"/>
      <c r="S57" s="27"/>
      <c r="T57" s="27"/>
      <c r="U57" s="27"/>
      <c r="V57" s="27"/>
      <c r="W57" s="27"/>
      <c r="X57" s="27"/>
      <c r="Y57" s="27"/>
      <c r="Z57" s="27"/>
      <c r="AA57" s="27"/>
      <c r="AC57" s="442"/>
      <c r="AD57" s="442"/>
      <c r="AE57" s="442"/>
      <c r="AF57" s="442"/>
      <c r="AG57" s="442"/>
      <c r="AH57" s="442"/>
    </row>
    <row r="58" spans="1:34" ht="15" customHeight="1" x14ac:dyDescent="0.25">
      <c r="E58" s="27" t="s">
        <v>226</v>
      </c>
      <c r="AC58" s="442"/>
      <c r="AD58" s="442"/>
      <c r="AE58" s="442"/>
      <c r="AF58" s="442"/>
      <c r="AG58" s="442"/>
      <c r="AH58" s="442"/>
    </row>
    <row r="59" spans="1:34" x14ac:dyDescent="0.25">
      <c r="E59" s="27" t="s">
        <v>231</v>
      </c>
      <c r="AC59" s="442"/>
      <c r="AD59" s="442"/>
      <c r="AE59" s="442"/>
      <c r="AF59" s="442"/>
      <c r="AG59" s="442"/>
      <c r="AH59" s="442"/>
    </row>
    <row r="60" spans="1:34" x14ac:dyDescent="0.25">
      <c r="AC60" s="442"/>
      <c r="AD60" s="442"/>
      <c r="AE60" s="442"/>
      <c r="AF60" s="442"/>
      <c r="AG60" s="442"/>
      <c r="AH60" s="442"/>
    </row>
    <row r="61" spans="1:34" x14ac:dyDescent="0.25">
      <c r="AC61" s="442"/>
      <c r="AD61" s="442"/>
      <c r="AE61" s="442"/>
      <c r="AF61" s="442"/>
      <c r="AG61" s="442"/>
      <c r="AH61" s="442"/>
    </row>
    <row r="62" spans="1:34" x14ac:dyDescent="0.25">
      <c r="AC62" s="442"/>
      <c r="AD62" s="442"/>
      <c r="AE62" s="442"/>
      <c r="AF62" s="442"/>
      <c r="AG62" s="442"/>
      <c r="AH62" s="442"/>
    </row>
    <row r="63" spans="1:34" x14ac:dyDescent="0.25">
      <c r="AC63" s="442"/>
      <c r="AD63" s="442"/>
      <c r="AE63" s="442"/>
      <c r="AF63" s="442"/>
      <c r="AG63" s="442"/>
      <c r="AH63" s="442"/>
    </row>
    <row r="64" spans="1:34" x14ac:dyDescent="0.25">
      <c r="AC64" s="442"/>
      <c r="AD64" s="442"/>
      <c r="AE64" s="442"/>
      <c r="AF64" s="442"/>
      <c r="AG64" s="442"/>
      <c r="AH64" s="442"/>
    </row>
    <row r="65" spans="29:34" x14ac:dyDescent="0.25">
      <c r="AC65" s="442"/>
      <c r="AD65" s="442"/>
      <c r="AE65" s="442"/>
      <c r="AF65" s="442"/>
      <c r="AG65" s="442"/>
      <c r="AH65" s="442"/>
    </row>
    <row r="66" spans="29:34" x14ac:dyDescent="0.25">
      <c r="AC66" s="442"/>
      <c r="AD66" s="442"/>
      <c r="AE66" s="442"/>
      <c r="AF66" s="442"/>
      <c r="AG66" s="442"/>
      <c r="AH66" s="442"/>
    </row>
    <row r="67" spans="29:34" x14ac:dyDescent="0.25">
      <c r="AC67" s="442"/>
      <c r="AD67" s="442"/>
      <c r="AE67" s="442"/>
      <c r="AF67" s="442"/>
      <c r="AG67" s="442"/>
      <c r="AH67" s="442"/>
    </row>
    <row r="68" spans="29:34" x14ac:dyDescent="0.25">
      <c r="AC68" s="442"/>
      <c r="AD68" s="442"/>
      <c r="AE68" s="442"/>
      <c r="AF68" s="442"/>
      <c r="AG68" s="442"/>
      <c r="AH68" s="442"/>
    </row>
    <row r="69" spans="29:34" x14ac:dyDescent="0.25">
      <c r="AC69" s="442"/>
      <c r="AD69" s="442"/>
      <c r="AE69" s="442"/>
      <c r="AF69" s="442"/>
      <c r="AG69" s="442"/>
      <c r="AH69" s="442"/>
    </row>
    <row r="70" spans="29:34" x14ac:dyDescent="0.25">
      <c r="AC70" s="442"/>
      <c r="AD70" s="442"/>
      <c r="AE70" s="442"/>
      <c r="AF70" s="442"/>
      <c r="AG70" s="442"/>
      <c r="AH70" s="442"/>
    </row>
    <row r="71" spans="29:34" x14ac:dyDescent="0.25">
      <c r="AC71" s="442"/>
      <c r="AD71" s="442"/>
      <c r="AE71" s="442"/>
      <c r="AF71" s="442"/>
      <c r="AG71" s="442"/>
      <c r="AH71" s="442"/>
    </row>
    <row r="72" spans="29:34" x14ac:dyDescent="0.25">
      <c r="AC72" s="442"/>
      <c r="AD72" s="442"/>
      <c r="AE72" s="442"/>
      <c r="AF72" s="442"/>
      <c r="AG72" s="442"/>
      <c r="AH72" s="442"/>
    </row>
    <row r="73" spans="29:34" x14ac:dyDescent="0.25">
      <c r="AC73" s="442"/>
      <c r="AD73" s="442"/>
      <c r="AE73" s="442"/>
      <c r="AF73" s="442"/>
      <c r="AG73" s="442"/>
      <c r="AH73" s="442"/>
    </row>
    <row r="74" spans="29:34" x14ac:dyDescent="0.25">
      <c r="AC74" s="442"/>
      <c r="AD74" s="442"/>
      <c r="AE74" s="442"/>
      <c r="AF74" s="442"/>
      <c r="AG74" s="442"/>
      <c r="AH74" s="442"/>
    </row>
    <row r="75" spans="29:34" x14ac:dyDescent="0.25">
      <c r="AC75" s="442"/>
      <c r="AD75" s="442"/>
      <c r="AE75" s="442"/>
      <c r="AF75" s="442"/>
      <c r="AG75" s="442"/>
      <c r="AH75" s="442"/>
    </row>
    <row r="76" spans="29:34" x14ac:dyDescent="0.25">
      <c r="AC76" s="442"/>
      <c r="AD76" s="442"/>
      <c r="AE76" s="442"/>
      <c r="AF76" s="442"/>
      <c r="AG76" s="442"/>
      <c r="AH76" s="442"/>
    </row>
    <row r="77" spans="29:34" x14ac:dyDescent="0.25">
      <c r="AC77" s="442"/>
      <c r="AD77" s="442"/>
      <c r="AE77" s="442"/>
      <c r="AF77" s="442"/>
      <c r="AG77" s="442"/>
      <c r="AH77" s="442"/>
    </row>
    <row r="78" spans="29:34" x14ac:dyDescent="0.25">
      <c r="AC78" s="442"/>
      <c r="AD78" s="442"/>
      <c r="AE78" s="442"/>
      <c r="AF78" s="442"/>
      <c r="AG78" s="442"/>
      <c r="AH78" s="442"/>
    </row>
    <row r="79" spans="29:34" x14ac:dyDescent="0.25">
      <c r="AC79" s="442"/>
      <c r="AD79" s="442"/>
      <c r="AE79" s="442"/>
      <c r="AF79" s="442"/>
      <c r="AG79" s="442"/>
      <c r="AH79" s="442"/>
    </row>
    <row r="80" spans="29:34" x14ac:dyDescent="0.25">
      <c r="AC80" s="442"/>
      <c r="AD80" s="442"/>
      <c r="AE80" s="442"/>
      <c r="AF80" s="442"/>
      <c r="AG80" s="442"/>
      <c r="AH80" s="442"/>
    </row>
    <row r="81" spans="29:34" x14ac:dyDescent="0.25">
      <c r="AC81" s="442"/>
      <c r="AD81" s="442"/>
      <c r="AE81" s="442"/>
      <c r="AF81" s="442"/>
      <c r="AG81" s="442"/>
      <c r="AH81" s="442"/>
    </row>
    <row r="82" spans="29:34" x14ac:dyDescent="0.25">
      <c r="AC82" s="442"/>
      <c r="AD82" s="442"/>
      <c r="AE82" s="442"/>
      <c r="AF82" s="442"/>
      <c r="AG82" s="442"/>
      <c r="AH82" s="442"/>
    </row>
    <row r="83" spans="29:34" x14ac:dyDescent="0.25">
      <c r="AC83" s="442"/>
      <c r="AD83" s="442"/>
      <c r="AE83" s="442"/>
      <c r="AF83" s="442"/>
      <c r="AG83" s="442"/>
      <c r="AH83" s="442"/>
    </row>
    <row r="84" spans="29:34" x14ac:dyDescent="0.25">
      <c r="AC84" s="442"/>
      <c r="AD84" s="442"/>
      <c r="AE84" s="442"/>
      <c r="AF84" s="442"/>
      <c r="AG84" s="442"/>
      <c r="AH84" s="442"/>
    </row>
    <row r="85" spans="29:34" x14ac:dyDescent="0.25">
      <c r="AC85" s="442"/>
      <c r="AD85" s="442"/>
      <c r="AE85" s="442"/>
      <c r="AF85" s="442"/>
      <c r="AG85" s="442"/>
      <c r="AH85" s="442"/>
    </row>
    <row r="86" spans="29:34" x14ac:dyDescent="0.25">
      <c r="AC86" s="442"/>
      <c r="AD86" s="442"/>
      <c r="AE86" s="442"/>
      <c r="AF86" s="442"/>
      <c r="AG86" s="442"/>
      <c r="AH86" s="442"/>
    </row>
    <row r="87" spans="29:34" x14ac:dyDescent="0.25">
      <c r="AC87" s="442"/>
      <c r="AD87" s="442"/>
      <c r="AE87" s="442"/>
      <c r="AF87" s="442"/>
      <c r="AG87" s="442"/>
      <c r="AH87" s="442"/>
    </row>
    <row r="88" spans="29:34" x14ac:dyDescent="0.25">
      <c r="AC88" s="442"/>
      <c r="AD88" s="442"/>
      <c r="AE88" s="442"/>
      <c r="AF88" s="442"/>
      <c r="AG88" s="442"/>
      <c r="AH88" s="442"/>
    </row>
    <row r="89" spans="29:34" x14ac:dyDescent="0.25">
      <c r="AC89" s="442"/>
      <c r="AD89" s="442"/>
      <c r="AE89" s="442"/>
      <c r="AF89" s="442"/>
      <c r="AG89" s="442"/>
      <c r="AH89" s="442"/>
    </row>
    <row r="90" spans="29:34" x14ac:dyDescent="0.25">
      <c r="AC90" s="442"/>
      <c r="AD90" s="442"/>
      <c r="AE90" s="442"/>
      <c r="AF90" s="442"/>
      <c r="AG90" s="442"/>
      <c r="AH90" s="442"/>
    </row>
    <row r="91" spans="29:34" x14ac:dyDescent="0.25">
      <c r="AC91" s="442"/>
      <c r="AD91" s="442"/>
      <c r="AE91" s="442"/>
      <c r="AF91" s="442"/>
      <c r="AG91" s="442"/>
      <c r="AH91" s="442"/>
    </row>
    <row r="92" spans="29:34" x14ac:dyDescent="0.25">
      <c r="AC92" s="442"/>
      <c r="AD92" s="442"/>
      <c r="AE92" s="442"/>
      <c r="AF92" s="442"/>
      <c r="AG92" s="442"/>
      <c r="AH92" s="442"/>
    </row>
    <row r="93" spans="29:34" x14ac:dyDescent="0.25">
      <c r="AC93" s="442"/>
      <c r="AD93" s="442"/>
      <c r="AE93" s="442"/>
      <c r="AF93" s="442"/>
      <c r="AG93" s="442"/>
      <c r="AH93" s="442"/>
    </row>
    <row r="94" spans="29:34" x14ac:dyDescent="0.25">
      <c r="AC94" s="442"/>
      <c r="AD94" s="442"/>
      <c r="AE94" s="442"/>
      <c r="AF94" s="442"/>
      <c r="AG94" s="442"/>
      <c r="AH94" s="442"/>
    </row>
    <row r="95" spans="29:34" x14ac:dyDescent="0.25">
      <c r="AC95" s="442"/>
      <c r="AD95" s="442"/>
      <c r="AE95" s="442"/>
      <c r="AF95" s="442"/>
      <c r="AG95" s="442"/>
      <c r="AH95" s="442"/>
    </row>
    <row r="96" spans="29:34" x14ac:dyDescent="0.25">
      <c r="AC96" s="442"/>
      <c r="AD96" s="442"/>
      <c r="AE96" s="442"/>
      <c r="AF96" s="442"/>
      <c r="AG96" s="442"/>
      <c r="AH96" s="442"/>
    </row>
    <row r="97" spans="29:34" x14ac:dyDescent="0.25">
      <c r="AC97" s="442"/>
      <c r="AD97" s="442"/>
      <c r="AE97" s="442"/>
      <c r="AF97" s="442"/>
      <c r="AG97" s="442"/>
      <c r="AH97" s="442"/>
    </row>
    <row r="98" spans="29:34" x14ac:dyDescent="0.25">
      <c r="AC98" s="442"/>
      <c r="AD98" s="442"/>
      <c r="AE98" s="442"/>
      <c r="AF98" s="442"/>
      <c r="AG98" s="442"/>
      <c r="AH98" s="442"/>
    </row>
    <row r="99" spans="29:34" x14ac:dyDescent="0.25">
      <c r="AC99" s="442"/>
      <c r="AD99" s="442"/>
      <c r="AE99" s="442"/>
      <c r="AF99" s="442"/>
      <c r="AG99" s="442"/>
      <c r="AH99" s="442"/>
    </row>
    <row r="100" spans="29:34" x14ac:dyDescent="0.25">
      <c r="AC100" s="442"/>
      <c r="AD100" s="442"/>
      <c r="AE100" s="442"/>
      <c r="AF100" s="442"/>
      <c r="AG100" s="442"/>
      <c r="AH100" s="442"/>
    </row>
    <row r="101" spans="29:34" x14ac:dyDescent="0.25">
      <c r="AC101" s="442"/>
      <c r="AD101" s="442"/>
      <c r="AE101" s="442"/>
      <c r="AF101" s="442"/>
      <c r="AG101" s="442"/>
      <c r="AH101" s="442"/>
    </row>
    <row r="102" spans="29:34" x14ac:dyDescent="0.25">
      <c r="AC102" s="442"/>
      <c r="AD102" s="442"/>
      <c r="AE102" s="442"/>
      <c r="AF102" s="442"/>
      <c r="AG102" s="442"/>
      <c r="AH102" s="442"/>
    </row>
    <row r="103" spans="29:34" x14ac:dyDescent="0.25">
      <c r="AC103" s="442"/>
      <c r="AD103" s="442"/>
      <c r="AE103" s="442"/>
      <c r="AF103" s="442"/>
      <c r="AG103" s="442"/>
      <c r="AH103" s="442"/>
    </row>
    <row r="104" spans="29:34" x14ac:dyDescent="0.25">
      <c r="AC104" s="442"/>
      <c r="AD104" s="442"/>
      <c r="AE104" s="442"/>
      <c r="AF104" s="442"/>
      <c r="AG104" s="442"/>
      <c r="AH104" s="442"/>
    </row>
    <row r="105" spans="29:34" x14ac:dyDescent="0.25">
      <c r="AC105" s="442"/>
      <c r="AD105" s="442"/>
      <c r="AE105" s="442"/>
      <c r="AF105" s="442"/>
      <c r="AG105" s="442"/>
      <c r="AH105" s="442"/>
    </row>
    <row r="106" spans="29:34" x14ac:dyDescent="0.25">
      <c r="AC106" s="442"/>
      <c r="AD106" s="442"/>
      <c r="AE106" s="442"/>
      <c r="AF106" s="442"/>
      <c r="AG106" s="442"/>
      <c r="AH106" s="442"/>
    </row>
    <row r="107" spans="29:34" x14ac:dyDescent="0.25">
      <c r="AC107" s="442"/>
      <c r="AD107" s="442"/>
      <c r="AE107" s="442"/>
      <c r="AF107" s="442"/>
      <c r="AG107" s="442"/>
      <c r="AH107" s="442"/>
    </row>
    <row r="108" spans="29:34" x14ac:dyDescent="0.25">
      <c r="AC108" s="442"/>
      <c r="AD108" s="442"/>
      <c r="AE108" s="442"/>
      <c r="AF108" s="442"/>
      <c r="AG108" s="442"/>
      <c r="AH108" s="442"/>
    </row>
    <row r="109" spans="29:34" x14ac:dyDescent="0.25">
      <c r="AC109" s="442"/>
      <c r="AD109" s="442"/>
      <c r="AE109" s="442"/>
      <c r="AF109" s="442"/>
      <c r="AG109" s="442"/>
      <c r="AH109" s="442"/>
    </row>
    <row r="110" spans="29:34" x14ac:dyDescent="0.25">
      <c r="AC110" s="442"/>
      <c r="AD110" s="442"/>
      <c r="AE110" s="442"/>
      <c r="AF110" s="442"/>
      <c r="AG110" s="442"/>
      <c r="AH110" s="442"/>
    </row>
    <row r="111" spans="29:34" x14ac:dyDescent="0.25">
      <c r="AC111" s="442"/>
      <c r="AD111" s="442"/>
      <c r="AE111" s="442"/>
      <c r="AF111" s="442"/>
      <c r="AG111" s="442"/>
      <c r="AH111" s="442"/>
    </row>
    <row r="112" spans="29:34" x14ac:dyDescent="0.25">
      <c r="AC112" s="442"/>
      <c r="AD112" s="442"/>
      <c r="AE112" s="442"/>
      <c r="AF112" s="442"/>
      <c r="AG112" s="442"/>
      <c r="AH112" s="442"/>
    </row>
    <row r="113" spans="29:34" x14ac:dyDescent="0.25">
      <c r="AC113" s="442"/>
      <c r="AD113" s="442"/>
      <c r="AE113" s="442"/>
      <c r="AF113" s="442"/>
      <c r="AG113" s="442"/>
      <c r="AH113" s="442"/>
    </row>
    <row r="114" spans="29:34" x14ac:dyDescent="0.25">
      <c r="AC114" s="442"/>
      <c r="AD114" s="442"/>
      <c r="AE114" s="442"/>
      <c r="AF114" s="442"/>
      <c r="AG114" s="442"/>
      <c r="AH114" s="442"/>
    </row>
    <row r="115" spans="29:34" x14ac:dyDescent="0.25">
      <c r="AC115" s="442"/>
      <c r="AD115" s="442"/>
      <c r="AE115" s="442"/>
      <c r="AF115" s="442"/>
      <c r="AG115" s="442"/>
      <c r="AH115" s="442"/>
    </row>
    <row r="116" spans="29:34" x14ac:dyDescent="0.25">
      <c r="AC116" s="442"/>
      <c r="AD116" s="442"/>
      <c r="AE116" s="442"/>
      <c r="AF116" s="442"/>
      <c r="AG116" s="442"/>
      <c r="AH116" s="442"/>
    </row>
    <row r="117" spans="29:34" x14ac:dyDescent="0.25">
      <c r="AC117" s="442"/>
      <c r="AD117" s="442"/>
      <c r="AE117" s="442"/>
      <c r="AF117" s="442"/>
      <c r="AG117" s="442"/>
      <c r="AH117" s="442"/>
    </row>
    <row r="118" spans="29:34" x14ac:dyDescent="0.25">
      <c r="AC118" s="442"/>
      <c r="AD118" s="442"/>
      <c r="AE118" s="442"/>
      <c r="AF118" s="442"/>
      <c r="AG118" s="442"/>
      <c r="AH118" s="442"/>
    </row>
    <row r="119" spans="29:34" x14ac:dyDescent="0.25">
      <c r="AC119" s="442"/>
      <c r="AD119" s="442"/>
      <c r="AE119" s="442"/>
      <c r="AF119" s="442"/>
      <c r="AG119" s="442"/>
      <c r="AH119" s="442"/>
    </row>
    <row r="120" spans="29:34" x14ac:dyDescent="0.25">
      <c r="AC120" s="442"/>
      <c r="AD120" s="442"/>
      <c r="AE120" s="442"/>
      <c r="AF120" s="442"/>
      <c r="AG120" s="442"/>
      <c r="AH120" s="442"/>
    </row>
    <row r="121" spans="29:34" x14ac:dyDescent="0.25">
      <c r="AC121" s="442"/>
      <c r="AD121" s="442"/>
      <c r="AE121" s="442"/>
      <c r="AF121" s="442"/>
      <c r="AG121" s="442"/>
      <c r="AH121" s="442"/>
    </row>
    <row r="122" spans="29:34" x14ac:dyDescent="0.25">
      <c r="AC122" s="442"/>
      <c r="AD122" s="442"/>
      <c r="AE122" s="442"/>
      <c r="AF122" s="442"/>
      <c r="AG122" s="442"/>
      <c r="AH122" s="442"/>
    </row>
    <row r="123" spans="29:34" x14ac:dyDescent="0.25">
      <c r="AC123" s="442"/>
      <c r="AD123" s="442"/>
      <c r="AE123" s="442"/>
      <c r="AF123" s="442"/>
      <c r="AG123" s="442"/>
      <c r="AH123" s="442"/>
    </row>
  </sheetData>
  <mergeCells count="11">
    <mergeCell ref="Y2:Z2"/>
    <mergeCell ref="H2:J2"/>
    <mergeCell ref="K2:P2"/>
    <mergeCell ref="Q2:R2"/>
    <mergeCell ref="S2:U2"/>
    <mergeCell ref="V2:W2"/>
    <mergeCell ref="E16:F16"/>
    <mergeCell ref="E39:F39"/>
    <mergeCell ref="E52:F52"/>
    <mergeCell ref="E54:AA54"/>
    <mergeCell ref="E55:P55"/>
  </mergeCells>
  <pageMargins left="0.5" right="0.25" top="0.5" bottom="0" header="0.5" footer="0.5"/>
  <pageSetup scale="72" fitToHeight="0"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34413-86E9-49EB-8AC4-A9C6D1C676B0}">
  <sheetPr>
    <pageSetUpPr fitToPage="1"/>
  </sheetPr>
  <dimension ref="A1:BG110"/>
  <sheetViews>
    <sheetView showGridLines="0" showZeros="0" workbookViewId="0">
      <selection activeCell="Y31" sqref="Y31:Z32"/>
    </sheetView>
  </sheetViews>
  <sheetFormatPr defaultRowHeight="12.5" x14ac:dyDescent="0.25"/>
  <cols>
    <col min="1" max="1" width="8" customWidth="1"/>
    <col min="2" max="2" width="6.81640625" style="1" customWidth="1"/>
    <col min="3" max="4" width="0.453125" style="1" customWidth="1"/>
    <col min="5" max="5" width="26.54296875" customWidth="1"/>
    <col min="6" max="6" width="7.453125" customWidth="1"/>
    <col min="7" max="7" width="5.1796875" style="4" customWidth="1"/>
    <col min="8" max="8" width="6.54296875" customWidth="1"/>
    <col min="9" max="9" width="6.453125" customWidth="1"/>
    <col min="10" max="12" width="6.54296875" customWidth="1"/>
    <col min="13" max="14" width="6.81640625" customWidth="1"/>
    <col min="15" max="15" width="7.453125" customWidth="1"/>
    <col min="16" max="16" width="6.54296875" customWidth="1"/>
    <col min="17" max="18" width="7.453125" customWidth="1"/>
    <col min="19" max="19" width="6.453125" customWidth="1"/>
    <col min="20" max="22" width="7.453125" customWidth="1"/>
    <col min="23" max="23" width="6.54296875" customWidth="1"/>
    <col min="24" max="24" width="5.81640625" customWidth="1"/>
    <col min="25" max="25" width="9" customWidth="1"/>
    <col min="26" max="28" width="8.54296875" customWidth="1"/>
    <col min="29" max="31" width="8" customWidth="1"/>
    <col min="32" max="32" width="12" customWidth="1"/>
    <col min="33" max="33" width="3.54296875" customWidth="1"/>
    <col min="34" max="34" width="10.54296875" customWidth="1"/>
    <col min="35" max="35" width="6.54296875" style="1" customWidth="1"/>
    <col min="36" max="36" width="11.54296875" style="1" customWidth="1"/>
    <col min="37" max="37" width="9.54296875" style="1" customWidth="1"/>
    <col min="38" max="38" width="6.54296875" customWidth="1"/>
    <col min="39" max="39" width="2" customWidth="1"/>
    <col min="42" max="42" width="3.54296875" customWidth="1"/>
    <col min="43" max="43" width="4.453125" customWidth="1"/>
    <col min="44" max="44" width="10.54296875" customWidth="1"/>
    <col min="45" max="45" width="6.54296875" customWidth="1"/>
    <col min="46" max="46" width="11.54296875" customWidth="1"/>
    <col min="47" max="47" width="9.54296875" customWidth="1"/>
    <col min="48" max="48" width="3.54296875" customWidth="1"/>
    <col min="49" max="49" width="2" customWidth="1"/>
  </cols>
  <sheetData>
    <row r="1" spans="1:59" x14ac:dyDescent="0.25">
      <c r="G1" s="443" t="str">
        <f>'[8]inland_taf_hatchgrp_tableraw&amp;yy'!G2</f>
        <v>sacw</v>
      </c>
      <c r="H1" s="443" t="str">
        <f>'[8]inland_taf_hatchgrp_tableraw&amp;yy'!H2</f>
        <v>cfhlh</v>
      </c>
      <c r="I1" s="443" t="str">
        <f>'[8]inland_taf_hatchgrp_tableraw&amp;yy'!I2</f>
        <v>cfhfh</v>
      </c>
      <c r="J1" s="443" t="str">
        <f>'[8]inland_taf_hatchgrp_tableraw&amp;yy'!J2</f>
        <v>cfhfn</v>
      </c>
      <c r="K1" s="443" t="str">
        <f>'[8]inland_taf_hatchgrp_tableraw&amp;yy'!K2</f>
        <v>frhs</v>
      </c>
      <c r="L1" s="443" t="str">
        <f>'[8]inland_taf_hatchgrp_tableraw&amp;yy'!L2</f>
        <v>frhsn</v>
      </c>
      <c r="M1" s="443" t="str">
        <f>'[8]inland_taf_hatchgrp_tableraw&amp;yy'!M2</f>
        <v>frhfe</v>
      </c>
      <c r="N1" s="443" t="str">
        <f>'[8]inland_taf_hatchgrp_tableraw&amp;yy'!P2</f>
        <v>frhftn</v>
      </c>
      <c r="O1" s="443" t="str">
        <f>'[8]inland_taf_hatchgrp_tableraw&amp;yy'!N2</f>
        <v>frhfn</v>
      </c>
      <c r="P1" s="443" t="str">
        <f>'[8]inland_taf_hatchgrp_tableraw&amp;yy'!O2</f>
        <v>frhfnc</v>
      </c>
      <c r="Q1" s="443" t="str">
        <f>'[8]inland_taf_hatchgrp_tableraw&amp;yy'!Q2</f>
        <v>nimf</v>
      </c>
      <c r="R1" s="443" t="str">
        <f>'[8]inland_taf_hatchgrp_tableraw&amp;yy'!R2</f>
        <v>nimfn</v>
      </c>
      <c r="S1" s="443" t="str">
        <f>'[8]inland_taf_hatchgrp_tableraw&amp;yy'!S2</f>
        <v>mokf</v>
      </c>
      <c r="T1" s="443" t="str">
        <f>'[8]inland_taf_hatchgrp_tableraw&amp;yy'!T2</f>
        <v>mokfn</v>
      </c>
      <c r="U1" s="443" t="str">
        <f>'[8]inland_taf_hatchgrp_tableraw&amp;yy'!U2</f>
        <v>mokft</v>
      </c>
      <c r="V1" s="443" t="str">
        <f>'[8]inland_taf_hatchgrp_tableraw&amp;yy'!V2</f>
        <v>merf</v>
      </c>
      <c r="W1" s="443" t="str">
        <f>'[8]inland_taf_hatchgrp_tableraw&amp;yy'!W2</f>
        <v>merft</v>
      </c>
      <c r="X1" s="443" t="str">
        <f>'[8]inland_taf_hatchgrp_tableraw&amp;yy'!X2</f>
        <v>noncv</v>
      </c>
      <c r="Y1" s="442"/>
      <c r="AC1" s="442"/>
      <c r="AD1" s="442"/>
      <c r="AE1" s="442"/>
      <c r="AF1" s="442"/>
      <c r="AG1" s="442"/>
      <c r="AH1" s="442"/>
      <c r="AI1" s="451"/>
      <c r="AJ1" s="451"/>
      <c r="AK1" s="451"/>
      <c r="AL1" s="442"/>
      <c r="AM1" s="442"/>
      <c r="AN1" s="442"/>
      <c r="AO1" s="442"/>
      <c r="AP1" s="442"/>
      <c r="AQ1" s="442"/>
      <c r="AR1" s="442"/>
      <c r="AS1" s="442"/>
      <c r="AT1" s="442"/>
      <c r="AU1" s="442"/>
      <c r="AV1" s="442"/>
      <c r="AW1" s="442"/>
      <c r="AX1" s="442"/>
      <c r="AY1" s="442"/>
      <c r="AZ1" s="442"/>
      <c r="BA1" s="442"/>
      <c r="BB1" s="442"/>
      <c r="BC1" s="442"/>
      <c r="BD1" s="442"/>
      <c r="BE1" s="442"/>
      <c r="BF1" s="442"/>
    </row>
    <row r="2" spans="1:59" ht="23.9" customHeight="1" x14ac:dyDescent="0.25">
      <c r="E2" s="2" t="s">
        <v>214</v>
      </c>
      <c r="F2" s="3"/>
      <c r="AC2" s="442"/>
      <c r="AD2" s="442"/>
      <c r="AE2" s="442"/>
      <c r="AF2" s="597"/>
      <c r="AG2" s="597"/>
      <c r="AH2" s="442"/>
      <c r="AI2" s="451"/>
      <c r="AJ2" s="451"/>
      <c r="AK2" s="451"/>
      <c r="AL2" s="442"/>
      <c r="AM2" s="442"/>
      <c r="AN2" s="442"/>
      <c r="AO2" s="442"/>
      <c r="AP2" s="442"/>
      <c r="AQ2" s="442"/>
      <c r="AR2" s="442"/>
      <c r="AS2" s="442"/>
      <c r="AT2" s="442"/>
      <c r="AU2" s="442"/>
      <c r="AV2" s="442"/>
      <c r="AW2" s="442"/>
      <c r="AX2" s="442"/>
      <c r="AY2" s="442"/>
      <c r="AZ2" s="442"/>
      <c r="BA2" s="442"/>
      <c r="BB2" s="442"/>
      <c r="BC2" s="442"/>
      <c r="BD2" s="442"/>
      <c r="BE2" s="442"/>
      <c r="BF2" s="442"/>
    </row>
    <row r="3" spans="1:59" ht="14.9" customHeight="1" x14ac:dyDescent="0.3">
      <c r="E3" s="6"/>
      <c r="F3" s="7"/>
      <c r="G3" s="8"/>
      <c r="H3" s="727" t="s">
        <v>1</v>
      </c>
      <c r="I3" s="727"/>
      <c r="J3" s="727"/>
      <c r="K3" s="727" t="s">
        <v>2</v>
      </c>
      <c r="L3" s="728"/>
      <c r="M3" s="728"/>
      <c r="N3" s="728"/>
      <c r="O3" s="728"/>
      <c r="P3" s="728"/>
      <c r="Q3" s="727" t="s">
        <v>3</v>
      </c>
      <c r="R3" s="727"/>
      <c r="S3" s="727" t="s">
        <v>4</v>
      </c>
      <c r="T3" s="727"/>
      <c r="U3" s="727"/>
      <c r="V3" s="727" t="s">
        <v>5</v>
      </c>
      <c r="W3" s="727"/>
      <c r="X3" s="221"/>
      <c r="Y3" s="745" t="s">
        <v>8</v>
      </c>
      <c r="Z3" s="746"/>
      <c r="AA3" s="10" t="s">
        <v>9</v>
      </c>
      <c r="AB3" s="11"/>
      <c r="AC3" s="598" t="s">
        <v>10</v>
      </c>
      <c r="AD3" s="598"/>
      <c r="AE3" s="598"/>
      <c r="AF3" s="599"/>
      <c r="AG3" s="597"/>
      <c r="AH3" s="597" t="s">
        <v>11</v>
      </c>
      <c r="AI3" s="599" t="s">
        <v>12</v>
      </c>
      <c r="AJ3" s="451"/>
      <c r="AK3" s="451"/>
      <c r="AL3" s="442"/>
      <c r="AM3" s="442"/>
      <c r="AN3" s="444">
        <f>$G$43</f>
        <v>0</v>
      </c>
      <c r="AO3" s="444">
        <f>$H$43</f>
        <v>4</v>
      </c>
      <c r="AP3" s="444">
        <f>$I$43</f>
        <v>773</v>
      </c>
      <c r="AQ3" s="444">
        <f>$J$43</f>
        <v>3891</v>
      </c>
      <c r="AR3" s="444">
        <f>$K$43</f>
        <v>4</v>
      </c>
      <c r="AS3" s="444"/>
      <c r="AT3" s="444">
        <f>$L$43</f>
        <v>506</v>
      </c>
      <c r="AU3" s="444">
        <f>$M$43</f>
        <v>0</v>
      </c>
      <c r="AV3" s="444">
        <f>$O$43</f>
        <v>23337</v>
      </c>
      <c r="AW3" s="444">
        <f>$P$43</f>
        <v>1301</v>
      </c>
      <c r="AX3" s="444">
        <f>$N$43</f>
        <v>966</v>
      </c>
      <c r="AY3" s="444">
        <f>$Q$43</f>
        <v>631</v>
      </c>
      <c r="AZ3" s="444">
        <f>$R$43</f>
        <v>1872</v>
      </c>
      <c r="BA3" s="444">
        <f>$S$43</f>
        <v>16</v>
      </c>
      <c r="BB3" s="444">
        <f>$T$43</f>
        <v>11343</v>
      </c>
      <c r="BC3" s="444">
        <f>$U$43</f>
        <v>808</v>
      </c>
      <c r="BD3" s="444">
        <f>$V$43</f>
        <v>0</v>
      </c>
      <c r="BE3" s="444">
        <f>$W$43</f>
        <v>1894</v>
      </c>
      <c r="BF3" s="444">
        <f>$X$43</f>
        <v>32</v>
      </c>
    </row>
    <row r="4" spans="1:59" ht="14.9" customHeight="1" x14ac:dyDescent="0.3">
      <c r="A4" s="15" t="s">
        <v>13</v>
      </c>
      <c r="B4" s="16" t="s">
        <v>14</v>
      </c>
      <c r="C4" s="16" t="s">
        <v>15</v>
      </c>
      <c r="D4" s="16" t="s">
        <v>16</v>
      </c>
      <c r="E4" s="17" t="s">
        <v>17</v>
      </c>
      <c r="F4" s="18" t="s">
        <v>18</v>
      </c>
      <c r="G4" s="204" t="s">
        <v>19</v>
      </c>
      <c r="H4" s="20" t="s">
        <v>159</v>
      </c>
      <c r="I4" s="19" t="s">
        <v>160</v>
      </c>
      <c r="J4" s="21" t="s">
        <v>22</v>
      </c>
      <c r="K4" s="19" t="s">
        <v>23</v>
      </c>
      <c r="L4" s="19" t="s">
        <v>183</v>
      </c>
      <c r="M4" s="19" t="s">
        <v>186</v>
      </c>
      <c r="N4" s="19" t="s">
        <v>185</v>
      </c>
      <c r="O4" s="19" t="s">
        <v>25</v>
      </c>
      <c r="P4" s="19" t="s">
        <v>184</v>
      </c>
      <c r="Q4" s="20" t="s">
        <v>27</v>
      </c>
      <c r="R4" s="21" t="s">
        <v>28</v>
      </c>
      <c r="S4" s="19" t="s">
        <v>29</v>
      </c>
      <c r="T4" s="19" t="s">
        <v>30</v>
      </c>
      <c r="U4" s="19" t="s">
        <v>215</v>
      </c>
      <c r="V4" s="20" t="s">
        <v>33</v>
      </c>
      <c r="W4" s="21" t="s">
        <v>207</v>
      </c>
      <c r="X4" s="222" t="s">
        <v>198</v>
      </c>
      <c r="Y4" s="223" t="s">
        <v>36</v>
      </c>
      <c r="Z4" s="224" t="s">
        <v>37</v>
      </c>
      <c r="AA4" s="24" t="s">
        <v>18</v>
      </c>
      <c r="AB4" s="11"/>
      <c r="AC4" s="598" t="s">
        <v>38</v>
      </c>
      <c r="AD4" s="598"/>
      <c r="AE4" s="598"/>
      <c r="AF4" s="599"/>
      <c r="AG4" s="597"/>
      <c r="AH4" s="600"/>
      <c r="AI4" s="599"/>
      <c r="AJ4" s="451"/>
      <c r="AK4" s="451"/>
      <c r="AL4" s="442"/>
      <c r="AM4" s="442"/>
      <c r="AN4" s="442"/>
      <c r="AO4" s="442"/>
      <c r="AP4" s="442"/>
      <c r="AQ4" s="442"/>
      <c r="AR4" s="442"/>
      <c r="AS4" s="442"/>
      <c r="AT4" s="442"/>
      <c r="AU4" s="442"/>
      <c r="AV4" s="442"/>
      <c r="AW4" s="442"/>
      <c r="AX4" s="442"/>
      <c r="AY4" s="442"/>
      <c r="AZ4" s="442"/>
      <c r="BA4" s="442"/>
      <c r="BB4" s="442"/>
      <c r="BC4" s="442"/>
      <c r="BD4" s="442"/>
      <c r="BE4" s="442"/>
      <c r="BF4" s="442"/>
    </row>
    <row r="5" spans="1:59" ht="15.65" customHeight="1" x14ac:dyDescent="0.3">
      <c r="A5" s="15" t="s">
        <v>36</v>
      </c>
      <c r="B5" s="13"/>
      <c r="C5" s="13"/>
      <c r="D5" s="13"/>
      <c r="E5" s="26" t="s">
        <v>39</v>
      </c>
      <c r="F5" s="27"/>
      <c r="G5" s="28"/>
      <c r="H5" s="29"/>
      <c r="I5" s="30"/>
      <c r="J5" s="31"/>
      <c r="K5" s="30"/>
      <c r="L5" s="30"/>
      <c r="M5" s="30"/>
      <c r="N5" s="30"/>
      <c r="O5" s="30"/>
      <c r="P5" s="30"/>
      <c r="Q5" s="29"/>
      <c r="R5" s="31"/>
      <c r="S5" s="30"/>
      <c r="T5" s="30"/>
      <c r="U5" s="30"/>
      <c r="V5" s="29"/>
      <c r="W5" s="31"/>
      <c r="X5" s="30"/>
      <c r="Y5" s="32"/>
      <c r="Z5" s="33"/>
      <c r="AA5" s="30"/>
      <c r="AB5" s="30"/>
      <c r="AC5" s="601"/>
      <c r="AD5" s="601"/>
      <c r="AE5" s="601"/>
      <c r="AF5" s="602"/>
      <c r="AG5" s="597"/>
      <c r="AH5" s="600"/>
      <c r="AI5" s="599"/>
      <c r="AJ5" s="451"/>
      <c r="AK5" s="451"/>
      <c r="AL5" s="442"/>
      <c r="AM5" s="442"/>
      <c r="AN5" s="442"/>
      <c r="AO5" s="442"/>
      <c r="AP5" s="442"/>
      <c r="AQ5" s="442"/>
      <c r="AR5" s="442"/>
      <c r="AS5" s="442"/>
      <c r="AT5" s="442"/>
      <c r="AU5" s="442"/>
      <c r="AV5" s="442"/>
      <c r="AW5" s="442"/>
      <c r="AX5" s="442"/>
      <c r="AY5" s="442"/>
      <c r="AZ5" s="442"/>
      <c r="BA5" s="442"/>
      <c r="BB5" s="442"/>
      <c r="BC5" s="442"/>
      <c r="BD5" s="442"/>
      <c r="BE5" s="442"/>
      <c r="BF5" s="442"/>
    </row>
    <row r="6" spans="1:59" ht="15.65" customHeight="1" x14ac:dyDescent="0.25">
      <c r="A6" s="50" t="s">
        <v>216</v>
      </c>
      <c r="B6" s="13" t="s">
        <v>43</v>
      </c>
      <c r="C6" s="13"/>
      <c r="D6" s="13"/>
      <c r="E6" s="3" t="s">
        <v>44</v>
      </c>
      <c r="F6" s="37" t="s">
        <v>42</v>
      </c>
      <c r="G6" s="243">
        <f>SUMIFS('[8]inland_taf_hatchgrp_tableraw&amp;yy'!G$3:G$38,'[8]inland_taf_hatchgrp_tableraw&amp;yy'!$AC$3:$AC$38,'2015 Table 11 CWTs exp'!$A6)</f>
        <v>136</v>
      </c>
      <c r="H6" s="39">
        <f>SUMIFS('[8]inland_taf_hatchgrp_tableraw&amp;yy'!H$3:H$38,'[8]inland_taf_hatchgrp_tableraw&amp;yy'!$AC$3:$AC$38,'2015 Table 11 CWTs exp'!$A6)</f>
        <v>0</v>
      </c>
      <c r="I6" s="38">
        <f>SUMIFS('[8]inland_taf_hatchgrp_tableraw&amp;yy'!I$3:I$38,'[8]inland_taf_hatchgrp_tableraw&amp;yy'!$AC$3:$AC$38,'2015 Table 11 CWTs exp'!$A6)</f>
        <v>0</v>
      </c>
      <c r="J6" s="40">
        <f>SUMIFS('[8]inland_taf_hatchgrp_tableraw&amp;yy'!J$3:J$38,'[8]inland_taf_hatchgrp_tableraw&amp;yy'!$AC$3:$AC$38,'2015 Table 11 CWTs exp'!$A6)</f>
        <v>0</v>
      </c>
      <c r="K6" s="38">
        <f>SUMIFS('[8]inland_taf_hatchgrp_tableraw&amp;yy'!K$3:K$38,'[8]inland_taf_hatchgrp_tableraw&amp;yy'!$AC$3:$AC$38,'2015 Table 11 CWTs exp'!$A6)</f>
        <v>0</v>
      </c>
      <c r="L6" s="38">
        <f>SUMIFS('[8]inland_taf_hatchgrp_tableraw&amp;yy'!L$3:L$38,'[8]inland_taf_hatchgrp_tableraw&amp;yy'!$AC$3:$AC$38,'2015 Table 11 CWTs exp'!$A6)</f>
        <v>0</v>
      </c>
      <c r="M6" s="38">
        <f>SUMIFS('[8]inland_taf_hatchgrp_tableraw&amp;yy'!M$3:M$38,'[8]inland_taf_hatchgrp_tableraw&amp;yy'!$AC$3:$AC$38,'2015 Table 11 CWTs exp'!$A6)</f>
        <v>0</v>
      </c>
      <c r="N6" s="38">
        <f>SUMIFS('[8]inland_taf_hatchgrp_tableraw&amp;yy'!P$3:P$38,'[8]inland_taf_hatchgrp_tableraw&amp;yy'!$AC$3:$AC$38,'2015 Table 11 CWTs exp'!$A6)</f>
        <v>0</v>
      </c>
      <c r="O6" s="38">
        <f>SUMIFS('[8]inland_taf_hatchgrp_tableraw&amp;yy'!N$3:N$38,'[8]inland_taf_hatchgrp_tableraw&amp;yy'!$AC$3:$AC$38,'2015 Table 11 CWTs exp'!$A6)</f>
        <v>0</v>
      </c>
      <c r="P6" s="38">
        <f>SUMIFS('[8]inland_taf_hatchgrp_tableraw&amp;yy'!O$3:O$38,'[8]inland_taf_hatchgrp_tableraw&amp;yy'!$AC$3:$AC$38,'2015 Table 11 CWTs exp'!$A6)</f>
        <v>0</v>
      </c>
      <c r="Q6" s="39">
        <f>SUMIFS('[8]inland_taf_hatchgrp_tableraw&amp;yy'!Q$3:Q$38,'[8]inland_taf_hatchgrp_tableraw&amp;yy'!$AC$3:$AC$38,'2015 Table 11 CWTs exp'!$A6)</f>
        <v>0</v>
      </c>
      <c r="R6" s="40">
        <f>SUMIFS('[8]inland_taf_hatchgrp_tableraw&amp;yy'!R$3:R$38,'[8]inland_taf_hatchgrp_tableraw&amp;yy'!$AC$3:$AC$38,'2015 Table 11 CWTs exp'!$A6)</f>
        <v>0</v>
      </c>
      <c r="S6" s="38">
        <f>SUMIFS('[8]inland_taf_hatchgrp_tableraw&amp;yy'!S$3:S$38,'[8]inland_taf_hatchgrp_tableraw&amp;yy'!$AC$3:$AC$38,'2015 Table 11 CWTs exp'!$A6)</f>
        <v>0</v>
      </c>
      <c r="T6" s="38">
        <f>SUMIFS('[8]inland_taf_hatchgrp_tableraw&amp;yy'!T$3:T$38,'[8]inland_taf_hatchgrp_tableraw&amp;yy'!$AC$3:$AC$38,'2015 Table 11 CWTs exp'!$A6)</f>
        <v>0</v>
      </c>
      <c r="U6" s="38">
        <f>SUMIFS('[8]inland_taf_hatchgrp_tableraw&amp;yy'!U$3:U$38,'[8]inland_taf_hatchgrp_tableraw&amp;yy'!$AC$3:$AC$38,'2015 Table 11 CWTs exp'!$A6)</f>
        <v>0</v>
      </c>
      <c r="V6" s="39">
        <f>SUMIFS('[8]inland_taf_hatchgrp_tableraw&amp;yy'!V$3:V$38,'[8]inland_taf_hatchgrp_tableraw&amp;yy'!$AC$3:$AC$38,'2015 Table 11 CWTs exp'!$A6)</f>
        <v>0</v>
      </c>
      <c r="W6" s="40">
        <f>SUMIFS('[8]inland_taf_hatchgrp_tableraw&amp;yy'!W$3:W$38,'[8]inland_taf_hatchgrp_tableraw&amp;yy'!$AC$3:$AC$38,'2015 Table 11 CWTs exp'!$A6)</f>
        <v>0</v>
      </c>
      <c r="X6" s="38">
        <f>SUMIFS('[8]inland_taf_hatchgrp_tableraw&amp;yy'!X$3:X$38,'[8]inland_taf_hatchgrp_tableraw&amp;yy'!$AC$3:$AC$38,'2015 Table 11 CWTs exp'!$A6)</f>
        <v>0</v>
      </c>
      <c r="Y6" s="41">
        <f>SUMIFS('[8]inland_taf_hatchgrp_tableraw&amp;yy'!Y$3:Y$38,'[8]inland_taf_hatchgrp_tableraw&amp;yy'!$AC$3:$AC$38,'2015 Table 11 CWTs exp'!$A6)</f>
        <v>136</v>
      </c>
      <c r="Z6" s="42">
        <f>SUMIFS('[8]inland_taf_hatchgrp_tableraw&amp;yy'!Z$3:Z$38,'[8]inland_taf_hatchgrp_tableraw&amp;yy'!$AC$3:$AC$38,'2015 Table 11 CWTs exp'!$A6)</f>
        <v>121</v>
      </c>
      <c r="AA6" s="38">
        <f>SUMIFS('[8]inland_taf_hatchgrp_tableraw&amp;yy'!AA$3:AA$38,'[8]inland_taf_hatchgrp_tableraw&amp;yy'!$AC$3:$AC$38,'2015 Table 11 CWTs exp'!$A6)</f>
        <v>257</v>
      </c>
      <c r="AB6" s="38"/>
      <c r="AC6" s="603">
        <f>SUMIFS('[8]inland_taf_hatchgrp_tableraw&amp;yy'!AB$3:AB$38,'[8]inland_taf_hatchgrp_tableraw&amp;yy'!$AC$3:$AC$38,'2015 Table 11 CWTs exp'!$A6)</f>
        <v>0.52900000000000003</v>
      </c>
      <c r="AD6" s="604" t="str">
        <f t="shared" ref="AD6:AD16" si="0">A6</f>
        <v>KESW504</v>
      </c>
      <c r="AE6" s="444"/>
      <c r="AF6" s="622">
        <f t="shared" ref="AF6" si="1">Y6/AA6</f>
        <v>0.52918287937743191</v>
      </c>
      <c r="AG6" s="597"/>
      <c r="AH6" s="600"/>
      <c r="AI6" s="599"/>
      <c r="AJ6" s="451"/>
      <c r="AK6" s="451"/>
      <c r="AL6" s="442"/>
      <c r="AM6" s="442"/>
      <c r="AN6" s="442"/>
      <c r="AO6" s="442"/>
      <c r="AP6" s="442"/>
      <c r="AQ6" s="442"/>
      <c r="AR6" s="442"/>
      <c r="AS6" s="442"/>
      <c r="AT6" s="442"/>
      <c r="AU6" s="442"/>
      <c r="AV6" s="442"/>
      <c r="AW6" s="442"/>
      <c r="AX6" s="442"/>
      <c r="AY6" s="442"/>
      <c r="AZ6" s="442"/>
      <c r="BA6" s="442"/>
      <c r="BB6" s="442"/>
      <c r="BC6" s="442"/>
      <c r="BD6" s="442"/>
      <c r="BE6" s="442"/>
      <c r="BF6" s="442"/>
    </row>
    <row r="7" spans="1:59" s="47" customFormat="1" ht="14.5" customHeight="1" x14ac:dyDescent="0.25">
      <c r="A7" s="225" t="str">
        <f t="shared" ref="A7:A15" si="2">CONCATENATE(B7,C7,D7)</f>
        <v>FRFH501</v>
      </c>
      <c r="B7" s="226" t="s">
        <v>45</v>
      </c>
      <c r="C7" s="226">
        <v>50</v>
      </c>
      <c r="D7" s="226">
        <v>1</v>
      </c>
      <c r="E7" s="244" t="s">
        <v>46</v>
      </c>
      <c r="F7" s="245" t="str">
        <f t="shared" ref="F7:F13" si="3">LOOKUP(D7,$AK$7:$AK$10,$AL$7:$AL$10)</f>
        <v>Spring</v>
      </c>
      <c r="G7" s="246">
        <f>SUMIFS('[8]inland_taf_hatchgrp_tableraw&amp;yy'!G$3:G$38,'[8]inland_taf_hatchgrp_tableraw&amp;yy'!$AC$3:$AC$38,'2015 Table 11 CWTs exp'!$A7)</f>
        <v>0</v>
      </c>
      <c r="H7" s="247">
        <f>SUMIFS('[8]inland_taf_hatchgrp_tableraw&amp;yy'!H$3:H$38,'[8]inland_taf_hatchgrp_tableraw&amp;yy'!$AC$3:$AC$38,'2015 Table 11 CWTs exp'!$A7)</f>
        <v>0</v>
      </c>
      <c r="I7" s="248">
        <f>SUMIFS('[8]inland_taf_hatchgrp_tableraw&amp;yy'!I$3:I$38,'[8]inland_taf_hatchgrp_tableraw&amp;yy'!$AC$3:$AC$38,'2015 Table 11 CWTs exp'!$A7)</f>
        <v>0</v>
      </c>
      <c r="J7" s="249">
        <f>SUMIFS('[8]inland_taf_hatchgrp_tableraw&amp;yy'!J$3:J$38,'[8]inland_taf_hatchgrp_tableraw&amp;yy'!$AC$3:$AC$38,'2015 Table 11 CWTs exp'!$A7)</f>
        <v>0</v>
      </c>
      <c r="K7" s="248">
        <f>SUMIFS('[8]inland_taf_hatchgrp_tableraw&amp;yy'!K$3:K$38,'[8]inland_taf_hatchgrp_tableraw&amp;yy'!$AC$3:$AC$38,'2015 Table 11 CWTs exp'!$A7)</f>
        <v>2023</v>
      </c>
      <c r="L7" s="248">
        <f>SUMIFS('[8]inland_taf_hatchgrp_tableraw&amp;yy'!L$3:L$38,'[8]inland_taf_hatchgrp_tableraw&amp;yy'!$AC$3:$AC$38,'2015 Table 11 CWTs exp'!$A7)</f>
        <v>1256</v>
      </c>
      <c r="M7" s="248">
        <f>SUMIFS('[8]inland_taf_hatchgrp_tableraw&amp;yy'!M$3:M$38,'[8]inland_taf_hatchgrp_tableraw&amp;yy'!$AC$3:$AC$38,'2015 Table 11 CWTs exp'!$A7)</f>
        <v>0</v>
      </c>
      <c r="N7" s="248">
        <f>SUMIFS('[8]inland_taf_hatchgrp_tableraw&amp;yy'!P$3:P$38,'[8]inland_taf_hatchgrp_tableraw&amp;yy'!$AC$3:$AC$38,'2015 Table 11 CWTs exp'!$A7)</f>
        <v>4</v>
      </c>
      <c r="O7" s="248">
        <f>SUMIFS('[8]inland_taf_hatchgrp_tableraw&amp;yy'!N$3:N$38,'[8]inland_taf_hatchgrp_tableraw&amp;yy'!$AC$3:$AC$38,'2015 Table 11 CWTs exp'!$A7)</f>
        <v>24</v>
      </c>
      <c r="P7" s="248">
        <f>SUMIFS('[8]inland_taf_hatchgrp_tableraw&amp;yy'!O$3:O$38,'[8]inland_taf_hatchgrp_tableraw&amp;yy'!$AC$3:$AC$38,'2015 Table 11 CWTs exp'!$A7)</f>
        <v>0</v>
      </c>
      <c r="Q7" s="247">
        <f>SUMIFS('[8]inland_taf_hatchgrp_tableraw&amp;yy'!Q$3:Q$38,'[8]inland_taf_hatchgrp_tableraw&amp;yy'!$AC$3:$AC$38,'2015 Table 11 CWTs exp'!$A7)</f>
        <v>0</v>
      </c>
      <c r="R7" s="249">
        <f>SUMIFS('[8]inland_taf_hatchgrp_tableraw&amp;yy'!R$3:R$38,'[8]inland_taf_hatchgrp_tableraw&amp;yy'!$AC$3:$AC$38,'2015 Table 11 CWTs exp'!$A7)</f>
        <v>0</v>
      </c>
      <c r="S7" s="248">
        <f>SUMIFS('[8]inland_taf_hatchgrp_tableraw&amp;yy'!S$3:S$38,'[8]inland_taf_hatchgrp_tableraw&amp;yy'!$AC$3:$AC$38,'2015 Table 11 CWTs exp'!$A7)</f>
        <v>0</v>
      </c>
      <c r="T7" s="248">
        <f>SUMIFS('[8]inland_taf_hatchgrp_tableraw&amp;yy'!T$3:T$38,'[8]inland_taf_hatchgrp_tableraw&amp;yy'!$AC$3:$AC$38,'2015 Table 11 CWTs exp'!$A7)</f>
        <v>0</v>
      </c>
      <c r="U7" s="248">
        <f>SUMIFS('[8]inland_taf_hatchgrp_tableraw&amp;yy'!U$3:U$38,'[8]inland_taf_hatchgrp_tableraw&amp;yy'!$AC$3:$AC$38,'2015 Table 11 CWTs exp'!$A7)</f>
        <v>0</v>
      </c>
      <c r="V7" s="247">
        <f>SUMIFS('[8]inland_taf_hatchgrp_tableraw&amp;yy'!V$3:V$38,'[8]inland_taf_hatchgrp_tableraw&amp;yy'!$AC$3:$AC$38,'2015 Table 11 CWTs exp'!$A7)</f>
        <v>0</v>
      </c>
      <c r="W7" s="249">
        <f>SUMIFS('[8]inland_taf_hatchgrp_tableraw&amp;yy'!W$3:W$38,'[8]inland_taf_hatchgrp_tableraw&amp;yy'!$AC$3:$AC$38,'2015 Table 11 CWTs exp'!$A7)</f>
        <v>0</v>
      </c>
      <c r="X7" s="248">
        <f>SUMIFS('[8]inland_taf_hatchgrp_tableraw&amp;yy'!X$3:X$38,'[8]inland_taf_hatchgrp_tableraw&amp;yy'!$AC$3:$AC$38,'2015 Table 11 CWTs exp'!$A7)</f>
        <v>0</v>
      </c>
      <c r="Y7" s="250">
        <f>SUMIFS('[8]inland_taf_hatchgrp_tableraw&amp;yy'!Y$3:Y$38,'[8]inland_taf_hatchgrp_tableraw&amp;yy'!$AC$3:$AC$38,'2015 Table 11 CWTs exp'!$A7)</f>
        <v>3307</v>
      </c>
      <c r="Z7" s="251">
        <f>SUMIFS('[8]inland_taf_hatchgrp_tableraw&amp;yy'!Z$3:Z$38,'[8]inland_taf_hatchgrp_tableraw&amp;yy'!$AC$3:$AC$38,'2015 Table 11 CWTs exp'!$A7)</f>
        <v>79</v>
      </c>
      <c r="AA7" s="248">
        <f>SUMIFS('[8]inland_taf_hatchgrp_tableraw&amp;yy'!AA$3:AA$38,'[8]inland_taf_hatchgrp_tableraw&amp;yy'!$AC$3:$AC$38,'2015 Table 11 CWTs exp'!$A7)</f>
        <v>3386</v>
      </c>
      <c r="AB7" s="44"/>
      <c r="AC7" s="603">
        <f>SUMIFS('[8]inland_taf_hatchgrp_tableraw&amp;yy'!AB$3:AB$38,'[8]inland_taf_hatchgrp_tableraw&amp;yy'!$AC$3:$AC$38,'2015 Table 11 CWTs exp'!$A7)</f>
        <v>0.97699999999999998</v>
      </c>
      <c r="AD7" s="604" t="str">
        <f t="shared" si="0"/>
        <v>FRFH501</v>
      </c>
      <c r="AE7" s="594"/>
      <c r="AF7" s="622">
        <f>Y7/AA7</f>
        <v>0.97666863555818073</v>
      </c>
      <c r="AG7" s="616"/>
      <c r="AH7" s="616"/>
      <c r="AI7" s="602"/>
      <c r="AJ7" s="601"/>
      <c r="AK7" s="601">
        <v>1</v>
      </c>
      <c r="AL7" s="594" t="s">
        <v>47</v>
      </c>
      <c r="AM7" s="594"/>
      <c r="AN7" s="594"/>
      <c r="AO7" s="594"/>
      <c r="AP7" s="594"/>
      <c r="AQ7" s="594"/>
      <c r="AR7" s="594"/>
      <c r="AS7" s="594"/>
      <c r="AT7" s="594"/>
      <c r="AU7" s="594"/>
      <c r="AV7" s="594"/>
      <c r="AW7" s="594"/>
      <c r="AX7" s="594"/>
      <c r="AY7" s="594"/>
      <c r="AZ7" s="594"/>
      <c r="BA7" s="594"/>
      <c r="BB7" s="594"/>
      <c r="BC7" s="594"/>
      <c r="BD7" s="594"/>
      <c r="BE7" s="594"/>
      <c r="BF7" s="594"/>
      <c r="BG7" s="49"/>
    </row>
    <row r="8" spans="1:59" ht="14.5" hidden="1" customHeight="1" x14ac:dyDescent="0.25">
      <c r="A8" s="50" t="str">
        <f t="shared" si="2"/>
        <v>FRFH521</v>
      </c>
      <c r="B8" s="13" t="s">
        <v>45</v>
      </c>
      <c r="C8" s="13">
        <v>52</v>
      </c>
      <c r="D8" s="13">
        <v>1</v>
      </c>
      <c r="E8" s="252" t="s">
        <v>217</v>
      </c>
      <c r="F8" s="253" t="str">
        <f t="shared" si="3"/>
        <v>Spring</v>
      </c>
      <c r="G8" s="254">
        <f>SUMIFS('[8]inland_taf_hatchgrp_tableraw&amp;yy'!G$3:G$38,'[8]inland_taf_hatchgrp_tableraw&amp;yy'!$AC$3:$AC$38,'2015 Table 11 CWTs exp'!$A8)</f>
        <v>0</v>
      </c>
      <c r="H8" s="255">
        <f>SUMIFS('[8]inland_taf_hatchgrp_tableraw&amp;yy'!H$3:H$38,'[8]inland_taf_hatchgrp_tableraw&amp;yy'!$AC$3:$AC$38,'2015 Table 11 CWTs exp'!$A8)</f>
        <v>0</v>
      </c>
      <c r="I8" s="256">
        <f>SUMIFS('[8]inland_taf_hatchgrp_tableraw&amp;yy'!I$3:I$38,'[8]inland_taf_hatchgrp_tableraw&amp;yy'!$AC$3:$AC$38,'2015 Table 11 CWTs exp'!$A8)</f>
        <v>0</v>
      </c>
      <c r="J8" s="257">
        <f>SUMIFS('[8]inland_taf_hatchgrp_tableraw&amp;yy'!J$3:J$38,'[8]inland_taf_hatchgrp_tableraw&amp;yy'!$AC$3:$AC$38,'2015 Table 11 CWTs exp'!$A8)</f>
        <v>0</v>
      </c>
      <c r="K8" s="256">
        <f>SUMIFS('[8]inland_taf_hatchgrp_tableraw&amp;yy'!K$3:K$38,'[8]inland_taf_hatchgrp_tableraw&amp;yy'!$AC$3:$AC$38,'2015 Table 11 CWTs exp'!$A8)</f>
        <v>0</v>
      </c>
      <c r="L8" s="256">
        <f>SUMIFS('[8]inland_taf_hatchgrp_tableraw&amp;yy'!L$3:L$38,'[8]inland_taf_hatchgrp_tableraw&amp;yy'!$AC$3:$AC$38,'2015 Table 11 CWTs exp'!$A8)</f>
        <v>0</v>
      </c>
      <c r="M8" s="256">
        <f>SUMIFS('[8]inland_taf_hatchgrp_tableraw&amp;yy'!M$3:M$38,'[8]inland_taf_hatchgrp_tableraw&amp;yy'!$AC$3:$AC$38,'2015 Table 11 CWTs exp'!$A8)</f>
        <v>0</v>
      </c>
      <c r="N8" s="256">
        <f>SUMIFS('[8]inland_taf_hatchgrp_tableraw&amp;yy'!P$3:P$38,'[8]inland_taf_hatchgrp_tableraw&amp;yy'!$AC$3:$AC$38,'2015 Table 11 CWTs exp'!$A8)</f>
        <v>0</v>
      </c>
      <c r="O8" s="256">
        <f>SUMIFS('[8]inland_taf_hatchgrp_tableraw&amp;yy'!N$3:N$38,'[8]inland_taf_hatchgrp_tableraw&amp;yy'!$AC$3:$AC$38,'2015 Table 11 CWTs exp'!$A8)</f>
        <v>0</v>
      </c>
      <c r="P8" s="256">
        <f>SUMIFS('[8]inland_taf_hatchgrp_tableraw&amp;yy'!O$3:O$38,'[8]inland_taf_hatchgrp_tableraw&amp;yy'!$AC$3:$AC$38,'2015 Table 11 CWTs exp'!$A8)</f>
        <v>0</v>
      </c>
      <c r="Q8" s="255">
        <f>SUMIFS('[8]inland_taf_hatchgrp_tableraw&amp;yy'!Q$3:Q$38,'[8]inland_taf_hatchgrp_tableraw&amp;yy'!$AC$3:$AC$38,'2015 Table 11 CWTs exp'!$A8)</f>
        <v>0</v>
      </c>
      <c r="R8" s="257">
        <f>SUMIFS('[8]inland_taf_hatchgrp_tableraw&amp;yy'!R$3:R$38,'[8]inland_taf_hatchgrp_tableraw&amp;yy'!$AC$3:$AC$38,'2015 Table 11 CWTs exp'!$A8)</f>
        <v>0</v>
      </c>
      <c r="S8" s="256">
        <f>SUMIFS('[8]inland_taf_hatchgrp_tableraw&amp;yy'!S$3:S$38,'[8]inland_taf_hatchgrp_tableraw&amp;yy'!$AC$3:$AC$38,'2015 Table 11 CWTs exp'!$A8)</f>
        <v>0</v>
      </c>
      <c r="T8" s="256">
        <f>SUMIFS('[8]inland_taf_hatchgrp_tableraw&amp;yy'!T$3:T$38,'[8]inland_taf_hatchgrp_tableraw&amp;yy'!$AC$3:$AC$38,'2015 Table 11 CWTs exp'!$A8)</f>
        <v>0</v>
      </c>
      <c r="U8" s="256">
        <f>SUMIFS('[8]inland_taf_hatchgrp_tableraw&amp;yy'!U$3:U$38,'[8]inland_taf_hatchgrp_tableraw&amp;yy'!$AC$3:$AC$38,'2015 Table 11 CWTs exp'!$A8)</f>
        <v>0</v>
      </c>
      <c r="V8" s="255">
        <f>SUMIFS('[8]inland_taf_hatchgrp_tableraw&amp;yy'!V$3:V$38,'[8]inland_taf_hatchgrp_tableraw&amp;yy'!$AC$3:$AC$38,'2015 Table 11 CWTs exp'!$A8)</f>
        <v>0</v>
      </c>
      <c r="W8" s="257">
        <f>SUMIFS('[8]inland_taf_hatchgrp_tableraw&amp;yy'!W$3:W$38,'[8]inland_taf_hatchgrp_tableraw&amp;yy'!$AC$3:$AC$38,'2015 Table 11 CWTs exp'!$A8)</f>
        <v>0</v>
      </c>
      <c r="X8" s="256">
        <f>SUMIFS('[8]inland_taf_hatchgrp_tableraw&amp;yy'!X$3:X$38,'[8]inland_taf_hatchgrp_tableraw&amp;yy'!$AC$3:$AC$38,'2015 Table 11 CWTs exp'!$A8)</f>
        <v>0</v>
      </c>
      <c r="Y8" s="258">
        <f>SUMIFS('[8]inland_taf_hatchgrp_tableraw&amp;yy'!Y$3:Y$38,'[8]inland_taf_hatchgrp_tableraw&amp;yy'!$AC$3:$AC$38,'2015 Table 11 CWTs exp'!$A8)</f>
        <v>0</v>
      </c>
      <c r="Z8" s="259">
        <f>SUMIFS('[8]inland_taf_hatchgrp_tableraw&amp;yy'!Z$3:Z$38,'[8]inland_taf_hatchgrp_tableraw&amp;yy'!$AC$3:$AC$38,'2015 Table 11 CWTs exp'!$A8)</f>
        <v>0</v>
      </c>
      <c r="AA8" s="256">
        <f>SUMIFS('[8]inland_taf_hatchgrp_tableraw&amp;yy'!AA$3:AA$38,'[8]inland_taf_hatchgrp_tableraw&amp;yy'!$AC$3:$AC$38,'2015 Table 11 CWTs exp'!$A8)</f>
        <v>0</v>
      </c>
      <c r="AB8" s="38"/>
      <c r="AC8" s="603">
        <f>SUMIFS('[8]inland_taf_hatchgrp_tableraw&amp;yy'!AB$3:AB$38,'[8]inland_taf_hatchgrp_tableraw&amp;yy'!$AC$3:$AC$38,'2015 Table 11 CWTs exp'!$A8)</f>
        <v>0</v>
      </c>
      <c r="AD8" s="604" t="str">
        <f t="shared" si="0"/>
        <v>FRFH521</v>
      </c>
      <c r="AE8" s="603"/>
      <c r="AF8" s="604"/>
      <c r="AG8" s="597"/>
      <c r="AH8" s="600"/>
      <c r="AI8" s="599"/>
      <c r="AJ8" s="451"/>
      <c r="AK8" s="451">
        <v>3</v>
      </c>
      <c r="AL8" s="442" t="s">
        <v>48</v>
      </c>
      <c r="AM8" s="442"/>
      <c r="AN8" s="442"/>
      <c r="AO8" s="442"/>
      <c r="AP8" s="442"/>
      <c r="AQ8" s="442"/>
      <c r="AR8" s="442"/>
      <c r="AS8" s="442"/>
      <c r="AT8" s="442"/>
      <c r="AU8" s="442"/>
      <c r="AV8" s="442"/>
      <c r="AW8" s="442"/>
      <c r="AX8" s="442"/>
      <c r="AY8" s="442"/>
      <c r="AZ8" s="442"/>
      <c r="BA8" s="442"/>
      <c r="BB8" s="442"/>
      <c r="BC8" s="442"/>
      <c r="BD8" s="442"/>
      <c r="BE8" s="442"/>
      <c r="BF8" s="442"/>
    </row>
    <row r="9" spans="1:59" ht="14.5" customHeight="1" x14ac:dyDescent="0.25">
      <c r="A9" s="50" t="str">
        <f t="shared" si="2"/>
        <v>CNFH503</v>
      </c>
      <c r="B9" s="13" t="s">
        <v>40</v>
      </c>
      <c r="C9" s="13">
        <v>50</v>
      </c>
      <c r="D9" s="13">
        <v>3</v>
      </c>
      <c r="E9" s="260" t="s">
        <v>41</v>
      </c>
      <c r="F9" s="261" t="str">
        <f t="shared" si="3"/>
        <v>Fall</v>
      </c>
      <c r="G9" s="262">
        <f>SUMIFS('[8]inland_taf_hatchgrp_tableraw&amp;yy'!G$3:G$38,'[8]inland_taf_hatchgrp_tableraw&amp;yy'!$AC$3:$AC$38,'2015 Table 11 CWTs exp'!$A9)</f>
        <v>0</v>
      </c>
      <c r="H9" s="263">
        <f>SUMIFS('[8]inland_taf_hatchgrp_tableraw&amp;yy'!H$3:H$38,'[8]inland_taf_hatchgrp_tableraw&amp;yy'!$AC$3:$AC$38,'2015 Table 11 CWTs exp'!$A9)</f>
        <v>0</v>
      </c>
      <c r="I9" s="264">
        <f>SUMIFS('[8]inland_taf_hatchgrp_tableraw&amp;yy'!I$3:I$38,'[8]inland_taf_hatchgrp_tableraw&amp;yy'!$AC$3:$AC$38,'2015 Table 11 CWTs exp'!$A9)</f>
        <v>9500</v>
      </c>
      <c r="J9" s="265">
        <f>SUMIFS('[8]inland_taf_hatchgrp_tableraw&amp;yy'!J$3:J$38,'[8]inland_taf_hatchgrp_tableraw&amp;yy'!$AC$3:$AC$38,'2015 Table 11 CWTs exp'!$A9)</f>
        <v>483</v>
      </c>
      <c r="K9" s="264">
        <f>SUMIFS('[8]inland_taf_hatchgrp_tableraw&amp;yy'!K$3:K$38,'[8]inland_taf_hatchgrp_tableraw&amp;yy'!$AC$3:$AC$38,'2015 Table 11 CWTs exp'!$A9)</f>
        <v>0</v>
      </c>
      <c r="L9" s="264">
        <f>SUMIFS('[8]inland_taf_hatchgrp_tableraw&amp;yy'!L$3:L$38,'[8]inland_taf_hatchgrp_tableraw&amp;yy'!$AC$3:$AC$38,'2015 Table 11 CWTs exp'!$A9)</f>
        <v>2</v>
      </c>
      <c r="M9" s="264">
        <f>SUMIFS('[8]inland_taf_hatchgrp_tableraw&amp;yy'!M$3:M$38,'[8]inland_taf_hatchgrp_tableraw&amp;yy'!$AC$3:$AC$38,'2015 Table 11 CWTs exp'!$A9)</f>
        <v>0</v>
      </c>
      <c r="N9" s="264">
        <f>SUMIFS('[8]inland_taf_hatchgrp_tableraw&amp;yy'!P$3:P$38,'[8]inland_taf_hatchgrp_tableraw&amp;yy'!$AC$3:$AC$38,'2015 Table 11 CWTs exp'!$A9)</f>
        <v>88</v>
      </c>
      <c r="O9" s="264">
        <f>SUMIFS('[8]inland_taf_hatchgrp_tableraw&amp;yy'!N$3:N$38,'[8]inland_taf_hatchgrp_tableraw&amp;yy'!$AC$3:$AC$38,'2015 Table 11 CWTs exp'!$A9)</f>
        <v>1489</v>
      </c>
      <c r="P9" s="264">
        <f>SUMIFS('[8]inland_taf_hatchgrp_tableraw&amp;yy'!O$3:O$38,'[8]inland_taf_hatchgrp_tableraw&amp;yy'!$AC$3:$AC$38,'2015 Table 11 CWTs exp'!$A9)</f>
        <v>105</v>
      </c>
      <c r="Q9" s="263">
        <f>SUMIFS('[8]inland_taf_hatchgrp_tableraw&amp;yy'!Q$3:Q$38,'[8]inland_taf_hatchgrp_tableraw&amp;yy'!$AC$3:$AC$38,'2015 Table 11 CWTs exp'!$A9)</f>
        <v>8</v>
      </c>
      <c r="R9" s="265">
        <f>SUMIFS('[8]inland_taf_hatchgrp_tableraw&amp;yy'!R$3:R$38,'[8]inland_taf_hatchgrp_tableraw&amp;yy'!$AC$3:$AC$38,'2015 Table 11 CWTs exp'!$A9)</f>
        <v>4</v>
      </c>
      <c r="S9" s="264">
        <f>SUMIFS('[8]inland_taf_hatchgrp_tableraw&amp;yy'!S$3:S$38,'[8]inland_taf_hatchgrp_tableraw&amp;yy'!$AC$3:$AC$38,'2015 Table 11 CWTs exp'!$A9)</f>
        <v>0</v>
      </c>
      <c r="T9" s="264">
        <f>SUMIFS('[8]inland_taf_hatchgrp_tableraw&amp;yy'!T$3:T$38,'[8]inland_taf_hatchgrp_tableraw&amp;yy'!$AC$3:$AC$38,'2015 Table 11 CWTs exp'!$A9)</f>
        <v>12</v>
      </c>
      <c r="U9" s="264">
        <f>SUMIFS('[8]inland_taf_hatchgrp_tableraw&amp;yy'!U$3:U$38,'[8]inland_taf_hatchgrp_tableraw&amp;yy'!$AC$3:$AC$38,'2015 Table 11 CWTs exp'!$A9)</f>
        <v>1</v>
      </c>
      <c r="V9" s="263">
        <f>SUMIFS('[8]inland_taf_hatchgrp_tableraw&amp;yy'!V$3:V$38,'[8]inland_taf_hatchgrp_tableraw&amp;yy'!$AC$3:$AC$38,'2015 Table 11 CWTs exp'!$A9)</f>
        <v>0</v>
      </c>
      <c r="W9" s="265">
        <f>SUMIFS('[8]inland_taf_hatchgrp_tableraw&amp;yy'!W$3:W$38,'[8]inland_taf_hatchgrp_tableraw&amp;yy'!$AC$3:$AC$38,'2015 Table 11 CWTs exp'!$A9)</f>
        <v>19</v>
      </c>
      <c r="X9" s="264">
        <f>SUMIFS('[8]inland_taf_hatchgrp_tableraw&amp;yy'!X$3:X$38,'[8]inland_taf_hatchgrp_tableraw&amp;yy'!$AC$3:$AC$38,'2015 Table 11 CWTs exp'!$A9)</f>
        <v>0</v>
      </c>
      <c r="Y9" s="266">
        <f>SUMIFS('[8]inland_taf_hatchgrp_tableraw&amp;yy'!Y$3:Y$38,'[8]inland_taf_hatchgrp_tableraw&amp;yy'!$AC$3:$AC$38,'2015 Table 11 CWTs exp'!$A9)</f>
        <v>11711</v>
      </c>
      <c r="Z9" s="267">
        <f>SUMIFS('[8]inland_taf_hatchgrp_tableraw&amp;yy'!Z$3:Z$38,'[8]inland_taf_hatchgrp_tableraw&amp;yy'!$AC$3:$AC$38,'2015 Table 11 CWTs exp'!$A9)</f>
        <v>4013</v>
      </c>
      <c r="AA9" s="264">
        <f>SUMIFS('[8]inland_taf_hatchgrp_tableraw&amp;yy'!AA$3:AA$38,'[8]inland_taf_hatchgrp_tableraw&amp;yy'!$AC$3:$AC$38,'2015 Table 11 CWTs exp'!$A9)</f>
        <v>15724</v>
      </c>
      <c r="AB9" s="38"/>
      <c r="AC9" s="603">
        <f>SUMIFS('[8]inland_taf_hatchgrp_tableraw&amp;yy'!AB$3:AB$38,'[8]inland_taf_hatchgrp_tableraw&amp;yy'!$AC$3:$AC$38,'2015 Table 11 CWTs exp'!$A9)</f>
        <v>0.745</v>
      </c>
      <c r="AD9" s="604" t="str">
        <f t="shared" si="0"/>
        <v>CNFH503</v>
      </c>
      <c r="AE9" s="603"/>
      <c r="AF9" s="622">
        <f t="shared" ref="AF9:AF16" si="4">Y9/AA9</f>
        <v>0.74478504197405238</v>
      </c>
      <c r="AG9" s="597"/>
      <c r="AH9" s="605">
        <f>1-AC9</f>
        <v>0.255</v>
      </c>
      <c r="AI9" s="447">
        <f>Z9</f>
        <v>4013</v>
      </c>
      <c r="AJ9" s="451"/>
      <c r="AK9" s="451">
        <v>4</v>
      </c>
      <c r="AL9" s="442" t="s">
        <v>42</v>
      </c>
      <c r="AM9" s="442"/>
      <c r="AN9" s="442"/>
      <c r="AO9" s="442"/>
      <c r="AP9" s="442"/>
      <c r="AQ9" s="442"/>
      <c r="AR9" s="442"/>
      <c r="AS9" s="442"/>
      <c r="AT9" s="442"/>
      <c r="AU9" s="442"/>
      <c r="AV9" s="442"/>
      <c r="AW9" s="442"/>
      <c r="AX9" s="442"/>
      <c r="AY9" s="442"/>
      <c r="AZ9" s="442"/>
      <c r="BA9" s="442"/>
      <c r="BB9" s="442"/>
      <c r="BC9" s="442"/>
      <c r="BD9" s="442"/>
      <c r="BE9" s="442"/>
      <c r="BF9" s="442"/>
    </row>
    <row r="10" spans="1:59" ht="14.5" customHeight="1" x14ac:dyDescent="0.25">
      <c r="A10" s="50" t="str">
        <f t="shared" si="2"/>
        <v>FRFH503</v>
      </c>
      <c r="B10" s="13" t="s">
        <v>45</v>
      </c>
      <c r="C10" s="13">
        <v>50</v>
      </c>
      <c r="D10" s="13">
        <v>3</v>
      </c>
      <c r="E10" s="3" t="s">
        <v>46</v>
      </c>
      <c r="F10" s="43" t="str">
        <f t="shared" si="3"/>
        <v>Fall</v>
      </c>
      <c r="G10" s="243">
        <f>SUMIFS('[8]inland_taf_hatchgrp_tableraw&amp;yy'!G$3:G$38,'[8]inland_taf_hatchgrp_tableraw&amp;yy'!$AC$3:$AC$38,'2015 Table 11 CWTs exp'!$A10)</f>
        <v>0</v>
      </c>
      <c r="H10" s="39">
        <f>SUMIFS('[8]inland_taf_hatchgrp_tableraw&amp;yy'!H$3:H$38,'[8]inland_taf_hatchgrp_tableraw&amp;yy'!$AC$3:$AC$38,'2015 Table 11 CWTs exp'!$A10)</f>
        <v>0</v>
      </c>
      <c r="I10" s="38">
        <f>SUMIFS('[8]inland_taf_hatchgrp_tableraw&amp;yy'!I$3:I$38,'[8]inland_taf_hatchgrp_tableraw&amp;yy'!$AC$3:$AC$38,'2015 Table 11 CWTs exp'!$A10)</f>
        <v>20</v>
      </c>
      <c r="J10" s="40">
        <f>SUMIFS('[8]inland_taf_hatchgrp_tableraw&amp;yy'!J$3:J$38,'[8]inland_taf_hatchgrp_tableraw&amp;yy'!$AC$3:$AC$38,'2015 Table 11 CWTs exp'!$A10)</f>
        <v>462</v>
      </c>
      <c r="K10" s="38">
        <f>SUMIFS('[8]inland_taf_hatchgrp_tableraw&amp;yy'!K$3:K$38,'[8]inland_taf_hatchgrp_tableraw&amp;yy'!$AC$3:$AC$38,'2015 Table 11 CWTs exp'!$A10)</f>
        <v>2080</v>
      </c>
      <c r="L10" s="38">
        <f>SUMIFS('[8]inland_taf_hatchgrp_tableraw&amp;yy'!L$3:L$38,'[8]inland_taf_hatchgrp_tableraw&amp;yy'!$AC$3:$AC$38,'2015 Table 11 CWTs exp'!$A10)</f>
        <v>1992</v>
      </c>
      <c r="M10" s="38">
        <f>SUMIFS('[8]inland_taf_hatchgrp_tableraw&amp;yy'!M$3:M$38,'[8]inland_taf_hatchgrp_tableraw&amp;yy'!$AC$3:$AC$38,'2015 Table 11 CWTs exp'!$A10)</f>
        <v>18</v>
      </c>
      <c r="N10" s="38">
        <f>SUMIFS('[8]inland_taf_hatchgrp_tableraw&amp;yy'!P$3:P$38,'[8]inland_taf_hatchgrp_tableraw&amp;yy'!$AC$3:$AC$38,'2015 Table 11 CWTs exp'!$A10)</f>
        <v>863</v>
      </c>
      <c r="O10" s="38">
        <f>SUMIFS('[8]inland_taf_hatchgrp_tableraw&amp;yy'!N$3:N$38,'[8]inland_taf_hatchgrp_tableraw&amp;yy'!$AC$3:$AC$38,'2015 Table 11 CWTs exp'!$A10)</f>
        <v>12043</v>
      </c>
      <c r="P10" s="38">
        <f>SUMIFS('[8]inland_taf_hatchgrp_tableraw&amp;yy'!O$3:O$38,'[8]inland_taf_hatchgrp_tableraw&amp;yy'!$AC$3:$AC$38,'2015 Table 11 CWTs exp'!$A10)</f>
        <v>794</v>
      </c>
      <c r="Q10" s="39">
        <f>SUMIFS('[8]inland_taf_hatchgrp_tableraw&amp;yy'!Q$3:Q$38,'[8]inland_taf_hatchgrp_tableraw&amp;yy'!$AC$3:$AC$38,'2015 Table 11 CWTs exp'!$A10)</f>
        <v>51</v>
      </c>
      <c r="R10" s="40">
        <f>SUMIFS('[8]inland_taf_hatchgrp_tableraw&amp;yy'!R$3:R$38,'[8]inland_taf_hatchgrp_tableraw&amp;yy'!$AC$3:$AC$38,'2015 Table 11 CWTs exp'!$A10)</f>
        <v>172</v>
      </c>
      <c r="S10" s="38">
        <f>SUMIFS('[8]inland_taf_hatchgrp_tableraw&amp;yy'!S$3:S$38,'[8]inland_taf_hatchgrp_tableraw&amp;yy'!$AC$3:$AC$38,'2015 Table 11 CWTs exp'!$A10)</f>
        <v>1</v>
      </c>
      <c r="T10" s="38">
        <f>SUMIFS('[8]inland_taf_hatchgrp_tableraw&amp;yy'!T$3:T$38,'[8]inland_taf_hatchgrp_tableraw&amp;yy'!$AC$3:$AC$38,'2015 Table 11 CWTs exp'!$A10)</f>
        <v>139</v>
      </c>
      <c r="U10" s="38">
        <f>SUMIFS('[8]inland_taf_hatchgrp_tableraw&amp;yy'!U$3:U$38,'[8]inland_taf_hatchgrp_tableraw&amp;yy'!$AC$3:$AC$38,'2015 Table 11 CWTs exp'!$A10)</f>
        <v>11</v>
      </c>
      <c r="V10" s="39">
        <f>SUMIFS('[8]inland_taf_hatchgrp_tableraw&amp;yy'!V$3:V$38,'[8]inland_taf_hatchgrp_tableraw&amp;yy'!$AC$3:$AC$38,'2015 Table 11 CWTs exp'!$A10)</f>
        <v>0</v>
      </c>
      <c r="W10" s="40">
        <f>SUMIFS('[8]inland_taf_hatchgrp_tableraw&amp;yy'!W$3:W$38,'[8]inland_taf_hatchgrp_tableraw&amp;yy'!$AC$3:$AC$38,'2015 Table 11 CWTs exp'!$A10)</f>
        <v>153</v>
      </c>
      <c r="X10" s="38">
        <f>SUMIFS('[8]inland_taf_hatchgrp_tableraw&amp;yy'!X$3:X$38,'[8]inland_taf_hatchgrp_tableraw&amp;yy'!$AC$3:$AC$38,'2015 Table 11 CWTs exp'!$A10)</f>
        <v>0</v>
      </c>
      <c r="Y10" s="41">
        <f>SUMIFS('[8]inland_taf_hatchgrp_tableraw&amp;yy'!Y$3:Y$38,'[8]inland_taf_hatchgrp_tableraw&amp;yy'!$AC$3:$AC$38,'2015 Table 11 CWTs exp'!$A10)</f>
        <v>18799</v>
      </c>
      <c r="Z10" s="42">
        <f>SUMIFS('[8]inland_taf_hatchgrp_tableraw&amp;yy'!Z$3:Z$38,'[8]inland_taf_hatchgrp_tableraw&amp;yy'!$AC$3:$AC$38,'2015 Table 11 CWTs exp'!$A10)</f>
        <v>2017</v>
      </c>
      <c r="AA10" s="38">
        <f>SUMIFS('[8]inland_taf_hatchgrp_tableraw&amp;yy'!AA$3:AA$38,'[8]inland_taf_hatchgrp_tableraw&amp;yy'!$AC$3:$AC$38,'2015 Table 11 CWTs exp'!$A10)</f>
        <v>20816</v>
      </c>
      <c r="AB10" s="38"/>
      <c r="AC10" s="603">
        <f>SUMIFS('[8]inland_taf_hatchgrp_tableraw&amp;yy'!AB$3:AB$38,'[8]inland_taf_hatchgrp_tableraw&amp;yy'!$AC$3:$AC$38,'2015 Table 11 CWTs exp'!$A10)</f>
        <v>0.90300000000000002</v>
      </c>
      <c r="AD10" s="604" t="str">
        <f t="shared" si="0"/>
        <v>FRFH503</v>
      </c>
      <c r="AE10" s="603"/>
      <c r="AF10" s="622">
        <f t="shared" si="4"/>
        <v>0.90310338201383555</v>
      </c>
      <c r="AG10" s="597"/>
      <c r="AH10" s="605">
        <f t="shared" ref="AH10:AH13" si="5">1-AC10</f>
        <v>9.6999999999999975E-2</v>
      </c>
      <c r="AI10" s="447">
        <f t="shared" ref="AI10:AI13" si="6">Z10</f>
        <v>2017</v>
      </c>
      <c r="AJ10" s="451"/>
      <c r="AK10" s="451">
        <v>7</v>
      </c>
      <c r="AL10" s="442" t="s">
        <v>49</v>
      </c>
      <c r="AM10" s="442"/>
      <c r="AN10" s="442"/>
      <c r="AO10" s="442"/>
      <c r="AP10" s="442"/>
      <c r="AQ10" s="442"/>
      <c r="AR10" s="442"/>
      <c r="AS10" s="442"/>
      <c r="AT10" s="442"/>
      <c r="AU10" s="442"/>
      <c r="AV10" s="442"/>
      <c r="AW10" s="442"/>
      <c r="AX10" s="442"/>
      <c r="AY10" s="442"/>
      <c r="AZ10" s="442"/>
      <c r="BA10" s="442"/>
      <c r="BB10" s="442"/>
      <c r="BC10" s="442"/>
      <c r="BD10" s="442"/>
      <c r="BE10" s="442"/>
      <c r="BF10" s="442"/>
    </row>
    <row r="11" spans="1:59" ht="14.5" customHeight="1" x14ac:dyDescent="0.25">
      <c r="A11" s="50" t="str">
        <f t="shared" si="2"/>
        <v>NBFH503</v>
      </c>
      <c r="B11" s="13" t="s">
        <v>50</v>
      </c>
      <c r="C11" s="13">
        <v>50</v>
      </c>
      <c r="D11" s="13">
        <v>3</v>
      </c>
      <c r="E11" s="3" t="s">
        <v>51</v>
      </c>
      <c r="F11" s="43" t="str">
        <f t="shared" si="3"/>
        <v>Fall</v>
      </c>
      <c r="G11" s="243">
        <f>SUMIFS('[8]inland_taf_hatchgrp_tableraw&amp;yy'!G$3:G$38,'[8]inland_taf_hatchgrp_tableraw&amp;yy'!$AC$3:$AC$38,'2015 Table 11 CWTs exp'!$A11)</f>
        <v>0</v>
      </c>
      <c r="H11" s="39">
        <f>SUMIFS('[8]inland_taf_hatchgrp_tableraw&amp;yy'!H$3:H$38,'[8]inland_taf_hatchgrp_tableraw&amp;yy'!$AC$3:$AC$38,'2015 Table 11 CWTs exp'!$A11)</f>
        <v>1</v>
      </c>
      <c r="I11" s="38">
        <f>SUMIFS('[8]inland_taf_hatchgrp_tableraw&amp;yy'!I$3:I$38,'[8]inland_taf_hatchgrp_tableraw&amp;yy'!$AC$3:$AC$38,'2015 Table 11 CWTs exp'!$A11)</f>
        <v>0</v>
      </c>
      <c r="J11" s="40">
        <f>SUMIFS('[8]inland_taf_hatchgrp_tableraw&amp;yy'!J$3:J$38,'[8]inland_taf_hatchgrp_tableraw&amp;yy'!$AC$3:$AC$38,'2015 Table 11 CWTs exp'!$A11)</f>
        <v>217</v>
      </c>
      <c r="K11" s="38">
        <f>SUMIFS('[8]inland_taf_hatchgrp_tableraw&amp;yy'!K$3:K$38,'[8]inland_taf_hatchgrp_tableraw&amp;yy'!$AC$3:$AC$38,'2015 Table 11 CWTs exp'!$A11)</f>
        <v>0</v>
      </c>
      <c r="L11" s="38">
        <f>SUMIFS('[8]inland_taf_hatchgrp_tableraw&amp;yy'!L$3:L$38,'[8]inland_taf_hatchgrp_tableraw&amp;yy'!$AC$3:$AC$38,'2015 Table 11 CWTs exp'!$A11)</f>
        <v>0</v>
      </c>
      <c r="M11" s="38">
        <f>SUMIFS('[8]inland_taf_hatchgrp_tableraw&amp;yy'!M$3:M$38,'[8]inland_taf_hatchgrp_tableraw&amp;yy'!$AC$3:$AC$38,'2015 Table 11 CWTs exp'!$A11)</f>
        <v>0</v>
      </c>
      <c r="N11" s="38">
        <f>SUMIFS('[8]inland_taf_hatchgrp_tableraw&amp;yy'!P$3:P$38,'[8]inland_taf_hatchgrp_tableraw&amp;yy'!$AC$3:$AC$38,'2015 Table 11 CWTs exp'!$A11)</f>
        <v>4</v>
      </c>
      <c r="O11" s="38">
        <f>SUMIFS('[8]inland_taf_hatchgrp_tableraw&amp;yy'!N$3:N$38,'[8]inland_taf_hatchgrp_tableraw&amp;yy'!$AC$3:$AC$38,'2015 Table 11 CWTs exp'!$A11)</f>
        <v>251</v>
      </c>
      <c r="P11" s="38">
        <f>SUMIFS('[8]inland_taf_hatchgrp_tableraw&amp;yy'!O$3:O$38,'[8]inland_taf_hatchgrp_tableraw&amp;yy'!$AC$3:$AC$38,'2015 Table 11 CWTs exp'!$A11)</f>
        <v>25</v>
      </c>
      <c r="Q11" s="39">
        <f>SUMIFS('[8]inland_taf_hatchgrp_tableraw&amp;yy'!Q$3:Q$38,'[8]inland_taf_hatchgrp_tableraw&amp;yy'!$AC$3:$AC$38,'2015 Table 11 CWTs exp'!$A11)</f>
        <v>2324</v>
      </c>
      <c r="R11" s="40">
        <f>SUMIFS('[8]inland_taf_hatchgrp_tableraw&amp;yy'!R$3:R$38,'[8]inland_taf_hatchgrp_tableraw&amp;yy'!$AC$3:$AC$38,'2015 Table 11 CWTs exp'!$A11)</f>
        <v>2392</v>
      </c>
      <c r="S11" s="38">
        <f>SUMIFS('[8]inland_taf_hatchgrp_tableraw&amp;yy'!S$3:S$38,'[8]inland_taf_hatchgrp_tableraw&amp;yy'!$AC$3:$AC$38,'2015 Table 11 CWTs exp'!$A11)</f>
        <v>9</v>
      </c>
      <c r="T11" s="38">
        <f>SUMIFS('[8]inland_taf_hatchgrp_tableraw&amp;yy'!T$3:T$38,'[8]inland_taf_hatchgrp_tableraw&amp;yy'!$AC$3:$AC$38,'2015 Table 11 CWTs exp'!$A11)</f>
        <v>2378</v>
      </c>
      <c r="U11" s="38">
        <f>SUMIFS('[8]inland_taf_hatchgrp_tableraw&amp;yy'!U$3:U$38,'[8]inland_taf_hatchgrp_tableraw&amp;yy'!$AC$3:$AC$38,'2015 Table 11 CWTs exp'!$A11)</f>
        <v>183</v>
      </c>
      <c r="V11" s="39">
        <f>SUMIFS('[8]inland_taf_hatchgrp_tableraw&amp;yy'!V$3:V$38,'[8]inland_taf_hatchgrp_tableraw&amp;yy'!$AC$3:$AC$38,'2015 Table 11 CWTs exp'!$A11)</f>
        <v>0</v>
      </c>
      <c r="W11" s="40">
        <f>SUMIFS('[8]inland_taf_hatchgrp_tableraw&amp;yy'!W$3:W$38,'[8]inland_taf_hatchgrp_tableraw&amp;yy'!$AC$3:$AC$38,'2015 Table 11 CWTs exp'!$A11)</f>
        <v>339</v>
      </c>
      <c r="X11" s="38">
        <f>SUMIFS('[8]inland_taf_hatchgrp_tableraw&amp;yy'!X$3:X$38,'[8]inland_taf_hatchgrp_tableraw&amp;yy'!$AC$3:$AC$38,'2015 Table 11 CWTs exp'!$A11)</f>
        <v>5</v>
      </c>
      <c r="Y11" s="41">
        <f>SUMIFS('[8]inland_taf_hatchgrp_tableraw&amp;yy'!Y$3:Y$38,'[8]inland_taf_hatchgrp_tableraw&amp;yy'!$AC$3:$AC$38,'2015 Table 11 CWTs exp'!$A11)</f>
        <v>8129</v>
      </c>
      <c r="Z11" s="42">
        <f>SUMIFS('[8]inland_taf_hatchgrp_tableraw&amp;yy'!Z$3:Z$38,'[8]inland_taf_hatchgrp_tableraw&amp;yy'!$AC$3:$AC$38,'2015 Table 11 CWTs exp'!$A11)</f>
        <v>1693</v>
      </c>
      <c r="AA11" s="38">
        <f>SUMIFS('[8]inland_taf_hatchgrp_tableraw&amp;yy'!AA$3:AA$38,'[8]inland_taf_hatchgrp_tableraw&amp;yy'!$AC$3:$AC$38,'2015 Table 11 CWTs exp'!$A11)</f>
        <v>9822</v>
      </c>
      <c r="AB11" s="38"/>
      <c r="AC11" s="603">
        <f>SUMIFS('[8]inland_taf_hatchgrp_tableraw&amp;yy'!AB$3:AB$38,'[8]inland_taf_hatchgrp_tableraw&amp;yy'!$AC$3:$AC$38,'2015 Table 11 CWTs exp'!$A11)</f>
        <v>0.82799999999999996</v>
      </c>
      <c r="AD11" s="604" t="str">
        <f t="shared" si="0"/>
        <v>NBFH503</v>
      </c>
      <c r="AE11" s="603"/>
      <c r="AF11" s="622">
        <f t="shared" si="4"/>
        <v>0.82763184687436364</v>
      </c>
      <c r="AG11" s="597"/>
      <c r="AH11" s="605">
        <f t="shared" si="5"/>
        <v>0.17200000000000004</v>
      </c>
      <c r="AI11" s="447">
        <f t="shared" si="6"/>
        <v>1693</v>
      </c>
      <c r="AJ11" s="451"/>
      <c r="AK11" s="451"/>
      <c r="AL11" s="442"/>
      <c r="AM11" s="442"/>
      <c r="AN11" s="442"/>
      <c r="AO11" s="442"/>
      <c r="AP11" s="442"/>
      <c r="AQ11" s="442"/>
      <c r="AR11" s="442"/>
      <c r="AS11" s="442"/>
      <c r="AT11" s="442"/>
      <c r="AU11" s="442"/>
      <c r="AV11" s="442"/>
      <c r="AW11" s="442"/>
      <c r="AX11" s="442"/>
      <c r="AY11" s="442"/>
      <c r="AZ11" s="442"/>
      <c r="BA11" s="442"/>
      <c r="BB11" s="442"/>
      <c r="BC11" s="442"/>
      <c r="BD11" s="442"/>
      <c r="BE11" s="442"/>
      <c r="BF11" s="442"/>
    </row>
    <row r="12" spans="1:59" ht="14.5" customHeight="1" x14ac:dyDescent="0.25">
      <c r="A12" s="50" t="str">
        <f t="shared" si="2"/>
        <v>MRFI503</v>
      </c>
      <c r="B12" s="13" t="s">
        <v>52</v>
      </c>
      <c r="C12" s="13">
        <v>50</v>
      </c>
      <c r="D12" s="13">
        <v>3</v>
      </c>
      <c r="E12" s="3" t="s">
        <v>53</v>
      </c>
      <c r="F12" s="43" t="str">
        <f t="shared" si="3"/>
        <v>Fall</v>
      </c>
      <c r="G12" s="243">
        <f>SUMIFS('[8]inland_taf_hatchgrp_tableraw&amp;yy'!G$3:G$38,'[8]inland_taf_hatchgrp_tableraw&amp;yy'!$AC$3:$AC$38,'2015 Table 11 CWTs exp'!$A12)</f>
        <v>0</v>
      </c>
      <c r="H12" s="39">
        <f>SUMIFS('[8]inland_taf_hatchgrp_tableraw&amp;yy'!H$3:H$38,'[8]inland_taf_hatchgrp_tableraw&amp;yy'!$AC$3:$AC$38,'2015 Table 11 CWTs exp'!$A12)</f>
        <v>1</v>
      </c>
      <c r="I12" s="38">
        <f>SUMIFS('[8]inland_taf_hatchgrp_tableraw&amp;yy'!I$3:I$38,'[8]inland_taf_hatchgrp_tableraw&amp;yy'!$AC$3:$AC$38,'2015 Table 11 CWTs exp'!$A12)</f>
        <v>0</v>
      </c>
      <c r="J12" s="40">
        <f>SUMIFS('[8]inland_taf_hatchgrp_tableraw&amp;yy'!J$3:J$38,'[8]inland_taf_hatchgrp_tableraw&amp;yy'!$AC$3:$AC$38,'2015 Table 11 CWTs exp'!$A12)</f>
        <v>265</v>
      </c>
      <c r="K12" s="38">
        <f>SUMIFS('[8]inland_taf_hatchgrp_tableraw&amp;yy'!K$3:K$38,'[8]inland_taf_hatchgrp_tableraw&amp;yy'!$AC$3:$AC$38,'2015 Table 11 CWTs exp'!$A12)</f>
        <v>0</v>
      </c>
      <c r="L12" s="38">
        <f>SUMIFS('[8]inland_taf_hatchgrp_tableraw&amp;yy'!L$3:L$38,'[8]inland_taf_hatchgrp_tableraw&amp;yy'!$AC$3:$AC$38,'2015 Table 11 CWTs exp'!$A12)</f>
        <v>2</v>
      </c>
      <c r="M12" s="38">
        <f>SUMIFS('[8]inland_taf_hatchgrp_tableraw&amp;yy'!M$3:M$38,'[8]inland_taf_hatchgrp_tableraw&amp;yy'!$AC$3:$AC$38,'2015 Table 11 CWTs exp'!$A12)</f>
        <v>0</v>
      </c>
      <c r="N12" s="38">
        <f>SUMIFS('[8]inland_taf_hatchgrp_tableraw&amp;yy'!P$3:P$38,'[8]inland_taf_hatchgrp_tableraw&amp;yy'!$AC$3:$AC$38,'2015 Table 11 CWTs exp'!$A12)</f>
        <v>5</v>
      </c>
      <c r="O12" s="38">
        <f>SUMIFS('[8]inland_taf_hatchgrp_tableraw&amp;yy'!N$3:N$38,'[8]inland_taf_hatchgrp_tableraw&amp;yy'!$AC$3:$AC$38,'2015 Table 11 CWTs exp'!$A12)</f>
        <v>282</v>
      </c>
      <c r="P12" s="38">
        <f>SUMIFS('[8]inland_taf_hatchgrp_tableraw&amp;yy'!O$3:O$38,'[8]inland_taf_hatchgrp_tableraw&amp;yy'!$AC$3:$AC$38,'2015 Table 11 CWTs exp'!$A12)</f>
        <v>31</v>
      </c>
      <c r="Q12" s="39">
        <f>SUMIFS('[8]inland_taf_hatchgrp_tableraw&amp;yy'!Q$3:Q$38,'[8]inland_taf_hatchgrp_tableraw&amp;yy'!$AC$3:$AC$38,'2015 Table 11 CWTs exp'!$A12)</f>
        <v>0</v>
      </c>
      <c r="R12" s="40">
        <f>SUMIFS('[8]inland_taf_hatchgrp_tableraw&amp;yy'!R$3:R$38,'[8]inland_taf_hatchgrp_tableraw&amp;yy'!$AC$3:$AC$38,'2015 Table 11 CWTs exp'!$A12)</f>
        <v>833</v>
      </c>
      <c r="S12" s="38">
        <f>SUMIFS('[8]inland_taf_hatchgrp_tableraw&amp;yy'!S$3:S$38,'[8]inland_taf_hatchgrp_tableraw&amp;yy'!$AC$3:$AC$38,'2015 Table 11 CWTs exp'!$A12)</f>
        <v>107</v>
      </c>
      <c r="T12" s="38">
        <f>SUMIFS('[8]inland_taf_hatchgrp_tableraw&amp;yy'!T$3:T$38,'[8]inland_taf_hatchgrp_tableraw&amp;yy'!$AC$3:$AC$38,'2015 Table 11 CWTs exp'!$A12)</f>
        <v>5757</v>
      </c>
      <c r="U12" s="38">
        <f>SUMIFS('[8]inland_taf_hatchgrp_tableraw&amp;yy'!U$3:U$38,'[8]inland_taf_hatchgrp_tableraw&amp;yy'!$AC$3:$AC$38,'2015 Table 11 CWTs exp'!$A12)</f>
        <v>212</v>
      </c>
      <c r="V12" s="39">
        <f>SUMIFS('[8]inland_taf_hatchgrp_tableraw&amp;yy'!V$3:V$38,'[8]inland_taf_hatchgrp_tableraw&amp;yy'!$AC$3:$AC$38,'2015 Table 11 CWTs exp'!$A12)</f>
        <v>0</v>
      </c>
      <c r="W12" s="40">
        <f>SUMIFS('[8]inland_taf_hatchgrp_tableraw&amp;yy'!W$3:W$38,'[8]inland_taf_hatchgrp_tableraw&amp;yy'!$AC$3:$AC$38,'2015 Table 11 CWTs exp'!$A12)</f>
        <v>456</v>
      </c>
      <c r="X12" s="38">
        <f>SUMIFS('[8]inland_taf_hatchgrp_tableraw&amp;yy'!X$3:X$38,'[8]inland_taf_hatchgrp_tableraw&amp;yy'!$AC$3:$AC$38,'2015 Table 11 CWTs exp'!$A12)</f>
        <v>0</v>
      </c>
      <c r="Y12" s="41">
        <f>SUMIFS('[8]inland_taf_hatchgrp_tableraw&amp;yy'!Y$3:Y$38,'[8]inland_taf_hatchgrp_tableraw&amp;yy'!$AC$3:$AC$38,'2015 Table 11 CWTs exp'!$A12)</f>
        <v>7951</v>
      </c>
      <c r="Z12" s="42">
        <f>SUMIFS('[8]inland_taf_hatchgrp_tableraw&amp;yy'!Z$3:Z$38,'[8]inland_taf_hatchgrp_tableraw&amp;yy'!$AC$3:$AC$38,'2015 Table 11 CWTs exp'!$A12)</f>
        <v>347</v>
      </c>
      <c r="AA12" s="38">
        <f>SUMIFS('[8]inland_taf_hatchgrp_tableraw&amp;yy'!AA$3:AA$38,'[8]inland_taf_hatchgrp_tableraw&amp;yy'!$AC$3:$AC$38,'2015 Table 11 CWTs exp'!$A12)</f>
        <v>8298</v>
      </c>
      <c r="AB12" s="38"/>
      <c r="AC12" s="603">
        <f>SUMIFS('[8]inland_taf_hatchgrp_tableraw&amp;yy'!AB$3:AB$38,'[8]inland_taf_hatchgrp_tableraw&amp;yy'!$AC$3:$AC$38,'2015 Table 11 CWTs exp'!$A12)</f>
        <v>0.95799999999999996</v>
      </c>
      <c r="AD12" s="604" t="str">
        <f t="shared" si="0"/>
        <v>MRFI503</v>
      </c>
      <c r="AE12" s="603"/>
      <c r="AF12" s="622">
        <f t="shared" si="4"/>
        <v>0.95818269462521088</v>
      </c>
      <c r="AG12" s="597"/>
      <c r="AH12" s="605">
        <f t="shared" si="5"/>
        <v>4.2000000000000037E-2</v>
      </c>
      <c r="AI12" s="447">
        <f t="shared" si="6"/>
        <v>347</v>
      </c>
      <c r="AJ12" s="451"/>
      <c r="AK12" s="451"/>
      <c r="AL12" s="442"/>
      <c r="AM12" s="442"/>
      <c r="AN12" s="442"/>
      <c r="AO12" s="442"/>
      <c r="AP12" s="442"/>
      <c r="AQ12" s="442"/>
      <c r="AR12" s="442"/>
      <c r="AS12" s="442"/>
      <c r="AT12" s="442"/>
      <c r="AU12" s="442"/>
      <c r="AV12" s="442"/>
      <c r="AW12" s="442"/>
      <c r="AX12" s="442"/>
      <c r="AY12" s="442"/>
      <c r="AZ12" s="442"/>
      <c r="BA12" s="442"/>
      <c r="BB12" s="442"/>
      <c r="BC12" s="442"/>
      <c r="BD12" s="442"/>
      <c r="BE12" s="442"/>
      <c r="BF12" s="442"/>
    </row>
    <row r="13" spans="1:59" ht="14.5" customHeight="1" x14ac:dyDescent="0.25">
      <c r="A13" s="50" t="str">
        <f t="shared" si="2"/>
        <v>MRFF503</v>
      </c>
      <c r="B13" s="13" t="s">
        <v>54</v>
      </c>
      <c r="C13" s="13">
        <v>50</v>
      </c>
      <c r="D13" s="13">
        <v>3</v>
      </c>
      <c r="E13" s="268" t="s">
        <v>55</v>
      </c>
      <c r="F13" s="269" t="str">
        <f t="shared" si="3"/>
        <v>Fall</v>
      </c>
      <c r="G13" s="270">
        <f>SUMIFS('[8]inland_taf_hatchgrp_tableraw&amp;yy'!G$3:G$38,'[8]inland_taf_hatchgrp_tableraw&amp;yy'!$AC$3:$AC$38,'2015 Table 11 CWTs exp'!$A13)</f>
        <v>0</v>
      </c>
      <c r="H13" s="271">
        <f>SUMIFS('[8]inland_taf_hatchgrp_tableraw&amp;yy'!H$3:H$38,'[8]inland_taf_hatchgrp_tableraw&amp;yy'!$AC$3:$AC$38,'2015 Table 11 CWTs exp'!$A13)</f>
        <v>0</v>
      </c>
      <c r="I13" s="272">
        <f>SUMIFS('[8]inland_taf_hatchgrp_tableraw&amp;yy'!I$3:I$38,'[8]inland_taf_hatchgrp_tableraw&amp;yy'!$AC$3:$AC$38,'2015 Table 11 CWTs exp'!$A13)</f>
        <v>0</v>
      </c>
      <c r="J13" s="273">
        <f>SUMIFS('[8]inland_taf_hatchgrp_tableraw&amp;yy'!J$3:J$38,'[8]inland_taf_hatchgrp_tableraw&amp;yy'!$AC$3:$AC$38,'2015 Table 11 CWTs exp'!$A13)</f>
        <v>43</v>
      </c>
      <c r="K13" s="272">
        <f>SUMIFS('[8]inland_taf_hatchgrp_tableraw&amp;yy'!K$3:K$38,'[8]inland_taf_hatchgrp_tableraw&amp;yy'!$AC$3:$AC$38,'2015 Table 11 CWTs exp'!$A13)</f>
        <v>0</v>
      </c>
      <c r="L13" s="272">
        <f>SUMIFS('[8]inland_taf_hatchgrp_tableraw&amp;yy'!L$3:L$38,'[8]inland_taf_hatchgrp_tableraw&amp;yy'!$AC$3:$AC$38,'2015 Table 11 CWTs exp'!$A13)</f>
        <v>0</v>
      </c>
      <c r="M13" s="272">
        <f>SUMIFS('[8]inland_taf_hatchgrp_tableraw&amp;yy'!M$3:M$38,'[8]inland_taf_hatchgrp_tableraw&amp;yy'!$AC$3:$AC$38,'2015 Table 11 CWTs exp'!$A13)</f>
        <v>0</v>
      </c>
      <c r="N13" s="272">
        <f>SUMIFS('[8]inland_taf_hatchgrp_tableraw&amp;yy'!P$3:P$38,'[8]inland_taf_hatchgrp_tableraw&amp;yy'!$AC$3:$AC$38,'2015 Table 11 CWTs exp'!$A13)</f>
        <v>0</v>
      </c>
      <c r="O13" s="272">
        <f>SUMIFS('[8]inland_taf_hatchgrp_tableraw&amp;yy'!N$3:N$38,'[8]inland_taf_hatchgrp_tableraw&amp;yy'!$AC$3:$AC$38,'2015 Table 11 CWTs exp'!$A13)</f>
        <v>69</v>
      </c>
      <c r="P13" s="272">
        <f>SUMIFS('[8]inland_taf_hatchgrp_tableraw&amp;yy'!O$3:O$38,'[8]inland_taf_hatchgrp_tableraw&amp;yy'!$AC$3:$AC$38,'2015 Table 11 CWTs exp'!$A13)</f>
        <v>6</v>
      </c>
      <c r="Q13" s="271">
        <f>SUMIFS('[8]inland_taf_hatchgrp_tableraw&amp;yy'!Q$3:Q$38,'[8]inland_taf_hatchgrp_tableraw&amp;yy'!$AC$3:$AC$38,'2015 Table 11 CWTs exp'!$A13)</f>
        <v>0</v>
      </c>
      <c r="R13" s="273">
        <f>SUMIFS('[8]inland_taf_hatchgrp_tableraw&amp;yy'!R$3:R$38,'[8]inland_taf_hatchgrp_tableraw&amp;yy'!$AC$3:$AC$38,'2015 Table 11 CWTs exp'!$A13)</f>
        <v>34</v>
      </c>
      <c r="S13" s="272">
        <f>SUMIFS('[8]inland_taf_hatchgrp_tableraw&amp;yy'!S$3:S$38,'[8]inland_taf_hatchgrp_tableraw&amp;yy'!$AC$3:$AC$38,'2015 Table 11 CWTs exp'!$A13)</f>
        <v>0</v>
      </c>
      <c r="T13" s="272">
        <f>SUMIFS('[8]inland_taf_hatchgrp_tableraw&amp;yy'!T$3:T$38,'[8]inland_taf_hatchgrp_tableraw&amp;yy'!$AC$3:$AC$38,'2015 Table 11 CWTs exp'!$A13)</f>
        <v>741</v>
      </c>
      <c r="U13" s="272">
        <f>SUMIFS('[8]inland_taf_hatchgrp_tableraw&amp;yy'!U$3:U$38,'[8]inland_taf_hatchgrp_tableraw&amp;yy'!$AC$3:$AC$38,'2015 Table 11 CWTs exp'!$A13)</f>
        <v>24</v>
      </c>
      <c r="V13" s="271">
        <f>SUMIFS('[8]inland_taf_hatchgrp_tableraw&amp;yy'!V$3:V$38,'[8]inland_taf_hatchgrp_tableraw&amp;yy'!$AC$3:$AC$38,'2015 Table 11 CWTs exp'!$A13)</f>
        <v>0</v>
      </c>
      <c r="W13" s="273">
        <f>SUMIFS('[8]inland_taf_hatchgrp_tableraw&amp;yy'!W$3:W$38,'[8]inland_taf_hatchgrp_tableraw&amp;yy'!$AC$3:$AC$38,'2015 Table 11 CWTs exp'!$A13)</f>
        <v>142</v>
      </c>
      <c r="X13" s="272">
        <f>SUMIFS('[8]inland_taf_hatchgrp_tableraw&amp;yy'!X$3:X$38,'[8]inland_taf_hatchgrp_tableraw&amp;yy'!$AC$3:$AC$38,'2015 Table 11 CWTs exp'!$A13)</f>
        <v>0</v>
      </c>
      <c r="Y13" s="274">
        <f>SUMIFS('[8]inland_taf_hatchgrp_tableraw&amp;yy'!Y$3:Y$38,'[8]inland_taf_hatchgrp_tableraw&amp;yy'!$AC$3:$AC$38,'2015 Table 11 CWTs exp'!$A13)</f>
        <v>1058</v>
      </c>
      <c r="Z13" s="275">
        <f>SUMIFS('[8]inland_taf_hatchgrp_tableraw&amp;yy'!Z$3:Z$38,'[8]inland_taf_hatchgrp_tableraw&amp;yy'!$AC$3:$AC$38,'2015 Table 11 CWTs exp'!$A13)</f>
        <v>140</v>
      </c>
      <c r="AA13" s="272">
        <f>SUMIFS('[8]inland_taf_hatchgrp_tableraw&amp;yy'!AA$3:AA$38,'[8]inland_taf_hatchgrp_tableraw&amp;yy'!$AC$3:$AC$38,'2015 Table 11 CWTs exp'!$A13)</f>
        <v>1198</v>
      </c>
      <c r="AB13" s="38"/>
      <c r="AC13" s="603">
        <f>SUMIFS('[8]inland_taf_hatchgrp_tableraw&amp;yy'!AB$3:AB$38,'[8]inland_taf_hatchgrp_tableraw&amp;yy'!$AC$3:$AC$38,'2015 Table 11 CWTs exp'!$A13)</f>
        <v>0.88300000000000001</v>
      </c>
      <c r="AD13" s="604" t="str">
        <f t="shared" si="0"/>
        <v>MRFF503</v>
      </c>
      <c r="AE13" s="603"/>
      <c r="AF13" s="622">
        <f t="shared" si="4"/>
        <v>0.88313856427378967</v>
      </c>
      <c r="AG13" s="597"/>
      <c r="AH13" s="605">
        <f t="shared" si="5"/>
        <v>0.11699999999999999</v>
      </c>
      <c r="AI13" s="447">
        <f t="shared" si="6"/>
        <v>140</v>
      </c>
      <c r="AJ13" s="451"/>
      <c r="AK13" s="451"/>
      <c r="AL13" s="442"/>
      <c r="AM13" s="442"/>
      <c r="AN13" s="442"/>
      <c r="AO13" s="442"/>
      <c r="AP13" s="442"/>
      <c r="AQ13" s="442"/>
      <c r="AR13" s="442"/>
      <c r="AS13" s="442"/>
      <c r="AT13" s="442"/>
      <c r="AU13" s="442"/>
      <c r="AV13" s="442"/>
      <c r="AW13" s="442"/>
      <c r="AX13" s="442"/>
      <c r="AY13" s="442"/>
      <c r="AZ13" s="442"/>
      <c r="BA13" s="442"/>
      <c r="BB13" s="442"/>
      <c r="BC13" s="442"/>
      <c r="BD13" s="442"/>
      <c r="BE13" s="442"/>
      <c r="BF13" s="442"/>
    </row>
    <row r="14" spans="1:59" ht="14.5" customHeight="1" x14ac:dyDescent="0.25">
      <c r="A14" s="50" t="str">
        <f t="shared" si="2"/>
        <v>CNFH507</v>
      </c>
      <c r="B14" s="13" t="s">
        <v>40</v>
      </c>
      <c r="C14" s="13">
        <v>50</v>
      </c>
      <c r="D14" s="13">
        <v>7</v>
      </c>
      <c r="E14" s="3" t="s">
        <v>56</v>
      </c>
      <c r="F14" s="37" t="s">
        <v>57</v>
      </c>
      <c r="G14" s="243">
        <f>SUMIFS('[8]inland_taf_hatchgrp_tableraw&amp;yy'!G$3:G$38,'[8]inland_taf_hatchgrp_tableraw&amp;yy'!$AC$3:$AC$38,'2015 Table 11 CWTs exp'!$A14)</f>
        <v>0</v>
      </c>
      <c r="H14" s="39">
        <f>SUMIFS('[8]inland_taf_hatchgrp_tableraw&amp;yy'!H$3:H$38,'[8]inland_taf_hatchgrp_tableraw&amp;yy'!$AC$3:$AC$38,'2015 Table 11 CWTs exp'!$A14)</f>
        <v>2348</v>
      </c>
      <c r="I14" s="38">
        <f>SUMIFS('[8]inland_taf_hatchgrp_tableraw&amp;yy'!I$3:I$38,'[8]inland_taf_hatchgrp_tableraw&amp;yy'!$AC$3:$AC$38,'2015 Table 11 CWTs exp'!$A14)</f>
        <v>0</v>
      </c>
      <c r="J14" s="40">
        <f>SUMIFS('[8]inland_taf_hatchgrp_tableraw&amp;yy'!J$3:J$38,'[8]inland_taf_hatchgrp_tableraw&amp;yy'!$AC$3:$AC$38,'2015 Table 11 CWTs exp'!$A14)</f>
        <v>0</v>
      </c>
      <c r="K14" s="38">
        <f>SUMIFS('[8]inland_taf_hatchgrp_tableraw&amp;yy'!K$3:K$38,'[8]inland_taf_hatchgrp_tableraw&amp;yy'!$AC$3:$AC$38,'2015 Table 11 CWTs exp'!$A14)</f>
        <v>0</v>
      </c>
      <c r="L14" s="38">
        <f>SUMIFS('[8]inland_taf_hatchgrp_tableraw&amp;yy'!L$3:L$38,'[8]inland_taf_hatchgrp_tableraw&amp;yy'!$AC$3:$AC$38,'2015 Table 11 CWTs exp'!$A14)</f>
        <v>0</v>
      </c>
      <c r="M14" s="38">
        <f>SUMIFS('[8]inland_taf_hatchgrp_tableraw&amp;yy'!M$3:M$38,'[8]inland_taf_hatchgrp_tableraw&amp;yy'!$AC$3:$AC$38,'2015 Table 11 CWTs exp'!$A14)</f>
        <v>0</v>
      </c>
      <c r="N14" s="38">
        <f>SUMIFS('[8]inland_taf_hatchgrp_tableraw&amp;yy'!P$3:P$38,'[8]inland_taf_hatchgrp_tableraw&amp;yy'!$AC$3:$AC$38,'2015 Table 11 CWTs exp'!$A14)</f>
        <v>0</v>
      </c>
      <c r="O14" s="38">
        <f>SUMIFS('[8]inland_taf_hatchgrp_tableraw&amp;yy'!N$3:N$38,'[8]inland_taf_hatchgrp_tableraw&amp;yy'!$AC$3:$AC$38,'2015 Table 11 CWTs exp'!$A14)</f>
        <v>0</v>
      </c>
      <c r="P14" s="38">
        <f>SUMIFS('[8]inland_taf_hatchgrp_tableraw&amp;yy'!O$3:O$38,'[8]inland_taf_hatchgrp_tableraw&amp;yy'!$AC$3:$AC$38,'2015 Table 11 CWTs exp'!$A14)</f>
        <v>0</v>
      </c>
      <c r="Q14" s="39">
        <f>SUMIFS('[8]inland_taf_hatchgrp_tableraw&amp;yy'!Q$3:Q$38,'[8]inland_taf_hatchgrp_tableraw&amp;yy'!$AC$3:$AC$38,'2015 Table 11 CWTs exp'!$A14)</f>
        <v>0</v>
      </c>
      <c r="R14" s="40">
        <f>SUMIFS('[8]inland_taf_hatchgrp_tableraw&amp;yy'!R$3:R$38,'[8]inland_taf_hatchgrp_tableraw&amp;yy'!$AC$3:$AC$38,'2015 Table 11 CWTs exp'!$A14)</f>
        <v>0</v>
      </c>
      <c r="S14" s="38">
        <f>SUMIFS('[8]inland_taf_hatchgrp_tableraw&amp;yy'!S$3:S$38,'[8]inland_taf_hatchgrp_tableraw&amp;yy'!$AC$3:$AC$38,'2015 Table 11 CWTs exp'!$A14)</f>
        <v>0</v>
      </c>
      <c r="T14" s="38">
        <f>SUMIFS('[8]inland_taf_hatchgrp_tableraw&amp;yy'!T$3:T$38,'[8]inland_taf_hatchgrp_tableraw&amp;yy'!$AC$3:$AC$38,'2015 Table 11 CWTs exp'!$A14)</f>
        <v>0</v>
      </c>
      <c r="U14" s="38">
        <f>SUMIFS('[8]inland_taf_hatchgrp_tableraw&amp;yy'!U$3:U$38,'[8]inland_taf_hatchgrp_tableraw&amp;yy'!$AC$3:$AC$38,'2015 Table 11 CWTs exp'!$A14)</f>
        <v>0</v>
      </c>
      <c r="V14" s="39">
        <f>SUMIFS('[8]inland_taf_hatchgrp_tableraw&amp;yy'!V$3:V$38,'[8]inland_taf_hatchgrp_tableraw&amp;yy'!$AC$3:$AC$38,'2015 Table 11 CWTs exp'!$A14)</f>
        <v>0</v>
      </c>
      <c r="W14" s="40">
        <f>SUMIFS('[8]inland_taf_hatchgrp_tableraw&amp;yy'!W$3:W$38,'[8]inland_taf_hatchgrp_tableraw&amp;yy'!$AC$3:$AC$38,'2015 Table 11 CWTs exp'!$A14)</f>
        <v>0</v>
      </c>
      <c r="X14" s="38">
        <f>SUMIFS('[8]inland_taf_hatchgrp_tableraw&amp;yy'!X$3:X$38,'[8]inland_taf_hatchgrp_tableraw&amp;yy'!$AC$3:$AC$38,'2015 Table 11 CWTs exp'!$A14)</f>
        <v>0</v>
      </c>
      <c r="Y14" s="41">
        <f>SUMIFS('[8]inland_taf_hatchgrp_tableraw&amp;yy'!Y$3:Y$38,'[8]inland_taf_hatchgrp_tableraw&amp;yy'!$AC$3:$AC$38,'2015 Table 11 CWTs exp'!$A14)</f>
        <v>2348</v>
      </c>
      <c r="Z14" s="42">
        <f>SUMIFS('[8]inland_taf_hatchgrp_tableraw&amp;yy'!Z$3:Z$38,'[8]inland_taf_hatchgrp_tableraw&amp;yy'!$AC$3:$AC$38,'2015 Table 11 CWTs exp'!$A14)</f>
        <v>0</v>
      </c>
      <c r="AA14" s="38">
        <f>SUMIFS('[8]inland_taf_hatchgrp_tableraw&amp;yy'!AA$3:AA$38,'[8]inland_taf_hatchgrp_tableraw&amp;yy'!$AC$3:$AC$38,'2015 Table 11 CWTs exp'!$A14)</f>
        <v>2348</v>
      </c>
      <c r="AB14" s="38"/>
      <c r="AC14" s="603">
        <f>SUMIFS('[8]inland_taf_hatchgrp_tableraw&amp;yy'!AB$3:AB$38,'[8]inland_taf_hatchgrp_tableraw&amp;yy'!$AC$3:$AC$38,'2015 Table 11 CWTs exp'!$A14)</f>
        <v>1</v>
      </c>
      <c r="AD14" s="604" t="str">
        <f t="shared" si="0"/>
        <v>CNFH507</v>
      </c>
      <c r="AE14" s="603"/>
      <c r="AF14" s="622">
        <f t="shared" si="4"/>
        <v>1</v>
      </c>
      <c r="AG14" s="597"/>
      <c r="AH14" s="592">
        <f>AVERAGE(AH9:AH13)</f>
        <v>0.1366</v>
      </c>
      <c r="AI14" s="447">
        <f>SUM(AI9:AI13)</f>
        <v>8210</v>
      </c>
      <c r="AJ14" s="448">
        <f>AI14/AA17</f>
        <v>0.14697984174155895</v>
      </c>
      <c r="AK14" s="451"/>
      <c r="AL14" s="442"/>
      <c r="AM14" s="442"/>
      <c r="AN14" s="442"/>
      <c r="AO14" s="442"/>
      <c r="AP14" s="442"/>
      <c r="AQ14" s="442"/>
      <c r="AR14" s="442"/>
      <c r="AS14" s="442"/>
      <c r="AT14" s="442"/>
      <c r="AU14" s="442"/>
      <c r="AV14" s="442"/>
      <c r="AW14" s="442"/>
      <c r="AX14" s="442"/>
      <c r="AY14" s="442"/>
      <c r="AZ14" s="442"/>
      <c r="BA14" s="442"/>
      <c r="BB14" s="442"/>
      <c r="BC14" s="442"/>
      <c r="BD14" s="442"/>
      <c r="BE14" s="442"/>
      <c r="BF14" s="442"/>
    </row>
    <row r="15" spans="1:59" ht="14.5" customHeight="1" x14ac:dyDescent="0.25">
      <c r="A15" s="50" t="str">
        <f t="shared" si="2"/>
        <v>CNFW527</v>
      </c>
      <c r="B15" s="13" t="s">
        <v>59</v>
      </c>
      <c r="C15" s="13">
        <v>52</v>
      </c>
      <c r="D15" s="13">
        <v>7</v>
      </c>
      <c r="E15" s="3" t="s">
        <v>60</v>
      </c>
      <c r="F15" s="37" t="s">
        <v>57</v>
      </c>
      <c r="G15" s="243">
        <f>SUMIFS('[8]inland_taf_hatchgrp_tableraw&amp;yy'!G$3:G$38,'[8]inland_taf_hatchgrp_tableraw&amp;yy'!$AC$3:$AC$38,'2015 Table 11 CWTs exp'!$A15)</f>
        <v>0</v>
      </c>
      <c r="H15" s="39">
        <f>SUMIFS('[8]inland_taf_hatchgrp_tableraw&amp;yy'!H$3:H$38,'[8]inland_taf_hatchgrp_tableraw&amp;yy'!$AC$3:$AC$38,'2015 Table 11 CWTs exp'!$A15)</f>
        <v>104</v>
      </c>
      <c r="I15" s="38">
        <f>SUMIFS('[8]inland_taf_hatchgrp_tableraw&amp;yy'!I$3:I$38,'[8]inland_taf_hatchgrp_tableraw&amp;yy'!$AC$3:$AC$38,'2015 Table 11 CWTs exp'!$A15)</f>
        <v>0</v>
      </c>
      <c r="J15" s="40">
        <f>SUMIFS('[8]inland_taf_hatchgrp_tableraw&amp;yy'!J$3:J$38,'[8]inland_taf_hatchgrp_tableraw&amp;yy'!$AC$3:$AC$38,'2015 Table 11 CWTs exp'!$A15)</f>
        <v>0</v>
      </c>
      <c r="K15" s="38">
        <f>SUMIFS('[8]inland_taf_hatchgrp_tableraw&amp;yy'!K$3:K$38,'[8]inland_taf_hatchgrp_tableraw&amp;yy'!$AC$3:$AC$38,'2015 Table 11 CWTs exp'!$A15)</f>
        <v>0</v>
      </c>
      <c r="L15" s="38">
        <f>SUMIFS('[8]inland_taf_hatchgrp_tableraw&amp;yy'!L$3:L$38,'[8]inland_taf_hatchgrp_tableraw&amp;yy'!$AC$3:$AC$38,'2015 Table 11 CWTs exp'!$A15)</f>
        <v>0</v>
      </c>
      <c r="M15" s="38">
        <f>SUMIFS('[8]inland_taf_hatchgrp_tableraw&amp;yy'!M$3:M$38,'[8]inland_taf_hatchgrp_tableraw&amp;yy'!$AC$3:$AC$38,'2015 Table 11 CWTs exp'!$A15)</f>
        <v>0</v>
      </c>
      <c r="N15" s="38">
        <f>SUMIFS('[8]inland_taf_hatchgrp_tableraw&amp;yy'!P$3:P$38,'[8]inland_taf_hatchgrp_tableraw&amp;yy'!$AC$3:$AC$38,'2015 Table 11 CWTs exp'!$A15)</f>
        <v>0</v>
      </c>
      <c r="O15" s="38">
        <f>SUMIFS('[8]inland_taf_hatchgrp_tableraw&amp;yy'!N$3:N$38,'[8]inland_taf_hatchgrp_tableraw&amp;yy'!$AC$3:$AC$38,'2015 Table 11 CWTs exp'!$A15)</f>
        <v>0</v>
      </c>
      <c r="P15" s="38">
        <f>SUMIFS('[8]inland_taf_hatchgrp_tableraw&amp;yy'!O$3:O$38,'[8]inland_taf_hatchgrp_tableraw&amp;yy'!$AC$3:$AC$38,'2015 Table 11 CWTs exp'!$A15)</f>
        <v>0</v>
      </c>
      <c r="Q15" s="39">
        <f>SUMIFS('[8]inland_taf_hatchgrp_tableraw&amp;yy'!Q$3:Q$38,'[8]inland_taf_hatchgrp_tableraw&amp;yy'!$AC$3:$AC$38,'2015 Table 11 CWTs exp'!$A15)</f>
        <v>0</v>
      </c>
      <c r="R15" s="40">
        <f>SUMIFS('[8]inland_taf_hatchgrp_tableraw&amp;yy'!R$3:R$38,'[8]inland_taf_hatchgrp_tableraw&amp;yy'!$AC$3:$AC$38,'2015 Table 11 CWTs exp'!$A15)</f>
        <v>0</v>
      </c>
      <c r="S15" s="38">
        <f>SUMIFS('[8]inland_taf_hatchgrp_tableraw&amp;yy'!S$3:S$38,'[8]inland_taf_hatchgrp_tableraw&amp;yy'!$AC$3:$AC$38,'2015 Table 11 CWTs exp'!$A15)</f>
        <v>0</v>
      </c>
      <c r="T15" s="38">
        <f>SUMIFS('[8]inland_taf_hatchgrp_tableraw&amp;yy'!T$3:T$38,'[8]inland_taf_hatchgrp_tableraw&amp;yy'!$AC$3:$AC$38,'2015 Table 11 CWTs exp'!$A15)</f>
        <v>0</v>
      </c>
      <c r="U15" s="38">
        <f>SUMIFS('[8]inland_taf_hatchgrp_tableraw&amp;yy'!U$3:U$38,'[8]inland_taf_hatchgrp_tableraw&amp;yy'!$AC$3:$AC$38,'2015 Table 11 CWTs exp'!$A15)</f>
        <v>0</v>
      </c>
      <c r="V15" s="39">
        <f>SUMIFS('[8]inland_taf_hatchgrp_tableraw&amp;yy'!V$3:V$38,'[8]inland_taf_hatchgrp_tableraw&amp;yy'!$AC$3:$AC$38,'2015 Table 11 CWTs exp'!$A15)</f>
        <v>0</v>
      </c>
      <c r="W15" s="40">
        <f>SUMIFS('[8]inland_taf_hatchgrp_tableraw&amp;yy'!W$3:W$38,'[8]inland_taf_hatchgrp_tableraw&amp;yy'!$AC$3:$AC$38,'2015 Table 11 CWTs exp'!$A15)</f>
        <v>0</v>
      </c>
      <c r="X15" s="38">
        <f>SUMIFS('[8]inland_taf_hatchgrp_tableraw&amp;yy'!X$3:X$38,'[8]inland_taf_hatchgrp_tableraw&amp;yy'!$AC$3:$AC$38,'2015 Table 11 CWTs exp'!$A15)</f>
        <v>0</v>
      </c>
      <c r="Y15" s="41">
        <f>SUMIFS('[8]inland_taf_hatchgrp_tableraw&amp;yy'!Y$3:Y$38,'[8]inland_taf_hatchgrp_tableraw&amp;yy'!$AC$3:$AC$38,'2015 Table 11 CWTs exp'!$A15)</f>
        <v>104</v>
      </c>
      <c r="Z15" s="42">
        <f>SUMIFS('[8]inland_taf_hatchgrp_tableraw&amp;yy'!Z$3:Z$38,'[8]inland_taf_hatchgrp_tableraw&amp;yy'!$AC$3:$AC$38,'2015 Table 11 CWTs exp'!$A15)</f>
        <v>0</v>
      </c>
      <c r="AA15" s="38">
        <f>SUMIFS('[8]inland_taf_hatchgrp_tableraw&amp;yy'!AA$3:AA$38,'[8]inland_taf_hatchgrp_tableraw&amp;yy'!$AC$3:$AC$38,'2015 Table 11 CWTs exp'!$A15)</f>
        <v>104</v>
      </c>
      <c r="AB15" s="38"/>
      <c r="AC15" s="603">
        <f>SUMIFS('[8]inland_taf_hatchgrp_tableraw&amp;yy'!AB$3:AB$38,'[8]inland_taf_hatchgrp_tableraw&amp;yy'!$AC$3:$AC$38,'2015 Table 11 CWTs exp'!$A15)</f>
        <v>1</v>
      </c>
      <c r="AD15" s="604" t="str">
        <f t="shared" si="0"/>
        <v>CNFW527</v>
      </c>
      <c r="AE15" s="444">
        <f>SUM(Y7:Y15)</f>
        <v>53407</v>
      </c>
      <c r="AF15" s="622">
        <f t="shared" si="4"/>
        <v>1</v>
      </c>
      <c r="AG15" s="606">
        <f>SUM(AA7:AA15)</f>
        <v>61696</v>
      </c>
      <c r="AH15" s="600" t="s">
        <v>58</v>
      </c>
      <c r="AI15" s="599"/>
      <c r="AJ15" s="451"/>
      <c r="AK15" s="451"/>
      <c r="AL15" s="442"/>
      <c r="AM15" s="442"/>
      <c r="AN15" s="442"/>
      <c r="AO15" s="442"/>
      <c r="AP15" s="442"/>
      <c r="AQ15" s="442"/>
      <c r="AR15" s="442"/>
      <c r="AS15" s="442"/>
      <c r="AT15" s="442"/>
      <c r="AU15" s="442"/>
      <c r="AV15" s="442"/>
      <c r="AW15" s="442"/>
      <c r="AX15" s="442"/>
      <c r="AY15" s="442"/>
      <c r="AZ15" s="442"/>
      <c r="BA15" s="442"/>
      <c r="BB15" s="442"/>
      <c r="BC15" s="442"/>
      <c r="BD15" s="442"/>
      <c r="BE15" s="442"/>
      <c r="BF15" s="442"/>
    </row>
    <row r="16" spans="1:59" ht="14.5" customHeight="1" x14ac:dyDescent="0.25">
      <c r="A16" s="50" t="s">
        <v>134</v>
      </c>
      <c r="B16" s="13" t="s">
        <v>43</v>
      </c>
      <c r="C16" s="13"/>
      <c r="D16" s="13"/>
      <c r="E16" s="3" t="s">
        <v>44</v>
      </c>
      <c r="F16" s="37" t="s">
        <v>57</v>
      </c>
      <c r="G16" s="243"/>
      <c r="H16" s="39">
        <f>SUMIFS('[8]inland_taf_hatchgrp_tableraw&amp;yy'!H$3:H$38,'[8]inland_taf_hatchgrp_tableraw&amp;yy'!$AC$3:$AC$38,'2015 Table 11 CWTs exp'!$A16)</f>
        <v>4</v>
      </c>
      <c r="I16" s="38">
        <f>SUMIFS('[8]inland_taf_hatchgrp_tableraw&amp;yy'!I$3:I$38,'[8]inland_taf_hatchgrp_tableraw&amp;yy'!$AC$3:$AC$38,'2015 Table 11 CWTs exp'!$A16)</f>
        <v>0</v>
      </c>
      <c r="J16" s="40">
        <f>SUMIFS('[8]inland_taf_hatchgrp_tableraw&amp;yy'!J$3:J$38,'[8]inland_taf_hatchgrp_tableraw&amp;yy'!$AC$3:$AC$38,'2015 Table 11 CWTs exp'!$A16)</f>
        <v>0</v>
      </c>
      <c r="K16" s="38">
        <f>SUMIFS('[8]inland_taf_hatchgrp_tableraw&amp;yy'!K$3:K$38,'[8]inland_taf_hatchgrp_tableraw&amp;yy'!$AC$3:$AC$38,'2015 Table 11 CWTs exp'!$A16)</f>
        <v>0</v>
      </c>
      <c r="L16" s="38">
        <f>SUMIFS('[8]inland_taf_hatchgrp_tableraw&amp;yy'!L$3:L$38,'[8]inland_taf_hatchgrp_tableraw&amp;yy'!$AC$3:$AC$38,'2015 Table 11 CWTs exp'!$A16)</f>
        <v>0</v>
      </c>
      <c r="M16" s="38">
        <f>SUMIFS('[8]inland_taf_hatchgrp_tableraw&amp;yy'!M$3:M$38,'[8]inland_taf_hatchgrp_tableraw&amp;yy'!$AC$3:$AC$38,'2015 Table 11 CWTs exp'!$A16)</f>
        <v>0</v>
      </c>
      <c r="N16" s="38">
        <f>SUMIFS('[8]inland_taf_hatchgrp_tableraw&amp;yy'!P$3:P$38,'[8]inland_taf_hatchgrp_tableraw&amp;yy'!$AC$3:$AC$38,'2015 Table 11 CWTs exp'!$A16)</f>
        <v>0</v>
      </c>
      <c r="O16" s="38">
        <f>SUMIFS('[8]inland_taf_hatchgrp_tableraw&amp;yy'!N$3:N$38,'[8]inland_taf_hatchgrp_tableraw&amp;yy'!$AC$3:$AC$38,'2015 Table 11 CWTs exp'!$A16)</f>
        <v>0</v>
      </c>
      <c r="P16" s="38">
        <f>SUMIFS('[8]inland_taf_hatchgrp_tableraw&amp;yy'!O$3:O$38,'[8]inland_taf_hatchgrp_tableraw&amp;yy'!$AC$3:$AC$38,'2015 Table 11 CWTs exp'!$A16)</f>
        <v>0</v>
      </c>
      <c r="Q16" s="39">
        <f>SUMIFS('[8]inland_taf_hatchgrp_tableraw&amp;yy'!Q$3:Q$38,'[8]inland_taf_hatchgrp_tableraw&amp;yy'!$AC$3:$AC$38,'2015 Table 11 CWTs exp'!$A16)</f>
        <v>0</v>
      </c>
      <c r="R16" s="40">
        <f>SUMIFS('[8]inland_taf_hatchgrp_tableraw&amp;yy'!R$3:R$38,'[8]inland_taf_hatchgrp_tableraw&amp;yy'!$AC$3:$AC$38,'2015 Table 11 CWTs exp'!$A16)</f>
        <v>0</v>
      </c>
      <c r="S16" s="38">
        <f>SUMIFS('[8]inland_taf_hatchgrp_tableraw&amp;yy'!S$3:S$38,'[8]inland_taf_hatchgrp_tableraw&amp;yy'!$AC$3:$AC$38,'2015 Table 11 CWTs exp'!$A16)</f>
        <v>0</v>
      </c>
      <c r="T16" s="38">
        <f>SUMIFS('[8]inland_taf_hatchgrp_tableraw&amp;yy'!T$3:T$38,'[8]inland_taf_hatchgrp_tableraw&amp;yy'!$AC$3:$AC$38,'2015 Table 11 CWTs exp'!$A16)</f>
        <v>0</v>
      </c>
      <c r="U16" s="38">
        <f>SUMIFS('[8]inland_taf_hatchgrp_tableraw&amp;yy'!U$3:U$38,'[8]inland_taf_hatchgrp_tableraw&amp;yy'!$AC$3:$AC$38,'2015 Table 11 CWTs exp'!$A16)</f>
        <v>0</v>
      </c>
      <c r="V16" s="39">
        <f>SUMIFS('[8]inland_taf_hatchgrp_tableraw&amp;yy'!V$3:V$38,'[8]inland_taf_hatchgrp_tableraw&amp;yy'!$AC$3:$AC$38,'2015 Table 11 CWTs exp'!$A16)</f>
        <v>0</v>
      </c>
      <c r="W16" s="40">
        <f>SUMIFS('[8]inland_taf_hatchgrp_tableraw&amp;yy'!W$3:W$38,'[8]inland_taf_hatchgrp_tableraw&amp;yy'!$AC$3:$AC$38,'2015 Table 11 CWTs exp'!$A16)</f>
        <v>0</v>
      </c>
      <c r="X16" s="38">
        <f>SUMIFS('[8]inland_taf_hatchgrp_tableraw&amp;yy'!X$3:X$38,'[8]inland_taf_hatchgrp_tableraw&amp;yy'!$AC$3:$AC$38,'2015 Table 11 CWTs exp'!$A16)</f>
        <v>0</v>
      </c>
      <c r="Y16" s="41">
        <f>SUMIFS('[8]inland_taf_hatchgrp_tableraw&amp;yy'!Y$3:Y$38,'[8]inland_taf_hatchgrp_tableraw&amp;yy'!$AC$3:$AC$38,'2015 Table 11 CWTs exp'!$A16)</f>
        <v>4</v>
      </c>
      <c r="Z16" s="42">
        <f>SUMIFS('[8]inland_taf_hatchgrp_tableraw&amp;yy'!Z$3:Z$38,'[8]inland_taf_hatchgrp_tableraw&amp;yy'!$AC$3:$AC$38,'2015 Table 11 CWTs exp'!$A16)</f>
        <v>61</v>
      </c>
      <c r="AA16" s="38">
        <f>SUMIFS('[8]inland_taf_hatchgrp_tableraw&amp;yy'!AA$3:AA$38,'[8]inland_taf_hatchgrp_tableraw&amp;yy'!$AC$3:$AC$38,'2015 Table 11 CWTs exp'!$A16)</f>
        <v>65</v>
      </c>
      <c r="AB16" s="38"/>
      <c r="AC16" s="603">
        <f>SUMIFS('[8]inland_taf_hatchgrp_tableraw&amp;yy'!AB$3:AB$38,'[8]inland_taf_hatchgrp_tableraw&amp;yy'!$AC$3:$AC$38,'2015 Table 11 CWTs exp'!$A16)</f>
        <v>6.2E-2</v>
      </c>
      <c r="AD16" s="604" t="str">
        <f t="shared" si="0"/>
        <v>KESW507</v>
      </c>
      <c r="AE16" s="444"/>
      <c r="AF16" s="622">
        <f t="shared" si="4"/>
        <v>6.1538461538461542E-2</v>
      </c>
      <c r="AG16" s="606"/>
      <c r="AH16" s="600"/>
      <c r="AI16" s="599"/>
      <c r="AJ16" s="451"/>
      <c r="AK16" s="451"/>
      <c r="AL16" s="442"/>
      <c r="AM16" s="442"/>
      <c r="AN16" s="442"/>
      <c r="AO16" s="442"/>
      <c r="AP16" s="442"/>
      <c r="AQ16" s="442"/>
      <c r="AR16" s="442"/>
      <c r="AS16" s="442"/>
      <c r="AT16" s="442"/>
      <c r="AU16" s="442"/>
      <c r="AV16" s="442"/>
      <c r="AW16" s="442"/>
      <c r="AX16" s="442"/>
      <c r="AY16" s="442"/>
      <c r="AZ16" s="442"/>
      <c r="BA16" s="442"/>
      <c r="BB16" s="442"/>
      <c r="BC16" s="442"/>
      <c r="BD16" s="442"/>
      <c r="BE16" s="442"/>
      <c r="BF16" s="442"/>
    </row>
    <row r="17" spans="1:58" ht="14.15" customHeight="1" x14ac:dyDescent="0.3">
      <c r="A17" s="55"/>
      <c r="B17" s="56"/>
      <c r="C17" s="56"/>
      <c r="D17" s="56"/>
      <c r="E17" s="743" t="s">
        <v>188</v>
      </c>
      <c r="F17" s="743"/>
      <c r="G17" s="276">
        <f t="shared" ref="G17:AA17" si="7">SUM(G9:G13)</f>
        <v>0</v>
      </c>
      <c r="H17" s="58">
        <f t="shared" si="7"/>
        <v>2</v>
      </c>
      <c r="I17" s="59">
        <f t="shared" si="7"/>
        <v>9520</v>
      </c>
      <c r="J17" s="60">
        <f t="shared" si="7"/>
        <v>1470</v>
      </c>
      <c r="K17" s="59">
        <f t="shared" si="7"/>
        <v>2080</v>
      </c>
      <c r="L17" s="59">
        <f t="shared" si="7"/>
        <v>1996</v>
      </c>
      <c r="M17" s="59">
        <f t="shared" si="7"/>
        <v>18</v>
      </c>
      <c r="N17" s="59">
        <f>SUM(N9:N13)</f>
        <v>960</v>
      </c>
      <c r="O17" s="59">
        <f t="shared" si="7"/>
        <v>14134</v>
      </c>
      <c r="P17" s="59">
        <f t="shared" si="7"/>
        <v>961</v>
      </c>
      <c r="Q17" s="58">
        <f t="shared" si="7"/>
        <v>2383</v>
      </c>
      <c r="R17" s="60">
        <f t="shared" si="7"/>
        <v>3435</v>
      </c>
      <c r="S17" s="59">
        <f t="shared" si="7"/>
        <v>117</v>
      </c>
      <c r="T17" s="59">
        <f t="shared" si="7"/>
        <v>9027</v>
      </c>
      <c r="U17" s="59">
        <f t="shared" si="7"/>
        <v>431</v>
      </c>
      <c r="V17" s="58">
        <f t="shared" si="7"/>
        <v>0</v>
      </c>
      <c r="W17" s="60">
        <f t="shared" si="7"/>
        <v>1109</v>
      </c>
      <c r="X17" s="59">
        <f t="shared" si="7"/>
        <v>5</v>
      </c>
      <c r="Y17" s="188">
        <f t="shared" si="7"/>
        <v>47648</v>
      </c>
      <c r="Z17" s="189">
        <f t="shared" si="7"/>
        <v>8210</v>
      </c>
      <c r="AA17" s="59">
        <f t="shared" si="7"/>
        <v>55858</v>
      </c>
      <c r="AB17" s="64"/>
      <c r="AC17" s="562">
        <f>Y17/AA17</f>
        <v>0.85302015825844102</v>
      </c>
      <c r="AD17" s="562"/>
      <c r="AE17" s="607"/>
      <c r="AF17" s="622">
        <f>Y17/AA17</f>
        <v>0.85302015825844102</v>
      </c>
      <c r="AG17" s="608"/>
      <c r="AH17" s="608"/>
      <c r="AI17" s="609"/>
      <c r="AJ17" s="610"/>
      <c r="AK17" s="610"/>
      <c r="AL17" s="442"/>
      <c r="AM17" s="442"/>
      <c r="AN17" s="442"/>
      <c r="AO17" s="442"/>
      <c r="AP17" s="442"/>
      <c r="AQ17" s="442"/>
      <c r="AR17" s="442"/>
      <c r="AS17" s="442"/>
      <c r="AT17" s="442"/>
      <c r="AU17" s="442"/>
      <c r="AV17" s="442"/>
      <c r="AW17" s="442"/>
      <c r="AX17" s="442"/>
      <c r="AY17" s="442"/>
      <c r="AZ17" s="442"/>
      <c r="BA17" s="442"/>
      <c r="BB17" s="442"/>
      <c r="BC17" s="442"/>
      <c r="BD17" s="442"/>
      <c r="BE17" s="442"/>
      <c r="BF17" s="442"/>
    </row>
    <row r="18" spans="1:58" ht="14.15" customHeight="1" x14ac:dyDescent="0.3">
      <c r="A18" s="50" t="s">
        <v>62</v>
      </c>
      <c r="B18" s="13"/>
      <c r="C18" s="13"/>
      <c r="D18" s="13"/>
      <c r="E18" s="26" t="s">
        <v>63</v>
      </c>
      <c r="F18" s="47"/>
      <c r="G18" s="28"/>
      <c r="H18" s="69"/>
      <c r="I18" s="68"/>
      <c r="J18" s="70"/>
      <c r="K18" s="68"/>
      <c r="L18" s="68"/>
      <c r="M18" s="68"/>
      <c r="N18" s="68"/>
      <c r="O18" s="68"/>
      <c r="P18" s="68"/>
      <c r="Q18" s="69"/>
      <c r="R18" s="70"/>
      <c r="S18" s="68"/>
      <c r="T18" s="68"/>
      <c r="U18" s="68"/>
      <c r="V18" s="69"/>
      <c r="W18" s="70"/>
      <c r="X18" s="68"/>
      <c r="Y18" s="86"/>
      <c r="Z18" s="87"/>
      <c r="AA18" s="68"/>
      <c r="AB18" s="68"/>
      <c r="AC18" s="611"/>
      <c r="AD18" s="611"/>
      <c r="AE18" s="442"/>
      <c r="AF18" s="597"/>
      <c r="AG18" s="597"/>
      <c r="AH18" s="597"/>
      <c r="AI18" s="599"/>
      <c r="AJ18" s="451"/>
      <c r="AK18" s="451"/>
      <c r="AL18" s="442"/>
      <c r="AM18" s="442"/>
      <c r="AN18" s="442"/>
      <c r="AO18" s="442"/>
      <c r="AP18" s="442"/>
      <c r="AQ18" s="442"/>
      <c r="AR18" s="442"/>
      <c r="AS18" s="442"/>
      <c r="AT18" s="442"/>
      <c r="AU18" s="442"/>
      <c r="AV18" s="442"/>
      <c r="AW18" s="442"/>
      <c r="AX18" s="442"/>
      <c r="AY18" s="442"/>
      <c r="AZ18" s="442"/>
      <c r="BA18" s="442"/>
      <c r="BB18" s="442"/>
      <c r="BC18" s="442"/>
      <c r="BD18" s="442"/>
      <c r="BE18" s="442"/>
      <c r="BF18" s="442"/>
    </row>
    <row r="19" spans="1:58" ht="14.5" customHeight="1" x14ac:dyDescent="0.25">
      <c r="A19" s="50" t="str">
        <f t="shared" ref="A19:A39" si="8">CONCATENATE(B19,C19,D19)</f>
        <v>USAC544</v>
      </c>
      <c r="B19" s="13" t="s">
        <v>64</v>
      </c>
      <c r="C19" s="13">
        <v>54</v>
      </c>
      <c r="D19" s="13">
        <v>4</v>
      </c>
      <c r="E19" s="268" t="s">
        <v>65</v>
      </c>
      <c r="F19" s="245" t="str">
        <f>LOOKUP(D19,$AK$7:$AK$10,$AL$7:$AL$10)</f>
        <v>Winter</v>
      </c>
      <c r="G19" s="246">
        <f>SUMIFS('[8]inland_taf_hatchgrp_tableraw&amp;yy'!G$3:G$38,'[8]inland_taf_hatchgrp_tableraw&amp;yy'!$AC$3:$AC$38,'2015 Table 11 CWTs exp'!$A19)</f>
        <v>558</v>
      </c>
      <c r="H19" s="247">
        <f>SUMIFS('[8]inland_taf_hatchgrp_tableraw&amp;yy'!H$3:H$38,'[8]inland_taf_hatchgrp_tableraw&amp;yy'!$AC$3:$AC$38,'2015 Table 11 CWTs exp'!$A19)</f>
        <v>0</v>
      </c>
      <c r="I19" s="248">
        <f>SUMIFS('[8]inland_taf_hatchgrp_tableraw&amp;yy'!I$3:I$38,'[8]inland_taf_hatchgrp_tableraw&amp;yy'!$AC$3:$AC$38,'2015 Table 11 CWTs exp'!$A19)</f>
        <v>0</v>
      </c>
      <c r="J19" s="249">
        <f>SUMIFS('[8]inland_taf_hatchgrp_tableraw&amp;yy'!J$3:J$38,'[8]inland_taf_hatchgrp_tableraw&amp;yy'!$AC$3:$AC$38,'2015 Table 11 CWTs exp'!$A19)</f>
        <v>0</v>
      </c>
      <c r="K19" s="248">
        <f>SUMIFS('[8]inland_taf_hatchgrp_tableraw&amp;yy'!K$3:K$38,'[8]inland_taf_hatchgrp_tableraw&amp;yy'!$AC$3:$AC$38,'2015 Table 11 CWTs exp'!$A19)</f>
        <v>0</v>
      </c>
      <c r="L19" s="248">
        <f>SUMIFS('[8]inland_taf_hatchgrp_tableraw&amp;yy'!L$3:L$38,'[8]inland_taf_hatchgrp_tableraw&amp;yy'!$AC$3:$AC$38,'2015 Table 11 CWTs exp'!$A19)</f>
        <v>0</v>
      </c>
      <c r="M19" s="248">
        <f>SUMIFS('[8]inland_taf_hatchgrp_tableraw&amp;yy'!M$3:M$38,'[8]inland_taf_hatchgrp_tableraw&amp;yy'!$AC$3:$AC$38,'2015 Table 11 CWTs exp'!$A19)</f>
        <v>0</v>
      </c>
      <c r="N19" s="248">
        <f>SUMIFS('[8]inland_taf_hatchgrp_tableraw&amp;yy'!P$3:P$38,'[8]inland_taf_hatchgrp_tableraw&amp;yy'!$AC$3:$AC$38,'2015 Table 11 CWTs exp'!$A19)</f>
        <v>0</v>
      </c>
      <c r="O19" s="248">
        <f>SUMIFS('[8]inland_taf_hatchgrp_tableraw&amp;yy'!N$3:N$38,'[8]inland_taf_hatchgrp_tableraw&amp;yy'!$AC$3:$AC$38,'2015 Table 11 CWTs exp'!$A19)</f>
        <v>0</v>
      </c>
      <c r="P19" s="248">
        <f>SUMIFS('[8]inland_taf_hatchgrp_tableraw&amp;yy'!O$3:O$38,'[8]inland_taf_hatchgrp_tableraw&amp;yy'!$AC$3:$AC$38,'2015 Table 11 CWTs exp'!$A19)</f>
        <v>0</v>
      </c>
      <c r="Q19" s="247">
        <f>SUMIFS('[8]inland_taf_hatchgrp_tableraw&amp;yy'!Q$3:Q$38,'[8]inland_taf_hatchgrp_tableraw&amp;yy'!$AC$3:$AC$38,'2015 Table 11 CWTs exp'!$A19)</f>
        <v>0</v>
      </c>
      <c r="R19" s="249">
        <f>SUMIFS('[8]inland_taf_hatchgrp_tableraw&amp;yy'!R$3:R$38,'[8]inland_taf_hatchgrp_tableraw&amp;yy'!$AC$3:$AC$38,'2015 Table 11 CWTs exp'!$A19)</f>
        <v>0</v>
      </c>
      <c r="S19" s="248">
        <f>SUMIFS('[8]inland_taf_hatchgrp_tableraw&amp;yy'!S$3:S$38,'[8]inland_taf_hatchgrp_tableraw&amp;yy'!$AC$3:$AC$38,'2015 Table 11 CWTs exp'!$A19)</f>
        <v>0</v>
      </c>
      <c r="T19" s="248">
        <f>SUMIFS('[8]inland_taf_hatchgrp_tableraw&amp;yy'!T$3:T$38,'[8]inland_taf_hatchgrp_tableraw&amp;yy'!$AC$3:$AC$38,'2015 Table 11 CWTs exp'!$A19)</f>
        <v>0</v>
      </c>
      <c r="U19" s="248">
        <f>SUMIFS('[8]inland_taf_hatchgrp_tableraw&amp;yy'!U$3:U$38,'[8]inland_taf_hatchgrp_tableraw&amp;yy'!$AC$3:$AC$38,'2015 Table 11 CWTs exp'!$A19)</f>
        <v>0</v>
      </c>
      <c r="V19" s="247">
        <f>SUMIFS('[8]inland_taf_hatchgrp_tableraw&amp;yy'!V$3:V$38,'[8]inland_taf_hatchgrp_tableraw&amp;yy'!$AC$3:$AC$38,'2015 Table 11 CWTs exp'!$A19)</f>
        <v>0</v>
      </c>
      <c r="W19" s="249">
        <f>SUMIFS('[8]inland_taf_hatchgrp_tableraw&amp;yy'!W$3:W$38,'[8]inland_taf_hatchgrp_tableraw&amp;yy'!$AC$3:$AC$38,'2015 Table 11 CWTs exp'!$A19)</f>
        <v>0</v>
      </c>
      <c r="X19" s="248">
        <f>SUMIFS('[8]inland_taf_hatchgrp_tableraw&amp;yy'!X$3:X$38,'[8]inland_taf_hatchgrp_tableraw&amp;yy'!$AC$3:$AC$38,'2015 Table 11 CWTs exp'!$A19)</f>
        <v>0</v>
      </c>
      <c r="Y19" s="250">
        <f>SUMIFS('[8]inland_taf_hatchgrp_tableraw&amp;yy'!Y$3:Y$38,'[8]inland_taf_hatchgrp_tableraw&amp;yy'!$AC$3:$AC$38,'2015 Table 11 CWTs exp'!$A19)</f>
        <v>558</v>
      </c>
      <c r="Z19" s="251">
        <f>SUMIFS('[8]inland_taf_hatchgrp_tableraw&amp;yy'!Z$3:Z$38,'[8]inland_taf_hatchgrp_tableraw&amp;yy'!$AC$3:$AC$38,'2015 Table 11 CWTs exp'!$A19)</f>
        <v>2624</v>
      </c>
      <c r="AA19" s="248">
        <f>SUMIFS('[8]inland_taf_hatchgrp_tableraw&amp;yy'!AA$3:AA$38,'[8]inland_taf_hatchgrp_tableraw&amp;yy'!$AC$3:$AC$38,'2015 Table 11 CWTs exp'!$A19)</f>
        <v>3182</v>
      </c>
      <c r="AB19" s="44"/>
      <c r="AC19" s="566">
        <f>SUMIFS('[8]inland_taf_hatchgrp_tableraw&amp;yy'!AB$3:AB$38,'[8]inland_taf_hatchgrp_tableraw&amp;yy'!$AC$3:$AC$38,'2015 Table 11 CWTs exp'!$A19)</f>
        <v>0.17499999999999999</v>
      </c>
      <c r="AD19" s="604" t="str">
        <f t="shared" ref="AD19:AD39" si="9">A19</f>
        <v>USAC544</v>
      </c>
      <c r="AE19" s="442"/>
      <c r="AF19" s="622">
        <f t="shared" ref="AF19:AF39" si="10">Y19/AA19</f>
        <v>0.17536140791954746</v>
      </c>
      <c r="AG19" s="623">
        <f t="shared" ref="AG19:AG37" si="11">Z19/AA19</f>
        <v>0.82463859208045254</v>
      </c>
      <c r="AH19" s="597"/>
      <c r="AI19" s="599"/>
      <c r="AJ19" s="451"/>
      <c r="AK19" s="451"/>
      <c r="AL19" s="442"/>
      <c r="AM19" s="442"/>
      <c r="AN19" s="442"/>
      <c r="AO19" s="442"/>
      <c r="AP19" s="442"/>
      <c r="AQ19" s="442"/>
      <c r="AR19" s="442"/>
      <c r="AS19" s="442"/>
      <c r="AT19" s="442"/>
      <c r="AU19" s="442"/>
      <c r="AV19" s="442"/>
      <c r="AW19" s="442"/>
      <c r="AX19" s="442"/>
      <c r="AY19" s="442"/>
      <c r="AZ19" s="442"/>
      <c r="BA19" s="442"/>
      <c r="BB19" s="442"/>
      <c r="BC19" s="442"/>
      <c r="BD19" s="442"/>
      <c r="BE19" s="442"/>
      <c r="BF19" s="442"/>
    </row>
    <row r="20" spans="1:58" ht="12.65" hidden="1" customHeight="1" x14ac:dyDescent="0.25">
      <c r="A20" s="50" t="str">
        <f t="shared" si="8"/>
        <v>BUT541</v>
      </c>
      <c r="B20" s="227" t="s">
        <v>208</v>
      </c>
      <c r="C20" s="227">
        <v>54</v>
      </c>
      <c r="D20" s="227">
        <v>1</v>
      </c>
      <c r="E20" s="3" t="s">
        <v>67</v>
      </c>
      <c r="F20" s="28" t="str">
        <f>LOOKUP(D20,$AK$7:$AK$10,$AL$7:$AL$10)</f>
        <v>Spring</v>
      </c>
      <c r="G20" s="243">
        <f>SUMIFS('[8]inland_taf_hatchgrp_tableraw&amp;yy'!G$3:G$38,'[8]inland_taf_hatchgrp_tableraw&amp;yy'!$AC$3:$AC$38,'2015 Table 11 CWTs exp'!$A20)</f>
        <v>0</v>
      </c>
      <c r="H20" s="39">
        <f>SUMIFS('[8]inland_taf_hatchgrp_tableraw&amp;yy'!H$3:H$38,'[8]inland_taf_hatchgrp_tableraw&amp;yy'!$AC$3:$AC$38,'2015 Table 11 CWTs exp'!$A20)</f>
        <v>0</v>
      </c>
      <c r="I20" s="38">
        <f>SUMIFS('[8]inland_taf_hatchgrp_tableraw&amp;yy'!I$3:I$38,'[8]inland_taf_hatchgrp_tableraw&amp;yy'!$AC$3:$AC$38,'2015 Table 11 CWTs exp'!$A20)</f>
        <v>0</v>
      </c>
      <c r="J20" s="40">
        <f>SUMIFS('[8]inland_taf_hatchgrp_tableraw&amp;yy'!J$3:J$38,'[8]inland_taf_hatchgrp_tableraw&amp;yy'!$AC$3:$AC$38,'2015 Table 11 CWTs exp'!$A20)</f>
        <v>0</v>
      </c>
      <c r="K20" s="38">
        <f>SUMIFS('[8]inland_taf_hatchgrp_tableraw&amp;yy'!K$3:K$38,'[8]inland_taf_hatchgrp_tableraw&amp;yy'!$AC$3:$AC$38,'2015 Table 11 CWTs exp'!$A20)</f>
        <v>0</v>
      </c>
      <c r="L20" s="38">
        <f>SUMIFS('[8]inland_taf_hatchgrp_tableraw&amp;yy'!L$3:L$38,'[8]inland_taf_hatchgrp_tableraw&amp;yy'!$AC$3:$AC$38,'2015 Table 11 CWTs exp'!$A20)</f>
        <v>0</v>
      </c>
      <c r="M20" s="38">
        <f>SUMIFS('[8]inland_taf_hatchgrp_tableraw&amp;yy'!M$3:M$38,'[8]inland_taf_hatchgrp_tableraw&amp;yy'!$AC$3:$AC$38,'2015 Table 11 CWTs exp'!$A20)</f>
        <v>0</v>
      </c>
      <c r="N20" s="38">
        <f>SUMIFS('[8]inland_taf_hatchgrp_tableraw&amp;yy'!P$3:P$38,'[8]inland_taf_hatchgrp_tableraw&amp;yy'!$AC$3:$AC$38,'2015 Table 11 CWTs exp'!$A20)</f>
        <v>0</v>
      </c>
      <c r="O20" s="38">
        <f>SUMIFS('[8]inland_taf_hatchgrp_tableraw&amp;yy'!N$3:N$38,'[8]inland_taf_hatchgrp_tableraw&amp;yy'!$AC$3:$AC$38,'2015 Table 11 CWTs exp'!$A20)</f>
        <v>0</v>
      </c>
      <c r="P20" s="38">
        <f>SUMIFS('[8]inland_taf_hatchgrp_tableraw&amp;yy'!O$3:O$38,'[8]inland_taf_hatchgrp_tableraw&amp;yy'!$AC$3:$AC$38,'2015 Table 11 CWTs exp'!$A20)</f>
        <v>0</v>
      </c>
      <c r="Q20" s="39">
        <f>SUMIFS('[8]inland_taf_hatchgrp_tableraw&amp;yy'!Q$3:Q$38,'[8]inland_taf_hatchgrp_tableraw&amp;yy'!$AC$3:$AC$38,'2015 Table 11 CWTs exp'!$A20)</f>
        <v>0</v>
      </c>
      <c r="R20" s="40">
        <f>SUMIFS('[8]inland_taf_hatchgrp_tableraw&amp;yy'!R$3:R$38,'[8]inland_taf_hatchgrp_tableraw&amp;yy'!$AC$3:$AC$38,'2015 Table 11 CWTs exp'!$A20)</f>
        <v>0</v>
      </c>
      <c r="S20" s="38">
        <f>SUMIFS('[8]inland_taf_hatchgrp_tableraw&amp;yy'!S$3:S$38,'[8]inland_taf_hatchgrp_tableraw&amp;yy'!$AC$3:$AC$38,'2015 Table 11 CWTs exp'!$A20)</f>
        <v>0</v>
      </c>
      <c r="T20" s="38">
        <f>SUMIFS('[8]inland_taf_hatchgrp_tableraw&amp;yy'!T$3:T$38,'[8]inland_taf_hatchgrp_tableraw&amp;yy'!$AC$3:$AC$38,'2015 Table 11 CWTs exp'!$A20)</f>
        <v>0</v>
      </c>
      <c r="U20" s="38">
        <f>SUMIFS('[8]inland_taf_hatchgrp_tableraw&amp;yy'!U$3:U$38,'[8]inland_taf_hatchgrp_tableraw&amp;yy'!$AC$3:$AC$38,'2015 Table 11 CWTs exp'!$A20)</f>
        <v>0</v>
      </c>
      <c r="V20" s="39">
        <f>SUMIFS('[8]inland_taf_hatchgrp_tableraw&amp;yy'!V$3:V$38,'[8]inland_taf_hatchgrp_tableraw&amp;yy'!$AC$3:$AC$38,'2015 Table 11 CWTs exp'!$A20)</f>
        <v>0</v>
      </c>
      <c r="W20" s="40">
        <f>SUMIFS('[8]inland_taf_hatchgrp_tableraw&amp;yy'!W$3:W$38,'[8]inland_taf_hatchgrp_tableraw&amp;yy'!$AC$3:$AC$38,'2015 Table 11 CWTs exp'!$A20)</f>
        <v>0</v>
      </c>
      <c r="X20" s="38">
        <f>SUMIFS('[8]inland_taf_hatchgrp_tableraw&amp;yy'!X$3:X$38,'[8]inland_taf_hatchgrp_tableraw&amp;yy'!$AC$3:$AC$38,'2015 Table 11 CWTs exp'!$A20)</f>
        <v>0</v>
      </c>
      <c r="Y20" s="41">
        <f>SUM(G20:X20)</f>
        <v>0</v>
      </c>
      <c r="Z20" s="42">
        <v>413</v>
      </c>
      <c r="AA20" s="38">
        <v>413</v>
      </c>
      <c r="AB20" s="44"/>
      <c r="AC20" s="612">
        <v>0</v>
      </c>
      <c r="AD20" s="604" t="str">
        <f t="shared" si="9"/>
        <v>BUT541</v>
      </c>
      <c r="AE20" s="442"/>
      <c r="AF20" s="622">
        <f t="shared" si="10"/>
        <v>0</v>
      </c>
      <c r="AG20" s="623">
        <f t="shared" si="11"/>
        <v>1</v>
      </c>
      <c r="AH20" s="597"/>
      <c r="AI20" s="599"/>
      <c r="AJ20" s="451"/>
      <c r="AK20" s="451"/>
      <c r="AL20" s="442"/>
      <c r="AM20" s="442"/>
      <c r="AN20" s="442"/>
      <c r="AO20" s="442"/>
      <c r="AP20" s="442"/>
      <c r="AQ20" s="442"/>
      <c r="AR20" s="442"/>
      <c r="AS20" s="442"/>
      <c r="AT20" s="442"/>
      <c r="AU20" s="442"/>
      <c r="AV20" s="442"/>
      <c r="AW20" s="442"/>
      <c r="AX20" s="442"/>
      <c r="AY20" s="442"/>
      <c r="AZ20" s="442"/>
      <c r="BA20" s="442"/>
      <c r="BB20" s="442"/>
      <c r="BC20" s="442"/>
      <c r="BD20" s="442"/>
      <c r="BE20" s="442"/>
      <c r="BF20" s="442"/>
    </row>
    <row r="21" spans="1:58" ht="14.5" customHeight="1" x14ac:dyDescent="0.25">
      <c r="A21" s="50" t="str">
        <f t="shared" si="8"/>
        <v>USAC543</v>
      </c>
      <c r="B21" s="13" t="s">
        <v>64</v>
      </c>
      <c r="C21" s="13">
        <v>54</v>
      </c>
      <c r="D21" s="13">
        <v>3</v>
      </c>
      <c r="E21" s="277" t="s">
        <v>65</v>
      </c>
      <c r="F21" s="278" t="str">
        <f>LOOKUP(D21,$AK$7:$AK$10,$AL$7:$AL$10)</f>
        <v>Fall</v>
      </c>
      <c r="G21" s="279">
        <f>SUMIFS('[8]inland_taf_hatchgrp_tableraw&amp;yy'!G$3:G$38,'[8]inland_taf_hatchgrp_tableraw&amp;yy'!$AC$3:$AC$38,'2015 Table 11 CWTs exp'!$A21)</f>
        <v>0</v>
      </c>
      <c r="H21" s="280">
        <f>SUMIFS('[8]inland_taf_hatchgrp_tableraw&amp;yy'!H$3:H$38,'[8]inland_taf_hatchgrp_tableraw&amp;yy'!$AC$3:$AC$38,'2015 Table 11 CWTs exp'!$A21)</f>
        <v>0</v>
      </c>
      <c r="I21" s="228">
        <f>SUMIFS('[8]inland_taf_hatchgrp_tableraw&amp;yy'!I$3:I$38,'[8]inland_taf_hatchgrp_tableraw&amp;yy'!$AC$3:$AC$38,'2015 Table 11 CWTs exp'!$A21)</f>
        <v>2382</v>
      </c>
      <c r="J21" s="281">
        <f>SUMIFS('[8]inland_taf_hatchgrp_tableraw&amp;yy'!J$3:J$38,'[8]inland_taf_hatchgrp_tableraw&amp;yy'!$AC$3:$AC$38,'2015 Table 11 CWTs exp'!$A21)</f>
        <v>453</v>
      </c>
      <c r="K21" s="228">
        <f>SUMIFS('[8]inland_taf_hatchgrp_tableraw&amp;yy'!K$3:K$38,'[8]inland_taf_hatchgrp_tableraw&amp;yy'!$AC$3:$AC$38,'2015 Table 11 CWTs exp'!$A21)</f>
        <v>0</v>
      </c>
      <c r="L21" s="228">
        <f>SUMIFS('[8]inland_taf_hatchgrp_tableraw&amp;yy'!L$3:L$38,'[8]inland_taf_hatchgrp_tableraw&amp;yy'!$AC$3:$AC$38,'2015 Table 11 CWTs exp'!$A21)</f>
        <v>392</v>
      </c>
      <c r="M21" s="228">
        <f>SUMIFS('[8]inland_taf_hatchgrp_tableraw&amp;yy'!M$3:M$38,'[8]inland_taf_hatchgrp_tableraw&amp;yy'!$AC$3:$AC$38,'2015 Table 11 CWTs exp'!$A21)</f>
        <v>0</v>
      </c>
      <c r="N21" s="228">
        <f>SUMIFS('[8]inland_taf_hatchgrp_tableraw&amp;yy'!P$3:P$38,'[8]inland_taf_hatchgrp_tableraw&amp;yy'!$AC$3:$AC$38,'2015 Table 11 CWTs exp'!$A21)</f>
        <v>602</v>
      </c>
      <c r="O21" s="228">
        <f>SUMIFS('[8]inland_taf_hatchgrp_tableraw&amp;yy'!N$3:N$38,'[8]inland_taf_hatchgrp_tableraw&amp;yy'!$AC$3:$AC$38,'2015 Table 11 CWTs exp'!$A21)</f>
        <v>14784</v>
      </c>
      <c r="P21" s="228">
        <f>SUMIFS('[8]inland_taf_hatchgrp_tableraw&amp;yy'!O$3:O$38,'[8]inland_taf_hatchgrp_tableraw&amp;yy'!$AC$3:$AC$38,'2015 Table 11 CWTs exp'!$A21)</f>
        <v>760</v>
      </c>
      <c r="Q21" s="280">
        <f>SUMIFS('[8]inland_taf_hatchgrp_tableraw&amp;yy'!Q$3:Q$38,'[8]inland_taf_hatchgrp_tableraw&amp;yy'!$AC$3:$AC$38,'2015 Table 11 CWTs exp'!$A21)</f>
        <v>0</v>
      </c>
      <c r="R21" s="281">
        <f>SUMIFS('[8]inland_taf_hatchgrp_tableraw&amp;yy'!R$3:R$38,'[8]inland_taf_hatchgrp_tableraw&amp;yy'!$AC$3:$AC$38,'2015 Table 11 CWTs exp'!$A21)</f>
        <v>0</v>
      </c>
      <c r="S21" s="228">
        <f>SUMIFS('[8]inland_taf_hatchgrp_tableraw&amp;yy'!S$3:S$38,'[8]inland_taf_hatchgrp_tableraw&amp;yy'!$AC$3:$AC$38,'2015 Table 11 CWTs exp'!$A21)</f>
        <v>0</v>
      </c>
      <c r="T21" s="228">
        <f>SUMIFS('[8]inland_taf_hatchgrp_tableraw&amp;yy'!T$3:T$38,'[8]inland_taf_hatchgrp_tableraw&amp;yy'!$AC$3:$AC$38,'2015 Table 11 CWTs exp'!$A21)</f>
        <v>0</v>
      </c>
      <c r="U21" s="228">
        <f>SUMIFS('[8]inland_taf_hatchgrp_tableraw&amp;yy'!U$3:U$38,'[8]inland_taf_hatchgrp_tableraw&amp;yy'!$AC$3:$AC$38,'2015 Table 11 CWTs exp'!$A21)</f>
        <v>0</v>
      </c>
      <c r="V21" s="280">
        <f>SUMIFS('[8]inland_taf_hatchgrp_tableraw&amp;yy'!V$3:V$38,'[8]inland_taf_hatchgrp_tableraw&amp;yy'!$AC$3:$AC$38,'2015 Table 11 CWTs exp'!$A21)</f>
        <v>0</v>
      </c>
      <c r="W21" s="281">
        <f>SUMIFS('[8]inland_taf_hatchgrp_tableraw&amp;yy'!W$3:W$38,'[8]inland_taf_hatchgrp_tableraw&amp;yy'!$AC$3:$AC$38,'2015 Table 11 CWTs exp'!$A21)</f>
        <v>0</v>
      </c>
      <c r="X21" s="228">
        <f>SUMIFS('[8]inland_taf_hatchgrp_tableraw&amp;yy'!X$3:X$38,'[8]inland_taf_hatchgrp_tableraw&amp;yy'!$AC$3:$AC$38,'2015 Table 11 CWTs exp'!$A21)</f>
        <v>0</v>
      </c>
      <c r="Y21" s="282">
        <f>SUMIFS('[8]inland_taf_hatchgrp_tableraw&amp;yy'!Y$3:Y$38,'[8]inland_taf_hatchgrp_tableraw&amp;yy'!$AC$3:$AC$38,'2015 Table 11 CWTs exp'!$A21)</f>
        <v>19373</v>
      </c>
      <c r="Z21" s="283">
        <f>SUMIFS('[8]inland_taf_hatchgrp_tableraw&amp;yy'!Z$3:Z$38,'[8]inland_taf_hatchgrp_tableraw&amp;yy'!$AC$3:$AC$38,'2015 Table 11 CWTs exp'!$A21)</f>
        <v>9295</v>
      </c>
      <c r="AA21" s="228">
        <f>SUMIFS('[8]inland_taf_hatchgrp_tableraw&amp;yy'!AA$3:AA$38,'[8]inland_taf_hatchgrp_tableraw&amp;yy'!$AC$3:$AC$38,'2015 Table 11 CWTs exp'!$A21)</f>
        <v>28668</v>
      </c>
      <c r="AB21" s="228"/>
      <c r="AC21" s="567">
        <f>SUMIFS('[8]inland_taf_hatchgrp_tableraw&amp;yy'!AB$3:AB$38,'[8]inland_taf_hatchgrp_tableraw&amp;yy'!$AC$3:$AC$38,'2015 Table 11 CWTs exp'!$A21)</f>
        <v>0.67600000000000005</v>
      </c>
      <c r="AD21" s="604" t="str">
        <f t="shared" si="9"/>
        <v>USAC543</v>
      </c>
      <c r="AE21" s="442"/>
      <c r="AF21" s="622">
        <f t="shared" si="10"/>
        <v>0.67577089437700577</v>
      </c>
      <c r="AG21" s="623">
        <f t="shared" si="11"/>
        <v>0.32422910562299428</v>
      </c>
      <c r="AH21" s="605">
        <f>1-AC21</f>
        <v>0.32399999999999995</v>
      </c>
      <c r="AI21" s="447">
        <f t="shared" ref="AI21:AI37" si="12">Z21</f>
        <v>9295</v>
      </c>
      <c r="AJ21" s="451"/>
      <c r="AK21" s="451"/>
      <c r="AL21" s="442"/>
      <c r="AM21" s="442"/>
      <c r="AN21" s="442"/>
      <c r="AO21" s="442"/>
      <c r="AP21" s="442"/>
      <c r="AQ21" s="442"/>
      <c r="AR21" s="442"/>
      <c r="AS21" s="442"/>
      <c r="AT21" s="442"/>
      <c r="AU21" s="442"/>
      <c r="AV21" s="442"/>
      <c r="AW21" s="442"/>
      <c r="AX21" s="442"/>
      <c r="AY21" s="442"/>
      <c r="AZ21" s="442"/>
      <c r="BA21" s="442"/>
      <c r="BB21" s="442"/>
      <c r="BC21" s="442"/>
      <c r="BD21" s="442"/>
      <c r="BE21" s="442"/>
      <c r="BF21" s="442"/>
    </row>
    <row r="22" spans="1:58" ht="14.5" customHeight="1" x14ac:dyDescent="0.25">
      <c r="A22" s="50" t="str">
        <f t="shared" si="8"/>
        <v>CLR543</v>
      </c>
      <c r="B22" s="13" t="s">
        <v>70</v>
      </c>
      <c r="C22" s="13">
        <v>54</v>
      </c>
      <c r="D22" s="13">
        <v>3</v>
      </c>
      <c r="E22" s="3" t="s">
        <v>71</v>
      </c>
      <c r="F22" s="43" t="str">
        <f>LOOKUP(D22,$AK$7:$AK$10,$AL$7:$AL$10)</f>
        <v>Fall</v>
      </c>
      <c r="G22" s="235">
        <f>SUMIFS('[8]inland_taf_hatchgrp_tableraw&amp;yy'!G$3:G$38,'[8]inland_taf_hatchgrp_tableraw&amp;yy'!$AC$3:$AC$38,'2015 Table 11 CWTs exp'!$A22)</f>
        <v>0</v>
      </c>
      <c r="H22" s="45">
        <f>SUMIFS('[8]inland_taf_hatchgrp_tableraw&amp;yy'!H$3:H$38,'[8]inland_taf_hatchgrp_tableraw&amp;yy'!$AC$3:$AC$38,'2015 Table 11 CWTs exp'!$A22)</f>
        <v>0</v>
      </c>
      <c r="I22" s="44">
        <f>SUMIFS('[8]inland_taf_hatchgrp_tableraw&amp;yy'!I$3:I$38,'[8]inland_taf_hatchgrp_tableraw&amp;yy'!$AC$3:$AC$38,'2015 Table 11 CWTs exp'!$A22)</f>
        <v>666</v>
      </c>
      <c r="J22" s="46">
        <f>SUMIFS('[8]inland_taf_hatchgrp_tableraw&amp;yy'!J$3:J$38,'[8]inland_taf_hatchgrp_tableraw&amp;yy'!$AC$3:$AC$38,'2015 Table 11 CWTs exp'!$A22)</f>
        <v>368</v>
      </c>
      <c r="K22" s="44">
        <f>SUMIFS('[8]inland_taf_hatchgrp_tableraw&amp;yy'!K$3:K$38,'[8]inland_taf_hatchgrp_tableraw&amp;yy'!$AC$3:$AC$38,'2015 Table 11 CWTs exp'!$A22)</f>
        <v>0</v>
      </c>
      <c r="L22" s="44">
        <f>SUMIFS('[8]inland_taf_hatchgrp_tableraw&amp;yy'!L$3:L$38,'[8]inland_taf_hatchgrp_tableraw&amp;yy'!$AC$3:$AC$38,'2015 Table 11 CWTs exp'!$A22)</f>
        <v>85</v>
      </c>
      <c r="M22" s="44">
        <f>SUMIFS('[8]inland_taf_hatchgrp_tableraw&amp;yy'!M$3:M$38,'[8]inland_taf_hatchgrp_tableraw&amp;yy'!$AC$3:$AC$38,'2015 Table 11 CWTs exp'!$A22)</f>
        <v>0</v>
      </c>
      <c r="N22" s="44">
        <f>SUMIFS('[8]inland_taf_hatchgrp_tableraw&amp;yy'!P$3:P$38,'[8]inland_taf_hatchgrp_tableraw&amp;yy'!$AC$3:$AC$38,'2015 Table 11 CWTs exp'!$A22)</f>
        <v>235</v>
      </c>
      <c r="O22" s="44">
        <f>SUMIFS('[8]inland_taf_hatchgrp_tableraw&amp;yy'!N$3:N$38,'[8]inland_taf_hatchgrp_tableraw&amp;yy'!$AC$3:$AC$38,'2015 Table 11 CWTs exp'!$A22)</f>
        <v>4875</v>
      </c>
      <c r="P22" s="44">
        <f>SUMIFS('[8]inland_taf_hatchgrp_tableraw&amp;yy'!O$3:O$38,'[8]inland_taf_hatchgrp_tableraw&amp;yy'!$AC$3:$AC$38,'2015 Table 11 CWTs exp'!$A22)</f>
        <v>259</v>
      </c>
      <c r="Q22" s="45">
        <f>SUMIFS('[8]inland_taf_hatchgrp_tableraw&amp;yy'!Q$3:Q$38,'[8]inland_taf_hatchgrp_tableraw&amp;yy'!$AC$3:$AC$38,'2015 Table 11 CWTs exp'!$A22)</f>
        <v>0</v>
      </c>
      <c r="R22" s="46">
        <f>SUMIFS('[8]inland_taf_hatchgrp_tableraw&amp;yy'!R$3:R$38,'[8]inland_taf_hatchgrp_tableraw&amp;yy'!$AC$3:$AC$38,'2015 Table 11 CWTs exp'!$A22)</f>
        <v>0</v>
      </c>
      <c r="S22" s="44">
        <f>SUMIFS('[8]inland_taf_hatchgrp_tableraw&amp;yy'!S$3:S$38,'[8]inland_taf_hatchgrp_tableraw&amp;yy'!$AC$3:$AC$38,'2015 Table 11 CWTs exp'!$A22)</f>
        <v>0</v>
      </c>
      <c r="T22" s="44">
        <f>SUMIFS('[8]inland_taf_hatchgrp_tableraw&amp;yy'!T$3:T$38,'[8]inland_taf_hatchgrp_tableraw&amp;yy'!$AC$3:$AC$38,'2015 Table 11 CWTs exp'!$A22)</f>
        <v>0</v>
      </c>
      <c r="U22" s="44">
        <f>SUMIFS('[8]inland_taf_hatchgrp_tableraw&amp;yy'!U$3:U$38,'[8]inland_taf_hatchgrp_tableraw&amp;yy'!$AC$3:$AC$38,'2015 Table 11 CWTs exp'!$A22)</f>
        <v>0</v>
      </c>
      <c r="V22" s="45">
        <f>SUMIFS('[8]inland_taf_hatchgrp_tableraw&amp;yy'!V$3:V$38,'[8]inland_taf_hatchgrp_tableraw&amp;yy'!$AC$3:$AC$38,'2015 Table 11 CWTs exp'!$A22)</f>
        <v>0</v>
      </c>
      <c r="W22" s="46">
        <f>SUMIFS('[8]inland_taf_hatchgrp_tableraw&amp;yy'!W$3:W$38,'[8]inland_taf_hatchgrp_tableraw&amp;yy'!$AC$3:$AC$38,'2015 Table 11 CWTs exp'!$A22)</f>
        <v>0</v>
      </c>
      <c r="X22" s="44">
        <f>SUMIFS('[8]inland_taf_hatchgrp_tableraw&amp;yy'!X$3:X$38,'[8]inland_taf_hatchgrp_tableraw&amp;yy'!$AC$3:$AC$38,'2015 Table 11 CWTs exp'!$A22)</f>
        <v>0</v>
      </c>
      <c r="Y22" s="84">
        <f>SUMIFS('[8]inland_taf_hatchgrp_tableraw&amp;yy'!Y$3:Y$38,'[8]inland_taf_hatchgrp_tableraw&amp;yy'!$AC$3:$AC$38,'2015 Table 11 CWTs exp'!$A22)</f>
        <v>6488</v>
      </c>
      <c r="Z22" s="85">
        <f>SUMIFS('[8]inland_taf_hatchgrp_tableraw&amp;yy'!Z$3:Z$38,'[8]inland_taf_hatchgrp_tableraw&amp;yy'!$AC$3:$AC$38,'2015 Table 11 CWTs exp'!$A22)</f>
        <v>2321</v>
      </c>
      <c r="AA22" s="44">
        <f>SUMIFS('[8]inland_taf_hatchgrp_tableraw&amp;yy'!AA$3:AA$38,'[8]inland_taf_hatchgrp_tableraw&amp;yy'!$AC$3:$AC$38,'2015 Table 11 CWTs exp'!$A22)</f>
        <v>8809</v>
      </c>
      <c r="AB22" s="44"/>
      <c r="AC22" s="567">
        <f>SUMIFS('[8]inland_taf_hatchgrp_tableraw&amp;yy'!AB$3:AB$38,'[8]inland_taf_hatchgrp_tableraw&amp;yy'!$AC$3:$AC$38,'2015 Table 11 CWTs exp'!$A22)</f>
        <v>0.73699999999999999</v>
      </c>
      <c r="AD22" s="604" t="str">
        <f t="shared" si="9"/>
        <v>CLR543</v>
      </c>
      <c r="AE22" s="613"/>
      <c r="AF22" s="622">
        <f t="shared" si="10"/>
        <v>0.73651946872516749</v>
      </c>
      <c r="AG22" s="623">
        <f t="shared" si="11"/>
        <v>0.26348053127483256</v>
      </c>
      <c r="AH22" s="605">
        <f t="shared" ref="AH22:AH38" si="13">1-AC22</f>
        <v>0.26300000000000001</v>
      </c>
      <c r="AI22" s="447">
        <f t="shared" si="12"/>
        <v>2321</v>
      </c>
      <c r="AJ22" s="451"/>
      <c r="AK22" s="451"/>
      <c r="AL22" s="442"/>
      <c r="AM22" s="442"/>
      <c r="AN22" s="442"/>
      <c r="AO22" s="442"/>
      <c r="AP22" s="442"/>
      <c r="AQ22" s="442"/>
      <c r="AR22" s="442"/>
      <c r="AS22" s="442"/>
      <c r="AT22" s="442"/>
      <c r="AU22" s="442"/>
      <c r="AV22" s="442"/>
      <c r="AW22" s="442"/>
      <c r="AX22" s="442"/>
      <c r="AY22" s="442"/>
      <c r="AZ22" s="442"/>
      <c r="BA22" s="442"/>
      <c r="BB22" s="442"/>
      <c r="BC22" s="442"/>
      <c r="BD22" s="442"/>
      <c r="BE22" s="442"/>
      <c r="BF22" s="442"/>
    </row>
    <row r="23" spans="1:58" ht="14.5" customHeight="1" x14ac:dyDescent="0.25">
      <c r="A23" s="50" t="str">
        <f t="shared" si="8"/>
        <v>BATT543</v>
      </c>
      <c r="B23" s="13" t="s">
        <v>72</v>
      </c>
      <c r="C23" s="13">
        <v>54</v>
      </c>
      <c r="D23" s="13">
        <v>3</v>
      </c>
      <c r="E23" s="75" t="s">
        <v>218</v>
      </c>
      <c r="F23" s="43" t="s">
        <v>219</v>
      </c>
      <c r="G23" s="235">
        <f>SUMIFS('[8]inland_taf_hatchgrp_tableraw&amp;yy'!G$3:G$38,'[8]inland_taf_hatchgrp_tableraw&amp;yy'!$AC$3:$AC$38,'2015 Table 11 CWTs exp'!$A23)</f>
        <v>0</v>
      </c>
      <c r="H23" s="45">
        <f>SUMIFS('[8]inland_taf_hatchgrp_tableraw&amp;yy'!H$3:H$38,'[8]inland_taf_hatchgrp_tableraw&amp;yy'!$AC$3:$AC$38,'2015 Table 11 CWTs exp'!$A23)</f>
        <v>0</v>
      </c>
      <c r="I23" s="44">
        <f>SUMIFS('[8]inland_taf_hatchgrp_tableraw&amp;yy'!I$3:I$38,'[8]inland_taf_hatchgrp_tableraw&amp;yy'!$AC$3:$AC$38,'2015 Table 11 CWTs exp'!$A23)</f>
        <v>2191</v>
      </c>
      <c r="J23" s="46">
        <f>SUMIFS('[8]inland_taf_hatchgrp_tableraw&amp;yy'!J$3:J$38,'[8]inland_taf_hatchgrp_tableraw&amp;yy'!$AC$3:$AC$38,'2015 Table 11 CWTs exp'!$A23)</f>
        <v>111</v>
      </c>
      <c r="K23" s="44">
        <f>SUMIFS('[8]inland_taf_hatchgrp_tableraw&amp;yy'!K$3:K$38,'[8]inland_taf_hatchgrp_tableraw&amp;yy'!$AC$3:$AC$38,'2015 Table 11 CWTs exp'!$A23)</f>
        <v>0</v>
      </c>
      <c r="L23" s="44">
        <f>SUMIFS('[8]inland_taf_hatchgrp_tableraw&amp;yy'!L$3:L$38,'[8]inland_taf_hatchgrp_tableraw&amp;yy'!$AC$3:$AC$38,'2015 Table 11 CWTs exp'!$A23)</f>
        <v>0</v>
      </c>
      <c r="M23" s="44">
        <f>SUMIFS('[8]inland_taf_hatchgrp_tableraw&amp;yy'!M$3:M$38,'[8]inland_taf_hatchgrp_tableraw&amp;yy'!$AC$3:$AC$38,'2015 Table 11 CWTs exp'!$A23)</f>
        <v>0</v>
      </c>
      <c r="N23" s="44">
        <f>SUMIFS('[8]inland_taf_hatchgrp_tableraw&amp;yy'!P$3:P$38,'[8]inland_taf_hatchgrp_tableraw&amp;yy'!$AC$3:$AC$38,'2015 Table 11 CWTs exp'!$A23)</f>
        <v>21</v>
      </c>
      <c r="O23" s="44">
        <f>SUMIFS('[8]inland_taf_hatchgrp_tableraw&amp;yy'!N$3:N$38,'[8]inland_taf_hatchgrp_tableraw&amp;yy'!$AC$3:$AC$38,'2015 Table 11 CWTs exp'!$A23)</f>
        <v>343</v>
      </c>
      <c r="P23" s="44">
        <f>SUMIFS('[8]inland_taf_hatchgrp_tableraw&amp;yy'!O$3:O$38,'[8]inland_taf_hatchgrp_tableraw&amp;yy'!$AC$3:$AC$38,'2015 Table 11 CWTs exp'!$A23)</f>
        <v>25</v>
      </c>
      <c r="Q23" s="45">
        <f>SUMIFS('[8]inland_taf_hatchgrp_tableraw&amp;yy'!Q$3:Q$38,'[8]inland_taf_hatchgrp_tableraw&amp;yy'!$AC$3:$AC$38,'2015 Table 11 CWTs exp'!$A23)</f>
        <v>2</v>
      </c>
      <c r="R23" s="46">
        <f>SUMIFS('[8]inland_taf_hatchgrp_tableraw&amp;yy'!R$3:R$38,'[8]inland_taf_hatchgrp_tableraw&amp;yy'!$AC$3:$AC$38,'2015 Table 11 CWTs exp'!$A23)</f>
        <v>1</v>
      </c>
      <c r="S23" s="44">
        <f>SUMIFS('[8]inland_taf_hatchgrp_tableraw&amp;yy'!S$3:S$38,'[8]inland_taf_hatchgrp_tableraw&amp;yy'!$AC$3:$AC$38,'2015 Table 11 CWTs exp'!$A23)</f>
        <v>0</v>
      </c>
      <c r="T23" s="44">
        <f>SUMIFS('[8]inland_taf_hatchgrp_tableraw&amp;yy'!T$3:T$38,'[8]inland_taf_hatchgrp_tableraw&amp;yy'!$AC$3:$AC$38,'2015 Table 11 CWTs exp'!$A23)</f>
        <v>3</v>
      </c>
      <c r="U23" s="44">
        <f>SUMIFS('[8]inland_taf_hatchgrp_tableraw&amp;yy'!U$3:U$38,'[8]inland_taf_hatchgrp_tableraw&amp;yy'!$AC$3:$AC$38,'2015 Table 11 CWTs exp'!$A23)</f>
        <v>0</v>
      </c>
      <c r="V23" s="45">
        <f>SUMIFS('[8]inland_taf_hatchgrp_tableraw&amp;yy'!V$3:V$38,'[8]inland_taf_hatchgrp_tableraw&amp;yy'!$AC$3:$AC$38,'2015 Table 11 CWTs exp'!$A23)</f>
        <v>0</v>
      </c>
      <c r="W23" s="46">
        <f>SUMIFS('[8]inland_taf_hatchgrp_tableraw&amp;yy'!W$3:W$38,'[8]inland_taf_hatchgrp_tableraw&amp;yy'!$AC$3:$AC$38,'2015 Table 11 CWTs exp'!$A23)</f>
        <v>4</v>
      </c>
      <c r="X23" s="44">
        <f>SUMIFS('[8]inland_taf_hatchgrp_tableraw&amp;yy'!X$3:X$38,'[8]inland_taf_hatchgrp_tableraw&amp;yy'!$AC$3:$AC$38,'2015 Table 11 CWTs exp'!$A23)</f>
        <v>0</v>
      </c>
      <c r="Y23" s="84">
        <f>SUMIFS('[8]inland_taf_hatchgrp_tableraw&amp;yy'!Y$3:Y$38,'[8]inland_taf_hatchgrp_tableraw&amp;yy'!$AC$3:$AC$38,'2015 Table 11 CWTs exp'!$A23)</f>
        <v>2701</v>
      </c>
      <c r="Z23" s="85">
        <f>SUMIFS('[8]inland_taf_hatchgrp_tableraw&amp;yy'!Z$3:Z$38,'[8]inland_taf_hatchgrp_tableraw&amp;yy'!$AC$3:$AC$38,'2015 Table 11 CWTs exp'!$A23)</f>
        <v>930</v>
      </c>
      <c r="AA23" s="44">
        <f>SUMIFS('[8]inland_taf_hatchgrp_tableraw&amp;yy'!AA$3:AA$38,'[8]inland_taf_hatchgrp_tableraw&amp;yy'!$AC$3:$AC$38,'2015 Table 11 CWTs exp'!$A23)</f>
        <v>3631</v>
      </c>
      <c r="AB23" s="76"/>
      <c r="AC23" s="567">
        <f>Y23/AA23</f>
        <v>0.74387221151198013</v>
      </c>
      <c r="AD23" s="604" t="str">
        <f t="shared" si="9"/>
        <v>BATT543</v>
      </c>
      <c r="AE23" s="442"/>
      <c r="AF23" s="622">
        <f t="shared" si="10"/>
        <v>0.74387221151198013</v>
      </c>
      <c r="AG23" s="623">
        <f t="shared" si="11"/>
        <v>0.25612778848801981</v>
      </c>
      <c r="AH23" s="605">
        <f t="shared" si="13"/>
        <v>0.25612778848801987</v>
      </c>
      <c r="AI23" s="447">
        <f t="shared" si="12"/>
        <v>930</v>
      </c>
      <c r="AJ23" s="451"/>
      <c r="AK23" s="451"/>
      <c r="AL23" s="442"/>
      <c r="AM23" s="442"/>
      <c r="AN23" s="442"/>
      <c r="AO23" s="442"/>
      <c r="AP23" s="442"/>
      <c r="AQ23" s="442"/>
      <c r="AR23" s="442"/>
      <c r="AS23" s="442"/>
      <c r="AT23" s="442"/>
      <c r="AU23" s="442"/>
      <c r="AV23" s="442"/>
      <c r="AW23" s="442"/>
      <c r="AX23" s="442"/>
      <c r="AY23" s="442"/>
      <c r="AZ23" s="442"/>
      <c r="BA23" s="442"/>
      <c r="BB23" s="442"/>
      <c r="BC23" s="442"/>
      <c r="BD23" s="442"/>
      <c r="BE23" s="442"/>
      <c r="BF23" s="442"/>
    </row>
    <row r="24" spans="1:58" ht="14.5" customHeight="1" x14ac:dyDescent="0.25">
      <c r="A24" s="50" t="str">
        <f t="shared" si="8"/>
        <v>COT543</v>
      </c>
      <c r="B24" s="13" t="s">
        <v>74</v>
      </c>
      <c r="C24" s="13">
        <v>54</v>
      </c>
      <c r="D24" s="13">
        <v>3</v>
      </c>
      <c r="E24" s="3" t="s">
        <v>75</v>
      </c>
      <c r="F24" s="43" t="str">
        <f t="shared" ref="F24:F38" si="14">LOOKUP(D24,$AK$7:$AK$10,$AL$7:$AL$10)</f>
        <v>Fall</v>
      </c>
      <c r="G24" s="235">
        <f>SUMIFS('[8]inland_taf_hatchgrp_tableraw&amp;yy'!G$3:G$38,'[8]inland_taf_hatchgrp_tableraw&amp;yy'!$AC$3:$AC$38,'2015 Table 11 CWTs exp'!$A24)</f>
        <v>0</v>
      </c>
      <c r="H24" s="45">
        <f>SUMIFS('[8]inland_taf_hatchgrp_tableraw&amp;yy'!H$3:H$38,'[8]inland_taf_hatchgrp_tableraw&amp;yy'!$AC$3:$AC$38,'2015 Table 11 CWTs exp'!$A24)</f>
        <v>0</v>
      </c>
      <c r="I24" s="44">
        <f>SUMIFS('[8]inland_taf_hatchgrp_tableraw&amp;yy'!I$3:I$38,'[8]inland_taf_hatchgrp_tableraw&amp;yy'!$AC$3:$AC$38,'2015 Table 11 CWTs exp'!$A24)</f>
        <v>0</v>
      </c>
      <c r="J24" s="46">
        <f>SUMIFS('[8]inland_taf_hatchgrp_tableraw&amp;yy'!J$3:J$38,'[8]inland_taf_hatchgrp_tableraw&amp;yy'!$AC$3:$AC$38,'2015 Table 11 CWTs exp'!$A24)</f>
        <v>73</v>
      </c>
      <c r="K24" s="44">
        <f>SUMIFS('[8]inland_taf_hatchgrp_tableraw&amp;yy'!K$3:K$38,'[8]inland_taf_hatchgrp_tableraw&amp;yy'!$AC$3:$AC$38,'2015 Table 11 CWTs exp'!$A24)</f>
        <v>0</v>
      </c>
      <c r="L24" s="44">
        <f>SUMIFS('[8]inland_taf_hatchgrp_tableraw&amp;yy'!L$3:L$38,'[8]inland_taf_hatchgrp_tableraw&amp;yy'!$AC$3:$AC$38,'2015 Table 11 CWTs exp'!$A24)</f>
        <v>0</v>
      </c>
      <c r="M24" s="44">
        <f>SUMIFS('[8]inland_taf_hatchgrp_tableraw&amp;yy'!M$3:M$38,'[8]inland_taf_hatchgrp_tableraw&amp;yy'!$AC$3:$AC$38,'2015 Table 11 CWTs exp'!$A24)</f>
        <v>0</v>
      </c>
      <c r="N24" s="44">
        <f>SUMIFS('[8]inland_taf_hatchgrp_tableraw&amp;yy'!P$3:P$38,'[8]inland_taf_hatchgrp_tableraw&amp;yy'!$AC$3:$AC$38,'2015 Table 11 CWTs exp'!$A24)</f>
        <v>0</v>
      </c>
      <c r="O24" s="44">
        <f>SUMIFS('[8]inland_taf_hatchgrp_tableraw&amp;yy'!N$3:N$38,'[8]inland_taf_hatchgrp_tableraw&amp;yy'!$AC$3:$AC$38,'2015 Table 11 CWTs exp'!$A24)</f>
        <v>0</v>
      </c>
      <c r="P24" s="44">
        <f>SUMIFS('[8]inland_taf_hatchgrp_tableraw&amp;yy'!O$3:O$38,'[8]inland_taf_hatchgrp_tableraw&amp;yy'!$AC$3:$AC$38,'2015 Table 11 CWTs exp'!$A24)</f>
        <v>18</v>
      </c>
      <c r="Q24" s="45">
        <f>SUMIFS('[8]inland_taf_hatchgrp_tableraw&amp;yy'!Q$3:Q$38,'[8]inland_taf_hatchgrp_tableraw&amp;yy'!$AC$3:$AC$38,'2015 Table 11 CWTs exp'!$A24)</f>
        <v>0</v>
      </c>
      <c r="R24" s="46">
        <f>SUMIFS('[8]inland_taf_hatchgrp_tableraw&amp;yy'!R$3:R$38,'[8]inland_taf_hatchgrp_tableraw&amp;yy'!$AC$3:$AC$38,'2015 Table 11 CWTs exp'!$A24)</f>
        <v>0</v>
      </c>
      <c r="S24" s="44">
        <f>SUMIFS('[8]inland_taf_hatchgrp_tableraw&amp;yy'!S$3:S$38,'[8]inland_taf_hatchgrp_tableraw&amp;yy'!$AC$3:$AC$38,'2015 Table 11 CWTs exp'!$A24)</f>
        <v>0</v>
      </c>
      <c r="T24" s="44">
        <f>SUMIFS('[8]inland_taf_hatchgrp_tableraw&amp;yy'!T$3:T$38,'[8]inland_taf_hatchgrp_tableraw&amp;yy'!$AC$3:$AC$38,'2015 Table 11 CWTs exp'!$A24)</f>
        <v>0</v>
      </c>
      <c r="U24" s="44">
        <f>SUMIFS('[8]inland_taf_hatchgrp_tableraw&amp;yy'!U$3:U$38,'[8]inland_taf_hatchgrp_tableraw&amp;yy'!$AC$3:$AC$38,'2015 Table 11 CWTs exp'!$A24)</f>
        <v>0</v>
      </c>
      <c r="V24" s="45">
        <f>SUMIFS('[8]inland_taf_hatchgrp_tableraw&amp;yy'!V$3:V$38,'[8]inland_taf_hatchgrp_tableraw&amp;yy'!$AC$3:$AC$38,'2015 Table 11 CWTs exp'!$A24)</f>
        <v>0</v>
      </c>
      <c r="W24" s="46">
        <f>SUMIFS('[8]inland_taf_hatchgrp_tableraw&amp;yy'!W$3:W$38,'[8]inland_taf_hatchgrp_tableraw&amp;yy'!$AC$3:$AC$38,'2015 Table 11 CWTs exp'!$A24)</f>
        <v>0</v>
      </c>
      <c r="X24" s="44">
        <f>SUMIFS('[8]inland_taf_hatchgrp_tableraw&amp;yy'!X$3:X$38,'[8]inland_taf_hatchgrp_tableraw&amp;yy'!$AC$3:$AC$38,'2015 Table 11 CWTs exp'!$A24)</f>
        <v>0</v>
      </c>
      <c r="Y24" s="84">
        <f>SUMIFS('[8]inland_taf_hatchgrp_tableraw&amp;yy'!Y$3:Y$38,'[8]inland_taf_hatchgrp_tableraw&amp;yy'!$AC$3:$AC$38,'2015 Table 11 CWTs exp'!$A24)</f>
        <v>92</v>
      </c>
      <c r="Z24" s="85">
        <f>SUMIFS('[8]inland_taf_hatchgrp_tableraw&amp;yy'!Z$3:Z$38,'[8]inland_taf_hatchgrp_tableraw&amp;yy'!$AC$3:$AC$38,'2015 Table 11 CWTs exp'!$A24)</f>
        <v>512</v>
      </c>
      <c r="AA24" s="44">
        <f>SUMIFS('[8]inland_taf_hatchgrp_tableraw&amp;yy'!AA$3:AA$38,'[8]inland_taf_hatchgrp_tableraw&amp;yy'!$AC$3:$AC$38,'2015 Table 11 CWTs exp'!$A24)</f>
        <v>604</v>
      </c>
      <c r="AB24" s="44"/>
      <c r="AC24" s="567">
        <f>SUMIFS('[8]inland_taf_hatchgrp_tableraw&amp;yy'!AB$3:AB$38,'[8]inland_taf_hatchgrp_tableraw&amp;yy'!$AC$3:$AC$38,'2015 Table 11 CWTs exp'!$A24)</f>
        <v>0.152</v>
      </c>
      <c r="AD24" s="604" t="str">
        <f t="shared" si="9"/>
        <v>COT543</v>
      </c>
      <c r="AE24" s="442"/>
      <c r="AF24" s="622">
        <f t="shared" si="10"/>
        <v>0.15231788079470199</v>
      </c>
      <c r="AG24" s="623">
        <f t="shared" si="11"/>
        <v>0.84768211920529801</v>
      </c>
      <c r="AH24" s="605">
        <f t="shared" si="13"/>
        <v>0.84799999999999998</v>
      </c>
      <c r="AI24" s="447">
        <f t="shared" si="12"/>
        <v>512</v>
      </c>
      <c r="AJ24" s="451"/>
      <c r="AK24" s="451"/>
      <c r="AL24" s="442"/>
      <c r="AM24" s="442"/>
      <c r="AN24" s="442"/>
      <c r="AO24" s="442"/>
      <c r="AP24" s="442"/>
      <c r="AQ24" s="442"/>
      <c r="AR24" s="442"/>
      <c r="AS24" s="442"/>
      <c r="AT24" s="442"/>
      <c r="AU24" s="442"/>
      <c r="AV24" s="442"/>
      <c r="AW24" s="442"/>
      <c r="AX24" s="442"/>
      <c r="AY24" s="442"/>
      <c r="AZ24" s="442"/>
      <c r="BA24" s="442"/>
      <c r="BB24" s="442"/>
      <c r="BC24" s="442"/>
      <c r="BD24" s="442"/>
      <c r="BE24" s="442"/>
      <c r="BF24" s="442"/>
    </row>
    <row r="25" spans="1:58" ht="14.5" customHeight="1" x14ac:dyDescent="0.25">
      <c r="A25" s="50" t="str">
        <f t="shared" si="8"/>
        <v>DEE543</v>
      </c>
      <c r="B25" s="13" t="s">
        <v>220</v>
      </c>
      <c r="C25" s="13">
        <v>54</v>
      </c>
      <c r="D25" s="13">
        <v>3</v>
      </c>
      <c r="E25" s="3" t="s">
        <v>221</v>
      </c>
      <c r="F25" s="43" t="str">
        <f t="shared" si="14"/>
        <v>Fall</v>
      </c>
      <c r="G25" s="235">
        <f>SUMIFS('[8]inland_taf_hatchgrp_tableraw&amp;yy'!G$3:G$38,'[8]inland_taf_hatchgrp_tableraw&amp;yy'!$AC$3:$AC$38,'2015 Table 11 CWTs exp'!$A25)</f>
        <v>0</v>
      </c>
      <c r="H25" s="45">
        <f>SUMIFS('[8]inland_taf_hatchgrp_tableraw&amp;yy'!H$3:H$38,'[8]inland_taf_hatchgrp_tableraw&amp;yy'!$AC$3:$AC$38,'2015 Table 11 CWTs exp'!$A25)</f>
        <v>0</v>
      </c>
      <c r="I25" s="44">
        <f>SUMIFS('[8]inland_taf_hatchgrp_tableraw&amp;yy'!I$3:I$38,'[8]inland_taf_hatchgrp_tableraw&amp;yy'!$AC$3:$AC$38,'2015 Table 11 CWTs exp'!$A25)</f>
        <v>0</v>
      </c>
      <c r="J25" s="46">
        <f>SUMIFS('[8]inland_taf_hatchgrp_tableraw&amp;yy'!J$3:J$38,'[8]inland_taf_hatchgrp_tableraw&amp;yy'!$AC$3:$AC$38,'2015 Table 11 CWTs exp'!$A25)</f>
        <v>86</v>
      </c>
      <c r="K25" s="44">
        <f>SUMIFS('[8]inland_taf_hatchgrp_tableraw&amp;yy'!K$3:K$38,'[8]inland_taf_hatchgrp_tableraw&amp;yy'!$AC$3:$AC$38,'2015 Table 11 CWTs exp'!$A25)</f>
        <v>0</v>
      </c>
      <c r="L25" s="44">
        <f>SUMIFS('[8]inland_taf_hatchgrp_tableraw&amp;yy'!L$3:L$38,'[8]inland_taf_hatchgrp_tableraw&amp;yy'!$AC$3:$AC$38,'2015 Table 11 CWTs exp'!$A25)</f>
        <v>0</v>
      </c>
      <c r="M25" s="44">
        <f>SUMIFS('[8]inland_taf_hatchgrp_tableraw&amp;yy'!M$3:M$38,'[8]inland_taf_hatchgrp_tableraw&amp;yy'!$AC$3:$AC$38,'2015 Table 11 CWTs exp'!$A25)</f>
        <v>0</v>
      </c>
      <c r="N25" s="44">
        <f>SUMIFS('[8]inland_taf_hatchgrp_tableraw&amp;yy'!P$3:P$38,'[8]inland_taf_hatchgrp_tableraw&amp;yy'!$AC$3:$AC$38,'2015 Table 11 CWTs exp'!$A25)</f>
        <v>0</v>
      </c>
      <c r="O25" s="44">
        <f>SUMIFS('[8]inland_taf_hatchgrp_tableraw&amp;yy'!N$3:N$38,'[8]inland_taf_hatchgrp_tableraw&amp;yy'!$AC$3:$AC$38,'2015 Table 11 CWTs exp'!$A25)</f>
        <v>472</v>
      </c>
      <c r="P25" s="44">
        <f>SUMIFS('[8]inland_taf_hatchgrp_tableraw&amp;yy'!O$3:O$38,'[8]inland_taf_hatchgrp_tableraw&amp;yy'!$AC$3:$AC$38,'2015 Table 11 CWTs exp'!$A25)</f>
        <v>11</v>
      </c>
      <c r="Q25" s="45">
        <f>SUMIFS('[8]inland_taf_hatchgrp_tableraw&amp;yy'!Q$3:Q$38,'[8]inland_taf_hatchgrp_tableraw&amp;yy'!$AC$3:$AC$38,'2015 Table 11 CWTs exp'!$A25)</f>
        <v>0</v>
      </c>
      <c r="R25" s="46">
        <f>SUMIFS('[8]inland_taf_hatchgrp_tableraw&amp;yy'!R$3:R$38,'[8]inland_taf_hatchgrp_tableraw&amp;yy'!$AC$3:$AC$38,'2015 Table 11 CWTs exp'!$A25)</f>
        <v>0</v>
      </c>
      <c r="S25" s="44">
        <f>SUMIFS('[8]inland_taf_hatchgrp_tableraw&amp;yy'!S$3:S$38,'[8]inland_taf_hatchgrp_tableraw&amp;yy'!$AC$3:$AC$38,'2015 Table 11 CWTs exp'!$A25)</f>
        <v>0</v>
      </c>
      <c r="T25" s="44">
        <f>SUMIFS('[8]inland_taf_hatchgrp_tableraw&amp;yy'!T$3:T$38,'[8]inland_taf_hatchgrp_tableraw&amp;yy'!$AC$3:$AC$38,'2015 Table 11 CWTs exp'!$A25)</f>
        <v>43</v>
      </c>
      <c r="U25" s="44">
        <f>SUMIFS('[8]inland_taf_hatchgrp_tableraw&amp;yy'!U$3:U$38,'[8]inland_taf_hatchgrp_tableraw&amp;yy'!$AC$3:$AC$38,'2015 Table 11 CWTs exp'!$A25)</f>
        <v>0</v>
      </c>
      <c r="V25" s="45">
        <f>SUMIFS('[8]inland_taf_hatchgrp_tableraw&amp;yy'!V$3:V$38,'[8]inland_taf_hatchgrp_tableraw&amp;yy'!$AC$3:$AC$38,'2015 Table 11 CWTs exp'!$A25)</f>
        <v>0</v>
      </c>
      <c r="W25" s="46">
        <f>SUMIFS('[8]inland_taf_hatchgrp_tableraw&amp;yy'!W$3:W$38,'[8]inland_taf_hatchgrp_tableraw&amp;yy'!$AC$3:$AC$38,'2015 Table 11 CWTs exp'!$A25)</f>
        <v>0</v>
      </c>
      <c r="X25" s="44">
        <f>SUMIFS('[8]inland_taf_hatchgrp_tableraw&amp;yy'!X$3:X$38,'[8]inland_taf_hatchgrp_tableraw&amp;yy'!$AC$3:$AC$38,'2015 Table 11 CWTs exp'!$A25)</f>
        <v>0</v>
      </c>
      <c r="Y25" s="84">
        <f>SUMIFS('[8]inland_taf_hatchgrp_tableraw&amp;yy'!Y$3:Y$38,'[8]inland_taf_hatchgrp_tableraw&amp;yy'!$AC$3:$AC$38,'2015 Table 11 CWTs exp'!$A25)</f>
        <v>612</v>
      </c>
      <c r="Z25" s="85">
        <f>SUMIFS('[8]inland_taf_hatchgrp_tableraw&amp;yy'!Z$3:Z$38,'[8]inland_taf_hatchgrp_tableraw&amp;yy'!$AC$3:$AC$38,'2015 Table 11 CWTs exp'!$A25)</f>
        <v>0</v>
      </c>
      <c r="AA25" s="44">
        <f>SUMIFS('[8]inland_taf_hatchgrp_tableraw&amp;yy'!AA$3:AA$38,'[8]inland_taf_hatchgrp_tableraw&amp;yy'!$AC$3:$AC$38,'2015 Table 11 CWTs exp'!$A25)</f>
        <v>612</v>
      </c>
      <c r="AB25" s="44"/>
      <c r="AC25" s="567">
        <f>SUMIFS('[8]inland_taf_hatchgrp_tableraw&amp;yy'!AB$3:AB$38,'[8]inland_taf_hatchgrp_tableraw&amp;yy'!$AC$3:$AC$38,'2015 Table 11 CWTs exp'!$A25)</f>
        <v>1</v>
      </c>
      <c r="AD25" s="604" t="str">
        <f t="shared" si="9"/>
        <v>DEE543</v>
      </c>
      <c r="AE25" s="442"/>
      <c r="AF25" s="622">
        <f t="shared" si="10"/>
        <v>1</v>
      </c>
      <c r="AG25" s="623">
        <f t="shared" si="11"/>
        <v>0</v>
      </c>
      <c r="AH25" s="605">
        <f t="shared" si="13"/>
        <v>0</v>
      </c>
      <c r="AI25" s="447">
        <f t="shared" si="12"/>
        <v>0</v>
      </c>
      <c r="AJ25" s="451"/>
      <c r="AK25" s="451"/>
      <c r="AL25" s="442"/>
      <c r="AM25" s="442"/>
      <c r="AN25" s="442"/>
      <c r="AO25" s="442"/>
      <c r="AP25" s="442"/>
      <c r="AQ25" s="442"/>
      <c r="AR25" s="442"/>
      <c r="AS25" s="442"/>
      <c r="AT25" s="442"/>
      <c r="AU25" s="442"/>
      <c r="AV25" s="442"/>
      <c r="AW25" s="442"/>
      <c r="AX25" s="442"/>
      <c r="AY25" s="442"/>
      <c r="AZ25" s="442"/>
      <c r="BA25" s="442"/>
      <c r="BB25" s="442"/>
      <c r="BC25" s="442"/>
      <c r="BD25" s="442"/>
      <c r="BE25" s="442"/>
      <c r="BF25" s="442"/>
    </row>
    <row r="26" spans="1:58" ht="14.5" customHeight="1" x14ac:dyDescent="0.25">
      <c r="A26" s="50" t="str">
        <f t="shared" si="8"/>
        <v>MLC543</v>
      </c>
      <c r="B26" s="13" t="s">
        <v>78</v>
      </c>
      <c r="C26" s="13">
        <v>54</v>
      </c>
      <c r="D26" s="13">
        <v>3</v>
      </c>
      <c r="E26" s="3" t="s">
        <v>79</v>
      </c>
      <c r="F26" s="43" t="str">
        <f t="shared" si="14"/>
        <v>Fall</v>
      </c>
      <c r="G26" s="235">
        <f>SUMIFS('[8]inland_taf_hatchgrp_tableraw&amp;yy'!G$3:G$38,'[8]inland_taf_hatchgrp_tableraw&amp;yy'!$AC$3:$AC$38,'2015 Table 11 CWTs exp'!$A26)</f>
        <v>0</v>
      </c>
      <c r="H26" s="45">
        <f>SUMIFS('[8]inland_taf_hatchgrp_tableraw&amp;yy'!H$3:H$38,'[8]inland_taf_hatchgrp_tableraw&amp;yy'!$AC$3:$AC$38,'2015 Table 11 CWTs exp'!$A26)</f>
        <v>0</v>
      </c>
      <c r="I26" s="44">
        <f>SUMIFS('[8]inland_taf_hatchgrp_tableraw&amp;yy'!I$3:I$38,'[8]inland_taf_hatchgrp_tableraw&amp;yy'!$AC$3:$AC$38,'2015 Table 11 CWTs exp'!$A26)</f>
        <v>63</v>
      </c>
      <c r="J26" s="46">
        <f>SUMIFS('[8]inland_taf_hatchgrp_tableraw&amp;yy'!J$3:J$38,'[8]inland_taf_hatchgrp_tableraw&amp;yy'!$AC$3:$AC$38,'2015 Table 11 CWTs exp'!$A26)</f>
        <v>63</v>
      </c>
      <c r="K26" s="44">
        <f>SUMIFS('[8]inland_taf_hatchgrp_tableraw&amp;yy'!K$3:K$38,'[8]inland_taf_hatchgrp_tableraw&amp;yy'!$AC$3:$AC$38,'2015 Table 11 CWTs exp'!$A26)</f>
        <v>0</v>
      </c>
      <c r="L26" s="44">
        <f>SUMIFS('[8]inland_taf_hatchgrp_tableraw&amp;yy'!L$3:L$38,'[8]inland_taf_hatchgrp_tableraw&amp;yy'!$AC$3:$AC$38,'2015 Table 11 CWTs exp'!$A26)</f>
        <v>0</v>
      </c>
      <c r="M26" s="44">
        <f>SUMIFS('[8]inland_taf_hatchgrp_tableraw&amp;yy'!M$3:M$38,'[8]inland_taf_hatchgrp_tableraw&amp;yy'!$AC$3:$AC$38,'2015 Table 11 CWTs exp'!$A26)</f>
        <v>0</v>
      </c>
      <c r="N26" s="44">
        <f>SUMIFS('[8]inland_taf_hatchgrp_tableraw&amp;yy'!P$3:P$38,'[8]inland_taf_hatchgrp_tableraw&amp;yy'!$AC$3:$AC$38,'2015 Table 11 CWTs exp'!$A26)</f>
        <v>0</v>
      </c>
      <c r="O26" s="44">
        <f>SUMIFS('[8]inland_taf_hatchgrp_tableraw&amp;yy'!N$3:N$38,'[8]inland_taf_hatchgrp_tableraw&amp;yy'!$AC$3:$AC$38,'2015 Table 11 CWTs exp'!$A26)</f>
        <v>314</v>
      </c>
      <c r="P26" s="44">
        <f>SUMIFS('[8]inland_taf_hatchgrp_tableraw&amp;yy'!O$3:O$38,'[8]inland_taf_hatchgrp_tableraw&amp;yy'!$AC$3:$AC$38,'2015 Table 11 CWTs exp'!$A26)</f>
        <v>16</v>
      </c>
      <c r="Q26" s="45">
        <f>SUMIFS('[8]inland_taf_hatchgrp_tableraw&amp;yy'!Q$3:Q$38,'[8]inland_taf_hatchgrp_tableraw&amp;yy'!$AC$3:$AC$38,'2015 Table 11 CWTs exp'!$A26)</f>
        <v>0</v>
      </c>
      <c r="R26" s="46">
        <f>SUMIFS('[8]inland_taf_hatchgrp_tableraw&amp;yy'!R$3:R$38,'[8]inland_taf_hatchgrp_tableraw&amp;yy'!$AC$3:$AC$38,'2015 Table 11 CWTs exp'!$A26)</f>
        <v>0</v>
      </c>
      <c r="S26" s="44">
        <f>SUMIFS('[8]inland_taf_hatchgrp_tableraw&amp;yy'!S$3:S$38,'[8]inland_taf_hatchgrp_tableraw&amp;yy'!$AC$3:$AC$38,'2015 Table 11 CWTs exp'!$A26)</f>
        <v>0</v>
      </c>
      <c r="T26" s="44">
        <f>SUMIFS('[8]inland_taf_hatchgrp_tableraw&amp;yy'!T$3:T$38,'[8]inland_taf_hatchgrp_tableraw&amp;yy'!$AC$3:$AC$38,'2015 Table 11 CWTs exp'!$A26)</f>
        <v>0</v>
      </c>
      <c r="U26" s="44">
        <f>SUMIFS('[8]inland_taf_hatchgrp_tableraw&amp;yy'!U$3:U$38,'[8]inland_taf_hatchgrp_tableraw&amp;yy'!$AC$3:$AC$38,'2015 Table 11 CWTs exp'!$A26)</f>
        <v>0</v>
      </c>
      <c r="V26" s="45">
        <f>SUMIFS('[8]inland_taf_hatchgrp_tableraw&amp;yy'!V$3:V$38,'[8]inland_taf_hatchgrp_tableraw&amp;yy'!$AC$3:$AC$38,'2015 Table 11 CWTs exp'!$A26)</f>
        <v>0</v>
      </c>
      <c r="W26" s="46">
        <f>SUMIFS('[8]inland_taf_hatchgrp_tableraw&amp;yy'!W$3:W$38,'[8]inland_taf_hatchgrp_tableraw&amp;yy'!$AC$3:$AC$38,'2015 Table 11 CWTs exp'!$A26)</f>
        <v>0</v>
      </c>
      <c r="X26" s="44">
        <f>SUMIFS('[8]inland_taf_hatchgrp_tableraw&amp;yy'!X$3:X$38,'[8]inland_taf_hatchgrp_tableraw&amp;yy'!$AC$3:$AC$38,'2015 Table 11 CWTs exp'!$A26)</f>
        <v>0</v>
      </c>
      <c r="Y26" s="84">
        <f>SUMIFS('[8]inland_taf_hatchgrp_tableraw&amp;yy'!Y$3:Y$38,'[8]inland_taf_hatchgrp_tableraw&amp;yy'!$AC$3:$AC$38,'2015 Table 11 CWTs exp'!$A26)</f>
        <v>455</v>
      </c>
      <c r="Z26" s="85">
        <f>SUMIFS('[8]inland_taf_hatchgrp_tableraw&amp;yy'!Z$3:Z$38,'[8]inland_taf_hatchgrp_tableraw&amp;yy'!$AC$3:$AC$38,'2015 Table 11 CWTs exp'!$A26)</f>
        <v>578</v>
      </c>
      <c r="AA26" s="44">
        <f>SUMIFS('[8]inland_taf_hatchgrp_tableraw&amp;yy'!AA$3:AA$38,'[8]inland_taf_hatchgrp_tableraw&amp;yy'!$AC$3:$AC$38,'2015 Table 11 CWTs exp'!$A26)</f>
        <v>1033</v>
      </c>
      <c r="AB26" s="44"/>
      <c r="AC26" s="567">
        <f>SUMIFS('[8]inland_taf_hatchgrp_tableraw&amp;yy'!AB$3:AB$38,'[8]inland_taf_hatchgrp_tableraw&amp;yy'!$AC$3:$AC$38,'2015 Table 11 CWTs exp'!$A26)</f>
        <v>0.44</v>
      </c>
      <c r="AD26" s="604" t="str">
        <f t="shared" si="9"/>
        <v>MLC543</v>
      </c>
      <c r="AE26" s="442"/>
      <c r="AF26" s="622">
        <f t="shared" si="10"/>
        <v>0.44046466602129719</v>
      </c>
      <c r="AG26" s="623">
        <f t="shared" si="11"/>
        <v>0.55953533397870281</v>
      </c>
      <c r="AH26" s="605">
        <f t="shared" si="13"/>
        <v>0.56000000000000005</v>
      </c>
      <c r="AI26" s="447">
        <f t="shared" si="12"/>
        <v>578</v>
      </c>
      <c r="AJ26" s="451"/>
      <c r="AK26" s="451"/>
      <c r="AL26" s="442"/>
      <c r="AM26" s="442"/>
      <c r="AN26" s="442"/>
      <c r="AO26" s="442"/>
      <c r="AP26" s="442"/>
      <c r="AQ26" s="442"/>
      <c r="AR26" s="442"/>
      <c r="AS26" s="442"/>
      <c r="AT26" s="442"/>
      <c r="AU26" s="442"/>
      <c r="AV26" s="442"/>
      <c r="AW26" s="442"/>
      <c r="AX26" s="442"/>
      <c r="AY26" s="442"/>
      <c r="AZ26" s="442"/>
      <c r="BA26" s="442"/>
      <c r="BB26" s="442"/>
      <c r="BC26" s="442"/>
      <c r="BD26" s="442"/>
      <c r="BE26" s="442"/>
      <c r="BF26" s="442"/>
    </row>
    <row r="27" spans="1:58" ht="14.5" hidden="1" customHeight="1" x14ac:dyDescent="0.25">
      <c r="A27" s="50" t="str">
        <f t="shared" si="8"/>
        <v>BUT543</v>
      </c>
      <c r="B27" s="13" t="s">
        <v>208</v>
      </c>
      <c r="C27" s="13">
        <v>54</v>
      </c>
      <c r="D27" s="13">
        <v>3</v>
      </c>
      <c r="E27" s="3" t="s">
        <v>67</v>
      </c>
      <c r="F27" s="43" t="str">
        <f t="shared" si="14"/>
        <v>Fall</v>
      </c>
      <c r="G27" s="235">
        <f>SUMIFS('[8]inland_taf_hatchgrp_tableraw&amp;yy'!G$3:G$38,'[8]inland_taf_hatchgrp_tableraw&amp;yy'!$AC$3:$AC$38,'2015 Table 11 CWTs exp'!$A27)</f>
        <v>0</v>
      </c>
      <c r="H27" s="45">
        <f>SUMIFS('[8]inland_taf_hatchgrp_tableraw&amp;yy'!H$3:H$38,'[8]inland_taf_hatchgrp_tableraw&amp;yy'!$AC$3:$AC$38,'2015 Table 11 CWTs exp'!$A27)</f>
        <v>0</v>
      </c>
      <c r="I27" s="44">
        <f>SUMIFS('[8]inland_taf_hatchgrp_tableraw&amp;yy'!I$3:I$38,'[8]inland_taf_hatchgrp_tableraw&amp;yy'!$AC$3:$AC$38,'2015 Table 11 CWTs exp'!$A27)</f>
        <v>0</v>
      </c>
      <c r="J27" s="46">
        <f>SUMIFS('[8]inland_taf_hatchgrp_tableraw&amp;yy'!J$3:J$38,'[8]inland_taf_hatchgrp_tableraw&amp;yy'!$AC$3:$AC$38,'2015 Table 11 CWTs exp'!$A27)</f>
        <v>0</v>
      </c>
      <c r="K27" s="44">
        <f>SUMIFS('[8]inland_taf_hatchgrp_tableraw&amp;yy'!K$3:K$38,'[8]inland_taf_hatchgrp_tableraw&amp;yy'!$AC$3:$AC$38,'2015 Table 11 CWTs exp'!$A27)</f>
        <v>0</v>
      </c>
      <c r="L27" s="44">
        <f>SUMIFS('[8]inland_taf_hatchgrp_tableraw&amp;yy'!L$3:L$38,'[8]inland_taf_hatchgrp_tableraw&amp;yy'!$AC$3:$AC$38,'2015 Table 11 CWTs exp'!$A27)</f>
        <v>0</v>
      </c>
      <c r="M27" s="44">
        <f>SUMIFS('[8]inland_taf_hatchgrp_tableraw&amp;yy'!M$3:M$38,'[8]inland_taf_hatchgrp_tableraw&amp;yy'!$AC$3:$AC$38,'2015 Table 11 CWTs exp'!$A27)</f>
        <v>0</v>
      </c>
      <c r="N27" s="44">
        <f>SUMIFS('[8]inland_taf_hatchgrp_tableraw&amp;yy'!P$3:P$38,'[8]inland_taf_hatchgrp_tableraw&amp;yy'!$AC$3:$AC$38,'2015 Table 11 CWTs exp'!$A27)</f>
        <v>0</v>
      </c>
      <c r="O27" s="44">
        <f>SUMIFS('[8]inland_taf_hatchgrp_tableraw&amp;yy'!N$3:N$38,'[8]inland_taf_hatchgrp_tableraw&amp;yy'!$AC$3:$AC$38,'2015 Table 11 CWTs exp'!$A27)</f>
        <v>0</v>
      </c>
      <c r="P27" s="44">
        <f>SUMIFS('[8]inland_taf_hatchgrp_tableraw&amp;yy'!O$3:O$38,'[8]inland_taf_hatchgrp_tableraw&amp;yy'!$AC$3:$AC$38,'2015 Table 11 CWTs exp'!$A27)</f>
        <v>0</v>
      </c>
      <c r="Q27" s="45">
        <f>SUMIFS('[8]inland_taf_hatchgrp_tableraw&amp;yy'!Q$3:Q$38,'[8]inland_taf_hatchgrp_tableraw&amp;yy'!$AC$3:$AC$38,'2015 Table 11 CWTs exp'!$A27)</f>
        <v>0</v>
      </c>
      <c r="R27" s="46">
        <f>SUMIFS('[8]inland_taf_hatchgrp_tableraw&amp;yy'!R$3:R$38,'[8]inland_taf_hatchgrp_tableraw&amp;yy'!$AC$3:$AC$38,'2015 Table 11 CWTs exp'!$A27)</f>
        <v>0</v>
      </c>
      <c r="S27" s="44">
        <f>SUMIFS('[8]inland_taf_hatchgrp_tableraw&amp;yy'!S$3:S$38,'[8]inland_taf_hatchgrp_tableraw&amp;yy'!$AC$3:$AC$38,'2015 Table 11 CWTs exp'!$A27)</f>
        <v>0</v>
      </c>
      <c r="T27" s="44">
        <f>SUMIFS('[8]inland_taf_hatchgrp_tableraw&amp;yy'!T$3:T$38,'[8]inland_taf_hatchgrp_tableraw&amp;yy'!$AC$3:$AC$38,'2015 Table 11 CWTs exp'!$A27)</f>
        <v>0</v>
      </c>
      <c r="U27" s="44">
        <f>SUMIFS('[8]inland_taf_hatchgrp_tableraw&amp;yy'!U$3:U$38,'[8]inland_taf_hatchgrp_tableraw&amp;yy'!$AC$3:$AC$38,'2015 Table 11 CWTs exp'!$A27)</f>
        <v>0</v>
      </c>
      <c r="V27" s="45">
        <f>SUMIFS('[8]inland_taf_hatchgrp_tableraw&amp;yy'!V$3:V$38,'[8]inland_taf_hatchgrp_tableraw&amp;yy'!$AC$3:$AC$38,'2015 Table 11 CWTs exp'!$A27)</f>
        <v>0</v>
      </c>
      <c r="W27" s="46">
        <f>SUMIFS('[8]inland_taf_hatchgrp_tableraw&amp;yy'!W$3:W$38,'[8]inland_taf_hatchgrp_tableraw&amp;yy'!$AC$3:$AC$38,'2015 Table 11 CWTs exp'!$A27)</f>
        <v>0</v>
      </c>
      <c r="X27" s="44">
        <f>SUMIFS('[8]inland_taf_hatchgrp_tableraw&amp;yy'!X$3:X$38,'[8]inland_taf_hatchgrp_tableraw&amp;yy'!$AC$3:$AC$38,'2015 Table 11 CWTs exp'!$A27)</f>
        <v>0</v>
      </c>
      <c r="Y27" s="84">
        <f>SUMIFS('[8]inland_taf_hatchgrp_tableraw&amp;yy'!Y$3:Y$38,'[8]inland_taf_hatchgrp_tableraw&amp;yy'!$AC$3:$AC$38,'2015 Table 11 CWTs exp'!$A27)</f>
        <v>0</v>
      </c>
      <c r="Z27" s="85">
        <f>SUMIFS('[8]inland_taf_hatchgrp_tableraw&amp;yy'!Z$3:Z$38,'[8]inland_taf_hatchgrp_tableraw&amp;yy'!$AC$3:$AC$38,'2015 Table 11 CWTs exp'!$A27)</f>
        <v>0</v>
      </c>
      <c r="AA27" s="44">
        <f>SUMIFS('[8]inland_taf_hatchgrp_tableraw&amp;yy'!AA$3:AA$38,'[8]inland_taf_hatchgrp_tableraw&amp;yy'!$AC$3:$AC$38,'2015 Table 11 CWTs exp'!$A27)</f>
        <v>0</v>
      </c>
      <c r="AB27" s="44"/>
      <c r="AC27" s="566">
        <f>SUMIFS('[8]inland_taf_hatchgrp_tableraw&amp;yy'!AB$3:AB$38,'[8]inland_taf_hatchgrp_tableraw&amp;yy'!$AC$3:$AC$38,'2015 Table 11 CWTs exp'!$A27)</f>
        <v>0</v>
      </c>
      <c r="AD27" s="604" t="str">
        <f t="shared" si="9"/>
        <v>BUT543</v>
      </c>
      <c r="AE27" s="442"/>
      <c r="AF27" s="622" t="e">
        <f t="shared" si="10"/>
        <v>#DIV/0!</v>
      </c>
      <c r="AG27" s="623" t="e">
        <f t="shared" si="11"/>
        <v>#DIV/0!</v>
      </c>
      <c r="AH27" s="605">
        <f t="shared" si="13"/>
        <v>1</v>
      </c>
      <c r="AI27" s="447">
        <f t="shared" si="12"/>
        <v>0</v>
      </c>
      <c r="AJ27" s="451"/>
      <c r="AK27" s="451"/>
      <c r="AL27" s="442"/>
      <c r="AM27" s="442"/>
      <c r="AN27" s="442"/>
      <c r="AO27" s="442"/>
      <c r="AP27" s="442"/>
      <c r="AQ27" s="442"/>
      <c r="AR27" s="442"/>
      <c r="AS27" s="442"/>
      <c r="AT27" s="442"/>
      <c r="AU27" s="442"/>
      <c r="AV27" s="442"/>
      <c r="AW27" s="442"/>
      <c r="AX27" s="442"/>
      <c r="AY27" s="442"/>
      <c r="AZ27" s="442"/>
      <c r="BA27" s="442"/>
      <c r="BB27" s="442"/>
      <c r="BC27" s="442"/>
      <c r="BD27" s="442"/>
      <c r="BE27" s="442"/>
      <c r="BF27" s="442"/>
    </row>
    <row r="28" spans="1:58" ht="14.5" customHeight="1" x14ac:dyDescent="0.25">
      <c r="A28" s="50" t="str">
        <f t="shared" si="8"/>
        <v>FEA543</v>
      </c>
      <c r="B28" s="13" t="s">
        <v>80</v>
      </c>
      <c r="C28" s="13">
        <v>54</v>
      </c>
      <c r="D28" s="13">
        <v>3</v>
      </c>
      <c r="E28" s="3" t="s">
        <v>81</v>
      </c>
      <c r="F28" s="43" t="str">
        <f t="shared" si="14"/>
        <v>Fall</v>
      </c>
      <c r="G28" s="235">
        <f>SUMIFS('[8]inland_taf_hatchgrp_tableraw&amp;yy'!G$3:G$38,'[8]inland_taf_hatchgrp_tableraw&amp;yy'!$AC$3:$AC$38,'2015 Table 11 CWTs exp'!$A28)</f>
        <v>0</v>
      </c>
      <c r="H28" s="45">
        <f>SUMIFS('[8]inland_taf_hatchgrp_tableraw&amp;yy'!H$3:H$38,'[8]inland_taf_hatchgrp_tableraw&amp;yy'!$AC$3:$AC$38,'2015 Table 11 CWTs exp'!$A28)</f>
        <v>0</v>
      </c>
      <c r="I28" s="44">
        <f>SUMIFS('[8]inland_taf_hatchgrp_tableraw&amp;yy'!I$3:I$38,'[8]inland_taf_hatchgrp_tableraw&amp;yy'!$AC$3:$AC$38,'2015 Table 11 CWTs exp'!$A28)</f>
        <v>24</v>
      </c>
      <c r="J28" s="46">
        <f>SUMIFS('[8]inland_taf_hatchgrp_tableraw&amp;yy'!J$3:J$38,'[8]inland_taf_hatchgrp_tableraw&amp;yy'!$AC$3:$AC$38,'2015 Table 11 CWTs exp'!$A28)</f>
        <v>453</v>
      </c>
      <c r="K28" s="44">
        <f>SUMIFS('[8]inland_taf_hatchgrp_tableraw&amp;yy'!K$3:K$38,'[8]inland_taf_hatchgrp_tableraw&amp;yy'!$AC$3:$AC$38,'2015 Table 11 CWTs exp'!$A28)</f>
        <v>1599</v>
      </c>
      <c r="L28" s="44">
        <f>SUMIFS('[8]inland_taf_hatchgrp_tableraw&amp;yy'!L$3:L$38,'[8]inland_taf_hatchgrp_tableraw&amp;yy'!$AC$3:$AC$38,'2015 Table 11 CWTs exp'!$A28)</f>
        <v>1603</v>
      </c>
      <c r="M28" s="44">
        <f>SUMIFS('[8]inland_taf_hatchgrp_tableraw&amp;yy'!M$3:M$38,'[8]inland_taf_hatchgrp_tableraw&amp;yy'!$AC$3:$AC$38,'2015 Table 11 CWTs exp'!$A28)</f>
        <v>0</v>
      </c>
      <c r="N28" s="44">
        <f>SUMIFS('[8]inland_taf_hatchgrp_tableraw&amp;yy'!P$3:P$38,'[8]inland_taf_hatchgrp_tableraw&amp;yy'!$AC$3:$AC$38,'2015 Table 11 CWTs exp'!$A28)</f>
        <v>523</v>
      </c>
      <c r="O28" s="44">
        <f>SUMIFS('[8]inland_taf_hatchgrp_tableraw&amp;yy'!N$3:N$38,'[8]inland_taf_hatchgrp_tableraw&amp;yy'!$AC$3:$AC$38,'2015 Table 11 CWTs exp'!$A28)</f>
        <v>11762</v>
      </c>
      <c r="P28" s="44">
        <f>SUMIFS('[8]inland_taf_hatchgrp_tableraw&amp;yy'!O$3:O$38,'[8]inland_taf_hatchgrp_tableraw&amp;yy'!$AC$3:$AC$38,'2015 Table 11 CWTs exp'!$A28)</f>
        <v>527</v>
      </c>
      <c r="Q28" s="45">
        <f>SUMIFS('[8]inland_taf_hatchgrp_tableraw&amp;yy'!Q$3:Q$38,'[8]inland_taf_hatchgrp_tableraw&amp;yy'!$AC$3:$AC$38,'2015 Table 11 CWTs exp'!$A28)</f>
        <v>131</v>
      </c>
      <c r="R28" s="46">
        <f>SUMIFS('[8]inland_taf_hatchgrp_tableraw&amp;yy'!R$3:R$38,'[8]inland_taf_hatchgrp_tableraw&amp;yy'!$AC$3:$AC$38,'2015 Table 11 CWTs exp'!$A28)</f>
        <v>71</v>
      </c>
      <c r="S28" s="44">
        <f>SUMIFS('[8]inland_taf_hatchgrp_tableraw&amp;yy'!S$3:S$38,'[8]inland_taf_hatchgrp_tableraw&amp;yy'!$AC$3:$AC$38,'2015 Table 11 CWTs exp'!$A28)</f>
        <v>0</v>
      </c>
      <c r="T28" s="44">
        <f>SUMIFS('[8]inland_taf_hatchgrp_tableraw&amp;yy'!T$3:T$38,'[8]inland_taf_hatchgrp_tableraw&amp;yy'!$AC$3:$AC$38,'2015 Table 11 CWTs exp'!$A28)</f>
        <v>119</v>
      </c>
      <c r="U28" s="44">
        <f>SUMIFS('[8]inland_taf_hatchgrp_tableraw&amp;yy'!U$3:U$38,'[8]inland_taf_hatchgrp_tableraw&amp;yy'!$AC$3:$AC$38,'2015 Table 11 CWTs exp'!$A28)</f>
        <v>6</v>
      </c>
      <c r="V28" s="45">
        <f>SUMIFS('[8]inland_taf_hatchgrp_tableraw&amp;yy'!V$3:V$38,'[8]inland_taf_hatchgrp_tableraw&amp;yy'!$AC$3:$AC$38,'2015 Table 11 CWTs exp'!$A28)</f>
        <v>0</v>
      </c>
      <c r="W28" s="46">
        <f>SUMIFS('[8]inland_taf_hatchgrp_tableraw&amp;yy'!W$3:W$38,'[8]inland_taf_hatchgrp_tableraw&amp;yy'!$AC$3:$AC$38,'2015 Table 11 CWTs exp'!$A28)</f>
        <v>137</v>
      </c>
      <c r="X28" s="44">
        <f>SUMIFS('[8]inland_taf_hatchgrp_tableraw&amp;yy'!X$3:X$38,'[8]inland_taf_hatchgrp_tableraw&amp;yy'!$AC$3:$AC$38,'2015 Table 11 CWTs exp'!$A28)</f>
        <v>24</v>
      </c>
      <c r="Y28" s="84">
        <f>SUMIFS('[8]inland_taf_hatchgrp_tableraw&amp;yy'!Y$3:Y$38,'[8]inland_taf_hatchgrp_tableraw&amp;yy'!$AC$3:$AC$38,'2015 Table 11 CWTs exp'!$A28)</f>
        <v>16979</v>
      </c>
      <c r="Z28" s="85">
        <f>SUMIFS('[8]inland_taf_hatchgrp_tableraw&amp;yy'!Z$3:Z$38,'[8]inland_taf_hatchgrp_tableraw&amp;yy'!$AC$3:$AC$38,'2015 Table 11 CWTs exp'!$A28)</f>
        <v>3587</v>
      </c>
      <c r="AA28" s="44">
        <f>SUMIFS('[8]inland_taf_hatchgrp_tableraw&amp;yy'!AA$3:AA$38,'[8]inland_taf_hatchgrp_tableraw&amp;yy'!$AC$3:$AC$38,'2015 Table 11 CWTs exp'!$A28)</f>
        <v>20566</v>
      </c>
      <c r="AB28" s="44"/>
      <c r="AC28" s="566">
        <f>SUMIFS('[8]inland_taf_hatchgrp_tableraw&amp;yy'!AB$3:AB$38,'[8]inland_taf_hatchgrp_tableraw&amp;yy'!$AC$3:$AC$38,'2015 Table 11 CWTs exp'!$A28)</f>
        <v>0.82599999999999996</v>
      </c>
      <c r="AD28" s="604" t="str">
        <f t="shared" si="9"/>
        <v>FEA543</v>
      </c>
      <c r="AE28" s="442"/>
      <c r="AF28" s="622">
        <f t="shared" si="10"/>
        <v>0.8255859185062725</v>
      </c>
      <c r="AG28" s="623">
        <f t="shared" si="11"/>
        <v>0.1744140814937275</v>
      </c>
      <c r="AH28" s="605">
        <f t="shared" si="13"/>
        <v>0.17400000000000004</v>
      </c>
      <c r="AI28" s="447">
        <f t="shared" si="12"/>
        <v>3587</v>
      </c>
      <c r="AJ28" s="451"/>
      <c r="AK28" s="451"/>
      <c r="AL28" s="442"/>
      <c r="AM28" s="442"/>
      <c r="AN28" s="442"/>
      <c r="AO28" s="442"/>
      <c r="AP28" s="442"/>
      <c r="AQ28" s="442"/>
      <c r="AR28" s="442"/>
      <c r="AS28" s="442"/>
      <c r="AT28" s="442"/>
      <c r="AU28" s="442"/>
      <c r="AV28" s="442"/>
      <c r="AW28" s="442"/>
      <c r="AX28" s="442"/>
      <c r="AY28" s="442"/>
      <c r="AZ28" s="442"/>
      <c r="BA28" s="442"/>
      <c r="BB28" s="442"/>
      <c r="BC28" s="442"/>
      <c r="BD28" s="442"/>
      <c r="BE28" s="442"/>
      <c r="BF28" s="442"/>
    </row>
    <row r="29" spans="1:58" ht="14.5" customHeight="1" x14ac:dyDescent="0.25">
      <c r="A29" s="50" t="str">
        <f t="shared" si="8"/>
        <v>YUBA543</v>
      </c>
      <c r="B29" s="13" t="s">
        <v>82</v>
      </c>
      <c r="C29" s="13">
        <v>54</v>
      </c>
      <c r="D29" s="13">
        <v>3</v>
      </c>
      <c r="E29" s="79" t="s">
        <v>147</v>
      </c>
      <c r="F29" s="43" t="str">
        <f t="shared" si="14"/>
        <v>Fall</v>
      </c>
      <c r="G29" s="235">
        <f>SUMIFS('[8]inland_taf_hatchgrp_tableraw&amp;yy'!G$3:G$38,'[8]inland_taf_hatchgrp_tableraw&amp;yy'!$AC$3:$AC$38,'2015 Table 11 CWTs exp'!$A29)</f>
        <v>0</v>
      </c>
      <c r="H29" s="45">
        <f>SUMIFS('[8]inland_taf_hatchgrp_tableraw&amp;yy'!H$3:H$38,'[8]inland_taf_hatchgrp_tableraw&amp;yy'!$AC$3:$AC$38,'2015 Table 11 CWTs exp'!$A29)</f>
        <v>0</v>
      </c>
      <c r="I29" s="44">
        <f>SUMIFS('[8]inland_taf_hatchgrp_tableraw&amp;yy'!I$3:I$38,'[8]inland_taf_hatchgrp_tableraw&amp;yy'!$AC$3:$AC$38,'2015 Table 11 CWTs exp'!$A29)</f>
        <v>0</v>
      </c>
      <c r="J29" s="46">
        <f>SUMIFS('[8]inland_taf_hatchgrp_tableraw&amp;yy'!J$3:J$38,'[8]inland_taf_hatchgrp_tableraw&amp;yy'!$AC$3:$AC$38,'2015 Table 11 CWTs exp'!$A29)</f>
        <v>945</v>
      </c>
      <c r="K29" s="44">
        <f>SUMIFS('[8]inland_taf_hatchgrp_tableraw&amp;yy'!K$3:K$38,'[8]inland_taf_hatchgrp_tableraw&amp;yy'!$AC$3:$AC$38,'2015 Table 11 CWTs exp'!$A29)</f>
        <v>0</v>
      </c>
      <c r="L29" s="44">
        <f>SUMIFS('[8]inland_taf_hatchgrp_tableraw&amp;yy'!L$3:L$38,'[8]inland_taf_hatchgrp_tableraw&amp;yy'!$AC$3:$AC$38,'2015 Table 11 CWTs exp'!$A29)</f>
        <v>34</v>
      </c>
      <c r="M29" s="44">
        <f>SUMIFS('[8]inland_taf_hatchgrp_tableraw&amp;yy'!M$3:M$38,'[8]inland_taf_hatchgrp_tableraw&amp;yy'!$AC$3:$AC$38,'2015 Table 11 CWTs exp'!$A29)</f>
        <v>0</v>
      </c>
      <c r="N29" s="44">
        <f>SUMIFS('[8]inland_taf_hatchgrp_tableraw&amp;yy'!P$3:P$38,'[8]inland_taf_hatchgrp_tableraw&amp;yy'!$AC$3:$AC$38,'2015 Table 11 CWTs exp'!$A29)</f>
        <v>68</v>
      </c>
      <c r="O29" s="44">
        <f>SUMIFS('[8]inland_taf_hatchgrp_tableraw&amp;yy'!N$3:N$38,'[8]inland_taf_hatchgrp_tableraw&amp;yy'!$AC$3:$AC$38,'2015 Table 11 CWTs exp'!$A29)</f>
        <v>544</v>
      </c>
      <c r="P29" s="44">
        <f>SUMIFS('[8]inland_taf_hatchgrp_tableraw&amp;yy'!O$3:O$38,'[8]inland_taf_hatchgrp_tableraw&amp;yy'!$AC$3:$AC$38,'2015 Table 11 CWTs exp'!$A29)</f>
        <v>103</v>
      </c>
      <c r="Q29" s="45">
        <f>SUMIFS('[8]inland_taf_hatchgrp_tableraw&amp;yy'!Q$3:Q$38,'[8]inland_taf_hatchgrp_tableraw&amp;yy'!$AC$3:$AC$38,'2015 Table 11 CWTs exp'!$A29)</f>
        <v>439</v>
      </c>
      <c r="R29" s="46">
        <f>SUMIFS('[8]inland_taf_hatchgrp_tableraw&amp;yy'!R$3:R$38,'[8]inland_taf_hatchgrp_tableraw&amp;yy'!$AC$3:$AC$38,'2015 Table 11 CWTs exp'!$A29)</f>
        <v>135</v>
      </c>
      <c r="S29" s="44">
        <f>SUMIFS('[8]inland_taf_hatchgrp_tableraw&amp;yy'!S$3:S$38,'[8]inland_taf_hatchgrp_tableraw&amp;yy'!$AC$3:$AC$38,'2015 Table 11 CWTs exp'!$A29)</f>
        <v>0</v>
      </c>
      <c r="T29" s="44">
        <f>SUMIFS('[8]inland_taf_hatchgrp_tableraw&amp;yy'!T$3:T$38,'[8]inland_taf_hatchgrp_tableraw&amp;yy'!$AC$3:$AC$38,'2015 Table 11 CWTs exp'!$A29)</f>
        <v>575</v>
      </c>
      <c r="U29" s="44">
        <f>SUMIFS('[8]inland_taf_hatchgrp_tableraw&amp;yy'!U$3:U$38,'[8]inland_taf_hatchgrp_tableraw&amp;yy'!$AC$3:$AC$38,'2015 Table 11 CWTs exp'!$A29)</f>
        <v>136</v>
      </c>
      <c r="V29" s="45">
        <f>SUMIFS('[8]inland_taf_hatchgrp_tableraw&amp;yy'!V$3:V$38,'[8]inland_taf_hatchgrp_tableraw&amp;yy'!$AC$3:$AC$38,'2015 Table 11 CWTs exp'!$A29)</f>
        <v>0</v>
      </c>
      <c r="W29" s="46">
        <f>SUMIFS('[8]inland_taf_hatchgrp_tableraw&amp;yy'!W$3:W$38,'[8]inland_taf_hatchgrp_tableraw&amp;yy'!$AC$3:$AC$38,'2015 Table 11 CWTs exp'!$A29)</f>
        <v>0</v>
      </c>
      <c r="X29" s="44">
        <f>SUMIFS('[8]inland_taf_hatchgrp_tableraw&amp;yy'!X$3:X$38,'[8]inland_taf_hatchgrp_tableraw&amp;yy'!$AC$3:$AC$38,'2015 Table 11 CWTs exp'!$A29)</f>
        <v>0</v>
      </c>
      <c r="Y29" s="84">
        <f>SUMIFS('[8]inland_taf_hatchgrp_tableraw&amp;yy'!Y$3:Y$38,'[8]inland_taf_hatchgrp_tableraw&amp;yy'!$AC$3:$AC$38,'2015 Table 11 CWTs exp'!$A29)</f>
        <v>2978</v>
      </c>
      <c r="Z29" s="85">
        <f>SUMIFS('[8]inland_taf_hatchgrp_tableraw&amp;yy'!Z$3:Z$38,'[8]inland_taf_hatchgrp_tableraw&amp;yy'!$AC$3:$AC$38,'2015 Table 11 CWTs exp'!$A29)</f>
        <v>2003</v>
      </c>
      <c r="AA29" s="44">
        <f>SUMIFS('[8]inland_taf_hatchgrp_tableraw&amp;yy'!AA$3:AA$38,'[8]inland_taf_hatchgrp_tableraw&amp;yy'!$AC$3:$AC$38,'2015 Table 11 CWTs exp'!$A29)</f>
        <v>4981</v>
      </c>
      <c r="AB29" s="44"/>
      <c r="AC29" s="566">
        <f>SUMIFS('[8]inland_taf_hatchgrp_tableraw&amp;yy'!AB$3:AB$38,'[8]inland_taf_hatchgrp_tableraw&amp;yy'!$AC$3:$AC$38,'2015 Table 11 CWTs exp'!$A29)</f>
        <v>0.59799999999999998</v>
      </c>
      <c r="AD29" s="604" t="str">
        <f t="shared" si="9"/>
        <v>YUBA543</v>
      </c>
      <c r="AE29" s="442"/>
      <c r="AF29" s="622">
        <f t="shared" si="10"/>
        <v>0.59787191327042766</v>
      </c>
      <c r="AG29" s="623">
        <f t="shared" si="11"/>
        <v>0.4021280867295724</v>
      </c>
      <c r="AH29" s="605">
        <f t="shared" si="13"/>
        <v>0.40200000000000002</v>
      </c>
      <c r="AI29" s="447">
        <f t="shared" si="12"/>
        <v>2003</v>
      </c>
      <c r="AJ29" s="624">
        <f>(Y29+Y30)/(AA29+AA30)</f>
        <v>0.54913907284768215</v>
      </c>
      <c r="AK29" s="451"/>
      <c r="AL29" s="442"/>
      <c r="AM29" s="442"/>
      <c r="AN29" s="442"/>
      <c r="AO29" s="442"/>
      <c r="AP29" s="442"/>
      <c r="AQ29" s="442"/>
      <c r="AR29" s="442"/>
      <c r="AS29" s="442"/>
      <c r="AT29" s="442"/>
      <c r="AU29" s="442"/>
      <c r="AV29" s="442"/>
      <c r="AW29" s="442"/>
      <c r="AX29" s="442"/>
      <c r="AY29" s="442"/>
      <c r="AZ29" s="442"/>
      <c r="BA29" s="442"/>
      <c r="BB29" s="442"/>
      <c r="BC29" s="442"/>
      <c r="BD29" s="442"/>
      <c r="BE29" s="442"/>
      <c r="BF29" s="442"/>
    </row>
    <row r="30" spans="1:58" ht="14.5" customHeight="1" x14ac:dyDescent="0.25">
      <c r="A30" s="50" t="str">
        <f t="shared" si="8"/>
        <v>YUBB543</v>
      </c>
      <c r="B30" s="13" t="s">
        <v>84</v>
      </c>
      <c r="C30" s="13">
        <v>54</v>
      </c>
      <c r="D30" s="13">
        <v>3</v>
      </c>
      <c r="E30" s="79" t="s">
        <v>85</v>
      </c>
      <c r="F30" s="43" t="str">
        <f t="shared" si="14"/>
        <v>Fall</v>
      </c>
      <c r="G30" s="235">
        <f>SUMIFS('[8]inland_taf_hatchgrp_tableraw&amp;yy'!G$3:G$38,'[8]inland_taf_hatchgrp_tableraw&amp;yy'!$AC$3:$AC$38,'2015 Table 11 CWTs exp'!$A30)</f>
        <v>0</v>
      </c>
      <c r="H30" s="45">
        <f>SUMIFS('[8]inland_taf_hatchgrp_tableraw&amp;yy'!H$3:H$38,'[8]inland_taf_hatchgrp_tableraw&amp;yy'!$AC$3:$AC$38,'2015 Table 11 CWTs exp'!$A30)</f>
        <v>0</v>
      </c>
      <c r="I30" s="44">
        <f>SUMIFS('[8]inland_taf_hatchgrp_tableraw&amp;yy'!I$3:I$38,'[8]inland_taf_hatchgrp_tableraw&amp;yy'!$AC$3:$AC$38,'2015 Table 11 CWTs exp'!$A30)</f>
        <v>0</v>
      </c>
      <c r="J30" s="46">
        <f>SUMIFS('[8]inland_taf_hatchgrp_tableraw&amp;yy'!J$3:J$38,'[8]inland_taf_hatchgrp_tableraw&amp;yy'!$AC$3:$AC$38,'2015 Table 11 CWTs exp'!$A30)</f>
        <v>295</v>
      </c>
      <c r="K30" s="44">
        <f>SUMIFS('[8]inland_taf_hatchgrp_tableraw&amp;yy'!K$3:K$38,'[8]inland_taf_hatchgrp_tableraw&amp;yy'!$AC$3:$AC$38,'2015 Table 11 CWTs exp'!$A30)</f>
        <v>0</v>
      </c>
      <c r="L30" s="44">
        <f>SUMIFS('[8]inland_taf_hatchgrp_tableraw&amp;yy'!L$3:L$38,'[8]inland_taf_hatchgrp_tableraw&amp;yy'!$AC$3:$AC$38,'2015 Table 11 CWTs exp'!$A30)</f>
        <v>0</v>
      </c>
      <c r="M30" s="44">
        <f>SUMIFS('[8]inland_taf_hatchgrp_tableraw&amp;yy'!M$3:M$38,'[8]inland_taf_hatchgrp_tableraw&amp;yy'!$AC$3:$AC$38,'2015 Table 11 CWTs exp'!$A30)</f>
        <v>0</v>
      </c>
      <c r="N30" s="44">
        <f>SUMIFS('[8]inland_taf_hatchgrp_tableraw&amp;yy'!P$3:P$38,'[8]inland_taf_hatchgrp_tableraw&amp;yy'!$AC$3:$AC$38,'2015 Table 11 CWTs exp'!$A30)</f>
        <v>11</v>
      </c>
      <c r="O30" s="44">
        <f>SUMIFS('[8]inland_taf_hatchgrp_tableraw&amp;yy'!N$3:N$38,'[8]inland_taf_hatchgrp_tableraw&amp;yy'!$AC$3:$AC$38,'2015 Table 11 CWTs exp'!$A30)</f>
        <v>380</v>
      </c>
      <c r="P30" s="44">
        <f>SUMIFS('[8]inland_taf_hatchgrp_tableraw&amp;yy'!O$3:O$38,'[8]inland_taf_hatchgrp_tableraw&amp;yy'!$AC$3:$AC$38,'2015 Table 11 CWTs exp'!$A30)</f>
        <v>32</v>
      </c>
      <c r="Q30" s="45">
        <f>SUMIFS('[8]inland_taf_hatchgrp_tableraw&amp;yy'!Q$3:Q$38,'[8]inland_taf_hatchgrp_tableraw&amp;yy'!$AC$3:$AC$38,'2015 Table 11 CWTs exp'!$A30)</f>
        <v>0</v>
      </c>
      <c r="R30" s="46">
        <f>SUMIFS('[8]inland_taf_hatchgrp_tableraw&amp;yy'!R$3:R$38,'[8]inland_taf_hatchgrp_tableraw&amp;yy'!$AC$3:$AC$38,'2015 Table 11 CWTs exp'!$A30)</f>
        <v>84</v>
      </c>
      <c r="S30" s="44">
        <f>SUMIFS('[8]inland_taf_hatchgrp_tableraw&amp;yy'!S$3:S$38,'[8]inland_taf_hatchgrp_tableraw&amp;yy'!$AC$3:$AC$38,'2015 Table 11 CWTs exp'!$A30)</f>
        <v>0</v>
      </c>
      <c r="T30" s="44">
        <f>SUMIFS('[8]inland_taf_hatchgrp_tableraw&amp;yy'!T$3:T$38,'[8]inland_taf_hatchgrp_tableraw&amp;yy'!$AC$3:$AC$38,'2015 Table 11 CWTs exp'!$A30)</f>
        <v>253</v>
      </c>
      <c r="U30" s="44">
        <f>SUMIFS('[8]inland_taf_hatchgrp_tableraw&amp;yy'!U$3:U$38,'[8]inland_taf_hatchgrp_tableraw&amp;yy'!$AC$3:$AC$38,'2015 Table 11 CWTs exp'!$A30)</f>
        <v>21</v>
      </c>
      <c r="V30" s="45">
        <f>SUMIFS('[8]inland_taf_hatchgrp_tableraw&amp;yy'!V$3:V$38,'[8]inland_taf_hatchgrp_tableraw&amp;yy'!$AC$3:$AC$38,'2015 Table 11 CWTs exp'!$A30)</f>
        <v>0</v>
      </c>
      <c r="W30" s="46">
        <f>SUMIFS('[8]inland_taf_hatchgrp_tableraw&amp;yy'!W$3:W$38,'[8]inland_taf_hatchgrp_tableraw&amp;yy'!$AC$3:$AC$38,'2015 Table 11 CWTs exp'!$A30)</f>
        <v>93</v>
      </c>
      <c r="X30" s="44">
        <f>SUMIFS('[8]inland_taf_hatchgrp_tableraw&amp;yy'!X$3:X$38,'[8]inland_taf_hatchgrp_tableraw&amp;yy'!$AC$3:$AC$38,'2015 Table 11 CWTs exp'!$A30)</f>
        <v>0</v>
      </c>
      <c r="Y30" s="84">
        <f>SUMIFS('[8]inland_taf_hatchgrp_tableraw&amp;yy'!Y$3:Y$38,'[8]inland_taf_hatchgrp_tableraw&amp;yy'!$AC$3:$AC$38,'2015 Table 11 CWTs exp'!$A30)</f>
        <v>1168</v>
      </c>
      <c r="Z30" s="85">
        <f>SUMIFS('[8]inland_taf_hatchgrp_tableraw&amp;yy'!Z$3:Z$38,'[8]inland_taf_hatchgrp_tableraw&amp;yy'!$AC$3:$AC$38,'2015 Table 11 CWTs exp'!$A30)</f>
        <v>1401</v>
      </c>
      <c r="AA30" s="44">
        <f>SUMIFS('[8]inland_taf_hatchgrp_tableraw&amp;yy'!AA$3:AA$38,'[8]inland_taf_hatchgrp_tableraw&amp;yy'!$AC$3:$AC$38,'2015 Table 11 CWTs exp'!$A30)</f>
        <v>2569</v>
      </c>
      <c r="AB30" s="44"/>
      <c r="AC30" s="566">
        <f>SUMIFS('[8]inland_taf_hatchgrp_tableraw&amp;yy'!AB$3:AB$38,'[8]inland_taf_hatchgrp_tableraw&amp;yy'!$AC$3:$AC$38,'2015 Table 11 CWTs exp'!$A30)</f>
        <v>0.45500000000000002</v>
      </c>
      <c r="AD30" s="604" t="str">
        <f t="shared" si="9"/>
        <v>YUBB543</v>
      </c>
      <c r="AE30" s="442"/>
      <c r="AF30" s="622">
        <f t="shared" si="10"/>
        <v>0.45465161541455817</v>
      </c>
      <c r="AG30" s="623">
        <f t="shared" si="11"/>
        <v>0.54534838458544177</v>
      </c>
      <c r="AH30" s="605">
        <f t="shared" si="13"/>
        <v>0.54499999999999993</v>
      </c>
      <c r="AI30" s="447">
        <f t="shared" si="12"/>
        <v>1401</v>
      </c>
      <c r="AJ30" s="451"/>
      <c r="AK30" s="451"/>
      <c r="AL30" s="442"/>
      <c r="AM30" s="442"/>
      <c r="AN30" s="442"/>
      <c r="AO30" s="442"/>
      <c r="AP30" s="442"/>
      <c r="AQ30" s="442"/>
      <c r="AR30" s="442"/>
      <c r="AS30" s="442"/>
      <c r="AT30" s="442"/>
      <c r="AU30" s="442"/>
      <c r="AV30" s="442"/>
      <c r="AW30" s="442"/>
      <c r="AX30" s="442"/>
      <c r="AY30" s="442"/>
      <c r="AZ30" s="442"/>
      <c r="BA30" s="442"/>
      <c r="BB30" s="442"/>
      <c r="BC30" s="442"/>
      <c r="BD30" s="442"/>
      <c r="BE30" s="442"/>
      <c r="BF30" s="442"/>
    </row>
    <row r="31" spans="1:58" ht="14.5" customHeight="1" x14ac:dyDescent="0.25">
      <c r="A31" s="50" t="str">
        <f t="shared" si="8"/>
        <v>LARC543</v>
      </c>
      <c r="B31" s="13" t="s">
        <v>86</v>
      </c>
      <c r="C31" s="13">
        <v>54</v>
      </c>
      <c r="D31" s="13">
        <v>3</v>
      </c>
      <c r="E31" s="3" t="s">
        <v>87</v>
      </c>
      <c r="F31" s="43" t="str">
        <f t="shared" si="14"/>
        <v>Fall</v>
      </c>
      <c r="G31" s="235">
        <f>SUMIFS('[8]inland_taf_hatchgrp_tableraw&amp;yy'!G$3:G$38,'[8]inland_taf_hatchgrp_tableraw&amp;yy'!$AC$3:$AC$38,'2015 Table 11 CWTs exp'!$A31)</f>
        <v>0</v>
      </c>
      <c r="H31" s="45">
        <f>SUMIFS('[8]inland_taf_hatchgrp_tableraw&amp;yy'!H$3:H$38,'[8]inland_taf_hatchgrp_tableraw&amp;yy'!$AC$3:$AC$38,'2015 Table 11 CWTs exp'!$A31)</f>
        <v>2</v>
      </c>
      <c r="I31" s="44">
        <f>SUMIFS('[8]inland_taf_hatchgrp_tableraw&amp;yy'!I$3:I$38,'[8]inland_taf_hatchgrp_tableraw&amp;yy'!$AC$3:$AC$38,'2015 Table 11 CWTs exp'!$A31)</f>
        <v>0</v>
      </c>
      <c r="J31" s="46">
        <f>SUMIFS('[8]inland_taf_hatchgrp_tableraw&amp;yy'!J$3:J$38,'[8]inland_taf_hatchgrp_tableraw&amp;yy'!$AC$3:$AC$38,'2015 Table 11 CWTs exp'!$A31)</f>
        <v>215</v>
      </c>
      <c r="K31" s="44">
        <f>SUMIFS('[8]inland_taf_hatchgrp_tableraw&amp;yy'!K$3:K$38,'[8]inland_taf_hatchgrp_tableraw&amp;yy'!$AC$3:$AC$38,'2015 Table 11 CWTs exp'!$A31)</f>
        <v>0</v>
      </c>
      <c r="L31" s="44">
        <f>SUMIFS('[8]inland_taf_hatchgrp_tableraw&amp;yy'!L$3:L$38,'[8]inland_taf_hatchgrp_tableraw&amp;yy'!$AC$3:$AC$38,'2015 Table 11 CWTs exp'!$A31)</f>
        <v>0</v>
      </c>
      <c r="M31" s="44">
        <f>SUMIFS('[8]inland_taf_hatchgrp_tableraw&amp;yy'!M$3:M$38,'[8]inland_taf_hatchgrp_tableraw&amp;yy'!$AC$3:$AC$38,'2015 Table 11 CWTs exp'!$A31)</f>
        <v>0</v>
      </c>
      <c r="N31" s="44">
        <f>SUMIFS('[8]inland_taf_hatchgrp_tableraw&amp;yy'!P$3:P$38,'[8]inland_taf_hatchgrp_tableraw&amp;yy'!$AC$3:$AC$38,'2015 Table 11 CWTs exp'!$A31)</f>
        <v>4</v>
      </c>
      <c r="O31" s="44">
        <f>SUMIFS('[8]inland_taf_hatchgrp_tableraw&amp;yy'!N$3:N$38,'[8]inland_taf_hatchgrp_tableraw&amp;yy'!$AC$3:$AC$38,'2015 Table 11 CWTs exp'!$A31)</f>
        <v>179</v>
      </c>
      <c r="P31" s="44">
        <f>SUMIFS('[8]inland_taf_hatchgrp_tableraw&amp;yy'!O$3:O$38,'[8]inland_taf_hatchgrp_tableraw&amp;yy'!$AC$3:$AC$38,'2015 Table 11 CWTs exp'!$A31)</f>
        <v>9</v>
      </c>
      <c r="Q31" s="45">
        <f>SUMIFS('[8]inland_taf_hatchgrp_tableraw&amp;yy'!Q$3:Q$38,'[8]inland_taf_hatchgrp_tableraw&amp;yy'!$AC$3:$AC$38,'2015 Table 11 CWTs exp'!$A31)</f>
        <v>3209</v>
      </c>
      <c r="R31" s="46">
        <f>SUMIFS('[8]inland_taf_hatchgrp_tableraw&amp;yy'!R$3:R$38,'[8]inland_taf_hatchgrp_tableraw&amp;yy'!$AC$3:$AC$38,'2015 Table 11 CWTs exp'!$A31)</f>
        <v>2926</v>
      </c>
      <c r="S31" s="44">
        <f>SUMIFS('[8]inland_taf_hatchgrp_tableraw&amp;yy'!S$3:S$38,'[8]inland_taf_hatchgrp_tableraw&amp;yy'!$AC$3:$AC$38,'2015 Table 11 CWTs exp'!$A31)</f>
        <v>5</v>
      </c>
      <c r="T31" s="44">
        <f>SUMIFS('[8]inland_taf_hatchgrp_tableraw&amp;yy'!T$3:T$38,'[8]inland_taf_hatchgrp_tableraw&amp;yy'!$AC$3:$AC$38,'2015 Table 11 CWTs exp'!$A31)</f>
        <v>2049</v>
      </c>
      <c r="U31" s="44">
        <f>SUMIFS('[8]inland_taf_hatchgrp_tableraw&amp;yy'!U$3:U$38,'[8]inland_taf_hatchgrp_tableraw&amp;yy'!$AC$3:$AC$38,'2015 Table 11 CWTs exp'!$A31)</f>
        <v>162</v>
      </c>
      <c r="V31" s="45">
        <f>SUMIFS('[8]inland_taf_hatchgrp_tableraw&amp;yy'!V$3:V$38,'[8]inland_taf_hatchgrp_tableraw&amp;yy'!$AC$3:$AC$38,'2015 Table 11 CWTs exp'!$A31)</f>
        <v>0</v>
      </c>
      <c r="W31" s="46">
        <f>SUMIFS('[8]inland_taf_hatchgrp_tableraw&amp;yy'!W$3:W$38,'[8]inland_taf_hatchgrp_tableraw&amp;yy'!$AC$3:$AC$38,'2015 Table 11 CWTs exp'!$A31)</f>
        <v>176</v>
      </c>
      <c r="X31" s="44">
        <f>SUMIFS('[8]inland_taf_hatchgrp_tableraw&amp;yy'!X$3:X$38,'[8]inland_taf_hatchgrp_tableraw&amp;yy'!$AC$3:$AC$38,'2015 Table 11 CWTs exp'!$A31)</f>
        <v>3</v>
      </c>
      <c r="Y31" s="84">
        <f>SUMIFS('[8]inland_taf_hatchgrp_tableraw&amp;yy'!Y$3:Y$38,'[8]inland_taf_hatchgrp_tableraw&amp;yy'!$AC$3:$AC$38,'2015 Table 11 CWTs exp'!$A31)</f>
        <v>8939</v>
      </c>
      <c r="Z31" s="85">
        <f>SUMIFS('[8]inland_taf_hatchgrp_tableraw&amp;yy'!Z$3:Z$38,'[8]inland_taf_hatchgrp_tableraw&amp;yy'!$AC$3:$AC$38,'2015 Table 11 CWTs exp'!$A31)</f>
        <v>4854</v>
      </c>
      <c r="AA31" s="44">
        <f>SUMIFS('[8]inland_taf_hatchgrp_tableraw&amp;yy'!AA$3:AA$38,'[8]inland_taf_hatchgrp_tableraw&amp;yy'!$AC$3:$AC$38,'2015 Table 11 CWTs exp'!$A31)</f>
        <v>13793</v>
      </c>
      <c r="AB31" s="44"/>
      <c r="AC31" s="566">
        <f>SUMIFS('[8]inland_taf_hatchgrp_tableraw&amp;yy'!AB$3:AB$38,'[8]inland_taf_hatchgrp_tableraw&amp;yy'!$AC$3:$AC$38,'2015 Table 11 CWTs exp'!$A31)</f>
        <v>0.64800000000000002</v>
      </c>
      <c r="AD31" s="604" t="str">
        <f t="shared" si="9"/>
        <v>LARC543</v>
      </c>
      <c r="AE31" s="442"/>
      <c r="AF31" s="622">
        <f t="shared" si="10"/>
        <v>0.64808236061770463</v>
      </c>
      <c r="AG31" s="623">
        <f t="shared" si="11"/>
        <v>0.35191763938229537</v>
      </c>
      <c r="AH31" s="605">
        <f t="shared" si="13"/>
        <v>0.35199999999999998</v>
      </c>
      <c r="AI31" s="447">
        <f t="shared" si="12"/>
        <v>4854</v>
      </c>
      <c r="AJ31" s="451"/>
      <c r="AK31" s="451"/>
      <c r="AL31" s="442"/>
      <c r="AM31" s="442"/>
      <c r="AN31" s="442"/>
      <c r="AO31" s="442"/>
      <c r="AP31" s="442"/>
      <c r="AQ31" s="442"/>
      <c r="AR31" s="442"/>
      <c r="AS31" s="442"/>
      <c r="AT31" s="442"/>
      <c r="AU31" s="442"/>
      <c r="AV31" s="442"/>
      <c r="AW31" s="442"/>
      <c r="AX31" s="442"/>
      <c r="AY31" s="442"/>
      <c r="AZ31" s="442"/>
      <c r="BA31" s="442"/>
      <c r="BB31" s="442"/>
      <c r="BC31" s="442"/>
      <c r="BD31" s="442"/>
      <c r="BE31" s="442"/>
      <c r="BF31" s="442"/>
    </row>
    <row r="32" spans="1:58" ht="14.5" customHeight="1" x14ac:dyDescent="0.25">
      <c r="A32" s="36" t="str">
        <f t="shared" si="8"/>
        <v>NIMW593</v>
      </c>
      <c r="B32" s="35" t="s">
        <v>88</v>
      </c>
      <c r="C32" s="35">
        <v>59</v>
      </c>
      <c r="D32" s="35">
        <v>3</v>
      </c>
      <c r="E32" s="3" t="s">
        <v>89</v>
      </c>
      <c r="F32" s="43" t="str">
        <f t="shared" si="14"/>
        <v>Fall</v>
      </c>
      <c r="G32" s="235">
        <f>SUMIFS('[8]inland_taf_hatchgrp_tableraw&amp;yy'!G$3:G$38,'[8]inland_taf_hatchgrp_tableraw&amp;yy'!$AC$3:$AC$38,'2015 Table 11 CWTs exp'!$A32)</f>
        <v>0</v>
      </c>
      <c r="H32" s="45">
        <f>SUMIFS('[8]inland_taf_hatchgrp_tableraw&amp;yy'!H$3:H$38,'[8]inland_taf_hatchgrp_tableraw&amp;yy'!$AC$3:$AC$38,'2015 Table 11 CWTs exp'!$A32)</f>
        <v>0</v>
      </c>
      <c r="I32" s="44">
        <f>SUMIFS('[8]inland_taf_hatchgrp_tableraw&amp;yy'!I$3:I$38,'[8]inland_taf_hatchgrp_tableraw&amp;yy'!$AC$3:$AC$38,'2015 Table 11 CWTs exp'!$A32)</f>
        <v>0</v>
      </c>
      <c r="J32" s="46">
        <f>SUMIFS('[8]inland_taf_hatchgrp_tableraw&amp;yy'!J$3:J$38,'[8]inland_taf_hatchgrp_tableraw&amp;yy'!$AC$3:$AC$38,'2015 Table 11 CWTs exp'!$A32)</f>
        <v>104</v>
      </c>
      <c r="K32" s="44">
        <f>SUMIFS('[8]inland_taf_hatchgrp_tableraw&amp;yy'!K$3:K$38,'[8]inland_taf_hatchgrp_tableraw&amp;yy'!$AC$3:$AC$38,'2015 Table 11 CWTs exp'!$A32)</f>
        <v>4</v>
      </c>
      <c r="L32" s="44">
        <f>SUMIFS('[8]inland_taf_hatchgrp_tableraw&amp;yy'!L$3:L$38,'[8]inland_taf_hatchgrp_tableraw&amp;yy'!$AC$3:$AC$38,'2015 Table 11 CWTs exp'!$A32)</f>
        <v>25</v>
      </c>
      <c r="M32" s="44">
        <f>SUMIFS('[8]inland_taf_hatchgrp_tableraw&amp;yy'!M$3:M$38,'[8]inland_taf_hatchgrp_tableraw&amp;yy'!$AC$3:$AC$38,'2015 Table 11 CWTs exp'!$A32)</f>
        <v>0</v>
      </c>
      <c r="N32" s="44">
        <f>SUMIFS('[8]inland_taf_hatchgrp_tableraw&amp;yy'!P$3:P$38,'[8]inland_taf_hatchgrp_tableraw&amp;yy'!$AC$3:$AC$38,'2015 Table 11 CWTs exp'!$A32)</f>
        <v>7</v>
      </c>
      <c r="O32" s="44">
        <f>SUMIFS('[8]inland_taf_hatchgrp_tableraw&amp;yy'!N$3:N$38,'[8]inland_taf_hatchgrp_tableraw&amp;yy'!$AC$3:$AC$38,'2015 Table 11 CWTs exp'!$A32)</f>
        <v>50</v>
      </c>
      <c r="P32" s="44">
        <f>SUMIFS('[8]inland_taf_hatchgrp_tableraw&amp;yy'!O$3:O$38,'[8]inland_taf_hatchgrp_tableraw&amp;yy'!$AC$3:$AC$38,'2015 Table 11 CWTs exp'!$A32)</f>
        <v>6</v>
      </c>
      <c r="Q32" s="45">
        <f>SUMIFS('[8]inland_taf_hatchgrp_tableraw&amp;yy'!Q$3:Q$38,'[8]inland_taf_hatchgrp_tableraw&amp;yy'!$AC$3:$AC$38,'2015 Table 11 CWTs exp'!$A32)</f>
        <v>13</v>
      </c>
      <c r="R32" s="46">
        <f>SUMIFS('[8]inland_taf_hatchgrp_tableraw&amp;yy'!R$3:R$38,'[8]inland_taf_hatchgrp_tableraw&amp;yy'!$AC$3:$AC$38,'2015 Table 11 CWTs exp'!$A32)</f>
        <v>449</v>
      </c>
      <c r="S32" s="44">
        <f>SUMIFS('[8]inland_taf_hatchgrp_tableraw&amp;yy'!S$3:S$38,'[8]inland_taf_hatchgrp_tableraw&amp;yy'!$AC$3:$AC$38,'2015 Table 11 CWTs exp'!$A32)</f>
        <v>1</v>
      </c>
      <c r="T32" s="44">
        <f>SUMIFS('[8]inland_taf_hatchgrp_tableraw&amp;yy'!T$3:T$38,'[8]inland_taf_hatchgrp_tableraw&amp;yy'!$AC$3:$AC$38,'2015 Table 11 CWTs exp'!$A32)</f>
        <v>147</v>
      </c>
      <c r="U32" s="44">
        <f>SUMIFS('[8]inland_taf_hatchgrp_tableraw&amp;yy'!U$3:U$38,'[8]inland_taf_hatchgrp_tableraw&amp;yy'!$AC$3:$AC$38,'2015 Table 11 CWTs exp'!$A32)</f>
        <v>16</v>
      </c>
      <c r="V32" s="45">
        <f>SUMIFS('[8]inland_taf_hatchgrp_tableraw&amp;yy'!V$3:V$38,'[8]inland_taf_hatchgrp_tableraw&amp;yy'!$AC$3:$AC$38,'2015 Table 11 CWTs exp'!$A32)</f>
        <v>0</v>
      </c>
      <c r="W32" s="46">
        <f>SUMIFS('[8]inland_taf_hatchgrp_tableraw&amp;yy'!W$3:W$38,'[8]inland_taf_hatchgrp_tableraw&amp;yy'!$AC$3:$AC$38,'2015 Table 11 CWTs exp'!$A32)</f>
        <v>14</v>
      </c>
      <c r="X32" s="44">
        <f>SUMIFS('[8]inland_taf_hatchgrp_tableraw&amp;yy'!X$3:X$38,'[8]inland_taf_hatchgrp_tableraw&amp;yy'!$AC$3:$AC$38,'2015 Table 11 CWTs exp'!$A32)</f>
        <v>0</v>
      </c>
      <c r="Y32" s="84">
        <f>SUMIFS('[8]inland_taf_hatchgrp_tableraw&amp;yy'!Y$3:Y$38,'[8]inland_taf_hatchgrp_tableraw&amp;yy'!$AC$3:$AC$38,'2015 Table 11 CWTs exp'!$A32)</f>
        <v>838</v>
      </c>
      <c r="Z32" s="85">
        <f>SUMIFS('[8]inland_taf_hatchgrp_tableraw&amp;yy'!Z$3:Z$38,'[8]inland_taf_hatchgrp_tableraw&amp;yy'!$AC$3:$AC$38,'2015 Table 11 CWTs exp'!$A32)</f>
        <v>1108</v>
      </c>
      <c r="AA32" s="44">
        <f>SUMIFS('[8]inland_taf_hatchgrp_tableraw&amp;yy'!AA$3:AA$38,'[8]inland_taf_hatchgrp_tableraw&amp;yy'!$AC$3:$AC$38,'2015 Table 11 CWTs exp'!$A32)</f>
        <v>1946</v>
      </c>
      <c r="AB32" s="44"/>
      <c r="AC32" s="603">
        <f>SUMIFS('[8]inland_taf_hatchgrp_tableraw&amp;yy'!AB$3:AB$38,'[8]inland_taf_hatchgrp_tableraw&amp;yy'!$AC$3:$AC$38,'2015 Table 11 CWTs exp'!$A32)</f>
        <v>0.43099999999999999</v>
      </c>
      <c r="AD32" s="604" t="str">
        <f t="shared" si="9"/>
        <v>NIMW593</v>
      </c>
      <c r="AE32" s="603"/>
      <c r="AF32" s="622">
        <f t="shared" si="10"/>
        <v>0.43062692702980471</v>
      </c>
      <c r="AG32" s="623">
        <f t="shared" si="11"/>
        <v>0.56937307297019524</v>
      </c>
      <c r="AH32" s="605">
        <f t="shared" si="13"/>
        <v>0.56899999999999995</v>
      </c>
      <c r="AI32" s="447">
        <f t="shared" si="12"/>
        <v>1108</v>
      </c>
      <c r="AJ32" s="451"/>
      <c r="AK32" s="451"/>
      <c r="AL32" s="442"/>
      <c r="AM32" s="442"/>
      <c r="AN32" s="442"/>
      <c r="AO32" s="442"/>
      <c r="AP32" s="442"/>
      <c r="AQ32" s="442"/>
      <c r="AR32" s="442"/>
      <c r="AS32" s="442"/>
      <c r="AT32" s="442"/>
      <c r="AU32" s="442"/>
      <c r="AV32" s="442"/>
      <c r="AW32" s="442"/>
      <c r="AX32" s="442"/>
      <c r="AY32" s="442"/>
      <c r="AZ32" s="442"/>
      <c r="BA32" s="442"/>
      <c r="BB32" s="442"/>
      <c r="BC32" s="442"/>
      <c r="BD32" s="442"/>
      <c r="BE32" s="442"/>
      <c r="BF32" s="442"/>
    </row>
    <row r="33" spans="1:58" ht="14.5" customHeight="1" x14ac:dyDescent="0.25">
      <c r="A33" s="50" t="str">
        <f t="shared" si="8"/>
        <v>MOKE543</v>
      </c>
      <c r="B33" s="13" t="s">
        <v>90</v>
      </c>
      <c r="C33" s="13">
        <v>54</v>
      </c>
      <c r="D33" s="13">
        <v>3</v>
      </c>
      <c r="E33" s="3" t="s">
        <v>91</v>
      </c>
      <c r="F33" s="43" t="str">
        <f t="shared" si="14"/>
        <v>Fall</v>
      </c>
      <c r="G33" s="235">
        <f>SUMIFS('[8]inland_taf_hatchgrp_tableraw&amp;yy'!G$3:G$38,'[8]inland_taf_hatchgrp_tableraw&amp;yy'!$AC$3:$AC$38,'2015 Table 11 CWTs exp'!$A33)</f>
        <v>0</v>
      </c>
      <c r="H33" s="45">
        <f>SUMIFS('[8]inland_taf_hatchgrp_tableraw&amp;yy'!H$3:H$38,'[8]inland_taf_hatchgrp_tableraw&amp;yy'!$AC$3:$AC$38,'2015 Table 11 CWTs exp'!$A33)</f>
        <v>0</v>
      </c>
      <c r="I33" s="44">
        <f>SUMIFS('[8]inland_taf_hatchgrp_tableraw&amp;yy'!I$3:I$38,'[8]inland_taf_hatchgrp_tableraw&amp;yy'!$AC$3:$AC$38,'2015 Table 11 CWTs exp'!$A33)</f>
        <v>0</v>
      </c>
      <c r="J33" s="46">
        <f>SUMIFS('[8]inland_taf_hatchgrp_tableraw&amp;yy'!J$3:J$38,'[8]inland_taf_hatchgrp_tableraw&amp;yy'!$AC$3:$AC$38,'2015 Table 11 CWTs exp'!$A33)</f>
        <v>103</v>
      </c>
      <c r="K33" s="44">
        <f>SUMIFS('[8]inland_taf_hatchgrp_tableraw&amp;yy'!K$3:K$38,'[8]inland_taf_hatchgrp_tableraw&amp;yy'!$AC$3:$AC$38,'2015 Table 11 CWTs exp'!$A33)</f>
        <v>0</v>
      </c>
      <c r="L33" s="44">
        <f>SUMIFS('[8]inland_taf_hatchgrp_tableraw&amp;yy'!L$3:L$38,'[8]inland_taf_hatchgrp_tableraw&amp;yy'!$AC$3:$AC$38,'2015 Table 11 CWTs exp'!$A33)</f>
        <v>0</v>
      </c>
      <c r="M33" s="44">
        <f>SUMIFS('[8]inland_taf_hatchgrp_tableraw&amp;yy'!M$3:M$38,'[8]inland_taf_hatchgrp_tableraw&amp;yy'!$AC$3:$AC$38,'2015 Table 11 CWTs exp'!$A33)</f>
        <v>0</v>
      </c>
      <c r="N33" s="44">
        <f>SUMIFS('[8]inland_taf_hatchgrp_tableraw&amp;yy'!P$3:P$38,'[8]inland_taf_hatchgrp_tableraw&amp;yy'!$AC$3:$AC$38,'2015 Table 11 CWTs exp'!$A33)</f>
        <v>0</v>
      </c>
      <c r="O33" s="44">
        <f>SUMIFS('[8]inland_taf_hatchgrp_tableraw&amp;yy'!N$3:N$38,'[8]inland_taf_hatchgrp_tableraw&amp;yy'!$AC$3:$AC$38,'2015 Table 11 CWTs exp'!$A33)</f>
        <v>77</v>
      </c>
      <c r="P33" s="44">
        <f>SUMIFS('[8]inland_taf_hatchgrp_tableraw&amp;yy'!O$3:O$38,'[8]inland_taf_hatchgrp_tableraw&amp;yy'!$AC$3:$AC$38,'2015 Table 11 CWTs exp'!$A33)</f>
        <v>6</v>
      </c>
      <c r="Q33" s="45">
        <f>SUMIFS('[8]inland_taf_hatchgrp_tableraw&amp;yy'!Q$3:Q$38,'[8]inland_taf_hatchgrp_tableraw&amp;yy'!$AC$3:$AC$38,'2015 Table 11 CWTs exp'!$A33)</f>
        <v>0</v>
      </c>
      <c r="R33" s="46">
        <f>SUMIFS('[8]inland_taf_hatchgrp_tableraw&amp;yy'!R$3:R$38,'[8]inland_taf_hatchgrp_tableraw&amp;yy'!$AC$3:$AC$38,'2015 Table 11 CWTs exp'!$A33)</f>
        <v>460</v>
      </c>
      <c r="S33" s="44">
        <f>SUMIFS('[8]inland_taf_hatchgrp_tableraw&amp;yy'!S$3:S$38,'[8]inland_taf_hatchgrp_tableraw&amp;yy'!$AC$3:$AC$38,'2015 Table 11 CWTs exp'!$A33)</f>
        <v>50</v>
      </c>
      <c r="T33" s="44">
        <f>SUMIFS('[8]inland_taf_hatchgrp_tableraw&amp;yy'!T$3:T$38,'[8]inland_taf_hatchgrp_tableraw&amp;yy'!$AC$3:$AC$38,'2015 Table 11 CWTs exp'!$A33)</f>
        <v>3102</v>
      </c>
      <c r="U33" s="44">
        <f>SUMIFS('[8]inland_taf_hatchgrp_tableraw&amp;yy'!U$3:U$38,'[8]inland_taf_hatchgrp_tableraw&amp;yy'!$AC$3:$AC$38,'2015 Table 11 CWTs exp'!$A33)</f>
        <v>284</v>
      </c>
      <c r="V33" s="45">
        <f>SUMIFS('[8]inland_taf_hatchgrp_tableraw&amp;yy'!V$3:V$38,'[8]inland_taf_hatchgrp_tableraw&amp;yy'!$AC$3:$AC$38,'2015 Table 11 CWTs exp'!$A33)</f>
        <v>0</v>
      </c>
      <c r="W33" s="46">
        <f>SUMIFS('[8]inland_taf_hatchgrp_tableraw&amp;yy'!W$3:W$38,'[8]inland_taf_hatchgrp_tableraw&amp;yy'!$AC$3:$AC$38,'2015 Table 11 CWTs exp'!$A33)</f>
        <v>247</v>
      </c>
      <c r="X33" s="44">
        <f>SUMIFS('[8]inland_taf_hatchgrp_tableraw&amp;yy'!X$3:X$38,'[8]inland_taf_hatchgrp_tableraw&amp;yy'!$AC$3:$AC$38,'2015 Table 11 CWTs exp'!$A33)</f>
        <v>0</v>
      </c>
      <c r="Y33" s="84">
        <f>SUMIFS('[8]inland_taf_hatchgrp_tableraw&amp;yy'!Y$3:Y$38,'[8]inland_taf_hatchgrp_tableraw&amp;yy'!$AC$3:$AC$38,'2015 Table 11 CWTs exp'!$A33)</f>
        <v>4329</v>
      </c>
      <c r="Z33" s="85">
        <f>SUMIFS('[8]inland_taf_hatchgrp_tableraw&amp;yy'!Z$3:Z$38,'[8]inland_taf_hatchgrp_tableraw&amp;yy'!$AC$3:$AC$38,'2015 Table 11 CWTs exp'!$A33)</f>
        <v>252</v>
      </c>
      <c r="AA33" s="44">
        <f>SUMIFS('[8]inland_taf_hatchgrp_tableraw&amp;yy'!AA$3:AA$38,'[8]inland_taf_hatchgrp_tableraw&amp;yy'!$AC$3:$AC$38,'2015 Table 11 CWTs exp'!$A33)</f>
        <v>4581</v>
      </c>
      <c r="AB33" s="44"/>
      <c r="AC33" s="566">
        <f>SUMIFS('[8]inland_taf_hatchgrp_tableraw&amp;yy'!AB$3:AB$38,'[8]inland_taf_hatchgrp_tableraw&amp;yy'!$AC$3:$AC$38,'2015 Table 11 CWTs exp'!$A33)</f>
        <v>0.94499999999999995</v>
      </c>
      <c r="AD33" s="604" t="str">
        <f t="shared" si="9"/>
        <v>MOKE543</v>
      </c>
      <c r="AE33" s="442"/>
      <c r="AF33" s="622">
        <f t="shared" si="10"/>
        <v>0.94499017681728881</v>
      </c>
      <c r="AG33" s="623">
        <f t="shared" si="11"/>
        <v>5.50098231827112E-2</v>
      </c>
      <c r="AH33" s="605">
        <f t="shared" si="13"/>
        <v>5.5000000000000049E-2</v>
      </c>
      <c r="AI33" s="447">
        <f t="shared" si="12"/>
        <v>252</v>
      </c>
      <c r="AJ33" s="451"/>
      <c r="AK33" s="451"/>
      <c r="AL33" s="442"/>
      <c r="AM33" s="442"/>
      <c r="AN33" s="442"/>
      <c r="AO33" s="442"/>
      <c r="AP33" s="442"/>
      <c r="AQ33" s="442"/>
      <c r="AR33" s="442"/>
      <c r="AS33" s="442"/>
      <c r="AT33" s="442"/>
      <c r="AU33" s="442"/>
      <c r="AV33" s="442"/>
      <c r="AW33" s="442"/>
      <c r="AX33" s="442"/>
      <c r="AY33" s="442"/>
      <c r="AZ33" s="442"/>
      <c r="BA33" s="442"/>
      <c r="BB33" s="442"/>
      <c r="BC33" s="442"/>
      <c r="BD33" s="442"/>
      <c r="BE33" s="442"/>
      <c r="BF33" s="442"/>
    </row>
    <row r="34" spans="1:58" ht="14.5" hidden="1" customHeight="1" x14ac:dyDescent="0.25">
      <c r="A34" s="50" t="str">
        <f t="shared" si="8"/>
        <v>COSU543</v>
      </c>
      <c r="B34" s="13" t="s">
        <v>92</v>
      </c>
      <c r="C34" s="13">
        <v>54</v>
      </c>
      <c r="D34" s="13">
        <v>3</v>
      </c>
      <c r="E34" s="3" t="s">
        <v>93</v>
      </c>
      <c r="F34" s="43" t="str">
        <f t="shared" si="14"/>
        <v>Fall</v>
      </c>
      <c r="G34" s="235">
        <f>SUMIFS('[8]inland_taf_hatchgrp_tableraw&amp;yy'!G$3:G$38,'[8]inland_taf_hatchgrp_tableraw&amp;yy'!$AC$3:$AC$38,'2015 Table 11 CWTs exp'!$A34)</f>
        <v>0</v>
      </c>
      <c r="H34" s="45">
        <f>SUMIFS('[8]inland_taf_hatchgrp_tableraw&amp;yy'!H$3:H$38,'[8]inland_taf_hatchgrp_tableraw&amp;yy'!$AC$3:$AC$38,'2015 Table 11 CWTs exp'!$A34)</f>
        <v>0</v>
      </c>
      <c r="I34" s="44">
        <f>SUMIFS('[8]inland_taf_hatchgrp_tableraw&amp;yy'!I$3:I$38,'[8]inland_taf_hatchgrp_tableraw&amp;yy'!$AC$3:$AC$38,'2015 Table 11 CWTs exp'!$A34)</f>
        <v>0</v>
      </c>
      <c r="J34" s="46">
        <f>SUMIFS('[8]inland_taf_hatchgrp_tableraw&amp;yy'!J$3:J$38,'[8]inland_taf_hatchgrp_tableraw&amp;yy'!$AC$3:$AC$38,'2015 Table 11 CWTs exp'!$A34)</f>
        <v>0</v>
      </c>
      <c r="K34" s="44">
        <f>SUMIFS('[8]inland_taf_hatchgrp_tableraw&amp;yy'!K$3:K$38,'[8]inland_taf_hatchgrp_tableraw&amp;yy'!$AC$3:$AC$38,'2015 Table 11 CWTs exp'!$A34)</f>
        <v>0</v>
      </c>
      <c r="L34" s="44">
        <f>SUMIFS('[8]inland_taf_hatchgrp_tableraw&amp;yy'!L$3:L$38,'[8]inland_taf_hatchgrp_tableraw&amp;yy'!$AC$3:$AC$38,'2015 Table 11 CWTs exp'!$A34)</f>
        <v>0</v>
      </c>
      <c r="M34" s="44">
        <f>SUMIFS('[8]inland_taf_hatchgrp_tableraw&amp;yy'!M$3:M$38,'[8]inland_taf_hatchgrp_tableraw&amp;yy'!$AC$3:$AC$38,'2015 Table 11 CWTs exp'!$A34)</f>
        <v>0</v>
      </c>
      <c r="N34" s="44">
        <f>SUMIFS('[8]inland_taf_hatchgrp_tableraw&amp;yy'!P$3:P$38,'[8]inland_taf_hatchgrp_tableraw&amp;yy'!$AC$3:$AC$38,'2015 Table 11 CWTs exp'!$A34)</f>
        <v>0</v>
      </c>
      <c r="O34" s="44">
        <f>SUMIFS('[8]inland_taf_hatchgrp_tableraw&amp;yy'!N$3:N$38,'[8]inland_taf_hatchgrp_tableraw&amp;yy'!$AC$3:$AC$38,'2015 Table 11 CWTs exp'!$A34)</f>
        <v>0</v>
      </c>
      <c r="P34" s="44">
        <f>SUMIFS('[8]inland_taf_hatchgrp_tableraw&amp;yy'!O$3:O$38,'[8]inland_taf_hatchgrp_tableraw&amp;yy'!$AC$3:$AC$38,'2015 Table 11 CWTs exp'!$A34)</f>
        <v>0</v>
      </c>
      <c r="Q34" s="45">
        <f>SUMIFS('[8]inland_taf_hatchgrp_tableraw&amp;yy'!Q$3:Q$38,'[8]inland_taf_hatchgrp_tableraw&amp;yy'!$AC$3:$AC$38,'2015 Table 11 CWTs exp'!$A34)</f>
        <v>0</v>
      </c>
      <c r="R34" s="46">
        <f>SUMIFS('[8]inland_taf_hatchgrp_tableraw&amp;yy'!R$3:R$38,'[8]inland_taf_hatchgrp_tableraw&amp;yy'!$AC$3:$AC$38,'2015 Table 11 CWTs exp'!$A34)</f>
        <v>0</v>
      </c>
      <c r="S34" s="44">
        <f>SUMIFS('[8]inland_taf_hatchgrp_tableraw&amp;yy'!S$3:S$38,'[8]inland_taf_hatchgrp_tableraw&amp;yy'!$AC$3:$AC$38,'2015 Table 11 CWTs exp'!$A34)</f>
        <v>0</v>
      </c>
      <c r="T34" s="44">
        <f>SUMIFS('[8]inland_taf_hatchgrp_tableraw&amp;yy'!T$3:T$38,'[8]inland_taf_hatchgrp_tableraw&amp;yy'!$AC$3:$AC$38,'2015 Table 11 CWTs exp'!$A34)</f>
        <v>0</v>
      </c>
      <c r="U34" s="44">
        <f>SUMIFS('[8]inland_taf_hatchgrp_tableraw&amp;yy'!U$3:U$38,'[8]inland_taf_hatchgrp_tableraw&amp;yy'!$AC$3:$AC$38,'2015 Table 11 CWTs exp'!$A34)</f>
        <v>0</v>
      </c>
      <c r="V34" s="45">
        <f>SUMIFS('[8]inland_taf_hatchgrp_tableraw&amp;yy'!V$3:V$38,'[8]inland_taf_hatchgrp_tableraw&amp;yy'!$AC$3:$AC$38,'2015 Table 11 CWTs exp'!$A34)</f>
        <v>0</v>
      </c>
      <c r="W34" s="46">
        <f>SUMIFS('[8]inland_taf_hatchgrp_tableraw&amp;yy'!W$3:W$38,'[8]inland_taf_hatchgrp_tableraw&amp;yy'!$AC$3:$AC$38,'2015 Table 11 CWTs exp'!$A34)</f>
        <v>0</v>
      </c>
      <c r="X34" s="44">
        <f>SUMIFS('[8]inland_taf_hatchgrp_tableraw&amp;yy'!X$3:X$38,'[8]inland_taf_hatchgrp_tableraw&amp;yy'!$AC$3:$AC$38,'2015 Table 11 CWTs exp'!$A34)</f>
        <v>0</v>
      </c>
      <c r="Y34" s="84">
        <f>SUMIFS('[8]inland_taf_hatchgrp_tableraw&amp;yy'!Y$3:Y$38,'[8]inland_taf_hatchgrp_tableraw&amp;yy'!$AC$3:$AC$38,'2015 Table 11 CWTs exp'!$A34)</f>
        <v>0</v>
      </c>
      <c r="Z34" s="85">
        <f>SUMIFS('[8]inland_taf_hatchgrp_tableraw&amp;yy'!Z$3:Z$38,'[8]inland_taf_hatchgrp_tableraw&amp;yy'!$AC$3:$AC$38,'2015 Table 11 CWTs exp'!$A34)</f>
        <v>0</v>
      </c>
      <c r="AA34" s="44">
        <f>SUMIFS('[8]inland_taf_hatchgrp_tableraw&amp;yy'!AA$3:AA$38,'[8]inland_taf_hatchgrp_tableraw&amp;yy'!$AC$3:$AC$38,'2015 Table 11 CWTs exp'!$A34)</f>
        <v>0</v>
      </c>
      <c r="AB34" s="44"/>
      <c r="AC34" s="567">
        <f>SUMIFS('[8]inland_taf_hatchgrp_tableraw&amp;yy'!AB$3:AB$38,'[8]inland_taf_hatchgrp_tableraw&amp;yy'!$AC$3:$AC$38,'2015 Table 11 CWTs exp'!$A34)</f>
        <v>0</v>
      </c>
      <c r="AD34" s="604" t="str">
        <f t="shared" si="9"/>
        <v>COSU543</v>
      </c>
      <c r="AE34" s="442"/>
      <c r="AF34" s="622" t="e">
        <f t="shared" si="10"/>
        <v>#DIV/0!</v>
      </c>
      <c r="AG34" s="623" t="e">
        <f t="shared" si="11"/>
        <v>#DIV/0!</v>
      </c>
      <c r="AH34" s="605">
        <f t="shared" si="13"/>
        <v>1</v>
      </c>
      <c r="AI34" s="447">
        <f t="shared" si="12"/>
        <v>0</v>
      </c>
      <c r="AJ34" s="451"/>
      <c r="AK34" s="451"/>
      <c r="AL34" s="442"/>
      <c r="AM34" s="442"/>
      <c r="AN34" s="442"/>
      <c r="AO34" s="442"/>
      <c r="AP34" s="442"/>
      <c r="AQ34" s="442"/>
      <c r="AR34" s="442"/>
      <c r="AS34" s="442"/>
      <c r="AT34" s="442"/>
      <c r="AU34" s="442"/>
      <c r="AV34" s="442"/>
      <c r="AW34" s="442"/>
      <c r="AX34" s="442"/>
      <c r="AY34" s="442"/>
      <c r="AZ34" s="442"/>
      <c r="BA34" s="442"/>
      <c r="BB34" s="442"/>
      <c r="BC34" s="442"/>
      <c r="BD34" s="442"/>
      <c r="BE34" s="442"/>
      <c r="BF34" s="442"/>
    </row>
    <row r="35" spans="1:58" ht="14.5" hidden="1" customHeight="1" x14ac:dyDescent="0.25">
      <c r="A35" s="50" t="str">
        <f t="shared" si="8"/>
        <v>CAL543</v>
      </c>
      <c r="B35" s="13" t="s">
        <v>94</v>
      </c>
      <c r="C35" s="13">
        <v>54</v>
      </c>
      <c r="D35" s="13">
        <v>3</v>
      </c>
      <c r="E35" s="3" t="s">
        <v>166</v>
      </c>
      <c r="F35" s="43" t="str">
        <f t="shared" si="14"/>
        <v>Fall</v>
      </c>
      <c r="G35" s="235">
        <f>SUMIFS('[8]inland_taf_hatchgrp_tableraw&amp;yy'!G$3:G$38,'[8]inland_taf_hatchgrp_tableraw&amp;yy'!$AC$3:$AC$38,'2015 Table 11 CWTs exp'!$A35)</f>
        <v>0</v>
      </c>
      <c r="H35" s="45">
        <f>SUMIFS('[8]inland_taf_hatchgrp_tableraw&amp;yy'!H$3:H$38,'[8]inland_taf_hatchgrp_tableraw&amp;yy'!$AC$3:$AC$38,'2015 Table 11 CWTs exp'!$A35)</f>
        <v>0</v>
      </c>
      <c r="I35" s="44">
        <f>SUMIFS('[8]inland_taf_hatchgrp_tableraw&amp;yy'!I$3:I$38,'[8]inland_taf_hatchgrp_tableraw&amp;yy'!$AC$3:$AC$38,'2015 Table 11 CWTs exp'!$A35)</f>
        <v>0</v>
      </c>
      <c r="J35" s="46">
        <f>SUMIFS('[8]inland_taf_hatchgrp_tableraw&amp;yy'!J$3:J$38,'[8]inland_taf_hatchgrp_tableraw&amp;yy'!$AC$3:$AC$38,'2015 Table 11 CWTs exp'!$A35)</f>
        <v>0</v>
      </c>
      <c r="K35" s="44">
        <f>SUMIFS('[8]inland_taf_hatchgrp_tableraw&amp;yy'!K$3:K$38,'[8]inland_taf_hatchgrp_tableraw&amp;yy'!$AC$3:$AC$38,'2015 Table 11 CWTs exp'!$A35)</f>
        <v>0</v>
      </c>
      <c r="L35" s="44">
        <f>SUMIFS('[8]inland_taf_hatchgrp_tableraw&amp;yy'!L$3:L$38,'[8]inland_taf_hatchgrp_tableraw&amp;yy'!$AC$3:$AC$38,'2015 Table 11 CWTs exp'!$A35)</f>
        <v>0</v>
      </c>
      <c r="M35" s="44">
        <f>SUMIFS('[8]inland_taf_hatchgrp_tableraw&amp;yy'!M$3:M$38,'[8]inland_taf_hatchgrp_tableraw&amp;yy'!$AC$3:$AC$38,'2015 Table 11 CWTs exp'!$A35)</f>
        <v>0</v>
      </c>
      <c r="N35" s="44">
        <f>SUMIFS('[8]inland_taf_hatchgrp_tableraw&amp;yy'!P$3:P$38,'[8]inland_taf_hatchgrp_tableraw&amp;yy'!$AC$3:$AC$38,'2015 Table 11 CWTs exp'!$A35)</f>
        <v>0</v>
      </c>
      <c r="O35" s="44">
        <f>SUMIFS('[8]inland_taf_hatchgrp_tableraw&amp;yy'!N$3:N$38,'[8]inland_taf_hatchgrp_tableraw&amp;yy'!$AC$3:$AC$38,'2015 Table 11 CWTs exp'!$A35)</f>
        <v>0</v>
      </c>
      <c r="P35" s="44">
        <f>SUMIFS('[8]inland_taf_hatchgrp_tableraw&amp;yy'!O$3:O$38,'[8]inland_taf_hatchgrp_tableraw&amp;yy'!$AC$3:$AC$38,'2015 Table 11 CWTs exp'!$A35)</f>
        <v>0</v>
      </c>
      <c r="Q35" s="45">
        <f>SUMIFS('[8]inland_taf_hatchgrp_tableraw&amp;yy'!Q$3:Q$38,'[8]inland_taf_hatchgrp_tableraw&amp;yy'!$AC$3:$AC$38,'2015 Table 11 CWTs exp'!$A35)</f>
        <v>0</v>
      </c>
      <c r="R35" s="46">
        <f>SUMIFS('[8]inland_taf_hatchgrp_tableraw&amp;yy'!R$3:R$38,'[8]inland_taf_hatchgrp_tableraw&amp;yy'!$AC$3:$AC$38,'2015 Table 11 CWTs exp'!$A35)</f>
        <v>0</v>
      </c>
      <c r="S35" s="44">
        <f>SUMIFS('[8]inland_taf_hatchgrp_tableraw&amp;yy'!S$3:S$38,'[8]inland_taf_hatchgrp_tableraw&amp;yy'!$AC$3:$AC$38,'2015 Table 11 CWTs exp'!$A35)</f>
        <v>0</v>
      </c>
      <c r="T35" s="44">
        <f>SUMIFS('[8]inland_taf_hatchgrp_tableraw&amp;yy'!T$3:T$38,'[8]inland_taf_hatchgrp_tableraw&amp;yy'!$AC$3:$AC$38,'2015 Table 11 CWTs exp'!$A35)</f>
        <v>0</v>
      </c>
      <c r="U35" s="44">
        <f>SUMIFS('[8]inland_taf_hatchgrp_tableraw&amp;yy'!U$3:U$38,'[8]inland_taf_hatchgrp_tableraw&amp;yy'!$AC$3:$AC$38,'2015 Table 11 CWTs exp'!$A35)</f>
        <v>0</v>
      </c>
      <c r="V35" s="45">
        <f>SUMIFS('[8]inland_taf_hatchgrp_tableraw&amp;yy'!V$3:V$38,'[8]inland_taf_hatchgrp_tableraw&amp;yy'!$AC$3:$AC$38,'2015 Table 11 CWTs exp'!$A35)</f>
        <v>0</v>
      </c>
      <c r="W35" s="46">
        <f>SUMIFS('[8]inland_taf_hatchgrp_tableraw&amp;yy'!W$3:W$38,'[8]inland_taf_hatchgrp_tableraw&amp;yy'!$AC$3:$AC$38,'2015 Table 11 CWTs exp'!$A35)</f>
        <v>0</v>
      </c>
      <c r="X35" s="44">
        <f>SUMIFS('[8]inland_taf_hatchgrp_tableraw&amp;yy'!X$3:X$38,'[8]inland_taf_hatchgrp_tableraw&amp;yy'!$AC$3:$AC$38,'2015 Table 11 CWTs exp'!$A35)</f>
        <v>0</v>
      </c>
      <c r="Y35" s="84">
        <f>SUMIFS('[8]inland_taf_hatchgrp_tableraw&amp;yy'!Y$3:Y$38,'[8]inland_taf_hatchgrp_tableraw&amp;yy'!$AC$3:$AC$38,'2015 Table 11 CWTs exp'!$A35)</f>
        <v>0</v>
      </c>
      <c r="Z35" s="85">
        <f>SUMIFS('[8]inland_taf_hatchgrp_tableraw&amp;yy'!Z$3:Z$38,'[8]inland_taf_hatchgrp_tableraw&amp;yy'!$AC$3:$AC$38,'2015 Table 11 CWTs exp'!$A35)</f>
        <v>0</v>
      </c>
      <c r="AA35" s="44">
        <f>SUMIFS('[8]inland_taf_hatchgrp_tableraw&amp;yy'!AA$3:AA$38,'[8]inland_taf_hatchgrp_tableraw&amp;yy'!$AC$3:$AC$38,'2015 Table 11 CWTs exp'!$A35)</f>
        <v>0</v>
      </c>
      <c r="AB35" s="44"/>
      <c r="AC35" s="567">
        <f>SUMIFS('[8]inland_taf_hatchgrp_tableraw&amp;yy'!AB$3:AB$38,'[8]inland_taf_hatchgrp_tableraw&amp;yy'!$AC$3:$AC$38,'2015 Table 11 CWTs exp'!$A35)</f>
        <v>0</v>
      </c>
      <c r="AD35" s="604" t="str">
        <f t="shared" si="9"/>
        <v>CAL543</v>
      </c>
      <c r="AE35" s="442"/>
      <c r="AF35" s="622" t="e">
        <f t="shared" si="10"/>
        <v>#DIV/0!</v>
      </c>
      <c r="AG35" s="623" t="e">
        <f t="shared" si="11"/>
        <v>#DIV/0!</v>
      </c>
      <c r="AH35" s="605">
        <f t="shared" si="13"/>
        <v>1</v>
      </c>
      <c r="AI35" s="447">
        <f t="shared" si="12"/>
        <v>0</v>
      </c>
      <c r="AJ35" s="451"/>
      <c r="AK35" s="451"/>
      <c r="AL35" s="442"/>
      <c r="AM35" s="442"/>
      <c r="AN35" s="442"/>
      <c r="AO35" s="442"/>
      <c r="AP35" s="442"/>
      <c r="AQ35" s="442"/>
      <c r="AR35" s="442"/>
      <c r="AS35" s="442"/>
      <c r="AT35" s="442"/>
      <c r="AU35" s="442"/>
      <c r="AV35" s="442"/>
      <c r="AW35" s="442"/>
      <c r="AX35" s="442"/>
      <c r="AY35" s="442"/>
      <c r="AZ35" s="442"/>
      <c r="BA35" s="442"/>
      <c r="BB35" s="442"/>
      <c r="BC35" s="442"/>
      <c r="BD35" s="442"/>
      <c r="BE35" s="442"/>
      <c r="BF35" s="442"/>
    </row>
    <row r="36" spans="1:58" ht="14.5" customHeight="1" x14ac:dyDescent="0.25">
      <c r="A36" s="50" t="str">
        <f t="shared" si="8"/>
        <v>STA543</v>
      </c>
      <c r="B36" s="13" t="s">
        <v>96</v>
      </c>
      <c r="C36" s="13">
        <v>54</v>
      </c>
      <c r="D36" s="13">
        <v>3</v>
      </c>
      <c r="E36" s="3" t="s">
        <v>97</v>
      </c>
      <c r="F36" s="43" t="str">
        <f t="shared" si="14"/>
        <v>Fall</v>
      </c>
      <c r="G36" s="235">
        <f>SUMIFS('[8]inland_taf_hatchgrp_tableraw&amp;yy'!G$3:G$38,'[8]inland_taf_hatchgrp_tableraw&amp;yy'!$AC$3:$AC$38,'2015 Table 11 CWTs exp'!$A36)</f>
        <v>0</v>
      </c>
      <c r="H36" s="45">
        <f>SUMIFS('[8]inland_taf_hatchgrp_tableraw&amp;yy'!H$3:H$38,'[8]inland_taf_hatchgrp_tableraw&amp;yy'!$AC$3:$AC$38,'2015 Table 11 CWTs exp'!$A36)</f>
        <v>0</v>
      </c>
      <c r="I36" s="44">
        <f>SUMIFS('[8]inland_taf_hatchgrp_tableraw&amp;yy'!I$3:I$38,'[8]inland_taf_hatchgrp_tableraw&amp;yy'!$AC$3:$AC$38,'2015 Table 11 CWTs exp'!$A36)</f>
        <v>0</v>
      </c>
      <c r="J36" s="46">
        <f>SUMIFS('[8]inland_taf_hatchgrp_tableraw&amp;yy'!J$3:J$38,'[8]inland_taf_hatchgrp_tableraw&amp;yy'!$AC$3:$AC$38,'2015 Table 11 CWTs exp'!$A36)</f>
        <v>184</v>
      </c>
      <c r="K36" s="44">
        <f>SUMIFS('[8]inland_taf_hatchgrp_tableraw&amp;yy'!K$3:K$38,'[8]inland_taf_hatchgrp_tableraw&amp;yy'!$AC$3:$AC$38,'2015 Table 11 CWTs exp'!$A36)</f>
        <v>0</v>
      </c>
      <c r="L36" s="44">
        <f>SUMIFS('[8]inland_taf_hatchgrp_tableraw&amp;yy'!L$3:L$38,'[8]inland_taf_hatchgrp_tableraw&amp;yy'!$AC$3:$AC$38,'2015 Table 11 CWTs exp'!$A36)</f>
        <v>0</v>
      </c>
      <c r="M36" s="44">
        <f>SUMIFS('[8]inland_taf_hatchgrp_tableraw&amp;yy'!M$3:M$38,'[8]inland_taf_hatchgrp_tableraw&amp;yy'!$AC$3:$AC$38,'2015 Table 11 CWTs exp'!$A36)</f>
        <v>0</v>
      </c>
      <c r="N36" s="44">
        <f>SUMIFS('[8]inland_taf_hatchgrp_tableraw&amp;yy'!P$3:P$38,'[8]inland_taf_hatchgrp_tableraw&amp;yy'!$AC$3:$AC$38,'2015 Table 11 CWTs exp'!$A36)</f>
        <v>0</v>
      </c>
      <c r="O36" s="44">
        <f>SUMIFS('[8]inland_taf_hatchgrp_tableraw&amp;yy'!N$3:N$38,'[8]inland_taf_hatchgrp_tableraw&amp;yy'!$AC$3:$AC$38,'2015 Table 11 CWTs exp'!$A36)</f>
        <v>106</v>
      </c>
      <c r="P36" s="44">
        <f>SUMIFS('[8]inland_taf_hatchgrp_tableraw&amp;yy'!O$3:O$38,'[8]inland_taf_hatchgrp_tableraw&amp;yy'!$AC$3:$AC$38,'2015 Table 11 CWTs exp'!$A36)</f>
        <v>20</v>
      </c>
      <c r="Q36" s="45">
        <f>SUMIFS('[8]inland_taf_hatchgrp_tableraw&amp;yy'!Q$3:Q$38,'[8]inland_taf_hatchgrp_tableraw&amp;yy'!$AC$3:$AC$38,'2015 Table 11 CWTs exp'!$A36)</f>
        <v>0</v>
      </c>
      <c r="R36" s="46">
        <f>SUMIFS('[8]inland_taf_hatchgrp_tableraw&amp;yy'!R$3:R$38,'[8]inland_taf_hatchgrp_tableraw&amp;yy'!$AC$3:$AC$38,'2015 Table 11 CWTs exp'!$A36)</f>
        <v>53</v>
      </c>
      <c r="S36" s="44">
        <f>SUMIFS('[8]inland_taf_hatchgrp_tableraw&amp;yy'!S$3:S$38,'[8]inland_taf_hatchgrp_tableraw&amp;yy'!$AC$3:$AC$38,'2015 Table 11 CWTs exp'!$A36)</f>
        <v>0</v>
      </c>
      <c r="T36" s="44">
        <f>SUMIFS('[8]inland_taf_hatchgrp_tableraw&amp;yy'!T$3:T$38,'[8]inland_taf_hatchgrp_tableraw&amp;yy'!$AC$3:$AC$38,'2015 Table 11 CWTs exp'!$A36)</f>
        <v>4057</v>
      </c>
      <c r="U36" s="44">
        <f>SUMIFS('[8]inland_taf_hatchgrp_tableraw&amp;yy'!U$3:U$38,'[8]inland_taf_hatchgrp_tableraw&amp;yy'!$AC$3:$AC$38,'2015 Table 11 CWTs exp'!$A36)</f>
        <v>198</v>
      </c>
      <c r="V36" s="45">
        <f>SUMIFS('[8]inland_taf_hatchgrp_tableraw&amp;yy'!V$3:V$38,'[8]inland_taf_hatchgrp_tableraw&amp;yy'!$AC$3:$AC$38,'2015 Table 11 CWTs exp'!$A36)</f>
        <v>0</v>
      </c>
      <c r="W36" s="46">
        <f>SUMIFS('[8]inland_taf_hatchgrp_tableraw&amp;yy'!W$3:W$38,'[8]inland_taf_hatchgrp_tableraw&amp;yy'!$AC$3:$AC$38,'2015 Table 11 CWTs exp'!$A36)</f>
        <v>180</v>
      </c>
      <c r="X36" s="44">
        <f>SUMIFS('[8]inland_taf_hatchgrp_tableraw&amp;yy'!X$3:X$38,'[8]inland_taf_hatchgrp_tableraw&amp;yy'!$AC$3:$AC$38,'2015 Table 11 CWTs exp'!$A36)</f>
        <v>0</v>
      </c>
      <c r="Y36" s="84">
        <f>SUMIFS('[8]inland_taf_hatchgrp_tableraw&amp;yy'!Y$3:Y$38,'[8]inland_taf_hatchgrp_tableraw&amp;yy'!$AC$3:$AC$38,'2015 Table 11 CWTs exp'!$A36)</f>
        <v>4798</v>
      </c>
      <c r="Z36" s="85">
        <f>SUMIFS('[8]inland_taf_hatchgrp_tableraw&amp;yy'!Z$3:Z$38,'[8]inland_taf_hatchgrp_tableraw&amp;yy'!$AC$3:$AC$38,'2015 Table 11 CWTs exp'!$A36)</f>
        <v>1338</v>
      </c>
      <c r="AA36" s="44">
        <f>SUMIFS('[8]inland_taf_hatchgrp_tableraw&amp;yy'!AA$3:AA$38,'[8]inland_taf_hatchgrp_tableraw&amp;yy'!$AC$3:$AC$38,'2015 Table 11 CWTs exp'!$A36)</f>
        <v>6136</v>
      </c>
      <c r="AB36" s="44"/>
      <c r="AC36" s="566">
        <f>SUMIFS('[8]inland_taf_hatchgrp_tableraw&amp;yy'!AB$3:AB$38,'[8]inland_taf_hatchgrp_tableraw&amp;yy'!$AC$3:$AC$38,'2015 Table 11 CWTs exp'!$A36)</f>
        <v>0.78200000000000003</v>
      </c>
      <c r="AD36" s="604" t="str">
        <f t="shared" si="9"/>
        <v>STA543</v>
      </c>
      <c r="AE36" s="442"/>
      <c r="AF36" s="622">
        <f t="shared" si="10"/>
        <v>0.7819426336375489</v>
      </c>
      <c r="AG36" s="623">
        <f t="shared" si="11"/>
        <v>0.2180573663624511</v>
      </c>
      <c r="AH36" s="605">
        <f t="shared" si="13"/>
        <v>0.21799999999999997</v>
      </c>
      <c r="AI36" s="447">
        <f t="shared" si="12"/>
        <v>1338</v>
      </c>
      <c r="AJ36" s="451"/>
      <c r="AK36" s="451"/>
      <c r="AL36" s="442"/>
      <c r="AM36" s="442"/>
      <c r="AN36" s="442"/>
      <c r="AO36" s="442"/>
      <c r="AP36" s="442"/>
      <c r="AQ36" s="442"/>
      <c r="AR36" s="442"/>
      <c r="AS36" s="442"/>
      <c r="AT36" s="442"/>
      <c r="AU36" s="442"/>
      <c r="AV36" s="442"/>
      <c r="AW36" s="442"/>
      <c r="AX36" s="442"/>
      <c r="AY36" s="442"/>
      <c r="AZ36" s="442"/>
      <c r="BA36" s="442"/>
      <c r="BB36" s="442"/>
      <c r="BC36" s="442"/>
      <c r="BD36" s="442"/>
      <c r="BE36" s="442"/>
      <c r="BF36" s="442"/>
    </row>
    <row r="37" spans="1:58" ht="14.5" customHeight="1" x14ac:dyDescent="0.25">
      <c r="A37" s="50" t="str">
        <f t="shared" si="8"/>
        <v>TUO543</v>
      </c>
      <c r="B37" s="13" t="s">
        <v>98</v>
      </c>
      <c r="C37" s="13">
        <v>54</v>
      </c>
      <c r="D37" s="13">
        <v>3</v>
      </c>
      <c r="E37" s="3" t="s">
        <v>99</v>
      </c>
      <c r="F37" s="43" t="str">
        <f t="shared" si="14"/>
        <v>Fall</v>
      </c>
      <c r="G37" s="235">
        <f>SUMIFS('[8]inland_taf_hatchgrp_tableraw&amp;yy'!G$3:G$38,'[8]inland_taf_hatchgrp_tableraw&amp;yy'!$AC$3:$AC$38,'2015 Table 11 CWTs exp'!$A37)</f>
        <v>0</v>
      </c>
      <c r="H37" s="45">
        <f>SUMIFS('[8]inland_taf_hatchgrp_tableraw&amp;yy'!H$3:H$38,'[8]inland_taf_hatchgrp_tableraw&amp;yy'!$AC$3:$AC$38,'2015 Table 11 CWTs exp'!$A37)</f>
        <v>0</v>
      </c>
      <c r="I37" s="44">
        <f>SUMIFS('[8]inland_taf_hatchgrp_tableraw&amp;yy'!I$3:I$38,'[8]inland_taf_hatchgrp_tableraw&amp;yy'!$AC$3:$AC$38,'2015 Table 11 CWTs exp'!$A37)</f>
        <v>0</v>
      </c>
      <c r="J37" s="46">
        <f>SUMIFS('[8]inland_taf_hatchgrp_tableraw&amp;yy'!J$3:J$38,'[8]inland_taf_hatchgrp_tableraw&amp;yy'!$AC$3:$AC$38,'2015 Table 11 CWTs exp'!$A37)</f>
        <v>0</v>
      </c>
      <c r="K37" s="44">
        <f>SUMIFS('[8]inland_taf_hatchgrp_tableraw&amp;yy'!K$3:K$38,'[8]inland_taf_hatchgrp_tableraw&amp;yy'!$AC$3:$AC$38,'2015 Table 11 CWTs exp'!$A37)</f>
        <v>0</v>
      </c>
      <c r="L37" s="44">
        <f>SUMIFS('[8]inland_taf_hatchgrp_tableraw&amp;yy'!L$3:L$38,'[8]inland_taf_hatchgrp_tableraw&amp;yy'!$AC$3:$AC$38,'2015 Table 11 CWTs exp'!$A37)</f>
        <v>0</v>
      </c>
      <c r="M37" s="44">
        <f>SUMIFS('[8]inland_taf_hatchgrp_tableraw&amp;yy'!M$3:M$38,'[8]inland_taf_hatchgrp_tableraw&amp;yy'!$AC$3:$AC$38,'2015 Table 11 CWTs exp'!$A37)</f>
        <v>0</v>
      </c>
      <c r="N37" s="44">
        <f>SUMIFS('[8]inland_taf_hatchgrp_tableraw&amp;yy'!P$3:P$38,'[8]inland_taf_hatchgrp_tableraw&amp;yy'!$AC$3:$AC$38,'2015 Table 11 CWTs exp'!$A37)</f>
        <v>0</v>
      </c>
      <c r="O37" s="44">
        <f>SUMIFS('[8]inland_taf_hatchgrp_tableraw&amp;yy'!N$3:N$38,'[8]inland_taf_hatchgrp_tableraw&amp;yy'!$AC$3:$AC$38,'2015 Table 11 CWTs exp'!$A37)</f>
        <v>0</v>
      </c>
      <c r="P37" s="44">
        <f>SUMIFS('[8]inland_taf_hatchgrp_tableraw&amp;yy'!O$3:O$38,'[8]inland_taf_hatchgrp_tableraw&amp;yy'!$AC$3:$AC$38,'2015 Table 11 CWTs exp'!$A37)</f>
        <v>0</v>
      </c>
      <c r="Q37" s="45">
        <f>SUMIFS('[8]inland_taf_hatchgrp_tableraw&amp;yy'!Q$3:Q$38,'[8]inland_taf_hatchgrp_tableraw&amp;yy'!$AC$3:$AC$38,'2015 Table 11 CWTs exp'!$A37)</f>
        <v>0</v>
      </c>
      <c r="R37" s="46">
        <f>SUMIFS('[8]inland_taf_hatchgrp_tableraw&amp;yy'!R$3:R$38,'[8]inland_taf_hatchgrp_tableraw&amp;yy'!$AC$3:$AC$38,'2015 Table 11 CWTs exp'!$A37)</f>
        <v>10</v>
      </c>
      <c r="S37" s="44">
        <f>SUMIFS('[8]inland_taf_hatchgrp_tableraw&amp;yy'!S$3:S$38,'[8]inland_taf_hatchgrp_tableraw&amp;yy'!$AC$3:$AC$38,'2015 Table 11 CWTs exp'!$A37)</f>
        <v>0</v>
      </c>
      <c r="T37" s="44">
        <f>SUMIFS('[8]inland_taf_hatchgrp_tableraw&amp;yy'!T$3:T$38,'[8]inland_taf_hatchgrp_tableraw&amp;yy'!$AC$3:$AC$38,'2015 Table 11 CWTs exp'!$A37)</f>
        <v>53</v>
      </c>
      <c r="U37" s="44">
        <f>SUMIFS('[8]inland_taf_hatchgrp_tableraw&amp;yy'!U$3:U$38,'[8]inland_taf_hatchgrp_tableraw&amp;yy'!$AC$3:$AC$38,'2015 Table 11 CWTs exp'!$A37)</f>
        <v>0</v>
      </c>
      <c r="V37" s="45">
        <f>SUMIFS('[8]inland_taf_hatchgrp_tableraw&amp;yy'!V$3:V$38,'[8]inland_taf_hatchgrp_tableraw&amp;yy'!$AC$3:$AC$38,'2015 Table 11 CWTs exp'!$A37)</f>
        <v>0</v>
      </c>
      <c r="W37" s="46">
        <f>SUMIFS('[8]inland_taf_hatchgrp_tableraw&amp;yy'!W$3:W$38,'[8]inland_taf_hatchgrp_tableraw&amp;yy'!$AC$3:$AC$38,'2015 Table 11 CWTs exp'!$A37)</f>
        <v>11</v>
      </c>
      <c r="X37" s="44">
        <f>SUMIFS('[8]inland_taf_hatchgrp_tableraw&amp;yy'!X$3:X$38,'[8]inland_taf_hatchgrp_tableraw&amp;yy'!$AC$3:$AC$38,'2015 Table 11 CWTs exp'!$A37)</f>
        <v>0</v>
      </c>
      <c r="Y37" s="84">
        <f>SUMIFS('[8]inland_taf_hatchgrp_tableraw&amp;yy'!Y$3:Y$38,'[8]inland_taf_hatchgrp_tableraw&amp;yy'!$AC$3:$AC$38,'2015 Table 11 CWTs exp'!$A37)</f>
        <v>74</v>
      </c>
      <c r="Z37" s="85">
        <f>SUMIFS('[8]inland_taf_hatchgrp_tableraw&amp;yy'!Z$3:Z$38,'[8]inland_taf_hatchgrp_tableraw&amp;yy'!$AC$3:$AC$38,'2015 Table 11 CWTs exp'!$A37)</f>
        <v>39</v>
      </c>
      <c r="AA37" s="44">
        <f>SUMIFS('[8]inland_taf_hatchgrp_tableraw&amp;yy'!AA$3:AA$38,'[8]inland_taf_hatchgrp_tableraw&amp;yy'!$AC$3:$AC$38,'2015 Table 11 CWTs exp'!$A37)</f>
        <v>113</v>
      </c>
      <c r="AB37" s="44"/>
      <c r="AC37" s="566">
        <f>SUMIFS('[8]inland_taf_hatchgrp_tableraw&amp;yy'!AB$3:AB$38,'[8]inland_taf_hatchgrp_tableraw&amp;yy'!$AC$3:$AC$38,'2015 Table 11 CWTs exp'!$A37)</f>
        <v>0.65500000000000003</v>
      </c>
      <c r="AD37" s="604" t="str">
        <f t="shared" si="9"/>
        <v>TUO543</v>
      </c>
      <c r="AE37" s="442"/>
      <c r="AF37" s="622">
        <f t="shared" si="10"/>
        <v>0.65486725663716816</v>
      </c>
      <c r="AG37" s="623">
        <f t="shared" si="11"/>
        <v>0.34513274336283184</v>
      </c>
      <c r="AH37" s="605">
        <f t="shared" si="13"/>
        <v>0.34499999999999997</v>
      </c>
      <c r="AI37" s="447">
        <f t="shared" si="12"/>
        <v>39</v>
      </c>
      <c r="AJ37" s="451"/>
      <c r="AK37" s="451"/>
      <c r="AL37" s="442"/>
      <c r="AM37" s="442"/>
      <c r="AN37" s="442"/>
      <c r="AO37" s="442"/>
      <c r="AP37" s="442"/>
      <c r="AQ37" s="442"/>
      <c r="AR37" s="442"/>
      <c r="AS37" s="442"/>
      <c r="AT37" s="442"/>
      <c r="AU37" s="442"/>
      <c r="AV37" s="442"/>
      <c r="AW37" s="442"/>
      <c r="AX37" s="442"/>
      <c r="AY37" s="442"/>
      <c r="AZ37" s="442"/>
      <c r="BA37" s="442"/>
      <c r="BB37" s="442"/>
      <c r="BC37" s="442"/>
      <c r="BD37" s="442"/>
      <c r="BE37" s="442"/>
      <c r="BF37" s="442"/>
    </row>
    <row r="38" spans="1:58" ht="14.5" customHeight="1" x14ac:dyDescent="0.25">
      <c r="A38" s="50" t="str">
        <f t="shared" si="8"/>
        <v>MER543</v>
      </c>
      <c r="B38" s="13" t="s">
        <v>5</v>
      </c>
      <c r="C38" s="13">
        <v>54</v>
      </c>
      <c r="D38" s="13">
        <v>3</v>
      </c>
      <c r="E38" s="268" t="s">
        <v>100</v>
      </c>
      <c r="F38" s="269" t="str">
        <f t="shared" si="14"/>
        <v>Fall</v>
      </c>
      <c r="G38" s="270">
        <f>SUMIFS('[8]inland_taf_hatchgrp_tableraw&amp;yy'!G$3:G$38,'[8]inland_taf_hatchgrp_tableraw&amp;yy'!$AC$3:$AC$38,'2015 Table 11 CWTs exp'!$A38)</f>
        <v>0</v>
      </c>
      <c r="H38" s="271">
        <f>SUMIFS('[8]inland_taf_hatchgrp_tableraw&amp;yy'!H$3:H$38,'[8]inland_taf_hatchgrp_tableraw&amp;yy'!$AC$3:$AC$38,'2015 Table 11 CWTs exp'!$A38)</f>
        <v>0</v>
      </c>
      <c r="I38" s="272">
        <f>SUMIFS('[8]inland_taf_hatchgrp_tableraw&amp;yy'!I$3:I$38,'[8]inland_taf_hatchgrp_tableraw&amp;yy'!$AC$3:$AC$38,'2015 Table 11 CWTs exp'!$A38)</f>
        <v>0</v>
      </c>
      <c r="J38" s="273">
        <f>SUMIFS('[8]inland_taf_hatchgrp_tableraw&amp;yy'!J$3:J$38,'[8]inland_taf_hatchgrp_tableraw&amp;yy'!$AC$3:$AC$38,'2015 Table 11 CWTs exp'!$A38)</f>
        <v>15</v>
      </c>
      <c r="K38" s="272">
        <f>SUMIFS('[8]inland_taf_hatchgrp_tableraw&amp;yy'!K$3:K$38,'[8]inland_taf_hatchgrp_tableraw&amp;yy'!$AC$3:$AC$38,'2015 Table 11 CWTs exp'!$A38)</f>
        <v>0</v>
      </c>
      <c r="L38" s="272">
        <f>SUMIFS('[8]inland_taf_hatchgrp_tableraw&amp;yy'!L$3:L$38,'[8]inland_taf_hatchgrp_tableraw&amp;yy'!$AC$3:$AC$38,'2015 Table 11 CWTs exp'!$A38)</f>
        <v>0</v>
      </c>
      <c r="M38" s="272">
        <f>SUMIFS('[8]inland_taf_hatchgrp_tableraw&amp;yy'!M$3:M$38,'[8]inland_taf_hatchgrp_tableraw&amp;yy'!$AC$3:$AC$38,'2015 Table 11 CWTs exp'!$A38)</f>
        <v>0</v>
      </c>
      <c r="N38" s="272">
        <f>SUMIFS('[8]inland_taf_hatchgrp_tableraw&amp;yy'!P$3:P$38,'[8]inland_taf_hatchgrp_tableraw&amp;yy'!$AC$3:$AC$38,'2015 Table 11 CWTs exp'!$A38)</f>
        <v>0</v>
      </c>
      <c r="O38" s="272">
        <f>SUMIFS('[8]inland_taf_hatchgrp_tableraw&amp;yy'!N$3:N$38,'[8]inland_taf_hatchgrp_tableraw&amp;yy'!$AC$3:$AC$38,'2015 Table 11 CWTs exp'!$A38)</f>
        <v>46</v>
      </c>
      <c r="P38" s="272">
        <f>SUMIFS('[8]inland_taf_hatchgrp_tableraw&amp;yy'!O$3:O$38,'[8]inland_taf_hatchgrp_tableraw&amp;yy'!$AC$3:$AC$38,'2015 Table 11 CWTs exp'!$A38)</f>
        <v>4</v>
      </c>
      <c r="Q38" s="271">
        <f>SUMIFS('[8]inland_taf_hatchgrp_tableraw&amp;yy'!Q$3:Q$38,'[8]inland_taf_hatchgrp_tableraw&amp;yy'!$AC$3:$AC$38,'2015 Table 11 CWTs exp'!$A38)</f>
        <v>0</v>
      </c>
      <c r="R38" s="273">
        <f>SUMIFS('[8]inland_taf_hatchgrp_tableraw&amp;yy'!R$3:R$38,'[8]inland_taf_hatchgrp_tableraw&amp;yy'!$AC$3:$AC$38,'2015 Table 11 CWTs exp'!$A38)</f>
        <v>15</v>
      </c>
      <c r="S38" s="272">
        <f>SUMIFS('[8]inland_taf_hatchgrp_tableraw&amp;yy'!S$3:S$38,'[8]inland_taf_hatchgrp_tableraw&amp;yy'!$AC$3:$AC$38,'2015 Table 11 CWTs exp'!$A38)</f>
        <v>0</v>
      </c>
      <c r="T38" s="272">
        <f>SUMIFS('[8]inland_taf_hatchgrp_tableraw&amp;yy'!T$3:T$38,'[8]inland_taf_hatchgrp_tableraw&amp;yy'!$AC$3:$AC$38,'2015 Table 11 CWTs exp'!$A38)</f>
        <v>774</v>
      </c>
      <c r="U38" s="272">
        <f>SUMIFS('[8]inland_taf_hatchgrp_tableraw&amp;yy'!U$3:U$38,'[8]inland_taf_hatchgrp_tableraw&amp;yy'!$AC$3:$AC$38,'2015 Table 11 CWTs exp'!$A38)</f>
        <v>50</v>
      </c>
      <c r="V38" s="271">
        <f>SUMIFS('[8]inland_taf_hatchgrp_tableraw&amp;yy'!V$3:V$38,'[8]inland_taf_hatchgrp_tableraw&amp;yy'!$AC$3:$AC$38,'2015 Table 11 CWTs exp'!$A38)</f>
        <v>4</v>
      </c>
      <c r="W38" s="273">
        <f>SUMIFS('[8]inland_taf_hatchgrp_tableraw&amp;yy'!W$3:W$38,'[8]inland_taf_hatchgrp_tableraw&amp;yy'!$AC$3:$AC$38,'2015 Table 11 CWTs exp'!$A38)</f>
        <v>107</v>
      </c>
      <c r="X38" s="272">
        <f>SUMIFS('[8]inland_taf_hatchgrp_tableraw&amp;yy'!X$3:X$38,'[8]inland_taf_hatchgrp_tableraw&amp;yy'!$AC$3:$AC$38,'2015 Table 11 CWTs exp'!$A38)</f>
        <v>0</v>
      </c>
      <c r="Y38" s="274">
        <f>SUMIFS('[8]inland_taf_hatchgrp_tableraw&amp;yy'!Y$3:Y$38,'[8]inland_taf_hatchgrp_tableraw&amp;yy'!$AC$3:$AC$38,'2015 Table 11 CWTs exp'!$A38)</f>
        <v>1014</v>
      </c>
      <c r="Z38" s="275">
        <f>SUMIFS('[8]inland_taf_hatchgrp_tableraw&amp;yy'!Z$3:Z$38,'[8]inland_taf_hatchgrp_tableraw&amp;yy'!$AC$3:$AC$38,'2015 Table 11 CWTs exp'!$A38)</f>
        <v>233</v>
      </c>
      <c r="AA38" s="272">
        <f>SUMIFS('[8]inland_taf_hatchgrp_tableraw&amp;yy'!AA$3:AA$38,'[8]inland_taf_hatchgrp_tableraw&amp;yy'!$AC$3:$AC$38,'2015 Table 11 CWTs exp'!$A38)</f>
        <v>1247</v>
      </c>
      <c r="AB38" s="44"/>
      <c r="AC38" s="566">
        <f>SUMIFS('[8]inland_taf_hatchgrp_tableraw&amp;yy'!AB$3:AB$38,'[8]inland_taf_hatchgrp_tableraw&amp;yy'!$AC$3:$AC$38,'2015 Table 11 CWTs exp'!$A38)</f>
        <v>0.81299999999999994</v>
      </c>
      <c r="AD38" s="604" t="str">
        <f t="shared" si="9"/>
        <v>MER543</v>
      </c>
      <c r="AE38" s="442"/>
      <c r="AF38" s="622">
        <f t="shared" si="10"/>
        <v>0.81315156375300723</v>
      </c>
      <c r="AG38" s="623">
        <f>Z38/AA38</f>
        <v>0.18684843624699279</v>
      </c>
      <c r="AH38" s="605">
        <f t="shared" si="13"/>
        <v>0.18700000000000006</v>
      </c>
      <c r="AI38" s="447">
        <f>Z38</f>
        <v>233</v>
      </c>
      <c r="AJ38" s="451"/>
      <c r="AK38" s="451"/>
      <c r="AL38" s="442"/>
      <c r="AM38" s="442"/>
      <c r="AN38" s="442"/>
      <c r="AO38" s="442"/>
      <c r="AP38" s="442"/>
      <c r="AQ38" s="442"/>
      <c r="AR38" s="442"/>
      <c r="AS38" s="442"/>
      <c r="AT38" s="442"/>
      <c r="AU38" s="442"/>
      <c r="AV38" s="442"/>
      <c r="AW38" s="442"/>
      <c r="AX38" s="442"/>
      <c r="AY38" s="442"/>
      <c r="AZ38" s="442"/>
      <c r="BA38" s="442"/>
      <c r="BB38" s="442"/>
      <c r="BC38" s="442"/>
      <c r="BD38" s="442"/>
      <c r="BE38" s="442"/>
      <c r="BF38" s="442"/>
    </row>
    <row r="39" spans="1:58" ht="14.5" customHeight="1" x14ac:dyDescent="0.25">
      <c r="A39" s="50" t="str">
        <f t="shared" si="8"/>
        <v>USAC547</v>
      </c>
      <c r="B39" s="13" t="s">
        <v>64</v>
      </c>
      <c r="C39" s="13">
        <v>54</v>
      </c>
      <c r="D39" s="13">
        <v>7</v>
      </c>
      <c r="E39" s="3" t="s">
        <v>65</v>
      </c>
      <c r="F39" s="37" t="s">
        <v>57</v>
      </c>
      <c r="G39" s="235">
        <f>SUMIFS('[8]inland_taf_hatchgrp_tableraw&amp;yy'!G$3:G$38,'[8]inland_taf_hatchgrp_tableraw&amp;yy'!$AC$3:$AC$38,'2015 Table 11 CWTs exp'!$A39)</f>
        <v>0</v>
      </c>
      <c r="H39" s="45">
        <f>SUMIFS('[8]inland_taf_hatchgrp_tableraw&amp;yy'!H$3:H$38,'[8]inland_taf_hatchgrp_tableraw&amp;yy'!$AC$3:$AC$38,'2015 Table 11 CWTs exp'!$A39)</f>
        <v>186</v>
      </c>
      <c r="I39" s="44">
        <f>SUMIFS('[8]inland_taf_hatchgrp_tableraw&amp;yy'!I$3:I$38,'[8]inland_taf_hatchgrp_tableraw&amp;yy'!$AC$3:$AC$38,'2015 Table 11 CWTs exp'!$A39)</f>
        <v>0</v>
      </c>
      <c r="J39" s="46">
        <f>SUMIFS('[8]inland_taf_hatchgrp_tableraw&amp;yy'!J$3:J$38,'[8]inland_taf_hatchgrp_tableraw&amp;yy'!$AC$3:$AC$38,'2015 Table 11 CWTs exp'!$A39)</f>
        <v>0</v>
      </c>
      <c r="K39" s="44">
        <f>SUMIFS('[8]inland_taf_hatchgrp_tableraw&amp;yy'!K$3:K$38,'[8]inland_taf_hatchgrp_tableraw&amp;yy'!$AC$3:$AC$38,'2015 Table 11 CWTs exp'!$A39)</f>
        <v>0</v>
      </c>
      <c r="L39" s="44">
        <f>SUMIFS('[8]inland_taf_hatchgrp_tableraw&amp;yy'!L$3:L$38,'[8]inland_taf_hatchgrp_tableraw&amp;yy'!$AC$3:$AC$38,'2015 Table 11 CWTs exp'!$A39)</f>
        <v>0</v>
      </c>
      <c r="M39" s="44">
        <f>SUMIFS('[8]inland_taf_hatchgrp_tableraw&amp;yy'!M$3:M$38,'[8]inland_taf_hatchgrp_tableraw&amp;yy'!$AC$3:$AC$38,'2015 Table 11 CWTs exp'!$A39)</f>
        <v>0</v>
      </c>
      <c r="N39" s="44">
        <f>SUMIFS('[8]inland_taf_hatchgrp_tableraw&amp;yy'!P$3:P$38,'[8]inland_taf_hatchgrp_tableraw&amp;yy'!$AC$3:$AC$38,'2015 Table 11 CWTs exp'!$A39)</f>
        <v>0</v>
      </c>
      <c r="O39" s="44">
        <f>SUMIFS('[8]inland_taf_hatchgrp_tableraw&amp;yy'!N$3:N$38,'[8]inland_taf_hatchgrp_tableraw&amp;yy'!$AC$3:$AC$38,'2015 Table 11 CWTs exp'!$A39)</f>
        <v>0</v>
      </c>
      <c r="P39" s="44">
        <f>SUMIFS('[8]inland_taf_hatchgrp_tableraw&amp;yy'!O$3:O$38,'[8]inland_taf_hatchgrp_tableraw&amp;yy'!$AC$3:$AC$38,'2015 Table 11 CWTs exp'!$A39)</f>
        <v>0</v>
      </c>
      <c r="Q39" s="45">
        <f>SUMIFS('[8]inland_taf_hatchgrp_tableraw&amp;yy'!Q$3:Q$38,'[8]inland_taf_hatchgrp_tableraw&amp;yy'!$AC$3:$AC$38,'2015 Table 11 CWTs exp'!$A39)</f>
        <v>0</v>
      </c>
      <c r="R39" s="46">
        <f>SUMIFS('[8]inland_taf_hatchgrp_tableraw&amp;yy'!R$3:R$38,'[8]inland_taf_hatchgrp_tableraw&amp;yy'!$AC$3:$AC$38,'2015 Table 11 CWTs exp'!$A39)</f>
        <v>0</v>
      </c>
      <c r="S39" s="44">
        <f>SUMIFS('[8]inland_taf_hatchgrp_tableraw&amp;yy'!S$3:S$38,'[8]inland_taf_hatchgrp_tableraw&amp;yy'!$AC$3:$AC$38,'2015 Table 11 CWTs exp'!$A39)</f>
        <v>0</v>
      </c>
      <c r="T39" s="44">
        <f>SUMIFS('[8]inland_taf_hatchgrp_tableraw&amp;yy'!T$3:T$38,'[8]inland_taf_hatchgrp_tableraw&amp;yy'!$AC$3:$AC$38,'2015 Table 11 CWTs exp'!$A39)</f>
        <v>0</v>
      </c>
      <c r="U39" s="44">
        <f>SUMIFS('[8]inland_taf_hatchgrp_tableraw&amp;yy'!U$3:U$38,'[8]inland_taf_hatchgrp_tableraw&amp;yy'!$AC$3:$AC$38,'2015 Table 11 CWTs exp'!$A39)</f>
        <v>0</v>
      </c>
      <c r="V39" s="45">
        <f>SUMIFS('[8]inland_taf_hatchgrp_tableraw&amp;yy'!V$3:V$38,'[8]inland_taf_hatchgrp_tableraw&amp;yy'!$AC$3:$AC$38,'2015 Table 11 CWTs exp'!$A39)</f>
        <v>0</v>
      </c>
      <c r="W39" s="46">
        <f>SUMIFS('[8]inland_taf_hatchgrp_tableraw&amp;yy'!W$3:W$38,'[8]inland_taf_hatchgrp_tableraw&amp;yy'!$AC$3:$AC$38,'2015 Table 11 CWTs exp'!$A39)</f>
        <v>65</v>
      </c>
      <c r="X39" s="44">
        <f>SUMIFS('[8]inland_taf_hatchgrp_tableraw&amp;yy'!X$3:X$38,'[8]inland_taf_hatchgrp_tableraw&amp;yy'!$AC$3:$AC$38,'2015 Table 11 CWTs exp'!$A39)</f>
        <v>0</v>
      </c>
      <c r="Y39" s="84">
        <f>SUMIFS('[8]inland_taf_hatchgrp_tableraw&amp;yy'!Y$3:Y$38,'[8]inland_taf_hatchgrp_tableraw&amp;yy'!$AC$3:$AC$38,'2015 Table 11 CWTs exp'!$A39)</f>
        <v>251</v>
      </c>
      <c r="Z39" s="85">
        <f>SUMIFS('[8]inland_taf_hatchgrp_tableraw&amp;yy'!Z$3:Z$38,'[8]inland_taf_hatchgrp_tableraw&amp;yy'!$AC$3:$AC$38,'2015 Table 11 CWTs exp'!$A39)</f>
        <v>2834</v>
      </c>
      <c r="AA39" s="44">
        <f>SUMIFS('[8]inland_taf_hatchgrp_tableraw&amp;yy'!AA$3:AA$38,'[8]inland_taf_hatchgrp_tableraw&amp;yy'!$AC$3:$AC$38,'2015 Table 11 CWTs exp'!$A39)</f>
        <v>3085</v>
      </c>
      <c r="AB39" s="44"/>
      <c r="AC39" s="566">
        <f>SUMIFS('[8]inland_taf_hatchgrp_tableraw&amp;yy'!AB$3:AB$38,'[8]inland_taf_hatchgrp_tableraw&amp;yy'!$AC$3:$AC$38,'2015 Table 11 CWTs exp'!$A39)</f>
        <v>8.1000000000000003E-2</v>
      </c>
      <c r="AD39" s="604" t="str">
        <f t="shared" si="9"/>
        <v>USAC547</v>
      </c>
      <c r="AE39" s="444">
        <f>SUM(Y19:Y39)</f>
        <v>71647</v>
      </c>
      <c r="AF39" s="622">
        <f t="shared" si="10"/>
        <v>8.1361426256077798E-2</v>
      </c>
      <c r="AG39" s="606">
        <f>SUM(AA19:AA39)</f>
        <v>105969</v>
      </c>
      <c r="AH39" s="592">
        <f>AVERAGE(AH21:AH38)</f>
        <v>0.44989598824933441</v>
      </c>
      <c r="AI39" s="447">
        <f>SUM(AI21:AI38)</f>
        <v>28451</v>
      </c>
      <c r="AJ39" s="448">
        <f>AI39/AA40</f>
        <v>0.28654735167037637</v>
      </c>
      <c r="AK39" s="451"/>
      <c r="AL39" s="442"/>
      <c r="AM39" s="442"/>
      <c r="AN39" s="442"/>
      <c r="AO39" s="442"/>
      <c r="AP39" s="442"/>
      <c r="AQ39" s="442"/>
      <c r="AR39" s="442"/>
      <c r="AS39" s="442"/>
      <c r="AT39" s="442"/>
      <c r="AU39" s="442"/>
      <c r="AV39" s="442"/>
      <c r="AW39" s="442"/>
      <c r="AX39" s="442"/>
      <c r="AY39" s="442"/>
      <c r="AZ39" s="442"/>
      <c r="BA39" s="442"/>
      <c r="BB39" s="442"/>
      <c r="BC39" s="442"/>
      <c r="BD39" s="442"/>
      <c r="BE39" s="442"/>
      <c r="BF39" s="442"/>
    </row>
    <row r="40" spans="1:58" ht="14.15" customHeight="1" x14ac:dyDescent="0.25">
      <c r="A40" s="50"/>
      <c r="B40" s="13"/>
      <c r="C40" s="13"/>
      <c r="D40" s="13"/>
      <c r="E40" s="723" t="s">
        <v>200</v>
      </c>
      <c r="F40" s="723"/>
      <c r="G40" s="284">
        <f t="shared" ref="G40:AA40" si="15">SUM(G21:G38)</f>
        <v>0</v>
      </c>
      <c r="H40" s="58">
        <f t="shared" si="15"/>
        <v>2</v>
      </c>
      <c r="I40" s="59">
        <f t="shared" si="15"/>
        <v>5326</v>
      </c>
      <c r="J40" s="60">
        <f t="shared" si="15"/>
        <v>3468</v>
      </c>
      <c r="K40" s="59">
        <f t="shared" si="15"/>
        <v>1603</v>
      </c>
      <c r="L40" s="59">
        <f t="shared" si="15"/>
        <v>2139</v>
      </c>
      <c r="M40" s="59">
        <f t="shared" si="15"/>
        <v>0</v>
      </c>
      <c r="N40" s="59">
        <f>SUM(N21:N38)</f>
        <v>1471</v>
      </c>
      <c r="O40" s="59">
        <f t="shared" si="15"/>
        <v>33932</v>
      </c>
      <c r="P40" s="59">
        <f t="shared" si="15"/>
        <v>1796</v>
      </c>
      <c r="Q40" s="58">
        <f t="shared" si="15"/>
        <v>3794</v>
      </c>
      <c r="R40" s="60">
        <f t="shared" si="15"/>
        <v>4204</v>
      </c>
      <c r="S40" s="59">
        <f t="shared" si="15"/>
        <v>56</v>
      </c>
      <c r="T40" s="59">
        <f t="shared" si="15"/>
        <v>11175</v>
      </c>
      <c r="U40" s="59">
        <f t="shared" si="15"/>
        <v>873</v>
      </c>
      <c r="V40" s="58">
        <f t="shared" si="15"/>
        <v>4</v>
      </c>
      <c r="W40" s="60">
        <f t="shared" si="15"/>
        <v>969</v>
      </c>
      <c r="X40" s="59">
        <f t="shared" si="15"/>
        <v>27</v>
      </c>
      <c r="Y40" s="188">
        <f t="shared" si="15"/>
        <v>70838</v>
      </c>
      <c r="Z40" s="189">
        <f t="shared" si="15"/>
        <v>28451</v>
      </c>
      <c r="AA40" s="59">
        <f t="shared" si="15"/>
        <v>99289</v>
      </c>
      <c r="AB40" s="64"/>
      <c r="AC40" s="445">
        <f>Y40/(Y40+Z40)</f>
        <v>0.71345264832962363</v>
      </c>
      <c r="AD40" s="445"/>
      <c r="AE40" s="607"/>
      <c r="AF40" s="608"/>
      <c r="AG40" s="608"/>
      <c r="AH40" s="606">
        <f>AA40-AA23</f>
        <v>95658</v>
      </c>
      <c r="AI40" s="447">
        <f>AI39-AI23</f>
        <v>27521</v>
      </c>
      <c r="AJ40" s="448">
        <f>AI40/AH40</f>
        <v>0.28770202178594578</v>
      </c>
      <c r="AK40" s="451" t="s">
        <v>102</v>
      </c>
      <c r="AL40" s="442"/>
      <c r="AM40" s="442"/>
      <c r="AN40" s="442"/>
      <c r="AO40" s="442"/>
      <c r="AP40" s="442"/>
      <c r="AQ40" s="442"/>
      <c r="AR40" s="442"/>
      <c r="AS40" s="442"/>
      <c r="AT40" s="442"/>
      <c r="AU40" s="442"/>
      <c r="AV40" s="442"/>
      <c r="AW40" s="442"/>
      <c r="AX40" s="442"/>
      <c r="AY40" s="442"/>
      <c r="AZ40" s="442"/>
      <c r="BA40" s="442"/>
      <c r="BB40" s="442"/>
      <c r="BC40" s="442"/>
      <c r="BD40" s="442"/>
      <c r="BE40" s="442"/>
      <c r="BF40" s="442"/>
    </row>
    <row r="41" spans="1:58" ht="6" customHeight="1" x14ac:dyDescent="0.3">
      <c r="A41" s="50"/>
      <c r="B41" s="13"/>
      <c r="C41" s="13"/>
      <c r="D41" s="13"/>
      <c r="E41" s="83"/>
      <c r="G41" s="235"/>
      <c r="H41" s="45"/>
      <c r="I41" s="44"/>
      <c r="J41" s="46"/>
      <c r="K41" s="44"/>
      <c r="L41" s="44"/>
      <c r="M41" s="44"/>
      <c r="N41" s="44"/>
      <c r="O41" s="44"/>
      <c r="P41" s="44"/>
      <c r="Q41" s="45"/>
      <c r="R41" s="46"/>
      <c r="S41" s="44"/>
      <c r="T41" s="44"/>
      <c r="U41" s="44"/>
      <c r="V41" s="45"/>
      <c r="W41" s="46"/>
      <c r="X41" s="44"/>
      <c r="Y41" s="84"/>
      <c r="Z41" s="85"/>
      <c r="AA41" s="44"/>
      <c r="AB41" s="64"/>
      <c r="AC41" s="82"/>
      <c r="AD41" s="82"/>
      <c r="AE41" s="65"/>
      <c r="AF41" s="66"/>
      <c r="AG41" s="66"/>
      <c r="AH41" s="54"/>
      <c r="AI41" s="51"/>
      <c r="AJ41" s="52"/>
      <c r="AK41" s="12"/>
    </row>
    <row r="42" spans="1:58" ht="14.9" customHeight="1" x14ac:dyDescent="0.25">
      <c r="A42" s="50"/>
      <c r="B42" s="13"/>
      <c r="C42" s="13"/>
      <c r="D42" s="13"/>
      <c r="E42" s="27" t="s">
        <v>103</v>
      </c>
      <c r="F42" s="37" t="s">
        <v>104</v>
      </c>
      <c r="G42" s="68">
        <f>G19</f>
        <v>558</v>
      </c>
      <c r="H42" s="69">
        <f>H9+H15+H14+H21+H23+H39+H16</f>
        <v>2642</v>
      </c>
      <c r="I42" s="68">
        <f>I9+I15+I14+I21+I23+I39</f>
        <v>14073</v>
      </c>
      <c r="J42" s="70">
        <f>J9+J15+J14+J21+J23+J39</f>
        <v>1047</v>
      </c>
      <c r="K42" s="68">
        <f t="shared" ref="K42:P42" si="16">K7+K8+K10+K28+K29+K30</f>
        <v>5702</v>
      </c>
      <c r="L42" s="68">
        <f t="shared" si="16"/>
        <v>4885</v>
      </c>
      <c r="M42" s="68">
        <f t="shared" si="16"/>
        <v>18</v>
      </c>
      <c r="N42" s="68">
        <f>N7+N8+N10+N28+N29+N30</f>
        <v>1469</v>
      </c>
      <c r="O42" s="68">
        <f t="shared" si="16"/>
        <v>24753</v>
      </c>
      <c r="P42" s="68">
        <f t="shared" si="16"/>
        <v>1456</v>
      </c>
      <c r="Q42" s="69">
        <f>Q11+Q32+Q31</f>
        <v>5546</v>
      </c>
      <c r="R42" s="70">
        <f>R11+R32+R31</f>
        <v>5767</v>
      </c>
      <c r="S42" s="68">
        <f>S12+S33</f>
        <v>157</v>
      </c>
      <c r="T42" s="68">
        <f>T12+T33</f>
        <v>8859</v>
      </c>
      <c r="U42" s="68">
        <f>U12+U33</f>
        <v>496</v>
      </c>
      <c r="V42" s="69">
        <f>V13+V38</f>
        <v>4</v>
      </c>
      <c r="W42" s="70">
        <f>W13+W38</f>
        <v>249</v>
      </c>
      <c r="X42" s="68"/>
      <c r="Y42" s="86">
        <f>SUM(G42:X42)</f>
        <v>77681</v>
      </c>
      <c r="Z42" s="87">
        <f>SUM(Z19:Z39,Z7:Z15)</f>
        <v>42611</v>
      </c>
      <c r="AA42" s="44">
        <f>Z42+Y42</f>
        <v>120292</v>
      </c>
      <c r="AB42" s="64"/>
      <c r="AC42" s="445"/>
      <c r="AD42" s="445"/>
      <c r="AE42" s="607"/>
      <c r="AF42" s="608"/>
      <c r="AG42" s="608"/>
      <c r="AH42" s="606"/>
      <c r="AI42" s="447"/>
      <c r="AJ42" s="448"/>
      <c r="AK42" s="451"/>
      <c r="AL42" s="442"/>
      <c r="AM42" s="442"/>
      <c r="AN42" s="442"/>
      <c r="AO42" s="442"/>
      <c r="AP42" s="442"/>
      <c r="AQ42" s="442"/>
      <c r="AR42" s="442"/>
      <c r="AS42" s="442"/>
    </row>
    <row r="43" spans="1:58" ht="14.9" customHeight="1" x14ac:dyDescent="0.25">
      <c r="A43" s="50"/>
      <c r="B43" s="13"/>
      <c r="C43" s="13"/>
      <c r="D43" s="13"/>
      <c r="E43" s="27" t="s">
        <v>105</v>
      </c>
      <c r="F43" s="37" t="s">
        <v>104</v>
      </c>
      <c r="G43" s="70">
        <f t="shared" ref="G43:Z43" si="17">G44-G42</f>
        <v>0</v>
      </c>
      <c r="H43" s="69">
        <f t="shared" si="17"/>
        <v>4</v>
      </c>
      <c r="I43" s="68">
        <f t="shared" si="17"/>
        <v>773</v>
      </c>
      <c r="J43" s="70">
        <f t="shared" si="17"/>
        <v>3891</v>
      </c>
      <c r="K43" s="69">
        <f t="shared" si="17"/>
        <v>4</v>
      </c>
      <c r="L43" s="68">
        <f t="shared" si="17"/>
        <v>506</v>
      </c>
      <c r="M43" s="68">
        <f t="shared" si="17"/>
        <v>0</v>
      </c>
      <c r="N43" s="68">
        <f>N44-N42</f>
        <v>966</v>
      </c>
      <c r="O43" s="68">
        <f t="shared" si="17"/>
        <v>23337</v>
      </c>
      <c r="P43" s="68">
        <f t="shared" si="17"/>
        <v>1301</v>
      </c>
      <c r="Q43" s="69">
        <f t="shared" si="17"/>
        <v>631</v>
      </c>
      <c r="R43" s="70">
        <f t="shared" si="17"/>
        <v>1872</v>
      </c>
      <c r="S43" s="68">
        <f t="shared" si="17"/>
        <v>16</v>
      </c>
      <c r="T43" s="68">
        <f t="shared" si="17"/>
        <v>11343</v>
      </c>
      <c r="U43" s="68">
        <f t="shared" si="17"/>
        <v>808</v>
      </c>
      <c r="V43" s="69">
        <f t="shared" si="17"/>
        <v>0</v>
      </c>
      <c r="W43" s="70">
        <f t="shared" si="17"/>
        <v>1894</v>
      </c>
      <c r="X43" s="68">
        <f t="shared" si="17"/>
        <v>32</v>
      </c>
      <c r="Y43" s="86">
        <f t="shared" si="17"/>
        <v>47373</v>
      </c>
      <c r="Z43" s="87">
        <f t="shared" si="17"/>
        <v>0</v>
      </c>
      <c r="AA43" s="44">
        <f>AA44-AA42</f>
        <v>47373</v>
      </c>
      <c r="AB43" s="630">
        <f>SUM(G43:W43)</f>
        <v>47346</v>
      </c>
      <c r="AC43" s="445"/>
      <c r="AD43" s="625">
        <v>82</v>
      </c>
      <c r="AE43" s="626" t="s">
        <v>107</v>
      </c>
      <c r="AF43" s="600" t="s">
        <v>108</v>
      </c>
      <c r="AG43" s="608"/>
      <c r="AH43" s="606"/>
      <c r="AI43" s="447"/>
      <c r="AJ43" s="448"/>
      <c r="AK43" s="451"/>
      <c r="AL43" s="442"/>
      <c r="AM43" s="442"/>
      <c r="AN43" s="442"/>
      <c r="AO43" s="442"/>
      <c r="AP43" s="442"/>
      <c r="AQ43" s="442"/>
      <c r="AR43" s="442"/>
      <c r="AS43" s="442"/>
    </row>
    <row r="44" spans="1:58" ht="14.9" customHeight="1" x14ac:dyDescent="0.3">
      <c r="A44" s="50"/>
      <c r="B44" s="13"/>
      <c r="C44" s="13"/>
      <c r="D44" s="13"/>
      <c r="E44" s="27"/>
      <c r="F44" s="88" t="s">
        <v>109</v>
      </c>
      <c r="G44" s="89">
        <f t="shared" ref="G44:Z44" si="18">SUM(G19:G39,G7:G15)</f>
        <v>558</v>
      </c>
      <c r="H44" s="90">
        <f>SUM(H19:H39,H7:H16)</f>
        <v>2646</v>
      </c>
      <c r="I44" s="89">
        <f t="shared" si="18"/>
        <v>14846</v>
      </c>
      <c r="J44" s="91">
        <f t="shared" si="18"/>
        <v>4938</v>
      </c>
      <c r="K44" s="89">
        <f t="shared" si="18"/>
        <v>5706</v>
      </c>
      <c r="L44" s="89">
        <f t="shared" si="18"/>
        <v>5391</v>
      </c>
      <c r="M44" s="89">
        <f t="shared" si="18"/>
        <v>18</v>
      </c>
      <c r="N44" s="89">
        <f>SUM(N19:N39,N7:N15)</f>
        <v>2435</v>
      </c>
      <c r="O44" s="89">
        <f t="shared" si="18"/>
        <v>48090</v>
      </c>
      <c r="P44" s="89">
        <f t="shared" si="18"/>
        <v>2757</v>
      </c>
      <c r="Q44" s="90">
        <f t="shared" si="18"/>
        <v>6177</v>
      </c>
      <c r="R44" s="91">
        <f t="shared" si="18"/>
        <v>7639</v>
      </c>
      <c r="S44" s="89">
        <f t="shared" si="18"/>
        <v>173</v>
      </c>
      <c r="T44" s="89">
        <f t="shared" si="18"/>
        <v>20202</v>
      </c>
      <c r="U44" s="89">
        <f t="shared" si="18"/>
        <v>1304</v>
      </c>
      <c r="V44" s="90">
        <f t="shared" si="18"/>
        <v>4</v>
      </c>
      <c r="W44" s="91">
        <f t="shared" si="18"/>
        <v>2143</v>
      </c>
      <c r="X44" s="89">
        <f t="shared" si="18"/>
        <v>32</v>
      </c>
      <c r="Y44" s="92">
        <f t="shared" si="18"/>
        <v>125054</v>
      </c>
      <c r="Z44" s="93">
        <f t="shared" si="18"/>
        <v>42611</v>
      </c>
      <c r="AA44" s="94">
        <f>Z44+Y44</f>
        <v>167665</v>
      </c>
      <c r="AB44" s="14"/>
      <c r="AC44" s="445">
        <f>Y44/AA44</f>
        <v>0.74585632063937013</v>
      </c>
      <c r="AD44" s="627">
        <v>413</v>
      </c>
      <c r="AE44" s="628" t="s">
        <v>110</v>
      </c>
      <c r="AF44" s="614">
        <f>SUM(G44:W44)</f>
        <v>125027</v>
      </c>
      <c r="AG44" s="608"/>
      <c r="AH44" s="606"/>
      <c r="AI44" s="447"/>
      <c r="AJ44" s="448"/>
      <c r="AK44" s="451"/>
      <c r="AL44" s="442"/>
      <c r="AM44" s="442"/>
      <c r="AN44" s="442"/>
      <c r="AO44" s="442"/>
      <c r="AP44" s="442"/>
      <c r="AQ44" s="442"/>
      <c r="AR44" s="442"/>
      <c r="AS44" s="442"/>
    </row>
    <row r="45" spans="1:58" ht="13.5" customHeight="1" x14ac:dyDescent="0.25">
      <c r="A45" s="50"/>
      <c r="B45" s="13"/>
      <c r="C45" s="13"/>
      <c r="D45" s="13"/>
      <c r="E45" s="27"/>
      <c r="F45" s="95" t="s">
        <v>168</v>
      </c>
      <c r="G45" s="96" t="s">
        <v>222</v>
      </c>
      <c r="H45" s="97">
        <f>H43/H44</f>
        <v>1.5117157974300832E-3</v>
      </c>
      <c r="I45" s="98">
        <f t="shared" ref="I45:L45" si="19">I43/I44</f>
        <v>5.2067897076653644E-2</v>
      </c>
      <c r="J45" s="99">
        <f t="shared" si="19"/>
        <v>0.78797083839611182</v>
      </c>
      <c r="K45" s="98">
        <f t="shared" si="19"/>
        <v>7.010164738871364E-4</v>
      </c>
      <c r="L45" s="98">
        <f t="shared" si="19"/>
        <v>9.3860137265813395E-2</v>
      </c>
      <c r="M45" s="98">
        <v>1.0000000000000001E-5</v>
      </c>
      <c r="N45" s="98">
        <f t="shared" ref="N45" si="20">N43/N44</f>
        <v>0.3967145790554415</v>
      </c>
      <c r="O45" s="98">
        <f>O43/O44</f>
        <v>0.48527760449157831</v>
      </c>
      <c r="P45" s="98">
        <f t="shared" ref="P45" si="21">P43/P44</f>
        <v>0.47188973521944144</v>
      </c>
      <c r="Q45" s="101">
        <f>Q43/Q44</f>
        <v>0.10215314877772382</v>
      </c>
      <c r="R45" s="99">
        <f t="shared" ref="R45:S45" si="22">R43/R44</f>
        <v>0.24505825369812803</v>
      </c>
      <c r="S45" s="98">
        <f t="shared" si="22"/>
        <v>9.2485549132947972E-2</v>
      </c>
      <c r="T45" s="98">
        <f>T43/T44</f>
        <v>0.56147906147906146</v>
      </c>
      <c r="U45" s="98">
        <f t="shared" ref="U45" si="23">U43/U44</f>
        <v>0.61963190184049077</v>
      </c>
      <c r="V45" s="101">
        <v>1.0000000000000001E-5</v>
      </c>
      <c r="W45" s="99">
        <f>W43/W44</f>
        <v>0.8838077461502567</v>
      </c>
      <c r="X45" s="98"/>
      <c r="Y45" s="101">
        <f t="shared" ref="Y45" si="24">Y43/Y44</f>
        <v>0.37882034960896893</v>
      </c>
      <c r="Z45" s="102"/>
      <c r="AA45" s="98">
        <f t="shared" ref="AA45" si="25">AA43/AA44</f>
        <v>0.28254555214266541</v>
      </c>
      <c r="AB45" s="64"/>
      <c r="AC45" s="445"/>
      <c r="AD45" s="445"/>
      <c r="AE45" s="607"/>
      <c r="AF45" s="608"/>
      <c r="AG45" s="608"/>
      <c r="AH45" s="606"/>
      <c r="AI45" s="447"/>
      <c r="AJ45" s="448"/>
      <c r="AK45" s="451"/>
      <c r="AL45" s="442"/>
      <c r="AM45" s="442"/>
      <c r="AN45" s="442"/>
      <c r="AO45" s="442"/>
      <c r="AP45" s="442"/>
      <c r="AQ45" s="442"/>
      <c r="AR45" s="442"/>
      <c r="AS45" s="442"/>
    </row>
    <row r="46" spans="1:58" ht="15" customHeight="1" x14ac:dyDescent="0.25">
      <c r="A46" s="5" t="s">
        <v>112</v>
      </c>
      <c r="B46" s="13"/>
      <c r="C46" s="13"/>
      <c r="D46" s="13"/>
      <c r="E46" s="103" t="s">
        <v>113</v>
      </c>
      <c r="F46" s="47"/>
      <c r="G46" s="28"/>
      <c r="H46" s="69"/>
      <c r="I46" s="68"/>
      <c r="J46" s="70"/>
      <c r="K46" s="68"/>
      <c r="L46" s="68"/>
      <c r="M46" s="68"/>
      <c r="N46" s="68"/>
      <c r="O46" s="68"/>
      <c r="P46" s="68"/>
      <c r="Q46" s="69"/>
      <c r="R46" s="70"/>
      <c r="S46" s="68"/>
      <c r="T46" s="68"/>
      <c r="U46" s="68"/>
      <c r="V46" s="69"/>
      <c r="W46" s="70"/>
      <c r="X46" s="68"/>
      <c r="Y46" s="86"/>
      <c r="Z46" s="87"/>
      <c r="AA46" s="68"/>
      <c r="AB46" s="68"/>
      <c r="AC46" s="566"/>
      <c r="AD46" s="566"/>
      <c r="AE46" s="442"/>
      <c r="AF46" s="597"/>
      <c r="AG46" s="597"/>
      <c r="AH46" s="597"/>
      <c r="AI46" s="599"/>
      <c r="AJ46" s="451"/>
      <c r="AK46" s="451"/>
      <c r="AL46" s="442"/>
      <c r="AM46" s="442"/>
      <c r="AN46" s="442"/>
      <c r="AO46" s="442"/>
      <c r="AP46" s="442"/>
      <c r="AQ46" s="442"/>
      <c r="AR46" s="442"/>
      <c r="AS46" s="442"/>
    </row>
    <row r="47" spans="1:58" ht="14.5" customHeight="1" x14ac:dyDescent="0.25">
      <c r="A47" s="50" t="str">
        <f t="shared" ref="A47:A52" si="26">CONCATENATE(B47,C47,D47)</f>
        <v>USAC463</v>
      </c>
      <c r="B47" s="13" t="s">
        <v>64</v>
      </c>
      <c r="C47" s="13">
        <v>46</v>
      </c>
      <c r="D47" s="13">
        <v>3</v>
      </c>
      <c r="E47" s="27" t="s">
        <v>114</v>
      </c>
      <c r="F47" s="28" t="str">
        <f>LOOKUP(D47,$AK$7:$AK$10,$AL$7:$AL$10)</f>
        <v>Fall</v>
      </c>
      <c r="G47" s="235">
        <f>SUMIFS('[8]inland_taf_hatchgrp_tableraw&amp;yy'!G$3:G$38,'[8]inland_taf_hatchgrp_tableraw&amp;yy'!$AC$3:$AC$38,'2015 Table 11 CWTs exp'!$A47)</f>
        <v>0</v>
      </c>
      <c r="H47" s="45">
        <f>SUMIFS('[8]inland_taf_hatchgrp_tableraw&amp;yy'!H$3:H$38,'[8]inland_taf_hatchgrp_tableraw&amp;yy'!$AC$3:$AC$38,'2015 Table 11 CWTs exp'!$A47)</f>
        <v>0</v>
      </c>
      <c r="I47" s="44">
        <f>SUMIFS('[8]inland_taf_hatchgrp_tableraw&amp;yy'!I$3:I$38,'[8]inland_taf_hatchgrp_tableraw&amp;yy'!$AC$3:$AC$38,'2015 Table 11 CWTs exp'!$A47)</f>
        <v>3256</v>
      </c>
      <c r="J47" s="46">
        <f>SUMIFS('[8]inland_taf_hatchgrp_tableraw&amp;yy'!J$3:J$38,'[8]inland_taf_hatchgrp_tableraw&amp;yy'!$AC$3:$AC$38,'2015 Table 11 CWTs exp'!$A47)</f>
        <v>50</v>
      </c>
      <c r="K47" s="44">
        <f>SUMIFS('[8]inland_taf_hatchgrp_tableraw&amp;yy'!K$3:K$38,'[8]inland_taf_hatchgrp_tableraw&amp;yy'!$AC$3:$AC$38,'2015 Table 11 CWTs exp'!$A47)</f>
        <v>0</v>
      </c>
      <c r="L47" s="44">
        <f>SUMIFS('[8]inland_taf_hatchgrp_tableraw&amp;yy'!L$3:L$38,'[8]inland_taf_hatchgrp_tableraw&amp;yy'!$AC$3:$AC$38,'2015 Table 11 CWTs exp'!$A47)</f>
        <v>89</v>
      </c>
      <c r="M47" s="44">
        <f>SUMIFS('[8]inland_taf_hatchgrp_tableraw&amp;yy'!M$3:M$38,'[8]inland_taf_hatchgrp_tableraw&amp;yy'!$AC$3:$AC$38,'2015 Table 11 CWTs exp'!$A47)</f>
        <v>0</v>
      </c>
      <c r="N47" s="44">
        <f>SUMIFS('[8]inland_taf_hatchgrp_tableraw&amp;yy'!P$3:P$38,'[8]inland_taf_hatchgrp_tableraw&amp;yy'!$AC$3:$AC$38,'2015 Table 11 CWTs exp'!$A47)</f>
        <v>152</v>
      </c>
      <c r="O47" s="44">
        <f>SUMIFS('[8]inland_taf_hatchgrp_tableraw&amp;yy'!N$3:N$38,'[8]inland_taf_hatchgrp_tableraw&amp;yy'!$AC$3:$AC$38,'2015 Table 11 CWTs exp'!$A47)</f>
        <v>2263</v>
      </c>
      <c r="P47" s="44">
        <f>SUMIFS('[8]inland_taf_hatchgrp_tableraw&amp;yy'!O$3:O$38,'[8]inland_taf_hatchgrp_tableraw&amp;yy'!$AC$3:$AC$38,'2015 Table 11 CWTs exp'!$A47)</f>
        <v>50</v>
      </c>
      <c r="Q47" s="45">
        <f>SUMIFS('[8]inland_taf_hatchgrp_tableraw&amp;yy'!Q$3:Q$38,'[8]inland_taf_hatchgrp_tableraw&amp;yy'!$AC$3:$AC$38,'2015 Table 11 CWTs exp'!$A47)</f>
        <v>0</v>
      </c>
      <c r="R47" s="46">
        <f>SUMIFS('[8]inland_taf_hatchgrp_tableraw&amp;yy'!R$3:R$38,'[8]inland_taf_hatchgrp_tableraw&amp;yy'!$AC$3:$AC$38,'2015 Table 11 CWTs exp'!$A47)</f>
        <v>0</v>
      </c>
      <c r="S47" s="44">
        <f>SUMIFS('[8]inland_taf_hatchgrp_tableraw&amp;yy'!S$3:S$38,'[8]inland_taf_hatchgrp_tableraw&amp;yy'!$AC$3:$AC$38,'2015 Table 11 CWTs exp'!$A47)</f>
        <v>0</v>
      </c>
      <c r="T47" s="44">
        <f>SUMIFS('[8]inland_taf_hatchgrp_tableraw&amp;yy'!T$3:T$38,'[8]inland_taf_hatchgrp_tableraw&amp;yy'!$AC$3:$AC$38,'2015 Table 11 CWTs exp'!$A47)</f>
        <v>0</v>
      </c>
      <c r="U47" s="44">
        <f>SUMIFS('[8]inland_taf_hatchgrp_tableraw&amp;yy'!U$3:U$38,'[8]inland_taf_hatchgrp_tableraw&amp;yy'!$AC$3:$AC$38,'2015 Table 11 CWTs exp'!$A47)</f>
        <v>0</v>
      </c>
      <c r="V47" s="45">
        <f>SUMIFS('[8]inland_taf_hatchgrp_tableraw&amp;yy'!V$3:V$38,'[8]inland_taf_hatchgrp_tableraw&amp;yy'!$AC$3:$AC$38,'2015 Table 11 CWTs exp'!$A47)</f>
        <v>0</v>
      </c>
      <c r="W47" s="46">
        <f>SUMIFS('[8]inland_taf_hatchgrp_tableraw&amp;yy'!W$3:W$38,'[8]inland_taf_hatchgrp_tableraw&amp;yy'!$AC$3:$AC$38,'2015 Table 11 CWTs exp'!$A47)</f>
        <v>0</v>
      </c>
      <c r="X47" s="44">
        <f>SUMIFS('[8]inland_taf_hatchgrp_tableraw&amp;yy'!X$3:X$38,'[8]inland_taf_hatchgrp_tableraw&amp;yy'!$AC$3:$AC$38,'2015 Table 11 CWTs exp'!$A47)</f>
        <v>0</v>
      </c>
      <c r="Y47" s="84">
        <f>SUMIFS('[8]inland_taf_hatchgrp_tableraw&amp;yy'!Y$3:Y$38,'[8]inland_taf_hatchgrp_tableraw&amp;yy'!$AC$3:$AC$38,'2015 Table 11 CWTs exp'!$A47)</f>
        <v>5860</v>
      </c>
      <c r="Z47" s="85">
        <f>SUMIFS('[8]inland_taf_hatchgrp_tableraw&amp;yy'!Z$3:Z$38,'[8]inland_taf_hatchgrp_tableraw&amp;yy'!$AC$3:$AC$38,'2015 Table 11 CWTs exp'!$A47)</f>
        <v>2228</v>
      </c>
      <c r="AA47" s="44">
        <f>SUMIFS('[8]inland_taf_hatchgrp_tableraw&amp;yy'!AA$3:AA$38,'[8]inland_taf_hatchgrp_tableraw&amp;yy'!$AC$3:$AC$38,'2015 Table 11 CWTs exp'!$A47)</f>
        <v>8088</v>
      </c>
      <c r="AB47" s="44"/>
      <c r="AC47" s="566">
        <f>SUMIFS('[8]inland_taf_hatchgrp_tableraw&amp;yy'!AB$3:AB$38,'[8]inland_taf_hatchgrp_tableraw&amp;yy'!$AC$3:$AC$38,'2015 Table 11 CWTs exp'!$A47)</f>
        <v>0.72499999999999998</v>
      </c>
      <c r="AD47" s="604" t="str">
        <f t="shared" ref="AD47:AD53" si="27">A47</f>
        <v>USAC463</v>
      </c>
      <c r="AE47" s="442"/>
      <c r="AF47" s="597"/>
      <c r="AG47" s="597"/>
      <c r="AH47" s="597"/>
      <c r="AI47" s="599"/>
      <c r="AJ47" s="451"/>
      <c r="AK47" s="451"/>
      <c r="AL47" s="442"/>
      <c r="AM47" s="442"/>
      <c r="AN47" s="442"/>
      <c r="AO47" s="442"/>
      <c r="AP47" s="442"/>
      <c r="AQ47" s="442"/>
      <c r="AR47" s="442"/>
      <c r="AS47" s="442"/>
    </row>
    <row r="48" spans="1:58" ht="14.5" customHeight="1" x14ac:dyDescent="0.25">
      <c r="A48" s="50" t="str">
        <f t="shared" si="26"/>
        <v>LSAC463</v>
      </c>
      <c r="B48" s="13" t="s">
        <v>115</v>
      </c>
      <c r="C48" s="13">
        <v>46</v>
      </c>
      <c r="D48" s="13">
        <v>3</v>
      </c>
      <c r="E48" s="27" t="s">
        <v>116</v>
      </c>
      <c r="F48" s="28" t="str">
        <f>LOOKUP(D48,$AK$7:$AK$10,$AL$7:$AL$10)</f>
        <v>Fall</v>
      </c>
      <c r="G48" s="235">
        <f>SUMIFS('[8]inland_taf_hatchgrp_tableraw&amp;yy'!G$3:G$38,'[8]inland_taf_hatchgrp_tableraw&amp;yy'!$AC$3:$AC$38,'2015 Table 11 CWTs exp'!$A48)</f>
        <v>0</v>
      </c>
      <c r="H48" s="45">
        <f>SUMIFS('[8]inland_taf_hatchgrp_tableraw&amp;yy'!H$3:H$38,'[8]inland_taf_hatchgrp_tableraw&amp;yy'!$AC$3:$AC$38,'2015 Table 11 CWTs exp'!$A48)</f>
        <v>169</v>
      </c>
      <c r="I48" s="44">
        <f>SUMIFS('[8]inland_taf_hatchgrp_tableraw&amp;yy'!I$3:I$38,'[8]inland_taf_hatchgrp_tableraw&amp;yy'!$AC$3:$AC$38,'2015 Table 11 CWTs exp'!$A48)</f>
        <v>0</v>
      </c>
      <c r="J48" s="46">
        <f>SUMIFS('[8]inland_taf_hatchgrp_tableraw&amp;yy'!J$3:J$38,'[8]inland_taf_hatchgrp_tableraw&amp;yy'!$AC$3:$AC$38,'2015 Table 11 CWTs exp'!$A48)</f>
        <v>545</v>
      </c>
      <c r="K48" s="44">
        <f>SUMIFS('[8]inland_taf_hatchgrp_tableraw&amp;yy'!K$3:K$38,'[8]inland_taf_hatchgrp_tableraw&amp;yy'!$AC$3:$AC$38,'2015 Table 11 CWTs exp'!$A48)</f>
        <v>0</v>
      </c>
      <c r="L48" s="44">
        <f>SUMIFS('[8]inland_taf_hatchgrp_tableraw&amp;yy'!L$3:L$38,'[8]inland_taf_hatchgrp_tableraw&amp;yy'!$AC$3:$AC$38,'2015 Table 11 CWTs exp'!$A48)</f>
        <v>0</v>
      </c>
      <c r="M48" s="44">
        <f>SUMIFS('[8]inland_taf_hatchgrp_tableraw&amp;yy'!M$3:M$38,'[8]inland_taf_hatchgrp_tableraw&amp;yy'!$AC$3:$AC$38,'2015 Table 11 CWTs exp'!$A48)</f>
        <v>0</v>
      </c>
      <c r="N48" s="44">
        <f>SUMIFS('[8]inland_taf_hatchgrp_tableraw&amp;yy'!P$3:P$38,'[8]inland_taf_hatchgrp_tableraw&amp;yy'!$AC$3:$AC$38,'2015 Table 11 CWTs exp'!$A48)</f>
        <v>82</v>
      </c>
      <c r="O48" s="44">
        <f>SUMIFS('[8]inland_taf_hatchgrp_tableraw&amp;yy'!N$3:N$38,'[8]inland_taf_hatchgrp_tableraw&amp;yy'!$AC$3:$AC$38,'2015 Table 11 CWTs exp'!$A48)</f>
        <v>1753</v>
      </c>
      <c r="P48" s="44">
        <f>SUMIFS('[8]inland_taf_hatchgrp_tableraw&amp;yy'!O$3:O$38,'[8]inland_taf_hatchgrp_tableraw&amp;yy'!$AC$3:$AC$38,'2015 Table 11 CWTs exp'!$A48)</f>
        <v>165</v>
      </c>
      <c r="Q48" s="45">
        <f>SUMIFS('[8]inland_taf_hatchgrp_tableraw&amp;yy'!Q$3:Q$38,'[8]inland_taf_hatchgrp_tableraw&amp;yy'!$AC$3:$AC$38,'2015 Table 11 CWTs exp'!$A48)</f>
        <v>0</v>
      </c>
      <c r="R48" s="46">
        <f>SUMIFS('[8]inland_taf_hatchgrp_tableraw&amp;yy'!R$3:R$38,'[8]inland_taf_hatchgrp_tableraw&amp;yy'!$AC$3:$AC$38,'2015 Table 11 CWTs exp'!$A48)</f>
        <v>1308</v>
      </c>
      <c r="S48" s="44">
        <f>SUMIFS('[8]inland_taf_hatchgrp_tableraw&amp;yy'!S$3:S$38,'[8]inland_taf_hatchgrp_tableraw&amp;yy'!$AC$3:$AC$38,'2015 Table 11 CWTs exp'!$A48)</f>
        <v>0</v>
      </c>
      <c r="T48" s="44">
        <f>SUMIFS('[8]inland_taf_hatchgrp_tableraw&amp;yy'!T$3:T$38,'[8]inland_taf_hatchgrp_tableraw&amp;yy'!$AC$3:$AC$38,'2015 Table 11 CWTs exp'!$A48)</f>
        <v>547</v>
      </c>
      <c r="U48" s="44">
        <f>SUMIFS('[8]inland_taf_hatchgrp_tableraw&amp;yy'!U$3:U$38,'[8]inland_taf_hatchgrp_tableraw&amp;yy'!$AC$3:$AC$38,'2015 Table 11 CWTs exp'!$A48)</f>
        <v>82</v>
      </c>
      <c r="V48" s="45">
        <f>SUMIFS('[8]inland_taf_hatchgrp_tableraw&amp;yy'!V$3:V$38,'[8]inland_taf_hatchgrp_tableraw&amp;yy'!$AC$3:$AC$38,'2015 Table 11 CWTs exp'!$A48)</f>
        <v>0</v>
      </c>
      <c r="W48" s="46">
        <f>SUMIFS('[8]inland_taf_hatchgrp_tableraw&amp;yy'!W$3:W$38,'[8]inland_taf_hatchgrp_tableraw&amp;yy'!$AC$3:$AC$38,'2015 Table 11 CWTs exp'!$A48)</f>
        <v>130</v>
      </c>
      <c r="X48" s="44">
        <f>SUMIFS('[8]inland_taf_hatchgrp_tableraw&amp;yy'!X$3:X$38,'[8]inland_taf_hatchgrp_tableraw&amp;yy'!$AC$3:$AC$38,'2015 Table 11 CWTs exp'!$A48)</f>
        <v>0</v>
      </c>
      <c r="Y48" s="84">
        <f>SUMIFS('[8]inland_taf_hatchgrp_tableraw&amp;yy'!Y$3:Y$38,'[8]inland_taf_hatchgrp_tableraw&amp;yy'!$AC$3:$AC$38,'2015 Table 11 CWTs exp'!$A48)</f>
        <v>4781</v>
      </c>
      <c r="Z48" s="85">
        <f>SUMIFS('[8]inland_taf_hatchgrp_tableraw&amp;yy'!Z$3:Z$38,'[8]inland_taf_hatchgrp_tableraw&amp;yy'!$AC$3:$AC$38,'2015 Table 11 CWTs exp'!$A48)</f>
        <v>1424</v>
      </c>
      <c r="AA48" s="44">
        <f>SUMIFS('[8]inland_taf_hatchgrp_tableraw&amp;yy'!AA$3:AA$38,'[8]inland_taf_hatchgrp_tableraw&amp;yy'!$AC$3:$AC$38,'2015 Table 11 CWTs exp'!$A48)</f>
        <v>6205</v>
      </c>
      <c r="AB48" s="44"/>
      <c r="AC48" s="566">
        <f>SUMIFS('[8]inland_taf_hatchgrp_tableraw&amp;yy'!AB$3:AB$38,'[8]inland_taf_hatchgrp_tableraw&amp;yy'!$AC$3:$AC$38,'2015 Table 11 CWTs exp'!$A48)</f>
        <v>0.77100000000000002</v>
      </c>
      <c r="AD48" s="604" t="str">
        <f t="shared" si="27"/>
        <v>LSAC463</v>
      </c>
      <c r="AE48" s="442"/>
      <c r="AF48" s="597"/>
      <c r="AG48" s="597"/>
      <c r="AH48" s="597"/>
      <c r="AI48" s="599"/>
      <c r="AJ48" s="451"/>
      <c r="AK48" s="451"/>
      <c r="AL48" s="442"/>
      <c r="AM48" s="442"/>
      <c r="AN48" s="442"/>
      <c r="AO48" s="442"/>
      <c r="AP48" s="442"/>
      <c r="AQ48" s="442"/>
      <c r="AR48" s="442"/>
      <c r="AS48" s="442"/>
    </row>
    <row r="49" spans="1:51" ht="14.5" customHeight="1" x14ac:dyDescent="0.25">
      <c r="A49" s="50" t="str">
        <f t="shared" si="26"/>
        <v>FEA463</v>
      </c>
      <c r="B49" s="13" t="s">
        <v>80</v>
      </c>
      <c r="C49" s="13">
        <v>46</v>
      </c>
      <c r="D49" s="13">
        <v>3</v>
      </c>
      <c r="E49" s="27" t="s">
        <v>117</v>
      </c>
      <c r="F49" s="28" t="str">
        <f>LOOKUP(D49,$AK$7:$AK$10,$AL$7:$AL$10)</f>
        <v>Fall</v>
      </c>
      <c r="G49" s="235">
        <f>SUMIFS('[8]inland_taf_hatchgrp_tableraw&amp;yy'!G$3:G$38,'[8]inland_taf_hatchgrp_tableraw&amp;yy'!$AC$3:$AC$38,'2015 Table 11 CWTs exp'!$A49)</f>
        <v>0</v>
      </c>
      <c r="H49" s="45">
        <f>SUMIFS('[8]inland_taf_hatchgrp_tableraw&amp;yy'!H$3:H$38,'[8]inland_taf_hatchgrp_tableraw&amp;yy'!$AC$3:$AC$38,'2015 Table 11 CWTs exp'!$A49)</f>
        <v>0</v>
      </c>
      <c r="I49" s="44">
        <f>SUMIFS('[8]inland_taf_hatchgrp_tableraw&amp;yy'!I$3:I$38,'[8]inland_taf_hatchgrp_tableraw&amp;yy'!$AC$3:$AC$38,'2015 Table 11 CWTs exp'!$A49)</f>
        <v>0</v>
      </c>
      <c r="J49" s="46">
        <f>SUMIFS('[8]inland_taf_hatchgrp_tableraw&amp;yy'!J$3:J$38,'[8]inland_taf_hatchgrp_tableraw&amp;yy'!$AC$3:$AC$38,'2015 Table 11 CWTs exp'!$A49)</f>
        <v>87</v>
      </c>
      <c r="K49" s="44">
        <f>SUMIFS('[8]inland_taf_hatchgrp_tableraw&amp;yy'!K$3:K$38,'[8]inland_taf_hatchgrp_tableraw&amp;yy'!$AC$3:$AC$38,'2015 Table 11 CWTs exp'!$A49)</f>
        <v>67</v>
      </c>
      <c r="L49" s="44">
        <f>SUMIFS('[8]inland_taf_hatchgrp_tableraw&amp;yy'!L$3:L$38,'[8]inland_taf_hatchgrp_tableraw&amp;yy'!$AC$3:$AC$38,'2015 Table 11 CWTs exp'!$A49)</f>
        <v>111</v>
      </c>
      <c r="M49" s="44">
        <f>SUMIFS('[8]inland_taf_hatchgrp_tableraw&amp;yy'!M$3:M$38,'[8]inland_taf_hatchgrp_tableraw&amp;yy'!$AC$3:$AC$38,'2015 Table 11 CWTs exp'!$A49)</f>
        <v>0</v>
      </c>
      <c r="N49" s="44">
        <f>SUMIFS('[8]inland_taf_hatchgrp_tableraw&amp;yy'!P$3:P$38,'[8]inland_taf_hatchgrp_tableraw&amp;yy'!$AC$3:$AC$38,'2015 Table 11 CWTs exp'!$A49)</f>
        <v>110</v>
      </c>
      <c r="O49" s="44">
        <f>SUMIFS('[8]inland_taf_hatchgrp_tableraw&amp;yy'!N$3:N$38,'[8]inland_taf_hatchgrp_tableraw&amp;yy'!$AC$3:$AC$38,'2015 Table 11 CWTs exp'!$A49)</f>
        <v>1405</v>
      </c>
      <c r="P49" s="44">
        <f>SUMIFS('[8]inland_taf_hatchgrp_tableraw&amp;yy'!O$3:O$38,'[8]inland_taf_hatchgrp_tableraw&amp;yy'!$AC$3:$AC$38,'2015 Table 11 CWTs exp'!$A49)</f>
        <v>22</v>
      </c>
      <c r="Q49" s="45">
        <f>SUMIFS('[8]inland_taf_hatchgrp_tableraw&amp;yy'!Q$3:Q$38,'[8]inland_taf_hatchgrp_tableraw&amp;yy'!$AC$3:$AC$38,'2015 Table 11 CWTs exp'!$A49)</f>
        <v>0</v>
      </c>
      <c r="R49" s="46">
        <f>SUMIFS('[8]inland_taf_hatchgrp_tableraw&amp;yy'!R$3:R$38,'[8]inland_taf_hatchgrp_tableraw&amp;yy'!$AC$3:$AC$38,'2015 Table 11 CWTs exp'!$A49)</f>
        <v>0</v>
      </c>
      <c r="S49" s="44">
        <f>SUMIFS('[8]inland_taf_hatchgrp_tableraw&amp;yy'!S$3:S$38,'[8]inland_taf_hatchgrp_tableraw&amp;yy'!$AC$3:$AC$38,'2015 Table 11 CWTs exp'!$A49)</f>
        <v>0</v>
      </c>
      <c r="T49" s="44">
        <f>SUMIFS('[8]inland_taf_hatchgrp_tableraw&amp;yy'!T$3:T$38,'[8]inland_taf_hatchgrp_tableraw&amp;yy'!$AC$3:$AC$38,'2015 Table 11 CWTs exp'!$A49)</f>
        <v>0</v>
      </c>
      <c r="U49" s="44">
        <f>SUMIFS('[8]inland_taf_hatchgrp_tableraw&amp;yy'!U$3:U$38,'[8]inland_taf_hatchgrp_tableraw&amp;yy'!$AC$3:$AC$38,'2015 Table 11 CWTs exp'!$A49)</f>
        <v>0</v>
      </c>
      <c r="V49" s="45">
        <f>SUMIFS('[8]inland_taf_hatchgrp_tableraw&amp;yy'!V$3:V$38,'[8]inland_taf_hatchgrp_tableraw&amp;yy'!$AC$3:$AC$38,'2015 Table 11 CWTs exp'!$A49)</f>
        <v>0</v>
      </c>
      <c r="W49" s="46">
        <f>SUMIFS('[8]inland_taf_hatchgrp_tableraw&amp;yy'!W$3:W$38,'[8]inland_taf_hatchgrp_tableraw&amp;yy'!$AC$3:$AC$38,'2015 Table 11 CWTs exp'!$A49)</f>
        <v>104</v>
      </c>
      <c r="X49" s="44">
        <f>SUMIFS('[8]inland_taf_hatchgrp_tableraw&amp;yy'!X$3:X$38,'[8]inland_taf_hatchgrp_tableraw&amp;yy'!$AC$3:$AC$38,'2015 Table 11 CWTs exp'!$A49)</f>
        <v>0</v>
      </c>
      <c r="Y49" s="84">
        <f>SUMIFS('[8]inland_taf_hatchgrp_tableraw&amp;yy'!Y$3:Y$38,'[8]inland_taf_hatchgrp_tableraw&amp;yy'!$AC$3:$AC$38,'2015 Table 11 CWTs exp'!$A49)</f>
        <v>1906</v>
      </c>
      <c r="Z49" s="85">
        <f>SUMIFS('[8]inland_taf_hatchgrp_tableraw&amp;yy'!Z$3:Z$38,'[8]inland_taf_hatchgrp_tableraw&amp;yy'!$AC$3:$AC$38,'2015 Table 11 CWTs exp'!$A49)</f>
        <v>0</v>
      </c>
      <c r="AA49" s="44">
        <f>SUMIFS('[8]inland_taf_hatchgrp_tableraw&amp;yy'!AA$3:AA$38,'[8]inland_taf_hatchgrp_tableraw&amp;yy'!$AC$3:$AC$38,'2015 Table 11 CWTs exp'!$A49)</f>
        <v>1906</v>
      </c>
      <c r="AB49" s="44"/>
      <c r="AC49" s="566">
        <f>SUMIFS('[8]inland_taf_hatchgrp_tableraw&amp;yy'!AB$3:AB$38,'[8]inland_taf_hatchgrp_tableraw&amp;yy'!$AC$3:$AC$38,'2015 Table 11 CWTs exp'!$A49)</f>
        <v>1</v>
      </c>
      <c r="AD49" s="604" t="str">
        <f t="shared" si="27"/>
        <v>FEA463</v>
      </c>
      <c r="AE49" s="442"/>
      <c r="AF49" s="597"/>
      <c r="AG49" s="597"/>
      <c r="AH49" s="597"/>
      <c r="AI49" s="599"/>
      <c r="AJ49" s="451"/>
      <c r="AK49" s="451"/>
      <c r="AL49" s="442"/>
      <c r="AM49" s="442"/>
      <c r="AN49" s="442"/>
      <c r="AO49" s="442"/>
      <c r="AP49" s="442"/>
      <c r="AQ49" s="442"/>
      <c r="AR49" s="442"/>
      <c r="AS49" s="442"/>
    </row>
    <row r="50" spans="1:51" ht="14.5" customHeight="1" x14ac:dyDescent="0.25">
      <c r="A50" s="50" t="str">
        <f t="shared" si="26"/>
        <v>AMN463</v>
      </c>
      <c r="B50" s="13" t="s">
        <v>118</v>
      </c>
      <c r="C50" s="13">
        <v>46</v>
      </c>
      <c r="D50" s="13">
        <v>3</v>
      </c>
      <c r="E50" s="27" t="s">
        <v>119</v>
      </c>
      <c r="F50" s="28" t="str">
        <f>LOOKUP(D50,$AK$7:$AK$10,$AL$7:$AL$10)</f>
        <v>Fall</v>
      </c>
      <c r="G50" s="235">
        <f>SUMIFS('[8]inland_taf_hatchgrp_tableraw&amp;yy'!G$3:G$38,'[8]inland_taf_hatchgrp_tableraw&amp;yy'!$AC$3:$AC$38,'2015 Table 11 CWTs exp'!$A50)</f>
        <v>0</v>
      </c>
      <c r="H50" s="45">
        <f>SUMIFS('[8]inland_taf_hatchgrp_tableraw&amp;yy'!H$3:H$38,'[8]inland_taf_hatchgrp_tableraw&amp;yy'!$AC$3:$AC$38,'2015 Table 11 CWTs exp'!$A50)</f>
        <v>0</v>
      </c>
      <c r="I50" s="44">
        <f>SUMIFS('[8]inland_taf_hatchgrp_tableraw&amp;yy'!I$3:I$38,'[8]inland_taf_hatchgrp_tableraw&amp;yy'!$AC$3:$AC$38,'2015 Table 11 CWTs exp'!$A50)</f>
        <v>0</v>
      </c>
      <c r="J50" s="46">
        <f>SUMIFS('[8]inland_taf_hatchgrp_tableraw&amp;yy'!J$3:J$38,'[8]inland_taf_hatchgrp_tableraw&amp;yy'!$AC$3:$AC$38,'2015 Table 11 CWTs exp'!$A50)</f>
        <v>168</v>
      </c>
      <c r="K50" s="44">
        <f>SUMIFS('[8]inland_taf_hatchgrp_tableraw&amp;yy'!K$3:K$38,'[8]inland_taf_hatchgrp_tableraw&amp;yy'!$AC$3:$AC$38,'2015 Table 11 CWTs exp'!$A50)</f>
        <v>85</v>
      </c>
      <c r="L50" s="44">
        <f>SUMIFS('[8]inland_taf_hatchgrp_tableraw&amp;yy'!L$3:L$38,'[8]inland_taf_hatchgrp_tableraw&amp;yy'!$AC$3:$AC$38,'2015 Table 11 CWTs exp'!$A50)</f>
        <v>234</v>
      </c>
      <c r="M50" s="44">
        <f>SUMIFS('[8]inland_taf_hatchgrp_tableraw&amp;yy'!M$3:M$38,'[8]inland_taf_hatchgrp_tableraw&amp;yy'!$AC$3:$AC$38,'2015 Table 11 CWTs exp'!$A50)</f>
        <v>0</v>
      </c>
      <c r="N50" s="44">
        <f>SUMIFS('[8]inland_taf_hatchgrp_tableraw&amp;yy'!P$3:P$38,'[8]inland_taf_hatchgrp_tableraw&amp;yy'!$AC$3:$AC$38,'2015 Table 11 CWTs exp'!$A50)</f>
        <v>63</v>
      </c>
      <c r="O50" s="44">
        <f>SUMIFS('[8]inland_taf_hatchgrp_tableraw&amp;yy'!N$3:N$38,'[8]inland_taf_hatchgrp_tableraw&amp;yy'!$AC$3:$AC$38,'2015 Table 11 CWTs exp'!$A50)</f>
        <v>337</v>
      </c>
      <c r="P50" s="44">
        <f>SUMIFS('[8]inland_taf_hatchgrp_tableraw&amp;yy'!O$3:O$38,'[8]inland_taf_hatchgrp_tableraw&amp;yy'!$AC$3:$AC$38,'2015 Table 11 CWTs exp'!$A50)</f>
        <v>21</v>
      </c>
      <c r="Q50" s="45">
        <f>SUMIFS('[8]inland_taf_hatchgrp_tableraw&amp;yy'!Q$3:Q$38,'[8]inland_taf_hatchgrp_tableraw&amp;yy'!$AC$3:$AC$38,'2015 Table 11 CWTs exp'!$A50)</f>
        <v>796</v>
      </c>
      <c r="R50" s="46">
        <f>SUMIFS('[8]inland_taf_hatchgrp_tableraw&amp;yy'!R$3:R$38,'[8]inland_taf_hatchgrp_tableraw&amp;yy'!$AC$3:$AC$38,'2015 Table 11 CWTs exp'!$A50)</f>
        <v>1672</v>
      </c>
      <c r="S50" s="44">
        <f>SUMIFS('[8]inland_taf_hatchgrp_tableraw&amp;yy'!S$3:S$38,'[8]inland_taf_hatchgrp_tableraw&amp;yy'!$AC$3:$AC$38,'2015 Table 11 CWTs exp'!$A50)</f>
        <v>0</v>
      </c>
      <c r="T50" s="44">
        <f>SUMIFS('[8]inland_taf_hatchgrp_tableraw&amp;yy'!T$3:T$38,'[8]inland_taf_hatchgrp_tableraw&amp;yy'!$AC$3:$AC$38,'2015 Table 11 CWTs exp'!$A50)</f>
        <v>1507</v>
      </c>
      <c r="U50" s="44">
        <f>SUMIFS('[8]inland_taf_hatchgrp_tableraw&amp;yy'!U$3:U$38,'[8]inland_taf_hatchgrp_tableraw&amp;yy'!$AC$3:$AC$38,'2015 Table 11 CWTs exp'!$A50)</f>
        <v>0</v>
      </c>
      <c r="V50" s="45">
        <f>SUMIFS('[8]inland_taf_hatchgrp_tableraw&amp;yy'!V$3:V$38,'[8]inland_taf_hatchgrp_tableraw&amp;yy'!$AC$3:$AC$38,'2015 Table 11 CWTs exp'!$A50)</f>
        <v>0</v>
      </c>
      <c r="W50" s="46">
        <f>SUMIFS('[8]inland_taf_hatchgrp_tableraw&amp;yy'!W$3:W$38,'[8]inland_taf_hatchgrp_tableraw&amp;yy'!$AC$3:$AC$38,'2015 Table 11 CWTs exp'!$A50)</f>
        <v>92</v>
      </c>
      <c r="X50" s="44">
        <f>SUMIFS('[8]inland_taf_hatchgrp_tableraw&amp;yy'!X$3:X$38,'[8]inland_taf_hatchgrp_tableraw&amp;yy'!$AC$3:$AC$38,'2015 Table 11 CWTs exp'!$A50)</f>
        <v>0</v>
      </c>
      <c r="Y50" s="84">
        <f>SUMIFS('[8]inland_taf_hatchgrp_tableraw&amp;yy'!Y$3:Y$38,'[8]inland_taf_hatchgrp_tableraw&amp;yy'!$AC$3:$AC$38,'2015 Table 11 CWTs exp'!$A50)</f>
        <v>4974</v>
      </c>
      <c r="Z50" s="85">
        <f>SUMIFS('[8]inland_taf_hatchgrp_tableraw&amp;yy'!Z$3:Z$38,'[8]inland_taf_hatchgrp_tableraw&amp;yy'!$AC$3:$AC$38,'2015 Table 11 CWTs exp'!$A50)</f>
        <v>1656</v>
      </c>
      <c r="AA50" s="44">
        <f>SUMIFS('[8]inland_taf_hatchgrp_tableraw&amp;yy'!AA$3:AA$38,'[8]inland_taf_hatchgrp_tableraw&amp;yy'!$AC$3:$AC$38,'2015 Table 11 CWTs exp'!$A50)</f>
        <v>6630</v>
      </c>
      <c r="AB50" s="44"/>
      <c r="AC50" s="566">
        <f>SUMIFS('[8]inland_taf_hatchgrp_tableraw&amp;yy'!AB$3:AB$38,'[8]inland_taf_hatchgrp_tableraw&amp;yy'!$AC$3:$AC$38,'2015 Table 11 CWTs exp'!$A50)</f>
        <v>0.75</v>
      </c>
      <c r="AD50" s="604" t="str">
        <f t="shared" si="27"/>
        <v>AMN463</v>
      </c>
      <c r="AE50" s="442"/>
      <c r="AF50" s="597"/>
      <c r="AG50" s="597"/>
      <c r="AH50" s="442"/>
      <c r="AI50" s="451"/>
      <c r="AJ50" s="451"/>
      <c r="AK50" s="451"/>
      <c r="AL50" s="442"/>
      <c r="AM50" s="442"/>
      <c r="AN50" s="442"/>
      <c r="AO50" s="442"/>
      <c r="AP50" s="442"/>
      <c r="AQ50" s="442"/>
      <c r="AR50" s="442"/>
      <c r="AS50" s="442"/>
    </row>
    <row r="51" spans="1:51" ht="14.5" customHeight="1" x14ac:dyDescent="0.25">
      <c r="A51" s="50" t="str">
        <f t="shared" si="26"/>
        <v>MOKE463</v>
      </c>
      <c r="B51" s="13" t="s">
        <v>90</v>
      </c>
      <c r="C51" s="13">
        <v>46</v>
      </c>
      <c r="D51" s="13">
        <v>3</v>
      </c>
      <c r="E51" s="27" t="s">
        <v>91</v>
      </c>
      <c r="F51" s="28" t="str">
        <f>LOOKUP(D51,$AK$7:$AK$10,$AL$7:$AL$10)</f>
        <v>Fall</v>
      </c>
      <c r="G51" s="235">
        <f>SUMIFS('[8]inland_taf_hatchgrp_tableraw&amp;yy'!G$3:G$38,'[8]inland_taf_hatchgrp_tableraw&amp;yy'!$AC$3:$AC$38,'2015 Table 11 CWTs exp'!$A51)</f>
        <v>0</v>
      </c>
      <c r="H51" s="45">
        <f>SUMIFS('[8]inland_taf_hatchgrp_tableraw&amp;yy'!H$3:H$38,'[8]inland_taf_hatchgrp_tableraw&amp;yy'!$AC$3:$AC$38,'2015 Table 11 CWTs exp'!$A51)</f>
        <v>14</v>
      </c>
      <c r="I51" s="44">
        <f>SUMIFS('[8]inland_taf_hatchgrp_tableraw&amp;yy'!I$3:I$38,'[8]inland_taf_hatchgrp_tableraw&amp;yy'!$AC$3:$AC$38,'2015 Table 11 CWTs exp'!$A51)</f>
        <v>0</v>
      </c>
      <c r="J51" s="46">
        <f>SUMIFS('[8]inland_taf_hatchgrp_tableraw&amp;yy'!J$3:J$38,'[8]inland_taf_hatchgrp_tableraw&amp;yy'!$AC$3:$AC$38,'2015 Table 11 CWTs exp'!$A51)</f>
        <v>0</v>
      </c>
      <c r="K51" s="44">
        <f>SUMIFS('[8]inland_taf_hatchgrp_tableraw&amp;yy'!K$3:K$38,'[8]inland_taf_hatchgrp_tableraw&amp;yy'!$AC$3:$AC$38,'2015 Table 11 CWTs exp'!$A51)</f>
        <v>0</v>
      </c>
      <c r="L51" s="44">
        <f>SUMIFS('[8]inland_taf_hatchgrp_tableraw&amp;yy'!L$3:L$38,'[8]inland_taf_hatchgrp_tableraw&amp;yy'!$AC$3:$AC$38,'2015 Table 11 CWTs exp'!$A51)</f>
        <v>0</v>
      </c>
      <c r="M51" s="44">
        <f>SUMIFS('[8]inland_taf_hatchgrp_tableraw&amp;yy'!M$3:M$38,'[8]inland_taf_hatchgrp_tableraw&amp;yy'!$AC$3:$AC$38,'2015 Table 11 CWTs exp'!$A51)</f>
        <v>0</v>
      </c>
      <c r="N51" s="44">
        <f>SUMIFS('[8]inland_taf_hatchgrp_tableraw&amp;yy'!P$3:P$38,'[8]inland_taf_hatchgrp_tableraw&amp;yy'!$AC$3:$AC$38,'2015 Table 11 CWTs exp'!$A51)</f>
        <v>0</v>
      </c>
      <c r="O51" s="44">
        <f>SUMIFS('[8]inland_taf_hatchgrp_tableraw&amp;yy'!N$3:N$38,'[8]inland_taf_hatchgrp_tableraw&amp;yy'!$AC$3:$AC$38,'2015 Table 11 CWTs exp'!$A51)</f>
        <v>102</v>
      </c>
      <c r="P51" s="44">
        <f>SUMIFS('[8]inland_taf_hatchgrp_tableraw&amp;yy'!O$3:O$38,'[8]inland_taf_hatchgrp_tableraw&amp;yy'!$AC$3:$AC$38,'2015 Table 11 CWTs exp'!$A51)</f>
        <v>0</v>
      </c>
      <c r="Q51" s="45">
        <f>SUMIFS('[8]inland_taf_hatchgrp_tableraw&amp;yy'!Q$3:Q$38,'[8]inland_taf_hatchgrp_tableraw&amp;yy'!$AC$3:$AC$38,'2015 Table 11 CWTs exp'!$A51)</f>
        <v>0</v>
      </c>
      <c r="R51" s="46">
        <f>SUMIFS('[8]inland_taf_hatchgrp_tableraw&amp;yy'!R$3:R$38,'[8]inland_taf_hatchgrp_tableraw&amp;yy'!$AC$3:$AC$38,'2015 Table 11 CWTs exp'!$A51)</f>
        <v>152</v>
      </c>
      <c r="S51" s="44">
        <f>SUMIFS('[8]inland_taf_hatchgrp_tableraw&amp;yy'!S$3:S$38,'[8]inland_taf_hatchgrp_tableraw&amp;yy'!$AC$3:$AC$38,'2015 Table 11 CWTs exp'!$A51)</f>
        <v>0</v>
      </c>
      <c r="T51" s="44">
        <f>SUMIFS('[8]inland_taf_hatchgrp_tableraw&amp;yy'!T$3:T$38,'[8]inland_taf_hatchgrp_tableraw&amp;yy'!$AC$3:$AC$38,'2015 Table 11 CWTs exp'!$A51)</f>
        <v>917</v>
      </c>
      <c r="U51" s="44">
        <f>SUMIFS('[8]inland_taf_hatchgrp_tableraw&amp;yy'!U$3:U$38,'[8]inland_taf_hatchgrp_tableraw&amp;yy'!$AC$3:$AC$38,'2015 Table 11 CWTs exp'!$A51)</f>
        <v>13</v>
      </c>
      <c r="V51" s="45">
        <f>SUMIFS('[8]inland_taf_hatchgrp_tableraw&amp;yy'!V$3:V$38,'[8]inland_taf_hatchgrp_tableraw&amp;yy'!$AC$3:$AC$38,'2015 Table 11 CWTs exp'!$A51)</f>
        <v>0</v>
      </c>
      <c r="W51" s="46">
        <f>SUMIFS('[8]inland_taf_hatchgrp_tableraw&amp;yy'!W$3:W$38,'[8]inland_taf_hatchgrp_tableraw&amp;yy'!$AC$3:$AC$38,'2015 Table 11 CWTs exp'!$A51)</f>
        <v>56</v>
      </c>
      <c r="X51" s="44">
        <f>SUMIFS('[8]inland_taf_hatchgrp_tableraw&amp;yy'!X$3:X$38,'[8]inland_taf_hatchgrp_tableraw&amp;yy'!$AC$3:$AC$38,'2015 Table 11 CWTs exp'!$A51)</f>
        <v>0</v>
      </c>
      <c r="Y51" s="84">
        <f>SUMIFS('[8]inland_taf_hatchgrp_tableraw&amp;yy'!Y$3:Y$38,'[8]inland_taf_hatchgrp_tableraw&amp;yy'!$AC$3:$AC$38,'2015 Table 11 CWTs exp'!$A51)</f>
        <v>1253</v>
      </c>
      <c r="Z51" s="85">
        <f>SUMIFS('[8]inland_taf_hatchgrp_tableraw&amp;yy'!Z$3:Z$38,'[8]inland_taf_hatchgrp_tableraw&amp;yy'!$AC$3:$AC$38,'2015 Table 11 CWTs exp'!$A51)</f>
        <v>28</v>
      </c>
      <c r="AA51" s="44">
        <f>SUMIFS('[8]inland_taf_hatchgrp_tableraw&amp;yy'!AA$3:AA$38,'[8]inland_taf_hatchgrp_tableraw&amp;yy'!$AC$3:$AC$38,'2015 Table 11 CWTs exp'!$A51)</f>
        <v>1281</v>
      </c>
      <c r="AB51" s="44"/>
      <c r="AC51" s="566">
        <f>SUMIFS('[8]inland_taf_hatchgrp_tableraw&amp;yy'!AB$3:AB$38,'[8]inland_taf_hatchgrp_tableraw&amp;yy'!$AC$3:$AC$38,'2015 Table 11 CWTs exp'!$A51)</f>
        <v>0.97799999999999998</v>
      </c>
      <c r="AD51" s="604" t="str">
        <f t="shared" si="27"/>
        <v>MOKE463</v>
      </c>
      <c r="AE51" s="442"/>
      <c r="AF51" s="597"/>
      <c r="AG51" s="597"/>
      <c r="AH51" s="442"/>
      <c r="AI51" s="451"/>
      <c r="AJ51" s="451"/>
      <c r="AK51" s="451"/>
      <c r="AL51" s="442"/>
      <c r="AM51" s="442"/>
      <c r="AN51" s="442"/>
      <c r="AO51" s="442"/>
      <c r="AP51" s="442"/>
      <c r="AQ51" s="442"/>
      <c r="AR51" s="442"/>
      <c r="AS51" s="442"/>
    </row>
    <row r="52" spans="1:51" ht="14.5" customHeight="1" x14ac:dyDescent="0.25">
      <c r="A52" s="50" t="str">
        <f t="shared" si="26"/>
        <v>USAC467</v>
      </c>
      <c r="B52" s="13" t="s">
        <v>64</v>
      </c>
      <c r="C52" s="13">
        <v>46</v>
      </c>
      <c r="D52" s="13">
        <v>7</v>
      </c>
      <c r="E52" s="27" t="s">
        <v>114</v>
      </c>
      <c r="F52" s="37" t="s">
        <v>57</v>
      </c>
      <c r="G52" s="235">
        <f>SUMIFS('[8]inland_taf_hatchgrp_tableraw&amp;yy'!G$3:G$38,'[8]inland_taf_hatchgrp_tableraw&amp;yy'!$AC$3:$AC$38,'2015 Table 11 CWTs exp'!$A52)</f>
        <v>0</v>
      </c>
      <c r="H52" s="45">
        <f>SUMIFS('[8]inland_taf_hatchgrp_tableraw&amp;yy'!H$3:H$38,'[8]inland_taf_hatchgrp_tableraw&amp;yy'!$AC$3:$AC$38,'2015 Table 11 CWTs exp'!$A52)</f>
        <v>93</v>
      </c>
      <c r="I52" s="44">
        <f>SUMIFS('[8]inland_taf_hatchgrp_tableraw&amp;yy'!I$3:I$38,'[8]inland_taf_hatchgrp_tableraw&amp;yy'!$AC$3:$AC$38,'2015 Table 11 CWTs exp'!$A52)</f>
        <v>0</v>
      </c>
      <c r="J52" s="46">
        <f>SUMIFS('[8]inland_taf_hatchgrp_tableraw&amp;yy'!J$3:J$38,'[8]inland_taf_hatchgrp_tableraw&amp;yy'!$AC$3:$AC$38,'2015 Table 11 CWTs exp'!$A52)</f>
        <v>0</v>
      </c>
      <c r="K52" s="44">
        <f>SUMIFS('[8]inland_taf_hatchgrp_tableraw&amp;yy'!K$3:K$38,'[8]inland_taf_hatchgrp_tableraw&amp;yy'!$AC$3:$AC$38,'2015 Table 11 CWTs exp'!$A52)</f>
        <v>0</v>
      </c>
      <c r="L52" s="44">
        <f>SUMIFS('[8]inland_taf_hatchgrp_tableraw&amp;yy'!L$3:L$38,'[8]inland_taf_hatchgrp_tableraw&amp;yy'!$AC$3:$AC$38,'2015 Table 11 CWTs exp'!$A52)</f>
        <v>0</v>
      </c>
      <c r="M52" s="44">
        <f>SUMIFS('[8]inland_taf_hatchgrp_tableraw&amp;yy'!M$3:M$38,'[8]inland_taf_hatchgrp_tableraw&amp;yy'!$AC$3:$AC$38,'2015 Table 11 CWTs exp'!$A52)</f>
        <v>0</v>
      </c>
      <c r="N52" s="44">
        <f>SUMIFS('[8]inland_taf_hatchgrp_tableraw&amp;yy'!P$3:P$38,'[8]inland_taf_hatchgrp_tableraw&amp;yy'!$AC$3:$AC$38,'2015 Table 11 CWTs exp'!$A52)</f>
        <v>0</v>
      </c>
      <c r="O52" s="44">
        <f>SUMIFS('[8]inland_taf_hatchgrp_tableraw&amp;yy'!N$3:N$38,'[8]inland_taf_hatchgrp_tableraw&amp;yy'!$AC$3:$AC$38,'2015 Table 11 CWTs exp'!$A52)</f>
        <v>36</v>
      </c>
      <c r="P52" s="44">
        <f>SUMIFS('[8]inland_taf_hatchgrp_tableraw&amp;yy'!O$3:O$38,'[8]inland_taf_hatchgrp_tableraw&amp;yy'!$AC$3:$AC$38,'2015 Table 11 CWTs exp'!$A52)</f>
        <v>0</v>
      </c>
      <c r="Q52" s="45">
        <f>SUMIFS('[8]inland_taf_hatchgrp_tableraw&amp;yy'!Q$3:Q$38,'[8]inland_taf_hatchgrp_tableraw&amp;yy'!$AC$3:$AC$38,'2015 Table 11 CWTs exp'!$A52)</f>
        <v>0</v>
      </c>
      <c r="R52" s="46">
        <f>SUMIFS('[8]inland_taf_hatchgrp_tableraw&amp;yy'!R$3:R$38,'[8]inland_taf_hatchgrp_tableraw&amp;yy'!$AC$3:$AC$38,'2015 Table 11 CWTs exp'!$A52)</f>
        <v>0</v>
      </c>
      <c r="S52" s="44">
        <f>SUMIFS('[8]inland_taf_hatchgrp_tableraw&amp;yy'!S$3:S$38,'[8]inland_taf_hatchgrp_tableraw&amp;yy'!$AC$3:$AC$38,'2015 Table 11 CWTs exp'!$A52)</f>
        <v>0</v>
      </c>
      <c r="T52" s="44">
        <f>SUMIFS('[8]inland_taf_hatchgrp_tableraw&amp;yy'!T$3:T$38,'[8]inland_taf_hatchgrp_tableraw&amp;yy'!$AC$3:$AC$38,'2015 Table 11 CWTs exp'!$A52)</f>
        <v>0</v>
      </c>
      <c r="U52" s="44">
        <f>SUMIFS('[8]inland_taf_hatchgrp_tableraw&amp;yy'!U$3:U$38,'[8]inland_taf_hatchgrp_tableraw&amp;yy'!$AC$3:$AC$38,'2015 Table 11 CWTs exp'!$A52)</f>
        <v>0</v>
      </c>
      <c r="V52" s="45">
        <f>SUMIFS('[8]inland_taf_hatchgrp_tableraw&amp;yy'!V$3:V$38,'[8]inland_taf_hatchgrp_tableraw&amp;yy'!$AC$3:$AC$38,'2015 Table 11 CWTs exp'!$A52)</f>
        <v>0</v>
      </c>
      <c r="W52" s="46">
        <f>SUMIFS('[8]inland_taf_hatchgrp_tableraw&amp;yy'!W$3:W$38,'[8]inland_taf_hatchgrp_tableraw&amp;yy'!$AC$3:$AC$38,'2015 Table 11 CWTs exp'!$A52)</f>
        <v>0</v>
      </c>
      <c r="X52" s="44">
        <f>SUMIFS('[8]inland_taf_hatchgrp_tableraw&amp;yy'!X$3:X$38,'[8]inland_taf_hatchgrp_tableraw&amp;yy'!$AC$3:$AC$38,'2015 Table 11 CWTs exp'!$A52)</f>
        <v>0</v>
      </c>
      <c r="Y52" s="84">
        <f>SUMIFS('[8]inland_taf_hatchgrp_tableraw&amp;yy'!Y$3:Y$38,'[8]inland_taf_hatchgrp_tableraw&amp;yy'!$AC$3:$AC$38,'2015 Table 11 CWTs exp'!$A52)</f>
        <v>129</v>
      </c>
      <c r="Z52" s="85">
        <f>SUMIFS('[8]inland_taf_hatchgrp_tableraw&amp;yy'!Z$3:Z$38,'[8]inland_taf_hatchgrp_tableraw&amp;yy'!$AC$3:$AC$38,'2015 Table 11 CWTs exp'!$A52)</f>
        <v>123</v>
      </c>
      <c r="AA52" s="44">
        <f>SUMIFS('[8]inland_taf_hatchgrp_tableraw&amp;yy'!AA$3:AA$38,'[8]inland_taf_hatchgrp_tableraw&amp;yy'!$AC$3:$AC$38,'2015 Table 11 CWTs exp'!$A52)</f>
        <v>252</v>
      </c>
      <c r="AB52" s="44"/>
      <c r="AC52" s="566">
        <f>SUMIFS('[8]inland_taf_hatchgrp_tableraw&amp;yy'!AB$3:AB$38,'[8]inland_taf_hatchgrp_tableraw&amp;yy'!$AC$3:$AC$38,'2015 Table 11 CWTs exp'!$A52)</f>
        <v>0.51200000000000001</v>
      </c>
      <c r="AD52" s="604" t="str">
        <f t="shared" si="27"/>
        <v>USAC467</v>
      </c>
      <c r="AE52" s="444">
        <f>SUM(Y47:Y52)</f>
        <v>18903</v>
      </c>
      <c r="AF52" s="606">
        <f>SUM(Z47:Z52)</f>
        <v>5459</v>
      </c>
      <c r="AG52" s="606">
        <f>SUM(AA47:AA52)</f>
        <v>24362</v>
      </c>
      <c r="AH52" s="442"/>
      <c r="AI52" s="451"/>
      <c r="AJ52" s="451"/>
      <c r="AK52" s="451"/>
      <c r="AL52" s="442"/>
      <c r="AM52" s="442"/>
      <c r="AN52" s="442"/>
      <c r="AO52" s="442"/>
      <c r="AP52" s="442"/>
      <c r="AQ52" s="442"/>
      <c r="AR52" s="442"/>
      <c r="AS52" s="442"/>
    </row>
    <row r="53" spans="1:51" ht="14.15" customHeight="1" x14ac:dyDescent="0.25">
      <c r="A53" s="50"/>
      <c r="B53" s="13"/>
      <c r="C53" s="13"/>
      <c r="D53" s="13"/>
      <c r="E53" s="3"/>
      <c r="F53" s="192" t="s">
        <v>120</v>
      </c>
      <c r="G53" s="285"/>
      <c r="H53" s="237">
        <f t="shared" ref="H53:AA53" si="28">SUM(H47:H52)</f>
        <v>276</v>
      </c>
      <c r="I53" s="64">
        <f t="shared" si="28"/>
        <v>3256</v>
      </c>
      <c r="J53" s="238">
        <f t="shared" si="28"/>
        <v>850</v>
      </c>
      <c r="K53" s="64">
        <f t="shared" si="28"/>
        <v>152</v>
      </c>
      <c r="L53" s="64">
        <f t="shared" si="28"/>
        <v>434</v>
      </c>
      <c r="M53" s="64">
        <f t="shared" si="28"/>
        <v>0</v>
      </c>
      <c r="N53" s="64">
        <f t="shared" si="28"/>
        <v>407</v>
      </c>
      <c r="O53" s="64">
        <f t="shared" si="28"/>
        <v>5896</v>
      </c>
      <c r="P53" s="64">
        <f t="shared" si="28"/>
        <v>258</v>
      </c>
      <c r="Q53" s="237">
        <f t="shared" si="28"/>
        <v>796</v>
      </c>
      <c r="R53" s="238">
        <f t="shared" si="28"/>
        <v>3132</v>
      </c>
      <c r="S53" s="64">
        <f t="shared" si="28"/>
        <v>0</v>
      </c>
      <c r="T53" s="64">
        <f t="shared" si="28"/>
        <v>2971</v>
      </c>
      <c r="U53" s="64">
        <f t="shared" si="28"/>
        <v>95</v>
      </c>
      <c r="V53" s="237">
        <f t="shared" si="28"/>
        <v>0</v>
      </c>
      <c r="W53" s="238">
        <f t="shared" si="28"/>
        <v>382</v>
      </c>
      <c r="X53" s="64">
        <f t="shared" si="28"/>
        <v>0</v>
      </c>
      <c r="Y53" s="239">
        <f t="shared" si="28"/>
        <v>18903</v>
      </c>
      <c r="Z53" s="240">
        <f t="shared" si="28"/>
        <v>5459</v>
      </c>
      <c r="AA53" s="64">
        <f t="shared" si="28"/>
        <v>24362</v>
      </c>
      <c r="AB53" s="44"/>
      <c r="AC53" s="566">
        <f>Y53/AA53</f>
        <v>0.77592151711682122</v>
      </c>
      <c r="AD53" s="604">
        <f t="shared" si="27"/>
        <v>0</v>
      </c>
      <c r="AE53" s="444"/>
      <c r="AF53" s="606"/>
      <c r="AG53" s="606"/>
      <c r="AH53" s="442"/>
      <c r="AI53" s="451"/>
      <c r="AJ53" s="451"/>
      <c r="AK53" s="451"/>
      <c r="AL53" s="442"/>
      <c r="AM53" s="442"/>
      <c r="AN53" s="442"/>
      <c r="AO53" s="442"/>
      <c r="AP53" s="442"/>
      <c r="AQ53" s="442"/>
      <c r="AR53" s="442"/>
      <c r="AS53" s="442"/>
    </row>
    <row r="54" spans="1:51" ht="2.9" customHeight="1" x14ac:dyDescent="0.3">
      <c r="A54" s="50"/>
      <c r="B54" s="11"/>
      <c r="C54" s="11"/>
      <c r="D54" s="11"/>
      <c r="E54" s="110"/>
      <c r="F54" s="110"/>
      <c r="G54" s="241"/>
      <c r="H54" s="112"/>
      <c r="I54" s="111"/>
      <c r="J54" s="113"/>
      <c r="K54" s="111"/>
      <c r="L54" s="111"/>
      <c r="M54" s="111"/>
      <c r="N54" s="111"/>
      <c r="O54" s="111"/>
      <c r="P54" s="111"/>
      <c r="Q54" s="112"/>
      <c r="R54" s="113"/>
      <c r="S54" s="111"/>
      <c r="T54" s="111"/>
      <c r="U54" s="111"/>
      <c r="V54" s="112"/>
      <c r="W54" s="113"/>
      <c r="X54" s="111"/>
      <c r="Y54" s="114"/>
      <c r="Z54" s="115"/>
      <c r="AA54" s="111"/>
      <c r="AB54" s="1"/>
      <c r="AC54" s="451"/>
      <c r="AD54" s="451"/>
      <c r="AE54" s="442"/>
      <c r="AF54" s="597"/>
      <c r="AG54" s="597"/>
      <c r="AH54" s="442"/>
      <c r="AI54" s="451"/>
      <c r="AJ54" s="451"/>
      <c r="AK54" s="451"/>
      <c r="AL54" s="442"/>
      <c r="AM54" s="442"/>
      <c r="AN54" s="442"/>
      <c r="AO54" s="442"/>
      <c r="AP54" s="442"/>
      <c r="AQ54" s="442"/>
      <c r="AR54" s="442"/>
      <c r="AS54" s="442"/>
    </row>
    <row r="55" spans="1:51" s="47" customFormat="1" ht="13" customHeight="1" x14ac:dyDescent="0.25">
      <c r="A55" s="36"/>
      <c r="B55" s="48"/>
      <c r="C55" s="48"/>
      <c r="D55" s="48"/>
      <c r="E55" s="186" t="s">
        <v>223</v>
      </c>
      <c r="F55" s="202"/>
      <c r="G55" s="220"/>
      <c r="H55" s="202"/>
      <c r="I55" s="202"/>
      <c r="J55" s="202"/>
      <c r="K55" s="202"/>
      <c r="L55" s="202"/>
      <c r="M55" s="202"/>
      <c r="N55" s="202"/>
      <c r="O55" s="202"/>
      <c r="P55" s="202"/>
      <c r="Q55" s="202"/>
      <c r="R55" s="202"/>
      <c r="S55" s="202"/>
      <c r="T55" s="202"/>
      <c r="U55" s="202"/>
      <c r="V55" s="202"/>
      <c r="W55" s="202"/>
      <c r="X55" s="202"/>
      <c r="Y55" s="202"/>
      <c r="Z55" s="202"/>
      <c r="AA55" s="202"/>
      <c r="AB55" s="159"/>
      <c r="AC55" s="615"/>
      <c r="AD55" s="615"/>
      <c r="AE55" s="594"/>
      <c r="AF55" s="616"/>
      <c r="AG55" s="616"/>
      <c r="AH55" s="594"/>
      <c r="AI55" s="601"/>
      <c r="AJ55" s="601"/>
      <c r="AK55" s="601"/>
      <c r="AL55" s="594"/>
      <c r="AM55" s="594"/>
      <c r="AN55" s="594"/>
      <c r="AO55" s="594"/>
      <c r="AP55" s="594"/>
      <c r="AQ55" s="594"/>
      <c r="AR55" s="594"/>
      <c r="AS55" s="594"/>
    </row>
    <row r="56" spans="1:51" s="47" customFormat="1" ht="13" customHeight="1" x14ac:dyDescent="0.25">
      <c r="A56" s="116"/>
      <c r="B56" s="117"/>
      <c r="C56" s="48"/>
      <c r="D56" s="48"/>
      <c r="E56" s="726" t="s">
        <v>224</v>
      </c>
      <c r="F56" s="726"/>
      <c r="G56" s="726"/>
      <c r="H56" s="726"/>
      <c r="I56" s="726"/>
      <c r="J56" s="726"/>
      <c r="K56" s="726"/>
      <c r="L56" s="726"/>
      <c r="M56" s="726"/>
      <c r="N56" s="726"/>
      <c r="O56" s="726"/>
      <c r="P56" s="726"/>
      <c r="Q56" s="27"/>
      <c r="R56" s="27"/>
      <c r="S56" s="27"/>
      <c r="T56" s="27"/>
      <c r="U56" s="27"/>
      <c r="V56" s="27"/>
      <c r="W56" s="27"/>
      <c r="X56" s="27"/>
      <c r="Y56" s="118"/>
      <c r="Z56" s="27"/>
      <c r="AA56" s="27"/>
      <c r="AB56" s="27"/>
      <c r="AC56" s="629"/>
      <c r="AD56" s="629"/>
      <c r="AE56" s="617">
        <f>AE52+AE39+AE15</f>
        <v>143957</v>
      </c>
      <c r="AF56" s="618">
        <f>AF52+AF39+AF15</f>
        <v>5460.0813614262561</v>
      </c>
      <c r="AG56" s="618">
        <f>AG52+AG39+AG15</f>
        <v>192027</v>
      </c>
      <c r="AH56" s="594" t="s">
        <v>212</v>
      </c>
      <c r="AI56" s="601"/>
      <c r="AJ56" s="601"/>
      <c r="AK56" s="601"/>
      <c r="AL56" s="594"/>
      <c r="AM56" s="594"/>
      <c r="AN56" s="594"/>
      <c r="AO56" s="594"/>
      <c r="AP56" s="594"/>
      <c r="AQ56" s="594"/>
      <c r="AR56" s="594"/>
      <c r="AS56" s="594"/>
    </row>
    <row r="57" spans="1:51" s="47" customFormat="1" ht="13" customHeight="1" x14ac:dyDescent="0.25">
      <c r="A57" s="116"/>
      <c r="B57" s="48"/>
      <c r="C57" s="48"/>
      <c r="D57" s="48"/>
      <c r="E57" s="27" t="s">
        <v>225</v>
      </c>
      <c r="F57" s="27"/>
      <c r="G57" s="27"/>
      <c r="H57" s="27"/>
      <c r="I57" s="27"/>
      <c r="J57" s="27"/>
      <c r="K57" s="27"/>
      <c r="L57" s="27"/>
      <c r="M57" s="27"/>
      <c r="N57" s="27"/>
      <c r="O57" s="27"/>
      <c r="P57" s="27"/>
      <c r="Q57" s="27"/>
      <c r="R57" s="27"/>
      <c r="S57" s="27"/>
      <c r="T57" s="27"/>
      <c r="U57" s="27"/>
      <c r="V57" s="27"/>
      <c r="W57" s="27"/>
      <c r="X57" s="27"/>
      <c r="Y57" s="27"/>
      <c r="Z57" s="27"/>
      <c r="AA57" s="27"/>
      <c r="AB57" s="27"/>
      <c r="AC57" s="594"/>
      <c r="AD57" s="594"/>
      <c r="AE57" s="594"/>
      <c r="AF57" s="594"/>
      <c r="AG57" s="594"/>
      <c r="AH57" s="594"/>
      <c r="AI57" s="601"/>
      <c r="AJ57" s="601"/>
      <c r="AK57" s="601"/>
      <c r="AL57" s="594"/>
      <c r="AM57" s="594"/>
      <c r="AN57" s="594"/>
      <c r="AO57" s="594"/>
      <c r="AP57" s="594"/>
      <c r="AQ57" s="594"/>
      <c r="AR57" s="594"/>
      <c r="AS57" s="594"/>
    </row>
    <row r="58" spans="1:51" s="47" customFormat="1" ht="13" customHeight="1" x14ac:dyDescent="0.25">
      <c r="A58" s="116"/>
      <c r="B58" s="48"/>
      <c r="C58" s="48"/>
      <c r="D58" s="48"/>
      <c r="E58" s="27" t="s">
        <v>226</v>
      </c>
      <c r="F58" s="34"/>
      <c r="G58" s="34"/>
      <c r="H58" s="27"/>
      <c r="I58" s="27"/>
      <c r="J58" s="27"/>
      <c r="K58" s="27"/>
      <c r="L58" s="27"/>
      <c r="M58" s="27"/>
      <c r="N58" s="27"/>
      <c r="O58" s="27"/>
      <c r="P58" s="27"/>
      <c r="Q58" s="27"/>
      <c r="R58" s="27"/>
      <c r="S58" s="27"/>
      <c r="T58" s="27"/>
      <c r="U58" s="27"/>
      <c r="V58" s="27"/>
      <c r="W58" s="27"/>
      <c r="X58" s="27"/>
      <c r="Y58" s="27"/>
      <c r="Z58" s="27"/>
      <c r="AA58" s="27"/>
      <c r="AB58" s="27"/>
      <c r="AC58" s="617"/>
      <c r="AD58" s="617"/>
      <c r="AE58" s="617"/>
      <c r="AF58" s="617"/>
      <c r="AG58" s="617"/>
      <c r="AH58" s="594"/>
      <c r="AI58" s="601"/>
      <c r="AJ58" s="601"/>
      <c r="AK58" s="601"/>
      <c r="AL58" s="594"/>
      <c r="AM58" s="594"/>
      <c r="AN58" s="594"/>
      <c r="AO58" s="594"/>
      <c r="AP58" s="594"/>
      <c r="AQ58" s="594"/>
      <c r="AR58" s="594"/>
      <c r="AS58" s="594"/>
    </row>
    <row r="59" spans="1:51" x14ac:dyDescent="0.25">
      <c r="A59" s="15"/>
      <c r="AC59" s="442"/>
      <c r="AD59" s="442"/>
      <c r="AE59" s="442"/>
      <c r="AF59" s="442"/>
      <c r="AG59" s="442"/>
      <c r="AH59" s="442"/>
      <c r="AI59" s="451"/>
      <c r="AJ59" s="451"/>
      <c r="AK59" s="451"/>
      <c r="AL59" s="442"/>
      <c r="AM59" s="442"/>
      <c r="AN59" s="442"/>
      <c r="AO59" s="442"/>
      <c r="AP59" s="442"/>
      <c r="AQ59" s="442"/>
      <c r="AR59" s="442"/>
      <c r="AS59" s="442"/>
    </row>
    <row r="60" spans="1:51" x14ac:dyDescent="0.25">
      <c r="A60" s="15"/>
      <c r="AC60" s="442"/>
      <c r="AD60" s="442"/>
      <c r="AE60" s="442"/>
      <c r="AF60" s="442" t="s">
        <v>126</v>
      </c>
      <c r="AG60" s="442" t="s">
        <v>213</v>
      </c>
      <c r="AH60" s="442"/>
      <c r="AI60" s="451"/>
      <c r="AJ60" s="451"/>
      <c r="AK60" s="451"/>
      <c r="AL60" s="442"/>
      <c r="AM60" s="442"/>
      <c r="AN60" s="442"/>
      <c r="AO60" s="442" t="s">
        <v>126</v>
      </c>
      <c r="AP60" s="442"/>
      <c r="AQ60" s="442"/>
      <c r="AR60" s="442" t="s">
        <v>127</v>
      </c>
      <c r="AS60" s="442"/>
    </row>
    <row r="61" spans="1:51" x14ac:dyDescent="0.25">
      <c r="A61" s="15"/>
      <c r="Y61" s="14"/>
      <c r="AA61" s="14"/>
      <c r="AC61" s="445"/>
      <c r="AD61" s="445"/>
      <c r="AE61" s="445"/>
      <c r="AF61" s="442"/>
      <c r="AG61" s="442"/>
      <c r="AH61" s="442"/>
      <c r="AI61" s="451"/>
      <c r="AJ61" s="451"/>
      <c r="AK61" s="451"/>
      <c r="AL61" s="442"/>
      <c r="AM61" s="442"/>
      <c r="AN61" s="442"/>
      <c r="AO61" s="442"/>
      <c r="AP61" s="442"/>
      <c r="AQ61" s="442"/>
      <c r="AR61" s="442"/>
      <c r="AS61" s="442"/>
    </row>
    <row r="62" spans="1:51" ht="4.5" customHeight="1" x14ac:dyDescent="0.3">
      <c r="A62" s="15"/>
      <c r="F62" s="119"/>
      <c r="G62" s="120"/>
      <c r="H62" s="741"/>
      <c r="I62" s="741"/>
      <c r="J62" s="741"/>
      <c r="K62" s="741"/>
      <c r="L62" s="744"/>
      <c r="M62" s="744"/>
      <c r="N62" s="744"/>
      <c r="O62" s="744"/>
      <c r="P62" s="744"/>
      <c r="Q62" s="741"/>
      <c r="R62" s="741"/>
      <c r="S62" s="122"/>
      <c r="T62" s="123"/>
      <c r="U62" s="122"/>
      <c r="V62" s="741"/>
      <c r="W62" s="741"/>
      <c r="X62" s="124"/>
      <c r="Y62" s="742"/>
      <c r="Z62" s="742"/>
      <c r="AA62" s="126"/>
      <c r="AC62" s="442"/>
      <c r="AD62" s="442"/>
      <c r="AE62" s="442"/>
      <c r="AF62" s="442"/>
      <c r="AG62" s="442"/>
      <c r="AH62" s="442"/>
      <c r="AI62" s="451"/>
      <c r="AJ62" s="451"/>
      <c r="AK62" s="451"/>
      <c r="AL62" s="442"/>
      <c r="AM62" s="442"/>
      <c r="AN62" s="442"/>
      <c r="AO62" s="442"/>
      <c r="AP62" s="442"/>
      <c r="AQ62" s="442"/>
      <c r="AR62" s="442"/>
      <c r="AS62" s="442"/>
    </row>
    <row r="63" spans="1:51" ht="17.5" customHeight="1" x14ac:dyDescent="0.3">
      <c r="A63" s="15"/>
      <c r="F63" s="119"/>
      <c r="G63" s="120"/>
      <c r="H63" s="120"/>
      <c r="I63" s="120"/>
      <c r="J63" s="120"/>
      <c r="K63" s="120"/>
      <c r="L63" s="121"/>
      <c r="M63" s="121"/>
      <c r="N63" s="121"/>
      <c r="O63" s="121"/>
      <c r="P63" s="121"/>
      <c r="Q63" s="120"/>
      <c r="R63" s="120"/>
      <c r="S63" s="122"/>
      <c r="T63" s="123"/>
      <c r="U63" s="122"/>
      <c r="V63" s="120"/>
      <c r="W63" s="120"/>
      <c r="X63" s="124"/>
      <c r="Y63" s="125"/>
      <c r="Z63" s="125"/>
      <c r="AA63" s="126"/>
      <c r="AC63" s="442"/>
      <c r="AD63" s="442"/>
      <c r="AE63" s="442"/>
      <c r="AF63" s="442"/>
      <c r="AG63" s="442"/>
      <c r="AH63" s="442"/>
      <c r="AI63" s="451"/>
      <c r="AJ63" s="451"/>
      <c r="AK63" s="451"/>
      <c r="AL63" s="442"/>
      <c r="AM63" s="442"/>
      <c r="AN63" s="442"/>
      <c r="AO63" s="442"/>
      <c r="AP63" s="442"/>
      <c r="AQ63" s="442"/>
      <c r="AR63" s="442"/>
      <c r="AS63" s="442"/>
      <c r="AY63" s="127"/>
    </row>
    <row r="64" spans="1:51" x14ac:dyDescent="0.25">
      <c r="A64" s="15"/>
      <c r="F64" s="119"/>
      <c r="G64" s="242"/>
      <c r="H64" s="132"/>
      <c r="I64" s="132"/>
      <c r="J64" s="132"/>
      <c r="K64" s="132"/>
      <c r="L64" s="132"/>
      <c r="M64" s="132"/>
      <c r="N64" s="132"/>
      <c r="O64" s="132"/>
      <c r="P64" s="132"/>
      <c r="Q64" s="132"/>
      <c r="R64" s="132"/>
      <c r="S64" s="132"/>
      <c r="T64" s="132"/>
      <c r="U64" s="132"/>
      <c r="V64" s="132"/>
      <c r="W64" s="132"/>
      <c r="X64" s="133"/>
      <c r="Y64" s="132"/>
      <c r="Z64" s="132"/>
    </row>
    <row r="65" spans="1:30" x14ac:dyDescent="0.25">
      <c r="A65" s="15"/>
      <c r="H65" s="134"/>
      <c r="I65" s="134"/>
      <c r="J65" s="134"/>
    </row>
    <row r="66" spans="1:30" ht="20.9" customHeight="1" x14ac:dyDescent="0.25">
      <c r="A66" s="15"/>
      <c r="AB66" s="77"/>
      <c r="AC66" s="14"/>
      <c r="AD66" s="14"/>
    </row>
    <row r="67" spans="1:30" x14ac:dyDescent="0.25">
      <c r="A67" s="15"/>
      <c r="AB67" s="78"/>
    </row>
    <row r="68" spans="1:30" x14ac:dyDescent="0.25">
      <c r="A68" s="15"/>
    </row>
    <row r="69" spans="1:30" x14ac:dyDescent="0.25">
      <c r="A69" s="15"/>
    </row>
    <row r="70" spans="1:30" ht="20.9" customHeight="1" x14ac:dyDescent="0.25">
      <c r="A70" s="15"/>
      <c r="F70" s="135"/>
      <c r="G70" s="136"/>
      <c r="H70" s="136"/>
      <c r="I70" s="137"/>
      <c r="J70" s="136"/>
      <c r="K70" s="136"/>
      <c r="L70" s="136"/>
      <c r="M70" s="136"/>
      <c r="N70" s="136"/>
      <c r="O70" s="136"/>
      <c r="P70" s="136"/>
      <c r="Q70" s="136"/>
      <c r="R70" s="136"/>
      <c r="S70" s="136"/>
      <c r="T70" s="136"/>
      <c r="U70" s="136"/>
      <c r="V70" s="136"/>
      <c r="W70" s="136"/>
      <c r="X70" s="136"/>
      <c r="Y70" s="136"/>
      <c r="Z70" s="136"/>
      <c r="AA70" s="136"/>
    </row>
    <row r="71" spans="1:30" x14ac:dyDescent="0.25">
      <c r="A71" s="15"/>
      <c r="F71" s="135"/>
      <c r="G71" s="138"/>
      <c r="H71" s="138"/>
      <c r="I71" s="138"/>
      <c r="J71" s="138"/>
      <c r="K71" s="138"/>
      <c r="L71" s="138"/>
      <c r="M71" s="138"/>
      <c r="N71" s="138"/>
      <c r="O71" s="138"/>
      <c r="P71" s="138"/>
      <c r="Q71" s="138"/>
      <c r="R71" s="138"/>
      <c r="S71" s="138"/>
      <c r="T71" s="138"/>
      <c r="U71" s="138"/>
      <c r="V71" s="138"/>
      <c r="W71" s="138"/>
      <c r="X71" s="138"/>
      <c r="Y71" s="138"/>
    </row>
    <row r="72" spans="1:30" ht="20.9" customHeight="1" x14ac:dyDescent="0.25">
      <c r="A72" s="15"/>
    </row>
    <row r="75" spans="1:30" ht="20.9" customHeight="1" x14ac:dyDescent="0.25"/>
    <row r="77" spans="1:30" ht="20.9" customHeight="1" x14ac:dyDescent="0.25"/>
    <row r="79" spans="1:30" ht="20.9" customHeight="1" x14ac:dyDescent="0.25"/>
    <row r="80" spans="1:30" ht="15" customHeight="1" x14ac:dyDescent="0.25"/>
    <row r="81" spans="6:38" ht="21" customHeight="1" x14ac:dyDescent="0.25"/>
    <row r="82" spans="6:38" ht="21" customHeight="1" x14ac:dyDescent="0.25"/>
    <row r="84" spans="6:38" x14ac:dyDescent="0.25">
      <c r="AC84" s="442" t="s">
        <v>129</v>
      </c>
      <c r="AD84" s="442"/>
      <c r="AE84" s="442" t="s">
        <v>38</v>
      </c>
      <c r="AF84" s="442"/>
    </row>
    <row r="85" spans="6:38" x14ac:dyDescent="0.25">
      <c r="F85" s="4"/>
      <c r="H85" s="4"/>
      <c r="I85" s="4"/>
      <c r="AC85" s="442"/>
      <c r="AD85" s="442"/>
      <c r="AE85" s="442" t="s">
        <v>130</v>
      </c>
      <c r="AF85" s="442"/>
    </row>
    <row r="86" spans="6:38" x14ac:dyDescent="0.25">
      <c r="G86"/>
      <c r="AC86" s="442"/>
      <c r="AD86" s="442"/>
      <c r="AE86" s="442" t="s">
        <v>9</v>
      </c>
      <c r="AF86" s="442"/>
    </row>
    <row r="87" spans="6:38" x14ac:dyDescent="0.25">
      <c r="G87"/>
      <c r="AC87" s="442"/>
      <c r="AD87" s="442"/>
      <c r="AE87" s="442"/>
      <c r="AF87" s="442"/>
      <c r="AJ87"/>
      <c r="AL87" s="1"/>
    </row>
    <row r="88" spans="6:38" x14ac:dyDescent="0.25">
      <c r="G88"/>
      <c r="AC88" s="442"/>
      <c r="AD88" s="442"/>
      <c r="AE88" s="442"/>
      <c r="AF88" s="442"/>
    </row>
    <row r="89" spans="6:38" x14ac:dyDescent="0.25">
      <c r="G89"/>
    </row>
    <row r="90" spans="6:38" x14ac:dyDescent="0.25">
      <c r="G90"/>
    </row>
    <row r="91" spans="6:38" x14ac:dyDescent="0.25">
      <c r="G91"/>
    </row>
    <row r="92" spans="6:38" ht="21" customHeight="1" x14ac:dyDescent="0.25">
      <c r="G92"/>
    </row>
    <row r="93" spans="6:38" x14ac:dyDescent="0.25">
      <c r="G93"/>
    </row>
    <row r="94" spans="6:38" x14ac:dyDescent="0.25">
      <c r="G94"/>
    </row>
    <row r="95" spans="6:38" x14ac:dyDescent="0.25">
      <c r="G95"/>
    </row>
    <row r="96" spans="6:38" ht="20.9" customHeight="1" x14ac:dyDescent="0.25">
      <c r="G96"/>
    </row>
    <row r="97" spans="7:31" x14ac:dyDescent="0.25">
      <c r="G97"/>
    </row>
    <row r="98" spans="7:31" ht="21" customHeight="1" x14ac:dyDescent="0.25">
      <c r="G98"/>
    </row>
    <row r="99" spans="7:31" x14ac:dyDescent="0.25">
      <c r="G99"/>
    </row>
    <row r="100" spans="7:31" x14ac:dyDescent="0.25">
      <c r="G100"/>
    </row>
    <row r="101" spans="7:31" ht="21" customHeight="1" x14ac:dyDescent="0.25">
      <c r="G101"/>
    </row>
    <row r="103" spans="7:31" ht="21" customHeight="1" x14ac:dyDescent="0.25"/>
    <row r="105" spans="7:31" ht="21" customHeight="1" x14ac:dyDescent="0.25"/>
    <row r="108" spans="7:31" x14ac:dyDescent="0.25">
      <c r="AE108" s="3"/>
    </row>
    <row r="109" spans="7:31" x14ac:dyDescent="0.25">
      <c r="AE109" s="3"/>
    </row>
    <row r="110" spans="7:31" x14ac:dyDescent="0.25">
      <c r="AE110" s="450" t="s">
        <v>9</v>
      </c>
    </row>
  </sheetData>
  <mergeCells count="14">
    <mergeCell ref="Y3:Z3"/>
    <mergeCell ref="H3:J3"/>
    <mergeCell ref="K3:P3"/>
    <mergeCell ref="Q3:R3"/>
    <mergeCell ref="S3:U3"/>
    <mergeCell ref="V3:W3"/>
    <mergeCell ref="V62:W62"/>
    <mergeCell ref="Y62:Z62"/>
    <mergeCell ref="E17:F17"/>
    <mergeCell ref="E40:F40"/>
    <mergeCell ref="E56:P56"/>
    <mergeCell ref="H62:J62"/>
    <mergeCell ref="K62:P62"/>
    <mergeCell ref="Q62:R62"/>
  </mergeCells>
  <pageMargins left="0.5" right="0.25" top="0.5" bottom="0.25" header="0.3" footer="0.3"/>
  <pageSetup scale="72" fitToHeight="0"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66840-74F0-40B4-8DC5-E8DE8AF33CC8}">
  <sheetPr>
    <pageSetUpPr fitToPage="1"/>
  </sheetPr>
  <dimension ref="A2:AI62"/>
  <sheetViews>
    <sheetView showGridLines="0" zoomScaleNormal="100" zoomScaleSheetLayoutView="100" workbookViewId="0">
      <pane xSplit="6" ySplit="4" topLeftCell="M5" activePane="bottomRight" state="frozen"/>
      <selection pane="topRight" activeCell="G1" sqref="G1"/>
      <selection pane="bottomLeft" activeCell="A5" sqref="A5"/>
      <selection pane="bottomRight" activeCell="Y31" sqref="Y31:Z32"/>
    </sheetView>
  </sheetViews>
  <sheetFormatPr defaultRowHeight="12.5" x14ac:dyDescent="0.25"/>
  <cols>
    <col min="1" max="1" width="10.54296875" customWidth="1"/>
    <col min="2" max="4" width="0.453125" customWidth="1"/>
    <col min="5" max="5" width="28.7265625" customWidth="1"/>
    <col min="6" max="6" width="7.54296875" style="1" customWidth="1"/>
    <col min="7" max="7" width="5.81640625" style="1" customWidth="1"/>
    <col min="8" max="22" width="7.453125" customWidth="1"/>
    <col min="23" max="23" width="7.81640625" customWidth="1"/>
    <col min="24" max="24" width="6.453125" hidden="1" customWidth="1"/>
    <col min="25" max="26" width="9" customWidth="1"/>
    <col min="27" max="27" width="10.81640625" customWidth="1"/>
    <col min="28" max="28" width="1.453125" customWidth="1"/>
  </cols>
  <sheetData>
    <row r="2" spans="1:35" ht="21.75" customHeight="1" x14ac:dyDescent="0.25">
      <c r="E2" s="2" t="s">
        <v>197</v>
      </c>
    </row>
    <row r="3" spans="1:35" ht="17.899999999999999" customHeight="1" x14ac:dyDescent="0.3">
      <c r="E3" s="6"/>
      <c r="F3" s="7"/>
      <c r="G3" s="8"/>
      <c r="H3" s="727" t="str">
        <f>'[9]Table 11 CWTs exp'!H3:J3</f>
        <v>CFH</v>
      </c>
      <c r="I3" s="727"/>
      <c r="J3" s="727"/>
      <c r="K3" s="727" t="str">
        <f>'[9]Table 11 CWTs exp'!K3:P3</f>
        <v>FRH</v>
      </c>
      <c r="L3" s="728"/>
      <c r="M3" s="728"/>
      <c r="N3" s="728"/>
      <c r="O3" s="728"/>
      <c r="P3" s="728"/>
      <c r="Q3" s="727" t="str">
        <f>'[9]Table 11 CWTs exp'!Q3:R3</f>
        <v>NIM</v>
      </c>
      <c r="R3" s="727"/>
      <c r="S3" s="727" t="str">
        <f>'[9]Table 11 CWTs exp'!S3:U3</f>
        <v>MOK</v>
      </c>
      <c r="T3" s="727"/>
      <c r="U3" s="727"/>
      <c r="V3" s="727"/>
      <c r="W3" s="8" t="str">
        <f>'[9]Table 11 CWTs exp'!W3</f>
        <v>MER</v>
      </c>
      <c r="X3" s="203"/>
      <c r="Y3" s="729" t="s">
        <v>132</v>
      </c>
      <c r="Z3" s="730"/>
      <c r="AA3" s="10" t="s">
        <v>9</v>
      </c>
    </row>
    <row r="4" spans="1:35" ht="15.75" customHeight="1" x14ac:dyDescent="0.3">
      <c r="E4" s="17" t="s">
        <v>17</v>
      </c>
      <c r="F4" s="18" t="s">
        <v>18</v>
      </c>
      <c r="G4" s="204" t="str">
        <f>'[9]Table 11 CWTs exp'!G4</f>
        <v>SacW</v>
      </c>
      <c r="H4" s="20" t="str">
        <f>'[9]Table 11 CWTs exp'!H4</f>
        <v>CFHLh</v>
      </c>
      <c r="I4" s="19" t="str">
        <f>'[9]Table 11 CWTs exp'!I4</f>
        <v>CFHFh</v>
      </c>
      <c r="J4" s="21" t="str">
        <f>'[9]Table 11 CWTs exp'!J4</f>
        <v>CFHFn</v>
      </c>
      <c r="K4" s="19" t="str">
        <f>'[9]Table 11 CWTs exp'!K4</f>
        <v>FRHS</v>
      </c>
      <c r="L4" s="19" t="str">
        <f>'[9]Table 11 CWTs exp'!L4</f>
        <v>FRHSn</v>
      </c>
      <c r="M4" s="19" t="str">
        <f>'[9]Table 11 CWTs exp'!M4</f>
        <v>FRHFk</v>
      </c>
      <c r="N4" s="19" t="str">
        <f>'[9]Table 11 CWTs exp'!N4</f>
        <v>FRHFb</v>
      </c>
      <c r="O4" s="19" t="str">
        <f>'[9]Table 11 CWTs exp'!O4</f>
        <v>FRHFn</v>
      </c>
      <c r="P4" s="19" t="str">
        <f>'[9]Table 11 CWTs exp'!P4</f>
        <v>FRHFnc</v>
      </c>
      <c r="Q4" s="20" t="str">
        <f>'[9]Table 11 CWTs exp'!Q4</f>
        <v>NIMF</v>
      </c>
      <c r="R4" s="21" t="str">
        <f>'[9]Table 11 CWTs exp'!R4</f>
        <v>NIMFn</v>
      </c>
      <c r="S4" s="19" t="str">
        <f>'[9]Table 11 CWTs exp'!S4</f>
        <v>MOKF</v>
      </c>
      <c r="T4" s="19" t="str">
        <f>'[9]Table 11 CWTs exp'!T4</f>
        <v>MOKFb</v>
      </c>
      <c r="U4" s="19" t="str">
        <f>'[9]Table 11 CWTs exp'!U4</f>
        <v>MOKFn</v>
      </c>
      <c r="V4" s="21" t="str">
        <f>'[9]Table 11 CWTs exp'!V4</f>
        <v>MOKFnc</v>
      </c>
      <c r="W4" s="21" t="str">
        <f>'[9]Table 11 CWTs exp'!W4</f>
        <v>MERFt</v>
      </c>
      <c r="X4" s="205" t="s">
        <v>198</v>
      </c>
      <c r="Y4" s="22" t="s">
        <v>36</v>
      </c>
      <c r="Z4" s="23" t="s">
        <v>37</v>
      </c>
      <c r="AA4" s="24" t="s">
        <v>18</v>
      </c>
      <c r="AC4" s="631"/>
      <c r="AD4" s="631"/>
      <c r="AE4" s="631"/>
      <c r="AF4" s="631"/>
      <c r="AG4" s="631"/>
      <c r="AH4" s="631"/>
      <c r="AI4" s="631"/>
    </row>
    <row r="5" spans="1:35" ht="14.15" customHeight="1" x14ac:dyDescent="0.3">
      <c r="E5" s="26" t="s">
        <v>39</v>
      </c>
      <c r="F5" s="11"/>
      <c r="G5" s="4"/>
      <c r="H5" s="139"/>
      <c r="J5" s="140"/>
      <c r="Q5" s="139"/>
      <c r="R5" s="140"/>
      <c r="V5" s="140"/>
      <c r="W5" s="140"/>
      <c r="X5" s="88"/>
      <c r="Y5" s="141"/>
      <c r="Z5" s="142"/>
      <c r="AA5" s="88"/>
    </row>
    <row r="6" spans="1:35" ht="14.25" customHeight="1" x14ac:dyDescent="0.25">
      <c r="A6" s="54" t="str">
        <f>'[9]Table 11 CWTs exp'!A6</f>
        <v>KESW504</v>
      </c>
      <c r="E6" s="3" t="str">
        <f>'[9]Table 11 CWTs exp'!E6</f>
        <v>Keswick Dam Fish Trap</v>
      </c>
      <c r="F6" s="143" t="str">
        <f>'[9]Table 11 CWTs exp'!F6</f>
        <v>Winter</v>
      </c>
      <c r="G6" s="151">
        <f>IF('[9]Table 11 CWTs exp'!G6/'[9]Table 11 CWTs exp'!$AA6&gt;=0.005,'[9]Table 11 CWTs exp'!G6/'[9]Table 11 CWTs exp'!$AA6,IF('[9]Table 11 CWTs exp'!G6/'[9]Table 11 CWTs exp'!$AA6&gt;0,"&lt;1%"," "))</f>
        <v>0.8029197080291971</v>
      </c>
      <c r="H6" s="145" t="str">
        <f>IF('[9]Table 11 CWTs exp'!H6/'[9]Table 11 CWTs exp'!$AA6&gt;=0.005,'[9]Table 11 CWTs exp'!H6/'[9]Table 11 CWTs exp'!$AA6,IF('[9]Table 11 CWTs exp'!H6/'[9]Table 11 CWTs exp'!$AA6&gt;0,"&lt;1%"," "))</f>
        <v xml:space="preserve"> </v>
      </c>
      <c r="I6" s="144" t="str">
        <f>IF('[9]Table 11 CWTs exp'!I6/'[9]Table 11 CWTs exp'!$AA6&gt;=0.005,'[9]Table 11 CWTs exp'!I6/'[9]Table 11 CWTs exp'!$AA6,IF('[9]Table 11 CWTs exp'!I6/'[9]Table 11 CWTs exp'!$AA6&gt;0,"&lt;1%"," "))</f>
        <v xml:space="preserve"> </v>
      </c>
      <c r="J6" s="146" t="str">
        <f>IF('[9]Table 11 CWTs exp'!J6/'[9]Table 11 CWTs exp'!$AA6&gt;=0.005,'[9]Table 11 CWTs exp'!J6/'[9]Table 11 CWTs exp'!$AA6,IF('[9]Table 11 CWTs exp'!J6/'[9]Table 11 CWTs exp'!$AA6&gt;0,"&lt;1%"," "))</f>
        <v xml:space="preserve"> </v>
      </c>
      <c r="K6" s="144" t="str">
        <f>IF('[9]Table 11 CWTs exp'!K6/'[9]Table 11 CWTs exp'!$AA6&gt;=0.005,'[9]Table 11 CWTs exp'!K6/'[9]Table 11 CWTs exp'!$AA6,IF('[9]Table 11 CWTs exp'!K6/'[9]Table 11 CWTs exp'!$AA6&gt;0,"&lt;1%"," "))</f>
        <v xml:space="preserve"> </v>
      </c>
      <c r="L6" s="144" t="str">
        <f>IF('[9]Table 11 CWTs exp'!L6/'[9]Table 11 CWTs exp'!$AA6&gt;=0.005,'[9]Table 11 CWTs exp'!L6/'[9]Table 11 CWTs exp'!$AA6,IF('[9]Table 11 CWTs exp'!L6/'[9]Table 11 CWTs exp'!$AA6&gt;0,"&lt;1%"," "))</f>
        <v xml:space="preserve"> </v>
      </c>
      <c r="M6" s="144" t="str">
        <f>IF('[9]Table 11 CWTs exp'!M6/'[9]Table 11 CWTs exp'!$AA6&gt;=0.005,'[9]Table 11 CWTs exp'!M6/'[9]Table 11 CWTs exp'!$AA6,IF('[9]Table 11 CWTs exp'!M6/'[9]Table 11 CWTs exp'!$AA6&gt;0,"&lt;1%"," "))</f>
        <v xml:space="preserve"> </v>
      </c>
      <c r="N6" s="144" t="str">
        <f>IF('[9]Table 11 CWTs exp'!N6/'[9]Table 11 CWTs exp'!$AA6&gt;=0.005,'[9]Table 11 CWTs exp'!N6/'[9]Table 11 CWTs exp'!$AA6,IF('[9]Table 11 CWTs exp'!N6/'[9]Table 11 CWTs exp'!$AA6&gt;0,"&lt;1%"," "))</f>
        <v xml:space="preserve"> </v>
      </c>
      <c r="O6" s="144" t="str">
        <f>IF('[9]Table 11 CWTs exp'!O6/'[9]Table 11 CWTs exp'!$AA6&gt;=0.005,'[9]Table 11 CWTs exp'!O6/'[9]Table 11 CWTs exp'!$AA6,IF('[9]Table 11 CWTs exp'!O6/'[9]Table 11 CWTs exp'!$AA6&gt;0,"&lt;1%"," "))</f>
        <v xml:space="preserve"> </v>
      </c>
      <c r="P6" s="144" t="str">
        <f>IF('[9]Table 11 CWTs exp'!P6/'[9]Table 11 CWTs exp'!$AA6&gt;=0.005,'[9]Table 11 CWTs exp'!P6/'[9]Table 11 CWTs exp'!$AA6,IF('[9]Table 11 CWTs exp'!P6/'[9]Table 11 CWTs exp'!$AA6&gt;0,"&lt;1%"," "))</f>
        <v xml:space="preserve"> </v>
      </c>
      <c r="Q6" s="145" t="str">
        <f>IF('[9]Table 11 CWTs exp'!Q6/'[9]Table 11 CWTs exp'!$AA6&gt;=0.005,'[9]Table 11 CWTs exp'!Q6/'[9]Table 11 CWTs exp'!$AA6,IF('[9]Table 11 CWTs exp'!Q6/'[9]Table 11 CWTs exp'!$AA6&gt;0,"&lt;1%"," "))</f>
        <v xml:space="preserve"> </v>
      </c>
      <c r="R6" s="146" t="str">
        <f>IF('[9]Table 11 CWTs exp'!R6/'[9]Table 11 CWTs exp'!$AA6&gt;=0.005,'[9]Table 11 CWTs exp'!R6/'[9]Table 11 CWTs exp'!$AA6,IF('[9]Table 11 CWTs exp'!R6/'[9]Table 11 CWTs exp'!$AA6&gt;0,"&lt;1%"," "))</f>
        <v xml:space="preserve"> </v>
      </c>
      <c r="S6" s="144" t="str">
        <f>IF('[9]Table 11 CWTs exp'!S6/'[9]Table 11 CWTs exp'!$AA6&gt;=0.005,'[9]Table 11 CWTs exp'!S6/'[9]Table 11 CWTs exp'!$AA6,IF('[9]Table 11 CWTs exp'!S6/'[9]Table 11 CWTs exp'!$AA6&gt;0,"&lt;1%"," "))</f>
        <v xml:space="preserve"> </v>
      </c>
      <c r="T6" s="144" t="str">
        <f>IF('[9]Table 11 CWTs exp'!T6/'[9]Table 11 CWTs exp'!$AA6&gt;=0.005,'[9]Table 11 CWTs exp'!T6/'[9]Table 11 CWTs exp'!$AA6,IF('[9]Table 11 CWTs exp'!T6/'[9]Table 11 CWTs exp'!$AA6&gt;0,"&lt;1%"," "))</f>
        <v xml:space="preserve"> </v>
      </c>
      <c r="U6" s="144" t="str">
        <f>IF('[9]Table 11 CWTs exp'!U6/'[9]Table 11 CWTs exp'!$AA6&gt;=0.005,'[9]Table 11 CWTs exp'!U6/'[9]Table 11 CWTs exp'!$AA6,IF('[9]Table 11 CWTs exp'!U6/'[9]Table 11 CWTs exp'!$AA6&gt;0,"&lt;1%"," "))</f>
        <v xml:space="preserve"> </v>
      </c>
      <c r="V6" s="146" t="str">
        <f>IF('[9]Table 11 CWTs exp'!V6/'[9]Table 11 CWTs exp'!$AA6&gt;=0.005,'[9]Table 11 CWTs exp'!V6/'[9]Table 11 CWTs exp'!$AA6,IF('[9]Table 11 CWTs exp'!V6/'[9]Table 11 CWTs exp'!$AA6&gt;0,"&lt;1%"," "))</f>
        <v xml:space="preserve"> </v>
      </c>
      <c r="W6" s="146" t="str">
        <f>IF('[9]Table 11 CWTs exp'!W6/'[9]Table 11 CWTs exp'!$AA6&gt;=0.005,'[9]Table 11 CWTs exp'!W6/'[9]Table 11 CWTs exp'!$AA6,IF('[9]Table 11 CWTs exp'!W6/'[9]Table 11 CWTs exp'!$AA6&gt;0,"&lt;1%"," "))</f>
        <v xml:space="preserve"> </v>
      </c>
      <c r="X6" s="206" t="str">
        <f>IF('[9]Table 11 CWTs exp'!X6/'[9]Table 11 CWTs exp'!$AA6&gt;0.0005,'[9]Table 11 CWTs exp'!X6/'[9]Table 11 CWTs exp'!$AA6,IF('[9]Table 11 CWTs exp'!X6/'[9]Table 11 CWTs exp'!$AA6&gt;0,"-"," "))</f>
        <v xml:space="preserve"> </v>
      </c>
      <c r="Y6" s="147">
        <f>AC6</f>
        <v>0.80300000000000005</v>
      </c>
      <c r="Z6" s="148">
        <f>1-Y6+0.001</f>
        <v>0.19799999999999995</v>
      </c>
      <c r="AA6" s="38">
        <f>'[9]Table 11 CWTs exp'!AA6</f>
        <v>137</v>
      </c>
      <c r="AC6" s="592">
        <f>'[9]Table 11 CWTs exp'!AG6</f>
        <v>0.80300000000000005</v>
      </c>
      <c r="AD6" s="592">
        <f>Y6-AC6</f>
        <v>0</v>
      </c>
      <c r="AE6" s="593" t="str">
        <f>A6</f>
        <v>KESW504</v>
      </c>
      <c r="AF6" s="442"/>
    </row>
    <row r="7" spans="1:35" ht="14.5" customHeight="1" x14ac:dyDescent="0.25">
      <c r="A7" s="54" t="str">
        <f>'[9]Table 11 CWTs exp'!A7</f>
        <v>FRFH501</v>
      </c>
      <c r="B7" s="75" t="str">
        <f>'[9]Table 11 CWTs exp'!B7</f>
        <v>FRFH</v>
      </c>
      <c r="C7" s="75">
        <f>'[9]Table 11 CWTs exp'!C7</f>
        <v>50</v>
      </c>
      <c r="D7" s="75">
        <f>'[9]Table 11 CWTs exp'!D7</f>
        <v>1</v>
      </c>
      <c r="E7" s="3" t="str">
        <f>'[9]Table 11 CWTs exp'!E7</f>
        <v>Feather River Hatchery</v>
      </c>
      <c r="F7" s="143" t="str">
        <f>'[9]Table 11 CWTs exp'!F7</f>
        <v>Spring</v>
      </c>
      <c r="G7" s="151" t="str">
        <f>IF('[9]Table 11 CWTs exp'!G7/'[9]Table 11 CWTs exp'!$AA7&gt;=0.005,'[9]Table 11 CWTs exp'!G7/'[9]Table 11 CWTs exp'!$AA7,IF('[9]Table 11 CWTs exp'!G7/'[9]Table 11 CWTs exp'!$AA7&gt;0,"&lt;1%"," "))</f>
        <v xml:space="preserve"> </v>
      </c>
      <c r="H7" s="145" t="str">
        <f>IF('[9]Table 11 CWTs exp'!H7/'[9]Table 11 CWTs exp'!$AA7&gt;=0.005,'[9]Table 11 CWTs exp'!H7/'[9]Table 11 CWTs exp'!$AA7,IF('[9]Table 11 CWTs exp'!H7/'[9]Table 11 CWTs exp'!$AA7&gt;0,"&lt;1%"," "))</f>
        <v xml:space="preserve"> </v>
      </c>
      <c r="I7" s="144" t="str">
        <f>IF('[9]Table 11 CWTs exp'!I7/'[9]Table 11 CWTs exp'!$AA7&gt;=0.005,'[9]Table 11 CWTs exp'!I7/'[9]Table 11 CWTs exp'!$AA7,IF('[9]Table 11 CWTs exp'!I7/'[9]Table 11 CWTs exp'!$AA7&gt;0,"&lt;1%"," "))</f>
        <v xml:space="preserve"> </v>
      </c>
      <c r="J7" s="146" t="str">
        <f>IF('[9]Table 11 CWTs exp'!J7/'[9]Table 11 CWTs exp'!$AA7&gt;=0.005,'[9]Table 11 CWTs exp'!J7/'[9]Table 11 CWTs exp'!$AA7,IF('[9]Table 11 CWTs exp'!J7/'[9]Table 11 CWTs exp'!$AA7&gt;0,"&lt;1%"," "))</f>
        <v xml:space="preserve"> </v>
      </c>
      <c r="K7" s="144">
        <f>IF('[9]Table 11 CWTs exp'!K7/'[9]Table 11 CWTs exp'!$AA7&gt;=0.005,'[9]Table 11 CWTs exp'!K7/'[9]Table 11 CWTs exp'!$AA7,IF('[9]Table 11 CWTs exp'!K7/'[9]Table 11 CWTs exp'!$AA7&gt;0,"&lt;1%"," "))</f>
        <v>0.4684848484848485</v>
      </c>
      <c r="L7" s="144">
        <f>IF('[9]Table 11 CWTs exp'!L7/'[9]Table 11 CWTs exp'!$AA7&gt;=0.005,'[9]Table 11 CWTs exp'!L7/'[9]Table 11 CWTs exp'!$AA7,IF('[9]Table 11 CWTs exp'!L7/'[9]Table 11 CWTs exp'!$AA7&gt;0,"&lt;1%"," "))</f>
        <v>0.46424242424242423</v>
      </c>
      <c r="M7" s="144" t="str">
        <f>IF('[9]Table 11 CWTs exp'!M7/'[9]Table 11 CWTs exp'!$AA7&gt;=0.005,'[9]Table 11 CWTs exp'!M7/'[9]Table 11 CWTs exp'!$AA7,IF('[9]Table 11 CWTs exp'!M7/'[9]Table 11 CWTs exp'!$AA7&gt;0,"&lt;1%"," "))</f>
        <v xml:space="preserve"> </v>
      </c>
      <c r="N7" s="144" t="str">
        <f>IF('[9]Table 11 CWTs exp'!N7/'[9]Table 11 CWTs exp'!$AA7&gt;=0.005,'[9]Table 11 CWTs exp'!N7/'[9]Table 11 CWTs exp'!$AA7,IF('[9]Table 11 CWTs exp'!N7/'[9]Table 11 CWTs exp'!$AA7&gt;0,"&lt;1%"," "))</f>
        <v>&lt;1%</v>
      </c>
      <c r="O7" s="144">
        <f>IF('[9]Table 11 CWTs exp'!O7/'[9]Table 11 CWTs exp'!$AA7&gt;=0.005,'[9]Table 11 CWTs exp'!O7/'[9]Table 11 CWTs exp'!$AA7,IF('[9]Table 11 CWTs exp'!O7/'[9]Table 11 CWTs exp'!$AA7&gt;0,"&lt;1%"," "))</f>
        <v>1.4545454545454545E-2</v>
      </c>
      <c r="P7" s="144" t="str">
        <f>IF('[9]Table 11 CWTs exp'!P7/'[9]Table 11 CWTs exp'!$AA7&gt;=0.005,'[9]Table 11 CWTs exp'!P7/'[9]Table 11 CWTs exp'!$AA7,IF('[9]Table 11 CWTs exp'!P7/'[9]Table 11 CWTs exp'!$AA7&gt;0,"&lt;1%"," "))</f>
        <v xml:space="preserve"> </v>
      </c>
      <c r="Q7" s="145" t="str">
        <f>IF('[9]Table 11 CWTs exp'!Q7/'[9]Table 11 CWTs exp'!$AA7&gt;=0.005,'[9]Table 11 CWTs exp'!Q7/'[9]Table 11 CWTs exp'!$AA7,IF('[9]Table 11 CWTs exp'!Q7/'[9]Table 11 CWTs exp'!$AA7&gt;0,"&lt;1%"," "))</f>
        <v xml:space="preserve"> </v>
      </c>
      <c r="R7" s="146" t="str">
        <f>IF('[9]Table 11 CWTs exp'!R7/'[9]Table 11 CWTs exp'!$AA7&gt;=0.005,'[9]Table 11 CWTs exp'!R7/'[9]Table 11 CWTs exp'!$AA7,IF('[9]Table 11 CWTs exp'!R7/'[9]Table 11 CWTs exp'!$AA7&gt;0,"&lt;1%"," "))</f>
        <v xml:space="preserve"> </v>
      </c>
      <c r="S7" s="144" t="str">
        <f>IF('[9]Table 11 CWTs exp'!S7/'[9]Table 11 CWTs exp'!$AA7&gt;=0.005,'[9]Table 11 CWTs exp'!S7/'[9]Table 11 CWTs exp'!$AA7,IF('[9]Table 11 CWTs exp'!S7/'[9]Table 11 CWTs exp'!$AA7&gt;0,"&lt;1%"," "))</f>
        <v xml:space="preserve"> </v>
      </c>
      <c r="T7" s="144" t="str">
        <f>IF('[9]Table 11 CWTs exp'!T7/'[9]Table 11 CWTs exp'!$AA7&gt;=0.005,'[9]Table 11 CWTs exp'!T7/'[9]Table 11 CWTs exp'!$AA7,IF('[9]Table 11 CWTs exp'!T7/'[9]Table 11 CWTs exp'!$AA7&gt;0,"&lt;1%"," "))</f>
        <v xml:space="preserve"> </v>
      </c>
      <c r="U7" s="144" t="str">
        <f>IF('[9]Table 11 CWTs exp'!U7/'[9]Table 11 CWTs exp'!$AA7&gt;=0.005,'[9]Table 11 CWTs exp'!U7/'[9]Table 11 CWTs exp'!$AA7,IF('[9]Table 11 CWTs exp'!U7/'[9]Table 11 CWTs exp'!$AA7&gt;0,"&lt;1%"," "))</f>
        <v xml:space="preserve"> </v>
      </c>
      <c r="V7" s="146" t="str">
        <f>IF('[9]Table 11 CWTs exp'!V7/'[9]Table 11 CWTs exp'!$AA7&gt;=0.005,'[9]Table 11 CWTs exp'!V7/'[9]Table 11 CWTs exp'!$AA7,IF('[9]Table 11 CWTs exp'!V7/'[9]Table 11 CWTs exp'!$AA7&gt;0,"&lt;1%"," "))</f>
        <v xml:space="preserve"> </v>
      </c>
      <c r="W7" s="146" t="str">
        <f>IF('[9]Table 11 CWTs exp'!W7/'[9]Table 11 CWTs exp'!$AA7&gt;=0.005,'[9]Table 11 CWTs exp'!W7/'[9]Table 11 CWTs exp'!$AA7,IF('[9]Table 11 CWTs exp'!W7/'[9]Table 11 CWTs exp'!$AA7&gt;0,"&lt;1%"," "))</f>
        <v xml:space="preserve"> </v>
      </c>
      <c r="X7" s="206" t="str">
        <f>IF('[9]Table 11 CWTs exp'!X7/'[9]Table 11 CWTs exp'!$AA7&gt;0.0005,'[9]Table 11 CWTs exp'!X7/'[9]Table 11 CWTs exp'!$AA7,IF('[9]Table 11 CWTs exp'!X7/'[9]Table 11 CWTs exp'!$AA7&gt;0,"-"," "))</f>
        <v xml:space="preserve"> </v>
      </c>
      <c r="Y7" s="147">
        <f t="shared" ref="Y7:Y17" si="0">AC7</f>
        <v>0.94969696969696971</v>
      </c>
      <c r="Z7" s="148">
        <f t="shared" ref="Z7:Z16" si="1">1-Y7+0.001</f>
        <v>5.1303030303030295E-2</v>
      </c>
      <c r="AA7" s="38">
        <f>'[9]Table 11 CWTs exp'!AA7</f>
        <v>1650</v>
      </c>
      <c r="AC7" s="592">
        <f>'[9]Table 11 CWTs exp'!AD7</f>
        <v>0.94969696969696971</v>
      </c>
      <c r="AD7" s="592">
        <f>Y7-AC7</f>
        <v>0</v>
      </c>
      <c r="AE7" s="593" t="str">
        <f>A7</f>
        <v>FRFH501</v>
      </c>
      <c r="AF7" s="442"/>
    </row>
    <row r="8" spans="1:35" ht="14.5" customHeight="1" x14ac:dyDescent="0.25">
      <c r="A8" s="54" t="str">
        <f>'[9]Table 11 CWTs exp'!A8</f>
        <v>KESW503</v>
      </c>
      <c r="B8" s="75" t="str">
        <f>'[9]Table 11 CWTs exp'!B8</f>
        <v>KESW</v>
      </c>
      <c r="C8" s="75">
        <f>'[9]Table 11 CWTs exp'!C8</f>
        <v>50</v>
      </c>
      <c r="D8" s="75">
        <f>'[9]Table 11 CWTs exp'!D8</f>
        <v>3</v>
      </c>
      <c r="E8" s="3" t="str">
        <f>'[9]Table 11 CWTs exp'!E8</f>
        <v>Keswick Dam Fish Trap</v>
      </c>
      <c r="F8" s="143" t="str">
        <f>'[9]Table 11 CWTs exp'!F8</f>
        <v>Fall</v>
      </c>
      <c r="G8" s="151" t="str">
        <f>IF('[9]Table 11 CWTs exp'!G8/'[9]Table 11 CWTs exp'!$AA8&gt;=0.005,'[9]Table 11 CWTs exp'!G8/'[9]Table 11 CWTs exp'!$AA8,IF('[9]Table 11 CWTs exp'!G8/'[9]Table 11 CWTs exp'!$AA8&gt;0,"&lt;1%"," "))</f>
        <v xml:space="preserve"> </v>
      </c>
      <c r="H8" s="145" t="str">
        <f>IF('[9]Table 11 CWTs exp'!H8/'[9]Table 11 CWTs exp'!$AA8&gt;=0.005,'[9]Table 11 CWTs exp'!H8/'[9]Table 11 CWTs exp'!$AA8,IF('[9]Table 11 CWTs exp'!H8/'[9]Table 11 CWTs exp'!$AA8&gt;0,"&lt;1%"," "))</f>
        <v xml:space="preserve"> </v>
      </c>
      <c r="I8" s="144">
        <f>IF('[9]Table 11 CWTs exp'!I8/'[9]Table 11 CWTs exp'!$AA8&gt;=0.005,'[9]Table 11 CWTs exp'!I8/'[9]Table 11 CWTs exp'!$AA8,IF('[9]Table 11 CWTs exp'!I8/'[9]Table 11 CWTs exp'!$AA8&gt;0,"&lt;1%"," "))</f>
        <v>0.25531914893617019</v>
      </c>
      <c r="J8" s="146">
        <f>IF('[9]Table 11 CWTs exp'!J8/'[9]Table 11 CWTs exp'!$AA8&gt;=0.005,'[9]Table 11 CWTs exp'!J8/'[9]Table 11 CWTs exp'!$AA8,IF('[9]Table 11 CWTs exp'!J8/'[9]Table 11 CWTs exp'!$AA8&gt;0,"&lt;1%"," "))</f>
        <v>0.1702127659574468</v>
      </c>
      <c r="K8" s="144" t="str">
        <f>IF('[9]Table 11 CWTs exp'!K8/'[9]Table 11 CWTs exp'!$AA8&gt;=0.005,'[9]Table 11 CWTs exp'!K8/'[9]Table 11 CWTs exp'!$AA8,IF('[9]Table 11 CWTs exp'!K8/'[9]Table 11 CWTs exp'!$AA8&gt;0,"&lt;1%"," "))</f>
        <v xml:space="preserve"> </v>
      </c>
      <c r="L8" s="144" t="str">
        <f>IF('[9]Table 11 CWTs exp'!L8/'[9]Table 11 CWTs exp'!$AA8&gt;=0.005,'[9]Table 11 CWTs exp'!L8/'[9]Table 11 CWTs exp'!$AA8,IF('[9]Table 11 CWTs exp'!L8/'[9]Table 11 CWTs exp'!$AA8&gt;0,"&lt;1%"," "))</f>
        <v xml:space="preserve"> </v>
      </c>
      <c r="M8" s="144" t="str">
        <f>IF('[9]Table 11 CWTs exp'!M8/'[9]Table 11 CWTs exp'!$AA8&gt;=0.005,'[9]Table 11 CWTs exp'!M8/'[9]Table 11 CWTs exp'!$AA8,IF('[9]Table 11 CWTs exp'!M8/'[9]Table 11 CWTs exp'!$AA8&gt;0,"&lt;1%"," "))</f>
        <v xml:space="preserve"> </v>
      </c>
      <c r="N8" s="144" t="str">
        <f>IF('[9]Table 11 CWTs exp'!N8/'[9]Table 11 CWTs exp'!$AA8&gt;=0.005,'[9]Table 11 CWTs exp'!N8/'[9]Table 11 CWTs exp'!$AA8,IF('[9]Table 11 CWTs exp'!N8/'[9]Table 11 CWTs exp'!$AA8&gt;0,"&lt;1%"," "))</f>
        <v xml:space="preserve"> </v>
      </c>
      <c r="O8" s="144">
        <f>IF('[9]Table 11 CWTs exp'!O8/'[9]Table 11 CWTs exp'!$AA8&gt;=0.005,'[9]Table 11 CWTs exp'!O8/'[9]Table 11 CWTs exp'!$AA8,IF('[9]Table 11 CWTs exp'!O8/'[9]Table 11 CWTs exp'!$AA8&gt;0,"&lt;1%"," "))</f>
        <v>0.20567375886524822</v>
      </c>
      <c r="P8" s="144">
        <f>IF('[9]Table 11 CWTs exp'!P8/'[9]Table 11 CWTs exp'!$AA8&gt;=0.005,'[9]Table 11 CWTs exp'!P8/'[9]Table 11 CWTs exp'!$AA8,IF('[9]Table 11 CWTs exp'!P8/'[9]Table 11 CWTs exp'!$AA8&gt;0,"&lt;1%"," "))</f>
        <v>0.11702127659574468</v>
      </c>
      <c r="Q8" s="145" t="str">
        <f>IF('[9]Table 11 CWTs exp'!Q8/'[9]Table 11 CWTs exp'!$AA8&gt;=0.005,'[9]Table 11 CWTs exp'!Q8/'[9]Table 11 CWTs exp'!$AA8,IF('[9]Table 11 CWTs exp'!Q8/'[9]Table 11 CWTs exp'!$AA8&gt;0,"&lt;1%"," "))</f>
        <v xml:space="preserve"> </v>
      </c>
      <c r="R8" s="146">
        <f>IF('[9]Table 11 CWTs exp'!R8/'[9]Table 11 CWTs exp'!$AA8&gt;=0.005,'[9]Table 11 CWTs exp'!R8/'[9]Table 11 CWTs exp'!$AA8,IF('[9]Table 11 CWTs exp'!R8/'[9]Table 11 CWTs exp'!$AA8&gt;0,"&lt;1%"," "))</f>
        <v>1.4184397163120567E-2</v>
      </c>
      <c r="S8" s="144" t="str">
        <f>IF('[9]Table 11 CWTs exp'!S8/'[9]Table 11 CWTs exp'!$AA8&gt;=0.005,'[9]Table 11 CWTs exp'!S8/'[9]Table 11 CWTs exp'!$AA8,IF('[9]Table 11 CWTs exp'!S8/'[9]Table 11 CWTs exp'!$AA8&gt;0,"&lt;1%"," "))</f>
        <v xml:space="preserve"> </v>
      </c>
      <c r="T8" s="144" t="str">
        <f>IF('[9]Table 11 CWTs exp'!T8/'[9]Table 11 CWTs exp'!$AA8&gt;=0.005,'[9]Table 11 CWTs exp'!T8/'[9]Table 11 CWTs exp'!$AA8,IF('[9]Table 11 CWTs exp'!T8/'[9]Table 11 CWTs exp'!$AA8&gt;0,"&lt;1%"," "))</f>
        <v xml:space="preserve"> </v>
      </c>
      <c r="U8" s="144">
        <f>IF('[9]Table 11 CWTs exp'!U8/'[9]Table 11 CWTs exp'!$AA8&gt;=0.005,'[9]Table 11 CWTs exp'!U8/'[9]Table 11 CWTs exp'!$AA8,IF('[9]Table 11 CWTs exp'!U8/'[9]Table 11 CWTs exp'!$AA8&gt;0,"&lt;1%"," "))</f>
        <v>2.8368794326241134E-2</v>
      </c>
      <c r="V8" s="146" t="str">
        <f>IF('[9]Table 11 CWTs exp'!V8/'[9]Table 11 CWTs exp'!$AA8&gt;=0.005,'[9]Table 11 CWTs exp'!V8/'[9]Table 11 CWTs exp'!$AA8,IF('[9]Table 11 CWTs exp'!V8/'[9]Table 11 CWTs exp'!$AA8&gt;0,"&lt;1%"," "))</f>
        <v xml:space="preserve"> </v>
      </c>
      <c r="W8" s="146" t="str">
        <f>IF('[9]Table 11 CWTs exp'!W8/'[9]Table 11 CWTs exp'!$AA8&gt;=0.005,'[9]Table 11 CWTs exp'!W8/'[9]Table 11 CWTs exp'!$AA8,IF('[9]Table 11 CWTs exp'!W8/'[9]Table 11 CWTs exp'!$AA8&gt;0,"&lt;1%"," "))</f>
        <v xml:space="preserve"> </v>
      </c>
      <c r="X8" s="206" t="str">
        <f>IF('[9]Table 11 CWTs exp'!X8/'[9]Table 11 CWTs exp'!$AA8&gt;0.0005,'[9]Table 11 CWTs exp'!X8/'[9]Table 11 CWTs exp'!$AA8,IF('[9]Table 11 CWTs exp'!X8/'[9]Table 11 CWTs exp'!$AA8&gt;0,"-"," "))</f>
        <v xml:space="preserve"> </v>
      </c>
      <c r="Y8" s="147">
        <f t="shared" si="0"/>
        <v>0.79078014184397161</v>
      </c>
      <c r="Z8" s="148">
        <f t="shared" si="1"/>
        <v>0.21021985815602839</v>
      </c>
      <c r="AA8" s="38">
        <f>'[9]Table 11 CWTs exp'!AA8</f>
        <v>282</v>
      </c>
      <c r="AC8" s="592">
        <f>'[9]Table 11 CWTs exp'!AD8</f>
        <v>0.79078014184397161</v>
      </c>
      <c r="AD8" s="592">
        <f t="shared" ref="AD8:AD54" si="2">Y8-AC8</f>
        <v>0</v>
      </c>
      <c r="AE8" s="593" t="str">
        <f t="shared" ref="AE8:AE39" si="3">A8</f>
        <v>KESW503</v>
      </c>
      <c r="AF8" s="442"/>
    </row>
    <row r="9" spans="1:35" ht="14.5" customHeight="1" x14ac:dyDescent="0.25">
      <c r="A9" s="54" t="str">
        <f>'[9]Table 11 CWTs exp'!A9</f>
        <v>CNFH503</v>
      </c>
      <c r="B9" s="75" t="str">
        <f>'[9]Table 11 CWTs exp'!B9</f>
        <v>CNFH</v>
      </c>
      <c r="C9" s="75">
        <f>'[9]Table 11 CWTs exp'!C9</f>
        <v>50</v>
      </c>
      <c r="D9" s="75">
        <f>'[9]Table 11 CWTs exp'!D9</f>
        <v>3</v>
      </c>
      <c r="E9" s="3" t="str">
        <f>'[9]Table 11 CWTs exp'!E9</f>
        <v>Coleman National Fish Hatchery</v>
      </c>
      <c r="F9" s="143" t="str">
        <f>'[9]Table 11 CWTs exp'!F9</f>
        <v>Fall</v>
      </c>
      <c r="G9" s="151" t="str">
        <f>IF('[9]Table 11 CWTs exp'!G9/'[9]Table 11 CWTs exp'!$AA9&gt;=0.005,'[9]Table 11 CWTs exp'!G9/'[9]Table 11 CWTs exp'!$AA9,IF('[9]Table 11 CWTs exp'!G9/'[9]Table 11 CWTs exp'!$AA9&gt;0,"&lt;1%"," "))</f>
        <v xml:space="preserve"> </v>
      </c>
      <c r="H9" s="145" t="str">
        <f>IF('[9]Table 11 CWTs exp'!H9/'[9]Table 11 CWTs exp'!$AA9&gt;=0.005,'[9]Table 11 CWTs exp'!H9/'[9]Table 11 CWTs exp'!$AA9,IF('[9]Table 11 CWTs exp'!H9/'[9]Table 11 CWTs exp'!$AA9&gt;0,"&lt;1%"," "))</f>
        <v xml:space="preserve"> </v>
      </c>
      <c r="I9" s="144">
        <f>IF('[9]Table 11 CWTs exp'!I9/'[9]Table 11 CWTs exp'!$AA9&gt;=0.005,'[9]Table 11 CWTs exp'!I9/'[9]Table 11 CWTs exp'!$AA9,IF('[9]Table 11 CWTs exp'!I9/'[9]Table 11 CWTs exp'!$AA9&gt;0,"&lt;1%"," "))</f>
        <v>0.7413227016885553</v>
      </c>
      <c r="J9" s="146">
        <f>IF('[9]Table 11 CWTs exp'!J9/'[9]Table 11 CWTs exp'!$AA9&gt;=0.005,'[9]Table 11 CWTs exp'!J9/'[9]Table 11 CWTs exp'!$AA9,IF('[9]Table 11 CWTs exp'!J9/'[9]Table 11 CWTs exp'!$AA9&gt;0,"&lt;1%"," "))</f>
        <v>7.7274859287054409E-2</v>
      </c>
      <c r="K9" s="144" t="str">
        <f>IF('[9]Table 11 CWTs exp'!K9/'[9]Table 11 CWTs exp'!$AA9&gt;=0.005,'[9]Table 11 CWTs exp'!K9/'[9]Table 11 CWTs exp'!$AA9,IF('[9]Table 11 CWTs exp'!K9/'[9]Table 11 CWTs exp'!$AA9&gt;0,"&lt;1%"," "))</f>
        <v xml:space="preserve"> </v>
      </c>
      <c r="L9" s="144" t="str">
        <f>IF('[9]Table 11 CWTs exp'!L9/'[9]Table 11 CWTs exp'!$AA9&gt;=0.005,'[9]Table 11 CWTs exp'!L9/'[9]Table 11 CWTs exp'!$AA9,IF('[9]Table 11 CWTs exp'!L9/'[9]Table 11 CWTs exp'!$AA9&gt;0,"&lt;1%"," "))</f>
        <v xml:space="preserve"> </v>
      </c>
      <c r="M9" s="144" t="str">
        <f>IF('[9]Table 11 CWTs exp'!M9/'[9]Table 11 CWTs exp'!$AA9&gt;=0.005,'[9]Table 11 CWTs exp'!M9/'[9]Table 11 CWTs exp'!$AA9,IF('[9]Table 11 CWTs exp'!M9/'[9]Table 11 CWTs exp'!$AA9&gt;0,"&lt;1%"," "))</f>
        <v xml:space="preserve"> </v>
      </c>
      <c r="N9" s="144" t="str">
        <f>IF('[9]Table 11 CWTs exp'!N9/'[9]Table 11 CWTs exp'!$AA9&gt;=0.005,'[9]Table 11 CWTs exp'!N9/'[9]Table 11 CWTs exp'!$AA9,IF('[9]Table 11 CWTs exp'!N9/'[9]Table 11 CWTs exp'!$AA9&gt;0,"&lt;1%"," "))</f>
        <v xml:space="preserve"> </v>
      </c>
      <c r="O9" s="144" t="str">
        <f>IF('[9]Table 11 CWTs exp'!O9/'[9]Table 11 CWTs exp'!$AA9&gt;=0.005,'[9]Table 11 CWTs exp'!O9/'[9]Table 11 CWTs exp'!$AA9,IF('[9]Table 11 CWTs exp'!O9/'[9]Table 11 CWTs exp'!$AA9&gt;0,"&lt;1%"," "))</f>
        <v>&lt;1%</v>
      </c>
      <c r="P9" s="144">
        <f>IF('[9]Table 11 CWTs exp'!P9/'[9]Table 11 CWTs exp'!$AA9&gt;=0.005,'[9]Table 11 CWTs exp'!P9/'[9]Table 11 CWTs exp'!$AA9,IF('[9]Table 11 CWTs exp'!P9/'[9]Table 11 CWTs exp'!$AA9&gt;0,"&lt;1%"," "))</f>
        <v>5.1594746716697934E-3</v>
      </c>
      <c r="Q9" s="145" t="str">
        <f>IF('[9]Table 11 CWTs exp'!Q9/'[9]Table 11 CWTs exp'!$AA9&gt;=0.005,'[9]Table 11 CWTs exp'!Q9/'[9]Table 11 CWTs exp'!$AA9,IF('[9]Table 11 CWTs exp'!Q9/'[9]Table 11 CWTs exp'!$AA9&gt;0,"&lt;1%"," "))</f>
        <v xml:space="preserve"> </v>
      </c>
      <c r="R9" s="146" t="str">
        <f>IF('[9]Table 11 CWTs exp'!R9/'[9]Table 11 CWTs exp'!$AA9&gt;=0.005,'[9]Table 11 CWTs exp'!R9/'[9]Table 11 CWTs exp'!$AA9,IF('[9]Table 11 CWTs exp'!R9/'[9]Table 11 CWTs exp'!$AA9&gt;0,"&lt;1%"," "))</f>
        <v xml:space="preserve"> </v>
      </c>
      <c r="S9" s="144" t="str">
        <f>IF('[9]Table 11 CWTs exp'!S9/'[9]Table 11 CWTs exp'!$AA9&gt;=0.005,'[9]Table 11 CWTs exp'!S9/'[9]Table 11 CWTs exp'!$AA9,IF('[9]Table 11 CWTs exp'!S9/'[9]Table 11 CWTs exp'!$AA9&gt;0,"&lt;1%"," "))</f>
        <v>&lt;1%</v>
      </c>
      <c r="T9" s="144" t="str">
        <f>IF('[9]Table 11 CWTs exp'!T9/'[9]Table 11 CWTs exp'!$AA9&gt;=0.005,'[9]Table 11 CWTs exp'!T9/'[9]Table 11 CWTs exp'!$AA9,IF('[9]Table 11 CWTs exp'!T9/'[9]Table 11 CWTs exp'!$AA9&gt;0,"&lt;1%"," "))</f>
        <v>&lt;1%</v>
      </c>
      <c r="U9" s="144" t="str">
        <f>IF('[9]Table 11 CWTs exp'!U9/'[9]Table 11 CWTs exp'!$AA9&gt;=0.005,'[9]Table 11 CWTs exp'!U9/'[9]Table 11 CWTs exp'!$AA9,IF('[9]Table 11 CWTs exp'!U9/'[9]Table 11 CWTs exp'!$AA9&gt;0,"&lt;1%"," "))</f>
        <v>&lt;1%</v>
      </c>
      <c r="V9" s="146" t="str">
        <f>IF('[9]Table 11 CWTs exp'!V9/'[9]Table 11 CWTs exp'!$AA9&gt;=0.005,'[9]Table 11 CWTs exp'!V9/'[9]Table 11 CWTs exp'!$AA9,IF('[9]Table 11 CWTs exp'!V9/'[9]Table 11 CWTs exp'!$AA9&gt;0,"&lt;1%"," "))</f>
        <v>&lt;1%</v>
      </c>
      <c r="W9" s="146" t="str">
        <f>IF('[9]Table 11 CWTs exp'!W9/'[9]Table 11 CWTs exp'!$AA9&gt;=0.005,'[9]Table 11 CWTs exp'!W9/'[9]Table 11 CWTs exp'!$AA9,IF('[9]Table 11 CWTs exp'!W9/'[9]Table 11 CWTs exp'!$AA9&gt;0,"&lt;1%"," "))</f>
        <v>&lt;1%</v>
      </c>
      <c r="X9" s="206" t="str">
        <f>IF('[9]Table 11 CWTs exp'!X9/'[9]Table 11 CWTs exp'!$AA9&gt;0.0005,'[9]Table 11 CWTs exp'!X9/'[9]Table 11 CWTs exp'!$AA9,IF('[9]Table 11 CWTs exp'!X9/'[9]Table 11 CWTs exp'!$AA9&gt;0,"-"," "))</f>
        <v xml:space="preserve"> </v>
      </c>
      <c r="Y9" s="147">
        <f t="shared" si="0"/>
        <v>0.82926829268292679</v>
      </c>
      <c r="Z9" s="148">
        <f t="shared" si="1"/>
        <v>0.17173170731707321</v>
      </c>
      <c r="AA9" s="38">
        <f>'[9]Table 11 CWTs exp'!AA9</f>
        <v>8528</v>
      </c>
      <c r="AC9" s="592">
        <f>'[9]Table 11 CWTs exp'!AD9</f>
        <v>0.82926829268292679</v>
      </c>
      <c r="AD9" s="592">
        <f t="shared" si="2"/>
        <v>0</v>
      </c>
      <c r="AE9" s="593" t="str">
        <f t="shared" si="3"/>
        <v>CNFH503</v>
      </c>
      <c r="AF9" s="442"/>
    </row>
    <row r="10" spans="1:35" ht="14.5" customHeight="1" x14ac:dyDescent="0.25">
      <c r="A10" s="54" t="str">
        <f>'[9]Table 11 CWTs exp'!A10</f>
        <v>FRFH503</v>
      </c>
      <c r="B10" s="75" t="str">
        <f>'[9]Table 11 CWTs exp'!B10</f>
        <v>FRFH</v>
      </c>
      <c r="C10" s="75">
        <f>'[9]Table 11 CWTs exp'!C10</f>
        <v>50</v>
      </c>
      <c r="D10" s="75">
        <f>'[9]Table 11 CWTs exp'!D10</f>
        <v>3</v>
      </c>
      <c r="E10" s="3" t="str">
        <f>'[9]Table 11 CWTs exp'!E10</f>
        <v>Feather River Hatchery</v>
      </c>
      <c r="F10" s="143" t="str">
        <f>'[9]Table 11 CWTs exp'!F10</f>
        <v>Fall</v>
      </c>
      <c r="G10" s="151" t="str">
        <f>IF('[9]Table 11 CWTs exp'!G10/'[9]Table 11 CWTs exp'!$AA10&gt;=0.005,'[9]Table 11 CWTs exp'!G10/'[9]Table 11 CWTs exp'!$AA10,IF('[9]Table 11 CWTs exp'!G10/'[9]Table 11 CWTs exp'!$AA10&gt;0,"&lt;1%"," "))</f>
        <v xml:space="preserve"> </v>
      </c>
      <c r="H10" s="145" t="str">
        <f>IF('[9]Table 11 CWTs exp'!H10/'[9]Table 11 CWTs exp'!$AA10&gt;=0.005,'[9]Table 11 CWTs exp'!H10/'[9]Table 11 CWTs exp'!$AA10,IF('[9]Table 11 CWTs exp'!H10/'[9]Table 11 CWTs exp'!$AA10&gt;0,"&lt;1%"," "))</f>
        <v xml:space="preserve"> </v>
      </c>
      <c r="I10" s="144" t="str">
        <f>IF('[9]Table 11 CWTs exp'!I10/'[9]Table 11 CWTs exp'!$AA10&gt;=0.005,'[9]Table 11 CWTs exp'!I10/'[9]Table 11 CWTs exp'!$AA10,IF('[9]Table 11 CWTs exp'!I10/'[9]Table 11 CWTs exp'!$AA10&gt;0,"&lt;1%"," "))</f>
        <v>&lt;1%</v>
      </c>
      <c r="J10" s="146">
        <f>IF('[9]Table 11 CWTs exp'!J10/'[9]Table 11 CWTs exp'!$AA10&gt;=0.005,'[9]Table 11 CWTs exp'!J10/'[9]Table 11 CWTs exp'!$AA10,IF('[9]Table 11 CWTs exp'!J10/'[9]Table 11 CWTs exp'!$AA10&gt;0,"&lt;1%"," "))</f>
        <v>6.8933644677952904E-2</v>
      </c>
      <c r="K10" s="144">
        <f>IF('[9]Table 11 CWTs exp'!K10/'[9]Table 11 CWTs exp'!$AA10&gt;=0.005,'[9]Table 11 CWTs exp'!K10/'[9]Table 11 CWTs exp'!$AA10,IF('[9]Table 11 CWTs exp'!K10/'[9]Table 11 CWTs exp'!$AA10&gt;0,"&lt;1%"," "))</f>
        <v>3.512356489589414E-2</v>
      </c>
      <c r="L10" s="144">
        <f>IF('[9]Table 11 CWTs exp'!L10/'[9]Table 11 CWTs exp'!$AA10&gt;=0.005,'[9]Table 11 CWTs exp'!L10/'[9]Table 11 CWTs exp'!$AA10,IF('[9]Table 11 CWTs exp'!L10/'[9]Table 11 CWTs exp'!$AA10&gt;0,"&lt;1%"," "))</f>
        <v>4.4707141467211518E-2</v>
      </c>
      <c r="M10" s="144" t="str">
        <f>IF('[9]Table 11 CWTs exp'!M10/'[9]Table 11 CWTs exp'!$AA10&gt;=0.005,'[9]Table 11 CWTs exp'!M10/'[9]Table 11 CWTs exp'!$AA10,IF('[9]Table 11 CWTs exp'!M10/'[9]Table 11 CWTs exp'!$AA10&gt;0,"&lt;1%"," "))</f>
        <v>&lt;1%</v>
      </c>
      <c r="N10" s="144">
        <f>IF('[9]Table 11 CWTs exp'!N10/'[9]Table 11 CWTs exp'!$AA10&gt;=0.005,'[9]Table 11 CWTs exp'!N10/'[9]Table 11 CWTs exp'!$AA10,IF('[9]Table 11 CWTs exp'!N10/'[9]Table 11 CWTs exp'!$AA10&gt;0,"&lt;1%"," "))</f>
        <v>2.9966919634170072E-2</v>
      </c>
      <c r="O10" s="144">
        <f>IF('[9]Table 11 CWTs exp'!O10/'[9]Table 11 CWTs exp'!$AA10&gt;=0.005,'[9]Table 11 CWTs exp'!O10/'[9]Table 11 CWTs exp'!$AA10,IF('[9]Table 11 CWTs exp'!O10/'[9]Table 11 CWTs exp'!$AA10&gt;0,"&lt;1%"," "))</f>
        <v>0.63562949990270479</v>
      </c>
      <c r="P10" s="144">
        <f>IF('[9]Table 11 CWTs exp'!P10/'[9]Table 11 CWTs exp'!$AA10&gt;=0.005,'[9]Table 11 CWTs exp'!P10/'[9]Table 11 CWTs exp'!$AA10,IF('[9]Table 11 CWTs exp'!P10/'[9]Table 11 CWTs exp'!$AA10&gt;0,"&lt;1%"," "))</f>
        <v>0.12711617046117921</v>
      </c>
      <c r="Q10" s="145" t="str">
        <f>IF('[9]Table 11 CWTs exp'!Q10/'[9]Table 11 CWTs exp'!$AA10&gt;=0.005,'[9]Table 11 CWTs exp'!Q10/'[9]Table 11 CWTs exp'!$AA10,IF('[9]Table 11 CWTs exp'!Q10/'[9]Table 11 CWTs exp'!$AA10&gt;0,"&lt;1%"," "))</f>
        <v xml:space="preserve"> </v>
      </c>
      <c r="R10" s="146">
        <f>IF('[9]Table 11 CWTs exp'!R10/'[9]Table 11 CWTs exp'!$AA10&gt;=0.005,'[9]Table 11 CWTs exp'!R10/'[9]Table 11 CWTs exp'!$AA10,IF('[9]Table 11 CWTs exp'!R10/'[9]Table 11 CWTs exp'!$AA10&gt;0,"&lt;1%"," "))</f>
        <v>9.9241097489784005E-3</v>
      </c>
      <c r="S10" s="144" t="str">
        <f>IF('[9]Table 11 CWTs exp'!S10/'[9]Table 11 CWTs exp'!$AA10&gt;=0.005,'[9]Table 11 CWTs exp'!S10/'[9]Table 11 CWTs exp'!$AA10,IF('[9]Table 11 CWTs exp'!S10/'[9]Table 11 CWTs exp'!$AA10&gt;0,"&lt;1%"," "))</f>
        <v>&lt;1%</v>
      </c>
      <c r="T10" s="144" t="str">
        <f>IF('[9]Table 11 CWTs exp'!T10/'[9]Table 11 CWTs exp'!$AA10&gt;=0.005,'[9]Table 11 CWTs exp'!T10/'[9]Table 11 CWTs exp'!$AA10,IF('[9]Table 11 CWTs exp'!T10/'[9]Table 11 CWTs exp'!$AA10&gt;0,"&lt;1%"," "))</f>
        <v>&lt;1%</v>
      </c>
      <c r="U10" s="144" t="str">
        <f>IF('[9]Table 11 CWTs exp'!U10/'[9]Table 11 CWTs exp'!$AA10&gt;=0.005,'[9]Table 11 CWTs exp'!U10/'[9]Table 11 CWTs exp'!$AA10,IF('[9]Table 11 CWTs exp'!U10/'[9]Table 11 CWTs exp'!$AA10&gt;0,"&lt;1%"," "))</f>
        <v>&lt;1%</v>
      </c>
      <c r="V10" s="146" t="str">
        <f>IF('[9]Table 11 CWTs exp'!V10/'[9]Table 11 CWTs exp'!$AA10&gt;=0.005,'[9]Table 11 CWTs exp'!V10/'[9]Table 11 CWTs exp'!$AA10,IF('[9]Table 11 CWTs exp'!V10/'[9]Table 11 CWTs exp'!$AA10&gt;0,"&lt;1%"," "))</f>
        <v>&lt;1%</v>
      </c>
      <c r="W10" s="146" t="str">
        <f>IF('[9]Table 11 CWTs exp'!W10/'[9]Table 11 CWTs exp'!$AA10&gt;=0.005,'[9]Table 11 CWTs exp'!W10/'[9]Table 11 CWTs exp'!$AA10,IF('[9]Table 11 CWTs exp'!W10/'[9]Table 11 CWTs exp'!$AA10&gt;0,"&lt;1%"," "))</f>
        <v>&lt;1%</v>
      </c>
      <c r="X10" s="206" t="str">
        <f>IF('[9]Table 11 CWTs exp'!X10/'[9]Table 11 CWTs exp'!$AA10&gt;0.0005,'[9]Table 11 CWTs exp'!X10/'[9]Table 11 CWTs exp'!$AA10,IF('[9]Table 11 CWTs exp'!X10/'[9]Table 11 CWTs exp'!$AA10&gt;0,"-"," "))</f>
        <v xml:space="preserve"> </v>
      </c>
      <c r="Y10" s="147">
        <f t="shared" si="0"/>
        <v>0.96020626581046897</v>
      </c>
      <c r="Z10" s="148">
        <f t="shared" si="1"/>
        <v>4.0793734189531028E-2</v>
      </c>
      <c r="AA10" s="38">
        <f>'[9]Table 11 CWTs exp'!AA10</f>
        <v>20556</v>
      </c>
      <c r="AC10" s="592">
        <f>'[9]Table 11 CWTs exp'!AD10</f>
        <v>0.96020626581046897</v>
      </c>
      <c r="AD10" s="592">
        <f t="shared" si="2"/>
        <v>0</v>
      </c>
      <c r="AE10" s="593" t="str">
        <f t="shared" si="3"/>
        <v>FRFH503</v>
      </c>
      <c r="AF10" s="442"/>
    </row>
    <row r="11" spans="1:35" ht="14.5" customHeight="1" x14ac:dyDescent="0.25">
      <c r="A11" s="54" t="str">
        <f>'[9]Table 11 CWTs exp'!A11</f>
        <v>NBFH503</v>
      </c>
      <c r="B11" s="75" t="str">
        <f>'[9]Table 11 CWTs exp'!B11</f>
        <v>NBFH</v>
      </c>
      <c r="C11" s="75">
        <f>'[9]Table 11 CWTs exp'!C11</f>
        <v>50</v>
      </c>
      <c r="D11" s="75">
        <f>'[9]Table 11 CWTs exp'!D11</f>
        <v>3</v>
      </c>
      <c r="E11" s="3" t="str">
        <f>'[9]Table 11 CWTs exp'!E11</f>
        <v>Nimbus Fish Hatchery</v>
      </c>
      <c r="F11" s="143" t="str">
        <f>'[9]Table 11 CWTs exp'!F11</f>
        <v>Fall</v>
      </c>
      <c r="G11" s="151" t="str">
        <f>IF('[9]Table 11 CWTs exp'!G11/'[9]Table 11 CWTs exp'!$AA11&gt;=0.005,'[9]Table 11 CWTs exp'!G11/'[9]Table 11 CWTs exp'!$AA11,IF('[9]Table 11 CWTs exp'!G11/'[9]Table 11 CWTs exp'!$AA11&gt;0,"&lt;1%"," "))</f>
        <v xml:space="preserve"> </v>
      </c>
      <c r="H11" s="145" t="str">
        <f>IF('[9]Table 11 CWTs exp'!H11/'[9]Table 11 CWTs exp'!$AA11&gt;=0.005,'[9]Table 11 CWTs exp'!H11/'[9]Table 11 CWTs exp'!$AA11,IF('[9]Table 11 CWTs exp'!H11/'[9]Table 11 CWTs exp'!$AA11&gt;0,"&lt;1%"," "))</f>
        <v xml:space="preserve"> </v>
      </c>
      <c r="I11" s="144" t="str">
        <f>IF('[9]Table 11 CWTs exp'!I11/'[9]Table 11 CWTs exp'!$AA11&gt;=0.005,'[9]Table 11 CWTs exp'!I11/'[9]Table 11 CWTs exp'!$AA11,IF('[9]Table 11 CWTs exp'!I11/'[9]Table 11 CWTs exp'!$AA11&gt;0,"&lt;1%"," "))</f>
        <v xml:space="preserve"> </v>
      </c>
      <c r="J11" s="146">
        <f>IF('[9]Table 11 CWTs exp'!J11/'[9]Table 11 CWTs exp'!$AA11&gt;=0.005,'[9]Table 11 CWTs exp'!J11/'[9]Table 11 CWTs exp'!$AA11,IF('[9]Table 11 CWTs exp'!J11/'[9]Table 11 CWTs exp'!$AA11&gt;0,"&lt;1%"," "))</f>
        <v>0.13868845500848898</v>
      </c>
      <c r="K11" s="144" t="str">
        <f>IF('[9]Table 11 CWTs exp'!K11/'[9]Table 11 CWTs exp'!$AA11&gt;=0.005,'[9]Table 11 CWTs exp'!K11/'[9]Table 11 CWTs exp'!$AA11,IF('[9]Table 11 CWTs exp'!K11/'[9]Table 11 CWTs exp'!$AA11&gt;0,"&lt;1%"," "))</f>
        <v xml:space="preserve"> </v>
      </c>
      <c r="L11" s="144" t="str">
        <f>IF('[9]Table 11 CWTs exp'!L11/'[9]Table 11 CWTs exp'!$AA11&gt;=0.005,'[9]Table 11 CWTs exp'!L11/'[9]Table 11 CWTs exp'!$AA11,IF('[9]Table 11 CWTs exp'!L11/'[9]Table 11 CWTs exp'!$AA11&gt;0,"&lt;1%"," "))</f>
        <v xml:space="preserve"> </v>
      </c>
      <c r="M11" s="144" t="str">
        <f>IF('[9]Table 11 CWTs exp'!M11/'[9]Table 11 CWTs exp'!$AA11&gt;=0.005,'[9]Table 11 CWTs exp'!M11/'[9]Table 11 CWTs exp'!$AA11,IF('[9]Table 11 CWTs exp'!M11/'[9]Table 11 CWTs exp'!$AA11&gt;0,"&lt;1%"," "))</f>
        <v xml:space="preserve"> </v>
      </c>
      <c r="N11" s="144" t="str">
        <f>IF('[9]Table 11 CWTs exp'!N11/'[9]Table 11 CWTs exp'!$AA11&gt;=0.005,'[9]Table 11 CWTs exp'!N11/'[9]Table 11 CWTs exp'!$AA11,IF('[9]Table 11 CWTs exp'!N11/'[9]Table 11 CWTs exp'!$AA11&gt;0,"&lt;1%"," "))</f>
        <v xml:space="preserve"> </v>
      </c>
      <c r="O11" s="144">
        <f>IF('[9]Table 11 CWTs exp'!O11/'[9]Table 11 CWTs exp'!$AA11&gt;=0.005,'[9]Table 11 CWTs exp'!O11/'[9]Table 11 CWTs exp'!$AA11,IF('[9]Table 11 CWTs exp'!O11/'[9]Table 11 CWTs exp'!$AA11&gt;0,"&lt;1%"," "))</f>
        <v>1.5916808149405774E-2</v>
      </c>
      <c r="P11" s="144">
        <f>IF('[9]Table 11 CWTs exp'!P11/'[9]Table 11 CWTs exp'!$AA11&gt;=0.005,'[9]Table 11 CWTs exp'!P11/'[9]Table 11 CWTs exp'!$AA11,IF('[9]Table 11 CWTs exp'!P11/'[9]Table 11 CWTs exp'!$AA11&gt;0,"&lt;1%"," "))</f>
        <v>9.2317487266553484E-3</v>
      </c>
      <c r="Q11" s="145">
        <f>IF('[9]Table 11 CWTs exp'!Q11/'[9]Table 11 CWTs exp'!$AA11&gt;=0.005,'[9]Table 11 CWTs exp'!Q11/'[9]Table 11 CWTs exp'!$AA11,IF('[9]Table 11 CWTs exp'!Q11/'[9]Table 11 CWTs exp'!$AA11&gt;0,"&lt;1%"," "))</f>
        <v>5.2737691001697791E-2</v>
      </c>
      <c r="R11" s="146">
        <f>IF('[9]Table 11 CWTs exp'!R11/'[9]Table 11 CWTs exp'!$AA11&gt;=0.005,'[9]Table 11 CWTs exp'!R11/'[9]Table 11 CWTs exp'!$AA11,IF('[9]Table 11 CWTs exp'!R11/'[9]Table 11 CWTs exp'!$AA11&gt;0,"&lt;1%"," "))</f>
        <v>0.58626910016977929</v>
      </c>
      <c r="S11" s="144" t="str">
        <f>IF('[9]Table 11 CWTs exp'!S11/'[9]Table 11 CWTs exp'!$AA11&gt;=0.005,'[9]Table 11 CWTs exp'!S11/'[9]Table 11 CWTs exp'!$AA11,IF('[9]Table 11 CWTs exp'!S11/'[9]Table 11 CWTs exp'!$AA11&gt;0,"&lt;1%"," "))</f>
        <v>&lt;1%</v>
      </c>
      <c r="T11" s="144" t="str">
        <f>IF('[9]Table 11 CWTs exp'!T11/'[9]Table 11 CWTs exp'!$AA11&gt;=0.005,'[9]Table 11 CWTs exp'!T11/'[9]Table 11 CWTs exp'!$AA11,IF('[9]Table 11 CWTs exp'!T11/'[9]Table 11 CWTs exp'!$AA11&gt;0,"&lt;1%"," "))</f>
        <v>&lt;1%</v>
      </c>
      <c r="U11" s="144">
        <f>IF('[9]Table 11 CWTs exp'!U11/'[9]Table 11 CWTs exp'!$AA11&gt;=0.005,'[9]Table 11 CWTs exp'!U11/'[9]Table 11 CWTs exp'!$AA11,IF('[9]Table 11 CWTs exp'!U11/'[9]Table 11 CWTs exp'!$AA11&gt;0,"&lt;1%"," "))</f>
        <v>5.921052631578947E-2</v>
      </c>
      <c r="V11" s="146" t="str">
        <f>IF('[9]Table 11 CWTs exp'!V11/'[9]Table 11 CWTs exp'!$AA11&gt;=0.005,'[9]Table 11 CWTs exp'!V11/'[9]Table 11 CWTs exp'!$AA11,IF('[9]Table 11 CWTs exp'!V11/'[9]Table 11 CWTs exp'!$AA11&gt;0,"&lt;1%"," "))</f>
        <v>&lt;1%</v>
      </c>
      <c r="W11" s="146">
        <f>IF('[9]Table 11 CWTs exp'!W11/'[9]Table 11 CWTs exp'!$AA11&gt;=0.005,'[9]Table 11 CWTs exp'!W11/'[9]Table 11 CWTs exp'!$AA11,IF('[9]Table 11 CWTs exp'!W11/'[9]Table 11 CWTs exp'!$AA11&gt;0,"&lt;1%"," "))</f>
        <v>1.2415110356536502E-2</v>
      </c>
      <c r="X11" s="206" t="str">
        <f>IF('[9]Table 11 CWTs exp'!X11/'[9]Table 11 CWTs exp'!$AA11&gt;0.0005,'[9]Table 11 CWTs exp'!X11/'[9]Table 11 CWTs exp'!$AA11,IF('[9]Table 11 CWTs exp'!X11/'[9]Table 11 CWTs exp'!$AA11&gt;0,"-"," "))</f>
        <v xml:space="preserve"> </v>
      </c>
      <c r="Y11" s="147">
        <f t="shared" si="0"/>
        <v>0.88370118845500845</v>
      </c>
      <c r="Z11" s="148">
        <f t="shared" si="1"/>
        <v>0.11729881154499155</v>
      </c>
      <c r="AA11" s="38">
        <f>'[9]Table 11 CWTs exp'!AA11</f>
        <v>9424</v>
      </c>
      <c r="AC11" s="592">
        <f>'[9]Table 11 CWTs exp'!AD11</f>
        <v>0.88370118845500845</v>
      </c>
      <c r="AD11" s="592">
        <f t="shared" si="2"/>
        <v>0</v>
      </c>
      <c r="AE11" s="593" t="str">
        <f t="shared" si="3"/>
        <v>NBFH503</v>
      </c>
      <c r="AF11" s="442"/>
    </row>
    <row r="12" spans="1:35" ht="14.5" customHeight="1" x14ac:dyDescent="0.25">
      <c r="A12" s="54" t="str">
        <f>'[9]Table 11 CWTs exp'!A12</f>
        <v>MRFI503</v>
      </c>
      <c r="B12" s="75" t="str">
        <f>'[9]Table 11 CWTs exp'!B12</f>
        <v>MRFI</v>
      </c>
      <c r="C12" s="75">
        <f>'[9]Table 11 CWTs exp'!C12</f>
        <v>50</v>
      </c>
      <c r="D12" s="75">
        <f>'[9]Table 11 CWTs exp'!D12</f>
        <v>3</v>
      </c>
      <c r="E12" s="3" t="str">
        <f>'[9]Table 11 CWTs exp'!E12</f>
        <v>Mokelumne River Hatchery</v>
      </c>
      <c r="F12" s="143" t="str">
        <f>'[9]Table 11 CWTs exp'!F12</f>
        <v>Fall</v>
      </c>
      <c r="G12" s="151" t="str">
        <f>IF('[9]Table 11 CWTs exp'!G12/'[9]Table 11 CWTs exp'!$AA12&gt;=0.005,'[9]Table 11 CWTs exp'!G12/'[9]Table 11 CWTs exp'!$AA12,IF('[9]Table 11 CWTs exp'!G12/'[9]Table 11 CWTs exp'!$AA12&gt;0,"&lt;1%"," "))</f>
        <v xml:space="preserve"> </v>
      </c>
      <c r="H12" s="145" t="str">
        <f>IF('[9]Table 11 CWTs exp'!H12/'[9]Table 11 CWTs exp'!$AA12&gt;=0.005,'[9]Table 11 CWTs exp'!H12/'[9]Table 11 CWTs exp'!$AA12,IF('[9]Table 11 CWTs exp'!H12/'[9]Table 11 CWTs exp'!$AA12&gt;0,"&lt;1%"," "))</f>
        <v xml:space="preserve"> </v>
      </c>
      <c r="I12" s="144" t="str">
        <f>IF('[9]Table 11 CWTs exp'!I12/'[9]Table 11 CWTs exp'!$AA12&gt;=0.005,'[9]Table 11 CWTs exp'!I12/'[9]Table 11 CWTs exp'!$AA12,IF('[9]Table 11 CWTs exp'!I12/'[9]Table 11 CWTs exp'!$AA12&gt;0,"&lt;1%"," "))</f>
        <v xml:space="preserve"> </v>
      </c>
      <c r="J12" s="146">
        <f>IF('[9]Table 11 CWTs exp'!J12/'[9]Table 11 CWTs exp'!$AA12&gt;=0.005,'[9]Table 11 CWTs exp'!J12/'[9]Table 11 CWTs exp'!$AA12,IF('[9]Table 11 CWTs exp'!J12/'[9]Table 11 CWTs exp'!$AA12&gt;0,"&lt;1%"," "))</f>
        <v>9.8155945985189494E-2</v>
      </c>
      <c r="K12" s="144" t="str">
        <f>IF('[9]Table 11 CWTs exp'!K12/'[9]Table 11 CWTs exp'!$AA12&gt;=0.005,'[9]Table 11 CWTs exp'!K12/'[9]Table 11 CWTs exp'!$AA12,IF('[9]Table 11 CWTs exp'!K12/'[9]Table 11 CWTs exp'!$AA12&gt;0,"&lt;1%"," "))</f>
        <v xml:space="preserve"> </v>
      </c>
      <c r="L12" s="144" t="str">
        <f>IF('[9]Table 11 CWTs exp'!L12/'[9]Table 11 CWTs exp'!$AA12&gt;=0.005,'[9]Table 11 CWTs exp'!L12/'[9]Table 11 CWTs exp'!$AA12,IF('[9]Table 11 CWTs exp'!L12/'[9]Table 11 CWTs exp'!$AA12&gt;0,"&lt;1%"," "))</f>
        <v xml:space="preserve"> </v>
      </c>
      <c r="M12" s="144" t="str">
        <f>IF('[9]Table 11 CWTs exp'!M12/'[9]Table 11 CWTs exp'!$AA12&gt;=0.005,'[9]Table 11 CWTs exp'!M12/'[9]Table 11 CWTs exp'!$AA12,IF('[9]Table 11 CWTs exp'!M12/'[9]Table 11 CWTs exp'!$AA12&gt;0,"&lt;1%"," "))</f>
        <v>&lt;1%</v>
      </c>
      <c r="N12" s="144" t="str">
        <f>IF('[9]Table 11 CWTs exp'!N12/'[9]Table 11 CWTs exp'!$AA12&gt;=0.005,'[9]Table 11 CWTs exp'!N12/'[9]Table 11 CWTs exp'!$AA12,IF('[9]Table 11 CWTs exp'!N12/'[9]Table 11 CWTs exp'!$AA12&gt;0,"&lt;1%"," "))</f>
        <v xml:space="preserve"> </v>
      </c>
      <c r="O12" s="144">
        <f>IF('[9]Table 11 CWTs exp'!O12/'[9]Table 11 CWTs exp'!$AA12&gt;=0.005,'[9]Table 11 CWTs exp'!O12/'[9]Table 11 CWTs exp'!$AA12,IF('[9]Table 11 CWTs exp'!O12/'[9]Table 11 CWTs exp'!$AA12&gt;0,"&lt;1%"," "))</f>
        <v>1.5681719181065777E-2</v>
      </c>
      <c r="P12" s="144" t="str">
        <f>IF('[9]Table 11 CWTs exp'!P12/'[9]Table 11 CWTs exp'!$AA12&gt;=0.005,'[9]Table 11 CWTs exp'!P12/'[9]Table 11 CWTs exp'!$AA12,IF('[9]Table 11 CWTs exp'!P12/'[9]Table 11 CWTs exp'!$AA12&gt;0,"&lt;1%"," "))</f>
        <v>&lt;1%</v>
      </c>
      <c r="Q12" s="145" t="str">
        <f>IF('[9]Table 11 CWTs exp'!Q12/'[9]Table 11 CWTs exp'!$AA12&gt;=0.005,'[9]Table 11 CWTs exp'!Q12/'[9]Table 11 CWTs exp'!$AA12,IF('[9]Table 11 CWTs exp'!Q12/'[9]Table 11 CWTs exp'!$AA12&gt;0,"&lt;1%"," "))</f>
        <v xml:space="preserve"> </v>
      </c>
      <c r="R12" s="146">
        <f>IF('[9]Table 11 CWTs exp'!R12/'[9]Table 11 CWTs exp'!$AA12&gt;=0.005,'[9]Table 11 CWTs exp'!R12/'[9]Table 11 CWTs exp'!$AA12,IF('[9]Table 11 CWTs exp'!R12/'[9]Table 11 CWTs exp'!$AA12&gt;0,"&lt;1%"," "))</f>
        <v>0.38158850007260053</v>
      </c>
      <c r="S12" s="144">
        <f>IF('[9]Table 11 CWTs exp'!S12/'[9]Table 11 CWTs exp'!$AA12&gt;=0.005,'[9]Table 11 CWTs exp'!S12/'[9]Table 11 CWTs exp'!$AA12,IF('[9]Table 11 CWTs exp'!S12/'[9]Table 11 CWTs exp'!$AA12&gt;0,"&lt;1%"," "))</f>
        <v>9.0024684187599829E-3</v>
      </c>
      <c r="T12" s="144">
        <f>IF('[9]Table 11 CWTs exp'!T12/'[9]Table 11 CWTs exp'!$AA12&gt;=0.005,'[9]Table 11 CWTs exp'!T12/'[9]Table 11 CWTs exp'!$AA12,IF('[9]Table 11 CWTs exp'!T12/'[9]Table 11 CWTs exp'!$AA12&gt;0,"&lt;1%"," "))</f>
        <v>1.3358501524611587E-2</v>
      </c>
      <c r="U12" s="144">
        <f>IF('[9]Table 11 CWTs exp'!U12/'[9]Table 11 CWTs exp'!$AA12&gt;=0.005,'[9]Table 11 CWTs exp'!U12/'[9]Table 11 CWTs exp'!$AA12,IF('[9]Table 11 CWTs exp'!U12/'[9]Table 11 CWTs exp'!$AA12&gt;0,"&lt;1%"," "))</f>
        <v>0.35095106722811092</v>
      </c>
      <c r="V12" s="146">
        <f>IF('[9]Table 11 CWTs exp'!V12/'[9]Table 11 CWTs exp'!$AA12&gt;=0.005,'[9]Table 11 CWTs exp'!V12/'[9]Table 11 CWTs exp'!$AA12,IF('[9]Table 11 CWTs exp'!V12/'[9]Table 11 CWTs exp'!$AA12&gt;0,"&lt;1%"," "))</f>
        <v>1.0164077246987077E-2</v>
      </c>
      <c r="W12" s="146">
        <f>IF('[9]Table 11 CWTs exp'!W12/'[9]Table 11 CWTs exp'!$AA12&gt;=0.005,'[9]Table 11 CWTs exp'!W12/'[9]Table 11 CWTs exp'!$AA12,IF('[9]Table 11 CWTs exp'!W12/'[9]Table 11 CWTs exp'!$AA12&gt;0,"&lt;1%"," "))</f>
        <v>1.9747350079860608E-2</v>
      </c>
      <c r="X12" s="144" t="str">
        <f>IF('[9]Table 11 CWTs exp'!X12/'[9]Table 11 CWTs exp'!$AA12&gt;0.0005,'[9]Table 11 CWTs exp'!X12/'[9]Table 11 CWTs exp'!$AA12,IF('[9]Table 11 CWTs exp'!X12/'[9]Table 11 CWTs exp'!$AA12&gt;0,"-"," "))</f>
        <v xml:space="preserve"> </v>
      </c>
      <c r="Y12" s="147">
        <f t="shared" si="0"/>
        <v>0.90286046173950918</v>
      </c>
      <c r="Z12" s="148">
        <f t="shared" si="1"/>
        <v>9.8139538260490822E-2</v>
      </c>
      <c r="AA12" s="38">
        <f>'[9]Table 11 CWTs exp'!AA12</f>
        <v>6887</v>
      </c>
      <c r="AC12" s="592">
        <f>'[9]Table 11 CWTs exp'!AD12</f>
        <v>0.90286046173950918</v>
      </c>
      <c r="AD12" s="592">
        <f t="shared" si="2"/>
        <v>0</v>
      </c>
      <c r="AE12" s="593" t="str">
        <f t="shared" si="3"/>
        <v>MRFI503</v>
      </c>
      <c r="AF12" s="442"/>
    </row>
    <row r="13" spans="1:35" ht="14.5" customHeight="1" x14ac:dyDescent="0.25">
      <c r="A13" s="54" t="str">
        <f>'[9]Table 11 CWTs exp'!A13</f>
        <v>MRFF503</v>
      </c>
      <c r="B13" s="75" t="str">
        <f>'[9]Table 11 CWTs exp'!B13</f>
        <v>MRFF</v>
      </c>
      <c r="C13" s="75">
        <f>'[9]Table 11 CWTs exp'!C13</f>
        <v>50</v>
      </c>
      <c r="D13" s="75">
        <f>'[9]Table 11 CWTs exp'!D13</f>
        <v>3</v>
      </c>
      <c r="E13" s="3" t="str">
        <f>'[9]Table 11 CWTs exp'!E13</f>
        <v>Merced River Hatchery</v>
      </c>
      <c r="F13" s="143" t="str">
        <f>'[9]Table 11 CWTs exp'!F13</f>
        <v>Fall</v>
      </c>
      <c r="G13" s="151" t="str">
        <f>IF('[9]Table 11 CWTs exp'!G13/'[9]Table 11 CWTs exp'!$AA13&gt;=0.005,'[9]Table 11 CWTs exp'!G13/'[9]Table 11 CWTs exp'!$AA13,IF('[9]Table 11 CWTs exp'!G13/'[9]Table 11 CWTs exp'!$AA13&gt;0,"&lt;1%"," "))</f>
        <v xml:space="preserve"> </v>
      </c>
      <c r="H13" s="145" t="str">
        <f>IF('[9]Table 11 CWTs exp'!H13/'[9]Table 11 CWTs exp'!$AA13&gt;=0.005,'[9]Table 11 CWTs exp'!H13/'[9]Table 11 CWTs exp'!$AA13,IF('[9]Table 11 CWTs exp'!H13/'[9]Table 11 CWTs exp'!$AA13&gt;0,"&lt;1%"," "))</f>
        <v xml:space="preserve"> </v>
      </c>
      <c r="I13" s="144" t="str">
        <f>IF('[9]Table 11 CWTs exp'!I13/'[9]Table 11 CWTs exp'!$AA13&gt;=0.005,'[9]Table 11 CWTs exp'!I13/'[9]Table 11 CWTs exp'!$AA13,IF('[9]Table 11 CWTs exp'!I13/'[9]Table 11 CWTs exp'!$AA13&gt;0,"&lt;1%"," "))</f>
        <v xml:space="preserve"> </v>
      </c>
      <c r="J13" s="146">
        <f>IF('[9]Table 11 CWTs exp'!J13/'[9]Table 11 CWTs exp'!$AA13&gt;=0.005,'[9]Table 11 CWTs exp'!J13/'[9]Table 11 CWTs exp'!$AA13,IF('[9]Table 11 CWTs exp'!J13/'[9]Table 11 CWTs exp'!$AA13&gt;0,"&lt;1%"," "))</f>
        <v>0.10725126475548061</v>
      </c>
      <c r="K13" s="144" t="str">
        <f>IF('[9]Table 11 CWTs exp'!K13/'[9]Table 11 CWTs exp'!$AA13&gt;=0.005,'[9]Table 11 CWTs exp'!K13/'[9]Table 11 CWTs exp'!$AA13,IF('[9]Table 11 CWTs exp'!K13/'[9]Table 11 CWTs exp'!$AA13&gt;0,"&lt;1%"," "))</f>
        <v xml:space="preserve"> </v>
      </c>
      <c r="L13" s="144" t="str">
        <f>IF('[9]Table 11 CWTs exp'!L13/'[9]Table 11 CWTs exp'!$AA13&gt;=0.005,'[9]Table 11 CWTs exp'!L13/'[9]Table 11 CWTs exp'!$AA13,IF('[9]Table 11 CWTs exp'!L13/'[9]Table 11 CWTs exp'!$AA13&gt;0,"&lt;1%"," "))</f>
        <v xml:space="preserve"> </v>
      </c>
      <c r="M13" s="144" t="str">
        <f>IF('[9]Table 11 CWTs exp'!M13/'[9]Table 11 CWTs exp'!$AA13&gt;=0.005,'[9]Table 11 CWTs exp'!M13/'[9]Table 11 CWTs exp'!$AA13,IF('[9]Table 11 CWTs exp'!M13/'[9]Table 11 CWTs exp'!$AA13&gt;0,"&lt;1%"," "))</f>
        <v xml:space="preserve"> </v>
      </c>
      <c r="N13" s="144" t="str">
        <f>IF('[9]Table 11 CWTs exp'!N13/'[9]Table 11 CWTs exp'!$AA13&gt;=0.005,'[9]Table 11 CWTs exp'!N13/'[9]Table 11 CWTs exp'!$AA13,IF('[9]Table 11 CWTs exp'!N13/'[9]Table 11 CWTs exp'!$AA13&gt;0,"&lt;1%"," "))</f>
        <v xml:space="preserve"> </v>
      </c>
      <c r="O13" s="144">
        <f>IF('[9]Table 11 CWTs exp'!O13/'[9]Table 11 CWTs exp'!$AA13&gt;=0.005,'[9]Table 11 CWTs exp'!O13/'[9]Table 11 CWTs exp'!$AA13,IF('[9]Table 11 CWTs exp'!O13/'[9]Table 11 CWTs exp'!$AA13&gt;0,"&lt;1%"," "))</f>
        <v>1.2141652613827993E-2</v>
      </c>
      <c r="P13" s="144" t="str">
        <f>IF('[9]Table 11 CWTs exp'!P13/'[9]Table 11 CWTs exp'!$AA13&gt;=0.005,'[9]Table 11 CWTs exp'!P13/'[9]Table 11 CWTs exp'!$AA13,IF('[9]Table 11 CWTs exp'!P13/'[9]Table 11 CWTs exp'!$AA13&gt;0,"&lt;1%"," "))</f>
        <v>&lt;1%</v>
      </c>
      <c r="Q13" s="145" t="str">
        <f>IF('[9]Table 11 CWTs exp'!Q13/'[9]Table 11 CWTs exp'!$AA13&gt;=0.005,'[9]Table 11 CWTs exp'!Q13/'[9]Table 11 CWTs exp'!$AA13,IF('[9]Table 11 CWTs exp'!Q13/'[9]Table 11 CWTs exp'!$AA13&gt;0,"&lt;1%"," "))</f>
        <v xml:space="preserve"> </v>
      </c>
      <c r="R13" s="146">
        <f>IF('[9]Table 11 CWTs exp'!R13/'[9]Table 11 CWTs exp'!$AA13&gt;=0.005,'[9]Table 11 CWTs exp'!R13/'[9]Table 11 CWTs exp'!$AA13,IF('[9]Table 11 CWTs exp'!R13/'[9]Table 11 CWTs exp'!$AA13&gt;0,"&lt;1%"," "))</f>
        <v>4.3170320404721754E-2</v>
      </c>
      <c r="S13" s="144">
        <f>IF('[9]Table 11 CWTs exp'!S13/'[9]Table 11 CWTs exp'!$AA13&gt;=0.005,'[9]Table 11 CWTs exp'!S13/'[9]Table 11 CWTs exp'!$AA13,IF('[9]Table 11 CWTs exp'!S13/'[9]Table 11 CWTs exp'!$AA13&gt;0,"&lt;1%"," "))</f>
        <v>1.0118043844856661E-2</v>
      </c>
      <c r="T13" s="144">
        <f>IF('[9]Table 11 CWTs exp'!T13/'[9]Table 11 CWTs exp'!$AA13&gt;=0.005,'[9]Table 11 CWTs exp'!T13/'[9]Table 11 CWTs exp'!$AA13,IF('[9]Table 11 CWTs exp'!T13/'[9]Table 11 CWTs exp'!$AA13&gt;0,"&lt;1%"," "))</f>
        <v>5.3962900505902193E-3</v>
      </c>
      <c r="U13" s="144">
        <f>IF('[9]Table 11 CWTs exp'!U13/'[9]Table 11 CWTs exp'!$AA13&gt;=0.005,'[9]Table 11 CWTs exp'!U13/'[9]Table 11 CWTs exp'!$AA13,IF('[9]Table 11 CWTs exp'!U13/'[9]Table 11 CWTs exp'!$AA13&gt;0,"&lt;1%"," "))</f>
        <v>0.67419898819561552</v>
      </c>
      <c r="V13" s="146">
        <f>IF('[9]Table 11 CWTs exp'!V13/'[9]Table 11 CWTs exp'!$AA13&gt;=0.005,'[9]Table 11 CWTs exp'!V13/'[9]Table 11 CWTs exp'!$AA13,IF('[9]Table 11 CWTs exp'!V13/'[9]Table 11 CWTs exp'!$AA13&gt;0,"&lt;1%"," "))</f>
        <v>5.7335581787521083E-3</v>
      </c>
      <c r="W13" s="146">
        <f>IF('[9]Table 11 CWTs exp'!W13/'[9]Table 11 CWTs exp'!$AA13&gt;=0.005,'[9]Table 11 CWTs exp'!W13/'[9]Table 11 CWTs exp'!$AA13,IF('[9]Table 11 CWTs exp'!W13/'[9]Table 11 CWTs exp'!$AA13&gt;0,"&lt;1%"," "))</f>
        <v>3.4401349072512646E-2</v>
      </c>
      <c r="X13" s="206" t="str">
        <f>IF('[9]Table 11 CWTs exp'!X13/'[9]Table 11 CWTs exp'!$AA13&gt;0.0005,'[9]Table 11 CWTs exp'!X13/'[9]Table 11 CWTs exp'!$AA13,IF('[9]Table 11 CWTs exp'!X13/'[9]Table 11 CWTs exp'!$AA13&gt;0,"-"," "))</f>
        <v xml:space="preserve"> </v>
      </c>
      <c r="Y13" s="147">
        <f t="shared" si="0"/>
        <v>0.89477234401349071</v>
      </c>
      <c r="Z13" s="148">
        <f t="shared" si="1"/>
        <v>0.1062276559865093</v>
      </c>
      <c r="AA13" s="38">
        <f>'[9]Table 11 CWTs exp'!AA13</f>
        <v>2965</v>
      </c>
      <c r="AC13" s="592">
        <f>'[9]Table 11 CWTs exp'!AD13</f>
        <v>0.89477234401349071</v>
      </c>
      <c r="AD13" s="592">
        <f t="shared" si="2"/>
        <v>0</v>
      </c>
      <c r="AE13" s="593" t="str">
        <f t="shared" si="3"/>
        <v>MRFF503</v>
      </c>
      <c r="AF13" s="442"/>
    </row>
    <row r="14" spans="1:35" ht="14.5" customHeight="1" x14ac:dyDescent="0.25">
      <c r="A14" s="54" t="str">
        <f>'[9]Table 11 CWTs exp'!A14</f>
        <v>CNFH507</v>
      </c>
      <c r="B14" s="75" t="str">
        <f>'[9]Table 11 CWTs exp'!B14</f>
        <v>CNFH</v>
      </c>
      <c r="C14" s="75">
        <f>'[9]Table 11 CWTs exp'!C14</f>
        <v>50</v>
      </c>
      <c r="D14" s="75">
        <f>'[9]Table 11 CWTs exp'!D14</f>
        <v>7</v>
      </c>
      <c r="E14" s="3" t="str">
        <f>'[9]Table 11 CWTs exp'!E14</f>
        <v xml:space="preserve">Coleman National Fish Hatchery </v>
      </c>
      <c r="F14" s="37" t="s">
        <v>57</v>
      </c>
      <c r="G14" s="151" t="str">
        <f>IF('[9]Table 11 CWTs exp'!G14/'[9]Table 11 CWTs exp'!$AA14&gt;=0.005,'[9]Table 11 CWTs exp'!G14/'[9]Table 11 CWTs exp'!$AA14,IF('[9]Table 11 CWTs exp'!G14/'[9]Table 11 CWTs exp'!$AA14&gt;0,"&lt;1%"," "))</f>
        <v xml:space="preserve"> </v>
      </c>
      <c r="H14" s="145">
        <f>IF('[9]Table 11 CWTs exp'!H14/'[9]Table 11 CWTs exp'!$AA14&gt;=0.005,'[9]Table 11 CWTs exp'!H14/'[9]Table 11 CWTs exp'!$AA14,IF('[9]Table 11 CWTs exp'!H14/'[9]Table 11 CWTs exp'!$AA14&gt;0,"&lt;1%"," "))</f>
        <v>0.99759181216134862</v>
      </c>
      <c r="I14" s="144" t="str">
        <f>IF('[9]Table 11 CWTs exp'!I14/'[9]Table 11 CWTs exp'!$AA14&gt;=0.005,'[9]Table 11 CWTs exp'!I14/'[9]Table 11 CWTs exp'!$AA14,IF('[9]Table 11 CWTs exp'!I14/'[9]Table 11 CWTs exp'!$AA14&gt;0,"&lt;1%"," "))</f>
        <v xml:space="preserve"> </v>
      </c>
      <c r="J14" s="146" t="str">
        <f>IF('[9]Table 11 CWTs exp'!J14/'[9]Table 11 CWTs exp'!$AA14&gt;=0.005,'[9]Table 11 CWTs exp'!J14/'[9]Table 11 CWTs exp'!$AA14,IF('[9]Table 11 CWTs exp'!J14/'[9]Table 11 CWTs exp'!$AA14&gt;0,"&lt;1%"," "))</f>
        <v xml:space="preserve"> </v>
      </c>
      <c r="K14" s="144" t="str">
        <f>IF('[9]Table 11 CWTs exp'!K14/'[9]Table 11 CWTs exp'!$AA14&gt;=0.005,'[9]Table 11 CWTs exp'!K14/'[9]Table 11 CWTs exp'!$AA14,IF('[9]Table 11 CWTs exp'!K14/'[9]Table 11 CWTs exp'!$AA14&gt;0,"&lt;1%"," "))</f>
        <v xml:space="preserve"> </v>
      </c>
      <c r="L14" s="144" t="str">
        <f>IF('[9]Table 11 CWTs exp'!L14/'[9]Table 11 CWTs exp'!$AA14&gt;=0.005,'[9]Table 11 CWTs exp'!L14/'[9]Table 11 CWTs exp'!$AA14,IF('[9]Table 11 CWTs exp'!L14/'[9]Table 11 CWTs exp'!$AA14&gt;0,"&lt;1%"," "))</f>
        <v xml:space="preserve"> </v>
      </c>
      <c r="M14" s="144" t="str">
        <f>IF('[9]Table 11 CWTs exp'!M14/'[9]Table 11 CWTs exp'!$AA14&gt;=0.005,'[9]Table 11 CWTs exp'!M14/'[9]Table 11 CWTs exp'!$AA14,IF('[9]Table 11 CWTs exp'!M14/'[9]Table 11 CWTs exp'!$AA14&gt;0,"&lt;1%"," "))</f>
        <v xml:space="preserve"> </v>
      </c>
      <c r="N14" s="144" t="str">
        <f>IF('[9]Table 11 CWTs exp'!N14/'[9]Table 11 CWTs exp'!$AA14&gt;=0.005,'[9]Table 11 CWTs exp'!N14/'[9]Table 11 CWTs exp'!$AA14,IF('[9]Table 11 CWTs exp'!N14/'[9]Table 11 CWTs exp'!$AA14&gt;0,"&lt;1%"," "))</f>
        <v xml:space="preserve"> </v>
      </c>
      <c r="O14" s="144" t="str">
        <f>IF('[9]Table 11 CWTs exp'!O14/'[9]Table 11 CWTs exp'!$AA14&gt;=0.005,'[9]Table 11 CWTs exp'!O14/'[9]Table 11 CWTs exp'!$AA14,IF('[9]Table 11 CWTs exp'!O14/'[9]Table 11 CWTs exp'!$AA14&gt;0,"&lt;1%"," "))</f>
        <v xml:space="preserve"> </v>
      </c>
      <c r="P14" s="144" t="str">
        <f>IF('[9]Table 11 CWTs exp'!P14/'[9]Table 11 CWTs exp'!$AA14&gt;=0.005,'[9]Table 11 CWTs exp'!P14/'[9]Table 11 CWTs exp'!$AA14,IF('[9]Table 11 CWTs exp'!P14/'[9]Table 11 CWTs exp'!$AA14&gt;0,"&lt;1%"," "))</f>
        <v xml:space="preserve"> </v>
      </c>
      <c r="Q14" s="145" t="str">
        <f>IF('[9]Table 11 CWTs exp'!Q14/'[9]Table 11 CWTs exp'!$AA14&gt;=0.005,'[9]Table 11 CWTs exp'!Q14/'[9]Table 11 CWTs exp'!$AA14,IF('[9]Table 11 CWTs exp'!Q14/'[9]Table 11 CWTs exp'!$AA14&gt;0,"&lt;1%"," "))</f>
        <v xml:space="preserve"> </v>
      </c>
      <c r="R14" s="146" t="str">
        <f>IF('[9]Table 11 CWTs exp'!R14/'[9]Table 11 CWTs exp'!$AA14&gt;=0.005,'[9]Table 11 CWTs exp'!R14/'[9]Table 11 CWTs exp'!$AA14,IF('[9]Table 11 CWTs exp'!R14/'[9]Table 11 CWTs exp'!$AA14&gt;0,"&lt;1%"," "))</f>
        <v xml:space="preserve"> </v>
      </c>
      <c r="S14" s="144" t="str">
        <f>IF('[9]Table 11 CWTs exp'!S14/'[9]Table 11 CWTs exp'!$AA14&gt;=0.005,'[9]Table 11 CWTs exp'!S14/'[9]Table 11 CWTs exp'!$AA14,IF('[9]Table 11 CWTs exp'!S14/'[9]Table 11 CWTs exp'!$AA14&gt;0,"&lt;1%"," "))</f>
        <v xml:space="preserve"> </v>
      </c>
      <c r="T14" s="144" t="str">
        <f>IF('[9]Table 11 CWTs exp'!T14/'[9]Table 11 CWTs exp'!$AA14&gt;=0.005,'[9]Table 11 CWTs exp'!T14/'[9]Table 11 CWTs exp'!$AA14,IF('[9]Table 11 CWTs exp'!T14/'[9]Table 11 CWTs exp'!$AA14&gt;0,"&lt;1%"," "))</f>
        <v xml:space="preserve"> </v>
      </c>
      <c r="U14" s="144" t="str">
        <f>IF('[9]Table 11 CWTs exp'!U14/'[9]Table 11 CWTs exp'!$AA14&gt;=0.005,'[9]Table 11 CWTs exp'!U14/'[9]Table 11 CWTs exp'!$AA14,IF('[9]Table 11 CWTs exp'!U14/'[9]Table 11 CWTs exp'!$AA14&gt;0,"&lt;1%"," "))</f>
        <v xml:space="preserve"> </v>
      </c>
      <c r="V14" s="146" t="str">
        <f>IF('[9]Table 11 CWTs exp'!V14/'[9]Table 11 CWTs exp'!$AA14&gt;=0.005,'[9]Table 11 CWTs exp'!V14/'[9]Table 11 CWTs exp'!$AA14,IF('[9]Table 11 CWTs exp'!V14/'[9]Table 11 CWTs exp'!$AA14&gt;0,"&lt;1%"," "))</f>
        <v xml:space="preserve"> </v>
      </c>
      <c r="W14" s="146" t="str">
        <f>IF('[9]Table 11 CWTs exp'!W14/'[9]Table 11 CWTs exp'!$AA14&gt;=0.005,'[9]Table 11 CWTs exp'!W14/'[9]Table 11 CWTs exp'!$AA14,IF('[9]Table 11 CWTs exp'!W14/'[9]Table 11 CWTs exp'!$AA14&gt;0,"&lt;1%"," "))</f>
        <v xml:space="preserve"> </v>
      </c>
      <c r="X14" s="206" t="str">
        <f>IF('[9]Table 11 CWTs exp'!X14/'[9]Table 11 CWTs exp'!$AA14&gt;0.0005,'[9]Table 11 CWTs exp'!X14/'[9]Table 11 CWTs exp'!$AA14,IF('[9]Table 11 CWTs exp'!X14/'[9]Table 11 CWTs exp'!$AA14&gt;0,"-"," "))</f>
        <v xml:space="preserve"> </v>
      </c>
      <c r="Y14" s="147">
        <f t="shared" si="0"/>
        <v>0.99759181216134862</v>
      </c>
      <c r="Z14" s="148">
        <f t="shared" si="1"/>
        <v>3.4081878386513767E-3</v>
      </c>
      <c r="AA14" s="38">
        <f>'[9]Table 11 CWTs exp'!AA14</f>
        <v>1661</v>
      </c>
      <c r="AC14" s="592">
        <f>'[9]Table 11 CWTs exp'!AD14</f>
        <v>0.99759181216134862</v>
      </c>
      <c r="AD14" s="592">
        <f t="shared" si="2"/>
        <v>0</v>
      </c>
      <c r="AE14" s="593" t="str">
        <f t="shared" si="3"/>
        <v>CNFH507</v>
      </c>
      <c r="AF14" s="442"/>
    </row>
    <row r="15" spans="1:35" ht="14.5" customHeight="1" x14ac:dyDescent="0.25">
      <c r="A15" s="54" t="str">
        <f>'[9]Table 11 CWTs exp'!A15</f>
        <v>CNFW527</v>
      </c>
      <c r="B15" s="75" t="str">
        <f>'[9]Table 11 CWTs exp'!B15</f>
        <v>CNFW</v>
      </c>
      <c r="C15" s="75">
        <f>'[9]Table 11 CWTs exp'!C15</f>
        <v>52</v>
      </c>
      <c r="D15" s="75">
        <f>'[9]Table 11 CWTs exp'!D15</f>
        <v>7</v>
      </c>
      <c r="E15" s="3" t="str">
        <f>'[9]Table 11 CWTs exp'!E15</f>
        <v>Coleman Hatchery Fish Trap</v>
      </c>
      <c r="F15" s="37" t="s">
        <v>57</v>
      </c>
      <c r="G15" s="151" t="str">
        <f>IF('[9]Table 11 CWTs exp'!G15/'[9]Table 11 CWTs exp'!$AA15&gt;=0.005,'[9]Table 11 CWTs exp'!G15/'[9]Table 11 CWTs exp'!$AA15,IF('[9]Table 11 CWTs exp'!G15/'[9]Table 11 CWTs exp'!$AA15&gt;0,"&lt;1%"," "))</f>
        <v xml:space="preserve"> </v>
      </c>
      <c r="H15" s="145">
        <f>IF('[9]Table 11 CWTs exp'!H15/'[9]Table 11 CWTs exp'!$AA15&gt;=0.005,'[9]Table 11 CWTs exp'!H15/'[9]Table 11 CWTs exp'!$AA15,IF('[9]Table 11 CWTs exp'!H15/'[9]Table 11 CWTs exp'!$AA15&gt;0,"&lt;1%"," "))</f>
        <v>1</v>
      </c>
      <c r="I15" s="144" t="str">
        <f>IF('[9]Table 11 CWTs exp'!I15/'[9]Table 11 CWTs exp'!$AA15&gt;=0.005,'[9]Table 11 CWTs exp'!I15/'[9]Table 11 CWTs exp'!$AA15,IF('[9]Table 11 CWTs exp'!I15/'[9]Table 11 CWTs exp'!$AA15&gt;0,"&lt;1%"," "))</f>
        <v xml:space="preserve"> </v>
      </c>
      <c r="J15" s="146" t="str">
        <f>IF('[9]Table 11 CWTs exp'!J15/'[9]Table 11 CWTs exp'!$AA15&gt;=0.005,'[9]Table 11 CWTs exp'!J15/'[9]Table 11 CWTs exp'!$AA15,IF('[9]Table 11 CWTs exp'!J15/'[9]Table 11 CWTs exp'!$AA15&gt;0,"&lt;1%"," "))</f>
        <v xml:space="preserve"> </v>
      </c>
      <c r="K15" s="144" t="str">
        <f>IF('[9]Table 11 CWTs exp'!K15/'[9]Table 11 CWTs exp'!$AA15&gt;=0.005,'[9]Table 11 CWTs exp'!K15/'[9]Table 11 CWTs exp'!$AA15,IF('[9]Table 11 CWTs exp'!K15/'[9]Table 11 CWTs exp'!$AA15&gt;0,"&lt;1%"," "))</f>
        <v xml:space="preserve"> </v>
      </c>
      <c r="L15" s="144" t="str">
        <f>IF('[9]Table 11 CWTs exp'!L15/'[9]Table 11 CWTs exp'!$AA15&gt;=0.005,'[9]Table 11 CWTs exp'!L15/'[9]Table 11 CWTs exp'!$AA15,IF('[9]Table 11 CWTs exp'!L15/'[9]Table 11 CWTs exp'!$AA15&gt;0,"&lt;1%"," "))</f>
        <v xml:space="preserve"> </v>
      </c>
      <c r="M15" s="144" t="str">
        <f>IF('[9]Table 11 CWTs exp'!M15/'[9]Table 11 CWTs exp'!$AA15&gt;=0.005,'[9]Table 11 CWTs exp'!M15/'[9]Table 11 CWTs exp'!$AA15,IF('[9]Table 11 CWTs exp'!M15/'[9]Table 11 CWTs exp'!$AA15&gt;0,"&lt;1%"," "))</f>
        <v xml:space="preserve"> </v>
      </c>
      <c r="N15" s="144" t="str">
        <f>IF('[9]Table 11 CWTs exp'!N15/'[9]Table 11 CWTs exp'!$AA15&gt;=0.005,'[9]Table 11 CWTs exp'!N15/'[9]Table 11 CWTs exp'!$AA15,IF('[9]Table 11 CWTs exp'!N15/'[9]Table 11 CWTs exp'!$AA15&gt;0,"&lt;1%"," "))</f>
        <v xml:space="preserve"> </v>
      </c>
      <c r="O15" s="144" t="str">
        <f>IF('[9]Table 11 CWTs exp'!O15/'[9]Table 11 CWTs exp'!$AA15&gt;=0.005,'[9]Table 11 CWTs exp'!O15/'[9]Table 11 CWTs exp'!$AA15,IF('[9]Table 11 CWTs exp'!O15/'[9]Table 11 CWTs exp'!$AA15&gt;0,"&lt;1%"," "))</f>
        <v xml:space="preserve"> </v>
      </c>
      <c r="P15" s="144" t="str">
        <f>IF('[9]Table 11 CWTs exp'!P15/'[9]Table 11 CWTs exp'!$AA15&gt;=0.005,'[9]Table 11 CWTs exp'!P15/'[9]Table 11 CWTs exp'!$AA15,IF('[9]Table 11 CWTs exp'!P15/'[9]Table 11 CWTs exp'!$AA15&gt;0,"&lt;1%"," "))</f>
        <v xml:space="preserve"> </v>
      </c>
      <c r="Q15" s="145" t="str">
        <f>IF('[9]Table 11 CWTs exp'!Q15/'[9]Table 11 CWTs exp'!$AA15&gt;=0.005,'[9]Table 11 CWTs exp'!Q15/'[9]Table 11 CWTs exp'!$AA15,IF('[9]Table 11 CWTs exp'!Q15/'[9]Table 11 CWTs exp'!$AA15&gt;0,"&lt;1%"," "))</f>
        <v xml:space="preserve"> </v>
      </c>
      <c r="R15" s="146" t="str">
        <f>IF('[9]Table 11 CWTs exp'!R15/'[9]Table 11 CWTs exp'!$AA15&gt;=0.005,'[9]Table 11 CWTs exp'!R15/'[9]Table 11 CWTs exp'!$AA15,IF('[9]Table 11 CWTs exp'!R15/'[9]Table 11 CWTs exp'!$AA15&gt;0,"&lt;1%"," "))</f>
        <v xml:space="preserve"> </v>
      </c>
      <c r="S15" s="144" t="str">
        <f>IF('[9]Table 11 CWTs exp'!S15/'[9]Table 11 CWTs exp'!$AA15&gt;=0.005,'[9]Table 11 CWTs exp'!S15/'[9]Table 11 CWTs exp'!$AA15,IF('[9]Table 11 CWTs exp'!S15/'[9]Table 11 CWTs exp'!$AA15&gt;0,"&lt;1%"," "))</f>
        <v xml:space="preserve"> </v>
      </c>
      <c r="T15" s="144" t="str">
        <f>IF('[9]Table 11 CWTs exp'!T15/'[9]Table 11 CWTs exp'!$AA15&gt;=0.005,'[9]Table 11 CWTs exp'!T15/'[9]Table 11 CWTs exp'!$AA15,IF('[9]Table 11 CWTs exp'!T15/'[9]Table 11 CWTs exp'!$AA15&gt;0,"&lt;1%"," "))</f>
        <v xml:space="preserve"> </v>
      </c>
      <c r="U15" s="144" t="str">
        <f>IF('[9]Table 11 CWTs exp'!U15/'[9]Table 11 CWTs exp'!$AA15&gt;=0.005,'[9]Table 11 CWTs exp'!U15/'[9]Table 11 CWTs exp'!$AA15,IF('[9]Table 11 CWTs exp'!U15/'[9]Table 11 CWTs exp'!$AA15&gt;0,"&lt;1%"," "))</f>
        <v xml:space="preserve"> </v>
      </c>
      <c r="V15" s="146" t="str">
        <f>IF('[9]Table 11 CWTs exp'!V15/'[9]Table 11 CWTs exp'!$AA15&gt;=0.005,'[9]Table 11 CWTs exp'!V15/'[9]Table 11 CWTs exp'!$AA15,IF('[9]Table 11 CWTs exp'!V15/'[9]Table 11 CWTs exp'!$AA15&gt;0,"&lt;1%"," "))</f>
        <v xml:space="preserve"> </v>
      </c>
      <c r="W15" s="146" t="str">
        <f>IF('[9]Table 11 CWTs exp'!W15/'[9]Table 11 CWTs exp'!$AA15&gt;=0.005,'[9]Table 11 CWTs exp'!W15/'[9]Table 11 CWTs exp'!$AA15,IF('[9]Table 11 CWTs exp'!W15/'[9]Table 11 CWTs exp'!$AA15&gt;0,"&lt;1%"," "))</f>
        <v xml:space="preserve"> </v>
      </c>
      <c r="X15" s="206" t="str">
        <f>IF('[9]Table 11 CWTs exp'!X15/'[9]Table 11 CWTs exp'!$AA15&gt;0.0005,'[9]Table 11 CWTs exp'!X15/'[9]Table 11 CWTs exp'!$AA15,IF('[9]Table 11 CWTs exp'!X15/'[9]Table 11 CWTs exp'!$AA15&gt;0,"-"," "))</f>
        <v xml:space="preserve"> </v>
      </c>
      <c r="Y15" s="147">
        <f t="shared" si="0"/>
        <v>1</v>
      </c>
      <c r="Z15" s="148">
        <f t="shared" si="1"/>
        <v>1E-3</v>
      </c>
      <c r="AA15" s="38">
        <f>'[9]Table 11 CWTs exp'!AA15</f>
        <v>48</v>
      </c>
      <c r="AC15" s="592">
        <f>'[9]Table 11 CWTs exp'!AD15</f>
        <v>1</v>
      </c>
      <c r="AD15" s="592">
        <f t="shared" si="2"/>
        <v>0</v>
      </c>
      <c r="AE15" s="593" t="str">
        <f t="shared" si="3"/>
        <v>CNFW527</v>
      </c>
      <c r="AF15" s="442"/>
    </row>
    <row r="16" spans="1:35" ht="14.5" customHeight="1" x14ac:dyDescent="0.25">
      <c r="A16" s="50" t="s">
        <v>134</v>
      </c>
      <c r="B16" s="75" t="str">
        <f>'[9]Table 11 CWTs exp'!B16</f>
        <v>KESW</v>
      </c>
      <c r="C16" s="75">
        <f>'[9]Table 11 CWTs exp'!C16</f>
        <v>50</v>
      </c>
      <c r="D16" s="75">
        <f>'[9]Table 11 CWTs exp'!D16</f>
        <v>7</v>
      </c>
      <c r="E16" s="3" t="str">
        <f>'[9]Table 11 CWTs exp'!E16</f>
        <v>Keswick Dam Fish Trap</v>
      </c>
      <c r="F16" s="37" t="s">
        <v>57</v>
      </c>
      <c r="G16" s="151" t="str">
        <f>IF('[9]Table 11 CWTs exp'!G16/'[9]Table 11 CWTs exp'!$AA16&gt;=0.005,'[9]Table 11 CWTs exp'!G16/'[9]Table 11 CWTs exp'!$AA16,IF('[9]Table 11 CWTs exp'!G16/'[9]Table 11 CWTs exp'!$AA16&gt;0,"&lt;1%"," "))</f>
        <v xml:space="preserve"> </v>
      </c>
      <c r="H16" s="145">
        <f>IF('[9]Table 11 CWTs exp'!H16/'[9]Table 11 CWTs exp'!$AA16&gt;=0.005,'[9]Table 11 CWTs exp'!H16/'[9]Table 11 CWTs exp'!$AA16,IF('[9]Table 11 CWTs exp'!H16/'[9]Table 11 CWTs exp'!$AA16&gt;0,"&lt;1%"," "))</f>
        <v>0.15384615384615385</v>
      </c>
      <c r="I16" s="144" t="str">
        <f>IF('[9]Table 11 CWTs exp'!I16/'[9]Table 11 CWTs exp'!$AA16&gt;=0.005,'[9]Table 11 CWTs exp'!I16/'[9]Table 11 CWTs exp'!$AA16,IF('[9]Table 11 CWTs exp'!I16/'[9]Table 11 CWTs exp'!$AA16&gt;0,"&lt;1%"," "))</f>
        <v xml:space="preserve"> </v>
      </c>
      <c r="J16" s="146" t="str">
        <f>IF('[9]Table 11 CWTs exp'!J16/'[9]Table 11 CWTs exp'!$AA16&gt;=0.005,'[9]Table 11 CWTs exp'!J16/'[9]Table 11 CWTs exp'!$AA16,IF('[9]Table 11 CWTs exp'!J16/'[9]Table 11 CWTs exp'!$AA16&gt;0,"&lt;1%"," "))</f>
        <v xml:space="preserve"> </v>
      </c>
      <c r="K16" s="144" t="str">
        <f>IF('[9]Table 11 CWTs exp'!K16/'[9]Table 11 CWTs exp'!$AA16&gt;=0.005,'[9]Table 11 CWTs exp'!K16/'[9]Table 11 CWTs exp'!$AA16,IF('[9]Table 11 CWTs exp'!K16/'[9]Table 11 CWTs exp'!$AA16&gt;0,"&lt;1%"," "))</f>
        <v xml:space="preserve"> </v>
      </c>
      <c r="L16" s="144" t="str">
        <f>IF('[9]Table 11 CWTs exp'!L16/'[9]Table 11 CWTs exp'!$AA16&gt;=0.005,'[9]Table 11 CWTs exp'!L16/'[9]Table 11 CWTs exp'!$AA16,IF('[9]Table 11 CWTs exp'!L16/'[9]Table 11 CWTs exp'!$AA16&gt;0,"&lt;1%"," "))</f>
        <v xml:space="preserve"> </v>
      </c>
      <c r="M16" s="144" t="str">
        <f>IF('[9]Table 11 CWTs exp'!M16/'[9]Table 11 CWTs exp'!$AA16&gt;=0.005,'[9]Table 11 CWTs exp'!M16/'[9]Table 11 CWTs exp'!$AA16,IF('[9]Table 11 CWTs exp'!M16/'[9]Table 11 CWTs exp'!$AA16&gt;0,"&lt;1%"," "))</f>
        <v xml:space="preserve"> </v>
      </c>
      <c r="N16" s="144" t="str">
        <f>IF('[9]Table 11 CWTs exp'!N16/'[9]Table 11 CWTs exp'!$AA16&gt;=0.005,'[9]Table 11 CWTs exp'!N16/'[9]Table 11 CWTs exp'!$AA16,IF('[9]Table 11 CWTs exp'!N16/'[9]Table 11 CWTs exp'!$AA16&gt;0,"&lt;1%"," "))</f>
        <v xml:space="preserve"> </v>
      </c>
      <c r="O16" s="144" t="str">
        <f>IF('[9]Table 11 CWTs exp'!O16/'[9]Table 11 CWTs exp'!$AA16&gt;=0.005,'[9]Table 11 CWTs exp'!O16/'[9]Table 11 CWTs exp'!$AA16,IF('[9]Table 11 CWTs exp'!O16/'[9]Table 11 CWTs exp'!$AA16&gt;0,"&lt;1%"," "))</f>
        <v xml:space="preserve"> </v>
      </c>
      <c r="P16" s="144" t="str">
        <f>IF('[9]Table 11 CWTs exp'!P16/'[9]Table 11 CWTs exp'!$AA16&gt;=0.005,'[9]Table 11 CWTs exp'!P16/'[9]Table 11 CWTs exp'!$AA16,IF('[9]Table 11 CWTs exp'!P16/'[9]Table 11 CWTs exp'!$AA16&gt;0,"&lt;1%"," "))</f>
        <v xml:space="preserve"> </v>
      </c>
      <c r="Q16" s="145" t="str">
        <f>IF('[9]Table 11 CWTs exp'!Q16/'[9]Table 11 CWTs exp'!$AA16&gt;=0.005,'[9]Table 11 CWTs exp'!Q16/'[9]Table 11 CWTs exp'!$AA16,IF('[9]Table 11 CWTs exp'!Q16/'[9]Table 11 CWTs exp'!$AA16&gt;0,"&lt;1%"," "))</f>
        <v xml:space="preserve"> </v>
      </c>
      <c r="R16" s="146" t="str">
        <f>IF('[9]Table 11 CWTs exp'!R16/'[9]Table 11 CWTs exp'!$AA16&gt;=0.005,'[9]Table 11 CWTs exp'!R16/'[9]Table 11 CWTs exp'!$AA16,IF('[9]Table 11 CWTs exp'!R16/'[9]Table 11 CWTs exp'!$AA16&gt;0,"&lt;1%"," "))</f>
        <v xml:space="preserve"> </v>
      </c>
      <c r="S16" s="144" t="str">
        <f>IF('[9]Table 11 CWTs exp'!S16/'[9]Table 11 CWTs exp'!$AA16&gt;=0.005,'[9]Table 11 CWTs exp'!S16/'[9]Table 11 CWTs exp'!$AA16,IF('[9]Table 11 CWTs exp'!S16/'[9]Table 11 CWTs exp'!$AA16&gt;0,"&lt;1%"," "))</f>
        <v xml:space="preserve"> </v>
      </c>
      <c r="T16" s="144" t="str">
        <f>IF('[9]Table 11 CWTs exp'!T16/'[9]Table 11 CWTs exp'!$AA16&gt;=0.005,'[9]Table 11 CWTs exp'!T16/'[9]Table 11 CWTs exp'!$AA16,IF('[9]Table 11 CWTs exp'!T16/'[9]Table 11 CWTs exp'!$AA16&gt;0,"&lt;1%"," "))</f>
        <v xml:space="preserve"> </v>
      </c>
      <c r="U16" s="144" t="str">
        <f>IF('[9]Table 11 CWTs exp'!U16/'[9]Table 11 CWTs exp'!$AA16&gt;=0.005,'[9]Table 11 CWTs exp'!U16/'[9]Table 11 CWTs exp'!$AA16,IF('[9]Table 11 CWTs exp'!U16/'[9]Table 11 CWTs exp'!$AA16&gt;0,"&lt;1%"," "))</f>
        <v xml:space="preserve"> </v>
      </c>
      <c r="V16" s="146" t="str">
        <f>IF('[9]Table 11 CWTs exp'!V16/'[9]Table 11 CWTs exp'!$AA16&gt;=0.005,'[9]Table 11 CWTs exp'!V16/'[9]Table 11 CWTs exp'!$AA16,IF('[9]Table 11 CWTs exp'!V16/'[9]Table 11 CWTs exp'!$AA16&gt;0,"&lt;1%"," "))</f>
        <v xml:space="preserve"> </v>
      </c>
      <c r="W16" s="146" t="str">
        <f>IF('[9]Table 11 CWTs exp'!W16/'[9]Table 11 CWTs exp'!$AA16&gt;=0.005,'[9]Table 11 CWTs exp'!W16/'[9]Table 11 CWTs exp'!$AA16,IF('[9]Table 11 CWTs exp'!W16/'[9]Table 11 CWTs exp'!$AA16&gt;0,"&lt;1%"," "))</f>
        <v xml:space="preserve"> </v>
      </c>
      <c r="X16" s="206" t="str">
        <f>IF('[9]Table 11 CWTs exp'!X16/'[9]Table 11 CWTs exp'!$AA16&gt;0.0005,'[9]Table 11 CWTs exp'!X16/'[9]Table 11 CWTs exp'!$AA16,IF('[9]Table 11 CWTs exp'!X16/'[9]Table 11 CWTs exp'!$AA16&gt;0,"-"," "))</f>
        <v xml:space="preserve"> </v>
      </c>
      <c r="Y16" s="147">
        <f t="shared" si="0"/>
        <v>0</v>
      </c>
      <c r="Z16" s="148">
        <f t="shared" si="1"/>
        <v>1.0009999999999999</v>
      </c>
      <c r="AA16" s="38">
        <f>'[9]Table 11 CWTs exp'!AA16</f>
        <v>13</v>
      </c>
      <c r="AC16" s="592"/>
      <c r="AD16" s="592"/>
      <c r="AE16" s="593"/>
      <c r="AF16" s="442"/>
    </row>
    <row r="17" spans="1:32" ht="14.15" customHeight="1" x14ac:dyDescent="0.25">
      <c r="A17" s="5"/>
      <c r="E17" s="723" t="s">
        <v>193</v>
      </c>
      <c r="F17" s="723"/>
      <c r="G17" s="195" t="str">
        <f>IF('[9]Table 11 CWTs exp'!G17/'[9]Table 11 CWTs exp'!$AA17&gt;=0.005,'[9]Table 11 CWTs exp'!G17/'[9]Table 11 CWTs exp'!$AA17,IF('[9]Table 11 CWTs exp'!G17/'[9]Table 11 CWTs exp'!$AA17&gt;0,"&lt;1%","0%"))</f>
        <v>0%</v>
      </c>
      <c r="H17" s="196" t="str">
        <f>IF('[9]Table 11 CWTs exp'!H17/'[9]Table 11 CWTs exp'!$AA17&gt;=0.005,'[9]Table 11 CWTs exp'!H17/'[9]Table 11 CWTs exp'!$AA17,IF('[9]Table 11 CWTs exp'!H17/'[9]Table 11 CWTs exp'!$AA17&gt;0,"&lt;1%","0%"))</f>
        <v>0%</v>
      </c>
      <c r="I17" s="195">
        <f>IF('[9]Table 11 CWTs exp'!I17/'[9]Table 11 CWTs exp'!$AA17&gt;=0.005,'[9]Table 11 CWTs exp'!I17/'[9]Table 11 CWTs exp'!$AA17,IF('[9]Table 11 CWTs exp'!I17/'[9]Table 11 CWTs exp'!$AA17&gt;0,"&lt;1%"," "))</f>
        <v>0.13194358784589449</v>
      </c>
      <c r="J17" s="197">
        <f>IF('[9]Table 11 CWTs exp'!J17/'[9]Table 11 CWTs exp'!$AA17&gt;=0.005,'[9]Table 11 CWTs exp'!J17/'[9]Table 11 CWTs exp'!$AA17,IF('[9]Table 11 CWTs exp'!J17/'[9]Table 11 CWTs exp'!$AA17&gt;0,"&lt;1%"," "))</f>
        <v>9.0970766004687301E-2</v>
      </c>
      <c r="K17" s="195">
        <f>IF('[9]Table 11 CWTs exp'!K17/'[9]Table 11 CWTs exp'!$AA17&gt;=0.005,'[9]Table 11 CWTs exp'!K17/'[9]Table 11 CWTs exp'!$AA17,IF('[9]Table 11 CWTs exp'!K17/'[9]Table 11 CWTs exp'!$AA17&gt;0,"&lt;1%"," "))</f>
        <v>1.484313967353316E-2</v>
      </c>
      <c r="L17" s="195">
        <f>IF('[9]Table 11 CWTs exp'!L17/'[9]Table 11 CWTs exp'!$AA17&gt;=0.005,'[9]Table 11 CWTs exp'!L17/'[9]Table 11 CWTs exp'!$AA17,IF('[9]Table 11 CWTs exp'!L17/'[9]Table 11 CWTs exp'!$AA17&gt;0,"&lt;1%"," "))</f>
        <v>1.8893137617696641E-2</v>
      </c>
      <c r="M17" s="195" t="str">
        <f>IF('[9]Table 11 CWTs exp'!M17/'[9]Table 11 CWTs exp'!$AA17&gt;=0.005,'[9]Table 11 CWTs exp'!M17/'[9]Table 11 CWTs exp'!$AA17,IF('[9]Table 11 CWTs exp'!M17/'[9]Table 11 CWTs exp'!$AA17&gt;0,"&lt;1%"," "))</f>
        <v>&lt;1%</v>
      </c>
      <c r="N17" s="195">
        <f>IF('[9]Table 11 CWTs exp'!N17/'[9]Table 11 CWTs exp'!$AA17&gt;=0.005,'[9]Table 11 CWTs exp'!N17/'[9]Table 11 CWTs exp'!$AA17,IF('[9]Table 11 CWTs exp'!N17/'[9]Table 11 CWTs exp'!$AA17&gt;0,"&lt;1%"," "))</f>
        <v>1.2663952962460425E-2</v>
      </c>
      <c r="O17" s="195">
        <f>IF('[9]Table 11 CWTs exp'!O17/'[9]Table 11 CWTs exp'!$AA17&gt;=0.005,'[9]Table 11 CWTs exp'!O17/'[9]Table 11 CWTs exp'!$AA17,IF('[9]Table 11 CWTs exp'!O17/'[9]Table 11 CWTs exp'!$AA17&gt;0,"&lt;1%"," "))</f>
        <v>0.27609884461987583</v>
      </c>
      <c r="P17" s="195">
        <f>IF('[9]Table 11 CWTs exp'!P17/'[9]Table 11 CWTs exp'!$AA17&gt;=0.005,'[9]Table 11 CWTs exp'!P17/'[9]Table 11 CWTs exp'!$AA17,IF('[9]Table 11 CWTs exp'!P17/'[9]Table 11 CWTs exp'!$AA17&gt;0,"&lt;1%"," "))</f>
        <v>5.7851239669421489E-2</v>
      </c>
      <c r="Q17" s="196">
        <f>IF('[9]Table 11 CWTs exp'!Q17/'[9]Table 11 CWTs exp'!$AA17&gt;=0.005,'[9]Table 11 CWTs exp'!Q17/'[9]Table 11 CWTs exp'!$AA17,IF('[9]Table 11 CWTs exp'!Q17/'[9]Table 11 CWTs exp'!$AA17&gt;0,"&lt;1%"," "))</f>
        <v>1.0217507503803298E-2</v>
      </c>
      <c r="R17" s="197">
        <f>IF('[9]Table 11 CWTs exp'!R17/'[9]Table 11 CWTs exp'!$AA17&gt;=0.005,'[9]Table 11 CWTs exp'!R17/'[9]Table 11 CWTs exp'!$AA17,IF('[9]Table 11 CWTs exp'!R17/'[9]Table 11 CWTs exp'!$AA17&gt;0,"&lt;1%"," "))</f>
        <v>0.17451996217260804</v>
      </c>
      <c r="S17" s="195" t="str">
        <f>IF('[9]Table 11 CWTs exp'!S17/'[9]Table 11 CWTs exp'!$AA17&gt;=0.005,'[9]Table 11 CWTs exp'!S17/'[9]Table 11 CWTs exp'!$AA17,IF('[9]Table 11 CWTs exp'!S17/'[9]Table 11 CWTs exp'!$AA17&gt;0,"&lt;1%"," "))</f>
        <v>&lt;1%</v>
      </c>
      <c r="T17" s="195" t="str">
        <f>IF('[9]Table 11 CWTs exp'!T17/'[9]Table 11 CWTs exp'!$AA17&gt;=0.005,'[9]Table 11 CWTs exp'!T17/'[9]Table 11 CWTs exp'!$AA17,IF('[9]Table 11 CWTs exp'!T17/'[9]Table 11 CWTs exp'!$AA17&gt;0,"&lt;1%"," "))</f>
        <v>&lt;1%</v>
      </c>
      <c r="U17" s="195">
        <f>IF('[9]Table 11 CWTs exp'!U17/'[9]Table 11 CWTs exp'!$AA17&gt;=0.005,'[9]Table 11 CWTs exp'!U17/'[9]Table 11 CWTs exp'!$AA17,IF('[9]Table 11 CWTs exp'!U17/'[9]Table 11 CWTs exp'!$AA17&gt;0,"&lt;1%"," "))</f>
        <v>0.1045598454010937</v>
      </c>
      <c r="V17" s="197" t="str">
        <f>IF('[9]Table 11 CWTs exp'!V17/'[9]Table 11 CWTs exp'!$AA17&gt;=0.005,'[9]Table 11 CWTs exp'!V17/'[9]Table 11 CWTs exp'!$AA17,IF('[9]Table 11 CWTs exp'!V17/'[9]Table 11 CWTs exp'!$AA17&gt;0,"&lt;1%"," "))</f>
        <v>&lt;1%</v>
      </c>
      <c r="W17" s="197">
        <f>IF('[9]Table 11 CWTs exp'!W17/'[9]Table 11 CWTs exp'!$AA17&gt;=0.005,'[9]Table 11 CWTs exp'!W17/'[9]Table 11 CWTs exp'!$AA17,IF('[9]Table 11 CWTs exp'!W17/'[9]Table 11 CWTs exp'!$AA17&gt;0,"&lt;1%"," "))</f>
        <v>7.8944122363389657E-3</v>
      </c>
      <c r="X17" s="195" t="str">
        <f>IF('[9]Table 11 CWTs exp'!X17/'[9]Table 11 CWTs exp'!$AA17&gt;0.0005,'[9]Table 11 CWTs exp'!X17/'[9]Table 11 CWTs exp'!$AA17,IF('[9]Table 11 CWTs exp'!X17/'[9]Table 11 CWTs exp'!$AA17&gt;0,"-"," "))</f>
        <v xml:space="preserve"> </v>
      </c>
      <c r="Y17" s="198">
        <f t="shared" si="0"/>
        <v>0.90933760947329467</v>
      </c>
      <c r="Z17" s="199">
        <f>IF('[9]Table 11 CWTs exp'!Z17&gt;0,'[9]Table 11 CWTs exp'!Z17/'[9]Table 11 CWTs exp'!$AA17," ")</f>
        <v>9.0662390526705314E-2</v>
      </c>
      <c r="AA17" s="59">
        <f>'[9]Table 11 CWTs exp'!AA17</f>
        <v>48642</v>
      </c>
      <c r="AB17" s="47"/>
      <c r="AC17" s="592">
        <f>'[9]Table 11 CWTs exp'!AD17</f>
        <v>0.90933760947329467</v>
      </c>
      <c r="AD17" s="592">
        <f t="shared" si="2"/>
        <v>0</v>
      </c>
      <c r="AE17" s="593"/>
      <c r="AF17" s="594"/>
    </row>
    <row r="18" spans="1:32" ht="14.15" customHeight="1" x14ac:dyDescent="0.3">
      <c r="A18" s="5"/>
      <c r="E18" s="26" t="s">
        <v>63</v>
      </c>
      <c r="F18"/>
      <c r="G18" s="151"/>
      <c r="H18" s="157"/>
      <c r="I18" s="151"/>
      <c r="J18" s="158"/>
      <c r="K18" s="151"/>
      <c r="L18" s="151"/>
      <c r="M18" s="151"/>
      <c r="N18" s="151"/>
      <c r="O18" s="151"/>
      <c r="P18" s="151"/>
      <c r="Q18" s="157"/>
      <c r="R18" s="158"/>
      <c r="S18" s="151"/>
      <c r="T18" s="151"/>
      <c r="U18" s="151"/>
      <c r="V18" s="158"/>
      <c r="W18" s="158"/>
      <c r="X18" s="206"/>
      <c r="Y18" s="147"/>
      <c r="Z18" s="148"/>
      <c r="AA18" s="38"/>
      <c r="AC18" s="592"/>
      <c r="AD18" s="592"/>
      <c r="AE18" s="593"/>
      <c r="AF18" s="442"/>
    </row>
    <row r="19" spans="1:32" ht="14.5" customHeight="1" x14ac:dyDescent="0.25">
      <c r="A19" s="54" t="str">
        <f>'[9]Table 11 CWTs exp'!A19</f>
        <v>USAC544</v>
      </c>
      <c r="B19" s="75" t="str">
        <f>'[9]Table 11 CWTs exp'!B19</f>
        <v>USAC</v>
      </c>
      <c r="C19" s="75">
        <f>'[9]Table 11 CWTs exp'!C19</f>
        <v>54</v>
      </c>
      <c r="D19" s="75">
        <f>'[9]Table 11 CWTs exp'!D19</f>
        <v>4</v>
      </c>
      <c r="E19" t="str">
        <f>'[9]Table 11 CWTs exp'!E19</f>
        <v>Upper Sacramento River</v>
      </c>
      <c r="F19" s="37" t="str">
        <f>'[9]Table 11 CWTs exp'!F19</f>
        <v>Winter</v>
      </c>
      <c r="G19" s="144">
        <f>IF('[9]Table 11 CWTs exp'!G19/'[9]Table 11 CWTs exp'!$AA19&gt;=0.005,'[9]Table 11 CWTs exp'!G19/'[9]Table 11 CWTs exp'!$AA19,IF('[9]Table 11 CWTs exp'!G19/'[9]Table 11 CWTs exp'!$AA19&gt;0,"&lt;1%"," "))</f>
        <v>0.25691980127750175</v>
      </c>
      <c r="H19" s="145" t="str">
        <f>IF('[9]Table 11 CWTs exp'!H19/'[9]Table 11 CWTs exp'!$AA19&gt;=0.005,'[9]Table 11 CWTs exp'!H19/'[9]Table 11 CWTs exp'!$AA19,IF('[9]Table 11 CWTs exp'!H19/'[9]Table 11 CWTs exp'!$AA19&gt;0,"&lt;1%"," "))</f>
        <v xml:space="preserve"> </v>
      </c>
      <c r="I19" s="144" t="str">
        <f>IF('[9]Table 11 CWTs exp'!I19/'[9]Table 11 CWTs exp'!$AA19&gt;=0.005,'[9]Table 11 CWTs exp'!I19/'[9]Table 11 CWTs exp'!$AA19,IF('[9]Table 11 CWTs exp'!I19/'[9]Table 11 CWTs exp'!$AA19&gt;0,"&lt;1%"," "))</f>
        <v xml:space="preserve"> </v>
      </c>
      <c r="J19" s="146" t="str">
        <f>IF('[9]Table 11 CWTs exp'!J19/'[9]Table 11 CWTs exp'!$AA19&gt;=0.005,'[9]Table 11 CWTs exp'!J19/'[9]Table 11 CWTs exp'!$AA19,IF('[9]Table 11 CWTs exp'!J19/'[9]Table 11 CWTs exp'!$AA19&gt;0,"&lt;1%"," "))</f>
        <v xml:space="preserve"> </v>
      </c>
      <c r="K19" s="144" t="str">
        <f>IF('[9]Table 11 CWTs exp'!K19/'[9]Table 11 CWTs exp'!$AA19&gt;=0.005,'[9]Table 11 CWTs exp'!K19/'[9]Table 11 CWTs exp'!$AA19,IF('[9]Table 11 CWTs exp'!K19/'[9]Table 11 CWTs exp'!$AA19&gt;0,"&lt;1%"," "))</f>
        <v xml:space="preserve"> </v>
      </c>
      <c r="L19" s="144" t="str">
        <f>IF('[9]Table 11 CWTs exp'!L19/'[9]Table 11 CWTs exp'!$AA19&gt;=0.005,'[9]Table 11 CWTs exp'!L19/'[9]Table 11 CWTs exp'!$AA19,IF('[9]Table 11 CWTs exp'!L19/'[9]Table 11 CWTs exp'!$AA19&gt;0,"&lt;1%"," "))</f>
        <v xml:space="preserve"> </v>
      </c>
      <c r="M19" s="144" t="str">
        <f>IF('[9]Table 11 CWTs exp'!M19/'[9]Table 11 CWTs exp'!$AA19&gt;=0.005,'[9]Table 11 CWTs exp'!M19/'[9]Table 11 CWTs exp'!$AA19,IF('[9]Table 11 CWTs exp'!M19/'[9]Table 11 CWTs exp'!$AA19&gt;0,"&lt;1%"," "))</f>
        <v xml:space="preserve"> </v>
      </c>
      <c r="N19" s="144" t="str">
        <f>IF('[9]Table 11 CWTs exp'!N19/'[9]Table 11 CWTs exp'!$AA19&gt;=0.005,'[9]Table 11 CWTs exp'!N19/'[9]Table 11 CWTs exp'!$AA19,IF('[9]Table 11 CWTs exp'!N19/'[9]Table 11 CWTs exp'!$AA19&gt;0,"&lt;1%"," "))</f>
        <v xml:space="preserve"> </v>
      </c>
      <c r="O19" s="144" t="str">
        <f>IF('[9]Table 11 CWTs exp'!O19/'[9]Table 11 CWTs exp'!$AA19&gt;=0.005,'[9]Table 11 CWTs exp'!O19/'[9]Table 11 CWTs exp'!$AA19,IF('[9]Table 11 CWTs exp'!O19/'[9]Table 11 CWTs exp'!$AA19&gt;0,"&lt;1%"," "))</f>
        <v xml:space="preserve"> </v>
      </c>
      <c r="P19" s="144" t="str">
        <f>IF('[9]Table 11 CWTs exp'!P19/'[9]Table 11 CWTs exp'!$AA19&gt;=0.005,'[9]Table 11 CWTs exp'!P19/'[9]Table 11 CWTs exp'!$AA19,IF('[9]Table 11 CWTs exp'!P19/'[9]Table 11 CWTs exp'!$AA19&gt;0,"&lt;1%"," "))</f>
        <v xml:space="preserve"> </v>
      </c>
      <c r="Q19" s="145" t="str">
        <f>IF('[9]Table 11 CWTs exp'!Q19/'[9]Table 11 CWTs exp'!$AA19&gt;=0.005,'[9]Table 11 CWTs exp'!Q19/'[9]Table 11 CWTs exp'!$AA19,IF('[9]Table 11 CWTs exp'!Q19/'[9]Table 11 CWTs exp'!$AA19&gt;0,"&lt;1%"," "))</f>
        <v xml:space="preserve"> </v>
      </c>
      <c r="R19" s="146" t="str">
        <f>IF('[9]Table 11 CWTs exp'!R19/'[9]Table 11 CWTs exp'!$AA19&gt;=0.005,'[9]Table 11 CWTs exp'!R19/'[9]Table 11 CWTs exp'!$AA19,IF('[9]Table 11 CWTs exp'!R19/'[9]Table 11 CWTs exp'!$AA19&gt;0,"&lt;1%"," "))</f>
        <v xml:space="preserve"> </v>
      </c>
      <c r="S19" s="144" t="str">
        <f>IF('[9]Table 11 CWTs exp'!S19/'[9]Table 11 CWTs exp'!$AA19&gt;=0.005,'[9]Table 11 CWTs exp'!S19/'[9]Table 11 CWTs exp'!$AA19,IF('[9]Table 11 CWTs exp'!S19/'[9]Table 11 CWTs exp'!$AA19&gt;0,"&lt;1%"," "))</f>
        <v xml:space="preserve"> </v>
      </c>
      <c r="T19" s="144" t="str">
        <f>IF('[9]Table 11 CWTs exp'!T19/'[9]Table 11 CWTs exp'!$AA19&gt;=0.005,'[9]Table 11 CWTs exp'!T19/'[9]Table 11 CWTs exp'!$AA19,IF('[9]Table 11 CWTs exp'!T19/'[9]Table 11 CWTs exp'!$AA19&gt;0,"&lt;1%"," "))</f>
        <v xml:space="preserve"> </v>
      </c>
      <c r="U19" s="144" t="str">
        <f>IF('[9]Table 11 CWTs exp'!U19/'[9]Table 11 CWTs exp'!$AA19&gt;=0.005,'[9]Table 11 CWTs exp'!U19/'[9]Table 11 CWTs exp'!$AA19,IF('[9]Table 11 CWTs exp'!U19/'[9]Table 11 CWTs exp'!$AA19&gt;0,"&lt;1%"," "))</f>
        <v xml:space="preserve"> </v>
      </c>
      <c r="V19" s="146" t="str">
        <f>IF('[9]Table 11 CWTs exp'!V19/'[9]Table 11 CWTs exp'!$AA19&gt;=0.005,'[9]Table 11 CWTs exp'!V19/'[9]Table 11 CWTs exp'!$AA19,IF('[9]Table 11 CWTs exp'!V19/'[9]Table 11 CWTs exp'!$AA19&gt;0,"&lt;1%"," "))</f>
        <v xml:space="preserve"> </v>
      </c>
      <c r="W19" s="146" t="str">
        <f>IF('[9]Table 11 CWTs exp'!W19/'[9]Table 11 CWTs exp'!$AA19&gt;=0.005,'[9]Table 11 CWTs exp'!W19/'[9]Table 11 CWTs exp'!$AA19,IF('[9]Table 11 CWTs exp'!W19/'[9]Table 11 CWTs exp'!$AA19&gt;0,"&lt;1%"," "))</f>
        <v xml:space="preserve"> </v>
      </c>
      <c r="X19" s="206" t="str">
        <f>IF('[9]Table 11 CWTs exp'!X19/'[9]Table 11 CWTs exp'!$AA19&gt;0.0005,'[9]Table 11 CWTs exp'!X19/'[9]Table 11 CWTs exp'!$AA19,IF('[9]Table 11 CWTs exp'!X19/'[9]Table 11 CWTs exp'!$AA19&gt;0,"-"," "))</f>
        <v xml:space="preserve"> </v>
      </c>
      <c r="Y19" s="147">
        <f>AC19</f>
        <v>0.25691980127750175</v>
      </c>
      <c r="Z19" s="148">
        <f>1-Y19+0.001</f>
        <v>0.7440801987224982</v>
      </c>
      <c r="AA19" s="38">
        <f>'[9]Table 11 CWTs exp'!AA19</f>
        <v>1409</v>
      </c>
      <c r="AC19" s="592">
        <f>'[9]Table 11 CWTs exp'!AD19</f>
        <v>0.25691980127750175</v>
      </c>
      <c r="AD19" s="592">
        <f t="shared" si="2"/>
        <v>0</v>
      </c>
      <c r="AE19" s="593" t="str">
        <f t="shared" si="3"/>
        <v>USAC544</v>
      </c>
      <c r="AF19" s="442"/>
    </row>
    <row r="20" spans="1:32" ht="14.5" hidden="1" customHeight="1" x14ac:dyDescent="0.25">
      <c r="A20" s="54" t="str">
        <f>'[9]Table 11 CWTs exp'!A20</f>
        <v>BUT541</v>
      </c>
      <c r="B20" s="75" t="str">
        <f>'[9]Table 11 CWTs exp'!B20</f>
        <v>BUT</v>
      </c>
      <c r="C20" s="75">
        <f>'[9]Table 11 CWTs exp'!C20</f>
        <v>54</v>
      </c>
      <c r="D20" s="75">
        <f>'[9]Table 11 CWTs exp'!D20</f>
        <v>1</v>
      </c>
      <c r="E20" t="str">
        <f>'[9]Table 11 CWTs exp'!E20</f>
        <v>Butte Creek</v>
      </c>
      <c r="F20" s="37" t="str">
        <f>'[9]Table 11 CWTs exp'!F20</f>
        <v>Spring</v>
      </c>
      <c r="G20" s="144" t="e">
        <f>IF('[9]Table 11 CWTs exp'!G20/'[9]Table 11 CWTs exp'!$AA20&gt;=0.005,'[9]Table 11 CWTs exp'!G20/'[9]Table 11 CWTs exp'!$AA20,IF('[9]Table 11 CWTs exp'!G20/'[9]Table 11 CWTs exp'!$AA20&gt;0,"&lt;1%"," "))</f>
        <v>#DIV/0!</v>
      </c>
      <c r="H20" s="145" t="e">
        <f>IF('[9]Table 11 CWTs exp'!H20/'[9]Table 11 CWTs exp'!$AA20&gt;=0.005,'[9]Table 11 CWTs exp'!H20/'[9]Table 11 CWTs exp'!$AA20,IF('[9]Table 11 CWTs exp'!H20/'[9]Table 11 CWTs exp'!$AA20&gt;0,"&lt;1%"," "))</f>
        <v>#DIV/0!</v>
      </c>
      <c r="I20" s="144" t="e">
        <f>IF('[9]Table 11 CWTs exp'!I20/'[9]Table 11 CWTs exp'!$AA20&gt;=0.005,'[9]Table 11 CWTs exp'!I20/'[9]Table 11 CWTs exp'!$AA20,IF('[9]Table 11 CWTs exp'!I20/'[9]Table 11 CWTs exp'!$AA20&gt;0,"&lt;1%"," "))</f>
        <v>#DIV/0!</v>
      </c>
      <c r="J20" s="146" t="e">
        <f>IF('[9]Table 11 CWTs exp'!J20/'[9]Table 11 CWTs exp'!$AA20&gt;=0.005,'[9]Table 11 CWTs exp'!J20/'[9]Table 11 CWTs exp'!$AA20,IF('[9]Table 11 CWTs exp'!J20/'[9]Table 11 CWTs exp'!$AA20&gt;0,"&lt;1%"," "))</f>
        <v>#DIV/0!</v>
      </c>
      <c r="K20" s="144" t="e">
        <f>IF('[9]Table 11 CWTs exp'!K20/'[9]Table 11 CWTs exp'!$AA20&gt;=0.005,'[9]Table 11 CWTs exp'!K20/'[9]Table 11 CWTs exp'!$AA20,IF('[9]Table 11 CWTs exp'!K20/'[9]Table 11 CWTs exp'!$AA20&gt;0,"&lt;1%"," "))</f>
        <v>#DIV/0!</v>
      </c>
      <c r="L20" s="144" t="e">
        <f>IF('[9]Table 11 CWTs exp'!L20/'[9]Table 11 CWTs exp'!$AA20&gt;=0.005,'[9]Table 11 CWTs exp'!L20/'[9]Table 11 CWTs exp'!$AA20,IF('[9]Table 11 CWTs exp'!L20/'[9]Table 11 CWTs exp'!$AA20&gt;0,"&lt;1%"," "))</f>
        <v>#DIV/0!</v>
      </c>
      <c r="M20" s="144" t="e">
        <f>IF('[9]Table 11 CWTs exp'!M20/'[9]Table 11 CWTs exp'!$AA20&gt;=0.005,'[9]Table 11 CWTs exp'!M20/'[9]Table 11 CWTs exp'!$AA20,IF('[9]Table 11 CWTs exp'!M20/'[9]Table 11 CWTs exp'!$AA20&gt;0,"&lt;1%"," "))</f>
        <v>#DIV/0!</v>
      </c>
      <c r="N20" s="144" t="e">
        <f>IF('[9]Table 11 CWTs exp'!N20/'[9]Table 11 CWTs exp'!$AA20&gt;=0.005,'[9]Table 11 CWTs exp'!N20/'[9]Table 11 CWTs exp'!$AA20,IF('[9]Table 11 CWTs exp'!N20/'[9]Table 11 CWTs exp'!$AA20&gt;0,"&lt;1%"," "))</f>
        <v>#DIV/0!</v>
      </c>
      <c r="O20" s="144" t="e">
        <f>IF('[9]Table 11 CWTs exp'!O20/'[9]Table 11 CWTs exp'!$AA20&gt;=0.005,'[9]Table 11 CWTs exp'!O20/'[9]Table 11 CWTs exp'!$AA20,IF('[9]Table 11 CWTs exp'!O20/'[9]Table 11 CWTs exp'!$AA20&gt;0,"&lt;1%"," "))</f>
        <v>#DIV/0!</v>
      </c>
      <c r="P20" s="144" t="e">
        <f>IF('[9]Table 11 CWTs exp'!P20/'[9]Table 11 CWTs exp'!$AA20&gt;=0.005,'[9]Table 11 CWTs exp'!P20/'[9]Table 11 CWTs exp'!$AA20,IF('[9]Table 11 CWTs exp'!P20/'[9]Table 11 CWTs exp'!$AA20&gt;0,"&lt;1%"," "))</f>
        <v>#DIV/0!</v>
      </c>
      <c r="Q20" s="145" t="e">
        <f>IF('[9]Table 11 CWTs exp'!Q20/'[9]Table 11 CWTs exp'!$AA20&gt;=0.005,'[9]Table 11 CWTs exp'!Q20/'[9]Table 11 CWTs exp'!$AA20,IF('[9]Table 11 CWTs exp'!Q20/'[9]Table 11 CWTs exp'!$AA20&gt;0,"&lt;1%"," "))</f>
        <v>#DIV/0!</v>
      </c>
      <c r="R20" s="146" t="e">
        <f>IF('[9]Table 11 CWTs exp'!R20/'[9]Table 11 CWTs exp'!$AA20&gt;=0.005,'[9]Table 11 CWTs exp'!R20/'[9]Table 11 CWTs exp'!$AA20,IF('[9]Table 11 CWTs exp'!R20/'[9]Table 11 CWTs exp'!$AA20&gt;0,"&lt;1%"," "))</f>
        <v>#DIV/0!</v>
      </c>
      <c r="S20" s="144" t="e">
        <f>IF('[9]Table 11 CWTs exp'!S20/'[9]Table 11 CWTs exp'!$AA20&gt;=0.005,'[9]Table 11 CWTs exp'!S20/'[9]Table 11 CWTs exp'!$AA20,IF('[9]Table 11 CWTs exp'!S20/'[9]Table 11 CWTs exp'!$AA20&gt;0,"&lt;1%"," "))</f>
        <v>#DIV/0!</v>
      </c>
      <c r="T20" s="144" t="e">
        <f>IF('[9]Table 11 CWTs exp'!T20/'[9]Table 11 CWTs exp'!$AA20&gt;=0.005,'[9]Table 11 CWTs exp'!T20/'[9]Table 11 CWTs exp'!$AA20,IF('[9]Table 11 CWTs exp'!T20/'[9]Table 11 CWTs exp'!$AA20&gt;0,"&lt;1%"," "))</f>
        <v>#DIV/0!</v>
      </c>
      <c r="U20" s="144" t="e">
        <f>IF('[9]Table 11 CWTs exp'!U20/'[9]Table 11 CWTs exp'!$AA20&gt;=0.005,'[9]Table 11 CWTs exp'!U20/'[9]Table 11 CWTs exp'!$AA20,IF('[9]Table 11 CWTs exp'!U20/'[9]Table 11 CWTs exp'!$AA20&gt;0,"&lt;1%"," "))</f>
        <v>#DIV/0!</v>
      </c>
      <c r="V20" s="146" t="e">
        <f>IF('[9]Table 11 CWTs exp'!V20/'[9]Table 11 CWTs exp'!$AA20&gt;=0.005,'[9]Table 11 CWTs exp'!V20/'[9]Table 11 CWTs exp'!$AA20,IF('[9]Table 11 CWTs exp'!V20/'[9]Table 11 CWTs exp'!$AA20&gt;0,"&lt;1%"," "))</f>
        <v>#DIV/0!</v>
      </c>
      <c r="W20" s="146" t="e">
        <f>IF('[9]Table 11 CWTs exp'!W20/'[9]Table 11 CWTs exp'!$AA20&gt;=0.005,'[9]Table 11 CWTs exp'!W20/'[9]Table 11 CWTs exp'!$AA20,IF('[9]Table 11 CWTs exp'!W20/'[9]Table 11 CWTs exp'!$AA20&gt;0,"&lt;1%"," "))</f>
        <v>#DIV/0!</v>
      </c>
      <c r="X20" s="206" t="e">
        <f>IF('[9]Table 11 CWTs exp'!X20/'[9]Table 11 CWTs exp'!$AA20&gt;0.0005,'[9]Table 11 CWTs exp'!X20/'[9]Table 11 CWTs exp'!$AA20,IF('[9]Table 11 CWTs exp'!X20/'[9]Table 11 CWTs exp'!$AA20&gt;0,"-"," "))</f>
        <v>#DIV/0!</v>
      </c>
      <c r="Y20" s="147" t="e">
        <f t="shared" ref="Y20:Y29" si="4">AC20</f>
        <v>#DIV/0!</v>
      </c>
      <c r="Z20" s="148" t="e">
        <f t="shared" ref="Z20:Z29" si="5">1-Y20+0.001</f>
        <v>#DIV/0!</v>
      </c>
      <c r="AA20" s="38">
        <f>'[9]Table 11 CWTs exp'!AA20</f>
        <v>0</v>
      </c>
      <c r="AC20" s="592" t="e">
        <f>'[9]Table 11 CWTs exp'!AD20</f>
        <v>#DIV/0!</v>
      </c>
      <c r="AD20" s="592" t="e">
        <f t="shared" si="2"/>
        <v>#DIV/0!</v>
      </c>
      <c r="AE20" s="593" t="str">
        <f t="shared" si="3"/>
        <v>BUT541</v>
      </c>
      <c r="AF20" s="442"/>
    </row>
    <row r="21" spans="1:32" ht="14.5" customHeight="1" x14ac:dyDescent="0.25">
      <c r="A21" s="54" t="str">
        <f>'[9]Table 11 CWTs exp'!A21</f>
        <v>USAC543</v>
      </c>
      <c r="B21" s="75" t="str">
        <f>'[9]Table 11 CWTs exp'!B21</f>
        <v>USAC</v>
      </c>
      <c r="C21" s="75">
        <f>'[9]Table 11 CWTs exp'!C21</f>
        <v>54</v>
      </c>
      <c r="D21" s="75">
        <f>'[9]Table 11 CWTs exp'!D21</f>
        <v>3</v>
      </c>
      <c r="E21" t="str">
        <f>'[9]Table 11 CWTs exp'!E21</f>
        <v>Upper Sacramento River</v>
      </c>
      <c r="F21" s="37" t="str">
        <f>'[9]Table 11 CWTs exp'!F21</f>
        <v>Fall</v>
      </c>
      <c r="G21" s="144" t="str">
        <f>IF('[9]Table 11 CWTs exp'!G21/'[9]Table 11 CWTs exp'!$AA21&gt;=0.005,'[9]Table 11 CWTs exp'!G21/'[9]Table 11 CWTs exp'!$AA21,IF('[9]Table 11 CWTs exp'!G21/'[9]Table 11 CWTs exp'!$AA21&gt;0,"&lt;1%"," "))</f>
        <v xml:space="preserve"> </v>
      </c>
      <c r="H21" s="145" t="str">
        <f>IF('[9]Table 11 CWTs exp'!H21/'[9]Table 11 CWTs exp'!$AA21&gt;=0.005,'[9]Table 11 CWTs exp'!H21/'[9]Table 11 CWTs exp'!$AA21,IF('[9]Table 11 CWTs exp'!H21/'[9]Table 11 CWTs exp'!$AA21&gt;0,"&lt;1%"," "))</f>
        <v xml:space="preserve"> </v>
      </c>
      <c r="I21" s="144">
        <f>IF('[9]Table 11 CWTs exp'!I21/'[9]Table 11 CWTs exp'!$AA21&gt;=0.005,'[9]Table 11 CWTs exp'!I21/'[9]Table 11 CWTs exp'!$AA21,IF('[9]Table 11 CWTs exp'!I21/'[9]Table 11 CWTs exp'!$AA21&gt;0,"&lt;1%"," "))</f>
        <v>0.14875262298904174</v>
      </c>
      <c r="J21" s="146">
        <f>IF('[9]Table 11 CWTs exp'!J21/'[9]Table 11 CWTs exp'!$AA21&gt;=0.005,'[9]Table 11 CWTs exp'!J21/'[9]Table 11 CWTs exp'!$AA21,IF('[9]Table 11 CWTs exp'!J21/'[9]Table 11 CWTs exp'!$AA21&gt;0,"&lt;1%"," "))</f>
        <v>7.9039403124271393E-2</v>
      </c>
      <c r="K21" s="144" t="str">
        <f>IF('[9]Table 11 CWTs exp'!K21/'[9]Table 11 CWTs exp'!$AA21&gt;=0.005,'[9]Table 11 CWTs exp'!K21/'[9]Table 11 CWTs exp'!$AA21,IF('[9]Table 11 CWTs exp'!K21/'[9]Table 11 CWTs exp'!$AA21&gt;0,"&lt;1%"," "))</f>
        <v xml:space="preserve"> </v>
      </c>
      <c r="L21" s="144" t="str">
        <f>IF('[9]Table 11 CWTs exp'!L21/'[9]Table 11 CWTs exp'!$AA21&gt;=0.005,'[9]Table 11 CWTs exp'!L21/'[9]Table 11 CWTs exp'!$AA21,IF('[9]Table 11 CWTs exp'!L21/'[9]Table 11 CWTs exp'!$AA21&gt;0,"&lt;1%"," "))</f>
        <v>&lt;1%</v>
      </c>
      <c r="M21" s="144" t="str">
        <f>IF('[9]Table 11 CWTs exp'!M21/'[9]Table 11 CWTs exp'!$AA21&gt;=0.005,'[9]Table 11 CWTs exp'!M21/'[9]Table 11 CWTs exp'!$AA21,IF('[9]Table 11 CWTs exp'!M21/'[9]Table 11 CWTs exp'!$AA21&gt;0,"&lt;1%"," "))</f>
        <v xml:space="preserve"> </v>
      </c>
      <c r="N21" s="144" t="str">
        <f>IF('[9]Table 11 CWTs exp'!N21/'[9]Table 11 CWTs exp'!$AA21&gt;=0.005,'[9]Table 11 CWTs exp'!N21/'[9]Table 11 CWTs exp'!$AA21,IF('[9]Table 11 CWTs exp'!N21/'[9]Table 11 CWTs exp'!$AA21&gt;0,"&lt;1%"," "))</f>
        <v>&lt;1%</v>
      </c>
      <c r="O21" s="144">
        <f>IF('[9]Table 11 CWTs exp'!O21/'[9]Table 11 CWTs exp'!$AA21&gt;=0.005,'[9]Table 11 CWTs exp'!O21/'[9]Table 11 CWTs exp'!$AA21,IF('[9]Table 11 CWTs exp'!O21/'[9]Table 11 CWTs exp'!$AA21&gt;0,"&lt;1%"," "))</f>
        <v>7.0412683609232918E-2</v>
      </c>
      <c r="P21" s="144">
        <f>IF('[9]Table 11 CWTs exp'!P21/'[9]Table 11 CWTs exp'!$AA21&gt;=0.005,'[9]Table 11 CWTs exp'!P21/'[9]Table 11 CWTs exp'!$AA21,IF('[9]Table 11 CWTs exp'!P21/'[9]Table 11 CWTs exp'!$AA21&gt;0,"&lt;1%"," "))</f>
        <v>3.3107950571228728E-2</v>
      </c>
      <c r="Q21" s="145" t="str">
        <f>IF('[9]Table 11 CWTs exp'!Q21/'[9]Table 11 CWTs exp'!$AA21&gt;=0.005,'[9]Table 11 CWTs exp'!Q21/'[9]Table 11 CWTs exp'!$AA21,IF('[9]Table 11 CWTs exp'!Q21/'[9]Table 11 CWTs exp'!$AA21&gt;0,"&lt;1%"," "))</f>
        <v xml:space="preserve"> </v>
      </c>
      <c r="R21" s="146">
        <f>IF('[9]Table 11 CWTs exp'!R21/'[9]Table 11 CWTs exp'!$AA21&gt;=0.005,'[9]Table 11 CWTs exp'!R21/'[9]Table 11 CWTs exp'!$AA21,IF('[9]Table 11 CWTs exp'!R21/'[9]Table 11 CWTs exp'!$AA21&gt;0,"&lt;1%"," "))</f>
        <v>1.7486593611564467E-2</v>
      </c>
      <c r="S21" s="144" t="str">
        <f>IF('[9]Table 11 CWTs exp'!S21/'[9]Table 11 CWTs exp'!$AA21&gt;=0.005,'[9]Table 11 CWTs exp'!S21/'[9]Table 11 CWTs exp'!$AA21,IF('[9]Table 11 CWTs exp'!S21/'[9]Table 11 CWTs exp'!$AA21&gt;0,"&lt;1%"," "))</f>
        <v xml:space="preserve"> </v>
      </c>
      <c r="T21" s="144" t="str">
        <f>IF('[9]Table 11 CWTs exp'!T21/'[9]Table 11 CWTs exp'!$AA21&gt;=0.005,'[9]Table 11 CWTs exp'!T21/'[9]Table 11 CWTs exp'!$AA21,IF('[9]Table 11 CWTs exp'!T21/'[9]Table 11 CWTs exp'!$AA21&gt;0,"&lt;1%"," "))</f>
        <v>&lt;1%</v>
      </c>
      <c r="U21" s="144">
        <f>IF('[9]Table 11 CWTs exp'!U21/'[9]Table 11 CWTs exp'!$AA21&gt;=0.005,'[9]Table 11 CWTs exp'!U21/'[9]Table 11 CWTs exp'!$AA21,IF('[9]Table 11 CWTs exp'!U21/'[9]Table 11 CWTs exp'!$AA21&gt;0,"&lt;1%"," "))</f>
        <v>1.7486593611564467E-2</v>
      </c>
      <c r="V21" s="146" t="str">
        <f>IF('[9]Table 11 CWTs exp'!V21/'[9]Table 11 CWTs exp'!$AA21&gt;=0.005,'[9]Table 11 CWTs exp'!V21/'[9]Table 11 CWTs exp'!$AA21,IF('[9]Table 11 CWTs exp'!V21/'[9]Table 11 CWTs exp'!$AA21&gt;0,"&lt;1%"," "))</f>
        <v>&lt;1%</v>
      </c>
      <c r="W21" s="146">
        <f>IF('[9]Table 11 CWTs exp'!W21/'[9]Table 11 CWTs exp'!$AA21&gt;=0.005,'[9]Table 11 CWTs exp'!W21/'[9]Table 11 CWTs exp'!$AA21,IF('[9]Table 11 CWTs exp'!W21/'[9]Table 11 CWTs exp'!$AA21&gt;0,"&lt;1%"," "))</f>
        <v>9.559337840988575E-3</v>
      </c>
      <c r="X21" s="206" t="str">
        <f>IF('[9]Table 11 CWTs exp'!X21/'[9]Table 11 CWTs exp'!$AA21&gt;0.0005,'[9]Table 11 CWTs exp'!X21/'[9]Table 11 CWTs exp'!$AA21,IF('[9]Table 11 CWTs exp'!X21/'[9]Table 11 CWTs exp'!$AA21&gt;0,"-"," "))</f>
        <v xml:space="preserve"> </v>
      </c>
      <c r="Y21" s="147">
        <f t="shared" si="4"/>
        <v>0.38703660526929357</v>
      </c>
      <c r="Z21" s="148">
        <f t="shared" si="5"/>
        <v>0.61396339473070649</v>
      </c>
      <c r="AA21" s="38">
        <f>'[9]Table 11 CWTs exp'!AA21</f>
        <v>4289</v>
      </c>
      <c r="AB21" s="207"/>
      <c r="AC21" s="592">
        <f>'[9]Table 11 CWTs exp'!AD21</f>
        <v>0.38703660526929357</v>
      </c>
      <c r="AD21" s="592">
        <f t="shared" si="2"/>
        <v>0</v>
      </c>
      <c r="AE21" s="593" t="str">
        <f t="shared" si="3"/>
        <v>USAC543</v>
      </c>
      <c r="AF21" s="442"/>
    </row>
    <row r="22" spans="1:32" ht="14.5" customHeight="1" x14ac:dyDescent="0.25">
      <c r="A22" s="54" t="str">
        <f>'[9]Table 11 CWTs exp'!A22</f>
        <v>CLR543</v>
      </c>
      <c r="B22" s="75" t="str">
        <f>'[9]Table 11 CWTs exp'!B22</f>
        <v>CLR</v>
      </c>
      <c r="C22" s="75">
        <f>'[9]Table 11 CWTs exp'!C22</f>
        <v>54</v>
      </c>
      <c r="D22" s="75">
        <f>'[9]Table 11 CWTs exp'!D22</f>
        <v>3</v>
      </c>
      <c r="E22" t="str">
        <f>'[9]Table 11 CWTs exp'!E22</f>
        <v>Clear Creek</v>
      </c>
      <c r="F22" s="37" t="str">
        <f>'[9]Table 11 CWTs exp'!F22</f>
        <v>Fall</v>
      </c>
      <c r="G22" s="144" t="str">
        <f>IF('[9]Table 11 CWTs exp'!G22/'[9]Table 11 CWTs exp'!$AA22&gt;=0.005,'[9]Table 11 CWTs exp'!G22/'[9]Table 11 CWTs exp'!$AA22,IF('[9]Table 11 CWTs exp'!G22/'[9]Table 11 CWTs exp'!$AA22&gt;0,"&lt;1%"," "))</f>
        <v xml:space="preserve"> </v>
      </c>
      <c r="H22" s="145">
        <f>IF('[9]Table 11 CWTs exp'!H22/'[9]Table 11 CWTs exp'!$AA22&gt;=0.005,'[9]Table 11 CWTs exp'!H22/'[9]Table 11 CWTs exp'!$AA22,IF('[9]Table 11 CWTs exp'!H22/'[9]Table 11 CWTs exp'!$AA22&gt;0,"&lt;1%"," "))</f>
        <v>8.0612656187021361E-3</v>
      </c>
      <c r="I22" s="144">
        <f>IF('[9]Table 11 CWTs exp'!I22/'[9]Table 11 CWTs exp'!$AA22&gt;=0.005,'[9]Table 11 CWTs exp'!I22/'[9]Table 11 CWTs exp'!$AA22,IF('[9]Table 11 CWTs exp'!I22/'[9]Table 11 CWTs exp'!$AA22&gt;0,"&lt;1%"," "))</f>
        <v>3.1035872632003223E-2</v>
      </c>
      <c r="J22" s="146">
        <f>IF('[9]Table 11 CWTs exp'!J22/'[9]Table 11 CWTs exp'!$AA22&gt;=0.005,'[9]Table 11 CWTs exp'!J22/'[9]Table 11 CWTs exp'!$AA22,IF('[9]Table 11 CWTs exp'!J22/'[9]Table 11 CWTs exp'!$AA22&gt;0,"&lt;1%"," "))</f>
        <v>9.391374445787988E-2</v>
      </c>
      <c r="K22" s="144" t="str">
        <f>IF('[9]Table 11 CWTs exp'!K22/'[9]Table 11 CWTs exp'!$AA22&gt;=0.005,'[9]Table 11 CWTs exp'!K22/'[9]Table 11 CWTs exp'!$AA22,IF('[9]Table 11 CWTs exp'!K22/'[9]Table 11 CWTs exp'!$AA22&gt;0,"&lt;1%"," "))</f>
        <v xml:space="preserve"> </v>
      </c>
      <c r="L22" s="144" t="str">
        <f>IF('[9]Table 11 CWTs exp'!L22/'[9]Table 11 CWTs exp'!$AA22&gt;=0.005,'[9]Table 11 CWTs exp'!L22/'[9]Table 11 CWTs exp'!$AA22,IF('[9]Table 11 CWTs exp'!L22/'[9]Table 11 CWTs exp'!$AA22&gt;0,"&lt;1%"," "))</f>
        <v xml:space="preserve"> </v>
      </c>
      <c r="M22" s="144" t="str">
        <f>IF('[9]Table 11 CWTs exp'!M22/'[9]Table 11 CWTs exp'!$AA22&gt;=0.005,'[9]Table 11 CWTs exp'!M22/'[9]Table 11 CWTs exp'!$AA22,IF('[9]Table 11 CWTs exp'!M22/'[9]Table 11 CWTs exp'!$AA22&gt;0,"&lt;1%"," "))</f>
        <v xml:space="preserve"> </v>
      </c>
      <c r="N22" s="144" t="str">
        <f>IF('[9]Table 11 CWTs exp'!N22/'[9]Table 11 CWTs exp'!$AA22&gt;=0.005,'[9]Table 11 CWTs exp'!N22/'[9]Table 11 CWTs exp'!$AA22,IF('[9]Table 11 CWTs exp'!N22/'[9]Table 11 CWTs exp'!$AA22&gt;0,"&lt;1%"," "))</f>
        <v xml:space="preserve"> </v>
      </c>
      <c r="O22" s="144">
        <f>IF('[9]Table 11 CWTs exp'!O22/'[9]Table 11 CWTs exp'!$AA22&gt;=0.005,'[9]Table 11 CWTs exp'!O22/'[9]Table 11 CWTs exp'!$AA22,IF('[9]Table 11 CWTs exp'!O22/'[9]Table 11 CWTs exp'!$AA22&gt;0,"&lt;1%"," "))</f>
        <v>9.391374445787988E-2</v>
      </c>
      <c r="P22" s="144">
        <f>IF('[9]Table 11 CWTs exp'!P22/'[9]Table 11 CWTs exp'!$AA22&gt;=0.005,'[9]Table 11 CWTs exp'!P22/'[9]Table 11 CWTs exp'!$AA22,IF('[9]Table 11 CWTs exp'!P22/'[9]Table 11 CWTs exp'!$AA22&gt;0,"&lt;1%"," "))</f>
        <v>3.1841999193873441E-2</v>
      </c>
      <c r="Q22" s="145" t="str">
        <f>IF('[9]Table 11 CWTs exp'!Q22/'[9]Table 11 CWTs exp'!$AA22&gt;=0.005,'[9]Table 11 CWTs exp'!Q22/'[9]Table 11 CWTs exp'!$AA22,IF('[9]Table 11 CWTs exp'!Q22/'[9]Table 11 CWTs exp'!$AA22&gt;0,"&lt;1%"," "))</f>
        <v xml:space="preserve"> </v>
      </c>
      <c r="R22" s="146" t="str">
        <f>IF('[9]Table 11 CWTs exp'!R22/'[9]Table 11 CWTs exp'!$AA22&gt;=0.005,'[9]Table 11 CWTs exp'!R22/'[9]Table 11 CWTs exp'!$AA22,IF('[9]Table 11 CWTs exp'!R22/'[9]Table 11 CWTs exp'!$AA22&gt;0,"&lt;1%"," "))</f>
        <v xml:space="preserve"> </v>
      </c>
      <c r="S22" s="144" t="str">
        <f>IF('[9]Table 11 CWTs exp'!S22/'[9]Table 11 CWTs exp'!$AA22&gt;=0.005,'[9]Table 11 CWTs exp'!S22/'[9]Table 11 CWTs exp'!$AA22,IF('[9]Table 11 CWTs exp'!S22/'[9]Table 11 CWTs exp'!$AA22&gt;0,"&lt;1%"," "))</f>
        <v xml:space="preserve"> </v>
      </c>
      <c r="T22" s="144" t="str">
        <f>IF('[9]Table 11 CWTs exp'!T22/'[9]Table 11 CWTs exp'!$AA22&gt;=0.005,'[9]Table 11 CWTs exp'!T22/'[9]Table 11 CWTs exp'!$AA22,IF('[9]Table 11 CWTs exp'!T22/'[9]Table 11 CWTs exp'!$AA22&gt;0,"&lt;1%"," "))</f>
        <v xml:space="preserve"> </v>
      </c>
      <c r="U22" s="144" t="str">
        <f>IF('[9]Table 11 CWTs exp'!U22/'[9]Table 11 CWTs exp'!$AA22&gt;=0.005,'[9]Table 11 CWTs exp'!U22/'[9]Table 11 CWTs exp'!$AA22,IF('[9]Table 11 CWTs exp'!U22/'[9]Table 11 CWTs exp'!$AA22&gt;0,"&lt;1%"," "))</f>
        <v xml:space="preserve"> </v>
      </c>
      <c r="V22" s="146" t="str">
        <f>IF('[9]Table 11 CWTs exp'!V22/'[9]Table 11 CWTs exp'!$AA22&gt;=0.005,'[9]Table 11 CWTs exp'!V22/'[9]Table 11 CWTs exp'!$AA22,IF('[9]Table 11 CWTs exp'!V22/'[9]Table 11 CWTs exp'!$AA22&gt;0,"&lt;1%"," "))</f>
        <v xml:space="preserve"> </v>
      </c>
      <c r="W22" s="146" t="str">
        <f>IF('[9]Table 11 CWTs exp'!W22/'[9]Table 11 CWTs exp'!$AA22&gt;=0.005,'[9]Table 11 CWTs exp'!W22/'[9]Table 11 CWTs exp'!$AA22,IF('[9]Table 11 CWTs exp'!W22/'[9]Table 11 CWTs exp'!$AA22&gt;0,"&lt;1%"," "))</f>
        <v xml:space="preserve"> </v>
      </c>
      <c r="X22" s="206" t="str">
        <f>IF('[9]Table 11 CWTs exp'!X22/'[9]Table 11 CWTs exp'!$AA22&gt;0.0005,'[9]Table 11 CWTs exp'!X22/'[9]Table 11 CWTs exp'!$AA22,IF('[9]Table 11 CWTs exp'!X22/'[9]Table 11 CWTs exp'!$AA22&gt;0,"-"," "))</f>
        <v xml:space="preserve"> </v>
      </c>
      <c r="Y22" s="147">
        <f t="shared" si="4"/>
        <v>0.25876662636033859</v>
      </c>
      <c r="Z22" s="148">
        <f t="shared" si="5"/>
        <v>0.74223337363966146</v>
      </c>
      <c r="AA22" s="38">
        <f>'[9]Table 11 CWTs exp'!AA22</f>
        <v>2481</v>
      </c>
      <c r="AC22" s="592">
        <f>'[9]Table 11 CWTs exp'!AD22</f>
        <v>0.25876662636033859</v>
      </c>
      <c r="AD22" s="592">
        <f t="shared" si="2"/>
        <v>0</v>
      </c>
      <c r="AE22" s="593" t="str">
        <f t="shared" si="3"/>
        <v>CLR543</v>
      </c>
      <c r="AF22" s="442"/>
    </row>
    <row r="23" spans="1:32" ht="14.5" customHeight="1" x14ac:dyDescent="0.25">
      <c r="A23" s="54" t="str">
        <f>'[9]Table 11 CWTs exp'!A23</f>
        <v>BATT543</v>
      </c>
      <c r="B23" s="75" t="str">
        <f>'[9]Table 11 CWTs exp'!B23</f>
        <v>BATT</v>
      </c>
      <c r="C23" s="75">
        <f>'[9]Table 11 CWTs exp'!C23</f>
        <v>54</v>
      </c>
      <c r="D23" s="75">
        <f>'[9]Table 11 CWTs exp'!D23</f>
        <v>3</v>
      </c>
      <c r="E23" s="75" t="s">
        <v>73</v>
      </c>
      <c r="F23" s="37" t="str">
        <f>'[9]Table 11 CWTs exp'!F23</f>
        <v>Fall</v>
      </c>
      <c r="G23" s="144" t="str">
        <f>IF('[9]Table 11 CWTs exp'!G23/'[9]Table 11 CWTs exp'!$AA23&gt;=0.005,'[9]Table 11 CWTs exp'!G23/'[9]Table 11 CWTs exp'!$AA23,IF('[9]Table 11 CWTs exp'!G23/'[9]Table 11 CWTs exp'!$AA23&gt;0,"&lt;1%"," "))</f>
        <v xml:space="preserve"> </v>
      </c>
      <c r="H23" s="145" t="str">
        <f>IF('[9]Table 11 CWTs exp'!H23/'[9]Table 11 CWTs exp'!$AA23&gt;=0.005,'[9]Table 11 CWTs exp'!H23/'[9]Table 11 CWTs exp'!$AA23,IF('[9]Table 11 CWTs exp'!H23/'[9]Table 11 CWTs exp'!$AA23&gt;0,"&lt;1%"," "))</f>
        <v xml:space="preserve"> </v>
      </c>
      <c r="I23" s="144">
        <f>IF('[9]Table 11 CWTs exp'!I23/'[9]Table 11 CWTs exp'!$AA23&gt;=0.005,'[9]Table 11 CWTs exp'!I23/'[9]Table 11 CWTs exp'!$AA23,IF('[9]Table 11 CWTs exp'!I23/'[9]Table 11 CWTs exp'!$AA23&gt;0,"&lt;1%"," "))</f>
        <v>0.74240940254652299</v>
      </c>
      <c r="J23" s="146">
        <f>IF('[9]Table 11 CWTs exp'!J23/'[9]Table 11 CWTs exp'!$AA23&gt;=0.005,'[9]Table 11 CWTs exp'!J23/'[9]Table 11 CWTs exp'!$AA23,IF('[9]Table 11 CWTs exp'!J23/'[9]Table 11 CWTs exp'!$AA23&gt;0,"&lt;1%"," "))</f>
        <v>7.737512242899118E-2</v>
      </c>
      <c r="K23" s="144" t="str">
        <f>IF('[9]Table 11 CWTs exp'!K23/'[9]Table 11 CWTs exp'!$AA23&gt;=0.005,'[9]Table 11 CWTs exp'!K23/'[9]Table 11 CWTs exp'!$AA23,IF('[9]Table 11 CWTs exp'!K23/'[9]Table 11 CWTs exp'!$AA23&gt;0,"&lt;1%"," "))</f>
        <v xml:space="preserve"> </v>
      </c>
      <c r="L23" s="144" t="str">
        <f>IF('[9]Table 11 CWTs exp'!L23/'[9]Table 11 CWTs exp'!$AA23&gt;=0.005,'[9]Table 11 CWTs exp'!L23/'[9]Table 11 CWTs exp'!$AA23,IF('[9]Table 11 CWTs exp'!L23/'[9]Table 11 CWTs exp'!$AA23&gt;0,"&lt;1%"," "))</f>
        <v xml:space="preserve"> </v>
      </c>
      <c r="M23" s="144" t="str">
        <f>IF('[9]Table 11 CWTs exp'!M23/'[9]Table 11 CWTs exp'!$AA23&gt;=0.005,'[9]Table 11 CWTs exp'!M23/'[9]Table 11 CWTs exp'!$AA23,IF('[9]Table 11 CWTs exp'!M23/'[9]Table 11 CWTs exp'!$AA23&gt;0,"&lt;1%"," "))</f>
        <v xml:space="preserve"> </v>
      </c>
      <c r="N23" s="144" t="str">
        <f>IF('[9]Table 11 CWTs exp'!N23/'[9]Table 11 CWTs exp'!$AA23&gt;=0.005,'[9]Table 11 CWTs exp'!N23/'[9]Table 11 CWTs exp'!$AA23,IF('[9]Table 11 CWTs exp'!N23/'[9]Table 11 CWTs exp'!$AA23&gt;0,"&lt;1%"," "))</f>
        <v xml:space="preserve"> </v>
      </c>
      <c r="O23" s="144" t="str">
        <f>IF('[9]Table 11 CWTs exp'!O23/'[9]Table 11 CWTs exp'!$AA23&gt;=0.005,'[9]Table 11 CWTs exp'!O23/'[9]Table 11 CWTs exp'!$AA23,IF('[9]Table 11 CWTs exp'!O23/'[9]Table 11 CWTs exp'!$AA23&gt;0,"&lt;1%"," "))</f>
        <v>&lt;1%</v>
      </c>
      <c r="P23" s="144" t="str">
        <f>IF('[9]Table 11 CWTs exp'!P23/'[9]Table 11 CWTs exp'!$AA23&gt;=0.005,'[9]Table 11 CWTs exp'!P23/'[9]Table 11 CWTs exp'!$AA23,IF('[9]Table 11 CWTs exp'!P23/'[9]Table 11 CWTs exp'!$AA23&gt;0,"&lt;1%"," "))</f>
        <v>&lt;1%</v>
      </c>
      <c r="Q23" s="145" t="str">
        <f>IF('[9]Table 11 CWTs exp'!Q23/'[9]Table 11 CWTs exp'!$AA23&gt;=0.005,'[9]Table 11 CWTs exp'!Q23/'[9]Table 11 CWTs exp'!$AA23,IF('[9]Table 11 CWTs exp'!Q23/'[9]Table 11 CWTs exp'!$AA23&gt;0,"&lt;1%"," "))</f>
        <v xml:space="preserve"> </v>
      </c>
      <c r="R23" s="146" t="str">
        <f>IF('[9]Table 11 CWTs exp'!R23/'[9]Table 11 CWTs exp'!$AA23&gt;=0.005,'[9]Table 11 CWTs exp'!R23/'[9]Table 11 CWTs exp'!$AA23,IF('[9]Table 11 CWTs exp'!R23/'[9]Table 11 CWTs exp'!$AA23&gt;0,"&lt;1%"," "))</f>
        <v xml:space="preserve"> </v>
      </c>
      <c r="S23" s="144" t="str">
        <f>IF('[9]Table 11 CWTs exp'!S23/'[9]Table 11 CWTs exp'!$AA23&gt;=0.005,'[9]Table 11 CWTs exp'!S23/'[9]Table 11 CWTs exp'!$AA23,IF('[9]Table 11 CWTs exp'!S23/'[9]Table 11 CWTs exp'!$AA23&gt;0,"&lt;1%"," "))</f>
        <v xml:space="preserve"> </v>
      </c>
      <c r="T23" s="144" t="str">
        <f>IF('[9]Table 11 CWTs exp'!T23/'[9]Table 11 CWTs exp'!$AA23&gt;=0.005,'[9]Table 11 CWTs exp'!T23/'[9]Table 11 CWTs exp'!$AA23,IF('[9]Table 11 CWTs exp'!T23/'[9]Table 11 CWTs exp'!$AA23&gt;0,"&lt;1%"," "))</f>
        <v xml:space="preserve"> </v>
      </c>
      <c r="U23" s="144" t="str">
        <f>IF('[9]Table 11 CWTs exp'!U23/'[9]Table 11 CWTs exp'!$AA23&gt;=0.005,'[9]Table 11 CWTs exp'!U23/'[9]Table 11 CWTs exp'!$AA23,IF('[9]Table 11 CWTs exp'!U23/'[9]Table 11 CWTs exp'!$AA23&gt;0,"&lt;1%"," "))</f>
        <v>&lt;1%</v>
      </c>
      <c r="V23" s="146" t="str">
        <f>IF('[9]Table 11 CWTs exp'!V23/'[9]Table 11 CWTs exp'!$AA23&gt;=0.005,'[9]Table 11 CWTs exp'!V23/'[9]Table 11 CWTs exp'!$AA23,IF('[9]Table 11 CWTs exp'!V23/'[9]Table 11 CWTs exp'!$AA23&gt;0,"&lt;1%"," "))</f>
        <v xml:space="preserve"> </v>
      </c>
      <c r="W23" s="146" t="str">
        <f>IF('[9]Table 11 CWTs exp'!W23/'[9]Table 11 CWTs exp'!$AA23&gt;=0.005,'[9]Table 11 CWTs exp'!W23/'[9]Table 11 CWTs exp'!$AA23,IF('[9]Table 11 CWTs exp'!W23/'[9]Table 11 CWTs exp'!$AA23&gt;0,"&lt;1%"," "))</f>
        <v xml:space="preserve"> </v>
      </c>
      <c r="X23" s="206" t="str">
        <f>IF('[9]Table 11 CWTs exp'!X23/'[9]Table 11 CWTs exp'!$AA23&gt;0.0005,'[9]Table 11 CWTs exp'!X23/'[9]Table 11 CWTs exp'!$AA23,IF('[9]Table 11 CWTs exp'!X23/'[9]Table 11 CWTs exp'!$AA23&gt;0,"-"," "))</f>
        <v xml:space="preserve"> </v>
      </c>
      <c r="Y23" s="147">
        <f t="shared" si="4"/>
        <v>0.83055827619980416</v>
      </c>
      <c r="Z23" s="148">
        <f t="shared" si="5"/>
        <v>0.17044172380019584</v>
      </c>
      <c r="AA23" s="38">
        <f>'[9]Table 11 CWTs exp'!AA23</f>
        <v>1021</v>
      </c>
      <c r="AC23" s="592">
        <f>'[9]Table 11 CWTs exp'!AD23</f>
        <v>0.83055827619980416</v>
      </c>
      <c r="AD23" s="592">
        <f t="shared" si="2"/>
        <v>0</v>
      </c>
      <c r="AE23" s="593" t="str">
        <f t="shared" si="3"/>
        <v>BATT543</v>
      </c>
      <c r="AF23" s="442"/>
    </row>
    <row r="24" spans="1:32" ht="14.5" hidden="1" customHeight="1" x14ac:dyDescent="0.25">
      <c r="A24" s="54" t="str">
        <f>'[9]Table 11 CWTs exp'!A24</f>
        <v>COT543</v>
      </c>
      <c r="B24" s="75" t="str">
        <f>'[9]Table 11 CWTs exp'!B24</f>
        <v>COT</v>
      </c>
      <c r="C24" s="75">
        <f>'[9]Table 11 CWTs exp'!C24</f>
        <v>54</v>
      </c>
      <c r="D24" s="75">
        <f>'[9]Table 11 CWTs exp'!D24</f>
        <v>3</v>
      </c>
      <c r="E24" t="str">
        <f>'[9]Table 11 CWTs exp'!E24</f>
        <v>Cottonwood Creek*</v>
      </c>
      <c r="F24" s="37" t="str">
        <f>'[9]Table 11 CWTs exp'!F24</f>
        <v>Fall</v>
      </c>
      <c r="G24" s="144" t="str">
        <f>IF('[9]Table 11 CWTs exp'!G24/'[9]Table 11 CWTs exp'!$AA24&gt;=0.005,'[9]Table 11 CWTs exp'!G24/'[9]Table 11 CWTs exp'!$AA24,IF('[9]Table 11 CWTs exp'!G24/'[9]Table 11 CWTs exp'!$AA24&gt;0,"&lt;1%"," "))</f>
        <v xml:space="preserve"> </v>
      </c>
      <c r="H24" s="145" t="str">
        <f>IF('[9]Table 11 CWTs exp'!H24/'[9]Table 11 CWTs exp'!$AA24&gt;=0.005,'[9]Table 11 CWTs exp'!H24/'[9]Table 11 CWTs exp'!$AA24,IF('[9]Table 11 CWTs exp'!H24/'[9]Table 11 CWTs exp'!$AA24&gt;0,"&lt;1%"," "))</f>
        <v xml:space="preserve"> </v>
      </c>
      <c r="I24" s="144" t="str">
        <f>IF('[9]Table 11 CWTs exp'!I24/'[9]Table 11 CWTs exp'!$AA24&gt;=0.005,'[9]Table 11 CWTs exp'!I24/'[9]Table 11 CWTs exp'!$AA24,IF('[9]Table 11 CWTs exp'!I24/'[9]Table 11 CWTs exp'!$AA24&gt;0,"&lt;1%"," "))</f>
        <v xml:space="preserve"> </v>
      </c>
      <c r="J24" s="146">
        <f>IF('[9]Table 11 CWTs exp'!J24/'[9]Table 11 CWTs exp'!$AA24&gt;=0.005,'[9]Table 11 CWTs exp'!J24/'[9]Table 11 CWTs exp'!$AA24,IF('[9]Table 11 CWTs exp'!J24/'[9]Table 11 CWTs exp'!$AA24&gt;0,"&lt;1%"," "))</f>
        <v>9.8400984009840101E-3</v>
      </c>
      <c r="K24" s="144" t="str">
        <f>IF('[9]Table 11 CWTs exp'!K24/'[9]Table 11 CWTs exp'!$AA24&gt;=0.005,'[9]Table 11 CWTs exp'!K24/'[9]Table 11 CWTs exp'!$AA24,IF('[9]Table 11 CWTs exp'!K24/'[9]Table 11 CWTs exp'!$AA24&gt;0,"&lt;1%"," "))</f>
        <v xml:space="preserve"> </v>
      </c>
      <c r="L24" s="144" t="str">
        <f>IF('[9]Table 11 CWTs exp'!L24/'[9]Table 11 CWTs exp'!$AA24&gt;=0.005,'[9]Table 11 CWTs exp'!L24/'[9]Table 11 CWTs exp'!$AA24,IF('[9]Table 11 CWTs exp'!L24/'[9]Table 11 CWTs exp'!$AA24&gt;0,"&lt;1%"," "))</f>
        <v xml:space="preserve"> </v>
      </c>
      <c r="M24" s="144" t="str">
        <f>IF('[9]Table 11 CWTs exp'!M24/'[9]Table 11 CWTs exp'!$AA24&gt;=0.005,'[9]Table 11 CWTs exp'!M24/'[9]Table 11 CWTs exp'!$AA24,IF('[9]Table 11 CWTs exp'!M24/'[9]Table 11 CWTs exp'!$AA24&gt;0,"&lt;1%"," "))</f>
        <v xml:space="preserve"> </v>
      </c>
      <c r="N24" s="144" t="str">
        <f>IF('[9]Table 11 CWTs exp'!N24/'[9]Table 11 CWTs exp'!$AA24&gt;=0.005,'[9]Table 11 CWTs exp'!N24/'[9]Table 11 CWTs exp'!$AA24,IF('[9]Table 11 CWTs exp'!N24/'[9]Table 11 CWTs exp'!$AA24&gt;0,"&lt;1%"," "))</f>
        <v xml:space="preserve"> </v>
      </c>
      <c r="O24" s="144" t="str">
        <f>IF('[9]Table 11 CWTs exp'!O24/'[9]Table 11 CWTs exp'!$AA24&gt;=0.005,'[9]Table 11 CWTs exp'!O24/'[9]Table 11 CWTs exp'!$AA24,IF('[9]Table 11 CWTs exp'!O24/'[9]Table 11 CWTs exp'!$AA24&gt;0,"&lt;1%"," "))</f>
        <v xml:space="preserve"> </v>
      </c>
      <c r="P24" s="144" t="str">
        <f>IF('[9]Table 11 CWTs exp'!P24/'[9]Table 11 CWTs exp'!$AA24&gt;=0.005,'[9]Table 11 CWTs exp'!P24/'[9]Table 11 CWTs exp'!$AA24,IF('[9]Table 11 CWTs exp'!P24/'[9]Table 11 CWTs exp'!$AA24&gt;0,"&lt;1%"," "))</f>
        <v xml:space="preserve"> </v>
      </c>
      <c r="Q24" s="145" t="str">
        <f>IF('[9]Table 11 CWTs exp'!Q24/'[9]Table 11 CWTs exp'!$AA24&gt;=0.005,'[9]Table 11 CWTs exp'!Q24/'[9]Table 11 CWTs exp'!$AA24,IF('[9]Table 11 CWTs exp'!Q24/'[9]Table 11 CWTs exp'!$AA24&gt;0,"&lt;1%"," "))</f>
        <v xml:space="preserve"> </v>
      </c>
      <c r="R24" s="146" t="str">
        <f>IF('[9]Table 11 CWTs exp'!R24/'[9]Table 11 CWTs exp'!$AA24&gt;=0.005,'[9]Table 11 CWTs exp'!R24/'[9]Table 11 CWTs exp'!$AA24,IF('[9]Table 11 CWTs exp'!R24/'[9]Table 11 CWTs exp'!$AA24&gt;0,"&lt;1%"," "))</f>
        <v xml:space="preserve"> </v>
      </c>
      <c r="S24" s="144" t="str">
        <f>IF('[9]Table 11 CWTs exp'!S24/'[9]Table 11 CWTs exp'!$AA24&gt;=0.005,'[9]Table 11 CWTs exp'!S24/'[9]Table 11 CWTs exp'!$AA24,IF('[9]Table 11 CWTs exp'!S24/'[9]Table 11 CWTs exp'!$AA24&gt;0,"&lt;1%"," "))</f>
        <v xml:space="preserve"> </v>
      </c>
      <c r="T24" s="144" t="str">
        <f>IF('[9]Table 11 CWTs exp'!T24/'[9]Table 11 CWTs exp'!$AA24&gt;=0.005,'[9]Table 11 CWTs exp'!T24/'[9]Table 11 CWTs exp'!$AA24,IF('[9]Table 11 CWTs exp'!T24/'[9]Table 11 CWTs exp'!$AA24&gt;0,"&lt;1%"," "))</f>
        <v xml:space="preserve"> </v>
      </c>
      <c r="U24" s="144" t="str">
        <f>IF('[9]Table 11 CWTs exp'!U24/'[9]Table 11 CWTs exp'!$AA24&gt;=0.005,'[9]Table 11 CWTs exp'!U24/'[9]Table 11 CWTs exp'!$AA24,IF('[9]Table 11 CWTs exp'!U24/'[9]Table 11 CWTs exp'!$AA24&gt;0,"&lt;1%"," "))</f>
        <v xml:space="preserve"> </v>
      </c>
      <c r="V24" s="146" t="str">
        <f>IF('[9]Table 11 CWTs exp'!V24/'[9]Table 11 CWTs exp'!$AA24&gt;=0.005,'[9]Table 11 CWTs exp'!V24/'[9]Table 11 CWTs exp'!$AA24,IF('[9]Table 11 CWTs exp'!V24/'[9]Table 11 CWTs exp'!$AA24&gt;0,"&lt;1%"," "))</f>
        <v xml:space="preserve"> </v>
      </c>
      <c r="W24" s="146" t="str">
        <f>IF('[9]Table 11 CWTs exp'!W24/'[9]Table 11 CWTs exp'!$AA24&gt;=0.005,'[9]Table 11 CWTs exp'!W24/'[9]Table 11 CWTs exp'!$AA24,IF('[9]Table 11 CWTs exp'!W24/'[9]Table 11 CWTs exp'!$AA24&gt;0,"&lt;1%"," "))</f>
        <v xml:space="preserve"> </v>
      </c>
      <c r="X24" s="206" t="str">
        <f>IF('[9]Table 11 CWTs exp'!X24/'[9]Table 11 CWTs exp'!$AA24&gt;0.0005,'[9]Table 11 CWTs exp'!X24/'[9]Table 11 CWTs exp'!$AA24,IF('[9]Table 11 CWTs exp'!X24/'[9]Table 11 CWTs exp'!$AA24&gt;0,"-"," "))</f>
        <v xml:space="preserve"> </v>
      </c>
      <c r="Y24" s="147">
        <f t="shared" si="4"/>
        <v>9.8400984009840101E-3</v>
      </c>
      <c r="Z24" s="148">
        <f t="shared" si="5"/>
        <v>0.99115990159901601</v>
      </c>
      <c r="AA24" s="38">
        <f>'[9]Table 11 CWTs exp'!AA24</f>
        <v>813</v>
      </c>
      <c r="AC24" s="592">
        <f>'[9]Table 11 CWTs exp'!AD24</f>
        <v>9.8400984009840101E-3</v>
      </c>
      <c r="AD24" s="592">
        <f t="shared" si="2"/>
        <v>0</v>
      </c>
      <c r="AE24" s="593" t="str">
        <f t="shared" si="3"/>
        <v>COT543</v>
      </c>
      <c r="AF24" s="442"/>
    </row>
    <row r="25" spans="1:32" ht="14.5" hidden="1" customHeight="1" x14ac:dyDescent="0.25">
      <c r="A25" s="54" t="str">
        <f>'[9]Table 11 CWTs exp'!A25</f>
        <v>COW543</v>
      </c>
      <c r="B25" s="75" t="str">
        <f>'[9]Table 11 CWTs exp'!B25</f>
        <v>COW</v>
      </c>
      <c r="C25" s="75">
        <f>'[9]Table 11 CWTs exp'!C25</f>
        <v>54</v>
      </c>
      <c r="D25" s="75">
        <f>'[9]Table 11 CWTs exp'!D25</f>
        <v>3</v>
      </c>
      <c r="E25" t="str">
        <f>'[9]Table 11 CWTs exp'!E25</f>
        <v>Cow Creek*</v>
      </c>
      <c r="F25" s="37" t="str">
        <f>'[9]Table 11 CWTs exp'!F25</f>
        <v>Fall</v>
      </c>
      <c r="G25" s="144" t="str">
        <f>IF('[9]Table 11 CWTs exp'!G25/'[9]Table 11 CWTs exp'!$AA25&gt;=0.005,'[9]Table 11 CWTs exp'!G25/'[9]Table 11 CWTs exp'!$AA25,IF('[9]Table 11 CWTs exp'!G25/'[9]Table 11 CWTs exp'!$AA25&gt;0,"&lt;1%"," "))</f>
        <v xml:space="preserve"> </v>
      </c>
      <c r="H25" s="145" t="str">
        <f>IF('[9]Table 11 CWTs exp'!H25/'[9]Table 11 CWTs exp'!$AA25&gt;=0.005,'[9]Table 11 CWTs exp'!H25/'[9]Table 11 CWTs exp'!$AA25,IF('[9]Table 11 CWTs exp'!H25/'[9]Table 11 CWTs exp'!$AA25&gt;0,"&lt;1%"," "))</f>
        <v xml:space="preserve"> </v>
      </c>
      <c r="I25" s="144" t="str">
        <f>IF('[9]Table 11 CWTs exp'!I25/'[9]Table 11 CWTs exp'!$AA25&gt;=0.005,'[9]Table 11 CWTs exp'!I25/'[9]Table 11 CWTs exp'!$AA25,IF('[9]Table 11 CWTs exp'!I25/'[9]Table 11 CWTs exp'!$AA25&gt;0,"&lt;1%"," "))</f>
        <v xml:space="preserve"> </v>
      </c>
      <c r="J25" s="146" t="str">
        <f>IF('[9]Table 11 CWTs exp'!J25/'[9]Table 11 CWTs exp'!$AA25&gt;=0.005,'[9]Table 11 CWTs exp'!J25/'[9]Table 11 CWTs exp'!$AA25,IF('[9]Table 11 CWTs exp'!J25/'[9]Table 11 CWTs exp'!$AA25&gt;0,"&lt;1%"," "))</f>
        <v xml:space="preserve"> </v>
      </c>
      <c r="K25" s="144" t="str">
        <f>IF('[9]Table 11 CWTs exp'!K25/'[9]Table 11 CWTs exp'!$AA25&gt;=0.005,'[9]Table 11 CWTs exp'!K25/'[9]Table 11 CWTs exp'!$AA25,IF('[9]Table 11 CWTs exp'!K25/'[9]Table 11 CWTs exp'!$AA25&gt;0,"&lt;1%"," "))</f>
        <v xml:space="preserve"> </v>
      </c>
      <c r="L25" s="144" t="str">
        <f>IF('[9]Table 11 CWTs exp'!L25/'[9]Table 11 CWTs exp'!$AA25&gt;=0.005,'[9]Table 11 CWTs exp'!L25/'[9]Table 11 CWTs exp'!$AA25,IF('[9]Table 11 CWTs exp'!L25/'[9]Table 11 CWTs exp'!$AA25&gt;0,"&lt;1%"," "))</f>
        <v xml:space="preserve"> </v>
      </c>
      <c r="M25" s="144" t="str">
        <f>IF('[9]Table 11 CWTs exp'!M25/'[9]Table 11 CWTs exp'!$AA25&gt;=0.005,'[9]Table 11 CWTs exp'!M25/'[9]Table 11 CWTs exp'!$AA25,IF('[9]Table 11 CWTs exp'!M25/'[9]Table 11 CWTs exp'!$AA25&gt;0,"&lt;1%"," "))</f>
        <v xml:space="preserve"> </v>
      </c>
      <c r="N25" s="144" t="str">
        <f>IF('[9]Table 11 CWTs exp'!N25/'[9]Table 11 CWTs exp'!$AA25&gt;=0.005,'[9]Table 11 CWTs exp'!N25/'[9]Table 11 CWTs exp'!$AA25,IF('[9]Table 11 CWTs exp'!N25/'[9]Table 11 CWTs exp'!$AA25&gt;0,"&lt;1%"," "))</f>
        <v xml:space="preserve"> </v>
      </c>
      <c r="O25" s="144" t="str">
        <f>IF('[9]Table 11 CWTs exp'!O25/'[9]Table 11 CWTs exp'!$AA25&gt;=0.005,'[9]Table 11 CWTs exp'!O25/'[9]Table 11 CWTs exp'!$AA25,IF('[9]Table 11 CWTs exp'!O25/'[9]Table 11 CWTs exp'!$AA25&gt;0,"&lt;1%"," "))</f>
        <v xml:space="preserve"> </v>
      </c>
      <c r="P25" s="144" t="str">
        <f>IF('[9]Table 11 CWTs exp'!P25/'[9]Table 11 CWTs exp'!$AA25&gt;=0.005,'[9]Table 11 CWTs exp'!P25/'[9]Table 11 CWTs exp'!$AA25,IF('[9]Table 11 CWTs exp'!P25/'[9]Table 11 CWTs exp'!$AA25&gt;0,"&lt;1%"," "))</f>
        <v>&lt;1%</v>
      </c>
      <c r="Q25" s="145" t="str">
        <f>IF('[9]Table 11 CWTs exp'!Q25/'[9]Table 11 CWTs exp'!$AA25&gt;=0.005,'[9]Table 11 CWTs exp'!Q25/'[9]Table 11 CWTs exp'!$AA25,IF('[9]Table 11 CWTs exp'!Q25/'[9]Table 11 CWTs exp'!$AA25&gt;0,"&lt;1%"," "))</f>
        <v xml:space="preserve"> </v>
      </c>
      <c r="R25" s="146" t="str">
        <f>IF('[9]Table 11 CWTs exp'!R25/'[9]Table 11 CWTs exp'!$AA25&gt;=0.005,'[9]Table 11 CWTs exp'!R25/'[9]Table 11 CWTs exp'!$AA25,IF('[9]Table 11 CWTs exp'!R25/'[9]Table 11 CWTs exp'!$AA25&gt;0,"&lt;1%"," "))</f>
        <v xml:space="preserve"> </v>
      </c>
      <c r="S25" s="144" t="str">
        <f>IF('[9]Table 11 CWTs exp'!S25/'[9]Table 11 CWTs exp'!$AA25&gt;=0.005,'[9]Table 11 CWTs exp'!S25/'[9]Table 11 CWTs exp'!$AA25,IF('[9]Table 11 CWTs exp'!S25/'[9]Table 11 CWTs exp'!$AA25&gt;0,"&lt;1%"," "))</f>
        <v xml:space="preserve"> </v>
      </c>
      <c r="T25" s="144" t="str">
        <f>IF('[9]Table 11 CWTs exp'!T25/'[9]Table 11 CWTs exp'!$AA25&gt;=0.005,'[9]Table 11 CWTs exp'!T25/'[9]Table 11 CWTs exp'!$AA25,IF('[9]Table 11 CWTs exp'!T25/'[9]Table 11 CWTs exp'!$AA25&gt;0,"&lt;1%"," "))</f>
        <v xml:space="preserve"> </v>
      </c>
      <c r="U25" s="144" t="str">
        <f>IF('[9]Table 11 CWTs exp'!U25/'[9]Table 11 CWTs exp'!$AA25&gt;=0.005,'[9]Table 11 CWTs exp'!U25/'[9]Table 11 CWTs exp'!$AA25,IF('[9]Table 11 CWTs exp'!U25/'[9]Table 11 CWTs exp'!$AA25&gt;0,"&lt;1%"," "))</f>
        <v xml:space="preserve"> </v>
      </c>
      <c r="V25" s="146" t="str">
        <f>IF('[9]Table 11 CWTs exp'!V25/'[9]Table 11 CWTs exp'!$AA25&gt;=0.005,'[9]Table 11 CWTs exp'!V25/'[9]Table 11 CWTs exp'!$AA25,IF('[9]Table 11 CWTs exp'!V25/'[9]Table 11 CWTs exp'!$AA25&gt;0,"&lt;1%"," "))</f>
        <v xml:space="preserve"> </v>
      </c>
      <c r="W25" s="146" t="str">
        <f>IF('[9]Table 11 CWTs exp'!W25/'[9]Table 11 CWTs exp'!$AA25&gt;=0.005,'[9]Table 11 CWTs exp'!W25/'[9]Table 11 CWTs exp'!$AA25,IF('[9]Table 11 CWTs exp'!W25/'[9]Table 11 CWTs exp'!$AA25&gt;0,"&lt;1%"," "))</f>
        <v xml:space="preserve"> </v>
      </c>
      <c r="X25" s="206" t="str">
        <f>IF('[9]Table 11 CWTs exp'!X25/'[9]Table 11 CWTs exp'!$AA25&gt;0.0005,'[9]Table 11 CWTs exp'!X25/'[9]Table 11 CWTs exp'!$AA25,IF('[9]Table 11 CWTs exp'!X25/'[9]Table 11 CWTs exp'!$AA25&gt;0,"-"," "))</f>
        <v xml:space="preserve"> </v>
      </c>
      <c r="Y25" s="147">
        <f t="shared" si="4"/>
        <v>1.2180267965895249E-3</v>
      </c>
      <c r="Z25" s="148">
        <f t="shared" si="5"/>
        <v>0.99978197320341045</v>
      </c>
      <c r="AA25" s="38">
        <f>'[9]Table 11 CWTs exp'!AA25</f>
        <v>821</v>
      </c>
      <c r="AC25" s="592">
        <f>'[9]Table 11 CWTs exp'!AD25</f>
        <v>1.2180267965895249E-3</v>
      </c>
      <c r="AD25" s="592">
        <f t="shared" si="2"/>
        <v>0</v>
      </c>
      <c r="AE25" s="593" t="str">
        <f t="shared" si="3"/>
        <v>COW543</v>
      </c>
      <c r="AF25" s="442"/>
    </row>
    <row r="26" spans="1:32" ht="14.5" hidden="1" customHeight="1" x14ac:dyDescent="0.25">
      <c r="A26" s="54" t="str">
        <f>'[9]Table 11 CWTs exp'!A26</f>
        <v>MLC543</v>
      </c>
      <c r="B26" s="75" t="str">
        <f>'[9]Table 11 CWTs exp'!B26</f>
        <v>MLC</v>
      </c>
      <c r="C26" s="75">
        <f>'[9]Table 11 CWTs exp'!C26</f>
        <v>54</v>
      </c>
      <c r="D26" s="75">
        <f>'[9]Table 11 CWTs exp'!D26</f>
        <v>3</v>
      </c>
      <c r="E26" t="str">
        <f>'[9]Table 11 CWTs exp'!E26</f>
        <v>Mill Creek*</v>
      </c>
      <c r="F26" s="37" t="str">
        <f>'[9]Table 11 CWTs exp'!F26</f>
        <v>Fall</v>
      </c>
      <c r="G26" s="144" t="str">
        <f>IF('[9]Table 11 CWTs exp'!G26/'[9]Table 11 CWTs exp'!$AA26&gt;=0.005,'[9]Table 11 CWTs exp'!G26/'[9]Table 11 CWTs exp'!$AA26,IF('[9]Table 11 CWTs exp'!G26/'[9]Table 11 CWTs exp'!$AA26&gt;0,"&lt;1%"," "))</f>
        <v xml:space="preserve"> </v>
      </c>
      <c r="H26" s="145" t="str">
        <f>IF('[9]Table 11 CWTs exp'!H26/'[9]Table 11 CWTs exp'!$AA26&gt;=0.005,'[9]Table 11 CWTs exp'!H26/'[9]Table 11 CWTs exp'!$AA26,IF('[9]Table 11 CWTs exp'!H26/'[9]Table 11 CWTs exp'!$AA26&gt;0,"&lt;1%"," "))</f>
        <v xml:space="preserve"> </v>
      </c>
      <c r="I26" s="144">
        <f>IF('[9]Table 11 CWTs exp'!I26/'[9]Table 11 CWTs exp'!$AA26&gt;=0.005,'[9]Table 11 CWTs exp'!I26/'[9]Table 11 CWTs exp'!$AA26,IF('[9]Table 11 CWTs exp'!I26/'[9]Table 11 CWTs exp'!$AA26&gt;0,"&lt;1%"," "))</f>
        <v>1.3289036544850499E-2</v>
      </c>
      <c r="J26" s="146" t="str">
        <f>IF('[9]Table 11 CWTs exp'!J26/'[9]Table 11 CWTs exp'!$AA26&gt;=0.005,'[9]Table 11 CWTs exp'!J26/'[9]Table 11 CWTs exp'!$AA26,IF('[9]Table 11 CWTs exp'!J26/'[9]Table 11 CWTs exp'!$AA26&gt;0,"&lt;1%"," "))</f>
        <v xml:space="preserve"> </v>
      </c>
      <c r="K26" s="144" t="str">
        <f>IF('[9]Table 11 CWTs exp'!K26/'[9]Table 11 CWTs exp'!$AA26&gt;=0.005,'[9]Table 11 CWTs exp'!K26/'[9]Table 11 CWTs exp'!$AA26,IF('[9]Table 11 CWTs exp'!K26/'[9]Table 11 CWTs exp'!$AA26&gt;0,"&lt;1%"," "))</f>
        <v xml:space="preserve"> </v>
      </c>
      <c r="L26" s="144" t="str">
        <f>IF('[9]Table 11 CWTs exp'!L26/'[9]Table 11 CWTs exp'!$AA26&gt;=0.005,'[9]Table 11 CWTs exp'!L26/'[9]Table 11 CWTs exp'!$AA26,IF('[9]Table 11 CWTs exp'!L26/'[9]Table 11 CWTs exp'!$AA26&gt;0,"&lt;1%"," "))</f>
        <v xml:space="preserve"> </v>
      </c>
      <c r="M26" s="144" t="str">
        <f>IF('[9]Table 11 CWTs exp'!M26/'[9]Table 11 CWTs exp'!$AA26&gt;=0.005,'[9]Table 11 CWTs exp'!M26/'[9]Table 11 CWTs exp'!$AA26,IF('[9]Table 11 CWTs exp'!M26/'[9]Table 11 CWTs exp'!$AA26&gt;0,"&lt;1%"," "))</f>
        <v xml:space="preserve"> </v>
      </c>
      <c r="N26" s="144" t="str">
        <f>IF('[9]Table 11 CWTs exp'!N26/'[9]Table 11 CWTs exp'!$AA26&gt;=0.005,'[9]Table 11 CWTs exp'!N26/'[9]Table 11 CWTs exp'!$AA26,IF('[9]Table 11 CWTs exp'!N26/'[9]Table 11 CWTs exp'!$AA26&gt;0,"&lt;1%"," "))</f>
        <v xml:space="preserve"> </v>
      </c>
      <c r="O26" s="144">
        <f>IF('[9]Table 11 CWTs exp'!O26/'[9]Table 11 CWTs exp'!$AA26&gt;=0.005,'[9]Table 11 CWTs exp'!O26/'[9]Table 11 CWTs exp'!$AA26,IF('[9]Table 11 CWTs exp'!O26/'[9]Table 11 CWTs exp'!$AA26&gt;0,"&lt;1%"," "))</f>
        <v>6.6445182724252493E-3</v>
      </c>
      <c r="P26" s="144" t="str">
        <f>IF('[9]Table 11 CWTs exp'!P26/'[9]Table 11 CWTs exp'!$AA26&gt;=0.005,'[9]Table 11 CWTs exp'!P26/'[9]Table 11 CWTs exp'!$AA26,IF('[9]Table 11 CWTs exp'!P26/'[9]Table 11 CWTs exp'!$AA26&gt;0,"&lt;1%"," "))</f>
        <v xml:space="preserve"> </v>
      </c>
      <c r="Q26" s="145" t="str">
        <f>IF('[9]Table 11 CWTs exp'!Q26/'[9]Table 11 CWTs exp'!$AA26&gt;=0.005,'[9]Table 11 CWTs exp'!Q26/'[9]Table 11 CWTs exp'!$AA26,IF('[9]Table 11 CWTs exp'!Q26/'[9]Table 11 CWTs exp'!$AA26&gt;0,"&lt;1%"," "))</f>
        <v xml:space="preserve"> </v>
      </c>
      <c r="R26" s="146" t="str">
        <f>IF('[9]Table 11 CWTs exp'!R26/'[9]Table 11 CWTs exp'!$AA26&gt;=0.005,'[9]Table 11 CWTs exp'!R26/'[9]Table 11 CWTs exp'!$AA26,IF('[9]Table 11 CWTs exp'!R26/'[9]Table 11 CWTs exp'!$AA26&gt;0,"&lt;1%"," "))</f>
        <v xml:space="preserve"> </v>
      </c>
      <c r="S26" s="144" t="str">
        <f>IF('[9]Table 11 CWTs exp'!S26/'[9]Table 11 CWTs exp'!$AA26&gt;=0.005,'[9]Table 11 CWTs exp'!S26/'[9]Table 11 CWTs exp'!$AA26,IF('[9]Table 11 CWTs exp'!S26/'[9]Table 11 CWTs exp'!$AA26&gt;0,"&lt;1%"," "))</f>
        <v xml:space="preserve"> </v>
      </c>
      <c r="T26" s="144" t="str">
        <f>IF('[9]Table 11 CWTs exp'!T26/'[9]Table 11 CWTs exp'!$AA26&gt;=0.005,'[9]Table 11 CWTs exp'!T26/'[9]Table 11 CWTs exp'!$AA26,IF('[9]Table 11 CWTs exp'!T26/'[9]Table 11 CWTs exp'!$AA26&gt;0,"&lt;1%"," "))</f>
        <v xml:space="preserve"> </v>
      </c>
      <c r="U26" s="144" t="str">
        <f>IF('[9]Table 11 CWTs exp'!U26/'[9]Table 11 CWTs exp'!$AA26&gt;=0.005,'[9]Table 11 CWTs exp'!U26/'[9]Table 11 CWTs exp'!$AA26,IF('[9]Table 11 CWTs exp'!U26/'[9]Table 11 CWTs exp'!$AA26&gt;0,"&lt;1%"," "))</f>
        <v xml:space="preserve"> </v>
      </c>
      <c r="V26" s="146" t="str">
        <f>IF('[9]Table 11 CWTs exp'!V26/'[9]Table 11 CWTs exp'!$AA26&gt;=0.005,'[9]Table 11 CWTs exp'!V26/'[9]Table 11 CWTs exp'!$AA26,IF('[9]Table 11 CWTs exp'!V26/'[9]Table 11 CWTs exp'!$AA26&gt;0,"&lt;1%"," "))</f>
        <v xml:space="preserve"> </v>
      </c>
      <c r="W26" s="146" t="str">
        <f>IF('[9]Table 11 CWTs exp'!W26/'[9]Table 11 CWTs exp'!$AA26&gt;=0.005,'[9]Table 11 CWTs exp'!W26/'[9]Table 11 CWTs exp'!$AA26,IF('[9]Table 11 CWTs exp'!W26/'[9]Table 11 CWTs exp'!$AA26&gt;0,"&lt;1%"," "))</f>
        <v xml:space="preserve"> </v>
      </c>
      <c r="X26" s="206" t="str">
        <f>IF('[9]Table 11 CWTs exp'!X26/'[9]Table 11 CWTs exp'!$AA26&gt;0.0005,'[9]Table 11 CWTs exp'!X26/'[9]Table 11 CWTs exp'!$AA26,IF('[9]Table 11 CWTs exp'!X26/'[9]Table 11 CWTs exp'!$AA26&gt;0,"-"," "))</f>
        <v xml:space="preserve"> </v>
      </c>
      <c r="Y26" s="147">
        <f t="shared" si="4"/>
        <v>1.9933554817275746E-2</v>
      </c>
      <c r="Z26" s="148">
        <f t="shared" si="5"/>
        <v>0.98106644518272423</v>
      </c>
      <c r="AA26" s="38">
        <f>'[9]Table 11 CWTs exp'!AA26</f>
        <v>602</v>
      </c>
      <c r="AC26" s="592">
        <f>'[9]Table 11 CWTs exp'!AD26</f>
        <v>1.9933554817275746E-2</v>
      </c>
      <c r="AD26" s="592">
        <f t="shared" si="2"/>
        <v>0</v>
      </c>
      <c r="AE26" s="593" t="str">
        <f t="shared" si="3"/>
        <v>MLC543</v>
      </c>
      <c r="AF26" s="442"/>
    </row>
    <row r="27" spans="1:32" ht="14.5" customHeight="1" x14ac:dyDescent="0.25">
      <c r="A27" s="54" t="str">
        <f>'[9]Table 11 CWTs exp'!A27</f>
        <v>BUTT543</v>
      </c>
      <c r="B27" s="75" t="str">
        <f>'[9]Table 11 CWTs exp'!B27</f>
        <v>BUTT</v>
      </c>
      <c r="C27" s="75">
        <f>'[9]Table 11 CWTs exp'!C27</f>
        <v>54</v>
      </c>
      <c r="D27" s="75">
        <f>'[9]Table 11 CWTs exp'!D27</f>
        <v>3</v>
      </c>
      <c r="E27" t="str">
        <f>'[9]Table 11 CWTs exp'!E27</f>
        <v>Butte Creek</v>
      </c>
      <c r="F27" s="37" t="str">
        <f>'[9]Table 11 CWTs exp'!F27</f>
        <v>Fall</v>
      </c>
      <c r="G27" s="144" t="str">
        <f>IF('[9]Table 11 CWTs exp'!G27/'[9]Table 11 CWTs exp'!$AA27&gt;=0.005,'[9]Table 11 CWTs exp'!G27/'[9]Table 11 CWTs exp'!$AA27,IF('[9]Table 11 CWTs exp'!G27/'[9]Table 11 CWTs exp'!$AA27&gt;0,"&lt;1%"," "))</f>
        <v xml:space="preserve"> </v>
      </c>
      <c r="H27" s="145" t="str">
        <f>IF('[9]Table 11 CWTs exp'!H27/'[9]Table 11 CWTs exp'!$AA27&gt;=0.005,'[9]Table 11 CWTs exp'!H27/'[9]Table 11 CWTs exp'!$AA27,IF('[9]Table 11 CWTs exp'!H27/'[9]Table 11 CWTs exp'!$AA27&gt;0,"&lt;1%"," "))</f>
        <v xml:space="preserve"> </v>
      </c>
      <c r="I27" s="144" t="str">
        <f>IF('[9]Table 11 CWTs exp'!I27/'[9]Table 11 CWTs exp'!$AA27&gt;=0.005,'[9]Table 11 CWTs exp'!I27/'[9]Table 11 CWTs exp'!$AA27,IF('[9]Table 11 CWTs exp'!I27/'[9]Table 11 CWTs exp'!$AA27&gt;0,"&lt;1%"," "))</f>
        <v xml:space="preserve"> </v>
      </c>
      <c r="J27" s="146" t="str">
        <f>IF('[9]Table 11 CWTs exp'!J27/'[9]Table 11 CWTs exp'!$AA27&gt;=0.005,'[9]Table 11 CWTs exp'!J27/'[9]Table 11 CWTs exp'!$AA27,IF('[9]Table 11 CWTs exp'!J27/'[9]Table 11 CWTs exp'!$AA27&gt;0,"&lt;1%"," "))</f>
        <v xml:space="preserve"> </v>
      </c>
      <c r="K27" s="144" t="str">
        <f>IF('[9]Table 11 CWTs exp'!K27/'[9]Table 11 CWTs exp'!$AA27&gt;=0.005,'[9]Table 11 CWTs exp'!K27/'[9]Table 11 CWTs exp'!$AA27,IF('[9]Table 11 CWTs exp'!K27/'[9]Table 11 CWTs exp'!$AA27&gt;0,"&lt;1%"," "))</f>
        <v xml:space="preserve"> </v>
      </c>
      <c r="L27" s="144" t="str">
        <f>IF('[9]Table 11 CWTs exp'!L27/'[9]Table 11 CWTs exp'!$AA27&gt;=0.005,'[9]Table 11 CWTs exp'!L27/'[9]Table 11 CWTs exp'!$AA27,IF('[9]Table 11 CWTs exp'!L27/'[9]Table 11 CWTs exp'!$AA27&gt;0,"&lt;1%"," "))</f>
        <v xml:space="preserve"> </v>
      </c>
      <c r="M27" s="144" t="str">
        <f>IF('[9]Table 11 CWTs exp'!M27/'[9]Table 11 CWTs exp'!$AA27&gt;=0.005,'[9]Table 11 CWTs exp'!M27/'[9]Table 11 CWTs exp'!$AA27,IF('[9]Table 11 CWTs exp'!M27/'[9]Table 11 CWTs exp'!$AA27&gt;0,"&lt;1%"," "))</f>
        <v xml:space="preserve"> </v>
      </c>
      <c r="N27" s="144" t="str">
        <f>IF('[9]Table 11 CWTs exp'!N27/'[9]Table 11 CWTs exp'!$AA27&gt;=0.005,'[9]Table 11 CWTs exp'!N27/'[9]Table 11 CWTs exp'!$AA27,IF('[9]Table 11 CWTs exp'!N27/'[9]Table 11 CWTs exp'!$AA27&gt;0,"&lt;1%"," "))</f>
        <v xml:space="preserve"> </v>
      </c>
      <c r="O27" s="144">
        <f>IF('[9]Table 11 CWTs exp'!O27/'[9]Table 11 CWTs exp'!$AA27&gt;=0.005,'[9]Table 11 CWTs exp'!O27/'[9]Table 11 CWTs exp'!$AA27,IF('[9]Table 11 CWTs exp'!O27/'[9]Table 11 CWTs exp'!$AA27&gt;0,"&lt;1%"," "))</f>
        <v>7.3482428115015971E-2</v>
      </c>
      <c r="P27" s="144">
        <f>IF('[9]Table 11 CWTs exp'!P27/'[9]Table 11 CWTs exp'!$AA27&gt;=0.005,'[9]Table 11 CWTs exp'!P27/'[9]Table 11 CWTs exp'!$AA27,IF('[9]Table 11 CWTs exp'!P27/'[9]Table 11 CWTs exp'!$AA27&gt;0,"&lt;1%"," "))</f>
        <v>1.9169329073482427E-2</v>
      </c>
      <c r="Q27" s="145" t="str">
        <f>IF('[9]Table 11 CWTs exp'!Q27/'[9]Table 11 CWTs exp'!$AA27&gt;=0.005,'[9]Table 11 CWTs exp'!Q27/'[9]Table 11 CWTs exp'!$AA27,IF('[9]Table 11 CWTs exp'!Q27/'[9]Table 11 CWTs exp'!$AA27&gt;0,"&lt;1%"," "))</f>
        <v xml:space="preserve"> </v>
      </c>
      <c r="R27" s="146" t="str">
        <f>IF('[9]Table 11 CWTs exp'!R27/'[9]Table 11 CWTs exp'!$AA27&gt;=0.005,'[9]Table 11 CWTs exp'!R27/'[9]Table 11 CWTs exp'!$AA27,IF('[9]Table 11 CWTs exp'!R27/'[9]Table 11 CWTs exp'!$AA27&gt;0,"&lt;1%"," "))</f>
        <v xml:space="preserve"> </v>
      </c>
      <c r="S27" s="144" t="str">
        <f>IF('[9]Table 11 CWTs exp'!S27/'[9]Table 11 CWTs exp'!$AA27&gt;=0.005,'[9]Table 11 CWTs exp'!S27/'[9]Table 11 CWTs exp'!$AA27,IF('[9]Table 11 CWTs exp'!S27/'[9]Table 11 CWTs exp'!$AA27&gt;0,"&lt;1%"," "))</f>
        <v xml:space="preserve"> </v>
      </c>
      <c r="T27" s="144">
        <f>IF('[9]Table 11 CWTs exp'!T27/'[9]Table 11 CWTs exp'!$AA27&gt;=0.005,'[9]Table 11 CWTs exp'!T27/'[9]Table 11 CWTs exp'!$AA27,IF('[9]Table 11 CWTs exp'!T27/'[9]Table 11 CWTs exp'!$AA27&gt;0,"&lt;1%"," "))</f>
        <v>9.5846645367412137E-3</v>
      </c>
      <c r="U27" s="144">
        <f>IF('[9]Table 11 CWTs exp'!U27/'[9]Table 11 CWTs exp'!$AA27&gt;=0.005,'[9]Table 11 CWTs exp'!U27/'[9]Table 11 CWTs exp'!$AA27,IF('[9]Table 11 CWTs exp'!U27/'[9]Table 11 CWTs exp'!$AA27&gt;0,"&lt;1%"," "))</f>
        <v>3.6741214057507986E-2</v>
      </c>
      <c r="V27" s="146" t="str">
        <f>IF('[9]Table 11 CWTs exp'!V27/'[9]Table 11 CWTs exp'!$AA27&gt;=0.005,'[9]Table 11 CWTs exp'!V27/'[9]Table 11 CWTs exp'!$AA27,IF('[9]Table 11 CWTs exp'!V27/'[9]Table 11 CWTs exp'!$AA27&gt;0,"&lt;1%"," "))</f>
        <v xml:space="preserve"> </v>
      </c>
      <c r="W27" s="146" t="str">
        <f>IF('[9]Table 11 CWTs exp'!W27/'[9]Table 11 CWTs exp'!$AA27&gt;=0.005,'[9]Table 11 CWTs exp'!W27/'[9]Table 11 CWTs exp'!$AA27,IF('[9]Table 11 CWTs exp'!W27/'[9]Table 11 CWTs exp'!$AA27&gt;0,"&lt;1%"," "))</f>
        <v xml:space="preserve"> </v>
      </c>
      <c r="X27" s="206" t="str">
        <f>IF('[9]Table 11 CWTs exp'!X27/'[9]Table 11 CWTs exp'!$AA27&gt;0.0005,'[9]Table 11 CWTs exp'!X27/'[9]Table 11 CWTs exp'!$AA27,IF('[9]Table 11 CWTs exp'!X27/'[9]Table 11 CWTs exp'!$AA27&gt;0,"-"," "))</f>
        <v xml:space="preserve"> </v>
      </c>
      <c r="Y27" s="147">
        <f t="shared" si="4"/>
        <v>0.1389776357827476</v>
      </c>
      <c r="Z27" s="148">
        <f t="shared" si="5"/>
        <v>0.86202236421725242</v>
      </c>
      <c r="AA27" s="38">
        <f>'[9]Table 11 CWTs exp'!AA27</f>
        <v>626</v>
      </c>
      <c r="AC27" s="592">
        <f>'[9]Table 11 CWTs exp'!AD27</f>
        <v>0.1389776357827476</v>
      </c>
      <c r="AD27" s="592">
        <f t="shared" si="2"/>
        <v>0</v>
      </c>
      <c r="AE27" s="593" t="str">
        <f t="shared" si="3"/>
        <v>BUTT543</v>
      </c>
      <c r="AF27" s="442"/>
    </row>
    <row r="28" spans="1:32" ht="14.5" customHeight="1" x14ac:dyDescent="0.25">
      <c r="A28" s="54" t="str">
        <f>'[9]Table 11 CWTs exp'!A28</f>
        <v>FEAC543</v>
      </c>
      <c r="B28" s="75" t="str">
        <f>'[9]Table 11 CWTs exp'!B28</f>
        <v>FEAC</v>
      </c>
      <c r="C28" s="75">
        <f>'[9]Table 11 CWTs exp'!C28</f>
        <v>54</v>
      </c>
      <c r="D28" s="75">
        <f>'[9]Table 11 CWTs exp'!D28</f>
        <v>3</v>
      </c>
      <c r="E28" t="str">
        <f>'[9]Table 11 CWTs exp'!E28</f>
        <v>Feather River</v>
      </c>
      <c r="F28" s="37" t="str">
        <f>'[9]Table 11 CWTs exp'!F28</f>
        <v>Fall</v>
      </c>
      <c r="G28" s="144" t="str">
        <f>IF('[9]Table 11 CWTs exp'!G28/'[9]Table 11 CWTs exp'!$AA28&gt;=0.005,'[9]Table 11 CWTs exp'!G28/'[9]Table 11 CWTs exp'!$AA28,IF('[9]Table 11 CWTs exp'!G28/'[9]Table 11 CWTs exp'!$AA28&gt;0,"&lt;1%"," "))</f>
        <v xml:space="preserve"> </v>
      </c>
      <c r="H28" s="145" t="str">
        <f>IF('[9]Table 11 CWTs exp'!H28/'[9]Table 11 CWTs exp'!$AA28&gt;=0.005,'[9]Table 11 CWTs exp'!H28/'[9]Table 11 CWTs exp'!$AA28,IF('[9]Table 11 CWTs exp'!H28/'[9]Table 11 CWTs exp'!$AA28&gt;0,"&lt;1%"," "))</f>
        <v xml:space="preserve"> </v>
      </c>
      <c r="I28" s="144" t="str">
        <f>IF('[9]Table 11 CWTs exp'!I28/'[9]Table 11 CWTs exp'!$AA28&gt;=0.005,'[9]Table 11 CWTs exp'!I28/'[9]Table 11 CWTs exp'!$AA28,IF('[9]Table 11 CWTs exp'!I28/'[9]Table 11 CWTs exp'!$AA28&gt;0,"&lt;1%"," "))</f>
        <v xml:space="preserve"> </v>
      </c>
      <c r="J28" s="146">
        <f>IF('[9]Table 11 CWTs exp'!J28/'[9]Table 11 CWTs exp'!$AA28&gt;=0.005,'[9]Table 11 CWTs exp'!J28/'[9]Table 11 CWTs exp'!$AA28,IF('[9]Table 11 CWTs exp'!J28/'[9]Table 11 CWTs exp'!$AA28&gt;0,"&lt;1%"," "))</f>
        <v>0.11744360125961489</v>
      </c>
      <c r="K28" s="144">
        <f>IF('[9]Table 11 CWTs exp'!K28/'[9]Table 11 CWTs exp'!$AA28&gt;=0.005,'[9]Table 11 CWTs exp'!K28/'[9]Table 11 CWTs exp'!$AA28,IF('[9]Table 11 CWTs exp'!K28/'[9]Table 11 CWTs exp'!$AA28&gt;0,"&lt;1%"," "))</f>
        <v>2.7541169789892107E-2</v>
      </c>
      <c r="L28" s="144">
        <f>IF('[9]Table 11 CWTs exp'!L28/'[9]Table 11 CWTs exp'!$AA28&gt;=0.005,'[9]Table 11 CWTs exp'!L28/'[9]Table 11 CWTs exp'!$AA28,IF('[9]Table 11 CWTs exp'!L28/'[9]Table 11 CWTs exp'!$AA28&gt;0,"&lt;1%"," "))</f>
        <v>4.4318827112694234E-2</v>
      </c>
      <c r="M28" s="144" t="str">
        <f>IF('[9]Table 11 CWTs exp'!M28/'[9]Table 11 CWTs exp'!$AA28&gt;=0.005,'[9]Table 11 CWTs exp'!M28/'[9]Table 11 CWTs exp'!$AA28,IF('[9]Table 11 CWTs exp'!M28/'[9]Table 11 CWTs exp'!$AA28&gt;0,"&lt;1%"," "))</f>
        <v>&lt;1%</v>
      </c>
      <c r="N28" s="144">
        <f>IF('[9]Table 11 CWTs exp'!N28/'[9]Table 11 CWTs exp'!$AA28&gt;=0.005,'[9]Table 11 CWTs exp'!N28/'[9]Table 11 CWTs exp'!$AA28,IF('[9]Table 11 CWTs exp'!N28/'[9]Table 11 CWTs exp'!$AA28&gt;0,"&lt;1%"," "))</f>
        <v>2.4030767642351968E-2</v>
      </c>
      <c r="O28" s="144">
        <f>IF('[9]Table 11 CWTs exp'!O28/'[9]Table 11 CWTs exp'!$AA28&gt;=0.005,'[9]Table 11 CWTs exp'!O28/'[9]Table 11 CWTs exp'!$AA28,IF('[9]Table 11 CWTs exp'!O28/'[9]Table 11 CWTs exp'!$AA28&gt;0,"&lt;1%"," "))</f>
        <v>0.56117391977698616</v>
      </c>
      <c r="P28" s="144">
        <f>IF('[9]Table 11 CWTs exp'!P28/'[9]Table 11 CWTs exp'!$AA28&gt;=0.005,'[9]Table 11 CWTs exp'!P28/'[9]Table 11 CWTs exp'!$AA28,IF('[9]Table 11 CWTs exp'!P28/'[9]Table 11 CWTs exp'!$AA28&gt;0,"&lt;1%"," "))</f>
        <v>7.6557740952970937E-2</v>
      </c>
      <c r="Q28" s="145" t="str">
        <f>IF('[9]Table 11 CWTs exp'!Q28/'[9]Table 11 CWTs exp'!$AA28&gt;=0.005,'[9]Table 11 CWTs exp'!Q28/'[9]Table 11 CWTs exp'!$AA28,IF('[9]Table 11 CWTs exp'!Q28/'[9]Table 11 CWTs exp'!$AA28&gt;0,"&lt;1%"," "))</f>
        <v xml:space="preserve"> </v>
      </c>
      <c r="R28" s="146" t="str">
        <f>IF('[9]Table 11 CWTs exp'!R28/'[9]Table 11 CWTs exp'!$AA28&gt;=0.005,'[9]Table 11 CWTs exp'!R28/'[9]Table 11 CWTs exp'!$AA28,IF('[9]Table 11 CWTs exp'!R28/'[9]Table 11 CWTs exp'!$AA28&gt;0,"&lt;1%"," "))</f>
        <v>&lt;1%</v>
      </c>
      <c r="S28" s="144" t="str">
        <f>IF('[9]Table 11 CWTs exp'!S28/'[9]Table 11 CWTs exp'!$AA28&gt;=0.005,'[9]Table 11 CWTs exp'!S28/'[9]Table 11 CWTs exp'!$AA28,IF('[9]Table 11 CWTs exp'!S28/'[9]Table 11 CWTs exp'!$AA28&gt;0,"&lt;1%"," "))</f>
        <v>&lt;1%</v>
      </c>
      <c r="T28" s="144" t="str">
        <f>IF('[9]Table 11 CWTs exp'!T28/'[9]Table 11 CWTs exp'!$AA28&gt;=0.005,'[9]Table 11 CWTs exp'!T28/'[9]Table 11 CWTs exp'!$AA28,IF('[9]Table 11 CWTs exp'!T28/'[9]Table 11 CWTs exp'!$AA28&gt;0,"&lt;1%"," "))</f>
        <v>&lt;1%</v>
      </c>
      <c r="U28" s="144" t="str">
        <f>IF('[9]Table 11 CWTs exp'!U28/'[9]Table 11 CWTs exp'!$AA28&gt;=0.005,'[9]Table 11 CWTs exp'!U28/'[9]Table 11 CWTs exp'!$AA28,IF('[9]Table 11 CWTs exp'!U28/'[9]Table 11 CWTs exp'!$AA28&gt;0,"&lt;1%"," "))</f>
        <v>&lt;1%</v>
      </c>
      <c r="V28" s="146" t="str">
        <f>IF('[9]Table 11 CWTs exp'!V28/'[9]Table 11 CWTs exp'!$AA28&gt;=0.005,'[9]Table 11 CWTs exp'!V28/'[9]Table 11 CWTs exp'!$AA28,IF('[9]Table 11 CWTs exp'!V28/'[9]Table 11 CWTs exp'!$AA28&gt;0,"&lt;1%"," "))</f>
        <v>&lt;1%</v>
      </c>
      <c r="W28" s="146" t="str">
        <f>IF('[9]Table 11 CWTs exp'!W28/'[9]Table 11 CWTs exp'!$AA28&gt;=0.005,'[9]Table 11 CWTs exp'!W28/'[9]Table 11 CWTs exp'!$AA28,IF('[9]Table 11 CWTs exp'!W28/'[9]Table 11 CWTs exp'!$AA28&gt;0,"&lt;1%"," "))</f>
        <v>&lt;1%</v>
      </c>
      <c r="X28" s="206" t="str">
        <f>IF('[9]Table 11 CWTs exp'!X28/'[9]Table 11 CWTs exp'!$AA28&gt;0.0005,'[9]Table 11 CWTs exp'!X28/'[9]Table 11 CWTs exp'!$AA28,IF('[9]Table 11 CWTs exp'!X28/'[9]Table 11 CWTs exp'!$AA28&gt;0,"-"," "))</f>
        <v xml:space="preserve"> </v>
      </c>
      <c r="Y28" s="147">
        <f t="shared" si="4"/>
        <v>0.86484951731970472</v>
      </c>
      <c r="Z28" s="148">
        <f t="shared" si="5"/>
        <v>0.13615048268029528</v>
      </c>
      <c r="AA28" s="38">
        <f>'[9]Table 11 CWTs exp'!AA28</f>
        <v>38742</v>
      </c>
      <c r="AC28" s="592">
        <f>'[9]Table 11 CWTs exp'!AD28</f>
        <v>0.86484951731970472</v>
      </c>
      <c r="AD28" s="592">
        <f t="shared" si="2"/>
        <v>0</v>
      </c>
      <c r="AE28" s="593" t="str">
        <f t="shared" si="3"/>
        <v>FEAC543</v>
      </c>
      <c r="AF28" s="442"/>
    </row>
    <row r="29" spans="1:32" ht="14.5" customHeight="1" x14ac:dyDescent="0.25">
      <c r="A29" s="54" t="str">
        <f>'[9]Table 11 CWTs exp'!A29</f>
        <v>YUBA543</v>
      </c>
      <c r="B29" s="75" t="str">
        <f>'[9]Table 11 CWTs exp'!B29</f>
        <v>YUBA</v>
      </c>
      <c r="C29" s="75">
        <f>'[9]Table 11 CWTs exp'!C29</f>
        <v>54</v>
      </c>
      <c r="D29" s="75">
        <f>'[9]Table 11 CWTs exp'!D29</f>
        <v>3</v>
      </c>
      <c r="E29" t="str">
        <f>'[9]Table 11 CWTs exp'!E29</f>
        <v>Yuba River</v>
      </c>
      <c r="F29" s="37" t="str">
        <f>'[9]Table 11 CWTs exp'!F29</f>
        <v>Fall</v>
      </c>
      <c r="G29" s="144" t="str">
        <f>IF('[9]Table 11 CWTs exp'!G29/'[9]Table 11 CWTs exp'!$AA29&gt;=0.005,'[9]Table 11 CWTs exp'!G29/'[9]Table 11 CWTs exp'!$AA29,IF('[9]Table 11 CWTs exp'!G29/'[9]Table 11 CWTs exp'!$AA29&gt;0,"&lt;1%"," "))</f>
        <v xml:space="preserve"> </v>
      </c>
      <c r="H29" s="145" t="str">
        <f>IF('[9]Table 11 CWTs exp'!H29/'[9]Table 11 CWTs exp'!$AA29&gt;=0.005,'[9]Table 11 CWTs exp'!H29/'[9]Table 11 CWTs exp'!$AA29,IF('[9]Table 11 CWTs exp'!H29/'[9]Table 11 CWTs exp'!$AA29&gt;0,"&lt;1%"," "))</f>
        <v xml:space="preserve"> </v>
      </c>
      <c r="I29" s="144" t="str">
        <f>IF('[9]Table 11 CWTs exp'!I29/'[9]Table 11 CWTs exp'!$AA29&gt;=0.005,'[9]Table 11 CWTs exp'!I29/'[9]Table 11 CWTs exp'!$AA29,IF('[9]Table 11 CWTs exp'!I29/'[9]Table 11 CWTs exp'!$AA29&gt;0,"&lt;1%"," "))</f>
        <v xml:space="preserve"> </v>
      </c>
      <c r="J29" s="146">
        <f>IF('[9]Table 11 CWTs exp'!J29/'[9]Table 11 CWTs exp'!$AA29&gt;=0.005,'[9]Table 11 CWTs exp'!J29/'[9]Table 11 CWTs exp'!$AA29,IF('[9]Table 11 CWTs exp'!J29/'[9]Table 11 CWTs exp'!$AA29&gt;0,"&lt;1%"," "))</f>
        <v>0.22917251051893409</v>
      </c>
      <c r="K29" s="144">
        <f>IF('[9]Table 11 CWTs exp'!K29/'[9]Table 11 CWTs exp'!$AA29&gt;=0.005,'[9]Table 11 CWTs exp'!K29/'[9]Table 11 CWTs exp'!$AA29,IF('[9]Table 11 CWTs exp'!K29/'[9]Table 11 CWTs exp'!$AA29&gt;0,"&lt;1%"," "))</f>
        <v>9.2566619915848535E-3</v>
      </c>
      <c r="L29" s="144">
        <f>IF('[9]Table 11 CWTs exp'!L29/'[9]Table 11 CWTs exp'!$AA29&gt;=0.005,'[9]Table 11 CWTs exp'!L29/'[9]Table 11 CWTs exp'!$AA29,IF('[9]Table 11 CWTs exp'!L29/'[9]Table 11 CWTs exp'!$AA29&gt;0,"&lt;1%"," "))</f>
        <v>1.3744740532959326E-2</v>
      </c>
      <c r="M29" s="144" t="str">
        <f>IF('[9]Table 11 CWTs exp'!M29/'[9]Table 11 CWTs exp'!$AA29&gt;=0.005,'[9]Table 11 CWTs exp'!M29/'[9]Table 11 CWTs exp'!$AA29,IF('[9]Table 11 CWTs exp'!M29/'[9]Table 11 CWTs exp'!$AA29&gt;0,"&lt;1%"," "))</f>
        <v xml:space="preserve"> </v>
      </c>
      <c r="N29" s="144" t="str">
        <f>IF('[9]Table 11 CWTs exp'!N29/'[9]Table 11 CWTs exp'!$AA29&gt;=0.005,'[9]Table 11 CWTs exp'!N29/'[9]Table 11 CWTs exp'!$AA29,IF('[9]Table 11 CWTs exp'!N29/'[9]Table 11 CWTs exp'!$AA29&gt;0,"&lt;1%"," "))</f>
        <v>&lt;1%</v>
      </c>
      <c r="O29" s="144">
        <f>IF('[9]Table 11 CWTs exp'!O29/'[9]Table 11 CWTs exp'!$AA29&gt;=0.005,'[9]Table 11 CWTs exp'!O29/'[9]Table 11 CWTs exp'!$AA29,IF('[9]Table 11 CWTs exp'!O29/'[9]Table 11 CWTs exp'!$AA29&gt;0,"&lt;1%"," "))</f>
        <v>8.0224403927068727E-2</v>
      </c>
      <c r="P29" s="144">
        <f>IF('[9]Table 11 CWTs exp'!P29/'[9]Table 11 CWTs exp'!$AA29&gt;=0.005,'[9]Table 11 CWTs exp'!P29/'[9]Table 11 CWTs exp'!$AA29,IF('[9]Table 11 CWTs exp'!P29/'[9]Table 11 CWTs exp'!$AA29&gt;0,"&lt;1%"," "))</f>
        <v>1.3744740532959326E-2</v>
      </c>
      <c r="Q29" s="145" t="str">
        <f>IF('[9]Table 11 CWTs exp'!Q29/'[9]Table 11 CWTs exp'!$AA29&gt;=0.005,'[9]Table 11 CWTs exp'!Q29/'[9]Table 11 CWTs exp'!$AA29,IF('[9]Table 11 CWTs exp'!Q29/'[9]Table 11 CWTs exp'!$AA29&gt;0,"&lt;1%"," "))</f>
        <v xml:space="preserve"> </v>
      </c>
      <c r="R29" s="146">
        <f>IF('[9]Table 11 CWTs exp'!R29/'[9]Table 11 CWTs exp'!$AA29&gt;=0.005,'[9]Table 11 CWTs exp'!R29/'[9]Table 11 CWTs exp'!$AA29,IF('[9]Table 11 CWTs exp'!R29/'[9]Table 11 CWTs exp'!$AA29&gt;0,"&lt;1%"," "))</f>
        <v>1.20617110799439E-2</v>
      </c>
      <c r="S29" s="144" t="str">
        <f>IF('[9]Table 11 CWTs exp'!S29/'[9]Table 11 CWTs exp'!$AA29&gt;=0.005,'[9]Table 11 CWTs exp'!S29/'[9]Table 11 CWTs exp'!$AA29,IF('[9]Table 11 CWTs exp'!S29/'[9]Table 11 CWTs exp'!$AA29&gt;0,"&lt;1%"," "))</f>
        <v xml:space="preserve"> </v>
      </c>
      <c r="T29" s="144" t="str">
        <f>IF('[9]Table 11 CWTs exp'!T29/'[9]Table 11 CWTs exp'!$AA29&gt;=0.005,'[9]Table 11 CWTs exp'!T29/'[9]Table 11 CWTs exp'!$AA29,IF('[9]Table 11 CWTs exp'!T29/'[9]Table 11 CWTs exp'!$AA29&gt;0,"&lt;1%"," "))</f>
        <v>&lt;1%</v>
      </c>
      <c r="U29" s="144">
        <f>IF('[9]Table 11 CWTs exp'!U29/'[9]Table 11 CWTs exp'!$AA29&gt;=0.005,'[9]Table 11 CWTs exp'!U29/'[9]Table 11 CWTs exp'!$AA29,IF('[9]Table 11 CWTs exp'!U29/'[9]Table 11 CWTs exp'!$AA29&gt;0,"&lt;1%"," "))</f>
        <v>1.7952314165497897E-2</v>
      </c>
      <c r="V29" s="146" t="str">
        <f>IF('[9]Table 11 CWTs exp'!V29/'[9]Table 11 CWTs exp'!$AA29&gt;=0.005,'[9]Table 11 CWTs exp'!V29/'[9]Table 11 CWTs exp'!$AA29,IF('[9]Table 11 CWTs exp'!V29/'[9]Table 11 CWTs exp'!$AA29&gt;0,"&lt;1%"," "))</f>
        <v>&lt;1%</v>
      </c>
      <c r="W29" s="146">
        <f>IF('[9]Table 11 CWTs exp'!W29/'[9]Table 11 CWTs exp'!$AA29&gt;=0.005,'[9]Table 11 CWTs exp'!W29/'[9]Table 11 CWTs exp'!$AA29,IF('[9]Table 11 CWTs exp'!W29/'[9]Table 11 CWTs exp'!$AA29&gt;0,"&lt;1%"," "))</f>
        <v>1.4305750350631136E-2</v>
      </c>
      <c r="X29" s="206" t="str">
        <f>IF('[9]Table 11 CWTs exp'!X29/'[9]Table 11 CWTs exp'!$AA29&gt;0.0005,'[9]Table 11 CWTs exp'!X29/'[9]Table 11 CWTs exp'!$AA29,IF('[9]Table 11 CWTs exp'!X29/'[9]Table 11 CWTs exp'!$AA29&gt;0,"-"," "))</f>
        <v xml:space="preserve"> </v>
      </c>
      <c r="Y29" s="147">
        <f t="shared" si="4"/>
        <v>0.39495091164095369</v>
      </c>
      <c r="Z29" s="148">
        <f t="shared" si="5"/>
        <v>0.60604908835904625</v>
      </c>
      <c r="AA29" s="38">
        <f>'[9]Table 11 CWTs exp'!AA29</f>
        <v>3565</v>
      </c>
      <c r="AC29" s="592">
        <f>'[9]Table 11 CWTs exp'!AD29</f>
        <v>0.39495091164095369</v>
      </c>
      <c r="AD29" s="592">
        <f t="shared" si="2"/>
        <v>0</v>
      </c>
      <c r="AE29" s="593" t="str">
        <f t="shared" si="3"/>
        <v>YUBA543</v>
      </c>
      <c r="AF29" s="442"/>
    </row>
    <row r="30" spans="1:32" ht="14.5" hidden="1" customHeight="1" x14ac:dyDescent="0.25">
      <c r="A30" s="54" t="str">
        <f>'[9]Table 11 CWTs exp'!A30</f>
        <v>YUBB543</v>
      </c>
      <c r="B30" s="75" t="str">
        <f>'[9]Table 11 CWTs exp'!B30</f>
        <v>YUBB</v>
      </c>
      <c r="C30" s="75">
        <f>'[9]Table 11 CWTs exp'!C30</f>
        <v>54</v>
      </c>
      <c r="D30" s="75">
        <f>'[9]Table 11 CWTs exp'!D30</f>
        <v>3</v>
      </c>
      <c r="E30" t="str">
        <f>'[9]Table 11 CWTs exp'!E30</f>
        <v>Yuba River below DPD</v>
      </c>
      <c r="F30" s="37" t="str">
        <f>'[9]Table 11 CWTs exp'!F30</f>
        <v>Fall</v>
      </c>
      <c r="G30" s="144" t="e">
        <f>IF('[9]Table 11 CWTs exp'!G30/'[9]Table 11 CWTs exp'!$AA30&gt;=0.005,'[9]Table 11 CWTs exp'!G30/'[9]Table 11 CWTs exp'!$AA30,IF('[9]Table 11 CWTs exp'!G30/'[9]Table 11 CWTs exp'!$AA30&gt;0,"&lt;1%"," "))</f>
        <v>#DIV/0!</v>
      </c>
      <c r="H30" s="145" t="e">
        <f>IF('[9]Table 11 CWTs exp'!H30/'[9]Table 11 CWTs exp'!$AA30&gt;=0.005,'[9]Table 11 CWTs exp'!H30/'[9]Table 11 CWTs exp'!$AA30,IF('[9]Table 11 CWTs exp'!H30/'[9]Table 11 CWTs exp'!$AA30&gt;0,"&lt;1%"," "))</f>
        <v>#DIV/0!</v>
      </c>
      <c r="I30" s="144" t="e">
        <f>IF('[9]Table 11 CWTs exp'!I30/'[9]Table 11 CWTs exp'!$AA30&gt;=0.005,'[9]Table 11 CWTs exp'!I30/'[9]Table 11 CWTs exp'!$AA30,IF('[9]Table 11 CWTs exp'!I30/'[9]Table 11 CWTs exp'!$AA30&gt;0,"&lt;1%"," "))</f>
        <v>#DIV/0!</v>
      </c>
      <c r="J30" s="146" t="e">
        <f>IF('[9]Table 11 CWTs exp'!J30/'[9]Table 11 CWTs exp'!$AA30&gt;=0.005,'[9]Table 11 CWTs exp'!J30/'[9]Table 11 CWTs exp'!$AA30,IF('[9]Table 11 CWTs exp'!J30/'[9]Table 11 CWTs exp'!$AA30&gt;0,"&lt;1%"," "))</f>
        <v>#DIV/0!</v>
      </c>
      <c r="K30" s="144" t="e">
        <f>IF('[9]Table 11 CWTs exp'!K30/'[9]Table 11 CWTs exp'!$AA30&gt;=0.005,'[9]Table 11 CWTs exp'!K30/'[9]Table 11 CWTs exp'!$AA30,IF('[9]Table 11 CWTs exp'!K30/'[9]Table 11 CWTs exp'!$AA30&gt;0,"&lt;1%"," "))</f>
        <v>#DIV/0!</v>
      </c>
      <c r="L30" s="144" t="e">
        <f>IF('[9]Table 11 CWTs exp'!L30/'[9]Table 11 CWTs exp'!$AA30&gt;=0.005,'[9]Table 11 CWTs exp'!L30/'[9]Table 11 CWTs exp'!$AA30,IF('[9]Table 11 CWTs exp'!L30/'[9]Table 11 CWTs exp'!$AA30&gt;0,"&lt;1%"," "))</f>
        <v>#DIV/0!</v>
      </c>
      <c r="M30" s="144" t="e">
        <f>IF('[9]Table 11 CWTs exp'!M30/'[9]Table 11 CWTs exp'!$AA30&gt;=0.005,'[9]Table 11 CWTs exp'!M30/'[9]Table 11 CWTs exp'!$AA30,IF('[9]Table 11 CWTs exp'!M30/'[9]Table 11 CWTs exp'!$AA30&gt;0,"&lt;1%"," "))</f>
        <v>#DIV/0!</v>
      </c>
      <c r="N30" s="144" t="e">
        <f>IF('[9]Table 11 CWTs exp'!N30/'[9]Table 11 CWTs exp'!$AA30&gt;=0.005,'[9]Table 11 CWTs exp'!N30/'[9]Table 11 CWTs exp'!$AA30,IF('[9]Table 11 CWTs exp'!N30/'[9]Table 11 CWTs exp'!$AA30&gt;0,"&lt;1%"," "))</f>
        <v>#DIV/0!</v>
      </c>
      <c r="O30" s="144" t="e">
        <f>IF('[9]Table 11 CWTs exp'!O30/'[9]Table 11 CWTs exp'!$AA30&gt;=0.005,'[9]Table 11 CWTs exp'!O30/'[9]Table 11 CWTs exp'!$AA30,IF('[9]Table 11 CWTs exp'!O30/'[9]Table 11 CWTs exp'!$AA30&gt;0,"&lt;1%"," "))</f>
        <v>#DIV/0!</v>
      </c>
      <c r="P30" s="144" t="e">
        <f>IF('[9]Table 11 CWTs exp'!P30/'[9]Table 11 CWTs exp'!$AA30&gt;=0.005,'[9]Table 11 CWTs exp'!P30/'[9]Table 11 CWTs exp'!$AA30,IF('[9]Table 11 CWTs exp'!P30/'[9]Table 11 CWTs exp'!$AA30&gt;0,"&lt;1%"," "))</f>
        <v>#DIV/0!</v>
      </c>
      <c r="Q30" s="145" t="e">
        <f>IF('[9]Table 11 CWTs exp'!Q30/'[9]Table 11 CWTs exp'!$AA30&gt;=0.005,'[9]Table 11 CWTs exp'!Q30/'[9]Table 11 CWTs exp'!$AA30,IF('[9]Table 11 CWTs exp'!Q30/'[9]Table 11 CWTs exp'!$AA30&gt;0,"&lt;1%"," "))</f>
        <v>#DIV/0!</v>
      </c>
      <c r="R30" s="146" t="e">
        <f>IF('[9]Table 11 CWTs exp'!R30/'[9]Table 11 CWTs exp'!$AA30&gt;=0.005,'[9]Table 11 CWTs exp'!R30/'[9]Table 11 CWTs exp'!$AA30,IF('[9]Table 11 CWTs exp'!R30/'[9]Table 11 CWTs exp'!$AA30&gt;0,"&lt;1%"," "))</f>
        <v>#DIV/0!</v>
      </c>
      <c r="S30" s="144" t="e">
        <f>IF('[9]Table 11 CWTs exp'!S30/'[9]Table 11 CWTs exp'!$AA30&gt;=0.005,'[9]Table 11 CWTs exp'!S30/'[9]Table 11 CWTs exp'!$AA30,IF('[9]Table 11 CWTs exp'!S30/'[9]Table 11 CWTs exp'!$AA30&gt;0,"&lt;1%"," "))</f>
        <v>#DIV/0!</v>
      </c>
      <c r="T30" s="144" t="e">
        <f>IF('[9]Table 11 CWTs exp'!T30/'[9]Table 11 CWTs exp'!$AA30&gt;=0.005,'[9]Table 11 CWTs exp'!T30/'[9]Table 11 CWTs exp'!$AA30,IF('[9]Table 11 CWTs exp'!T30/'[9]Table 11 CWTs exp'!$AA30&gt;0,"&lt;1%"," "))</f>
        <v>#DIV/0!</v>
      </c>
      <c r="U30" s="144" t="e">
        <f>IF('[9]Table 11 CWTs exp'!U30/'[9]Table 11 CWTs exp'!$AA30&gt;=0.005,'[9]Table 11 CWTs exp'!U30/'[9]Table 11 CWTs exp'!$AA30,IF('[9]Table 11 CWTs exp'!U30/'[9]Table 11 CWTs exp'!$AA30&gt;0,"&lt;1%"," "))</f>
        <v>#DIV/0!</v>
      </c>
      <c r="V30" s="146" t="e">
        <f>IF('[9]Table 11 CWTs exp'!V30/'[9]Table 11 CWTs exp'!$AA30&gt;=0.005,'[9]Table 11 CWTs exp'!V30/'[9]Table 11 CWTs exp'!$AA30,IF('[9]Table 11 CWTs exp'!V30/'[9]Table 11 CWTs exp'!$AA30&gt;0,"&lt;1%"," "))</f>
        <v>#DIV/0!</v>
      </c>
      <c r="W30" s="146" t="e">
        <f>IF('[9]Table 11 CWTs exp'!W30/'[9]Table 11 CWTs exp'!$AA30&gt;=0.005,'[9]Table 11 CWTs exp'!W30/'[9]Table 11 CWTs exp'!$AA30,IF('[9]Table 11 CWTs exp'!W30/'[9]Table 11 CWTs exp'!$AA30&gt;0,"&lt;1%"," "))</f>
        <v>#DIV/0!</v>
      </c>
      <c r="X30" s="206" t="e">
        <f>IF('[9]Table 11 CWTs exp'!X30/'[9]Table 11 CWTs exp'!$AA30&gt;0.0005,'[9]Table 11 CWTs exp'!X30/'[9]Table 11 CWTs exp'!$AA30,IF('[9]Table 11 CWTs exp'!X30/'[9]Table 11 CWTs exp'!$AA30&gt;0,"-"," "))</f>
        <v>#DIV/0!</v>
      </c>
      <c r="Y30" s="147" t="e">
        <f t="shared" ref="Y30" si="6">SUM(G30:X30)</f>
        <v>#DIV/0!</v>
      </c>
      <c r="Z30" s="148" t="e">
        <f t="shared" ref="Z30" si="7">1-Y30</f>
        <v>#DIV/0!</v>
      </c>
      <c r="AA30" s="38">
        <f>'[9]Table 11 CWTs exp'!AA30</f>
        <v>0</v>
      </c>
      <c r="AC30" s="592" t="e">
        <f>'[9]Table 11 CWTs exp'!AD30</f>
        <v>#DIV/0!</v>
      </c>
      <c r="AD30" s="592" t="e">
        <f t="shared" si="2"/>
        <v>#DIV/0!</v>
      </c>
      <c r="AE30" s="593" t="str">
        <f t="shared" si="3"/>
        <v>YUBB543</v>
      </c>
      <c r="AF30" s="442"/>
    </row>
    <row r="31" spans="1:32" ht="14.5" customHeight="1" x14ac:dyDescent="0.25">
      <c r="A31" s="54" t="str">
        <f>'[9]Table 11 CWTs exp'!A31</f>
        <v>LARC543</v>
      </c>
      <c r="B31" s="75" t="str">
        <f>'[9]Table 11 CWTs exp'!B31</f>
        <v>LARC</v>
      </c>
      <c r="C31" s="75">
        <f>'[9]Table 11 CWTs exp'!C31</f>
        <v>54</v>
      </c>
      <c r="D31" s="75">
        <f>'[9]Table 11 CWTs exp'!D31</f>
        <v>3</v>
      </c>
      <c r="E31" t="str">
        <f>'[9]Table 11 CWTs exp'!E31</f>
        <v>American River</v>
      </c>
      <c r="F31" s="37" t="str">
        <f>'[9]Table 11 CWTs exp'!F31</f>
        <v>Fall</v>
      </c>
      <c r="G31" s="144" t="str">
        <f>IF('[9]Table 11 CWTs exp'!G31/'[9]Table 11 CWTs exp'!$AA31&gt;=0.005,'[9]Table 11 CWTs exp'!G31/'[9]Table 11 CWTs exp'!$AA31,IF('[9]Table 11 CWTs exp'!G31/'[9]Table 11 CWTs exp'!$AA31&gt;0,"&lt;1%"," "))</f>
        <v xml:space="preserve"> </v>
      </c>
      <c r="H31" s="145" t="str">
        <f>IF('[9]Table 11 CWTs exp'!H31/'[9]Table 11 CWTs exp'!$AA31&gt;=0.005,'[9]Table 11 CWTs exp'!H31/'[9]Table 11 CWTs exp'!$AA31,IF('[9]Table 11 CWTs exp'!H31/'[9]Table 11 CWTs exp'!$AA31&gt;0,"&lt;1%"," "))</f>
        <v xml:space="preserve"> </v>
      </c>
      <c r="I31" s="144" t="str">
        <f>IF('[9]Table 11 CWTs exp'!I31/'[9]Table 11 CWTs exp'!$AA31&gt;=0.005,'[9]Table 11 CWTs exp'!I31/'[9]Table 11 CWTs exp'!$AA31,IF('[9]Table 11 CWTs exp'!I31/'[9]Table 11 CWTs exp'!$AA31&gt;0,"&lt;1%"," "))</f>
        <v xml:space="preserve"> </v>
      </c>
      <c r="J31" s="146">
        <f>IF('[9]Table 11 CWTs exp'!J31/'[9]Table 11 CWTs exp'!$AA31&gt;=0.005,'[9]Table 11 CWTs exp'!J31/'[9]Table 11 CWTs exp'!$AA31,IF('[9]Table 11 CWTs exp'!J31/'[9]Table 11 CWTs exp'!$AA31&gt;0,"&lt;1%"," "))</f>
        <v>0.41701640595192674</v>
      </c>
      <c r="K31" s="144" t="str">
        <f>IF('[9]Table 11 CWTs exp'!K31/'[9]Table 11 CWTs exp'!$AA31&gt;=0.005,'[9]Table 11 CWTs exp'!K31/'[9]Table 11 CWTs exp'!$AA31,IF('[9]Table 11 CWTs exp'!K31/'[9]Table 11 CWTs exp'!$AA31&gt;0,"&lt;1%"," "))</f>
        <v xml:space="preserve"> </v>
      </c>
      <c r="L31" s="144" t="str">
        <f>IF('[9]Table 11 CWTs exp'!L31/'[9]Table 11 CWTs exp'!$AA31&gt;=0.005,'[9]Table 11 CWTs exp'!L31/'[9]Table 11 CWTs exp'!$AA31,IF('[9]Table 11 CWTs exp'!L31/'[9]Table 11 CWTs exp'!$AA31&gt;0,"&lt;1%"," "))</f>
        <v>&lt;1%</v>
      </c>
      <c r="M31" s="144" t="str">
        <f>IF('[9]Table 11 CWTs exp'!M31/'[9]Table 11 CWTs exp'!$AA31&gt;=0.005,'[9]Table 11 CWTs exp'!M31/'[9]Table 11 CWTs exp'!$AA31,IF('[9]Table 11 CWTs exp'!M31/'[9]Table 11 CWTs exp'!$AA31&gt;0,"&lt;1%"," "))</f>
        <v xml:space="preserve"> </v>
      </c>
      <c r="N31" s="144" t="str">
        <f>IF('[9]Table 11 CWTs exp'!N31/'[9]Table 11 CWTs exp'!$AA31&gt;=0.005,'[9]Table 11 CWTs exp'!N31/'[9]Table 11 CWTs exp'!$AA31,IF('[9]Table 11 CWTs exp'!N31/'[9]Table 11 CWTs exp'!$AA31&gt;0,"&lt;1%"," "))</f>
        <v xml:space="preserve"> </v>
      </c>
      <c r="O31" s="144">
        <f>IF('[9]Table 11 CWTs exp'!O31/'[9]Table 11 CWTs exp'!$AA31&gt;=0.005,'[9]Table 11 CWTs exp'!O31/'[9]Table 11 CWTs exp'!$AA31,IF('[9]Table 11 CWTs exp'!O31/'[9]Table 11 CWTs exp'!$AA31&gt;0,"&lt;1%"," "))</f>
        <v>2.4608927890118277E-2</v>
      </c>
      <c r="P31" s="144" t="str">
        <f>IF('[9]Table 11 CWTs exp'!P31/'[9]Table 11 CWTs exp'!$AA31&gt;=0.005,'[9]Table 11 CWTs exp'!P31/'[9]Table 11 CWTs exp'!$AA31,IF('[9]Table 11 CWTs exp'!P31/'[9]Table 11 CWTs exp'!$AA31&gt;0,"&lt;1%"," "))</f>
        <v>&lt;1%</v>
      </c>
      <c r="Q31" s="145">
        <f>IF('[9]Table 11 CWTs exp'!Q31/'[9]Table 11 CWTs exp'!$AA31&gt;=0.005,'[9]Table 11 CWTs exp'!Q31/'[9]Table 11 CWTs exp'!$AA31,IF('[9]Table 11 CWTs exp'!Q31/'[9]Table 11 CWTs exp'!$AA31&gt;0,"&lt;1%"," "))</f>
        <v>3.786722624952308E-2</v>
      </c>
      <c r="R31" s="146">
        <f>IF('[9]Table 11 CWTs exp'!R31/'[9]Table 11 CWTs exp'!$AA31&gt;=0.005,'[9]Table 11 CWTs exp'!R31/'[9]Table 11 CWTs exp'!$AA31,IF('[9]Table 11 CWTs exp'!R31/'[9]Table 11 CWTs exp'!$AA31&gt;0,"&lt;1%"," "))</f>
        <v>0.31772224341854255</v>
      </c>
      <c r="S31" s="144" t="str">
        <f>IF('[9]Table 11 CWTs exp'!S31/'[9]Table 11 CWTs exp'!$AA31&gt;=0.005,'[9]Table 11 CWTs exp'!S31/'[9]Table 11 CWTs exp'!$AA31,IF('[9]Table 11 CWTs exp'!S31/'[9]Table 11 CWTs exp'!$AA31&gt;0,"&lt;1%"," "))</f>
        <v>&lt;1%</v>
      </c>
      <c r="T31" s="144" t="str">
        <f>IF('[9]Table 11 CWTs exp'!T31/'[9]Table 11 CWTs exp'!$AA31&gt;=0.005,'[9]Table 11 CWTs exp'!T31/'[9]Table 11 CWTs exp'!$AA31,IF('[9]Table 11 CWTs exp'!T31/'[9]Table 11 CWTs exp'!$AA31&gt;0,"&lt;1%"," "))</f>
        <v>&lt;1%</v>
      </c>
      <c r="U31" s="144">
        <f>IF('[9]Table 11 CWTs exp'!U31/'[9]Table 11 CWTs exp'!$AA31&gt;=0.005,'[9]Table 11 CWTs exp'!U31/'[9]Table 11 CWTs exp'!$AA31,IF('[9]Table 11 CWTs exp'!U31/'[9]Table 11 CWTs exp'!$AA31&gt;0,"&lt;1%"," "))</f>
        <v>2.9759633727584892E-2</v>
      </c>
      <c r="V31" s="146" t="str">
        <f>IF('[9]Table 11 CWTs exp'!V31/'[9]Table 11 CWTs exp'!$AA31&gt;=0.005,'[9]Table 11 CWTs exp'!V31/'[9]Table 11 CWTs exp'!$AA31,IF('[9]Table 11 CWTs exp'!V31/'[9]Table 11 CWTs exp'!$AA31&gt;0,"&lt;1%"," "))</f>
        <v>&lt;1%</v>
      </c>
      <c r="W31" s="146">
        <f>IF('[9]Table 11 CWTs exp'!W31/'[9]Table 11 CWTs exp'!$AA31&gt;=0.005,'[9]Table 11 CWTs exp'!W31/'[9]Table 11 CWTs exp'!$AA31,IF('[9]Table 11 CWTs exp'!W31/'[9]Table 11 CWTs exp'!$AA31&gt;0,"&lt;1%"," "))</f>
        <v>7.4399084318962231E-3</v>
      </c>
      <c r="X31" s="206" t="str">
        <f>IF('[9]Table 11 CWTs exp'!X31/'[9]Table 11 CWTs exp'!$AA31&gt;0.0005,'[9]Table 11 CWTs exp'!X31/'[9]Table 11 CWTs exp'!$AA31,IF('[9]Table 11 CWTs exp'!X31/'[9]Table 11 CWTs exp'!$AA31&gt;0,"-"," "))</f>
        <v xml:space="preserve"> </v>
      </c>
      <c r="Y31" s="147">
        <f>AC31</f>
        <v>0.84185425410148795</v>
      </c>
      <c r="Z31" s="148">
        <f>1-Y31+0.001</f>
        <v>0.15914574589851205</v>
      </c>
      <c r="AA31" s="38">
        <f>'[9]Table 11 CWTs exp'!AA31</f>
        <v>10484</v>
      </c>
      <c r="AC31" s="592">
        <f>'[9]Table 11 CWTs exp'!AD31</f>
        <v>0.84185425410148795</v>
      </c>
      <c r="AD31" s="592">
        <f t="shared" si="2"/>
        <v>0</v>
      </c>
      <c r="AE31" s="593" t="str">
        <f t="shared" si="3"/>
        <v>LARC543</v>
      </c>
      <c r="AF31" s="442"/>
    </row>
    <row r="32" spans="1:32" ht="14.5" customHeight="1" x14ac:dyDescent="0.25">
      <c r="A32" s="54" t="str">
        <f>'[9]Table 11 CWTs exp'!A32</f>
        <v>NIMW593</v>
      </c>
      <c r="B32" s="75" t="str">
        <f>'[9]Table 11 CWTs exp'!B32</f>
        <v>NIMW</v>
      </c>
      <c r="C32" s="75">
        <f>'[9]Table 11 CWTs exp'!C32</f>
        <v>59</v>
      </c>
      <c r="D32" s="75">
        <f>'[9]Table 11 CWTs exp'!D32</f>
        <v>3</v>
      </c>
      <c r="E32" t="str">
        <f>'[9]Table 11 CWTs exp'!E32</f>
        <v>Nimbus Fish Hatchery Weir</v>
      </c>
      <c r="F32" s="37" t="str">
        <f>'[9]Table 11 CWTs exp'!F32</f>
        <v>Fall</v>
      </c>
      <c r="G32" s="144" t="str">
        <f>IF('[9]Table 11 CWTs exp'!G32/'[9]Table 11 CWTs exp'!$AA32&gt;=0.005,'[9]Table 11 CWTs exp'!G32/'[9]Table 11 CWTs exp'!$AA32,IF('[9]Table 11 CWTs exp'!G32/'[9]Table 11 CWTs exp'!$AA32&gt;0,"&lt;1%"," "))</f>
        <v xml:space="preserve"> </v>
      </c>
      <c r="H32" s="145" t="str">
        <f>IF('[9]Table 11 CWTs exp'!H32/'[9]Table 11 CWTs exp'!$AA32&gt;=0.005,'[9]Table 11 CWTs exp'!H32/'[9]Table 11 CWTs exp'!$AA32,IF('[9]Table 11 CWTs exp'!H32/'[9]Table 11 CWTs exp'!$AA32&gt;0,"&lt;1%"," "))</f>
        <v xml:space="preserve"> </v>
      </c>
      <c r="I32" s="144" t="str">
        <f>IF('[9]Table 11 CWTs exp'!I32/'[9]Table 11 CWTs exp'!$AA32&gt;=0.005,'[9]Table 11 CWTs exp'!I32/'[9]Table 11 CWTs exp'!$AA32,IF('[9]Table 11 CWTs exp'!I32/'[9]Table 11 CWTs exp'!$AA32&gt;0,"&lt;1%"," "))</f>
        <v xml:space="preserve"> </v>
      </c>
      <c r="J32" s="146">
        <f>IF('[9]Table 11 CWTs exp'!J32/'[9]Table 11 CWTs exp'!$AA32&gt;=0.005,'[9]Table 11 CWTs exp'!J32/'[9]Table 11 CWTs exp'!$AA32,IF('[9]Table 11 CWTs exp'!J32/'[9]Table 11 CWTs exp'!$AA32&gt;0,"&lt;1%"," "))</f>
        <v>0.11080471296064176</v>
      </c>
      <c r="K32" s="144" t="str">
        <f>IF('[9]Table 11 CWTs exp'!K32/'[9]Table 11 CWTs exp'!$AA32&gt;=0.005,'[9]Table 11 CWTs exp'!K32/'[9]Table 11 CWTs exp'!$AA32,IF('[9]Table 11 CWTs exp'!K32/'[9]Table 11 CWTs exp'!$AA32&gt;0,"&lt;1%"," "))</f>
        <v xml:space="preserve"> </v>
      </c>
      <c r="L32" s="144" t="str">
        <f>IF('[9]Table 11 CWTs exp'!L32/'[9]Table 11 CWTs exp'!$AA32&gt;=0.005,'[9]Table 11 CWTs exp'!L32/'[9]Table 11 CWTs exp'!$AA32,IF('[9]Table 11 CWTs exp'!L32/'[9]Table 11 CWTs exp'!$AA32&gt;0,"&lt;1%"," "))</f>
        <v>&lt;1%</v>
      </c>
      <c r="M32" s="144" t="str">
        <f>IF('[9]Table 11 CWTs exp'!M32/'[9]Table 11 CWTs exp'!$AA32&gt;=0.005,'[9]Table 11 CWTs exp'!M32/'[9]Table 11 CWTs exp'!$AA32,IF('[9]Table 11 CWTs exp'!M32/'[9]Table 11 CWTs exp'!$AA32&gt;0,"&lt;1%"," "))</f>
        <v xml:space="preserve"> </v>
      </c>
      <c r="N32" s="144" t="str">
        <f>IF('[9]Table 11 CWTs exp'!N32/'[9]Table 11 CWTs exp'!$AA32&gt;=0.005,'[9]Table 11 CWTs exp'!N32/'[9]Table 11 CWTs exp'!$AA32,IF('[9]Table 11 CWTs exp'!N32/'[9]Table 11 CWTs exp'!$AA32&gt;0,"&lt;1%"," "))</f>
        <v>&lt;1%</v>
      </c>
      <c r="O32" s="144">
        <f>IF('[9]Table 11 CWTs exp'!O32/'[9]Table 11 CWTs exp'!$AA32&gt;=0.005,'[9]Table 11 CWTs exp'!O32/'[9]Table 11 CWTs exp'!$AA32,IF('[9]Table 11 CWTs exp'!O32/'[9]Table 11 CWTs exp'!$AA32&gt;0,"&lt;1%"," "))</f>
        <v>1.5292053146151919E-2</v>
      </c>
      <c r="P32" s="144" t="str">
        <f>IF('[9]Table 11 CWTs exp'!P32/'[9]Table 11 CWTs exp'!$AA32&gt;=0.005,'[9]Table 11 CWTs exp'!P32/'[9]Table 11 CWTs exp'!$AA32,IF('[9]Table 11 CWTs exp'!P32/'[9]Table 11 CWTs exp'!$AA32&gt;0,"&lt;1%"," "))</f>
        <v>&lt;1%</v>
      </c>
      <c r="Q32" s="145" t="str">
        <f>IF('[9]Table 11 CWTs exp'!Q32/'[9]Table 11 CWTs exp'!$AA32&gt;=0.005,'[9]Table 11 CWTs exp'!Q32/'[9]Table 11 CWTs exp'!$AA32,IF('[9]Table 11 CWTs exp'!Q32/'[9]Table 11 CWTs exp'!$AA32&gt;0,"&lt;1%"," "))</f>
        <v>&lt;1%</v>
      </c>
      <c r="R32" s="146">
        <f>IF('[9]Table 11 CWTs exp'!R32/'[9]Table 11 CWTs exp'!$AA32&gt;=0.005,'[9]Table 11 CWTs exp'!R32/'[9]Table 11 CWTs exp'!$AA32,IF('[9]Table 11 CWTs exp'!R32/'[9]Table 11 CWTs exp'!$AA32&gt;0,"&lt;1%"," "))</f>
        <v>0.10453747806467786</v>
      </c>
      <c r="S32" s="144" t="str">
        <f>IF('[9]Table 11 CWTs exp'!S32/'[9]Table 11 CWTs exp'!$AA32&gt;=0.005,'[9]Table 11 CWTs exp'!S32/'[9]Table 11 CWTs exp'!$AA32,IF('[9]Table 11 CWTs exp'!S32/'[9]Table 11 CWTs exp'!$AA32&gt;0,"&lt;1%"," "))</f>
        <v>&lt;1%</v>
      </c>
      <c r="T32" s="144" t="str">
        <f>IF('[9]Table 11 CWTs exp'!T32/'[9]Table 11 CWTs exp'!$AA32&gt;=0.005,'[9]Table 11 CWTs exp'!T32/'[9]Table 11 CWTs exp'!$AA32,IF('[9]Table 11 CWTs exp'!T32/'[9]Table 11 CWTs exp'!$AA32&gt;0,"&lt;1%"," "))</f>
        <v>&lt;1%</v>
      </c>
      <c r="U32" s="144">
        <f>IF('[9]Table 11 CWTs exp'!U32/'[9]Table 11 CWTs exp'!$AA32&gt;=0.005,'[9]Table 11 CWTs exp'!U32/'[9]Table 11 CWTs exp'!$AA32,IF('[9]Table 11 CWTs exp'!U32/'[9]Table 11 CWTs exp'!$AA32&gt;0,"&lt;1%"," "))</f>
        <v>2.1057909250438708E-2</v>
      </c>
      <c r="V32" s="146" t="str">
        <f>IF('[9]Table 11 CWTs exp'!V32/'[9]Table 11 CWTs exp'!$AA32&gt;=0.005,'[9]Table 11 CWTs exp'!V32/'[9]Table 11 CWTs exp'!$AA32,IF('[9]Table 11 CWTs exp'!V32/'[9]Table 11 CWTs exp'!$AA32&gt;0,"&lt;1%"," "))</f>
        <v>&lt;1%</v>
      </c>
      <c r="W32" s="146" t="str">
        <f>IF('[9]Table 11 CWTs exp'!W32/'[9]Table 11 CWTs exp'!$AA32&gt;=0.005,'[9]Table 11 CWTs exp'!W32/'[9]Table 11 CWTs exp'!$AA32,IF('[9]Table 11 CWTs exp'!W32/'[9]Table 11 CWTs exp'!$AA32&gt;0,"&lt;1%"," "))</f>
        <v>&lt;1%</v>
      </c>
      <c r="X32" s="206" t="str">
        <f>IF('[9]Table 11 CWTs exp'!X32/'[9]Table 11 CWTs exp'!$AA32&gt;0.0005,'[9]Table 11 CWTs exp'!X32/'[9]Table 11 CWTs exp'!$AA32,IF('[9]Table 11 CWTs exp'!X32/'[9]Table 11 CWTs exp'!$AA32&gt;0,"-"," "))</f>
        <v xml:space="preserve"> </v>
      </c>
      <c r="Y32" s="147">
        <f t="shared" ref="Y32:Y40" si="8">AC32</f>
        <v>0.26773627475557782</v>
      </c>
      <c r="Z32" s="148">
        <f t="shared" ref="Z32:Z40" si="9">1-Y32+0.001</f>
        <v>0.73326372524442218</v>
      </c>
      <c r="AA32" s="38">
        <f>'[9]Table 11 CWTs exp'!AA32</f>
        <v>3989</v>
      </c>
      <c r="AC32" s="592">
        <f>'[9]Table 11 CWTs exp'!AD32</f>
        <v>0.26773627475557782</v>
      </c>
      <c r="AD32" s="592">
        <f t="shared" si="2"/>
        <v>0</v>
      </c>
      <c r="AE32" s="593" t="str">
        <f t="shared" si="3"/>
        <v>NIMW593</v>
      </c>
      <c r="AF32" s="442"/>
    </row>
    <row r="33" spans="1:34" ht="14.5" customHeight="1" x14ac:dyDescent="0.25">
      <c r="A33" s="54" t="str">
        <f>'[9]Table 11 CWTs exp'!A33</f>
        <v>MOKE543</v>
      </c>
      <c r="B33" s="75" t="str">
        <f>'[9]Table 11 CWTs exp'!B33</f>
        <v>MOKE</v>
      </c>
      <c r="C33" s="75">
        <f>'[9]Table 11 CWTs exp'!C33</f>
        <v>54</v>
      </c>
      <c r="D33" s="75">
        <f>'[9]Table 11 CWTs exp'!D33</f>
        <v>3</v>
      </c>
      <c r="E33" s="3" t="s">
        <v>199</v>
      </c>
      <c r="F33" s="37" t="str">
        <f>'[9]Table 11 CWTs exp'!F33</f>
        <v>Fall</v>
      </c>
      <c r="G33" s="144" t="str">
        <f>IF('[9]Table 11 CWTs exp'!G33/'[9]Table 11 CWTs exp'!$AA33&gt;=0.005,'[9]Table 11 CWTs exp'!G33/'[9]Table 11 CWTs exp'!$AA33,IF('[9]Table 11 CWTs exp'!G33/'[9]Table 11 CWTs exp'!$AA33&gt;0,"&lt;1%"," "))</f>
        <v xml:space="preserve"> </v>
      </c>
      <c r="H33" s="145" t="str">
        <f>IF('[9]Table 11 CWTs exp'!H33/'[9]Table 11 CWTs exp'!$AA33&gt;=0.005,'[9]Table 11 CWTs exp'!H33/'[9]Table 11 CWTs exp'!$AA33,IF('[9]Table 11 CWTs exp'!H33/'[9]Table 11 CWTs exp'!$AA33&gt;0,"&lt;1%"," "))</f>
        <v xml:space="preserve"> </v>
      </c>
      <c r="I33" s="144" t="str">
        <f>IF('[9]Table 11 CWTs exp'!I33/'[9]Table 11 CWTs exp'!$AA33&gt;=0.005,'[9]Table 11 CWTs exp'!I33/'[9]Table 11 CWTs exp'!$AA33,IF('[9]Table 11 CWTs exp'!I33/'[9]Table 11 CWTs exp'!$AA33&gt;0,"&lt;1%"," "))</f>
        <v xml:space="preserve"> </v>
      </c>
      <c r="J33" s="146">
        <f>IF('[9]Table 11 CWTs exp'!J33/'[9]Table 11 CWTs exp'!$AA33&gt;=0.005,'[9]Table 11 CWTs exp'!J33/'[9]Table 11 CWTs exp'!$AA33,IF('[9]Table 11 CWTs exp'!J33/'[9]Table 11 CWTs exp'!$AA33&gt;0,"&lt;1%"," "))</f>
        <v>7.9133064516129031E-2</v>
      </c>
      <c r="K33" s="144" t="str">
        <f>IF('[9]Table 11 CWTs exp'!K33/'[9]Table 11 CWTs exp'!$AA33&gt;=0.005,'[9]Table 11 CWTs exp'!K33/'[9]Table 11 CWTs exp'!$AA33,IF('[9]Table 11 CWTs exp'!K33/'[9]Table 11 CWTs exp'!$AA33&gt;0,"&lt;1%"," "))</f>
        <v xml:space="preserve"> </v>
      </c>
      <c r="L33" s="144" t="str">
        <f>IF('[9]Table 11 CWTs exp'!L33/'[9]Table 11 CWTs exp'!$AA33&gt;=0.005,'[9]Table 11 CWTs exp'!L33/'[9]Table 11 CWTs exp'!$AA33,IF('[9]Table 11 CWTs exp'!L33/'[9]Table 11 CWTs exp'!$AA33&gt;0,"&lt;1%"," "))</f>
        <v xml:space="preserve"> </v>
      </c>
      <c r="M33" s="144" t="str">
        <f>IF('[9]Table 11 CWTs exp'!M33/'[9]Table 11 CWTs exp'!$AA33&gt;=0.005,'[9]Table 11 CWTs exp'!M33/'[9]Table 11 CWTs exp'!$AA33,IF('[9]Table 11 CWTs exp'!M33/'[9]Table 11 CWTs exp'!$AA33&gt;0,"&lt;1%"," "))</f>
        <v xml:space="preserve"> </v>
      </c>
      <c r="N33" s="144" t="str">
        <f>IF('[9]Table 11 CWTs exp'!N33/'[9]Table 11 CWTs exp'!$AA33&gt;=0.005,'[9]Table 11 CWTs exp'!N33/'[9]Table 11 CWTs exp'!$AA33,IF('[9]Table 11 CWTs exp'!N33/'[9]Table 11 CWTs exp'!$AA33&gt;0,"&lt;1%"," "))</f>
        <v xml:space="preserve"> </v>
      </c>
      <c r="O33" s="144">
        <f>IF('[9]Table 11 CWTs exp'!O33/'[9]Table 11 CWTs exp'!$AA33&gt;=0.005,'[9]Table 11 CWTs exp'!O33/'[9]Table 11 CWTs exp'!$AA33,IF('[9]Table 11 CWTs exp'!O33/'[9]Table 11 CWTs exp'!$AA33&gt;0,"&lt;1%"," "))</f>
        <v>1.9153225806451613E-2</v>
      </c>
      <c r="P33" s="144" t="str">
        <f>IF('[9]Table 11 CWTs exp'!P33/'[9]Table 11 CWTs exp'!$AA33&gt;=0.005,'[9]Table 11 CWTs exp'!P33/'[9]Table 11 CWTs exp'!$AA33,IF('[9]Table 11 CWTs exp'!P33/'[9]Table 11 CWTs exp'!$AA33&gt;0,"&lt;1%"," "))</f>
        <v>&lt;1%</v>
      </c>
      <c r="Q33" s="145" t="str">
        <f>IF('[9]Table 11 CWTs exp'!Q33/'[9]Table 11 CWTs exp'!$AA33&gt;=0.005,'[9]Table 11 CWTs exp'!Q33/'[9]Table 11 CWTs exp'!$AA33,IF('[9]Table 11 CWTs exp'!Q33/'[9]Table 11 CWTs exp'!$AA33&gt;0,"&lt;1%"," "))</f>
        <v xml:space="preserve"> </v>
      </c>
      <c r="R33" s="146">
        <f>IF('[9]Table 11 CWTs exp'!R33/'[9]Table 11 CWTs exp'!$AA33&gt;=0.005,'[9]Table 11 CWTs exp'!R33/'[9]Table 11 CWTs exp'!$AA33,IF('[9]Table 11 CWTs exp'!R33/'[9]Table 11 CWTs exp'!$AA33&gt;0,"&lt;1%"," "))</f>
        <v>0.34173387096774194</v>
      </c>
      <c r="S33" s="144">
        <f>IF('[9]Table 11 CWTs exp'!S33/'[9]Table 11 CWTs exp'!$AA33&gt;=0.005,'[9]Table 11 CWTs exp'!S33/'[9]Table 11 CWTs exp'!$AA33,IF('[9]Table 11 CWTs exp'!S33/'[9]Table 11 CWTs exp'!$AA33&gt;0,"&lt;1%"," "))</f>
        <v>8.0645161290322578E-3</v>
      </c>
      <c r="T33" s="144">
        <f>IF('[9]Table 11 CWTs exp'!T33/'[9]Table 11 CWTs exp'!$AA33&gt;=0.005,'[9]Table 11 CWTs exp'!T33/'[9]Table 11 CWTs exp'!$AA33,IF('[9]Table 11 CWTs exp'!T33/'[9]Table 11 CWTs exp'!$AA33&gt;0,"&lt;1%"," "))</f>
        <v>1.2096774193548387E-2</v>
      </c>
      <c r="U33" s="144">
        <f>IF('[9]Table 11 CWTs exp'!U33/'[9]Table 11 CWTs exp'!$AA33&gt;=0.005,'[9]Table 11 CWTs exp'!U33/'[9]Table 11 CWTs exp'!$AA33,IF('[9]Table 11 CWTs exp'!U33/'[9]Table 11 CWTs exp'!$AA33&gt;0,"&lt;1%"," "))</f>
        <v>0.31653225806451613</v>
      </c>
      <c r="V33" s="146">
        <f>IF('[9]Table 11 CWTs exp'!V33/'[9]Table 11 CWTs exp'!$AA33&gt;=0.005,'[9]Table 11 CWTs exp'!V33/'[9]Table 11 CWTs exp'!$AA33,IF('[9]Table 11 CWTs exp'!V33/'[9]Table 11 CWTs exp'!$AA33&gt;0,"&lt;1%"," "))</f>
        <v>9.0725806451612909E-3</v>
      </c>
      <c r="W33" s="146">
        <f>IF('[9]Table 11 CWTs exp'!W33/'[9]Table 11 CWTs exp'!$AA33&gt;=0.005,'[9]Table 11 CWTs exp'!W33/'[9]Table 11 CWTs exp'!$AA33,IF('[9]Table 11 CWTs exp'!W33/'[9]Table 11 CWTs exp'!$AA33&gt;0,"&lt;1%"," "))</f>
        <v>1.9153225806451613E-2</v>
      </c>
      <c r="X33" s="206" t="str">
        <f>IF('[9]Table 11 CWTs exp'!X33/'[9]Table 11 CWTs exp'!$AA33&gt;0.0005,'[9]Table 11 CWTs exp'!X33/'[9]Table 11 CWTs exp'!$AA33,IF('[9]Table 11 CWTs exp'!X33/'[9]Table 11 CWTs exp'!$AA33&gt;0,"-"," "))</f>
        <v xml:space="preserve"> </v>
      </c>
      <c r="Y33" s="147">
        <f t="shared" si="8"/>
        <v>0.80846774193548387</v>
      </c>
      <c r="Z33" s="148">
        <f t="shared" si="9"/>
        <v>0.19253225806451613</v>
      </c>
      <c r="AA33" s="38">
        <f>'[9]Table 11 CWTs exp'!AA33</f>
        <v>1984</v>
      </c>
      <c r="AC33" s="592">
        <f>'[9]Table 11 CWTs exp'!AD33</f>
        <v>0.80846774193548387</v>
      </c>
      <c r="AD33" s="592">
        <f t="shared" si="2"/>
        <v>0</v>
      </c>
      <c r="AE33" s="593" t="str">
        <f t="shared" si="3"/>
        <v>MOKE543</v>
      </c>
      <c r="AF33" s="442"/>
    </row>
    <row r="34" spans="1:34" ht="14.5" hidden="1" customHeight="1" x14ac:dyDescent="0.25">
      <c r="A34" s="54" t="str">
        <f>'[9]Table 11 CWTs exp'!A34</f>
        <v>COSU543</v>
      </c>
      <c r="B34" s="75" t="str">
        <f>'[9]Table 11 CWTs exp'!B34</f>
        <v>COSU</v>
      </c>
      <c r="C34" s="75">
        <f>'[9]Table 11 CWTs exp'!C34</f>
        <v>54</v>
      </c>
      <c r="D34" s="75">
        <f>'[9]Table 11 CWTs exp'!D34</f>
        <v>3</v>
      </c>
      <c r="E34" t="str">
        <f>'[9]Table 11 CWTs exp'!E34</f>
        <v>Cosumnes River</v>
      </c>
      <c r="F34" s="37" t="str">
        <f>'[9]Table 11 CWTs exp'!F34</f>
        <v>Fall</v>
      </c>
      <c r="G34" s="144" t="str">
        <f>IF('[9]Table 11 CWTs exp'!G34/'[9]Table 11 CWTs exp'!$AA34&gt;=0.005,'[9]Table 11 CWTs exp'!G34/'[9]Table 11 CWTs exp'!$AA34,IF('[9]Table 11 CWTs exp'!G34/'[9]Table 11 CWTs exp'!$AA34&gt;0,"&lt;1%"," "))</f>
        <v xml:space="preserve"> </v>
      </c>
      <c r="H34" s="145" t="str">
        <f>IF('[9]Table 11 CWTs exp'!H34/'[9]Table 11 CWTs exp'!$AA34&gt;=0.005,'[9]Table 11 CWTs exp'!H34/'[9]Table 11 CWTs exp'!$AA34,IF('[9]Table 11 CWTs exp'!H34/'[9]Table 11 CWTs exp'!$AA34&gt;0,"&lt;1%"," "))</f>
        <v xml:space="preserve"> </v>
      </c>
      <c r="I34" s="144" t="str">
        <f>IF('[9]Table 11 CWTs exp'!I34/'[9]Table 11 CWTs exp'!$AA34&gt;=0.005,'[9]Table 11 CWTs exp'!I34/'[9]Table 11 CWTs exp'!$AA34,IF('[9]Table 11 CWTs exp'!I34/'[9]Table 11 CWTs exp'!$AA34&gt;0,"&lt;1%"," "))</f>
        <v xml:space="preserve"> </v>
      </c>
      <c r="J34" s="146">
        <f>IF('[9]Table 11 CWTs exp'!J34/'[9]Table 11 CWTs exp'!$AA34&gt;=0.005,'[9]Table 11 CWTs exp'!J34/'[9]Table 11 CWTs exp'!$AA34,IF('[9]Table 11 CWTs exp'!J34/'[9]Table 11 CWTs exp'!$AA34&gt;0,"&lt;1%"," "))</f>
        <v>6.41025641025641E-3</v>
      </c>
      <c r="K34" s="144" t="str">
        <f>IF('[9]Table 11 CWTs exp'!K34/'[9]Table 11 CWTs exp'!$AA34&gt;=0.005,'[9]Table 11 CWTs exp'!K34/'[9]Table 11 CWTs exp'!$AA34,IF('[9]Table 11 CWTs exp'!K34/'[9]Table 11 CWTs exp'!$AA34&gt;0,"&lt;1%"," "))</f>
        <v xml:space="preserve"> </v>
      </c>
      <c r="L34" s="144" t="str">
        <f>IF('[9]Table 11 CWTs exp'!L34/'[9]Table 11 CWTs exp'!$AA34&gt;=0.005,'[9]Table 11 CWTs exp'!L34/'[9]Table 11 CWTs exp'!$AA34,IF('[9]Table 11 CWTs exp'!L34/'[9]Table 11 CWTs exp'!$AA34&gt;0,"&lt;1%"," "))</f>
        <v xml:space="preserve"> </v>
      </c>
      <c r="M34" s="144" t="str">
        <f>IF('[9]Table 11 CWTs exp'!M34/'[9]Table 11 CWTs exp'!$AA34&gt;=0.005,'[9]Table 11 CWTs exp'!M34/'[9]Table 11 CWTs exp'!$AA34,IF('[9]Table 11 CWTs exp'!M34/'[9]Table 11 CWTs exp'!$AA34&gt;0,"&lt;1%"," "))</f>
        <v xml:space="preserve"> </v>
      </c>
      <c r="N34" s="144" t="str">
        <f>IF('[9]Table 11 CWTs exp'!N34/'[9]Table 11 CWTs exp'!$AA34&gt;=0.005,'[9]Table 11 CWTs exp'!N34/'[9]Table 11 CWTs exp'!$AA34,IF('[9]Table 11 CWTs exp'!N34/'[9]Table 11 CWTs exp'!$AA34&gt;0,"&lt;1%"," "))</f>
        <v xml:space="preserve"> </v>
      </c>
      <c r="O34" s="144" t="str">
        <f>IF('[9]Table 11 CWTs exp'!O34/'[9]Table 11 CWTs exp'!$AA34&gt;=0.005,'[9]Table 11 CWTs exp'!O34/'[9]Table 11 CWTs exp'!$AA34,IF('[9]Table 11 CWTs exp'!O34/'[9]Table 11 CWTs exp'!$AA34&gt;0,"&lt;1%"," "))</f>
        <v xml:space="preserve"> </v>
      </c>
      <c r="P34" s="144" t="str">
        <f>IF('[9]Table 11 CWTs exp'!P34/'[9]Table 11 CWTs exp'!$AA34&gt;=0.005,'[9]Table 11 CWTs exp'!P34/'[9]Table 11 CWTs exp'!$AA34,IF('[9]Table 11 CWTs exp'!P34/'[9]Table 11 CWTs exp'!$AA34&gt;0,"&lt;1%"," "))</f>
        <v>&lt;1%</v>
      </c>
      <c r="Q34" s="145" t="str">
        <f>IF('[9]Table 11 CWTs exp'!Q34/'[9]Table 11 CWTs exp'!$AA34&gt;=0.005,'[9]Table 11 CWTs exp'!Q34/'[9]Table 11 CWTs exp'!$AA34,IF('[9]Table 11 CWTs exp'!Q34/'[9]Table 11 CWTs exp'!$AA34&gt;0,"&lt;1%"," "))</f>
        <v xml:space="preserve"> </v>
      </c>
      <c r="R34" s="146" t="str">
        <f>IF('[9]Table 11 CWTs exp'!R34/'[9]Table 11 CWTs exp'!$AA34&gt;=0.005,'[9]Table 11 CWTs exp'!R34/'[9]Table 11 CWTs exp'!$AA34,IF('[9]Table 11 CWTs exp'!R34/'[9]Table 11 CWTs exp'!$AA34&gt;0,"&lt;1%"," "))</f>
        <v>&lt;1%</v>
      </c>
      <c r="S34" s="144" t="str">
        <f>IF('[9]Table 11 CWTs exp'!S34/'[9]Table 11 CWTs exp'!$AA34&gt;=0.005,'[9]Table 11 CWTs exp'!S34/'[9]Table 11 CWTs exp'!$AA34,IF('[9]Table 11 CWTs exp'!S34/'[9]Table 11 CWTs exp'!$AA34&gt;0,"&lt;1%"," "))</f>
        <v xml:space="preserve"> </v>
      </c>
      <c r="T34" s="144" t="str">
        <f>IF('[9]Table 11 CWTs exp'!T34/'[9]Table 11 CWTs exp'!$AA34&gt;=0.005,'[9]Table 11 CWTs exp'!T34/'[9]Table 11 CWTs exp'!$AA34,IF('[9]Table 11 CWTs exp'!T34/'[9]Table 11 CWTs exp'!$AA34&gt;0,"&lt;1%"," "))</f>
        <v xml:space="preserve"> </v>
      </c>
      <c r="U34" s="144">
        <f>IF('[9]Table 11 CWTs exp'!U34/'[9]Table 11 CWTs exp'!$AA34&gt;=0.005,'[9]Table 11 CWTs exp'!U34/'[9]Table 11 CWTs exp'!$AA34,IF('[9]Table 11 CWTs exp'!U34/'[9]Table 11 CWTs exp'!$AA34&gt;0,"&lt;1%"," "))</f>
        <v>6.41025641025641E-3</v>
      </c>
      <c r="V34" s="146" t="str">
        <f>IF('[9]Table 11 CWTs exp'!V34/'[9]Table 11 CWTs exp'!$AA34&gt;=0.005,'[9]Table 11 CWTs exp'!V34/'[9]Table 11 CWTs exp'!$AA34,IF('[9]Table 11 CWTs exp'!V34/'[9]Table 11 CWTs exp'!$AA34&gt;0,"&lt;1%"," "))</f>
        <v xml:space="preserve"> </v>
      </c>
      <c r="W34" s="146" t="str">
        <f>IF('[9]Table 11 CWTs exp'!W34/'[9]Table 11 CWTs exp'!$AA34&gt;=0.005,'[9]Table 11 CWTs exp'!W34/'[9]Table 11 CWTs exp'!$AA34,IF('[9]Table 11 CWTs exp'!W34/'[9]Table 11 CWTs exp'!$AA34&gt;0,"&lt;1%"," "))</f>
        <v xml:space="preserve"> </v>
      </c>
      <c r="X34" s="206" t="str">
        <f>IF('[9]Table 11 CWTs exp'!X34/'[9]Table 11 CWTs exp'!$AA34&gt;0.0005,'[9]Table 11 CWTs exp'!X34/'[9]Table 11 CWTs exp'!$AA34,IF('[9]Table 11 CWTs exp'!X34/'[9]Table 11 CWTs exp'!$AA34&gt;0,"-"," "))</f>
        <v xml:space="preserve"> </v>
      </c>
      <c r="Y34" s="147">
        <f t="shared" si="8"/>
        <v>1.6826923076923076E-2</v>
      </c>
      <c r="Z34" s="148">
        <f t="shared" si="9"/>
        <v>0.98417307692307687</v>
      </c>
      <c r="AA34" s="38">
        <f>'[9]Table 11 CWTs exp'!AA34</f>
        <v>1248</v>
      </c>
      <c r="AC34" s="592">
        <f>'[9]Table 11 CWTs exp'!AD34</f>
        <v>1.6826923076923076E-2</v>
      </c>
      <c r="AD34" s="592">
        <f t="shared" si="2"/>
        <v>0</v>
      </c>
      <c r="AE34" s="593" t="str">
        <f t="shared" si="3"/>
        <v>COSU543</v>
      </c>
      <c r="AF34" s="442"/>
    </row>
    <row r="35" spans="1:34" ht="13.5" hidden="1" customHeight="1" x14ac:dyDescent="0.25">
      <c r="A35" s="54" t="str">
        <f>'[9]Table 11 CWTs exp'!A35</f>
        <v>CAL543</v>
      </c>
      <c r="B35" s="75" t="str">
        <f>'[9]Table 11 CWTs exp'!B35</f>
        <v>CAL</v>
      </c>
      <c r="C35" s="75">
        <f>'[9]Table 11 CWTs exp'!C35</f>
        <v>54</v>
      </c>
      <c r="D35" s="75">
        <f>'[9]Table 11 CWTs exp'!D35</f>
        <v>3</v>
      </c>
      <c r="E35" t="str">
        <f>'[9]Table 11 CWTs exp'!E35</f>
        <v>Calaveras River*</v>
      </c>
      <c r="F35" s="37" t="str">
        <f>'[9]Table 11 CWTs exp'!F35</f>
        <v>Fall</v>
      </c>
      <c r="G35" s="144" t="e">
        <f>IF('[9]Table 11 CWTs exp'!G35/'[9]Table 11 CWTs exp'!$AA35&gt;=0.005,'[9]Table 11 CWTs exp'!G35/'[9]Table 11 CWTs exp'!$AA35,IF('[9]Table 11 CWTs exp'!G35/'[9]Table 11 CWTs exp'!$AA35&gt;0,"&lt;1%"," "))</f>
        <v>#DIV/0!</v>
      </c>
      <c r="H35" s="145" t="e">
        <f>IF('[9]Table 11 CWTs exp'!H35/'[9]Table 11 CWTs exp'!$AA35&gt;=0.005,'[9]Table 11 CWTs exp'!H35/'[9]Table 11 CWTs exp'!$AA35,IF('[9]Table 11 CWTs exp'!H35/'[9]Table 11 CWTs exp'!$AA35&gt;0,"&lt;1%"," "))</f>
        <v>#DIV/0!</v>
      </c>
      <c r="I35" s="144" t="e">
        <f>IF('[9]Table 11 CWTs exp'!I35/'[9]Table 11 CWTs exp'!$AA35&gt;=0.005,'[9]Table 11 CWTs exp'!I35/'[9]Table 11 CWTs exp'!$AA35,IF('[9]Table 11 CWTs exp'!I35/'[9]Table 11 CWTs exp'!$AA35&gt;0,"&lt;1%"," "))</f>
        <v>#DIV/0!</v>
      </c>
      <c r="J35" s="146" t="e">
        <f>IF('[9]Table 11 CWTs exp'!J35/'[9]Table 11 CWTs exp'!$AA35&gt;=0.005,'[9]Table 11 CWTs exp'!J35/'[9]Table 11 CWTs exp'!$AA35,IF('[9]Table 11 CWTs exp'!J35/'[9]Table 11 CWTs exp'!$AA35&gt;0,"&lt;1%"," "))</f>
        <v>#DIV/0!</v>
      </c>
      <c r="K35" s="144" t="e">
        <f>IF('[9]Table 11 CWTs exp'!K35/'[9]Table 11 CWTs exp'!$AA35&gt;=0.005,'[9]Table 11 CWTs exp'!K35/'[9]Table 11 CWTs exp'!$AA35,IF('[9]Table 11 CWTs exp'!K35/'[9]Table 11 CWTs exp'!$AA35&gt;0,"&lt;1%"," "))</f>
        <v>#DIV/0!</v>
      </c>
      <c r="L35" s="144" t="e">
        <f>IF('[9]Table 11 CWTs exp'!L35/'[9]Table 11 CWTs exp'!$AA35&gt;=0.005,'[9]Table 11 CWTs exp'!L35/'[9]Table 11 CWTs exp'!$AA35,IF('[9]Table 11 CWTs exp'!L35/'[9]Table 11 CWTs exp'!$AA35&gt;0,"&lt;1%"," "))</f>
        <v>#DIV/0!</v>
      </c>
      <c r="M35" s="144" t="e">
        <f>IF('[9]Table 11 CWTs exp'!M35/'[9]Table 11 CWTs exp'!$AA35&gt;=0.005,'[9]Table 11 CWTs exp'!M35/'[9]Table 11 CWTs exp'!$AA35,IF('[9]Table 11 CWTs exp'!M35/'[9]Table 11 CWTs exp'!$AA35&gt;0,"&lt;1%"," "))</f>
        <v>#DIV/0!</v>
      </c>
      <c r="N35" s="144" t="e">
        <f>IF('[9]Table 11 CWTs exp'!N35/'[9]Table 11 CWTs exp'!$AA35&gt;=0.005,'[9]Table 11 CWTs exp'!N35/'[9]Table 11 CWTs exp'!$AA35,IF('[9]Table 11 CWTs exp'!N35/'[9]Table 11 CWTs exp'!$AA35&gt;0,"&lt;1%"," "))</f>
        <v>#DIV/0!</v>
      </c>
      <c r="O35" s="144" t="e">
        <f>IF('[9]Table 11 CWTs exp'!O35/'[9]Table 11 CWTs exp'!$AA35&gt;=0.005,'[9]Table 11 CWTs exp'!O35/'[9]Table 11 CWTs exp'!$AA35,IF('[9]Table 11 CWTs exp'!O35/'[9]Table 11 CWTs exp'!$AA35&gt;0,"&lt;1%"," "))</f>
        <v>#DIV/0!</v>
      </c>
      <c r="P35" s="144" t="e">
        <f>IF('[9]Table 11 CWTs exp'!P35/'[9]Table 11 CWTs exp'!$AA35&gt;=0.005,'[9]Table 11 CWTs exp'!P35/'[9]Table 11 CWTs exp'!$AA35,IF('[9]Table 11 CWTs exp'!P35/'[9]Table 11 CWTs exp'!$AA35&gt;0,"&lt;1%"," "))</f>
        <v>#DIV/0!</v>
      </c>
      <c r="Q35" s="145" t="e">
        <f>IF('[9]Table 11 CWTs exp'!Q35/'[9]Table 11 CWTs exp'!$AA35&gt;=0.005,'[9]Table 11 CWTs exp'!Q35/'[9]Table 11 CWTs exp'!$AA35,IF('[9]Table 11 CWTs exp'!Q35/'[9]Table 11 CWTs exp'!$AA35&gt;0,"&lt;1%"," "))</f>
        <v>#DIV/0!</v>
      </c>
      <c r="R35" s="146" t="e">
        <f>IF('[9]Table 11 CWTs exp'!R35/'[9]Table 11 CWTs exp'!$AA35&gt;=0.005,'[9]Table 11 CWTs exp'!R35/'[9]Table 11 CWTs exp'!$AA35,IF('[9]Table 11 CWTs exp'!R35/'[9]Table 11 CWTs exp'!$AA35&gt;0,"&lt;1%"," "))</f>
        <v>#DIV/0!</v>
      </c>
      <c r="S35" s="144" t="e">
        <f>IF('[9]Table 11 CWTs exp'!S35/'[9]Table 11 CWTs exp'!$AA35&gt;=0.005,'[9]Table 11 CWTs exp'!S35/'[9]Table 11 CWTs exp'!$AA35,IF('[9]Table 11 CWTs exp'!S35/'[9]Table 11 CWTs exp'!$AA35&gt;0,"&lt;1%"," "))</f>
        <v>#DIV/0!</v>
      </c>
      <c r="T35" s="144" t="e">
        <f>IF('[9]Table 11 CWTs exp'!T35/'[9]Table 11 CWTs exp'!$AA35&gt;=0.005,'[9]Table 11 CWTs exp'!T35/'[9]Table 11 CWTs exp'!$AA35,IF('[9]Table 11 CWTs exp'!T35/'[9]Table 11 CWTs exp'!$AA35&gt;0,"&lt;1%"," "))</f>
        <v>#DIV/0!</v>
      </c>
      <c r="U35" s="144" t="e">
        <f>IF('[9]Table 11 CWTs exp'!U35/'[9]Table 11 CWTs exp'!$AA35&gt;=0.005,'[9]Table 11 CWTs exp'!U35/'[9]Table 11 CWTs exp'!$AA35,IF('[9]Table 11 CWTs exp'!U35/'[9]Table 11 CWTs exp'!$AA35&gt;0,"&lt;1%"," "))</f>
        <v>#DIV/0!</v>
      </c>
      <c r="V35" s="146" t="e">
        <f>IF('[9]Table 11 CWTs exp'!V35/'[9]Table 11 CWTs exp'!$AA35&gt;=0.005,'[9]Table 11 CWTs exp'!V35/'[9]Table 11 CWTs exp'!$AA35,IF('[9]Table 11 CWTs exp'!V35/'[9]Table 11 CWTs exp'!$AA35&gt;0,"&lt;1%"," "))</f>
        <v>#DIV/0!</v>
      </c>
      <c r="W35" s="146" t="e">
        <f>IF('[9]Table 11 CWTs exp'!W35/'[9]Table 11 CWTs exp'!$AA35&gt;=0.005,'[9]Table 11 CWTs exp'!W35/'[9]Table 11 CWTs exp'!$AA35,IF('[9]Table 11 CWTs exp'!W35/'[9]Table 11 CWTs exp'!$AA35&gt;0,"&lt;1%"," "))</f>
        <v>#DIV/0!</v>
      </c>
      <c r="X35" s="206" t="e">
        <f>IF('[9]Table 11 CWTs exp'!X35/'[9]Table 11 CWTs exp'!$AA35&gt;0.0005,'[9]Table 11 CWTs exp'!X35/'[9]Table 11 CWTs exp'!$AA35,IF('[9]Table 11 CWTs exp'!X35/'[9]Table 11 CWTs exp'!$AA35&gt;0,"-"," "))</f>
        <v>#DIV/0!</v>
      </c>
      <c r="Y35" s="147" t="e">
        <f t="shared" si="8"/>
        <v>#DIV/0!</v>
      </c>
      <c r="Z35" s="148" t="e">
        <f t="shared" si="9"/>
        <v>#DIV/0!</v>
      </c>
      <c r="AA35" s="38">
        <f>'[9]Table 11 CWTs exp'!AA35</f>
        <v>0</v>
      </c>
      <c r="AC35" s="592" t="e">
        <f>'[9]Table 11 CWTs exp'!AD35</f>
        <v>#DIV/0!</v>
      </c>
      <c r="AD35" s="592" t="e">
        <f t="shared" si="2"/>
        <v>#DIV/0!</v>
      </c>
      <c r="AE35" s="593" t="str">
        <f t="shared" si="3"/>
        <v>CAL543</v>
      </c>
      <c r="AF35" s="442"/>
    </row>
    <row r="36" spans="1:34" ht="14.5" customHeight="1" x14ac:dyDescent="0.25">
      <c r="A36" s="54" t="str">
        <f>'[9]Table 11 CWTs exp'!A36</f>
        <v>STA543</v>
      </c>
      <c r="B36" s="75" t="str">
        <f>'[9]Table 11 CWTs exp'!B36</f>
        <v>STA</v>
      </c>
      <c r="C36" s="75">
        <f>'[9]Table 11 CWTs exp'!C36</f>
        <v>54</v>
      </c>
      <c r="D36" s="75">
        <f>'[9]Table 11 CWTs exp'!D36</f>
        <v>3</v>
      </c>
      <c r="E36" t="str">
        <f>'[9]Table 11 CWTs exp'!E36</f>
        <v>Stanislaus River</v>
      </c>
      <c r="F36" s="37" t="str">
        <f>'[9]Table 11 CWTs exp'!F36</f>
        <v>Fall</v>
      </c>
      <c r="G36" s="144" t="str">
        <f>IF('[9]Table 11 CWTs exp'!G36/'[9]Table 11 CWTs exp'!$AA36&gt;=0.005,'[9]Table 11 CWTs exp'!G36/'[9]Table 11 CWTs exp'!$AA36,IF('[9]Table 11 CWTs exp'!G36/'[9]Table 11 CWTs exp'!$AA36&gt;0,"&lt;1%"," "))</f>
        <v xml:space="preserve"> </v>
      </c>
      <c r="H36" s="145" t="str">
        <f>IF('[9]Table 11 CWTs exp'!H36/'[9]Table 11 CWTs exp'!$AA36&gt;=0.005,'[9]Table 11 CWTs exp'!H36/'[9]Table 11 CWTs exp'!$AA36,IF('[9]Table 11 CWTs exp'!H36/'[9]Table 11 CWTs exp'!$AA36&gt;0,"&lt;1%"," "))</f>
        <v xml:space="preserve"> </v>
      </c>
      <c r="I36" s="144" t="str">
        <f>IF('[9]Table 11 CWTs exp'!I36/'[9]Table 11 CWTs exp'!$AA36&gt;=0.005,'[9]Table 11 CWTs exp'!I36/'[9]Table 11 CWTs exp'!$AA36,IF('[9]Table 11 CWTs exp'!I36/'[9]Table 11 CWTs exp'!$AA36&gt;0,"&lt;1%"," "))</f>
        <v xml:space="preserve"> </v>
      </c>
      <c r="J36" s="146">
        <f>IF('[9]Table 11 CWTs exp'!J36/'[9]Table 11 CWTs exp'!$AA36&gt;=0.005,'[9]Table 11 CWTs exp'!J36/'[9]Table 11 CWTs exp'!$AA36,IF('[9]Table 11 CWTs exp'!J36/'[9]Table 11 CWTs exp'!$AA36&gt;0,"&lt;1%"," "))</f>
        <v>7.1910356832027844E-2</v>
      </c>
      <c r="K36" s="144" t="str">
        <f>IF('[9]Table 11 CWTs exp'!K36/'[9]Table 11 CWTs exp'!$AA36&gt;=0.005,'[9]Table 11 CWTs exp'!K36/'[9]Table 11 CWTs exp'!$AA36,IF('[9]Table 11 CWTs exp'!K36/'[9]Table 11 CWTs exp'!$AA36&gt;0,"&lt;1%"," "))</f>
        <v xml:space="preserve"> </v>
      </c>
      <c r="L36" s="144" t="str">
        <f>IF('[9]Table 11 CWTs exp'!L36/'[9]Table 11 CWTs exp'!$AA36&gt;=0.005,'[9]Table 11 CWTs exp'!L36/'[9]Table 11 CWTs exp'!$AA36,IF('[9]Table 11 CWTs exp'!L36/'[9]Table 11 CWTs exp'!$AA36&gt;0,"&lt;1%"," "))</f>
        <v xml:space="preserve"> </v>
      </c>
      <c r="M36" s="144" t="str">
        <f>IF('[9]Table 11 CWTs exp'!M36/'[9]Table 11 CWTs exp'!$AA36&gt;=0.005,'[9]Table 11 CWTs exp'!M36/'[9]Table 11 CWTs exp'!$AA36,IF('[9]Table 11 CWTs exp'!M36/'[9]Table 11 CWTs exp'!$AA36&gt;0,"&lt;1%"," "))</f>
        <v xml:space="preserve"> </v>
      </c>
      <c r="N36" s="144" t="str">
        <f>IF('[9]Table 11 CWTs exp'!N36/'[9]Table 11 CWTs exp'!$AA36&gt;=0.005,'[9]Table 11 CWTs exp'!N36/'[9]Table 11 CWTs exp'!$AA36,IF('[9]Table 11 CWTs exp'!N36/'[9]Table 11 CWTs exp'!$AA36&gt;0,"&lt;1%"," "))</f>
        <v xml:space="preserve"> </v>
      </c>
      <c r="O36" s="144">
        <f>IF('[9]Table 11 CWTs exp'!O36/'[9]Table 11 CWTs exp'!$AA36&gt;=0.005,'[9]Table 11 CWTs exp'!O36/'[9]Table 11 CWTs exp'!$AA36,IF('[9]Table 11 CWTs exp'!O36/'[9]Table 11 CWTs exp'!$AA36&gt;0,"&lt;1%"," "))</f>
        <v>1.2619669277632724E-2</v>
      </c>
      <c r="P36" s="144" t="str">
        <f>IF('[9]Table 11 CWTs exp'!P36/'[9]Table 11 CWTs exp'!$AA36&gt;=0.005,'[9]Table 11 CWTs exp'!P36/'[9]Table 11 CWTs exp'!$AA36,IF('[9]Table 11 CWTs exp'!P36/'[9]Table 11 CWTs exp'!$AA36&gt;0,"&lt;1%"," "))</f>
        <v xml:space="preserve"> </v>
      </c>
      <c r="Q36" s="145" t="str">
        <f>IF('[9]Table 11 CWTs exp'!Q36/'[9]Table 11 CWTs exp'!$AA36&gt;=0.005,'[9]Table 11 CWTs exp'!Q36/'[9]Table 11 CWTs exp'!$AA36,IF('[9]Table 11 CWTs exp'!Q36/'[9]Table 11 CWTs exp'!$AA36&gt;0,"&lt;1%"," "))</f>
        <v xml:space="preserve"> </v>
      </c>
      <c r="R36" s="146">
        <f>IF('[9]Table 11 CWTs exp'!R36/'[9]Table 11 CWTs exp'!$AA36&gt;=0.005,'[9]Table 11 CWTs exp'!R36/'[9]Table 11 CWTs exp'!$AA36,IF('[9]Table 11 CWTs exp'!R36/'[9]Table 11 CWTs exp'!$AA36&gt;0,"&lt;1%"," "))</f>
        <v>1.6971279373368148E-2</v>
      </c>
      <c r="S36" s="144" t="str">
        <f>IF('[9]Table 11 CWTs exp'!S36/'[9]Table 11 CWTs exp'!$AA36&gt;=0.005,'[9]Table 11 CWTs exp'!S36/'[9]Table 11 CWTs exp'!$AA36,IF('[9]Table 11 CWTs exp'!S36/'[9]Table 11 CWTs exp'!$AA36&gt;0,"&lt;1%"," "))</f>
        <v>&lt;1%</v>
      </c>
      <c r="T36" s="144">
        <f>IF('[9]Table 11 CWTs exp'!T36/'[9]Table 11 CWTs exp'!$AA36&gt;=0.005,'[9]Table 11 CWTs exp'!T36/'[9]Table 11 CWTs exp'!$AA36,IF('[9]Table 11 CWTs exp'!T36/'[9]Table 11 CWTs exp'!$AA36&gt;0,"&lt;1%"," "))</f>
        <v>7.3977371627502175E-3</v>
      </c>
      <c r="U36" s="144">
        <f>IF('[9]Table 11 CWTs exp'!U36/'[9]Table 11 CWTs exp'!$AA36&gt;=0.005,'[9]Table 11 CWTs exp'!U36/'[9]Table 11 CWTs exp'!$AA36,IF('[9]Table 11 CWTs exp'!U36/'[9]Table 11 CWTs exp'!$AA36&gt;0,"&lt;1%"," "))</f>
        <v>0.6218450826805918</v>
      </c>
      <c r="V36" s="146" t="str">
        <f>IF('[9]Table 11 CWTs exp'!V36/'[9]Table 11 CWTs exp'!$AA36&gt;=0.005,'[9]Table 11 CWTs exp'!V36/'[9]Table 11 CWTs exp'!$AA36,IF('[9]Table 11 CWTs exp'!V36/'[9]Table 11 CWTs exp'!$AA36&gt;0,"&lt;1%"," "))</f>
        <v xml:space="preserve"> </v>
      </c>
      <c r="W36" s="146">
        <f>IF('[9]Table 11 CWTs exp'!W36/'[9]Table 11 CWTs exp'!$AA36&gt;=0.005,'[9]Table 11 CWTs exp'!W36/'[9]Table 11 CWTs exp'!$AA36,IF('[9]Table 11 CWTs exp'!W36/'[9]Table 11 CWTs exp'!$AA36&gt;0,"&lt;1%"," "))</f>
        <v>1.4251523063533507E-2</v>
      </c>
      <c r="X36" s="206" t="str">
        <f>IF('[9]Table 11 CWTs exp'!X36/'[9]Table 11 CWTs exp'!$AA36&gt;0.0005,'[9]Table 11 CWTs exp'!X36/'[9]Table 11 CWTs exp'!$AA36,IF('[9]Table 11 CWTs exp'!X36/'[9]Table 11 CWTs exp'!$AA36&gt;0,"-"," "))</f>
        <v xml:space="preserve"> </v>
      </c>
      <c r="Y36" s="147">
        <f t="shared" si="8"/>
        <v>0.74912967798085295</v>
      </c>
      <c r="Z36" s="148">
        <f t="shared" si="9"/>
        <v>0.25187032201914705</v>
      </c>
      <c r="AA36" s="38">
        <f>'[9]Table 11 CWTs exp'!AA36</f>
        <v>9192</v>
      </c>
      <c r="AC36" s="592">
        <f>'[9]Table 11 CWTs exp'!AD36</f>
        <v>0.74912967798085295</v>
      </c>
      <c r="AD36" s="592">
        <f t="shared" si="2"/>
        <v>0</v>
      </c>
      <c r="AE36" s="593" t="str">
        <f t="shared" si="3"/>
        <v>STA543</v>
      </c>
      <c r="AF36" s="442"/>
    </row>
    <row r="37" spans="1:34" ht="14.5" customHeight="1" x14ac:dyDescent="0.25">
      <c r="A37" s="54" t="str">
        <f>'[9]Table 11 CWTs exp'!A37</f>
        <v>TUO543</v>
      </c>
      <c r="B37" s="75" t="str">
        <f>'[9]Table 11 CWTs exp'!B37</f>
        <v>TUO</v>
      </c>
      <c r="C37" s="75">
        <f>'[9]Table 11 CWTs exp'!C37</f>
        <v>54</v>
      </c>
      <c r="D37" s="75">
        <f>'[9]Table 11 CWTs exp'!D37</f>
        <v>3</v>
      </c>
      <c r="E37" t="str">
        <f>'[9]Table 11 CWTs exp'!E37</f>
        <v>Tuolumne River</v>
      </c>
      <c r="F37" s="37" t="str">
        <f>'[9]Table 11 CWTs exp'!F37</f>
        <v>Fall</v>
      </c>
      <c r="G37" s="144" t="str">
        <f>IF('[9]Table 11 CWTs exp'!G37/'[9]Table 11 CWTs exp'!$AA37&gt;=0.005,'[9]Table 11 CWTs exp'!G37/'[9]Table 11 CWTs exp'!$AA37,IF('[9]Table 11 CWTs exp'!G37/'[9]Table 11 CWTs exp'!$AA37&gt;0,"&lt;1%"," "))</f>
        <v xml:space="preserve"> </v>
      </c>
      <c r="H37" s="145" t="str">
        <f>IF('[9]Table 11 CWTs exp'!H37/'[9]Table 11 CWTs exp'!$AA37&gt;=0.005,'[9]Table 11 CWTs exp'!H37/'[9]Table 11 CWTs exp'!$AA37,IF('[9]Table 11 CWTs exp'!H37/'[9]Table 11 CWTs exp'!$AA37&gt;0,"&lt;1%"," "))</f>
        <v xml:space="preserve"> </v>
      </c>
      <c r="I37" s="144" t="str">
        <f>IF('[9]Table 11 CWTs exp'!I37/'[9]Table 11 CWTs exp'!$AA37&gt;=0.005,'[9]Table 11 CWTs exp'!I37/'[9]Table 11 CWTs exp'!$AA37,IF('[9]Table 11 CWTs exp'!I37/'[9]Table 11 CWTs exp'!$AA37&gt;0,"&lt;1%"," "))</f>
        <v xml:space="preserve"> </v>
      </c>
      <c r="J37" s="146">
        <f>IF('[9]Table 11 CWTs exp'!J37/'[9]Table 11 CWTs exp'!$AA37&gt;=0.005,'[9]Table 11 CWTs exp'!J37/'[9]Table 11 CWTs exp'!$AA37,IF('[9]Table 11 CWTs exp'!J37/'[9]Table 11 CWTs exp'!$AA37&gt;0,"&lt;1%"," "))</f>
        <v>0.21886514369933677</v>
      </c>
      <c r="K37" s="144" t="str">
        <f>IF('[9]Table 11 CWTs exp'!K37/'[9]Table 11 CWTs exp'!$AA37&gt;=0.005,'[9]Table 11 CWTs exp'!K37/'[9]Table 11 CWTs exp'!$AA37,IF('[9]Table 11 CWTs exp'!K37/'[9]Table 11 CWTs exp'!$AA37&gt;0,"&lt;1%"," "))</f>
        <v xml:space="preserve"> </v>
      </c>
      <c r="L37" s="144" t="str">
        <f>IF('[9]Table 11 CWTs exp'!L37/'[9]Table 11 CWTs exp'!$AA37&gt;=0.005,'[9]Table 11 CWTs exp'!L37/'[9]Table 11 CWTs exp'!$AA37,IF('[9]Table 11 CWTs exp'!L37/'[9]Table 11 CWTs exp'!$AA37&gt;0,"&lt;1%"," "))</f>
        <v xml:space="preserve"> </v>
      </c>
      <c r="M37" s="144" t="str">
        <f>IF('[9]Table 11 CWTs exp'!M37/'[9]Table 11 CWTs exp'!$AA37&gt;=0.005,'[9]Table 11 CWTs exp'!M37/'[9]Table 11 CWTs exp'!$AA37,IF('[9]Table 11 CWTs exp'!M37/'[9]Table 11 CWTs exp'!$AA37&gt;0,"&lt;1%"," "))</f>
        <v xml:space="preserve"> </v>
      </c>
      <c r="N37" s="144" t="str">
        <f>IF('[9]Table 11 CWTs exp'!N37/'[9]Table 11 CWTs exp'!$AA37&gt;=0.005,'[9]Table 11 CWTs exp'!N37/'[9]Table 11 CWTs exp'!$AA37,IF('[9]Table 11 CWTs exp'!N37/'[9]Table 11 CWTs exp'!$AA37&gt;0,"&lt;1%"," "))</f>
        <v xml:space="preserve"> </v>
      </c>
      <c r="O37" s="144">
        <f>IF('[9]Table 11 CWTs exp'!O37/'[9]Table 11 CWTs exp'!$AA37&gt;=0.005,'[9]Table 11 CWTs exp'!O37/'[9]Table 11 CWTs exp'!$AA37,IF('[9]Table 11 CWTs exp'!O37/'[9]Table 11 CWTs exp'!$AA37&gt;0,"&lt;1%"," "))</f>
        <v>1.4001473839351511E-2</v>
      </c>
      <c r="P37" s="144" t="str">
        <f>IF('[9]Table 11 CWTs exp'!P37/'[9]Table 11 CWTs exp'!$AA37&gt;=0.005,'[9]Table 11 CWTs exp'!P37/'[9]Table 11 CWTs exp'!$AA37,IF('[9]Table 11 CWTs exp'!P37/'[9]Table 11 CWTs exp'!$AA37&gt;0,"&lt;1%"," "))</f>
        <v>&lt;1%</v>
      </c>
      <c r="Q37" s="145" t="str">
        <f>IF('[9]Table 11 CWTs exp'!Q37/'[9]Table 11 CWTs exp'!$AA37&gt;=0.005,'[9]Table 11 CWTs exp'!Q37/'[9]Table 11 CWTs exp'!$AA37,IF('[9]Table 11 CWTs exp'!Q37/'[9]Table 11 CWTs exp'!$AA37&gt;0,"&lt;1%"," "))</f>
        <v xml:space="preserve"> </v>
      </c>
      <c r="R37" s="146">
        <f>IF('[9]Table 11 CWTs exp'!R37/'[9]Table 11 CWTs exp'!$AA37&gt;=0.005,'[9]Table 11 CWTs exp'!R37/'[9]Table 11 CWTs exp'!$AA37,IF('[9]Table 11 CWTs exp'!R37/'[9]Table 11 CWTs exp'!$AA37&gt;0,"&lt;1%"," "))</f>
        <v>3.3161385408990419E-2</v>
      </c>
      <c r="S37" s="144" t="str">
        <f>IF('[9]Table 11 CWTs exp'!S37/'[9]Table 11 CWTs exp'!$AA37&gt;=0.005,'[9]Table 11 CWTs exp'!S37/'[9]Table 11 CWTs exp'!$AA37,IF('[9]Table 11 CWTs exp'!S37/'[9]Table 11 CWTs exp'!$AA37&gt;0,"&lt;1%"," "))</f>
        <v>&lt;1%</v>
      </c>
      <c r="T37" s="144">
        <f>IF('[9]Table 11 CWTs exp'!T37/'[9]Table 11 CWTs exp'!$AA37&gt;=0.005,'[9]Table 11 CWTs exp'!T37/'[9]Table 11 CWTs exp'!$AA37,IF('[9]Table 11 CWTs exp'!T37/'[9]Table 11 CWTs exp'!$AA37&gt;0,"&lt;1%"," "))</f>
        <v>1.3264554163596167E-2</v>
      </c>
      <c r="U37" s="144">
        <f>IF('[9]Table 11 CWTs exp'!U37/'[9]Table 11 CWTs exp'!$AA37&gt;=0.005,'[9]Table 11 CWTs exp'!U37/'[9]Table 11 CWTs exp'!$AA37,IF('[9]Table 11 CWTs exp'!U37/'[9]Table 11 CWTs exp'!$AA37&gt;0,"&lt;1%"," "))</f>
        <v>0.56669123065585847</v>
      </c>
      <c r="V37" s="146" t="str">
        <f>IF('[9]Table 11 CWTs exp'!V37/'[9]Table 11 CWTs exp'!$AA37&gt;=0.005,'[9]Table 11 CWTs exp'!V37/'[9]Table 11 CWTs exp'!$AA37,IF('[9]Table 11 CWTs exp'!V37/'[9]Table 11 CWTs exp'!$AA37&gt;0,"&lt;1%"," "))</f>
        <v>&lt;1%</v>
      </c>
      <c r="W37" s="146">
        <f>IF('[9]Table 11 CWTs exp'!W37/'[9]Table 11 CWTs exp'!$AA37&gt;=0.005,'[9]Table 11 CWTs exp'!W37/'[9]Table 11 CWTs exp'!$AA37,IF('[9]Table 11 CWTs exp'!W37/'[9]Table 11 CWTs exp'!$AA37&gt;0,"&lt;1%"," "))</f>
        <v>2.8739867354458364E-2</v>
      </c>
      <c r="X37" s="206" t="str">
        <f>IF('[9]Table 11 CWTs exp'!X37/'[9]Table 11 CWTs exp'!$AA37&gt;0.0005,'[9]Table 11 CWTs exp'!X37/'[9]Table 11 CWTs exp'!$AA37,IF('[9]Table 11 CWTs exp'!X37/'[9]Table 11 CWTs exp'!$AA37&gt;0,"-"," "))</f>
        <v xml:space="preserve"> </v>
      </c>
      <c r="Y37" s="147">
        <f t="shared" si="8"/>
        <v>0.88430361090641119</v>
      </c>
      <c r="Z37" s="148">
        <f t="shared" si="9"/>
        <v>0.11669638909358881</v>
      </c>
      <c r="AA37" s="38">
        <f>'[9]Table 11 CWTs exp'!AA37</f>
        <v>1357</v>
      </c>
      <c r="AC37" s="592">
        <f>'[9]Table 11 CWTs exp'!AD37</f>
        <v>0.88430361090641119</v>
      </c>
      <c r="AD37" s="592">
        <f t="shared" si="2"/>
        <v>0</v>
      </c>
      <c r="AE37" s="593" t="str">
        <f t="shared" si="3"/>
        <v>TUO543</v>
      </c>
      <c r="AF37" s="442"/>
    </row>
    <row r="38" spans="1:34" ht="14.5" customHeight="1" x14ac:dyDescent="0.25">
      <c r="A38" s="54" t="str">
        <f>'[9]Table 11 CWTs exp'!A38</f>
        <v>MER543</v>
      </c>
      <c r="B38" s="75" t="str">
        <f>'[9]Table 11 CWTs exp'!B38</f>
        <v>MER</v>
      </c>
      <c r="C38" s="75">
        <f>'[9]Table 11 CWTs exp'!C38</f>
        <v>54</v>
      </c>
      <c r="D38" s="75">
        <f>'[9]Table 11 CWTs exp'!D38</f>
        <v>3</v>
      </c>
      <c r="E38" t="str">
        <f>'[9]Table 11 CWTs exp'!E38</f>
        <v>Merced River</v>
      </c>
      <c r="F38" s="37" t="str">
        <f>'[9]Table 11 CWTs exp'!F38</f>
        <v>Fall</v>
      </c>
      <c r="G38" s="144" t="str">
        <f>IF('[9]Table 11 CWTs exp'!G38/'[9]Table 11 CWTs exp'!$AA38&gt;=0.005,'[9]Table 11 CWTs exp'!G38/'[9]Table 11 CWTs exp'!$AA38,IF('[9]Table 11 CWTs exp'!G38/'[9]Table 11 CWTs exp'!$AA38&gt;0,"&lt;1%"," "))</f>
        <v xml:space="preserve"> </v>
      </c>
      <c r="H38" s="145" t="str">
        <f>IF('[9]Table 11 CWTs exp'!H38/'[9]Table 11 CWTs exp'!$AA38&gt;=0.005,'[9]Table 11 CWTs exp'!H38/'[9]Table 11 CWTs exp'!$AA38,IF('[9]Table 11 CWTs exp'!H38/'[9]Table 11 CWTs exp'!$AA38&gt;0,"&lt;1%"," "))</f>
        <v xml:space="preserve"> </v>
      </c>
      <c r="I38" s="144" t="str">
        <f>IF('[9]Table 11 CWTs exp'!I38/'[9]Table 11 CWTs exp'!$AA38&gt;=0.005,'[9]Table 11 CWTs exp'!I38/'[9]Table 11 CWTs exp'!$AA38,IF('[9]Table 11 CWTs exp'!I38/'[9]Table 11 CWTs exp'!$AA38&gt;0,"&lt;1%"," "))</f>
        <v xml:space="preserve"> </v>
      </c>
      <c r="J38" s="146">
        <f>IF('[9]Table 11 CWTs exp'!J38/'[9]Table 11 CWTs exp'!$AA38&gt;=0.005,'[9]Table 11 CWTs exp'!J38/'[9]Table 11 CWTs exp'!$AA38,IF('[9]Table 11 CWTs exp'!J38/'[9]Table 11 CWTs exp'!$AA38&gt;0,"&lt;1%"," "))</f>
        <v>0.1011708195737016</v>
      </c>
      <c r="K38" s="144" t="str">
        <f>IF('[9]Table 11 CWTs exp'!K38/'[9]Table 11 CWTs exp'!$AA38&gt;=0.005,'[9]Table 11 CWTs exp'!K38/'[9]Table 11 CWTs exp'!$AA38,IF('[9]Table 11 CWTs exp'!K38/'[9]Table 11 CWTs exp'!$AA38&gt;0,"&lt;1%"," "))</f>
        <v xml:space="preserve"> </v>
      </c>
      <c r="L38" s="144" t="str">
        <f>IF('[9]Table 11 CWTs exp'!L38/'[9]Table 11 CWTs exp'!$AA38&gt;=0.005,'[9]Table 11 CWTs exp'!L38/'[9]Table 11 CWTs exp'!$AA38,IF('[9]Table 11 CWTs exp'!L38/'[9]Table 11 CWTs exp'!$AA38&gt;0,"&lt;1%"," "))</f>
        <v xml:space="preserve"> </v>
      </c>
      <c r="M38" s="144" t="str">
        <f>IF('[9]Table 11 CWTs exp'!M38/'[9]Table 11 CWTs exp'!$AA38&gt;=0.005,'[9]Table 11 CWTs exp'!M38/'[9]Table 11 CWTs exp'!$AA38,IF('[9]Table 11 CWTs exp'!M38/'[9]Table 11 CWTs exp'!$AA38&gt;0,"&lt;1%"," "))</f>
        <v xml:space="preserve"> </v>
      </c>
      <c r="N38" s="144" t="str">
        <f>IF('[9]Table 11 CWTs exp'!N38/'[9]Table 11 CWTs exp'!$AA38&gt;=0.005,'[9]Table 11 CWTs exp'!N38/'[9]Table 11 CWTs exp'!$AA38,IF('[9]Table 11 CWTs exp'!N38/'[9]Table 11 CWTs exp'!$AA38&gt;0,"&lt;1%"," "))</f>
        <v xml:space="preserve"> </v>
      </c>
      <c r="O38" s="144">
        <f>IF('[9]Table 11 CWTs exp'!O38/'[9]Table 11 CWTs exp'!$AA38&gt;=0.005,'[9]Table 11 CWTs exp'!O38/'[9]Table 11 CWTs exp'!$AA38,IF('[9]Table 11 CWTs exp'!O38/'[9]Table 11 CWTs exp'!$AA38&gt;0,"&lt;1%"," "))</f>
        <v>8.4058841188832181E-3</v>
      </c>
      <c r="P38" s="144">
        <f>IF('[9]Table 11 CWTs exp'!P38/'[9]Table 11 CWTs exp'!$AA38&gt;=0.005,'[9]Table 11 CWTs exp'!P38/'[9]Table 11 CWTs exp'!$AA38,IF('[9]Table 11 CWTs exp'!P38/'[9]Table 11 CWTs exp'!$AA38&gt;0,"&lt;1%"," "))</f>
        <v>5.103572500750525E-3</v>
      </c>
      <c r="Q38" s="145" t="str">
        <f>IF('[9]Table 11 CWTs exp'!Q38/'[9]Table 11 CWTs exp'!$AA38&gt;=0.005,'[9]Table 11 CWTs exp'!Q38/'[9]Table 11 CWTs exp'!$AA38,IF('[9]Table 11 CWTs exp'!Q38/'[9]Table 11 CWTs exp'!$AA38&gt;0,"&lt;1%"," "))</f>
        <v xml:space="preserve"> </v>
      </c>
      <c r="R38" s="146">
        <f>IF('[9]Table 11 CWTs exp'!R38/'[9]Table 11 CWTs exp'!$AA38&gt;=0.005,'[9]Table 11 CWTs exp'!R38/'[9]Table 11 CWTs exp'!$AA38,IF('[9]Table 11 CWTs exp'!R38/'[9]Table 11 CWTs exp'!$AA38&gt;0,"&lt;1%"," "))</f>
        <v>2.0114079855899129E-2</v>
      </c>
      <c r="S38" s="144" t="str">
        <f>IF('[9]Table 11 CWTs exp'!S38/'[9]Table 11 CWTs exp'!$AA38&gt;=0.005,'[9]Table 11 CWTs exp'!S38/'[9]Table 11 CWTs exp'!$AA38,IF('[9]Table 11 CWTs exp'!S38/'[9]Table 11 CWTs exp'!$AA38&gt;0,"&lt;1%"," "))</f>
        <v xml:space="preserve"> </v>
      </c>
      <c r="T38" s="144">
        <f>IF('[9]Table 11 CWTs exp'!T38/'[9]Table 11 CWTs exp'!$AA38&gt;=0.005,'[9]Table 11 CWTs exp'!T38/'[9]Table 11 CWTs exp'!$AA38,IF('[9]Table 11 CWTs exp'!T38/'[9]Table 11 CWTs exp'!$AA38&gt;0,"&lt;1%"," "))</f>
        <v>5.103572500750525E-3</v>
      </c>
      <c r="U38" s="144">
        <f>IF('[9]Table 11 CWTs exp'!U38/'[9]Table 11 CWTs exp'!$AA38&gt;=0.005,'[9]Table 11 CWTs exp'!U38/'[9]Table 11 CWTs exp'!$AA38,IF('[9]Table 11 CWTs exp'!U38/'[9]Table 11 CWTs exp'!$AA38&gt;0,"&lt;1%"," "))</f>
        <v>0.60582407685379769</v>
      </c>
      <c r="V38" s="146">
        <f>IF('[9]Table 11 CWTs exp'!V38/'[9]Table 11 CWTs exp'!$AA38&gt;=0.005,'[9]Table 11 CWTs exp'!V38/'[9]Table 11 CWTs exp'!$AA38,IF('[9]Table 11 CWTs exp'!V38/'[9]Table 11 CWTs exp'!$AA38&gt;0,"&lt;1%"," "))</f>
        <v>8.4058841188832181E-3</v>
      </c>
      <c r="W38" s="146">
        <f>IF('[9]Table 11 CWTs exp'!W38/'[9]Table 11 CWTs exp'!$AA38&gt;=0.005,'[9]Table 11 CWTs exp'!W38/'[9]Table 11 CWTs exp'!$AA38,IF('[9]Table 11 CWTs exp'!W38/'[9]Table 11 CWTs exp'!$AA38&gt;0,"&lt;1%"," "))</f>
        <v>1.4410087060942659E-2</v>
      </c>
      <c r="X38" s="206" t="str">
        <f>IF('[9]Table 11 CWTs exp'!X38/'[9]Table 11 CWTs exp'!$AA38&gt;0.0005,'[9]Table 11 CWTs exp'!X38/'[9]Table 11 CWTs exp'!$AA38,IF('[9]Table 11 CWTs exp'!X38/'[9]Table 11 CWTs exp'!$AA38&gt;0,"-"," "))</f>
        <v xml:space="preserve"> </v>
      </c>
      <c r="Y38" s="147">
        <f t="shared" si="8"/>
        <v>0.76853797658360856</v>
      </c>
      <c r="Z38" s="148">
        <f t="shared" si="9"/>
        <v>0.23246202341639144</v>
      </c>
      <c r="AA38" s="38">
        <f>'[9]Table 11 CWTs exp'!AA38</f>
        <v>3331</v>
      </c>
      <c r="AC38" s="592">
        <f>'[9]Table 11 CWTs exp'!AD38</f>
        <v>0.76853797658360856</v>
      </c>
      <c r="AD38" s="592">
        <f t="shared" si="2"/>
        <v>0</v>
      </c>
      <c r="AE38" s="593" t="str">
        <f t="shared" si="3"/>
        <v>MER543</v>
      </c>
      <c r="AF38" s="442"/>
    </row>
    <row r="39" spans="1:34" ht="14.5" customHeight="1" x14ac:dyDescent="0.25">
      <c r="A39" s="54" t="str">
        <f>'[9]Table 11 CWTs exp'!A39</f>
        <v>USAC547</v>
      </c>
      <c r="B39" s="75" t="str">
        <f>'[9]Table 11 CWTs exp'!B39</f>
        <v>USAC</v>
      </c>
      <c r="C39" s="75">
        <f>'[9]Table 11 CWTs exp'!C39</f>
        <v>54</v>
      </c>
      <c r="D39" s="75">
        <f>'[9]Table 11 CWTs exp'!D39</f>
        <v>7</v>
      </c>
      <c r="E39" t="str">
        <f>'[9]Table 11 CWTs exp'!E39</f>
        <v>Upper Sacramento River</v>
      </c>
      <c r="F39" s="37" t="s">
        <v>57</v>
      </c>
      <c r="G39" s="144" t="str">
        <f>IF('[9]Table 11 CWTs exp'!G39/'[9]Table 11 CWTs exp'!$AA39&gt;=0.005,'[9]Table 11 CWTs exp'!G39/'[9]Table 11 CWTs exp'!$AA39,IF('[9]Table 11 CWTs exp'!G39/'[9]Table 11 CWTs exp'!$AA39&gt;0,"&lt;1%"," "))</f>
        <v xml:space="preserve"> </v>
      </c>
      <c r="H39" s="145" t="str">
        <f>IF('[9]Table 11 CWTs exp'!H39/'[9]Table 11 CWTs exp'!$AA39&gt;=0.005,'[9]Table 11 CWTs exp'!H39/'[9]Table 11 CWTs exp'!$AA39,IF('[9]Table 11 CWTs exp'!H39/'[9]Table 11 CWTs exp'!$AA39&gt;0,"&lt;1%"," "))</f>
        <v>&lt;1%</v>
      </c>
      <c r="I39" s="144" t="str">
        <f>IF('[9]Table 11 CWTs exp'!I39/'[9]Table 11 CWTs exp'!$AA39&gt;=0.005,'[9]Table 11 CWTs exp'!I39/'[9]Table 11 CWTs exp'!$AA39,IF('[9]Table 11 CWTs exp'!I39/'[9]Table 11 CWTs exp'!$AA39&gt;0,"&lt;1%"," "))</f>
        <v xml:space="preserve"> </v>
      </c>
      <c r="J39" s="146" t="str">
        <f>IF('[9]Table 11 CWTs exp'!J39/'[9]Table 11 CWTs exp'!$AA39&gt;=0.005,'[9]Table 11 CWTs exp'!J39/'[9]Table 11 CWTs exp'!$AA39,IF('[9]Table 11 CWTs exp'!J39/'[9]Table 11 CWTs exp'!$AA39&gt;0,"&lt;1%"," "))</f>
        <v xml:space="preserve"> </v>
      </c>
      <c r="K39" s="144" t="str">
        <f>IF('[9]Table 11 CWTs exp'!K39/'[9]Table 11 CWTs exp'!$AA39&gt;=0.005,'[9]Table 11 CWTs exp'!K39/'[9]Table 11 CWTs exp'!$AA39,IF('[9]Table 11 CWTs exp'!K39/'[9]Table 11 CWTs exp'!$AA39&gt;0,"&lt;1%"," "))</f>
        <v xml:space="preserve"> </v>
      </c>
      <c r="L39" s="144" t="str">
        <f>IF('[9]Table 11 CWTs exp'!L39/'[9]Table 11 CWTs exp'!$AA39&gt;=0.005,'[9]Table 11 CWTs exp'!L39/'[9]Table 11 CWTs exp'!$AA39,IF('[9]Table 11 CWTs exp'!L39/'[9]Table 11 CWTs exp'!$AA39&gt;0,"&lt;1%"," "))</f>
        <v xml:space="preserve"> </v>
      </c>
      <c r="M39" s="144" t="str">
        <f>IF('[9]Table 11 CWTs exp'!M39/'[9]Table 11 CWTs exp'!$AA39&gt;=0.005,'[9]Table 11 CWTs exp'!M39/'[9]Table 11 CWTs exp'!$AA39,IF('[9]Table 11 CWTs exp'!M39/'[9]Table 11 CWTs exp'!$AA39&gt;0,"&lt;1%"," "))</f>
        <v xml:space="preserve"> </v>
      </c>
      <c r="N39" s="144" t="str">
        <f>IF('[9]Table 11 CWTs exp'!N39/'[9]Table 11 CWTs exp'!$AA39&gt;=0.005,'[9]Table 11 CWTs exp'!N39/'[9]Table 11 CWTs exp'!$AA39,IF('[9]Table 11 CWTs exp'!N39/'[9]Table 11 CWTs exp'!$AA39&gt;0,"&lt;1%"," "))</f>
        <v xml:space="preserve"> </v>
      </c>
      <c r="O39" s="144" t="str">
        <f>IF('[9]Table 11 CWTs exp'!O39/'[9]Table 11 CWTs exp'!$AA39&gt;=0.005,'[9]Table 11 CWTs exp'!O39/'[9]Table 11 CWTs exp'!$AA39,IF('[9]Table 11 CWTs exp'!O39/'[9]Table 11 CWTs exp'!$AA39&gt;0,"&lt;1%"," "))</f>
        <v xml:space="preserve"> </v>
      </c>
      <c r="P39" s="144" t="str">
        <f>IF('[9]Table 11 CWTs exp'!P39/'[9]Table 11 CWTs exp'!$AA39&gt;=0.005,'[9]Table 11 CWTs exp'!P39/'[9]Table 11 CWTs exp'!$AA39,IF('[9]Table 11 CWTs exp'!P39/'[9]Table 11 CWTs exp'!$AA39&gt;0,"&lt;1%"," "))</f>
        <v xml:space="preserve"> </v>
      </c>
      <c r="Q39" s="145" t="str">
        <f>IF('[9]Table 11 CWTs exp'!Q39/'[9]Table 11 CWTs exp'!$AA39&gt;=0.005,'[9]Table 11 CWTs exp'!Q39/'[9]Table 11 CWTs exp'!$AA39,IF('[9]Table 11 CWTs exp'!Q39/'[9]Table 11 CWTs exp'!$AA39&gt;0,"&lt;1%"," "))</f>
        <v xml:space="preserve"> </v>
      </c>
      <c r="R39" s="146" t="str">
        <f>IF('[9]Table 11 CWTs exp'!R39/'[9]Table 11 CWTs exp'!$AA39&gt;=0.005,'[9]Table 11 CWTs exp'!R39/'[9]Table 11 CWTs exp'!$AA39,IF('[9]Table 11 CWTs exp'!R39/'[9]Table 11 CWTs exp'!$AA39&gt;0,"&lt;1%"," "))</f>
        <v xml:space="preserve"> </v>
      </c>
      <c r="S39" s="144" t="str">
        <f>IF('[9]Table 11 CWTs exp'!S39/'[9]Table 11 CWTs exp'!$AA39&gt;=0.005,'[9]Table 11 CWTs exp'!S39/'[9]Table 11 CWTs exp'!$AA39,IF('[9]Table 11 CWTs exp'!S39/'[9]Table 11 CWTs exp'!$AA39&gt;0,"&lt;1%"," "))</f>
        <v xml:space="preserve"> </v>
      </c>
      <c r="T39" s="144" t="str">
        <f>IF('[9]Table 11 CWTs exp'!T39/'[9]Table 11 CWTs exp'!$AA39&gt;=0.005,'[9]Table 11 CWTs exp'!T39/'[9]Table 11 CWTs exp'!$AA39,IF('[9]Table 11 CWTs exp'!T39/'[9]Table 11 CWTs exp'!$AA39&gt;0,"&lt;1%"," "))</f>
        <v xml:space="preserve"> </v>
      </c>
      <c r="U39" s="144" t="str">
        <f>IF('[9]Table 11 CWTs exp'!U39/'[9]Table 11 CWTs exp'!$AA39&gt;=0.005,'[9]Table 11 CWTs exp'!U39/'[9]Table 11 CWTs exp'!$AA39,IF('[9]Table 11 CWTs exp'!U39/'[9]Table 11 CWTs exp'!$AA39&gt;0,"&lt;1%"," "))</f>
        <v xml:space="preserve"> </v>
      </c>
      <c r="V39" s="146" t="str">
        <f>IF('[9]Table 11 CWTs exp'!V39/'[9]Table 11 CWTs exp'!$AA39&gt;=0.005,'[9]Table 11 CWTs exp'!V39/'[9]Table 11 CWTs exp'!$AA39,IF('[9]Table 11 CWTs exp'!V39/'[9]Table 11 CWTs exp'!$AA39&gt;0,"&lt;1%"," "))</f>
        <v xml:space="preserve"> </v>
      </c>
      <c r="W39" s="146" t="str">
        <f>IF('[9]Table 11 CWTs exp'!W39/'[9]Table 11 CWTs exp'!$AA39&gt;=0.005,'[9]Table 11 CWTs exp'!W39/'[9]Table 11 CWTs exp'!$AA39,IF('[9]Table 11 CWTs exp'!W39/'[9]Table 11 CWTs exp'!$AA39&gt;0,"&lt;1%"," "))</f>
        <v xml:space="preserve"> </v>
      </c>
      <c r="X39" s="206" t="str">
        <f>IF('[9]Table 11 CWTs exp'!X39/'[9]Table 11 CWTs exp'!$AA39&gt;0.0005,'[9]Table 11 CWTs exp'!X39/'[9]Table 11 CWTs exp'!$AA39,IF('[9]Table 11 CWTs exp'!X39/'[9]Table 11 CWTs exp'!$AA39&gt;0,"-"," "))</f>
        <v xml:space="preserve"> </v>
      </c>
      <c r="Y39" s="147">
        <f t="shared" si="8"/>
        <v>3.2583903551645487E-4</v>
      </c>
      <c r="Z39" s="148">
        <f t="shared" si="9"/>
        <v>1.0006741609644836</v>
      </c>
      <c r="AA39" s="38">
        <f>'[9]Table 11 CWTs exp'!AA39</f>
        <v>3069</v>
      </c>
      <c r="AC39" s="592">
        <f>'[9]Table 11 CWTs exp'!AD39</f>
        <v>3.2583903551645487E-4</v>
      </c>
      <c r="AD39" s="592">
        <f t="shared" si="2"/>
        <v>0</v>
      </c>
      <c r="AE39" s="593" t="str">
        <f t="shared" si="3"/>
        <v>USAC547</v>
      </c>
      <c r="AF39" s="442"/>
    </row>
    <row r="40" spans="1:34" ht="14.15" customHeight="1" x14ac:dyDescent="0.25">
      <c r="E40" s="723" t="s">
        <v>200</v>
      </c>
      <c r="F40" s="723"/>
      <c r="G40" s="195" t="str">
        <f>IF('[9]Table 11 CWTs exp'!G40/'[9]Table 11 CWTs exp'!$AA40&gt;=0.005,'[9]Table 11 CWTs exp'!G40/'[9]Table 11 CWTs exp'!$AA40,IF('[9]Table 11 CWTs exp'!G40/'[9]Table 11 CWTs exp'!$AA40&gt;0,"&lt;1%"," "))</f>
        <v xml:space="preserve"> </v>
      </c>
      <c r="H40" s="196" t="str">
        <f>IF('[9]Table 11 CWTs exp'!H40/'[9]Table 11 CWTs exp'!$AA40&gt;=0.005,'[9]Table 11 CWTs exp'!H40/'[9]Table 11 CWTs exp'!$AA40,IF('[9]Table 11 CWTs exp'!H40/'[9]Table 11 CWTs exp'!$AA40&gt;0,"&lt;1%"," "))</f>
        <v>&lt;1%</v>
      </c>
      <c r="I40" s="195">
        <f>IF('[9]Table 11 CWTs exp'!I40/'[9]Table 11 CWTs exp'!$AA40&gt;=0.005,'[9]Table 11 CWTs exp'!I40/'[9]Table 11 CWTs exp'!$AA40,IF('[9]Table 11 CWTs exp'!I40/'[9]Table 11 CWTs exp'!$AA40&gt;0,"&lt;1%"," "))</f>
        <v>1.7517298480099357E-2</v>
      </c>
      <c r="J40" s="197">
        <f>IF('[9]Table 11 CWTs exp'!J40/'[9]Table 11 CWTs exp'!$AA40&gt;=0.005,'[9]Table 11 CWTs exp'!J40/'[9]Table 11 CWTs exp'!$AA40,IF('[9]Table 11 CWTs exp'!J40/'[9]Table 11 CWTs exp'!$AA40&gt;0,"&lt;1%"," "))</f>
        <v>0.14548465314329648</v>
      </c>
      <c r="K40" s="195">
        <f>IF('[9]Table 11 CWTs exp'!K40/'[9]Table 11 CWTs exp'!$AA40&gt;=0.005,'[9]Table 11 CWTs exp'!K40/'[9]Table 11 CWTs exp'!$AA40,IF('[9]Table 11 CWTs exp'!K40/'[9]Table 11 CWTs exp'!$AA40&gt;0,"&lt;1%"," "))</f>
        <v>1.3010822638831392E-2</v>
      </c>
      <c r="L40" s="195">
        <f>IF('[9]Table 11 CWTs exp'!L40/'[9]Table 11 CWTs exp'!$AA40&gt;=0.005,'[9]Table 11 CWTs exp'!L40/'[9]Table 11 CWTs exp'!$AA40,IF('[9]Table 11 CWTs exp'!L40/'[9]Table 11 CWTs exp'!$AA40&gt;0,"&lt;1%"," "))</f>
        <v>2.1113016736649122E-2</v>
      </c>
      <c r="M40" s="195" t="str">
        <f>IF('[9]Table 11 CWTs exp'!M40/'[9]Table 11 CWTs exp'!$AA40&gt;=0.005,'[9]Table 11 CWTs exp'!M40/'[9]Table 11 CWTs exp'!$AA40,IF('[9]Table 11 CWTs exp'!M40/'[9]Table 11 CWTs exp'!$AA40&gt;0,"&lt;1%"," "))</f>
        <v>&lt;1%</v>
      </c>
      <c r="N40" s="195">
        <f>IF('[9]Table 11 CWTs exp'!N40/'[9]Table 11 CWTs exp'!$AA40&gt;=0.005,'[9]Table 11 CWTs exp'!N40/'[9]Table 11 CWTs exp'!$AA40,IF('[9]Table 11 CWTs exp'!N40/'[9]Table 11 CWTs exp'!$AA40&gt;0,"&lt;1%"," "))</f>
        <v>1.1224791531137264E-2</v>
      </c>
      <c r="O40" s="195">
        <f>IF('[9]Table 11 CWTs exp'!O40/'[9]Table 11 CWTs exp'!$AA40&gt;=0.005,'[9]Table 11 CWTs exp'!O40/'[9]Table 11 CWTs exp'!$AA40,IF('[9]Table 11 CWTs exp'!O40/'[9]Table 11 CWTs exp'!$AA40&gt;0,"&lt;1%"," "))</f>
        <v>0.27361760009462416</v>
      </c>
      <c r="P40" s="195">
        <f>IF('[9]Table 11 CWTs exp'!P40/'[9]Table 11 CWTs exp'!$AA40&gt;=0.005,'[9]Table 11 CWTs exp'!P40/'[9]Table 11 CWTs exp'!$AA40,IF('[9]Table 11 CWTs exp'!P40/'[9]Table 11 CWTs exp'!$AA40&gt;0,"&lt;1%"," "))</f>
        <v>3.949376071914365E-2</v>
      </c>
      <c r="Q40" s="196" t="str">
        <f>IF('[9]Table 11 CWTs exp'!Q40/'[9]Table 11 CWTs exp'!$AA40&gt;=0.005,'[9]Table 11 CWTs exp'!Q40/'[9]Table 11 CWTs exp'!$AA40,IF('[9]Table 11 CWTs exp'!Q40/'[9]Table 11 CWTs exp'!$AA40&gt;0,"&lt;1%"," "))</f>
        <v>&lt;1%</v>
      </c>
      <c r="R40" s="197">
        <f>IF('[9]Table 11 CWTs exp'!R40/'[9]Table 11 CWTs exp'!$AA40&gt;=0.005,'[9]Table 11 CWTs exp'!R40/'[9]Table 11 CWTs exp'!$AA40,IF('[9]Table 11 CWTs exp'!R40/'[9]Table 11 CWTs exp'!$AA40&gt;0,"&lt;1%"," "))</f>
        <v>5.8879886451002422E-2</v>
      </c>
      <c r="S40" s="195" t="str">
        <f>IF('[9]Table 11 CWTs exp'!S40/'[9]Table 11 CWTs exp'!$AA40&gt;=0.005,'[9]Table 11 CWTs exp'!S40/'[9]Table 11 CWTs exp'!$AA40,IF('[9]Table 11 CWTs exp'!S40/'[9]Table 11 CWTs exp'!$AA40&gt;0,"&lt;1%"," "))</f>
        <v>&lt;1%</v>
      </c>
      <c r="T40" s="195" t="str">
        <f>IF('[9]Table 11 CWTs exp'!T40/'[9]Table 11 CWTs exp'!$AA40&gt;=0.005,'[9]Table 11 CWTs exp'!T40/'[9]Table 11 CWTs exp'!$AA40,IF('[9]Table 11 CWTs exp'!T40/'[9]Table 11 CWTs exp'!$AA40&gt;0,"&lt;1%"," "))</f>
        <v>&lt;1%</v>
      </c>
      <c r="U40" s="195">
        <f>IF('[9]Table 11 CWTs exp'!U40/'[9]Table 11 CWTs exp'!$AA40&gt;=0.005,'[9]Table 11 CWTs exp'!U40/'[9]Table 11 CWTs exp'!$AA40,IF('[9]Table 11 CWTs exp'!U40/'[9]Table 11 CWTs exp'!$AA40&gt;0,"&lt;1%"," "))</f>
        <v>0.11664793896741381</v>
      </c>
      <c r="V40" s="197" t="str">
        <f>IF('[9]Table 11 CWTs exp'!V40/'[9]Table 11 CWTs exp'!$AA40&gt;=0.005,'[9]Table 11 CWTs exp'!V40/'[9]Table 11 CWTs exp'!$AA40,IF('[9]Table 11 CWTs exp'!V40/'[9]Table 11 CWTs exp'!$AA40&gt;0,"&lt;1%"," "))</f>
        <v>&lt;1%</v>
      </c>
      <c r="W40" s="197">
        <f>IF('[9]Table 11 CWTs exp'!W40/'[9]Table 11 CWTs exp'!$AA40&gt;=0.005,'[9]Table 11 CWTs exp'!W40/'[9]Table 11 CWTs exp'!$AA40,IF('[9]Table 11 CWTs exp'!W40/'[9]Table 11 CWTs exp'!$AA40&gt;0,"&lt;1%"," "))</f>
        <v>6.3398190312851143E-3</v>
      </c>
      <c r="X40" s="208" t="str">
        <f>IF('[9]Table 11 CWTs exp'!X40/'[9]Table 11 CWTs exp'!$AA40&gt;0.0005,'[9]Table 11 CWTs exp'!X40/'[9]Table 11 CWTs exp'!$AA40,IF('[9]Table 11 CWTs exp'!X40/'[9]Table 11 CWTs exp'!$AA40&gt;0,"-"," "))</f>
        <v xml:space="preserve"> </v>
      </c>
      <c r="Y40" s="198">
        <f t="shared" si="8"/>
        <v>0.71366727778106331</v>
      </c>
      <c r="Z40" s="199">
        <f t="shared" si="9"/>
        <v>0.28733272221893669</v>
      </c>
      <c r="AA40" s="59">
        <f>'[9]Table 11 CWTs exp'!AA40</f>
        <v>84545</v>
      </c>
      <c r="AB40" s="159"/>
      <c r="AC40" s="592">
        <f>'[9]Table 11 CWTs exp'!AD40</f>
        <v>0.71366727778106331</v>
      </c>
      <c r="AD40" s="592">
        <f t="shared" si="2"/>
        <v>0</v>
      </c>
      <c r="AE40" s="595"/>
      <c r="AF40" s="596"/>
      <c r="AG40" s="37"/>
      <c r="AH40" s="37"/>
    </row>
    <row r="41" spans="1:34" ht="4.5" customHeight="1" x14ac:dyDescent="0.3">
      <c r="E41" s="83"/>
      <c r="F41"/>
      <c r="G41" s="161"/>
      <c r="H41" s="162"/>
      <c r="I41" s="161"/>
      <c r="J41" s="163"/>
      <c r="K41" s="161"/>
      <c r="L41" s="161"/>
      <c r="M41" s="161"/>
      <c r="N41" s="161"/>
      <c r="O41" s="161"/>
      <c r="P41" s="161"/>
      <c r="Q41" s="162"/>
      <c r="R41" s="163"/>
      <c r="S41" s="161"/>
      <c r="T41" s="161"/>
      <c r="U41" s="161"/>
      <c r="V41" s="163"/>
      <c r="W41" s="163"/>
      <c r="X41" s="209"/>
      <c r="Y41" s="164"/>
      <c r="Z41" s="165"/>
      <c r="AA41" s="64"/>
      <c r="AB41" s="159"/>
      <c r="AC41" s="453"/>
      <c r="AD41" s="453"/>
      <c r="AE41" s="595"/>
      <c r="AF41" s="596"/>
      <c r="AG41" s="37"/>
      <c r="AH41" s="37"/>
    </row>
    <row r="42" spans="1:34" ht="14.9" customHeight="1" x14ac:dyDescent="0.25">
      <c r="E42" s="27" t="s">
        <v>103</v>
      </c>
      <c r="F42" s="3" t="s">
        <v>104</v>
      </c>
      <c r="G42" s="210" t="str">
        <f>IF('[9]Table 11 CWTs exp'!G42/'[9]Table 11 CWTs exp'!$AA42&gt;=0.005,'[9]Table 11 CWTs exp'!G42/'[9]Table 11 CWTs exp'!$AA42,IF('[9]Table 11 CWTs exp'!G42/'[9]Table 11 CWTs exp'!$AA42&gt;0,"&lt;1%","0% "))</f>
        <v>&lt;1%</v>
      </c>
      <c r="H42" s="157">
        <f>IF('[9]Table 11 CWTs exp'!H42/'[9]Table 11 CWTs exp'!$AA42&gt;=0.005,'[9]Table 11 CWTs exp'!H42/'[9]Table 11 CWTs exp'!$AA42,IF('[9]Table 11 CWTs exp'!H42/'[9]Table 11 CWTs exp'!$AA42&gt;0,"&lt;1%","0% "))</f>
        <v>1.6117312900455778E-2</v>
      </c>
      <c r="I42" s="151">
        <f>IF('[9]Table 11 CWTs exp'!I42/'[9]Table 11 CWTs exp'!$AA42&gt;=0.005,'[9]Table 11 CWTs exp'!I42/'[9]Table 11 CWTs exp'!$AA42,IF('[9]Table 11 CWTs exp'!I42/'[9]Table 11 CWTs exp'!$AA42&gt;0,"&lt;1%","0% "))</f>
        <v>7.350929010219584E-2</v>
      </c>
      <c r="J42" s="158">
        <f>IF('[9]Table 11 CWTs exp'!J42/'[9]Table 11 CWTs exp'!$AA42&gt;=0.005,'[9]Table 11 CWTs exp'!J42/'[9]Table 11 CWTs exp'!$AA42,IF('[9]Table 11 CWTs exp'!J42/'[9]Table 11 CWTs exp'!$AA42&gt;0,"&lt;1%","0% "))</f>
        <v>1.061591160012456E-2</v>
      </c>
      <c r="K42" s="151">
        <f>IF('[9]Table 11 CWTs exp'!K42/'[9]Table 11 CWTs exp'!$AA42&gt;=0.005,'[9]Table 11 CWTs exp'!K42/'[9]Table 11 CWTs exp'!$AA42,IF('[9]Table 11 CWTs exp'!K42/'[9]Table 11 CWTs exp'!$AA42&gt;0,"&lt;1%","0% "))</f>
        <v>2.4487369424287319E-2</v>
      </c>
      <c r="L42" s="151">
        <f>IF('[9]Table 11 CWTs exp'!L42/'[9]Table 11 CWTs exp'!$AA42&gt;=0.005,'[9]Table 11 CWTs exp'!L42/'[9]Table 11 CWTs exp'!$AA42,IF('[9]Table 11 CWTs exp'!L42/'[9]Table 11 CWTs exp'!$AA42&gt;0,"&lt;1%","0% "))</f>
        <v>3.2564898606248761E-2</v>
      </c>
      <c r="M42" s="151" t="str">
        <f>IF('[9]Table 11 CWTs exp'!M42/'[9]Table 11 CWTs exp'!$AA42&gt;=0.005,'[9]Table 11 CWTs exp'!M42/'[9]Table 11 CWTs exp'!$AA42,IF('[9]Table 11 CWTs exp'!M42/'[9]Table 11 CWTs exp'!$AA42&gt;0,"&lt;1%","0% "))</f>
        <v>&lt;1%</v>
      </c>
      <c r="N42" s="151">
        <f>IF('[9]Table 11 CWTs exp'!N42/'[9]Table 11 CWTs exp'!$AA42&gt;=0.005,'[9]Table 11 CWTs exp'!N42/'[9]Table 11 CWTs exp'!$AA42,IF('[9]Table 11 CWTs exp'!N42/'[9]Table 11 CWTs exp'!$AA42&gt;0,"&lt;1%","0% "))</f>
        <v>1.4682985288705614E-2</v>
      </c>
      <c r="O42" s="151">
        <f>IF('[9]Table 11 CWTs exp'!O42/'[9]Table 11 CWTs exp'!$AA42&gt;=0.005,'[9]Table 11 CWTs exp'!O42/'[9]Table 11 CWTs exp'!$AA42,IF('[9]Table 11 CWTs exp'!O42/'[9]Table 11 CWTs exp'!$AA42&gt;0,"&lt;1%","0% "))</f>
        <v>0.3313768601436215</v>
      </c>
      <c r="P42" s="151">
        <f>IF('[9]Table 11 CWTs exp'!P42/'[9]Table 11 CWTs exp'!$AA42&gt;=0.005,'[9]Table 11 CWTs exp'!P42/'[9]Table 11 CWTs exp'!$AA42,IF('[9]Table 11 CWTs exp'!P42/'[9]Table 11 CWTs exp'!$AA42&gt;0,"&lt;1%","0% "))</f>
        <v>5.3107867098223134E-2</v>
      </c>
      <c r="Q42" s="157">
        <f>IF('[9]Table 11 CWTs exp'!Q42/'[9]Table 11 CWTs exp'!$AA42&gt;=0.005,'[9]Table 11 CWTs exp'!Q42/'[9]Table 11 CWTs exp'!$AA42,IF('[9]Table 11 CWTs exp'!Q42/'[9]Table 11 CWTs exp'!$AA42&gt;0,"&lt;1%","0% "))</f>
        <v>8.5304747435667582E-3</v>
      </c>
      <c r="R42" s="158">
        <f>IF('[9]Table 11 CWTs exp'!R42/'[9]Table 11 CWTs exp'!$AA42&gt;=0.005,'[9]Table 11 CWTs exp'!R42/'[9]Table 11 CWTs exp'!$AA42,IF('[9]Table 11 CWTs exp'!R42/'[9]Table 11 CWTs exp'!$AA42&gt;0,"&lt;1%","0% "))</f>
        <v>8.7503420682626704E-2</v>
      </c>
      <c r="S42" s="151" t="str">
        <f>IF('[9]Table 11 CWTs exp'!S42/'[9]Table 11 CWTs exp'!$AA42&gt;=0.005,'[9]Table 11 CWTs exp'!S42/'[9]Table 11 CWTs exp'!$AA42,IF('[9]Table 11 CWTs exp'!S42/'[9]Table 11 CWTs exp'!$AA42&gt;0,"&lt;1%","0% "))</f>
        <v>&lt;1%</v>
      </c>
      <c r="T42" s="151" t="str">
        <f>IF('[9]Table 11 CWTs exp'!T42/'[9]Table 11 CWTs exp'!$AA42&gt;=0.005,'[9]Table 11 CWTs exp'!T42/'[9]Table 11 CWTs exp'!$AA42,IF('[9]Table 11 CWTs exp'!T42/'[9]Table 11 CWTs exp'!$AA42&gt;0,"&lt;1%","0% "))</f>
        <v>&lt;1%</v>
      </c>
      <c r="U42" s="151">
        <f>IF('[9]Table 11 CWTs exp'!U42/'[9]Table 11 CWTs exp'!$AA42&gt;=0.005,'[9]Table 11 CWTs exp'!U42/'[9]Table 11 CWTs exp'!$AA42,IF('[9]Table 11 CWTs exp'!U42/'[9]Table 11 CWTs exp'!$AA42&gt;0,"&lt;1%","0% "))</f>
        <v>2.8733734064337144E-2</v>
      </c>
      <c r="V42" s="158" t="str">
        <f>IF('[9]Table 11 CWTs exp'!V42/'[9]Table 11 CWTs exp'!$AA42&gt;=0.005,'[9]Table 11 CWTs exp'!V42/'[9]Table 11 CWTs exp'!$AA42,IF('[9]Table 11 CWTs exp'!V42/'[9]Table 11 CWTs exp'!$AA42&gt;0,"&lt;1%","0% "))</f>
        <v>&lt;1%</v>
      </c>
      <c r="W42" s="158" t="str">
        <f>IF('[9]Table 11 CWTs exp'!W42/'[9]Table 11 CWTs exp'!$AA42&gt;=0.005,'[9]Table 11 CWTs exp'!W42/'[9]Table 11 CWTs exp'!$AA42,IF('[9]Table 11 CWTs exp'!W42/'[9]Table 11 CWTs exp'!$AA42&gt;0,"&lt;1%","0% "))</f>
        <v>&lt;1%</v>
      </c>
      <c r="X42" s="211" t="str">
        <f>IF('[9]Table 11 CWTs exp'!X42/'[9]Table 11 CWTs exp'!$AA42&gt;0.0005,'[9]Table 11 CWTs exp'!X42/'[9]Table 11 CWTs exp'!$AA42,IF('[9]Table 11 CWTs exp'!X42/'[9]Table 11 CWTs exp'!$AA42&gt;0,"-"," "))</f>
        <v xml:space="preserve"> </v>
      </c>
      <c r="Y42" s="166">
        <f>AC42</f>
        <v>0.6899398903494286</v>
      </c>
      <c r="Z42" s="167">
        <f t="shared" ref="Z42:Z44" si="10">1-Y42</f>
        <v>0.3100601096505714</v>
      </c>
      <c r="AA42" s="38">
        <f>'[9]Table 11 CWTs exp'!AA42</f>
        <v>105973</v>
      </c>
      <c r="AB42" s="159"/>
      <c r="AC42" s="453">
        <f>'[9]Table 11 CWTs exp'!AD42</f>
        <v>0.6899398903494286</v>
      </c>
      <c r="AD42" s="592">
        <f t="shared" si="2"/>
        <v>0</v>
      </c>
      <c r="AE42" s="595"/>
      <c r="AF42" s="596"/>
      <c r="AG42" s="37"/>
      <c r="AH42" s="37"/>
    </row>
    <row r="43" spans="1:34" ht="14.9" customHeight="1" x14ac:dyDescent="0.25">
      <c r="E43" s="27" t="s">
        <v>105</v>
      </c>
      <c r="F43" s="3" t="s">
        <v>104</v>
      </c>
      <c r="G43" s="151" t="str">
        <f>IF('[9]Table 11 CWTs exp'!G43/'[9]Table 11 CWTs exp'!$AA43&gt;=0.005,'[9]Table 11 CWTs exp'!G43/'[9]Table 11 CWTs exp'!$AA43,IF('[9]Table 11 CWTs exp'!G43/'[9]Table 11 CWTs exp'!$AA43&gt;0,"&lt;1%","0% "))</f>
        <v>&lt;1%</v>
      </c>
      <c r="H43" s="157" t="str">
        <f>IF('[9]Table 11 CWTs exp'!H43/'[9]Table 11 CWTs exp'!$AA43&gt;=0.005,'[9]Table 11 CWTs exp'!H43/'[9]Table 11 CWTs exp'!$AA43,IF('[9]Table 11 CWTs exp'!H43/'[9]Table 11 CWTs exp'!$AA43&gt;0,"&lt;1%","0% "))</f>
        <v>&lt;1%</v>
      </c>
      <c r="I43" s="151" t="str">
        <f>IF('[9]Table 11 CWTs exp'!I43/'[9]Table 11 CWTs exp'!$AA43&gt;=0.005,'[9]Table 11 CWTs exp'!I43/'[9]Table 11 CWTs exp'!$AA43,IF('[9]Table 11 CWTs exp'!I43/'[9]Table 11 CWTs exp'!$AA43&gt;0,"&lt;1%","0% "))</f>
        <v>&lt;1%</v>
      </c>
      <c r="J43" s="158">
        <f>IF('[9]Table 11 CWTs exp'!J43/'[9]Table 11 CWTs exp'!$AA43&gt;=0.005,'[9]Table 11 CWTs exp'!J43/'[9]Table 11 CWTs exp'!$AA43,IF('[9]Table 11 CWTs exp'!J43/'[9]Table 11 CWTs exp'!$AA43&gt;0,"&lt;1%","0% "))</f>
        <v>0.44316921555725081</v>
      </c>
      <c r="K43" s="151" t="str">
        <f>IF('[9]Table 11 CWTs exp'!K43/'[9]Table 11 CWTs exp'!$AA43&gt;=0.005,'[9]Table 11 CWTs exp'!K43/'[9]Table 11 CWTs exp'!$AA43,IF('[9]Table 11 CWTs exp'!K43/'[9]Table 11 CWTs exp'!$AA43&gt;0,"&lt;1%","0% "))</f>
        <v>&lt;1%</v>
      </c>
      <c r="L43" s="151" t="str">
        <f>IF('[9]Table 11 CWTs exp'!L43/'[9]Table 11 CWTs exp'!$AA43&gt;=0.005,'[9]Table 11 CWTs exp'!L43/'[9]Table 11 CWTs exp'!$AA43,IF('[9]Table 11 CWTs exp'!L43/'[9]Table 11 CWTs exp'!$AA43&gt;0,"&lt;1%","0% "))</f>
        <v>&lt;1%</v>
      </c>
      <c r="M43" s="151" t="str">
        <f>IF('[9]Table 11 CWTs exp'!M43/'[9]Table 11 CWTs exp'!$AA43&gt;=0.005,'[9]Table 11 CWTs exp'!M43/'[9]Table 11 CWTs exp'!$AA43,IF('[9]Table 11 CWTs exp'!M43/'[9]Table 11 CWTs exp'!$AA43&gt;0,"&lt;1%","0% "))</f>
        <v>&lt;1%</v>
      </c>
      <c r="N43" s="151" t="str">
        <f>IF('[9]Table 11 CWTs exp'!N43/'[9]Table 11 CWTs exp'!$AA43&gt;=0.005,'[9]Table 11 CWTs exp'!N43/'[9]Table 11 CWTs exp'!$AA43,IF('[9]Table 11 CWTs exp'!N43/'[9]Table 11 CWTs exp'!$AA43&gt;0,"&lt;1%","0% "))</f>
        <v>&lt;1%</v>
      </c>
      <c r="O43" s="151">
        <f>IF('[9]Table 11 CWTs exp'!O43/'[9]Table 11 CWTs exp'!$AA43&gt;=0.005,'[9]Table 11 CWTs exp'!O43/'[9]Table 11 CWTs exp'!$AA43,IF('[9]Table 11 CWTs exp'!O43/'[9]Table 11 CWTs exp'!$AA43&gt;0,"&lt;1%","0% "))</f>
        <v>4.1760176081356327E-2</v>
      </c>
      <c r="P43" s="151">
        <f>IF('[9]Table 11 CWTs exp'!P43/'[9]Table 11 CWTs exp'!$AA43&gt;=0.005,'[9]Table 11 CWTs exp'!P43/'[9]Table 11 CWTs exp'!$AA43,IF('[9]Table 11 CWTs exp'!P43/'[9]Table 11 CWTs exp'!$AA43&gt;0,"&lt;1%","0% "))</f>
        <v>1.4914348600484403E-2</v>
      </c>
      <c r="Q43" s="157" t="str">
        <f>IF('[9]Table 11 CWTs exp'!Q43/'[9]Table 11 CWTs exp'!$AA43&gt;=0.005,'[9]Table 11 CWTs exp'!Q43/'[9]Table 11 CWTs exp'!$AA43,IF('[9]Table 11 CWTs exp'!Q43/'[9]Table 11 CWTs exp'!$AA43&gt;0,"&lt;1%","0% "))</f>
        <v>&lt;1%</v>
      </c>
      <c r="R43" s="158">
        <f>IF('[9]Table 11 CWTs exp'!R43/'[9]Table 11 CWTs exp'!$AA43&gt;=0.005,'[9]Table 11 CWTs exp'!R43/'[9]Table 11 CWTs exp'!$AA43,IF('[9]Table 11 CWTs exp'!R43/'[9]Table 11 CWTs exp'!$AA43&gt;0,"&lt;1%","0% "))</f>
        <v>0.11914433910558397</v>
      </c>
      <c r="S43" s="151">
        <f>IF('[9]Table 11 CWTs exp'!S43/'[9]Table 11 CWTs exp'!$AA43&gt;=0.005,'[9]Table 11 CWTs exp'!S43/'[9]Table 11 CWTs exp'!$AA43,IF('[9]Table 11 CWTs exp'!S43/'[9]Table 11 CWTs exp'!$AA43&gt;0,"&lt;1%","0% "))</f>
        <v>5.3123489300773014E-3</v>
      </c>
      <c r="T43" s="151">
        <f>IF('[9]Table 11 CWTs exp'!T43/'[9]Table 11 CWTs exp'!$AA43&gt;=0.005,'[9]Table 11 CWTs exp'!T43/'[9]Table 11 CWTs exp'!$AA43,IF('[9]Table 11 CWTs exp'!T43/'[9]Table 11 CWTs exp'!$AA43&gt;0,"&lt;1%","0% "))</f>
        <v>6.8748044977470961E-3</v>
      </c>
      <c r="U43" s="151">
        <f>IF('[9]Table 11 CWTs exp'!U43/'[9]Table 11 CWTs exp'!$AA43&gt;=0.005,'[9]Table 11 CWTs exp'!U43/'[9]Table 11 CWTs exp'!$AA43,IF('[9]Table 11 CWTs exp'!U43/'[9]Table 11 CWTs exp'!$AA43&gt;0,"&lt;1%","0% "))</f>
        <v>0.3381437931267921</v>
      </c>
      <c r="V43" s="158" t="str">
        <f>IF('[9]Table 11 CWTs exp'!V43/'[9]Table 11 CWTs exp'!$AA43&gt;=0.005,'[9]Table 11 CWTs exp'!V43/'[9]Table 11 CWTs exp'!$AA43,IF('[9]Table 11 CWTs exp'!V43/'[9]Table 11 CWTs exp'!$AA43&gt;0,"&lt;1%","0% "))</f>
        <v>&lt;1%</v>
      </c>
      <c r="W43" s="158">
        <f>IF('[9]Table 11 CWTs exp'!W43/'[9]Table 11 CWTs exp'!$AA43&gt;=0.005,'[9]Table 11 CWTs exp'!W43/'[9]Table 11 CWTs exp'!$AA43,IF('[9]Table 11 CWTs exp'!W43/'[9]Table 11 CWTs exp'!$AA43&gt;0,"&lt;1%","0% "))</f>
        <v>2.1874377947377125E-2</v>
      </c>
      <c r="X43" s="211" t="str">
        <f>IF('[9]Table 11 CWTs exp'!X43/'[9]Table 11 CWTs exp'!$AA43&gt;0.0005,'[9]Table 11 CWTs exp'!X43/'[9]Table 11 CWTs exp'!$AA43,IF('[9]Table 11 CWTs exp'!X43/'[9]Table 11 CWTs exp'!$AA43&gt;0,"-"," "))</f>
        <v xml:space="preserve"> </v>
      </c>
      <c r="Y43" s="166">
        <f>AC43</f>
        <v>0.99999997159171705</v>
      </c>
      <c r="Z43" s="167">
        <f t="shared" si="10"/>
        <v>2.8408282948255703E-8</v>
      </c>
      <c r="AA43" s="38">
        <f>'[9]Table 11 CWTs exp'!AA43</f>
        <v>35201.000999999997</v>
      </c>
      <c r="AB43" s="159"/>
      <c r="AC43" s="453">
        <f>'[9]Table 11 CWTs exp'!AD43</f>
        <v>0.99999997159171705</v>
      </c>
      <c r="AD43" s="592">
        <f t="shared" si="2"/>
        <v>0</v>
      </c>
      <c r="AE43" s="595"/>
      <c r="AF43" s="596"/>
      <c r="AG43" s="37"/>
      <c r="AH43" s="37"/>
    </row>
    <row r="44" spans="1:34" ht="18" customHeight="1" x14ac:dyDescent="0.3">
      <c r="E44" s="27"/>
      <c r="F44" s="88" t="s">
        <v>109</v>
      </c>
      <c r="G44" s="168" t="str">
        <f>IF('[9]Table 11 CWTs exp'!G44/'[9]Table 11 CWTs exp'!$AA44&gt;=0.005,'[9]Table 11 CWTs exp'!G44/'[9]Table 11 CWTs exp'!$AA44,IF('[9]Table 11 CWTs exp'!G44/'[9]Table 11 CWTs exp'!$AA44&gt;0,"&lt;1%",0.0001))</f>
        <v>&lt;1%</v>
      </c>
      <c r="H44" s="169">
        <f>IF('[9]Table 11 CWTs exp'!H44/'[9]Table 11 CWTs exp'!$AA44&gt;=0.005,'[9]Table 11 CWTs exp'!H44/'[9]Table 11 CWTs exp'!$AA44,IF('[9]Table 11 CWTs exp'!H44/'[9]Table 11 CWTs exp'!$AA44&gt;0,"&lt;1%",0.0001))</f>
        <v>1.2240214203748566E-2</v>
      </c>
      <c r="I44" s="168">
        <f>IF('[9]Table 11 CWTs exp'!I44/'[9]Table 11 CWTs exp'!$AA44&gt;=0.005,'[9]Table 11 CWTs exp'!I44/'[9]Table 11 CWTs exp'!$AA44,IF('[9]Table 11 CWTs exp'!I44/'[9]Table 11 CWTs exp'!$AA44&gt;0,"&lt;1%",0.0001))</f>
        <v>5.5952229164010367E-2</v>
      </c>
      <c r="J44" s="170">
        <f>IF('[9]Table 11 CWTs exp'!J44/'[9]Table 11 CWTs exp'!$AA44&gt;=0.005,'[9]Table 11 CWTs exp'!J44/'[9]Table 11 CWTs exp'!$AA44,IF('[9]Table 11 CWTs exp'!J44/'[9]Table 11 CWTs exp'!$AA44&gt;0,"&lt;1%",0.0001))</f>
        <v>0.11847082323940669</v>
      </c>
      <c r="K44" s="168">
        <f>IF('[9]Table 11 CWTs exp'!K44/'[9]Table 11 CWTs exp'!$AA44&gt;=0.005,'[9]Table 11 CWTs exp'!K44/'[9]Table 11 CWTs exp'!$AA44,IF('[9]Table 11 CWTs exp'!K44/'[9]Table 11 CWTs exp'!$AA44&gt;0,"&lt;1%",0.0001))</f>
        <v>1.8381571677504357E-2</v>
      </c>
      <c r="L44" s="168">
        <f>IF('[9]Table 11 CWTs exp'!L44/'[9]Table 11 CWTs exp'!$AA44&gt;=0.005,'[9]Table 11 CWTs exp'!L44/'[9]Table 11 CWTs exp'!$AA44,IF('[9]Table 11 CWTs exp'!L44/'[9]Table 11 CWTs exp'!$AA44&gt;0,"&lt;1%",0.0001))</f>
        <v>2.4579596809610835E-2</v>
      </c>
      <c r="M44" s="168" t="str">
        <f>IF('[9]Table 11 CWTs exp'!M44/'[9]Table 11 CWTs exp'!$AA44&gt;=0.005,'[9]Table 11 CWTs exp'!M44/'[9]Table 11 CWTs exp'!$AA44,IF('[9]Table 11 CWTs exp'!M44/'[9]Table 11 CWTs exp'!$AA44&gt;0,"&lt;1%",0.0001))</f>
        <v>&lt;1%</v>
      </c>
      <c r="N44" s="168">
        <f>IF('[9]Table 11 CWTs exp'!N44/'[9]Table 11 CWTs exp'!$AA44&gt;=0.005,'[9]Table 11 CWTs exp'!N44/'[9]Table 11 CWTs exp'!$AA44,IF('[9]Table 11 CWTs exp'!N44/'[9]Table 11 CWTs exp'!$AA44&gt;0,"&lt;1%",0.0001))</f>
        <v>1.1113944494028645E-2</v>
      </c>
      <c r="O44" s="168">
        <f>IF('[9]Table 11 CWTs exp'!O44/'[9]Table 11 CWTs exp'!$AA44&gt;=0.005,'[9]Table 11 CWTs exp'!O44/'[9]Table 11 CWTs exp'!$AA44,IF('[9]Table 11 CWTs exp'!O44/'[9]Table 11 CWTs exp'!$AA44&gt;0,"&lt;1%",0.0001))</f>
        <v>0.25916245200957683</v>
      </c>
      <c r="P44" s="168">
        <f>IF('[9]Table 11 CWTs exp'!P44/'[9]Table 11 CWTs exp'!$AA44&gt;=0.005,'[9]Table 11 CWTs exp'!P44/'[9]Table 11 CWTs exp'!$AA44,IF('[9]Table 11 CWTs exp'!P44/'[9]Table 11 CWTs exp'!$AA44&gt;0,"&lt;1%",0.0001))</f>
        <v>4.3584512728972756E-2</v>
      </c>
      <c r="Q44" s="169">
        <f>IF('[9]Table 11 CWTs exp'!Q44/'[9]Table 11 CWTs exp'!$AA44&gt;=0.005,'[9]Table 11 CWTs exp'!Q44/'[9]Table 11 CWTs exp'!$AA44,IF('[9]Table 11 CWTs exp'!Q44/'[9]Table 11 CWTs exp'!$AA44&gt;0,"&lt;1%",0.0001))</f>
        <v>6.4034453936277222E-3</v>
      </c>
      <c r="R44" s="170">
        <f>IF('[9]Table 11 CWTs exp'!R44/'[9]Table 11 CWTs exp'!$AA44&gt;=0.005,'[9]Table 11 CWTs exp'!R44/'[9]Table 11 CWTs exp'!$AA44,IF('[9]Table 11 CWTs exp'!R44/'[9]Table 11 CWTs exp'!$AA44&gt;0,"&lt;1%",0.0001))</f>
        <v>9.5392919376089083E-2</v>
      </c>
      <c r="S44" s="168" t="str">
        <f>IF('[9]Table 11 CWTs exp'!S44/'[9]Table 11 CWTs exp'!$AA44&gt;=0.005,'[9]Table 11 CWTs exp'!S44/'[9]Table 11 CWTs exp'!$AA44,IF('[9]Table 11 CWTs exp'!S44/'[9]Table 11 CWTs exp'!$AA44&gt;0,"&lt;1%",0.0001))</f>
        <v>&lt;1%</v>
      </c>
      <c r="T44" s="168" t="str">
        <f>IF('[9]Table 11 CWTs exp'!T44/'[9]Table 11 CWTs exp'!$AA44&gt;=0.005,'[9]Table 11 CWTs exp'!T44/'[9]Table 11 CWTs exp'!$AA44,IF('[9]Table 11 CWTs exp'!T44/'[9]Table 11 CWTs exp'!$AA44&gt;0,"&lt;1%",0.0001))</f>
        <v>&lt;1%</v>
      </c>
      <c r="U44" s="168">
        <f>IF('[9]Table 11 CWTs exp'!U44/'[9]Table 11 CWTs exp'!$AA44&gt;=0.005,'[9]Table 11 CWTs exp'!U44/'[9]Table 11 CWTs exp'!$AA44,IF('[9]Table 11 CWTs exp'!U44/'[9]Table 11 CWTs exp'!$AA44&gt;0,"&lt;1%",0.0001))</f>
        <v>0.10588351962826016</v>
      </c>
      <c r="V44" s="170" t="str">
        <f>IF('[9]Table 11 CWTs exp'!V44/'[9]Table 11 CWTs exp'!$AA44&gt;=0.005,'[9]Table 11 CWTs exp'!V44/'[9]Table 11 CWTs exp'!$AA44,IF('[9]Table 11 CWTs exp'!V44/'[9]Table 11 CWTs exp'!$AA44&gt;0,"&lt;1%",0.0001))</f>
        <v>&lt;1%</v>
      </c>
      <c r="W44" s="170">
        <f>IF('[9]Table 11 CWTs exp'!W44/'[9]Table 11 CWTs exp'!$AA44&gt;=0.005,'[9]Table 11 CWTs exp'!W44/'[9]Table 11 CWTs exp'!$AA44,IF('[9]Table 11 CWTs exp'!W44/'[9]Table 11 CWTs exp'!$AA44&gt;0,"&lt;1%",0.0001))</f>
        <v>6.5167807103290974E-3</v>
      </c>
      <c r="X44" s="212" t="str">
        <f>IF('[9]Table 11 CWTs exp'!X44/'[9]Table 11 CWTs exp'!$AA44&gt;0.0005,'[9]Table 11 CWTs exp'!X44/'[9]Table 11 CWTs exp'!$AA44,IF('[9]Table 11 CWTs exp'!X44/'[9]Table 11 CWTs exp'!$AA44&gt;0,"-"," "))</f>
        <v xml:space="preserve"> </v>
      </c>
      <c r="Y44" s="171">
        <f>AC44</f>
        <v>0.76725176023913755</v>
      </c>
      <c r="Z44" s="172">
        <f t="shared" si="10"/>
        <v>0.23274823976086245</v>
      </c>
      <c r="AA44" s="89">
        <f>'[9]Table 11 CWTs exp'!AA44</f>
        <v>141174</v>
      </c>
      <c r="AB44" s="159"/>
      <c r="AC44" s="453">
        <f>'[9]Table 11 CWTs exp'!AD44</f>
        <v>0.76725176023913755</v>
      </c>
      <c r="AD44" s="592">
        <f t="shared" si="2"/>
        <v>0</v>
      </c>
      <c r="AE44" s="595"/>
      <c r="AF44" s="596"/>
      <c r="AG44" s="37"/>
      <c r="AH44" s="37"/>
    </row>
    <row r="45" spans="1:34" ht="3.75" customHeight="1" x14ac:dyDescent="0.25">
      <c r="E45" s="173"/>
      <c r="F45" s="173"/>
      <c r="G45" s="161"/>
      <c r="H45" s="162"/>
      <c r="I45" s="161"/>
      <c r="J45" s="163"/>
      <c r="K45" s="161"/>
      <c r="L45" s="161"/>
      <c r="M45" s="161"/>
      <c r="N45" s="161"/>
      <c r="O45" s="161"/>
      <c r="P45" s="161"/>
      <c r="Q45" s="162"/>
      <c r="R45" s="163"/>
      <c r="S45" s="161"/>
      <c r="T45" s="161"/>
      <c r="U45" s="161"/>
      <c r="V45" s="163"/>
      <c r="W45" s="163"/>
      <c r="X45" s="209"/>
      <c r="Y45" s="164"/>
      <c r="Z45" s="165"/>
      <c r="AA45" s="64"/>
      <c r="AB45" s="159"/>
      <c r="AC45" s="453"/>
      <c r="AD45" s="453"/>
      <c r="AE45" s="595"/>
      <c r="AF45" s="596"/>
      <c r="AG45" s="37"/>
      <c r="AH45" s="37"/>
    </row>
    <row r="46" spans="1:34" ht="14.25" customHeight="1" x14ac:dyDescent="0.3">
      <c r="E46" s="26" t="s">
        <v>113</v>
      </c>
      <c r="F46"/>
      <c r="G46" s="213"/>
      <c r="H46" s="145"/>
      <c r="I46" s="144"/>
      <c r="J46" s="146"/>
      <c r="K46" s="144"/>
      <c r="L46" s="144"/>
      <c r="M46" s="144"/>
      <c r="N46" s="144"/>
      <c r="O46" s="144"/>
      <c r="P46" s="144"/>
      <c r="Q46" s="145"/>
      <c r="R46" s="146"/>
      <c r="S46" s="144"/>
      <c r="T46" s="144"/>
      <c r="U46" s="144"/>
      <c r="V46" s="146"/>
      <c r="W46" s="146"/>
      <c r="X46" s="206"/>
      <c r="Y46" s="147"/>
      <c r="Z46" s="148"/>
      <c r="AA46" s="38"/>
      <c r="AC46" s="453"/>
      <c r="AD46" s="453"/>
      <c r="AE46" s="442"/>
      <c r="AF46" s="442"/>
    </row>
    <row r="47" spans="1:34" ht="14.25" customHeight="1" x14ac:dyDescent="0.25">
      <c r="A47" t="str">
        <f>'[9]Table 11 CWTs exp'!A47</f>
        <v>SAK463</v>
      </c>
      <c r="B47" s="4" t="str">
        <f>'[9]Table 11 CWTs exp'!B47</f>
        <v>SAK</v>
      </c>
      <c r="C47" s="4">
        <f>'[9]Table 11 CWTs exp'!C47</f>
        <v>46</v>
      </c>
      <c r="D47" s="4">
        <f>'[9]Table 11 CWTs exp'!D47</f>
        <v>3</v>
      </c>
      <c r="E47" t="str">
        <f>'[9]Table 11 CWTs exp'!E47</f>
        <v xml:space="preserve">Upper Sacramento River </v>
      </c>
      <c r="F47" s="37" t="str">
        <f>'[9]Table 11 CWTs exp'!F47</f>
        <v>Fall</v>
      </c>
      <c r="G47" s="144" t="str">
        <f>IF('[9]Table 11 CWTs exp'!G47/'[9]Table 11 CWTs exp'!$AA47&gt;=0.005,'[9]Table 11 CWTs exp'!G47/'[9]Table 11 CWTs exp'!$AA47,IF('[9]Table 11 CWTs exp'!G47/'[9]Table 11 CWTs exp'!$AA47&gt;0,"&lt;1%"," "))</f>
        <v xml:space="preserve"> </v>
      </c>
      <c r="H47" s="145" t="str">
        <f>IF('[9]Table 11 CWTs exp'!H47/'[9]Table 11 CWTs exp'!$AA47&gt;=0.005,'[9]Table 11 CWTs exp'!H47/'[9]Table 11 CWTs exp'!$AA47,IF('[9]Table 11 CWTs exp'!H47/'[9]Table 11 CWTs exp'!$AA47&gt;0,"&lt;1%"," "))</f>
        <v xml:space="preserve"> </v>
      </c>
      <c r="I47" s="144">
        <f>IF('[9]Table 11 CWTs exp'!I47/'[9]Table 11 CWTs exp'!$AA47&gt;=0.005,'[9]Table 11 CWTs exp'!I47/'[9]Table 11 CWTs exp'!$AA47,IF('[9]Table 11 CWTs exp'!I47/'[9]Table 11 CWTs exp'!$AA47&gt;0,"&lt;1%"," "))</f>
        <v>0.55775234131113427</v>
      </c>
      <c r="J47" s="146">
        <f>IF('[9]Table 11 CWTs exp'!J47/'[9]Table 11 CWTs exp'!$AA47&gt;=0.005,'[9]Table 11 CWTs exp'!J47/'[9]Table 11 CWTs exp'!$AA47,IF('[9]Table 11 CWTs exp'!J47/'[9]Table 11 CWTs exp'!$AA47&gt;0,"&lt;1%"," "))</f>
        <v>2.428026361429067E-2</v>
      </c>
      <c r="K47" s="144" t="str">
        <f>IF('[9]Table 11 CWTs exp'!K47/'[9]Table 11 CWTs exp'!$AA47&gt;=0.005,'[9]Table 11 CWTs exp'!K47/'[9]Table 11 CWTs exp'!$AA47,IF('[9]Table 11 CWTs exp'!K47/'[9]Table 11 CWTs exp'!$AA47&gt;0,"&lt;1%"," "))</f>
        <v xml:space="preserve"> </v>
      </c>
      <c r="L47" s="144">
        <f>IF('[9]Table 11 CWTs exp'!L47/'[9]Table 11 CWTs exp'!$AA47&gt;=0.005,'[9]Table 11 CWTs exp'!L47/'[9]Table 11 CWTs exp'!$AA47,IF('[9]Table 11 CWTs exp'!L47/'[9]Table 11 CWTs exp'!$AA47&gt;0,"&lt;1%"," "))</f>
        <v>6.2434963579604576E-3</v>
      </c>
      <c r="M47" s="144" t="str">
        <f>IF('[9]Table 11 CWTs exp'!M47/'[9]Table 11 CWTs exp'!$AA47&gt;=0.005,'[9]Table 11 CWTs exp'!M47/'[9]Table 11 CWTs exp'!$AA47,IF('[9]Table 11 CWTs exp'!M47/'[9]Table 11 CWTs exp'!$AA47&gt;0,"&lt;1%"," "))</f>
        <v xml:space="preserve"> </v>
      </c>
      <c r="N47" s="144" t="str">
        <f>IF('[9]Table 11 CWTs exp'!N47/'[9]Table 11 CWTs exp'!$AA47&gt;=0.005,'[9]Table 11 CWTs exp'!N47/'[9]Table 11 CWTs exp'!$AA47,IF('[9]Table 11 CWTs exp'!N47/'[9]Table 11 CWTs exp'!$AA47&gt;0,"&lt;1%"," "))</f>
        <v xml:space="preserve"> </v>
      </c>
      <c r="O47" s="144">
        <f>IF('[9]Table 11 CWTs exp'!O47/'[9]Table 11 CWTs exp'!$AA47&gt;=0.005,'[9]Table 11 CWTs exp'!O47/'[9]Table 11 CWTs exp'!$AA47,IF('[9]Table 11 CWTs exp'!O47/'[9]Table 11 CWTs exp'!$AA47&gt;0,"&lt;1%"," "))</f>
        <v>2.428026361429067E-2</v>
      </c>
      <c r="P47" s="144">
        <f>IF('[9]Table 11 CWTs exp'!P47/'[9]Table 11 CWTs exp'!$AA47&gt;=0.005,'[9]Table 11 CWTs exp'!P47/'[9]Table 11 CWTs exp'!$AA47,IF('[9]Table 11 CWTs exp'!P47/'[9]Table 11 CWTs exp'!$AA47&gt;0,"&lt;1%"," "))</f>
        <v>6.2434963579604576E-3</v>
      </c>
      <c r="Q47" s="145" t="str">
        <f>IF('[9]Table 11 CWTs exp'!Q47/'[9]Table 11 CWTs exp'!$AA47&gt;=0.005,'[9]Table 11 CWTs exp'!Q47/'[9]Table 11 CWTs exp'!$AA47,IF('[9]Table 11 CWTs exp'!Q47/'[9]Table 11 CWTs exp'!$AA47&gt;0,"&lt;1%"," "))</f>
        <v xml:space="preserve"> </v>
      </c>
      <c r="R47" s="146" t="str">
        <f>IF('[9]Table 11 CWTs exp'!R47/'[9]Table 11 CWTs exp'!$AA47&gt;=0.005,'[9]Table 11 CWTs exp'!R47/'[9]Table 11 CWTs exp'!$AA47,IF('[9]Table 11 CWTs exp'!R47/'[9]Table 11 CWTs exp'!$AA47&gt;0,"&lt;1%"," "))</f>
        <v xml:space="preserve"> </v>
      </c>
      <c r="S47" s="144" t="str">
        <f>IF('[9]Table 11 CWTs exp'!S47/'[9]Table 11 CWTs exp'!$AA47&gt;=0.005,'[9]Table 11 CWTs exp'!S47/'[9]Table 11 CWTs exp'!$AA47,IF('[9]Table 11 CWTs exp'!S47/'[9]Table 11 CWTs exp'!$AA47&gt;0,"&lt;1%"," "))</f>
        <v xml:space="preserve"> </v>
      </c>
      <c r="T47" s="144" t="str">
        <f>IF('[9]Table 11 CWTs exp'!T47/'[9]Table 11 CWTs exp'!$AA47&gt;=0.005,'[9]Table 11 CWTs exp'!T47/'[9]Table 11 CWTs exp'!$AA47,IF('[9]Table 11 CWTs exp'!T47/'[9]Table 11 CWTs exp'!$AA47&gt;0,"&lt;1%"," "))</f>
        <v xml:space="preserve"> </v>
      </c>
      <c r="U47" s="144" t="str">
        <f>IF('[9]Table 11 CWTs exp'!U47/'[9]Table 11 CWTs exp'!$AA47&gt;=0.005,'[9]Table 11 CWTs exp'!U47/'[9]Table 11 CWTs exp'!$AA47,IF('[9]Table 11 CWTs exp'!U47/'[9]Table 11 CWTs exp'!$AA47&gt;0,"&lt;1%"," "))</f>
        <v xml:space="preserve"> </v>
      </c>
      <c r="V47" s="146" t="str">
        <f>IF('[9]Table 11 CWTs exp'!V47/'[9]Table 11 CWTs exp'!$AA47&gt;=0.005,'[9]Table 11 CWTs exp'!V47/'[9]Table 11 CWTs exp'!$AA47,IF('[9]Table 11 CWTs exp'!V47/'[9]Table 11 CWTs exp'!$AA47&gt;0,"&lt;1%"," "))</f>
        <v xml:space="preserve"> </v>
      </c>
      <c r="W47" s="146" t="str">
        <f>IF('[9]Table 11 CWTs exp'!W47/'[9]Table 11 CWTs exp'!$AA47&gt;=0.005,'[9]Table 11 CWTs exp'!W47/'[9]Table 11 CWTs exp'!$AA47,IF('[9]Table 11 CWTs exp'!W47/'[9]Table 11 CWTs exp'!$AA47&gt;0,"&lt;1%"," "))</f>
        <v xml:space="preserve"> </v>
      </c>
      <c r="X47" s="206" t="str">
        <f>IF('[9]Table 11 CWTs exp'!X47/'[9]Table 11 CWTs exp'!$AA47&gt;0.0005,'[9]Table 11 CWTs exp'!X47/'[9]Table 11 CWTs exp'!$AA47,IF('[9]Table 11 CWTs exp'!X47/'[9]Table 11 CWTs exp'!$AA47&gt;0,"-"," "))</f>
        <v xml:space="preserve"> </v>
      </c>
      <c r="Y47" s="147">
        <f t="shared" ref="Y47:Y52" si="11">AC47</f>
        <v>0.61799999999999999</v>
      </c>
      <c r="Z47" s="148">
        <f t="shared" ref="Z47:Z52" si="12">1-Y47+0.001</f>
        <v>0.38300000000000001</v>
      </c>
      <c r="AA47" s="38">
        <f>'[9]Table 11 CWTs exp'!AA47</f>
        <v>2883</v>
      </c>
      <c r="AC47" s="453">
        <f>'[9]Table 11 CWTs exp'!AD47</f>
        <v>0.61799999999999999</v>
      </c>
      <c r="AD47" s="453">
        <f t="shared" si="2"/>
        <v>0</v>
      </c>
      <c r="AE47" s="593" t="str">
        <f t="shared" ref="AE47:AE52" si="13">A47</f>
        <v>SAK463</v>
      </c>
      <c r="AF47" s="442"/>
    </row>
    <row r="48" spans="1:34" ht="14.25" customHeight="1" x14ac:dyDescent="0.25">
      <c r="A48" t="str">
        <f>'[9]Table 11 CWTs exp'!A48</f>
        <v>SBK463</v>
      </c>
      <c r="B48" s="4" t="str">
        <f>'[9]Table 11 CWTs exp'!B48</f>
        <v>SBK</v>
      </c>
      <c r="C48" s="4">
        <f>'[9]Table 11 CWTs exp'!C48</f>
        <v>46</v>
      </c>
      <c r="D48" s="4">
        <f>'[9]Table 11 CWTs exp'!D48</f>
        <v>3</v>
      </c>
      <c r="E48" t="str">
        <f>'[9]Table 11 CWTs exp'!E48</f>
        <v xml:space="preserve">Lower Sacramento River </v>
      </c>
      <c r="F48" s="37" t="str">
        <f>'[9]Table 11 CWTs exp'!F48</f>
        <v>Fall</v>
      </c>
      <c r="G48" s="144" t="str">
        <f>IF('[9]Table 11 CWTs exp'!G48/'[9]Table 11 CWTs exp'!$AA48&gt;=0.005,'[9]Table 11 CWTs exp'!G48/'[9]Table 11 CWTs exp'!$AA48,IF('[9]Table 11 CWTs exp'!G48/'[9]Table 11 CWTs exp'!$AA48&gt;0,"&lt;1%"," "))</f>
        <v xml:space="preserve"> </v>
      </c>
      <c r="H48" s="145" t="str">
        <f>IF('[9]Table 11 CWTs exp'!H48/'[9]Table 11 CWTs exp'!$AA48&gt;=0.005,'[9]Table 11 CWTs exp'!H48/'[9]Table 11 CWTs exp'!$AA48,IF('[9]Table 11 CWTs exp'!H48/'[9]Table 11 CWTs exp'!$AA48&gt;0,"&lt;1%"," "))</f>
        <v xml:space="preserve"> </v>
      </c>
      <c r="I48" s="144">
        <f>IF('[9]Table 11 CWTs exp'!I48/'[9]Table 11 CWTs exp'!$AA48&gt;=0.005,'[9]Table 11 CWTs exp'!I48/'[9]Table 11 CWTs exp'!$AA48,IF('[9]Table 11 CWTs exp'!I48/'[9]Table 11 CWTs exp'!$AA48&gt;0,"&lt;1%"," "))</f>
        <v>3.0915576694411414E-2</v>
      </c>
      <c r="J48" s="146">
        <f>IF('[9]Table 11 CWTs exp'!J48/'[9]Table 11 CWTs exp'!$AA48&gt;=0.005,'[9]Table 11 CWTs exp'!J48/'[9]Table 11 CWTs exp'!$AA48,IF('[9]Table 11 CWTs exp'!J48/'[9]Table 11 CWTs exp'!$AA48&gt;0,"&lt;1%"," "))</f>
        <v>0.32592152199762187</v>
      </c>
      <c r="K48" s="144" t="str">
        <f>IF('[9]Table 11 CWTs exp'!K48/'[9]Table 11 CWTs exp'!$AA48&gt;=0.005,'[9]Table 11 CWTs exp'!K48/'[9]Table 11 CWTs exp'!$AA48,IF('[9]Table 11 CWTs exp'!K48/'[9]Table 11 CWTs exp'!$AA48&gt;0,"&lt;1%"," "))</f>
        <v xml:space="preserve"> </v>
      </c>
      <c r="L48" s="144" t="str">
        <f>IF('[9]Table 11 CWTs exp'!L48/'[9]Table 11 CWTs exp'!$AA48&gt;=0.005,'[9]Table 11 CWTs exp'!L48/'[9]Table 11 CWTs exp'!$AA48,IF('[9]Table 11 CWTs exp'!L48/'[9]Table 11 CWTs exp'!$AA48&gt;0,"&lt;1%"," "))</f>
        <v xml:space="preserve"> </v>
      </c>
      <c r="M48" s="144" t="str">
        <f>IF('[9]Table 11 CWTs exp'!M48/'[9]Table 11 CWTs exp'!$AA48&gt;=0.005,'[9]Table 11 CWTs exp'!M48/'[9]Table 11 CWTs exp'!$AA48,IF('[9]Table 11 CWTs exp'!M48/'[9]Table 11 CWTs exp'!$AA48&gt;0,"&lt;1%"," "))</f>
        <v xml:space="preserve"> </v>
      </c>
      <c r="N48" s="144" t="str">
        <f>IF('[9]Table 11 CWTs exp'!N48/'[9]Table 11 CWTs exp'!$AA48&gt;=0.005,'[9]Table 11 CWTs exp'!N48/'[9]Table 11 CWTs exp'!$AA48,IF('[9]Table 11 CWTs exp'!N48/'[9]Table 11 CWTs exp'!$AA48&gt;0,"&lt;1%"," "))</f>
        <v xml:space="preserve"> </v>
      </c>
      <c r="O48" s="144">
        <f>IF('[9]Table 11 CWTs exp'!O48/'[9]Table 11 CWTs exp'!$AA48&gt;=0.005,'[9]Table 11 CWTs exp'!O48/'[9]Table 11 CWTs exp'!$AA48,IF('[9]Table 11 CWTs exp'!O48/'[9]Table 11 CWTs exp'!$AA48&gt;0,"&lt;1%"," "))</f>
        <v>0.14054696789536267</v>
      </c>
      <c r="P48" s="144">
        <f>IF('[9]Table 11 CWTs exp'!P48/'[9]Table 11 CWTs exp'!$AA48&gt;=0.005,'[9]Table 11 CWTs exp'!P48/'[9]Table 11 CWTs exp'!$AA48,IF('[9]Table 11 CWTs exp'!P48/'[9]Table 11 CWTs exp'!$AA48&gt;0,"&lt;1%"," "))</f>
        <v>7.9667063020214032E-3</v>
      </c>
      <c r="Q48" s="145" t="str">
        <f>IF('[9]Table 11 CWTs exp'!Q48/'[9]Table 11 CWTs exp'!$AA48&gt;=0.005,'[9]Table 11 CWTs exp'!Q48/'[9]Table 11 CWTs exp'!$AA48,IF('[9]Table 11 CWTs exp'!Q48/'[9]Table 11 CWTs exp'!$AA48&gt;0,"&lt;1%"," "))</f>
        <v xml:space="preserve"> </v>
      </c>
      <c r="R48" s="146">
        <f>IF('[9]Table 11 CWTs exp'!R48/'[9]Table 11 CWTs exp'!$AA48&gt;=0.005,'[9]Table 11 CWTs exp'!R48/'[9]Table 11 CWTs exp'!$AA48,IF('[9]Table 11 CWTs exp'!R48/'[9]Table 11 CWTs exp'!$AA48&gt;0,"&lt;1%"," "))</f>
        <v>0.21664684898929845</v>
      </c>
      <c r="S48" s="144" t="str">
        <f>IF('[9]Table 11 CWTs exp'!S48/'[9]Table 11 CWTs exp'!$AA48&gt;=0.005,'[9]Table 11 CWTs exp'!S48/'[9]Table 11 CWTs exp'!$AA48,IF('[9]Table 11 CWTs exp'!S48/'[9]Table 11 CWTs exp'!$AA48&gt;0,"&lt;1%"," "))</f>
        <v xml:space="preserve"> </v>
      </c>
      <c r="T48" s="144" t="str">
        <f>IF('[9]Table 11 CWTs exp'!T48/'[9]Table 11 CWTs exp'!$AA48&gt;=0.005,'[9]Table 11 CWTs exp'!T48/'[9]Table 11 CWTs exp'!$AA48,IF('[9]Table 11 CWTs exp'!T48/'[9]Table 11 CWTs exp'!$AA48&gt;0,"&lt;1%"," "))</f>
        <v>&lt;1%</v>
      </c>
      <c r="U48" s="144">
        <f>IF('[9]Table 11 CWTs exp'!U48/'[9]Table 11 CWTs exp'!$AA48&gt;=0.005,'[9]Table 11 CWTs exp'!U48/'[9]Table 11 CWTs exp'!$AA48,IF('[9]Table 11 CWTs exp'!U48/'[9]Table 11 CWTs exp'!$AA48&gt;0,"&lt;1%"," "))</f>
        <v>4.6492271105826398E-2</v>
      </c>
      <c r="V48" s="146">
        <f>IF('[9]Table 11 CWTs exp'!V48/'[9]Table 11 CWTs exp'!$AA48&gt;=0.005,'[9]Table 11 CWTs exp'!V48/'[9]Table 11 CWTs exp'!$AA48,IF('[9]Table 11 CWTs exp'!V48/'[9]Table 11 CWTs exp'!$AA48&gt;0,"&lt;1%"," "))</f>
        <v>1.5576694411414982E-2</v>
      </c>
      <c r="W48" s="146" t="str">
        <f>IF('[9]Table 11 CWTs exp'!W48/'[9]Table 11 CWTs exp'!$AA48&gt;=0.005,'[9]Table 11 CWTs exp'!W48/'[9]Table 11 CWTs exp'!$AA48,IF('[9]Table 11 CWTs exp'!W48/'[9]Table 11 CWTs exp'!$AA48&gt;0,"&lt;1%"," "))</f>
        <v xml:space="preserve"> </v>
      </c>
      <c r="X48" s="206" t="str">
        <f>IF('[9]Table 11 CWTs exp'!X48/'[9]Table 11 CWTs exp'!$AA48&gt;0.0005,'[9]Table 11 CWTs exp'!X48/'[9]Table 11 CWTs exp'!$AA48,IF('[9]Table 11 CWTs exp'!X48/'[9]Table 11 CWTs exp'!$AA48&gt;0,"-"," "))</f>
        <v xml:space="preserve"> </v>
      </c>
      <c r="Y48" s="147">
        <f t="shared" si="11"/>
        <v>0.78800000000000003</v>
      </c>
      <c r="Z48" s="148">
        <f t="shared" si="12"/>
        <v>0.21299999999999997</v>
      </c>
      <c r="AA48" s="38">
        <f>'[9]Table 11 CWTs exp'!AA48</f>
        <v>8410</v>
      </c>
      <c r="AC48" s="453">
        <f>'[9]Table 11 CWTs exp'!AD48</f>
        <v>0.78800000000000003</v>
      </c>
      <c r="AD48" s="453">
        <f t="shared" si="2"/>
        <v>0</v>
      </c>
      <c r="AE48" s="593" t="str">
        <f t="shared" si="13"/>
        <v>SBK463</v>
      </c>
      <c r="AF48" s="442"/>
    </row>
    <row r="49" spans="1:32" ht="14.25" customHeight="1" x14ac:dyDescent="0.25">
      <c r="A49" t="str">
        <f>'[9]Table 11 CWTs exp'!A49</f>
        <v>FEA463</v>
      </c>
      <c r="B49" s="4" t="str">
        <f>'[9]Table 11 CWTs exp'!B49</f>
        <v>FEA</v>
      </c>
      <c r="C49" s="4">
        <f>'[9]Table 11 CWTs exp'!C49</f>
        <v>46</v>
      </c>
      <c r="D49" s="4">
        <f>'[9]Table 11 CWTs exp'!D49</f>
        <v>3</v>
      </c>
      <c r="E49" t="str">
        <f>'[9]Table 11 CWTs exp'!E49</f>
        <v xml:space="preserve">Feather River </v>
      </c>
      <c r="F49" s="37" t="str">
        <f>'[9]Table 11 CWTs exp'!F49</f>
        <v>Fall</v>
      </c>
      <c r="G49" s="144" t="str">
        <f>IF('[9]Table 11 CWTs exp'!G49/'[9]Table 11 CWTs exp'!$AA49&gt;=0.005,'[9]Table 11 CWTs exp'!G49/'[9]Table 11 CWTs exp'!$AA49,IF('[9]Table 11 CWTs exp'!G49/'[9]Table 11 CWTs exp'!$AA49&gt;0,"&lt;1%"," "))</f>
        <v xml:space="preserve"> </v>
      </c>
      <c r="H49" s="145" t="str">
        <f>IF('[9]Table 11 CWTs exp'!H49/'[9]Table 11 CWTs exp'!$AA49&gt;=0.005,'[9]Table 11 CWTs exp'!H49/'[9]Table 11 CWTs exp'!$AA49,IF('[9]Table 11 CWTs exp'!H49/'[9]Table 11 CWTs exp'!$AA49&gt;0,"&lt;1%"," "))</f>
        <v xml:space="preserve"> </v>
      </c>
      <c r="I49" s="144">
        <f>IF('[9]Table 11 CWTs exp'!I49/'[9]Table 11 CWTs exp'!$AA49&gt;=0.005,'[9]Table 11 CWTs exp'!I49/'[9]Table 11 CWTs exp'!$AA49,IF('[9]Table 11 CWTs exp'!I49/'[9]Table 11 CWTs exp'!$AA49&gt;0,"&lt;1%"," "))</f>
        <v>9.8932160804020095E-3</v>
      </c>
      <c r="J49" s="146">
        <f>IF('[9]Table 11 CWTs exp'!J49/'[9]Table 11 CWTs exp'!$AA49&gt;=0.005,'[9]Table 11 CWTs exp'!J49/'[9]Table 11 CWTs exp'!$AA49,IF('[9]Table 11 CWTs exp'!J49/'[9]Table 11 CWTs exp'!$AA49&gt;0,"&lt;1%"," "))</f>
        <v>0.16944095477386933</v>
      </c>
      <c r="K49" s="144" t="str">
        <f>IF('[9]Table 11 CWTs exp'!K49/'[9]Table 11 CWTs exp'!$AA49&gt;=0.005,'[9]Table 11 CWTs exp'!K49/'[9]Table 11 CWTs exp'!$AA49,IF('[9]Table 11 CWTs exp'!K49/'[9]Table 11 CWTs exp'!$AA49&gt;0,"&lt;1%"," "))</f>
        <v>&lt;1%</v>
      </c>
      <c r="L49" s="144">
        <f>IF('[9]Table 11 CWTs exp'!L49/'[9]Table 11 CWTs exp'!$AA49&gt;=0.005,'[9]Table 11 CWTs exp'!L49/'[9]Table 11 CWTs exp'!$AA49,IF('[9]Table 11 CWTs exp'!L49/'[9]Table 11 CWTs exp'!$AA49&gt;0,"&lt;1%"," "))</f>
        <v>5.0251256281407036E-3</v>
      </c>
      <c r="M49" s="144" t="str">
        <f>IF('[9]Table 11 CWTs exp'!M49/'[9]Table 11 CWTs exp'!$AA49&gt;=0.005,'[9]Table 11 CWTs exp'!M49/'[9]Table 11 CWTs exp'!$AA49,IF('[9]Table 11 CWTs exp'!M49/'[9]Table 11 CWTs exp'!$AA49&gt;0,"&lt;1%"," "))</f>
        <v xml:space="preserve"> </v>
      </c>
      <c r="N49" s="144">
        <f>IF('[9]Table 11 CWTs exp'!N49/'[9]Table 11 CWTs exp'!$AA49&gt;=0.005,'[9]Table 11 CWTs exp'!N49/'[9]Table 11 CWTs exp'!$AA49,IF('[9]Table 11 CWTs exp'!N49/'[9]Table 11 CWTs exp'!$AA49&gt;0,"&lt;1%"," "))</f>
        <v>1.507537688442211E-2</v>
      </c>
      <c r="O49" s="144">
        <f>IF('[9]Table 11 CWTs exp'!O49/'[9]Table 11 CWTs exp'!$AA49&gt;=0.005,'[9]Table 11 CWTs exp'!O49/'[9]Table 11 CWTs exp'!$AA49,IF('[9]Table 11 CWTs exp'!O49/'[9]Table 11 CWTs exp'!$AA49&gt;0,"&lt;1%"," "))</f>
        <v>0.52701005025125625</v>
      </c>
      <c r="P49" s="144">
        <f>IF('[9]Table 11 CWTs exp'!P49/'[9]Table 11 CWTs exp'!$AA49&gt;=0.005,'[9]Table 11 CWTs exp'!P49/'[9]Table 11 CWTs exp'!$AA49,IF('[9]Table 11 CWTs exp'!P49/'[9]Table 11 CWTs exp'!$AA49&gt;0,"&lt;1%"," "))</f>
        <v>0.10631281407035176</v>
      </c>
      <c r="Q49" s="145" t="str">
        <f>IF('[9]Table 11 CWTs exp'!Q49/'[9]Table 11 CWTs exp'!$AA49&gt;=0.005,'[9]Table 11 CWTs exp'!Q49/'[9]Table 11 CWTs exp'!$AA49,IF('[9]Table 11 CWTs exp'!Q49/'[9]Table 11 CWTs exp'!$AA49&gt;0,"&lt;1%"," "))</f>
        <v xml:space="preserve"> </v>
      </c>
      <c r="R49" s="146" t="str">
        <f>IF('[9]Table 11 CWTs exp'!R49/'[9]Table 11 CWTs exp'!$AA49&gt;=0.005,'[9]Table 11 CWTs exp'!R49/'[9]Table 11 CWTs exp'!$AA49,IF('[9]Table 11 CWTs exp'!R49/'[9]Table 11 CWTs exp'!$AA49&gt;0,"&lt;1%"," "))</f>
        <v xml:space="preserve"> </v>
      </c>
      <c r="S49" s="144" t="str">
        <f>IF('[9]Table 11 CWTs exp'!S49/'[9]Table 11 CWTs exp'!$AA49&gt;=0.005,'[9]Table 11 CWTs exp'!S49/'[9]Table 11 CWTs exp'!$AA49,IF('[9]Table 11 CWTs exp'!S49/'[9]Table 11 CWTs exp'!$AA49&gt;0,"&lt;1%"," "))</f>
        <v xml:space="preserve"> </v>
      </c>
      <c r="T49" s="144" t="str">
        <f>IF('[9]Table 11 CWTs exp'!T49/'[9]Table 11 CWTs exp'!$AA49&gt;=0.005,'[9]Table 11 CWTs exp'!T49/'[9]Table 11 CWTs exp'!$AA49,IF('[9]Table 11 CWTs exp'!T49/'[9]Table 11 CWTs exp'!$AA49&gt;0,"&lt;1%"," "))</f>
        <v xml:space="preserve"> </v>
      </c>
      <c r="U49" s="144" t="str">
        <f>IF('[9]Table 11 CWTs exp'!U49/'[9]Table 11 CWTs exp'!$AA49&gt;=0.005,'[9]Table 11 CWTs exp'!U49/'[9]Table 11 CWTs exp'!$AA49,IF('[9]Table 11 CWTs exp'!U49/'[9]Table 11 CWTs exp'!$AA49&gt;0,"&lt;1%"," "))</f>
        <v xml:space="preserve"> </v>
      </c>
      <c r="V49" s="146" t="str">
        <f>IF('[9]Table 11 CWTs exp'!V49/'[9]Table 11 CWTs exp'!$AA49&gt;=0.005,'[9]Table 11 CWTs exp'!V49/'[9]Table 11 CWTs exp'!$AA49,IF('[9]Table 11 CWTs exp'!V49/'[9]Table 11 CWTs exp'!$AA49&gt;0,"&lt;1%"," "))</f>
        <v xml:space="preserve"> </v>
      </c>
      <c r="W49" s="146" t="str">
        <f>IF('[9]Table 11 CWTs exp'!W49/'[9]Table 11 CWTs exp'!$AA49&gt;=0.005,'[9]Table 11 CWTs exp'!W49/'[9]Table 11 CWTs exp'!$AA49,IF('[9]Table 11 CWTs exp'!W49/'[9]Table 11 CWTs exp'!$AA49&gt;0,"&lt;1%"," "))</f>
        <v xml:space="preserve"> </v>
      </c>
      <c r="X49" s="206" t="str">
        <f>IF('[9]Table 11 CWTs exp'!X49/'[9]Table 11 CWTs exp'!$AA49&gt;0.0005,'[9]Table 11 CWTs exp'!X49/'[9]Table 11 CWTs exp'!$AA49,IF('[9]Table 11 CWTs exp'!X49/'[9]Table 11 CWTs exp'!$AA49&gt;0,"-"," "))</f>
        <v xml:space="preserve"> </v>
      </c>
      <c r="Y49" s="147">
        <f t="shared" si="11"/>
        <v>0.83499999999999996</v>
      </c>
      <c r="Z49" s="148">
        <f t="shared" si="12"/>
        <v>0.16600000000000004</v>
      </c>
      <c r="AA49" s="38">
        <f>'[9]Table 11 CWTs exp'!AA49</f>
        <v>6368</v>
      </c>
      <c r="AC49" s="453">
        <f>'[9]Table 11 CWTs exp'!AD49</f>
        <v>0.83499999999999996</v>
      </c>
      <c r="AD49" s="453">
        <f t="shared" si="2"/>
        <v>0</v>
      </c>
      <c r="AE49" s="593" t="str">
        <f t="shared" si="13"/>
        <v>FEA463</v>
      </c>
      <c r="AF49" s="442"/>
    </row>
    <row r="50" spans="1:32" ht="14.25" customHeight="1" x14ac:dyDescent="0.25">
      <c r="A50" t="str">
        <f>'[9]Table 11 CWTs exp'!A50</f>
        <v>AMN463</v>
      </c>
      <c r="B50" s="4" t="str">
        <f>'[9]Table 11 CWTs exp'!B50</f>
        <v>AMN</v>
      </c>
      <c r="C50" s="4">
        <f>'[9]Table 11 CWTs exp'!C50</f>
        <v>46</v>
      </c>
      <c r="D50" s="4">
        <f>'[9]Table 11 CWTs exp'!D50</f>
        <v>3</v>
      </c>
      <c r="E50" t="str">
        <f>'[9]Table 11 CWTs exp'!E50</f>
        <v xml:space="preserve">American River </v>
      </c>
      <c r="F50" s="37" t="str">
        <f>'[9]Table 11 CWTs exp'!F50</f>
        <v>Fall</v>
      </c>
      <c r="G50" s="144" t="str">
        <f>IF('[9]Table 11 CWTs exp'!G50/'[9]Table 11 CWTs exp'!$AA50&gt;=0.005,'[9]Table 11 CWTs exp'!G50/'[9]Table 11 CWTs exp'!$AA50,IF('[9]Table 11 CWTs exp'!G50/'[9]Table 11 CWTs exp'!$AA50&gt;0,"&lt;1%"," "))</f>
        <v xml:space="preserve"> </v>
      </c>
      <c r="H50" s="145" t="str">
        <f>IF('[9]Table 11 CWTs exp'!H50/'[9]Table 11 CWTs exp'!$AA50&gt;=0.005,'[9]Table 11 CWTs exp'!H50/'[9]Table 11 CWTs exp'!$AA50,IF('[9]Table 11 CWTs exp'!H50/'[9]Table 11 CWTs exp'!$AA50&gt;0,"&lt;1%"," "))</f>
        <v xml:space="preserve"> </v>
      </c>
      <c r="I50" s="144" t="str">
        <f>IF('[9]Table 11 CWTs exp'!I50/'[9]Table 11 CWTs exp'!$AA50&gt;=0.005,'[9]Table 11 CWTs exp'!I50/'[9]Table 11 CWTs exp'!$AA50,IF('[9]Table 11 CWTs exp'!I50/'[9]Table 11 CWTs exp'!$AA50&gt;0,"&lt;1%"," "))</f>
        <v xml:space="preserve"> </v>
      </c>
      <c r="J50" s="146">
        <f>IF('[9]Table 11 CWTs exp'!J50/'[9]Table 11 CWTs exp'!$AA50&gt;=0.005,'[9]Table 11 CWTs exp'!J50/'[9]Table 11 CWTs exp'!$AA50,IF('[9]Table 11 CWTs exp'!J50/'[9]Table 11 CWTs exp'!$AA50&gt;0,"&lt;1%"," "))</f>
        <v>0.49834817179013385</v>
      </c>
      <c r="K50" s="144" t="str">
        <f>IF('[9]Table 11 CWTs exp'!K50/'[9]Table 11 CWTs exp'!$AA50&gt;=0.005,'[9]Table 11 CWTs exp'!K50/'[9]Table 11 CWTs exp'!$AA50,IF('[9]Table 11 CWTs exp'!K50/'[9]Table 11 CWTs exp'!$AA50&gt;0,"&lt;1%"," "))</f>
        <v xml:space="preserve"> </v>
      </c>
      <c r="L50" s="144" t="str">
        <f>IF('[9]Table 11 CWTs exp'!L50/'[9]Table 11 CWTs exp'!$AA50&gt;=0.005,'[9]Table 11 CWTs exp'!L50/'[9]Table 11 CWTs exp'!$AA50,IF('[9]Table 11 CWTs exp'!L50/'[9]Table 11 CWTs exp'!$AA50&gt;0,"&lt;1%"," "))</f>
        <v>&lt;1%</v>
      </c>
      <c r="M50" s="144" t="str">
        <f>IF('[9]Table 11 CWTs exp'!M50/'[9]Table 11 CWTs exp'!$AA50&gt;=0.005,'[9]Table 11 CWTs exp'!M50/'[9]Table 11 CWTs exp'!$AA50,IF('[9]Table 11 CWTs exp'!M50/'[9]Table 11 CWTs exp'!$AA50&gt;0,"&lt;1%"," "))</f>
        <v xml:space="preserve"> </v>
      </c>
      <c r="N50" s="144">
        <f>IF('[9]Table 11 CWTs exp'!N50/'[9]Table 11 CWTs exp'!$AA50&gt;=0.005,'[9]Table 11 CWTs exp'!N50/'[9]Table 11 CWTs exp'!$AA50,IF('[9]Table 11 CWTs exp'!N50/'[9]Table 11 CWTs exp'!$AA50&gt;0,"&lt;1%"," "))</f>
        <v>7.1672546055210262E-3</v>
      </c>
      <c r="O50" s="144">
        <f>IF('[9]Table 11 CWTs exp'!O50/'[9]Table 11 CWTs exp'!$AA50&gt;=0.005,'[9]Table 11 CWTs exp'!O50/'[9]Table 11 CWTs exp'!$AA50,IF('[9]Table 11 CWTs exp'!O50/'[9]Table 11 CWTs exp'!$AA50&gt;0,"&lt;1%"," "))</f>
        <v>9.3174309871773331E-2</v>
      </c>
      <c r="P50" s="144">
        <f>IF('[9]Table 11 CWTs exp'!P50/'[9]Table 11 CWTs exp'!$AA50&gt;=0.005,'[9]Table 11 CWTs exp'!P50/'[9]Table 11 CWTs exp'!$AA50,IF('[9]Table 11 CWTs exp'!P50/'[9]Table 11 CWTs exp'!$AA50&gt;0,"&lt;1%"," "))</f>
        <v>1.4390503387647685E-2</v>
      </c>
      <c r="Q50" s="145">
        <f>IF('[9]Table 11 CWTs exp'!Q50/'[9]Table 11 CWTs exp'!$AA50&gt;=0.005,'[9]Table 11 CWTs exp'!Q50/'[9]Table 11 CWTs exp'!$AA50,IF('[9]Table 11 CWTs exp'!Q50/'[9]Table 11 CWTs exp'!$AA50&gt;0,"&lt;1%"," "))</f>
        <v>7.1112604289153931E-3</v>
      </c>
      <c r="R50" s="146">
        <f>IF('[9]Table 11 CWTs exp'!R50/'[9]Table 11 CWTs exp'!$AA50&gt;=0.005,'[9]Table 11 CWTs exp'!R50/'[9]Table 11 CWTs exp'!$AA50,IF('[9]Table 11 CWTs exp'!R50/'[9]Table 11 CWTs exp'!$AA50&gt;0,"&lt;1%"," "))</f>
        <v>0.20583459320230696</v>
      </c>
      <c r="S50" s="144" t="str">
        <f>IF('[9]Table 11 CWTs exp'!S50/'[9]Table 11 CWTs exp'!$AA50&gt;=0.005,'[9]Table 11 CWTs exp'!S50/'[9]Table 11 CWTs exp'!$AA50,IF('[9]Table 11 CWTs exp'!S50/'[9]Table 11 CWTs exp'!$AA50&gt;0,"&lt;1%"," "))</f>
        <v xml:space="preserve"> </v>
      </c>
      <c r="T50" s="144" t="str">
        <f>IF('[9]Table 11 CWTs exp'!T50/'[9]Table 11 CWTs exp'!$AA50&gt;=0.005,'[9]Table 11 CWTs exp'!T50/'[9]Table 11 CWTs exp'!$AA50,IF('[9]Table 11 CWTs exp'!T50/'[9]Table 11 CWTs exp'!$AA50&gt;0,"&lt;1%"," "))</f>
        <v>&lt;1%</v>
      </c>
      <c r="U50" s="144">
        <f>IF('[9]Table 11 CWTs exp'!U50/'[9]Table 11 CWTs exp'!$AA50&gt;=0.005,'[9]Table 11 CWTs exp'!U50/'[9]Table 11 CWTs exp'!$AA50,IF('[9]Table 11 CWTs exp'!U50/'[9]Table 11 CWTs exp'!$AA50&gt;0,"&lt;1%"," "))</f>
        <v>3.5612296321182596E-2</v>
      </c>
      <c r="V50" s="146" t="str">
        <f>IF('[9]Table 11 CWTs exp'!V50/'[9]Table 11 CWTs exp'!$AA50&gt;=0.005,'[9]Table 11 CWTs exp'!V50/'[9]Table 11 CWTs exp'!$AA50,IF('[9]Table 11 CWTs exp'!V50/'[9]Table 11 CWTs exp'!$AA50&gt;0,"&lt;1%"," "))</f>
        <v xml:space="preserve"> </v>
      </c>
      <c r="W50" s="146">
        <f>IF('[9]Table 11 CWTs exp'!W50/'[9]Table 11 CWTs exp'!$AA50&gt;=0.005,'[9]Table 11 CWTs exp'!W50/'[9]Table 11 CWTs exp'!$AA50,IF('[9]Table 11 CWTs exp'!W50/'[9]Table 11 CWTs exp'!$AA50&gt;0,"&lt;1%"," "))</f>
        <v>7.8391847247886223E-3</v>
      </c>
      <c r="X50" s="206" t="str">
        <f>IF('[9]Table 11 CWTs exp'!X50/'[9]Table 11 CWTs exp'!$AA50&gt;0.0005,'[9]Table 11 CWTs exp'!X50/'[9]Table 11 CWTs exp'!$AA50,IF('[9]Table 11 CWTs exp'!X50/'[9]Table 11 CWTs exp'!$AA50&gt;0,"-"," "))</f>
        <v xml:space="preserve"> </v>
      </c>
      <c r="Y50" s="147">
        <f t="shared" si="11"/>
        <v>0.875</v>
      </c>
      <c r="Z50" s="148">
        <f t="shared" si="12"/>
        <v>0.126</v>
      </c>
      <c r="AA50" s="38">
        <f>'[9]Table 11 CWTs exp'!AA50</f>
        <v>17859</v>
      </c>
      <c r="AC50" s="453">
        <f>'[9]Table 11 CWTs exp'!AD50</f>
        <v>0.875</v>
      </c>
      <c r="AD50" s="453">
        <f t="shared" si="2"/>
        <v>0</v>
      </c>
      <c r="AE50" s="593" t="str">
        <f t="shared" si="13"/>
        <v>AMN463</v>
      </c>
      <c r="AF50" s="442"/>
    </row>
    <row r="51" spans="1:32" ht="14.25" customHeight="1" x14ac:dyDescent="0.25">
      <c r="A51" t="str">
        <f>'[9]Table 11 CWTs exp'!A51</f>
        <v>MOK463</v>
      </c>
      <c r="B51" s="4" t="str">
        <f>'[9]Table 11 CWTs exp'!B51</f>
        <v>MOK</v>
      </c>
      <c r="C51" s="4">
        <f>'[9]Table 11 CWTs exp'!C51</f>
        <v>46</v>
      </c>
      <c r="D51" s="4">
        <f>'[9]Table 11 CWTs exp'!D51</f>
        <v>3</v>
      </c>
      <c r="E51" t="str">
        <f>'[9]Table 11 CWTs exp'!E51</f>
        <v>Mokelumne River</v>
      </c>
      <c r="F51" s="37" t="str">
        <f>'[9]Table 11 CWTs exp'!F51</f>
        <v>Fall</v>
      </c>
      <c r="G51" s="144" t="str">
        <f>IF('[9]Table 11 CWTs exp'!G51/'[9]Table 11 CWTs exp'!$AA51&gt;=0.005,'[9]Table 11 CWTs exp'!G51/'[9]Table 11 CWTs exp'!$AA51,IF('[9]Table 11 CWTs exp'!G51/'[9]Table 11 CWTs exp'!$AA51&gt;0,"&lt;1%"," "))</f>
        <v xml:space="preserve"> </v>
      </c>
      <c r="H51" s="145" t="str">
        <f>IF('[9]Table 11 CWTs exp'!H51/'[9]Table 11 CWTs exp'!$AA51&gt;=0.005,'[9]Table 11 CWTs exp'!H51/'[9]Table 11 CWTs exp'!$AA51,IF('[9]Table 11 CWTs exp'!H51/'[9]Table 11 CWTs exp'!$AA51&gt;0,"&lt;1%"," "))</f>
        <v xml:space="preserve"> </v>
      </c>
      <c r="I51" s="144" t="str">
        <f>IF('[9]Table 11 CWTs exp'!I51/'[9]Table 11 CWTs exp'!$AA51&gt;=0.005,'[9]Table 11 CWTs exp'!I51/'[9]Table 11 CWTs exp'!$AA51,IF('[9]Table 11 CWTs exp'!I51/'[9]Table 11 CWTs exp'!$AA51&gt;0,"&lt;1%"," "))</f>
        <v xml:space="preserve"> </v>
      </c>
      <c r="J51" s="146">
        <f>IF('[9]Table 11 CWTs exp'!J51/'[9]Table 11 CWTs exp'!$AA51&gt;=0.005,'[9]Table 11 CWTs exp'!J51/'[9]Table 11 CWTs exp'!$AA51,IF('[9]Table 11 CWTs exp'!J51/'[9]Table 11 CWTs exp'!$AA51&gt;0,"&lt;1%"," "))</f>
        <v>0.21073558648111332</v>
      </c>
      <c r="K51" s="144" t="str">
        <f>IF('[9]Table 11 CWTs exp'!K51/'[9]Table 11 CWTs exp'!$AA51&gt;=0.005,'[9]Table 11 CWTs exp'!K51/'[9]Table 11 CWTs exp'!$AA51,IF('[9]Table 11 CWTs exp'!K51/'[9]Table 11 CWTs exp'!$AA51&gt;0,"&lt;1%"," "))</f>
        <v xml:space="preserve"> </v>
      </c>
      <c r="L51" s="144" t="str">
        <f>IF('[9]Table 11 CWTs exp'!L51/'[9]Table 11 CWTs exp'!$AA51&gt;=0.005,'[9]Table 11 CWTs exp'!L51/'[9]Table 11 CWTs exp'!$AA51,IF('[9]Table 11 CWTs exp'!L51/'[9]Table 11 CWTs exp'!$AA51&gt;0,"&lt;1%"," "))</f>
        <v xml:space="preserve"> </v>
      </c>
      <c r="M51" s="144" t="str">
        <f>IF('[9]Table 11 CWTs exp'!M51/'[9]Table 11 CWTs exp'!$AA51&gt;=0.005,'[9]Table 11 CWTs exp'!M51/'[9]Table 11 CWTs exp'!$AA51,IF('[9]Table 11 CWTs exp'!M51/'[9]Table 11 CWTs exp'!$AA51&gt;0,"&lt;1%"," "))</f>
        <v xml:space="preserve"> </v>
      </c>
      <c r="N51" s="144" t="str">
        <f>IF('[9]Table 11 CWTs exp'!N51/'[9]Table 11 CWTs exp'!$AA51&gt;=0.005,'[9]Table 11 CWTs exp'!N51/'[9]Table 11 CWTs exp'!$AA51,IF('[9]Table 11 CWTs exp'!N51/'[9]Table 11 CWTs exp'!$AA51&gt;0,"&lt;1%"," "))</f>
        <v xml:space="preserve"> </v>
      </c>
      <c r="O51" s="144">
        <f>IF('[9]Table 11 CWTs exp'!O51/'[9]Table 11 CWTs exp'!$AA51&gt;=0.005,'[9]Table 11 CWTs exp'!O51/'[9]Table 11 CWTs exp'!$AA51,IF('[9]Table 11 CWTs exp'!O51/'[9]Table 11 CWTs exp'!$AA51&gt;0,"&lt;1%"," "))</f>
        <v>7.0576540755467196E-2</v>
      </c>
      <c r="P51" s="144">
        <f>IF('[9]Table 11 CWTs exp'!P51/'[9]Table 11 CWTs exp'!$AA51&gt;=0.005,'[9]Table 11 CWTs exp'!P51/'[9]Table 11 CWTs exp'!$AA51,IF('[9]Table 11 CWTs exp'!P51/'[9]Table 11 CWTs exp'!$AA51&gt;0,"&lt;1%"," "))</f>
        <v>1.7892644135188866E-2</v>
      </c>
      <c r="Q51" s="145" t="str">
        <f>IF('[9]Table 11 CWTs exp'!Q51/'[9]Table 11 CWTs exp'!$AA51&gt;=0.005,'[9]Table 11 CWTs exp'!Q51/'[9]Table 11 CWTs exp'!$AA51,IF('[9]Table 11 CWTs exp'!Q51/'[9]Table 11 CWTs exp'!$AA51&gt;0,"&lt;1%"," "))</f>
        <v xml:space="preserve"> </v>
      </c>
      <c r="R51" s="146">
        <f>IF('[9]Table 11 CWTs exp'!R51/'[9]Table 11 CWTs exp'!$AA51&gt;=0.005,'[9]Table 11 CWTs exp'!R51/'[9]Table 11 CWTs exp'!$AA51,IF('[9]Table 11 CWTs exp'!R51/'[9]Table 11 CWTs exp'!$AA51&gt;0,"&lt;1%"," "))</f>
        <v>0.27932405566600399</v>
      </c>
      <c r="S51" s="144" t="str">
        <f>IF('[9]Table 11 CWTs exp'!S51/'[9]Table 11 CWTs exp'!$AA51&gt;=0.005,'[9]Table 11 CWTs exp'!S51/'[9]Table 11 CWTs exp'!$AA51,IF('[9]Table 11 CWTs exp'!S51/'[9]Table 11 CWTs exp'!$AA51&gt;0,"&lt;1%"," "))</f>
        <v xml:space="preserve"> </v>
      </c>
      <c r="T51" s="144" t="str">
        <f>IF('[9]Table 11 CWTs exp'!T51/'[9]Table 11 CWTs exp'!$AA51&gt;=0.005,'[9]Table 11 CWTs exp'!T51/'[9]Table 11 CWTs exp'!$AA51,IF('[9]Table 11 CWTs exp'!T51/'[9]Table 11 CWTs exp'!$AA51&gt;0,"&lt;1%"," "))</f>
        <v xml:space="preserve"> </v>
      </c>
      <c r="U51" s="144">
        <f>IF('[9]Table 11 CWTs exp'!U51/'[9]Table 11 CWTs exp'!$AA51&gt;=0.005,'[9]Table 11 CWTs exp'!U51/'[9]Table 11 CWTs exp'!$AA51,IF('[9]Table 11 CWTs exp'!U51/'[9]Table 11 CWTs exp'!$AA51&gt;0,"&lt;1%"," "))</f>
        <v>0.42047713717693835</v>
      </c>
      <c r="V51" s="146" t="str">
        <f>IF('[9]Table 11 CWTs exp'!V51/'[9]Table 11 CWTs exp'!$AA51&gt;=0.005,'[9]Table 11 CWTs exp'!V51/'[9]Table 11 CWTs exp'!$AA51,IF('[9]Table 11 CWTs exp'!V51/'[9]Table 11 CWTs exp'!$AA51&gt;0,"&lt;1%"," "))</f>
        <v xml:space="preserve"> </v>
      </c>
      <c r="W51" s="146" t="str">
        <f>IF('[9]Table 11 CWTs exp'!W51/'[9]Table 11 CWTs exp'!$AA51&gt;=0.005,'[9]Table 11 CWTs exp'!W51/'[9]Table 11 CWTs exp'!$AA51,IF('[9]Table 11 CWTs exp'!W51/'[9]Table 11 CWTs exp'!$AA51&gt;0,"&lt;1%"," "))</f>
        <v xml:space="preserve"> </v>
      </c>
      <c r="X51" s="206" t="str">
        <f>IF('[9]Table 11 CWTs exp'!X51/'[9]Table 11 CWTs exp'!$AA51&gt;0.0005,'[9]Table 11 CWTs exp'!X51/'[9]Table 11 CWTs exp'!$AA51,IF('[9]Table 11 CWTs exp'!X51/'[9]Table 11 CWTs exp'!$AA51&gt;0,"-"," "))</f>
        <v xml:space="preserve"> </v>
      </c>
      <c r="Y51" s="147">
        <f t="shared" si="11"/>
        <v>1</v>
      </c>
      <c r="Z51" s="148">
        <f t="shared" si="12"/>
        <v>1E-3</v>
      </c>
      <c r="AA51" s="38">
        <f>'[9]Table 11 CWTs exp'!AA51</f>
        <v>1006</v>
      </c>
      <c r="AC51" s="453">
        <f>'[9]Table 11 CWTs exp'!AD51</f>
        <v>1</v>
      </c>
      <c r="AD51" s="453">
        <f t="shared" si="2"/>
        <v>0</v>
      </c>
      <c r="AE51" s="593" t="str">
        <f t="shared" si="13"/>
        <v>MOK463</v>
      </c>
      <c r="AF51" s="442"/>
    </row>
    <row r="52" spans="1:32" ht="14.25" customHeight="1" x14ac:dyDescent="0.25">
      <c r="A52" t="str">
        <f>'[9]Table 11 CWTs exp'!A52</f>
        <v>SAK467</v>
      </c>
      <c r="B52" s="4" t="str">
        <f>'[9]Table 11 CWTs exp'!B52</f>
        <v>SAK</v>
      </c>
      <c r="C52" s="4">
        <f>'[9]Table 11 CWTs exp'!C52</f>
        <v>46</v>
      </c>
      <c r="D52" s="4">
        <f>'[9]Table 11 CWTs exp'!D52</f>
        <v>7</v>
      </c>
      <c r="E52" t="str">
        <f>'[9]Table 11 CWTs exp'!E52</f>
        <v xml:space="preserve">Upper Sacramento River </v>
      </c>
      <c r="F52" s="37" t="s">
        <v>57</v>
      </c>
      <c r="G52" s="144" t="str">
        <f>IF('[9]Table 11 CWTs exp'!G52/'[9]Table 11 CWTs exp'!$AA52&gt;=0.005,'[9]Table 11 CWTs exp'!G52/'[9]Table 11 CWTs exp'!$AA52,IF('[9]Table 11 CWTs exp'!G52/'[9]Table 11 CWTs exp'!$AA52&gt;0,"&lt;1%"," "))</f>
        <v xml:space="preserve"> </v>
      </c>
      <c r="H52" s="145">
        <f>IF('[9]Table 11 CWTs exp'!H52/'[9]Table 11 CWTs exp'!$AA52&gt;=0.005,'[9]Table 11 CWTs exp'!H52/'[9]Table 11 CWTs exp'!$AA52,IF('[9]Table 11 CWTs exp'!H52/'[9]Table 11 CWTs exp'!$AA52&gt;0,"&lt;1%"," "))</f>
        <v>0.56153846153846154</v>
      </c>
      <c r="I52" s="144" t="str">
        <f>IF('[9]Table 11 CWTs exp'!I52/'[9]Table 11 CWTs exp'!$AA52&gt;=0.005,'[9]Table 11 CWTs exp'!I52/'[9]Table 11 CWTs exp'!$AA52,IF('[9]Table 11 CWTs exp'!I52/'[9]Table 11 CWTs exp'!$AA52&gt;0,"&lt;1%"," "))</f>
        <v xml:space="preserve"> </v>
      </c>
      <c r="J52" s="146" t="str">
        <f>IF('[9]Table 11 CWTs exp'!J52/'[9]Table 11 CWTs exp'!$AA52&gt;=0.005,'[9]Table 11 CWTs exp'!J52/'[9]Table 11 CWTs exp'!$AA52,IF('[9]Table 11 CWTs exp'!J52/'[9]Table 11 CWTs exp'!$AA52&gt;0,"&lt;1%"," "))</f>
        <v xml:space="preserve"> </v>
      </c>
      <c r="K52" s="144" t="str">
        <f>IF('[9]Table 11 CWTs exp'!K52/'[9]Table 11 CWTs exp'!$AA52&gt;=0.005,'[9]Table 11 CWTs exp'!K52/'[9]Table 11 CWTs exp'!$AA52,IF('[9]Table 11 CWTs exp'!K52/'[9]Table 11 CWTs exp'!$AA52&gt;0,"&lt;1%"," "))</f>
        <v xml:space="preserve"> </v>
      </c>
      <c r="L52" s="144" t="str">
        <f>IF('[9]Table 11 CWTs exp'!L52/'[9]Table 11 CWTs exp'!$AA52&gt;=0.005,'[9]Table 11 CWTs exp'!L52/'[9]Table 11 CWTs exp'!$AA52,IF('[9]Table 11 CWTs exp'!L52/'[9]Table 11 CWTs exp'!$AA52&gt;0,"&lt;1%"," "))</f>
        <v xml:space="preserve"> </v>
      </c>
      <c r="M52" s="144" t="str">
        <f>IF('[9]Table 11 CWTs exp'!M52/'[9]Table 11 CWTs exp'!$AA52&gt;=0.005,'[9]Table 11 CWTs exp'!M52/'[9]Table 11 CWTs exp'!$AA52,IF('[9]Table 11 CWTs exp'!M52/'[9]Table 11 CWTs exp'!$AA52&gt;0,"&lt;1%"," "))</f>
        <v xml:space="preserve"> </v>
      </c>
      <c r="N52" s="144" t="str">
        <f>IF('[9]Table 11 CWTs exp'!N52/'[9]Table 11 CWTs exp'!$AA52&gt;=0.005,'[9]Table 11 CWTs exp'!N52/'[9]Table 11 CWTs exp'!$AA52,IF('[9]Table 11 CWTs exp'!N52/'[9]Table 11 CWTs exp'!$AA52&gt;0,"&lt;1%"," "))</f>
        <v xml:space="preserve"> </v>
      </c>
      <c r="O52" s="144" t="str">
        <f>IF('[9]Table 11 CWTs exp'!O52/'[9]Table 11 CWTs exp'!$AA52&gt;=0.005,'[9]Table 11 CWTs exp'!O52/'[9]Table 11 CWTs exp'!$AA52,IF('[9]Table 11 CWTs exp'!O52/'[9]Table 11 CWTs exp'!$AA52&gt;0,"&lt;1%"," "))</f>
        <v xml:space="preserve"> </v>
      </c>
      <c r="P52" s="144" t="str">
        <f>IF('[9]Table 11 CWTs exp'!P52/'[9]Table 11 CWTs exp'!$AA52&gt;=0.005,'[9]Table 11 CWTs exp'!P52/'[9]Table 11 CWTs exp'!$AA52,IF('[9]Table 11 CWTs exp'!P52/'[9]Table 11 CWTs exp'!$AA52&gt;0,"&lt;1%"," "))</f>
        <v xml:space="preserve"> </v>
      </c>
      <c r="Q52" s="145" t="str">
        <f>IF('[9]Table 11 CWTs exp'!Q52/'[9]Table 11 CWTs exp'!$AA52&gt;=0.005,'[9]Table 11 CWTs exp'!Q52/'[9]Table 11 CWTs exp'!$AA52,IF('[9]Table 11 CWTs exp'!Q52/'[9]Table 11 CWTs exp'!$AA52&gt;0,"&lt;1%"," "))</f>
        <v xml:space="preserve"> </v>
      </c>
      <c r="R52" s="146" t="str">
        <f>IF('[9]Table 11 CWTs exp'!R52/'[9]Table 11 CWTs exp'!$AA52&gt;=0.005,'[9]Table 11 CWTs exp'!R52/'[9]Table 11 CWTs exp'!$AA52,IF('[9]Table 11 CWTs exp'!R52/'[9]Table 11 CWTs exp'!$AA52&gt;0,"&lt;1%"," "))</f>
        <v xml:space="preserve"> </v>
      </c>
      <c r="S52" s="144" t="str">
        <f>IF('[9]Table 11 CWTs exp'!S52/'[9]Table 11 CWTs exp'!$AA52&gt;=0.005,'[9]Table 11 CWTs exp'!S52/'[9]Table 11 CWTs exp'!$AA52,IF('[9]Table 11 CWTs exp'!S52/'[9]Table 11 CWTs exp'!$AA52&gt;0,"&lt;1%"," "))</f>
        <v xml:space="preserve"> </v>
      </c>
      <c r="T52" s="144" t="str">
        <f>IF('[9]Table 11 CWTs exp'!T52/'[9]Table 11 CWTs exp'!$AA52&gt;=0.005,'[9]Table 11 CWTs exp'!T52/'[9]Table 11 CWTs exp'!$AA52,IF('[9]Table 11 CWTs exp'!T52/'[9]Table 11 CWTs exp'!$AA52&gt;0,"&lt;1%"," "))</f>
        <v xml:space="preserve"> </v>
      </c>
      <c r="U52" s="144" t="str">
        <f>IF('[9]Table 11 CWTs exp'!U52/'[9]Table 11 CWTs exp'!$AA52&gt;=0.005,'[9]Table 11 CWTs exp'!U52/'[9]Table 11 CWTs exp'!$AA52,IF('[9]Table 11 CWTs exp'!U52/'[9]Table 11 CWTs exp'!$AA52&gt;0,"&lt;1%"," "))</f>
        <v xml:space="preserve"> </v>
      </c>
      <c r="V52" s="146" t="str">
        <f>IF('[9]Table 11 CWTs exp'!V52/'[9]Table 11 CWTs exp'!$AA52&gt;=0.005,'[9]Table 11 CWTs exp'!V52/'[9]Table 11 CWTs exp'!$AA52,IF('[9]Table 11 CWTs exp'!V52/'[9]Table 11 CWTs exp'!$AA52&gt;0,"&lt;1%"," "))</f>
        <v xml:space="preserve"> </v>
      </c>
      <c r="W52" s="146" t="str">
        <f>IF('[9]Table 11 CWTs exp'!W52/'[9]Table 11 CWTs exp'!$AA52&gt;=0.005,'[9]Table 11 CWTs exp'!W52/'[9]Table 11 CWTs exp'!$AA52,IF('[9]Table 11 CWTs exp'!W52/'[9]Table 11 CWTs exp'!$AA52&gt;0,"&lt;1%"," "))</f>
        <v xml:space="preserve"> </v>
      </c>
      <c r="X52" s="206" t="str">
        <f>IF('[9]Table 11 CWTs exp'!X52/'[9]Table 11 CWTs exp'!$AA52&gt;0.0005,'[9]Table 11 CWTs exp'!X52/'[9]Table 11 CWTs exp'!$AA52,IF('[9]Table 11 CWTs exp'!X52/'[9]Table 11 CWTs exp'!$AA52&gt;0,"-"," "))</f>
        <v xml:space="preserve"> </v>
      </c>
      <c r="Y52" s="147">
        <f t="shared" si="11"/>
        <v>0.56200000000000006</v>
      </c>
      <c r="Z52" s="148">
        <f t="shared" si="12"/>
        <v>0.43899999999999995</v>
      </c>
      <c r="AA52" s="38">
        <f>'[9]Table 11 CWTs exp'!AA52</f>
        <v>130</v>
      </c>
      <c r="AC52" s="453">
        <f>'[9]Table 11 CWTs exp'!AD52</f>
        <v>0.56200000000000006</v>
      </c>
      <c r="AD52" s="453">
        <f t="shared" si="2"/>
        <v>0</v>
      </c>
      <c r="AE52" s="593" t="str">
        <f t="shared" si="13"/>
        <v>SAK467</v>
      </c>
      <c r="AF52" s="442"/>
    </row>
    <row r="53" spans="1:32" ht="15.65" customHeight="1" x14ac:dyDescent="0.3">
      <c r="E53" s="716" t="s">
        <v>120</v>
      </c>
      <c r="F53" s="716"/>
      <c r="G53" s="168" t="str">
        <f>IF('[9]Table 11 CWTs exp'!G53/'[9]Table 11 CWTs exp'!$AA53&gt;=0.005,'[9]Table 11 CWTs exp'!G53/'[9]Table 11 CWTs exp'!$AA53,IF('[9]Table 11 CWTs exp'!G53/'[9]Table 11 CWTs exp'!$AA53&gt;0,"&lt;1%","0% "))</f>
        <v>&lt;1%</v>
      </c>
      <c r="H53" s="169" t="str">
        <f>IF('[9]Table 11 CWTs exp'!H53/'[9]Table 11 CWTs exp'!$AA53&gt;=0.005,'[9]Table 11 CWTs exp'!H53/'[9]Table 11 CWTs exp'!$AA53,IF('[9]Table 11 CWTs exp'!H53/'[9]Table 11 CWTs exp'!$AA53&gt;0,"&lt;1%","0% "))</f>
        <v>&lt;1%</v>
      </c>
      <c r="I53" s="168">
        <f>IF('[9]Table 11 CWTs exp'!I53/'[9]Table 11 CWTs exp'!$AA53&gt;=0.005,'[9]Table 11 CWTs exp'!I53/'[9]Table 11 CWTs exp'!$AA53,IF('[9]Table 11 CWTs exp'!I53/'[9]Table 11 CWTs exp'!$AA53&gt;0,"&lt;1%","0% "))</f>
        <v>5.2678961152335224E-2</v>
      </c>
      <c r="J53" s="170">
        <f>IF('[9]Table 11 CWTs exp'!J53/'[9]Table 11 CWTs exp'!$AA53&gt;=0.005,'[9]Table 11 CWTs exp'!J53/'[9]Table 11 CWTs exp'!$AA53,IF('[9]Table 11 CWTs exp'!J53/'[9]Table 11 CWTs exp'!$AA53&gt;0,"&lt;1%","0% "))</f>
        <v>0.35470318638149279</v>
      </c>
      <c r="K53" s="168" t="str">
        <f>IF('[9]Table 11 CWTs exp'!K53/'[9]Table 11 CWTs exp'!$AA53&gt;=0.005,'[9]Table 11 CWTs exp'!K53/'[9]Table 11 CWTs exp'!$AA53,IF('[9]Table 11 CWTs exp'!K53/'[9]Table 11 CWTs exp'!$AA53&gt;0,"&lt;1%","0% "))</f>
        <v>&lt;1%</v>
      </c>
      <c r="L53" s="168" t="str">
        <f>IF('[9]Table 11 CWTs exp'!L53/'[9]Table 11 CWTs exp'!$AA53&gt;=0.005,'[9]Table 11 CWTs exp'!L53/'[9]Table 11 CWTs exp'!$AA53,IF('[9]Table 11 CWTs exp'!L53/'[9]Table 11 CWTs exp'!$AA53&gt;0,"&lt;1%","0% "))</f>
        <v>&lt;1%</v>
      </c>
      <c r="M53" s="168" t="str">
        <f>IF('[9]Table 11 CWTs exp'!M53/'[9]Table 11 CWTs exp'!$AA53&gt;=0.005,'[9]Table 11 CWTs exp'!M53/'[9]Table 11 CWTs exp'!$AA53,IF('[9]Table 11 CWTs exp'!M53/'[9]Table 11 CWTs exp'!$AA53&gt;0,"&lt;1%","0% "))</f>
        <v>&lt;1%</v>
      </c>
      <c r="N53" s="168">
        <f>IF('[9]Table 11 CWTs exp'!N53/'[9]Table 11 CWTs exp'!$AA53&gt;=0.005,'[9]Table 11 CWTs exp'!N53/'[9]Table 11 CWTs exp'!$AA53,IF('[9]Table 11 CWTs exp'!N53/'[9]Table 11 CWTs exp'!$AA53&gt;0,"&lt;1%","0% "))</f>
        <v>6.1108686163247493E-3</v>
      </c>
      <c r="O53" s="168">
        <f>IF('[9]Table 11 CWTs exp'!O53/'[9]Table 11 CWTs exp'!$AA53&gt;=0.005,'[9]Table 11 CWTs exp'!O53/'[9]Table 11 CWTs exp'!$AA53,IF('[9]Table 11 CWTs exp'!O53/'[9]Table 11 CWTs exp'!$AA53&gt;0,"&lt;1%","0% "))</f>
        <v>0.1730412483631602</v>
      </c>
      <c r="P53" s="168">
        <f>IF('[9]Table 11 CWTs exp'!P53/'[9]Table 11 CWTs exp'!$AA53&gt;=0.005,'[9]Table 11 CWTs exp'!P53/'[9]Table 11 CWTs exp'!$AA53,IF('[9]Table 11 CWTs exp'!P53/'[9]Table 11 CWTs exp'!$AA53&gt;0,"&lt;1%","0% "))</f>
        <v>2.82900480139677E-2</v>
      </c>
      <c r="Q53" s="169" t="str">
        <f>IF('[9]Table 11 CWTs exp'!Q53/'[9]Table 11 CWTs exp'!$AA53&gt;=0.005,'[9]Table 11 CWTs exp'!Q53/'[9]Table 11 CWTs exp'!$AA53,IF('[9]Table 11 CWTs exp'!Q53/'[9]Table 11 CWTs exp'!$AA53&gt;0,"&lt;1%","0% "))</f>
        <v>&lt;1%</v>
      </c>
      <c r="R53" s="170">
        <f>IF('[9]Table 11 CWTs exp'!R53/'[9]Table 11 CWTs exp'!$AA53&gt;=0.005,'[9]Table 11 CWTs exp'!R53/'[9]Table 11 CWTs exp'!$AA53,IF('[9]Table 11 CWTs exp'!R53/'[9]Table 11 CWTs exp'!$AA53&gt;0,"&lt;1%","0% "))</f>
        <v>0.15765495416848538</v>
      </c>
      <c r="S53" s="168" t="str">
        <f>IF('[9]Table 11 CWTs exp'!S53/'[9]Table 11 CWTs exp'!$AA53&gt;=0.005,'[9]Table 11 CWTs exp'!S53/'[9]Table 11 CWTs exp'!$AA53,IF('[9]Table 11 CWTs exp'!S53/'[9]Table 11 CWTs exp'!$AA53&gt;0,"&lt;1%","0% "))</f>
        <v>&lt;1%</v>
      </c>
      <c r="T53" s="168" t="str">
        <f>IF('[9]Table 11 CWTs exp'!T53/'[9]Table 11 CWTs exp'!$AA53&gt;=0.005,'[9]Table 11 CWTs exp'!T53/'[9]Table 11 CWTs exp'!$AA53,IF('[9]Table 11 CWTs exp'!T53/'[9]Table 11 CWTs exp'!$AA53&gt;0,"&lt;1%","0% "))</f>
        <v>&lt;1%</v>
      </c>
      <c r="U53" s="168">
        <f>IF('[9]Table 11 CWTs exp'!U53/'[9]Table 11 CWTs exp'!$AA53&gt;=0.005,'[9]Table 11 CWTs exp'!U53/'[9]Table 11 CWTs exp'!$AA53,IF('[9]Table 11 CWTs exp'!U53/'[9]Table 11 CWTs exp'!$AA53&gt;0,"&lt;1%","0% "))</f>
        <v>3.9556962025316458E-2</v>
      </c>
      <c r="V53" s="170" t="str">
        <f>IF('[9]Table 11 CWTs exp'!V53/'[9]Table 11 CWTs exp'!$AA53&gt;=0.005,'[9]Table 11 CWTs exp'!V53/'[9]Table 11 CWTs exp'!$AA53,IF('[9]Table 11 CWTs exp'!V53/'[9]Table 11 CWTs exp'!$AA53&gt;0,"&lt;1%","0% "))</f>
        <v>&lt;1%</v>
      </c>
      <c r="W53" s="170" t="str">
        <f>IF('[9]Table 11 CWTs exp'!W53/'[9]Table 11 CWTs exp'!$AA53&gt;=0.005,'[9]Table 11 CWTs exp'!W53/'[9]Table 11 CWTs exp'!$AA53,IF('[9]Table 11 CWTs exp'!W53/'[9]Table 11 CWTs exp'!$AA53&gt;0,"&lt;1%","0% "))</f>
        <v>&lt;1%</v>
      </c>
      <c r="X53" s="212" t="str">
        <f>IF('[9]Table 11 CWTs exp'!X53/'[9]Table 11 CWTs exp'!$AA53&gt;0.0005,'[9]Table 11 CWTs exp'!X53/'[9]Table 11 CWTs exp'!$AA53,IF('[9]Table 11 CWTs exp'!X53/'[9]Table 11 CWTs exp'!$AA53&gt;0,"-"," "))</f>
        <v>-</v>
      </c>
      <c r="Y53" s="171">
        <f>AC53</f>
        <v>0.83015058926233087</v>
      </c>
      <c r="Z53" s="172">
        <f t="shared" ref="Z53" si="14">1-Y53</f>
        <v>0.16984941073766913</v>
      </c>
      <c r="AA53" s="89">
        <f>'[9]Table 11 CWTs exp'!AA53</f>
        <v>36656</v>
      </c>
      <c r="AB53" s="159"/>
      <c r="AC53" s="453">
        <f>'[9]Table 11 CWTs exp'!AD53</f>
        <v>0.83015058926233087</v>
      </c>
      <c r="AD53" s="453">
        <f t="shared" si="2"/>
        <v>0</v>
      </c>
      <c r="AE53" s="442"/>
      <c r="AF53" s="442"/>
    </row>
    <row r="54" spans="1:32" ht="4" customHeight="1" x14ac:dyDescent="0.25">
      <c r="E54" s="110"/>
      <c r="F54" s="111"/>
      <c r="G54" s="25"/>
      <c r="H54" s="214"/>
      <c r="I54" s="215"/>
      <c r="J54" s="216"/>
      <c r="K54" s="215"/>
      <c r="L54" s="215"/>
      <c r="M54" s="215"/>
      <c r="N54" s="215"/>
      <c r="O54" s="215"/>
      <c r="P54" s="215"/>
      <c r="Q54" s="214"/>
      <c r="R54" s="216"/>
      <c r="S54" s="215"/>
      <c r="T54" s="215"/>
      <c r="U54" s="215"/>
      <c r="V54" s="216"/>
      <c r="W54" s="216"/>
      <c r="X54" s="215"/>
      <c r="Y54" s="217"/>
      <c r="Z54" s="218"/>
      <c r="AA54" s="219"/>
      <c r="AC54" s="442"/>
      <c r="AD54" s="453">
        <f t="shared" si="2"/>
        <v>0</v>
      </c>
      <c r="AE54" s="442"/>
      <c r="AF54" s="442"/>
    </row>
    <row r="55" spans="1:32" ht="14.25" customHeight="1" x14ac:dyDescent="0.25">
      <c r="E55" s="186" t="s">
        <v>201</v>
      </c>
      <c r="F55" s="202"/>
      <c r="G55" s="220"/>
      <c r="H55" s="202"/>
      <c r="I55" s="202"/>
      <c r="J55" s="202"/>
      <c r="K55" s="202"/>
      <c r="L55" s="202"/>
      <c r="M55" s="202"/>
      <c r="N55" s="202"/>
      <c r="O55" s="202"/>
      <c r="P55" s="202"/>
      <c r="Q55" s="181"/>
      <c r="R55" s="181"/>
      <c r="S55" s="181"/>
      <c r="T55" s="181"/>
      <c r="U55" s="181"/>
      <c r="V55" s="181"/>
      <c r="W55" s="181"/>
      <c r="X55" s="181"/>
      <c r="Y55" s="181"/>
      <c r="Z55" s="181"/>
      <c r="AA55" s="181"/>
      <c r="AC55" s="442"/>
      <c r="AD55" s="442"/>
      <c r="AE55" s="442"/>
      <c r="AF55" s="442"/>
    </row>
    <row r="56" spans="1:32" ht="14.25" customHeight="1" x14ac:dyDescent="0.25">
      <c r="E56" s="726" t="s">
        <v>202</v>
      </c>
      <c r="F56" s="726"/>
      <c r="G56" s="726"/>
      <c r="H56" s="726"/>
      <c r="I56" s="726"/>
      <c r="J56" s="726"/>
      <c r="K56" s="726"/>
      <c r="L56" s="726"/>
      <c r="M56" s="726"/>
      <c r="N56" s="726"/>
      <c r="O56" s="726"/>
      <c r="P56" s="726"/>
      <c r="Q56" s="182"/>
      <c r="R56" s="182"/>
      <c r="S56" s="182"/>
      <c r="T56" s="182"/>
      <c r="U56" s="182"/>
      <c r="V56" s="182"/>
      <c r="W56" s="182"/>
      <c r="X56" s="182"/>
      <c r="Y56" s="182"/>
      <c r="Z56" s="182"/>
      <c r="AA56" s="182"/>
    </row>
    <row r="57" spans="1:32" ht="14.25" customHeight="1" x14ac:dyDescent="0.25">
      <c r="E57" s="27" t="s">
        <v>203</v>
      </c>
      <c r="F57" s="27"/>
      <c r="G57" s="27"/>
      <c r="H57" s="27"/>
      <c r="I57" s="27"/>
      <c r="J57" s="27"/>
      <c r="K57" s="27"/>
      <c r="L57" s="27"/>
      <c r="M57" s="27"/>
      <c r="N57" s="27"/>
      <c r="O57" s="27"/>
      <c r="P57" s="27"/>
      <c r="Q57" s="182"/>
      <c r="R57" s="182"/>
      <c r="S57" s="182"/>
      <c r="T57" s="182"/>
      <c r="U57" s="182"/>
      <c r="V57" s="182"/>
      <c r="W57" s="182"/>
      <c r="X57" s="182"/>
      <c r="Y57" s="182"/>
      <c r="Z57" s="182"/>
      <c r="AA57" s="182"/>
    </row>
    <row r="58" spans="1:32" ht="14.25" customHeight="1" x14ac:dyDescent="0.25">
      <c r="E58" s="27" t="s">
        <v>204</v>
      </c>
      <c r="F58" s="34"/>
      <c r="G58" s="34"/>
      <c r="H58" s="27"/>
      <c r="I58" s="27"/>
      <c r="J58" s="27"/>
      <c r="K58" s="27"/>
      <c r="L58" s="27"/>
      <c r="M58" s="27"/>
      <c r="N58" s="27"/>
      <c r="O58" s="27"/>
      <c r="P58" s="27"/>
      <c r="Q58" s="27"/>
      <c r="R58" s="27"/>
      <c r="S58" s="27"/>
      <c r="T58" s="27"/>
      <c r="U58" s="27"/>
      <c r="V58" s="27"/>
      <c r="W58" s="27"/>
      <c r="X58" s="27"/>
      <c r="Y58" s="27"/>
      <c r="Z58" s="27"/>
      <c r="AA58" s="27"/>
    </row>
    <row r="59" spans="1:32" ht="14.25" customHeight="1" x14ac:dyDescent="0.25">
      <c r="E59" s="27"/>
      <c r="F59" s="34"/>
      <c r="G59" s="34"/>
      <c r="H59" s="27"/>
      <c r="I59" s="27"/>
      <c r="J59" s="27"/>
      <c r="K59" s="27"/>
      <c r="L59" s="27"/>
      <c r="M59" s="27"/>
      <c r="N59" s="27"/>
      <c r="O59" s="27"/>
      <c r="P59" s="27"/>
      <c r="Q59" s="27"/>
      <c r="R59" s="27"/>
      <c r="S59" s="27"/>
      <c r="T59" s="27"/>
      <c r="U59" s="27"/>
      <c r="V59" s="27"/>
      <c r="W59" s="27"/>
      <c r="X59" s="27"/>
      <c r="Y59" s="27"/>
      <c r="Z59" s="27"/>
      <c r="AA59" s="27"/>
    </row>
    <row r="60" spans="1:32" ht="14.25" customHeight="1" x14ac:dyDescent="0.25">
      <c r="E60" s="27"/>
    </row>
    <row r="62" spans="1:32" x14ac:dyDescent="0.25">
      <c r="Y62" s="631"/>
    </row>
  </sheetData>
  <mergeCells count="9">
    <mergeCell ref="Y3:Z3"/>
    <mergeCell ref="E17:F17"/>
    <mergeCell ref="E40:F40"/>
    <mergeCell ref="E53:F53"/>
    <mergeCell ref="E56:P56"/>
    <mergeCell ref="H3:J3"/>
    <mergeCell ref="K3:P3"/>
    <mergeCell ref="Q3:R3"/>
    <mergeCell ref="S3:V3"/>
  </mergeCells>
  <pageMargins left="0.5" right="0.25" top="0.5" bottom="0" header="0.5" footer="0.5"/>
  <pageSetup scale="56" fitToHeight="0"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EE74C-D449-45AA-8B19-E8771FC03134}">
  <sheetPr>
    <pageSetUpPr fitToPage="1"/>
  </sheetPr>
  <dimension ref="A1:BH110"/>
  <sheetViews>
    <sheetView showGridLines="0" showZeros="0" zoomScaleNormal="100" zoomScaleSheetLayoutView="100" workbookViewId="0">
      <selection activeCell="Y28" sqref="Y28:Z32"/>
    </sheetView>
  </sheetViews>
  <sheetFormatPr defaultRowHeight="12.5" x14ac:dyDescent="0.25"/>
  <cols>
    <col min="1" max="1" width="8" customWidth="1"/>
    <col min="2" max="4" width="1.81640625" style="1" customWidth="1"/>
    <col min="5" max="5" width="28.7265625" customWidth="1"/>
    <col min="6" max="6" width="7.453125" customWidth="1"/>
    <col min="7" max="7" width="5.7265625" style="4" customWidth="1"/>
    <col min="8" max="8" width="6.54296875" customWidth="1"/>
    <col min="9" max="9" width="6.453125" customWidth="1"/>
    <col min="10" max="12" width="6.54296875" customWidth="1"/>
    <col min="13" max="14" width="6.81640625" customWidth="1"/>
    <col min="15" max="15" width="7.453125" customWidth="1"/>
    <col min="16" max="16" width="6.54296875" customWidth="1"/>
    <col min="17" max="18" width="7.453125" customWidth="1"/>
    <col min="19" max="19" width="6.453125" customWidth="1"/>
    <col min="20" max="23" width="7.453125" customWidth="1"/>
    <col min="24" max="24" width="5.81640625" hidden="1" customWidth="1"/>
    <col min="25" max="25" width="9" customWidth="1"/>
    <col min="26" max="29" width="8.54296875" customWidth="1"/>
    <col min="30" max="32" width="8" customWidth="1"/>
    <col min="33" max="33" width="12" customWidth="1"/>
    <col min="34" max="34" width="6" customWidth="1"/>
    <col min="35" max="35" width="10.54296875" customWidth="1"/>
    <col min="36" max="36" width="6.54296875" style="1" customWidth="1"/>
    <col min="37" max="37" width="11.54296875" style="1" customWidth="1"/>
    <col min="38" max="38" width="9.54296875" style="1" customWidth="1"/>
    <col min="39" max="39" width="6.54296875" customWidth="1"/>
    <col min="40" max="40" width="2" customWidth="1"/>
    <col min="43" max="43" width="3.54296875" customWidth="1"/>
    <col min="44" max="44" width="4.453125" customWidth="1"/>
    <col min="45" max="45" width="10.54296875" customWidth="1"/>
    <col min="46" max="46" width="6.54296875" customWidth="1"/>
    <col min="47" max="47" width="11.54296875" customWidth="1"/>
    <col min="48" max="48" width="9.54296875" customWidth="1"/>
    <col min="49" max="49" width="3.54296875" customWidth="1"/>
    <col min="50" max="50" width="2" customWidth="1"/>
  </cols>
  <sheetData>
    <row r="1" spans="1:60" x14ac:dyDescent="0.25">
      <c r="G1" s="443" t="str">
        <f>'[9]inland_taf_hatchgrp_tableraw&amp;yy'!G2</f>
        <v>sacw</v>
      </c>
      <c r="H1" s="443" t="str">
        <f>'[9]inland_taf_hatchgrp_tableraw&amp;yy'!H2</f>
        <v>cfhlh</v>
      </c>
      <c r="I1" s="443" t="str">
        <f>'[9]inland_taf_hatchgrp_tableraw&amp;yy'!I2</f>
        <v>cfhfh</v>
      </c>
      <c r="J1" s="443" t="str">
        <f>'[9]inland_taf_hatchgrp_tableraw&amp;yy'!J2</f>
        <v>cfhfn</v>
      </c>
      <c r="K1" s="443" t="str">
        <f>'[9]inland_taf_hatchgrp_tableraw&amp;yy'!K2</f>
        <v>frhs</v>
      </c>
      <c r="L1" s="443" t="str">
        <f>'[9]inland_taf_hatchgrp_tableraw&amp;yy'!L2</f>
        <v>frhsn</v>
      </c>
      <c r="M1" s="443" t="str">
        <f>'[9]inland_taf_hatchgrp_tableraw&amp;yy'!M2</f>
        <v>frhfk</v>
      </c>
      <c r="N1" s="443" t="str">
        <f>'[9]inland_taf_hatchgrp_tableraw&amp;yy'!N2</f>
        <v>frhfb</v>
      </c>
      <c r="O1" s="443" t="str">
        <f>'[9]inland_taf_hatchgrp_tableraw&amp;yy'!O2</f>
        <v>frhfn</v>
      </c>
      <c r="P1" s="443" t="str">
        <f>'[9]inland_taf_hatchgrp_tableraw&amp;yy'!P2</f>
        <v>frhfnc</v>
      </c>
      <c r="Q1" s="443" t="str">
        <f>'[9]inland_taf_hatchgrp_tableraw&amp;yy'!Q2</f>
        <v>nimf</v>
      </c>
      <c r="R1" s="443" t="str">
        <f>'[9]inland_taf_hatchgrp_tableraw&amp;yy'!R2</f>
        <v>nimfn</v>
      </c>
      <c r="S1" s="443" t="str">
        <f>'[9]inland_taf_hatchgrp_tableraw&amp;yy'!S2</f>
        <v>mokf</v>
      </c>
      <c r="T1" s="443" t="str">
        <f>'[9]inland_taf_hatchgrp_tableraw&amp;yy'!T2</f>
        <v>mokfb</v>
      </c>
      <c r="U1" s="443" t="str">
        <f>'[9]inland_taf_hatchgrp_tableraw&amp;yy'!U2</f>
        <v>mokfn</v>
      </c>
      <c r="V1" s="443" t="str">
        <f>'[9]inland_taf_hatchgrp_tableraw&amp;yy'!V2</f>
        <v>mokfnc</v>
      </c>
      <c r="W1" s="443" t="str">
        <f>'[9]inland_taf_hatchgrp_tableraw&amp;yy'!W2</f>
        <v>merft</v>
      </c>
      <c r="X1" s="4" t="s">
        <v>205</v>
      </c>
    </row>
    <row r="2" spans="1:60" ht="23.9" customHeight="1" x14ac:dyDescent="0.25">
      <c r="E2" s="2" t="s">
        <v>206</v>
      </c>
      <c r="F2" s="3"/>
      <c r="AG2" s="5"/>
      <c r="AH2" s="5"/>
    </row>
    <row r="3" spans="1:60" ht="14.9" customHeight="1" x14ac:dyDescent="0.3">
      <c r="E3" s="6"/>
      <c r="F3" s="7"/>
      <c r="G3" s="8"/>
      <c r="H3" s="727" t="s">
        <v>1</v>
      </c>
      <c r="I3" s="727"/>
      <c r="J3" s="727"/>
      <c r="K3" s="727" t="s">
        <v>2</v>
      </c>
      <c r="L3" s="728"/>
      <c r="M3" s="728"/>
      <c r="N3" s="728"/>
      <c r="O3" s="728"/>
      <c r="P3" s="728"/>
      <c r="Q3" s="727" t="s">
        <v>3</v>
      </c>
      <c r="R3" s="727"/>
      <c r="S3" s="727" t="s">
        <v>4</v>
      </c>
      <c r="T3" s="727"/>
      <c r="U3" s="727"/>
      <c r="V3" s="727"/>
      <c r="W3" s="8" t="s">
        <v>5</v>
      </c>
      <c r="X3" s="221"/>
      <c r="Y3" s="745" t="s">
        <v>8</v>
      </c>
      <c r="Z3" s="746"/>
      <c r="AA3" s="10" t="s">
        <v>9</v>
      </c>
      <c r="AB3" s="632"/>
      <c r="AC3" s="451" t="s">
        <v>158</v>
      </c>
      <c r="AD3" s="598" t="s">
        <v>10</v>
      </c>
      <c r="AE3" s="598"/>
      <c r="AF3" s="598"/>
      <c r="AG3" s="599"/>
      <c r="AH3" s="597"/>
      <c r="AI3" s="597" t="s">
        <v>11</v>
      </c>
      <c r="AJ3" s="599" t="s">
        <v>12</v>
      </c>
      <c r="AK3" s="451"/>
      <c r="AL3" s="451"/>
      <c r="AM3" s="442"/>
      <c r="AN3" s="442"/>
      <c r="AO3" s="444">
        <f>$G$43</f>
        <v>1E-3</v>
      </c>
      <c r="AP3" s="444">
        <f>$H$43</f>
        <v>20</v>
      </c>
      <c r="AQ3" s="444">
        <f>$I$43</f>
        <v>109</v>
      </c>
      <c r="AR3" s="444">
        <f>$J$43</f>
        <v>15600</v>
      </c>
      <c r="AS3" s="444">
        <f>$K$43</f>
        <v>1E-3</v>
      </c>
      <c r="AT3" s="14"/>
      <c r="AU3" s="444">
        <f>$L$43</f>
        <v>19</v>
      </c>
      <c r="AV3" s="444">
        <f>$M$43</f>
        <v>1</v>
      </c>
      <c r="AW3" s="444">
        <f>$O$43</f>
        <v>1470</v>
      </c>
      <c r="AX3" s="444">
        <f>$P$43</f>
        <v>525</v>
      </c>
      <c r="AY3" s="444">
        <f>$N$43</f>
        <v>13</v>
      </c>
      <c r="AZ3" s="444">
        <f>$Q$43</f>
        <v>1E-3</v>
      </c>
      <c r="BA3" s="444">
        <f>$R$43</f>
        <v>4194</v>
      </c>
      <c r="BB3" s="444">
        <f>$S$43</f>
        <v>187</v>
      </c>
      <c r="BC3" s="444">
        <f>$T$43</f>
        <v>242</v>
      </c>
      <c r="BD3" s="444">
        <f>$U$43</f>
        <v>11903</v>
      </c>
      <c r="BE3" s="444">
        <f>$V$43</f>
        <v>144</v>
      </c>
      <c r="BF3" s="444">
        <f>$W$43</f>
        <v>770</v>
      </c>
      <c r="BG3" s="444">
        <f>$X$43</f>
        <v>0</v>
      </c>
    </row>
    <row r="4" spans="1:60" ht="14.9" customHeight="1" x14ac:dyDescent="0.3">
      <c r="A4" s="15" t="s">
        <v>13</v>
      </c>
      <c r="B4" s="16" t="s">
        <v>14</v>
      </c>
      <c r="C4" s="16" t="s">
        <v>15</v>
      </c>
      <c r="D4" s="16" t="s">
        <v>16</v>
      </c>
      <c r="E4" s="17" t="s">
        <v>17</v>
      </c>
      <c r="F4" s="18" t="s">
        <v>18</v>
      </c>
      <c r="G4" s="204" t="s">
        <v>19</v>
      </c>
      <c r="H4" s="20" t="s">
        <v>159</v>
      </c>
      <c r="I4" s="19" t="s">
        <v>160</v>
      </c>
      <c r="J4" s="21" t="s">
        <v>22</v>
      </c>
      <c r="K4" s="19" t="s">
        <v>23</v>
      </c>
      <c r="L4" s="19" t="s">
        <v>183</v>
      </c>
      <c r="M4" s="19" t="s">
        <v>186</v>
      </c>
      <c r="N4" s="19" t="s">
        <v>185</v>
      </c>
      <c r="O4" s="19" t="s">
        <v>25</v>
      </c>
      <c r="P4" s="19" t="s">
        <v>184</v>
      </c>
      <c r="Q4" s="20" t="s">
        <v>27</v>
      </c>
      <c r="R4" s="21" t="s">
        <v>28</v>
      </c>
      <c r="S4" s="19" t="s">
        <v>29</v>
      </c>
      <c r="T4" s="19" t="s">
        <v>187</v>
      </c>
      <c r="U4" s="19" t="s">
        <v>30</v>
      </c>
      <c r="V4" s="21" t="s">
        <v>31</v>
      </c>
      <c r="W4" s="21" t="s">
        <v>207</v>
      </c>
      <c r="X4" s="222" t="s">
        <v>198</v>
      </c>
      <c r="Y4" s="223" t="s">
        <v>36</v>
      </c>
      <c r="Z4" s="224" t="s">
        <v>37</v>
      </c>
      <c r="AA4" s="24" t="s">
        <v>18</v>
      </c>
      <c r="AB4" s="632"/>
      <c r="AC4" s="451" t="s">
        <v>38</v>
      </c>
      <c r="AD4" s="598" t="s">
        <v>38</v>
      </c>
      <c r="AE4" s="598"/>
      <c r="AF4" s="598"/>
      <c r="AG4" s="599"/>
      <c r="AH4" s="597"/>
      <c r="AI4" s="600"/>
      <c r="AJ4" s="599"/>
      <c r="AK4" s="451"/>
      <c r="AL4" s="451"/>
      <c r="AM4" s="442"/>
      <c r="AN4" s="442"/>
      <c r="AO4" s="442"/>
      <c r="AP4" s="442"/>
      <c r="AQ4" s="442"/>
      <c r="AR4" s="442"/>
      <c r="AS4" s="442"/>
      <c r="AU4" s="442"/>
      <c r="AV4" s="442"/>
      <c r="AW4" s="442"/>
      <c r="AX4" s="442"/>
      <c r="AY4" s="442"/>
      <c r="AZ4" s="442"/>
      <c r="BA4" s="442"/>
      <c r="BB4" s="442"/>
      <c r="BC4" s="442"/>
      <c r="BD4" s="442"/>
      <c r="BE4" s="442"/>
      <c r="BF4" s="442"/>
      <c r="BG4" s="442"/>
    </row>
    <row r="5" spans="1:60" ht="15.65" customHeight="1" x14ac:dyDescent="0.3">
      <c r="A5" s="15" t="s">
        <v>36</v>
      </c>
      <c r="B5" s="13"/>
      <c r="C5" s="13"/>
      <c r="D5" s="13"/>
      <c r="E5" s="26" t="s">
        <v>39</v>
      </c>
      <c r="F5" s="27"/>
      <c r="G5" s="28"/>
      <c r="H5" s="29"/>
      <c r="I5" s="30"/>
      <c r="J5" s="31"/>
      <c r="K5" s="30"/>
      <c r="L5" s="30"/>
      <c r="M5" s="30"/>
      <c r="N5" s="30"/>
      <c r="O5" s="30"/>
      <c r="P5" s="30"/>
      <c r="Q5" s="29"/>
      <c r="R5" s="31"/>
      <c r="S5" s="30"/>
      <c r="T5" s="30"/>
      <c r="U5" s="30"/>
      <c r="V5" s="31"/>
      <c r="W5" s="31"/>
      <c r="X5" s="30"/>
      <c r="Y5" s="32"/>
      <c r="Z5" s="33"/>
      <c r="AA5" s="30"/>
      <c r="AB5" s="633"/>
      <c r="AC5" s="633"/>
      <c r="AD5" s="601"/>
      <c r="AE5" s="601"/>
      <c r="AF5" s="601"/>
      <c r="AG5" s="602"/>
      <c r="AH5" s="597"/>
      <c r="AI5" s="600"/>
      <c r="AJ5" s="599"/>
      <c r="AK5" s="451"/>
      <c r="AL5" s="451"/>
      <c r="AM5" s="442"/>
      <c r="AN5" s="442"/>
      <c r="AO5" s="442"/>
      <c r="AP5" s="442"/>
      <c r="AQ5" s="442"/>
      <c r="AR5" s="442"/>
      <c r="AS5" s="442"/>
    </row>
    <row r="6" spans="1:60" ht="15.65" customHeight="1" x14ac:dyDescent="0.25">
      <c r="A6" s="225" t="str">
        <f t="shared" ref="A6:A16" si="0">CONCATENATE(B6,C6,D6)</f>
        <v>KESW504</v>
      </c>
      <c r="B6" s="13" t="s">
        <v>43</v>
      </c>
      <c r="C6" s="13">
        <v>50</v>
      </c>
      <c r="D6" s="13">
        <v>4</v>
      </c>
      <c r="E6" s="3" t="s">
        <v>44</v>
      </c>
      <c r="F6" s="37" t="s">
        <v>42</v>
      </c>
      <c r="G6" s="38">
        <f>SUMIFS('[9]inland_taf_hatchgrp_tableraw&amp;yy'!G$3:G$38,'[9]inland_taf_hatchgrp_tableraw&amp;yy'!$AC$3:$AC$38,'2016 Table 11 CWTs exp'!$A6)</f>
        <v>110</v>
      </c>
      <c r="H6" s="39">
        <f>SUMIFS('[9]inland_taf_hatchgrp_tableraw&amp;yy'!H$3:H$38,'[9]inland_taf_hatchgrp_tableraw&amp;yy'!$AC$3:$AC$38,'2016 Table 11 CWTs exp'!$A6)</f>
        <v>0</v>
      </c>
      <c r="I6" s="38">
        <f>SUMIFS('[9]inland_taf_hatchgrp_tableraw&amp;yy'!I$3:I$38,'[9]inland_taf_hatchgrp_tableraw&amp;yy'!$AC$3:$AC$38,'2016 Table 11 CWTs exp'!$A6)</f>
        <v>0</v>
      </c>
      <c r="J6" s="40">
        <f>SUMIFS('[9]inland_taf_hatchgrp_tableraw&amp;yy'!J$3:J$38,'[9]inland_taf_hatchgrp_tableraw&amp;yy'!$AC$3:$AC$38,'2016 Table 11 CWTs exp'!$A6)</f>
        <v>0</v>
      </c>
      <c r="K6" s="38">
        <f>SUMIFS('[9]inland_taf_hatchgrp_tableraw&amp;yy'!K$3:K$38,'[9]inland_taf_hatchgrp_tableraw&amp;yy'!$AC$3:$AC$38,'2016 Table 11 CWTs exp'!$A6)</f>
        <v>0</v>
      </c>
      <c r="L6" s="38">
        <f>SUMIFS('[9]inland_taf_hatchgrp_tableraw&amp;yy'!L$3:L$38,'[9]inland_taf_hatchgrp_tableraw&amp;yy'!$AC$3:$AC$38,'2016 Table 11 CWTs exp'!$A6)</f>
        <v>0</v>
      </c>
      <c r="M6" s="38">
        <f>SUMIFS('[9]inland_taf_hatchgrp_tableraw&amp;yy'!M$3:M$38,'[9]inland_taf_hatchgrp_tableraw&amp;yy'!$AC$3:$AC$38,'2016 Table 11 CWTs exp'!$A6)</f>
        <v>0</v>
      </c>
      <c r="N6" s="38">
        <f>SUMIFS('[9]inland_taf_hatchgrp_tableraw&amp;yy'!N$3:N$38,'[9]inland_taf_hatchgrp_tableraw&amp;yy'!$AC$3:$AC$38,'2016 Table 11 CWTs exp'!$A6)</f>
        <v>0</v>
      </c>
      <c r="O6" s="38">
        <f>SUMIFS('[9]inland_taf_hatchgrp_tableraw&amp;yy'!O$3:O$38,'[9]inland_taf_hatchgrp_tableraw&amp;yy'!$AC$3:$AC$38,'2016 Table 11 CWTs exp'!$A6)</f>
        <v>0</v>
      </c>
      <c r="P6" s="38">
        <f>SUMIFS('[9]inland_taf_hatchgrp_tableraw&amp;yy'!P$3:P$38,'[9]inland_taf_hatchgrp_tableraw&amp;yy'!$AC$3:$AC$38,'2016 Table 11 CWTs exp'!$A6)</f>
        <v>0</v>
      </c>
      <c r="Q6" s="39">
        <f>SUMIFS('[9]inland_taf_hatchgrp_tableraw&amp;yy'!Q$3:Q$38,'[9]inland_taf_hatchgrp_tableraw&amp;yy'!$AC$3:$AC$38,'2016 Table 11 CWTs exp'!$A6)</f>
        <v>0</v>
      </c>
      <c r="R6" s="40">
        <f>SUMIFS('[9]inland_taf_hatchgrp_tableraw&amp;yy'!R$3:R$38,'[9]inland_taf_hatchgrp_tableraw&amp;yy'!$AC$3:$AC$38,'2016 Table 11 CWTs exp'!$A6)</f>
        <v>0</v>
      </c>
      <c r="S6" s="38">
        <f>SUMIFS('[9]inland_taf_hatchgrp_tableraw&amp;yy'!S$3:S$38,'[9]inland_taf_hatchgrp_tableraw&amp;yy'!$AC$3:$AC$38,'2016 Table 11 CWTs exp'!$A6)</f>
        <v>0</v>
      </c>
      <c r="T6" s="38">
        <f>SUMIFS('[9]inland_taf_hatchgrp_tableraw&amp;yy'!T$3:T$38,'[9]inland_taf_hatchgrp_tableraw&amp;yy'!$AC$3:$AC$38,'2016 Table 11 CWTs exp'!$A6)</f>
        <v>0</v>
      </c>
      <c r="U6" s="38">
        <f>SUMIFS('[9]inland_taf_hatchgrp_tableraw&amp;yy'!U$3:U$38,'[9]inland_taf_hatchgrp_tableraw&amp;yy'!$AC$3:$AC$38,'2016 Table 11 CWTs exp'!$A6)</f>
        <v>0</v>
      </c>
      <c r="V6" s="40">
        <f>SUMIFS('[9]inland_taf_hatchgrp_tableraw&amp;yy'!V$3:V$38,'[9]inland_taf_hatchgrp_tableraw&amp;yy'!$AC$3:$AC$38,'2016 Table 11 CWTs exp'!$A6)</f>
        <v>0</v>
      </c>
      <c r="W6" s="40">
        <f>SUMIFS('[9]inland_taf_hatchgrp_tableraw&amp;yy'!W$3:W$38,'[9]inland_taf_hatchgrp_tableraw&amp;yy'!$AC$3:$AC$38,'2016 Table 11 CWTs exp'!$A6)</f>
        <v>0</v>
      </c>
      <c r="X6" s="38">
        <f>SUMIFS('[9]inland_taf_hatchgrp_tableraw&amp;yy'!X$3:X$38,'[9]inland_taf_hatchgrp_tableraw&amp;yy'!$AC$3:$AC$38,'2016 Table 11 CWTs exp'!$A6)</f>
        <v>0</v>
      </c>
      <c r="Y6" s="41">
        <f>SUMIFS('[9]inland_taf_hatchgrp_tableraw&amp;yy'!Y$3:Y$38,'[9]inland_taf_hatchgrp_tableraw&amp;yy'!$AC$3:$AC$38,'2016 Table 11 CWTs exp'!$A6)</f>
        <v>110</v>
      </c>
      <c r="Z6" s="42">
        <f>SUMIFS('[9]inland_taf_hatchgrp_tableraw&amp;yy'!Z$3:Z$38,'[9]inland_taf_hatchgrp_tableraw&amp;yy'!$AC$3:$AC$38,'2016 Table 11 CWTs exp'!$A6)</f>
        <v>27</v>
      </c>
      <c r="AA6" s="38">
        <f>SUMIFS('[9]inland_taf_hatchgrp_tableraw&amp;yy'!AA$3:AA$38,'[9]inland_taf_hatchgrp_tableraw&amp;yy'!$AC$3:$AC$38,'2016 Table 11 CWTs exp'!$A6)</f>
        <v>137</v>
      </c>
      <c r="AB6" s="634"/>
      <c r="AC6" s="634">
        <f>G6</f>
        <v>110</v>
      </c>
      <c r="AD6" s="635">
        <f>Y6/AA6</f>
        <v>0.8029197080291971</v>
      </c>
      <c r="AE6" s="604" t="str">
        <f t="shared" ref="AE6:AE16" si="1">A6</f>
        <v>KESW504</v>
      </c>
      <c r="AF6" s="444"/>
      <c r="AG6" s="622">
        <f>SUMIFS('[9]inland_taf_hatchgrp_tableraw&amp;yy'!AB$3:AB$38,'[9]inland_taf_hatchgrp_tableraw&amp;yy'!$AC$3:$AC$38,'2016 Table 11 CWTs exp'!$A6)</f>
        <v>0.80300000000000005</v>
      </c>
      <c r="AH6" s="597"/>
      <c r="AI6" s="600"/>
      <c r="AJ6" s="599"/>
      <c r="AK6" s="451"/>
      <c r="AL6" s="451"/>
      <c r="AM6" s="442"/>
      <c r="AN6" s="442"/>
      <c r="AO6" s="442"/>
      <c r="AP6" s="442"/>
      <c r="AQ6" s="442"/>
      <c r="AR6" s="442"/>
      <c r="AS6" s="442"/>
    </row>
    <row r="7" spans="1:60" s="47" customFormat="1" ht="14.5" customHeight="1" x14ac:dyDescent="0.25">
      <c r="A7" s="225" t="str">
        <f t="shared" si="0"/>
        <v>FRFH501</v>
      </c>
      <c r="B7" s="226" t="s">
        <v>45</v>
      </c>
      <c r="C7" s="226">
        <v>50</v>
      </c>
      <c r="D7" s="226">
        <v>1</v>
      </c>
      <c r="E7" s="27" t="s">
        <v>46</v>
      </c>
      <c r="F7" s="28" t="str">
        <f t="shared" ref="F7:F13" si="2">LOOKUP(D7,$AL$7:$AL$10,$AM$7:$AM$10)</f>
        <v>Spring</v>
      </c>
      <c r="G7" s="44">
        <f>SUMIFS('[9]inland_taf_hatchgrp_tableraw&amp;yy'!G$3:G$38,'[9]inland_taf_hatchgrp_tableraw&amp;yy'!$AC$3:$AC$38,'2016 Table 11 CWTs exp'!$A7)</f>
        <v>0</v>
      </c>
      <c r="H7" s="45">
        <f>SUMIFS('[9]inland_taf_hatchgrp_tableraw&amp;yy'!H$3:H$38,'[9]inland_taf_hatchgrp_tableraw&amp;yy'!$AC$3:$AC$38,'2016 Table 11 CWTs exp'!$A7)</f>
        <v>0</v>
      </c>
      <c r="I7" s="44">
        <f>SUMIFS('[9]inland_taf_hatchgrp_tableraw&amp;yy'!I$3:I$38,'[9]inland_taf_hatchgrp_tableraw&amp;yy'!$AC$3:$AC$38,'2016 Table 11 CWTs exp'!$A7)</f>
        <v>0</v>
      </c>
      <c r="J7" s="46">
        <f>SUMIFS('[9]inland_taf_hatchgrp_tableraw&amp;yy'!J$3:J$38,'[9]inland_taf_hatchgrp_tableraw&amp;yy'!$AC$3:$AC$38,'2016 Table 11 CWTs exp'!$A7)</f>
        <v>0</v>
      </c>
      <c r="K7" s="44">
        <f>SUMIFS('[9]inland_taf_hatchgrp_tableraw&amp;yy'!K$3:K$38,'[9]inland_taf_hatchgrp_tableraw&amp;yy'!$AC$3:$AC$38,'2016 Table 11 CWTs exp'!$A7)</f>
        <v>773</v>
      </c>
      <c r="L7" s="44">
        <f>SUMIFS('[9]inland_taf_hatchgrp_tableraw&amp;yy'!L$3:L$38,'[9]inland_taf_hatchgrp_tableraw&amp;yy'!$AC$3:$AC$38,'2016 Table 11 CWTs exp'!$A7)</f>
        <v>766</v>
      </c>
      <c r="M7" s="44">
        <f>SUMIFS('[9]inland_taf_hatchgrp_tableraw&amp;yy'!M$3:M$38,'[9]inland_taf_hatchgrp_tableraw&amp;yy'!$AC$3:$AC$38,'2016 Table 11 CWTs exp'!$A7)</f>
        <v>0</v>
      </c>
      <c r="N7" s="44">
        <f>SUMIFS('[9]inland_taf_hatchgrp_tableraw&amp;yy'!N$3:N$38,'[9]inland_taf_hatchgrp_tableraw&amp;yy'!$AC$3:$AC$38,'2016 Table 11 CWTs exp'!$A7)</f>
        <v>4</v>
      </c>
      <c r="O7" s="44">
        <f>SUMIFS('[9]inland_taf_hatchgrp_tableraw&amp;yy'!O$3:O$38,'[9]inland_taf_hatchgrp_tableraw&amp;yy'!$AC$3:$AC$38,'2016 Table 11 CWTs exp'!$A7)</f>
        <v>24</v>
      </c>
      <c r="P7" s="44">
        <f>SUMIFS('[9]inland_taf_hatchgrp_tableraw&amp;yy'!P$3:P$38,'[9]inland_taf_hatchgrp_tableraw&amp;yy'!$AC$3:$AC$38,'2016 Table 11 CWTs exp'!$A7)</f>
        <v>0</v>
      </c>
      <c r="Q7" s="45">
        <f>SUMIFS('[9]inland_taf_hatchgrp_tableraw&amp;yy'!Q$3:Q$38,'[9]inland_taf_hatchgrp_tableraw&amp;yy'!$AC$3:$AC$38,'2016 Table 11 CWTs exp'!$A7)</f>
        <v>0</v>
      </c>
      <c r="R7" s="46">
        <f>SUMIFS('[9]inland_taf_hatchgrp_tableraw&amp;yy'!R$3:R$38,'[9]inland_taf_hatchgrp_tableraw&amp;yy'!$AC$3:$AC$38,'2016 Table 11 CWTs exp'!$A7)</f>
        <v>0</v>
      </c>
      <c r="S7" s="44">
        <f>SUMIFS('[9]inland_taf_hatchgrp_tableraw&amp;yy'!S$3:S$38,'[9]inland_taf_hatchgrp_tableraw&amp;yy'!$AC$3:$AC$38,'2016 Table 11 CWTs exp'!$A7)</f>
        <v>0</v>
      </c>
      <c r="T7" s="44">
        <f>SUMIFS('[9]inland_taf_hatchgrp_tableraw&amp;yy'!T$3:T$38,'[9]inland_taf_hatchgrp_tableraw&amp;yy'!$AC$3:$AC$38,'2016 Table 11 CWTs exp'!$A7)</f>
        <v>0</v>
      </c>
      <c r="U7" s="44">
        <f>SUMIFS('[9]inland_taf_hatchgrp_tableraw&amp;yy'!U$3:U$38,'[9]inland_taf_hatchgrp_tableraw&amp;yy'!$AC$3:$AC$38,'2016 Table 11 CWTs exp'!$A7)</f>
        <v>0</v>
      </c>
      <c r="V7" s="46">
        <f>SUMIFS('[9]inland_taf_hatchgrp_tableraw&amp;yy'!V$3:V$38,'[9]inland_taf_hatchgrp_tableraw&amp;yy'!$AC$3:$AC$38,'2016 Table 11 CWTs exp'!$A7)</f>
        <v>0</v>
      </c>
      <c r="W7" s="46">
        <f>SUMIFS('[9]inland_taf_hatchgrp_tableraw&amp;yy'!W$3:W$38,'[9]inland_taf_hatchgrp_tableraw&amp;yy'!$AC$3:$AC$38,'2016 Table 11 CWTs exp'!$A7)</f>
        <v>0</v>
      </c>
      <c r="X7" s="44">
        <f>SUMIFS('[9]inland_taf_hatchgrp_tableraw&amp;yy'!X$3:X$38,'[9]inland_taf_hatchgrp_tableraw&amp;yy'!$AC$3:$AC$38,'2016 Table 11 CWTs exp'!$A7)</f>
        <v>0</v>
      </c>
      <c r="Y7" s="84">
        <f>SUMIFS('[9]inland_taf_hatchgrp_tableraw&amp;yy'!Y$3:Y$38,'[9]inland_taf_hatchgrp_tableraw&amp;yy'!$AC$3:$AC$38,'2016 Table 11 CWTs exp'!$A7)</f>
        <v>1567</v>
      </c>
      <c r="Z7" s="85">
        <f>SUMIFS('[9]inland_taf_hatchgrp_tableraw&amp;yy'!Z$3:Z$38,'[9]inland_taf_hatchgrp_tableraw&amp;yy'!$AC$3:$AC$38,'2016 Table 11 CWTs exp'!$A7)</f>
        <v>83</v>
      </c>
      <c r="AA7" s="44">
        <f>SUMIFS('[9]inland_taf_hatchgrp_tableraw&amp;yy'!AA$3:AA$38,'[9]inland_taf_hatchgrp_tableraw&amp;yy'!$AC$3:$AC$38,'2016 Table 11 CWTs exp'!$A7)</f>
        <v>1650</v>
      </c>
      <c r="AB7" s="636"/>
      <c r="AC7" s="636"/>
      <c r="AD7" s="635">
        <f t="shared" ref="AD7:AD17" si="3">Y7/AA7</f>
        <v>0.94969696969696971</v>
      </c>
      <c r="AE7" s="604" t="str">
        <f t="shared" si="1"/>
        <v>FRFH501</v>
      </c>
      <c r="AF7" s="594"/>
      <c r="AG7" s="622">
        <f>SUMIFS('[9]inland_taf_hatchgrp_tableraw&amp;yy'!AB$3:AB$38,'[9]inland_taf_hatchgrp_tableraw&amp;yy'!$AC$3:$AC$38,'2016 Table 11 CWTs exp'!$A7)</f>
        <v>0.95</v>
      </c>
      <c r="AH7" s="616"/>
      <c r="AI7" s="616"/>
      <c r="AJ7" s="602"/>
      <c r="AK7" s="601"/>
      <c r="AL7" s="601">
        <v>1</v>
      </c>
      <c r="AM7" s="594" t="s">
        <v>47</v>
      </c>
      <c r="AN7" s="594"/>
      <c r="AO7" s="594"/>
      <c r="AP7" s="594"/>
      <c r="AQ7" s="594"/>
      <c r="AR7" s="594"/>
      <c r="AS7" s="594"/>
      <c r="BH7" s="49"/>
    </row>
    <row r="8" spans="1:60" ht="14.5" customHeight="1" x14ac:dyDescent="0.25">
      <c r="A8" s="50" t="str">
        <f>CONCATENATE(B8,C8,D8)</f>
        <v>KESW503</v>
      </c>
      <c r="B8" s="13" t="s">
        <v>43</v>
      </c>
      <c r="C8" s="13">
        <v>50</v>
      </c>
      <c r="D8" s="13">
        <v>3</v>
      </c>
      <c r="E8" s="3" t="s">
        <v>44</v>
      </c>
      <c r="F8" s="43" t="str">
        <f t="shared" si="2"/>
        <v>Fall</v>
      </c>
      <c r="G8" s="38">
        <f>SUMIFS('[9]inland_taf_hatchgrp_tableraw&amp;yy'!G$3:G$38,'[9]inland_taf_hatchgrp_tableraw&amp;yy'!$AC$3:$AC$38,'2016 Table 11 CWTs exp'!$A8)</f>
        <v>0</v>
      </c>
      <c r="H8" s="39">
        <f>SUMIFS('[9]inland_taf_hatchgrp_tableraw&amp;yy'!H$3:H$38,'[9]inland_taf_hatchgrp_tableraw&amp;yy'!$AC$3:$AC$38,'2016 Table 11 CWTs exp'!$A8)</f>
        <v>0</v>
      </c>
      <c r="I8" s="38">
        <f>SUMIFS('[9]inland_taf_hatchgrp_tableraw&amp;yy'!I$3:I$38,'[9]inland_taf_hatchgrp_tableraw&amp;yy'!$AC$3:$AC$38,'2016 Table 11 CWTs exp'!$A8)</f>
        <v>72</v>
      </c>
      <c r="J8" s="40">
        <f>SUMIFS('[9]inland_taf_hatchgrp_tableraw&amp;yy'!J$3:J$38,'[9]inland_taf_hatchgrp_tableraw&amp;yy'!$AC$3:$AC$38,'2016 Table 11 CWTs exp'!$A8)</f>
        <v>48</v>
      </c>
      <c r="K8" s="38">
        <f>SUMIFS('[9]inland_taf_hatchgrp_tableraw&amp;yy'!K$3:K$38,'[9]inland_taf_hatchgrp_tableraw&amp;yy'!$AC$3:$AC$38,'2016 Table 11 CWTs exp'!$A8)</f>
        <v>0</v>
      </c>
      <c r="L8" s="38">
        <f>SUMIFS('[9]inland_taf_hatchgrp_tableraw&amp;yy'!L$3:L$38,'[9]inland_taf_hatchgrp_tableraw&amp;yy'!$AC$3:$AC$38,'2016 Table 11 CWTs exp'!$A8)</f>
        <v>0</v>
      </c>
      <c r="M8" s="38">
        <f>SUMIFS('[9]inland_taf_hatchgrp_tableraw&amp;yy'!M$3:M$38,'[9]inland_taf_hatchgrp_tableraw&amp;yy'!$AC$3:$AC$38,'2016 Table 11 CWTs exp'!$A8)</f>
        <v>0</v>
      </c>
      <c r="N8" s="38">
        <f>SUMIFS('[9]inland_taf_hatchgrp_tableraw&amp;yy'!N$3:N$38,'[9]inland_taf_hatchgrp_tableraw&amp;yy'!$AC$3:$AC$38,'2016 Table 11 CWTs exp'!$A8)</f>
        <v>0</v>
      </c>
      <c r="O8" s="38">
        <f>SUMIFS('[9]inland_taf_hatchgrp_tableraw&amp;yy'!O$3:O$38,'[9]inland_taf_hatchgrp_tableraw&amp;yy'!$AC$3:$AC$38,'2016 Table 11 CWTs exp'!$A8)</f>
        <v>58</v>
      </c>
      <c r="P8" s="38">
        <f>SUMIFS('[9]inland_taf_hatchgrp_tableraw&amp;yy'!P$3:P$38,'[9]inland_taf_hatchgrp_tableraw&amp;yy'!$AC$3:$AC$38,'2016 Table 11 CWTs exp'!$A8)</f>
        <v>33</v>
      </c>
      <c r="Q8" s="39">
        <f>SUMIFS('[9]inland_taf_hatchgrp_tableraw&amp;yy'!Q$3:Q$38,'[9]inland_taf_hatchgrp_tableraw&amp;yy'!$AC$3:$AC$38,'2016 Table 11 CWTs exp'!$A8)</f>
        <v>0</v>
      </c>
      <c r="R8" s="40">
        <f>SUMIFS('[9]inland_taf_hatchgrp_tableraw&amp;yy'!R$3:R$38,'[9]inland_taf_hatchgrp_tableraw&amp;yy'!$AC$3:$AC$38,'2016 Table 11 CWTs exp'!$A8)</f>
        <v>4</v>
      </c>
      <c r="S8" s="38">
        <f>SUMIFS('[9]inland_taf_hatchgrp_tableraw&amp;yy'!S$3:S$38,'[9]inland_taf_hatchgrp_tableraw&amp;yy'!$AC$3:$AC$38,'2016 Table 11 CWTs exp'!$A8)</f>
        <v>0</v>
      </c>
      <c r="T8" s="38">
        <f>SUMIFS('[9]inland_taf_hatchgrp_tableraw&amp;yy'!T$3:T$38,'[9]inland_taf_hatchgrp_tableraw&amp;yy'!$AC$3:$AC$38,'2016 Table 11 CWTs exp'!$A8)</f>
        <v>0</v>
      </c>
      <c r="U8" s="38">
        <f>SUMIFS('[9]inland_taf_hatchgrp_tableraw&amp;yy'!U$3:U$38,'[9]inland_taf_hatchgrp_tableraw&amp;yy'!$AC$3:$AC$38,'2016 Table 11 CWTs exp'!$A8)</f>
        <v>8</v>
      </c>
      <c r="V8" s="40">
        <f>SUMIFS('[9]inland_taf_hatchgrp_tableraw&amp;yy'!V$3:V$38,'[9]inland_taf_hatchgrp_tableraw&amp;yy'!$AC$3:$AC$38,'2016 Table 11 CWTs exp'!$A8)</f>
        <v>0</v>
      </c>
      <c r="W8" s="40">
        <f>SUMIFS('[9]inland_taf_hatchgrp_tableraw&amp;yy'!W$3:W$38,'[9]inland_taf_hatchgrp_tableraw&amp;yy'!$AC$3:$AC$38,'2016 Table 11 CWTs exp'!$A8)</f>
        <v>0</v>
      </c>
      <c r="X8" s="38">
        <f>SUMIFS('[9]inland_taf_hatchgrp_tableraw&amp;yy'!X$3:X$38,'[9]inland_taf_hatchgrp_tableraw&amp;yy'!$AC$3:$AC$38,'2016 Table 11 CWTs exp'!$A8)</f>
        <v>0</v>
      </c>
      <c r="Y8" s="41">
        <f>SUMIFS('[9]inland_taf_hatchgrp_tableraw&amp;yy'!Y$3:Y$38,'[9]inland_taf_hatchgrp_tableraw&amp;yy'!$AC$3:$AC$38,'2016 Table 11 CWTs exp'!$A8)</f>
        <v>223</v>
      </c>
      <c r="Z8" s="42">
        <f>SUMIFS('[9]inland_taf_hatchgrp_tableraw&amp;yy'!Z$3:Z$38,'[9]inland_taf_hatchgrp_tableraw&amp;yy'!$AC$3:$AC$38,'2016 Table 11 CWTs exp'!$A8)</f>
        <v>59</v>
      </c>
      <c r="AA8" s="38">
        <f>SUMIFS('[9]inland_taf_hatchgrp_tableraw&amp;yy'!AA$3:AA$38,'[9]inland_taf_hatchgrp_tableraw&amp;yy'!$AC$3:$AC$38,'2016 Table 11 CWTs exp'!$A8)</f>
        <v>282</v>
      </c>
      <c r="AB8" s="634"/>
      <c r="AC8" s="634"/>
      <c r="AD8" s="635">
        <f t="shared" si="3"/>
        <v>0.79078014184397161</v>
      </c>
      <c r="AE8" s="604" t="str">
        <f t="shared" si="1"/>
        <v>KESW503</v>
      </c>
      <c r="AF8" s="603"/>
      <c r="AG8" s="622">
        <f>SUMIFS('[9]inland_taf_hatchgrp_tableraw&amp;yy'!AB$3:AB$38,'[9]inland_taf_hatchgrp_tableraw&amp;yy'!$AC$3:$AC$38,'2016 Table 11 CWTs exp'!$A8)</f>
        <v>0.79100000000000004</v>
      </c>
      <c r="AH8" s="597"/>
      <c r="AI8" s="600"/>
      <c r="AJ8" s="599"/>
      <c r="AK8" s="451"/>
      <c r="AL8" s="451">
        <v>3</v>
      </c>
      <c r="AM8" s="442" t="s">
        <v>48</v>
      </c>
      <c r="AN8" s="442"/>
      <c r="AO8" s="442"/>
      <c r="AP8" s="442"/>
      <c r="AQ8" s="442"/>
      <c r="AR8" s="442"/>
      <c r="AS8" s="442"/>
    </row>
    <row r="9" spans="1:60" ht="14.5" customHeight="1" x14ac:dyDescent="0.25">
      <c r="A9" s="50" t="str">
        <f t="shared" si="0"/>
        <v>CNFH503</v>
      </c>
      <c r="B9" s="13" t="s">
        <v>40</v>
      </c>
      <c r="C9" s="13">
        <v>50</v>
      </c>
      <c r="D9" s="13">
        <v>3</v>
      </c>
      <c r="E9" s="3" t="s">
        <v>41</v>
      </c>
      <c r="F9" s="43" t="str">
        <f t="shared" si="2"/>
        <v>Fall</v>
      </c>
      <c r="G9" s="38">
        <f>SUMIFS('[9]inland_taf_hatchgrp_tableraw&amp;yy'!G$3:G$38,'[9]inland_taf_hatchgrp_tableraw&amp;yy'!$AC$3:$AC$38,'2016 Table 11 CWTs exp'!$A9)</f>
        <v>0</v>
      </c>
      <c r="H9" s="39">
        <f>SUMIFS('[9]inland_taf_hatchgrp_tableraw&amp;yy'!H$3:H$38,'[9]inland_taf_hatchgrp_tableraw&amp;yy'!$AC$3:$AC$38,'2016 Table 11 CWTs exp'!$A9)</f>
        <v>0</v>
      </c>
      <c r="I9" s="38">
        <f>SUMIFS('[9]inland_taf_hatchgrp_tableraw&amp;yy'!I$3:I$38,'[9]inland_taf_hatchgrp_tableraw&amp;yy'!$AC$3:$AC$38,'2016 Table 11 CWTs exp'!$A9)</f>
        <v>6322</v>
      </c>
      <c r="J9" s="40">
        <f>SUMIFS('[9]inland_taf_hatchgrp_tableraw&amp;yy'!J$3:J$38,'[9]inland_taf_hatchgrp_tableraw&amp;yy'!$AC$3:$AC$38,'2016 Table 11 CWTs exp'!$A9)</f>
        <v>659</v>
      </c>
      <c r="K9" s="38">
        <f>SUMIFS('[9]inland_taf_hatchgrp_tableraw&amp;yy'!K$3:K$38,'[9]inland_taf_hatchgrp_tableraw&amp;yy'!$AC$3:$AC$38,'2016 Table 11 CWTs exp'!$A9)</f>
        <v>0</v>
      </c>
      <c r="L9" s="38">
        <f>SUMIFS('[9]inland_taf_hatchgrp_tableraw&amp;yy'!L$3:L$38,'[9]inland_taf_hatchgrp_tableraw&amp;yy'!$AC$3:$AC$38,'2016 Table 11 CWTs exp'!$A9)</f>
        <v>0</v>
      </c>
      <c r="M9" s="38">
        <f>SUMIFS('[9]inland_taf_hatchgrp_tableraw&amp;yy'!M$3:M$38,'[9]inland_taf_hatchgrp_tableraw&amp;yy'!$AC$3:$AC$38,'2016 Table 11 CWTs exp'!$A9)</f>
        <v>0</v>
      </c>
      <c r="N9" s="38">
        <f>SUMIFS('[9]inland_taf_hatchgrp_tableraw&amp;yy'!N$3:N$38,'[9]inland_taf_hatchgrp_tableraw&amp;yy'!$AC$3:$AC$38,'2016 Table 11 CWTs exp'!$A9)</f>
        <v>0</v>
      </c>
      <c r="O9" s="38">
        <f>SUMIFS('[9]inland_taf_hatchgrp_tableraw&amp;yy'!O$3:O$38,'[9]inland_taf_hatchgrp_tableraw&amp;yy'!$AC$3:$AC$38,'2016 Table 11 CWTs exp'!$A9)</f>
        <v>12</v>
      </c>
      <c r="P9" s="38">
        <f>SUMIFS('[9]inland_taf_hatchgrp_tableraw&amp;yy'!P$3:P$38,'[9]inland_taf_hatchgrp_tableraw&amp;yy'!$AC$3:$AC$38,'2016 Table 11 CWTs exp'!$A9)</f>
        <v>44</v>
      </c>
      <c r="Q9" s="39">
        <f>SUMIFS('[9]inland_taf_hatchgrp_tableraw&amp;yy'!Q$3:Q$38,'[9]inland_taf_hatchgrp_tableraw&amp;yy'!$AC$3:$AC$38,'2016 Table 11 CWTs exp'!$A9)</f>
        <v>0</v>
      </c>
      <c r="R9" s="40">
        <f>SUMIFS('[9]inland_taf_hatchgrp_tableraw&amp;yy'!R$3:R$38,'[9]inland_taf_hatchgrp_tableraw&amp;yy'!$AC$3:$AC$38,'2016 Table 11 CWTs exp'!$A9)</f>
        <v>0</v>
      </c>
      <c r="S9" s="38">
        <f>SUMIFS('[9]inland_taf_hatchgrp_tableraw&amp;yy'!S$3:S$38,'[9]inland_taf_hatchgrp_tableraw&amp;yy'!$AC$3:$AC$38,'2016 Table 11 CWTs exp'!$A9)</f>
        <v>3</v>
      </c>
      <c r="T9" s="38">
        <f>SUMIFS('[9]inland_taf_hatchgrp_tableraw&amp;yy'!T$3:T$38,'[9]inland_taf_hatchgrp_tableraw&amp;yy'!$AC$3:$AC$38,'2016 Table 11 CWTs exp'!$A9)</f>
        <v>1</v>
      </c>
      <c r="U9" s="38">
        <f>SUMIFS('[9]inland_taf_hatchgrp_tableraw&amp;yy'!U$3:U$38,'[9]inland_taf_hatchgrp_tableraw&amp;yy'!$AC$3:$AC$38,'2016 Table 11 CWTs exp'!$A9)</f>
        <v>24</v>
      </c>
      <c r="V9" s="40">
        <f>SUMIFS('[9]inland_taf_hatchgrp_tableraw&amp;yy'!V$3:V$38,'[9]inland_taf_hatchgrp_tableraw&amp;yy'!$AC$3:$AC$38,'2016 Table 11 CWTs exp'!$A9)</f>
        <v>3</v>
      </c>
      <c r="W9" s="40">
        <f>SUMIFS('[9]inland_taf_hatchgrp_tableraw&amp;yy'!W$3:W$38,'[9]inland_taf_hatchgrp_tableraw&amp;yy'!$AC$3:$AC$38,'2016 Table 11 CWTs exp'!$A9)</f>
        <v>4</v>
      </c>
      <c r="X9" s="38">
        <f>SUMIFS('[9]inland_taf_hatchgrp_tableraw&amp;yy'!X$3:X$38,'[9]inland_taf_hatchgrp_tableraw&amp;yy'!$AC$3:$AC$38,'2016 Table 11 CWTs exp'!$A9)</f>
        <v>0</v>
      </c>
      <c r="Y9" s="41">
        <f>SUMIFS('[9]inland_taf_hatchgrp_tableraw&amp;yy'!Y$3:Y$38,'[9]inland_taf_hatchgrp_tableraw&amp;yy'!$AC$3:$AC$38,'2016 Table 11 CWTs exp'!$A9)</f>
        <v>7072</v>
      </c>
      <c r="Z9" s="42">
        <f>SUMIFS('[9]inland_taf_hatchgrp_tableraw&amp;yy'!Z$3:Z$38,'[9]inland_taf_hatchgrp_tableraw&amp;yy'!$AC$3:$AC$38,'2016 Table 11 CWTs exp'!$A9)</f>
        <v>1456</v>
      </c>
      <c r="AA9" s="38">
        <f>SUMIFS('[9]inland_taf_hatchgrp_tableraw&amp;yy'!AA$3:AA$38,'[9]inland_taf_hatchgrp_tableraw&amp;yy'!$AC$3:$AC$38,'2016 Table 11 CWTs exp'!$A9)</f>
        <v>8528</v>
      </c>
      <c r="AB9" s="634"/>
      <c r="AC9" s="634"/>
      <c r="AD9" s="635">
        <f t="shared" si="3"/>
        <v>0.82926829268292679</v>
      </c>
      <c r="AE9" s="604" t="str">
        <f t="shared" si="1"/>
        <v>CNFH503</v>
      </c>
      <c r="AF9" s="603"/>
      <c r="AG9" s="622">
        <f>SUMIFS('[9]inland_taf_hatchgrp_tableraw&amp;yy'!AB$3:AB$38,'[9]inland_taf_hatchgrp_tableraw&amp;yy'!$AC$3:$AC$38,'2016 Table 11 CWTs exp'!$A9)</f>
        <v>0.82899999999999996</v>
      </c>
      <c r="AH9" s="597"/>
      <c r="AI9" s="605">
        <f>1-AD9</f>
        <v>0.17073170731707321</v>
      </c>
      <c r="AJ9" s="447">
        <f>Z9</f>
        <v>1456</v>
      </c>
      <c r="AK9" s="451"/>
      <c r="AL9" s="451">
        <v>4</v>
      </c>
      <c r="AM9" s="442" t="s">
        <v>42</v>
      </c>
      <c r="AN9" s="442"/>
      <c r="AO9" s="442"/>
      <c r="AP9" s="442"/>
      <c r="AQ9" s="442"/>
      <c r="AR9" s="442"/>
      <c r="AS9" s="442"/>
    </row>
    <row r="10" spans="1:60" ht="14.5" customHeight="1" x14ac:dyDescent="0.25">
      <c r="A10" s="50" t="str">
        <f t="shared" si="0"/>
        <v>FRFH503</v>
      </c>
      <c r="B10" s="13" t="s">
        <v>45</v>
      </c>
      <c r="C10" s="13">
        <v>50</v>
      </c>
      <c r="D10" s="13">
        <v>3</v>
      </c>
      <c r="E10" s="3" t="s">
        <v>46</v>
      </c>
      <c r="F10" s="43" t="str">
        <f t="shared" si="2"/>
        <v>Fall</v>
      </c>
      <c r="G10" s="38">
        <f>SUMIFS('[9]inland_taf_hatchgrp_tableraw&amp;yy'!G$3:G$38,'[9]inland_taf_hatchgrp_tableraw&amp;yy'!$AC$3:$AC$38,'2016 Table 11 CWTs exp'!$A10)</f>
        <v>0</v>
      </c>
      <c r="H10" s="39">
        <f>SUMIFS('[9]inland_taf_hatchgrp_tableraw&amp;yy'!H$3:H$38,'[9]inland_taf_hatchgrp_tableraw&amp;yy'!$AC$3:$AC$38,'2016 Table 11 CWTs exp'!$A10)</f>
        <v>0</v>
      </c>
      <c r="I10" s="38">
        <f>SUMIFS('[9]inland_taf_hatchgrp_tableraw&amp;yy'!I$3:I$38,'[9]inland_taf_hatchgrp_tableraw&amp;yy'!$AC$3:$AC$38,'2016 Table 11 CWTs exp'!$A10)</f>
        <v>24</v>
      </c>
      <c r="J10" s="40">
        <f>SUMIFS('[9]inland_taf_hatchgrp_tableraw&amp;yy'!J$3:J$38,'[9]inland_taf_hatchgrp_tableraw&amp;yy'!$AC$3:$AC$38,'2016 Table 11 CWTs exp'!$A10)</f>
        <v>1417</v>
      </c>
      <c r="K10" s="38">
        <f>SUMIFS('[9]inland_taf_hatchgrp_tableraw&amp;yy'!K$3:K$38,'[9]inland_taf_hatchgrp_tableraw&amp;yy'!$AC$3:$AC$38,'2016 Table 11 CWTs exp'!$A10)</f>
        <v>722</v>
      </c>
      <c r="L10" s="38">
        <f>SUMIFS('[9]inland_taf_hatchgrp_tableraw&amp;yy'!L$3:L$38,'[9]inland_taf_hatchgrp_tableraw&amp;yy'!$AC$3:$AC$38,'2016 Table 11 CWTs exp'!$A10)</f>
        <v>919</v>
      </c>
      <c r="M10" s="38">
        <f>SUMIFS('[9]inland_taf_hatchgrp_tableraw&amp;yy'!M$3:M$38,'[9]inland_taf_hatchgrp_tableraw&amp;yy'!$AC$3:$AC$38,'2016 Table 11 CWTs exp'!$A10)</f>
        <v>9</v>
      </c>
      <c r="N10" s="38">
        <f>SUMIFS('[9]inland_taf_hatchgrp_tableraw&amp;yy'!N$3:N$38,'[9]inland_taf_hatchgrp_tableraw&amp;yy'!$AC$3:$AC$38,'2016 Table 11 CWTs exp'!$A10)</f>
        <v>616</v>
      </c>
      <c r="O10" s="38">
        <f>SUMIFS('[9]inland_taf_hatchgrp_tableraw&amp;yy'!O$3:O$38,'[9]inland_taf_hatchgrp_tableraw&amp;yy'!$AC$3:$AC$38,'2016 Table 11 CWTs exp'!$A10)</f>
        <v>13066</v>
      </c>
      <c r="P10" s="38">
        <f>SUMIFS('[9]inland_taf_hatchgrp_tableraw&amp;yy'!P$3:P$38,'[9]inland_taf_hatchgrp_tableraw&amp;yy'!$AC$3:$AC$38,'2016 Table 11 CWTs exp'!$A10)</f>
        <v>2613</v>
      </c>
      <c r="Q10" s="39">
        <f>SUMIFS('[9]inland_taf_hatchgrp_tableraw&amp;yy'!Q$3:Q$38,'[9]inland_taf_hatchgrp_tableraw&amp;yy'!$AC$3:$AC$38,'2016 Table 11 CWTs exp'!$A10)</f>
        <v>0</v>
      </c>
      <c r="R10" s="40">
        <f>SUMIFS('[9]inland_taf_hatchgrp_tableraw&amp;yy'!R$3:R$38,'[9]inland_taf_hatchgrp_tableraw&amp;yy'!$AC$3:$AC$38,'2016 Table 11 CWTs exp'!$A10)</f>
        <v>204</v>
      </c>
      <c r="S10" s="38">
        <f>SUMIFS('[9]inland_taf_hatchgrp_tableraw&amp;yy'!S$3:S$38,'[9]inland_taf_hatchgrp_tableraw&amp;yy'!$AC$3:$AC$38,'2016 Table 11 CWTs exp'!$A10)</f>
        <v>23</v>
      </c>
      <c r="T10" s="38">
        <f>SUMIFS('[9]inland_taf_hatchgrp_tableraw&amp;yy'!T$3:T$38,'[9]inland_taf_hatchgrp_tableraw&amp;yy'!$AC$3:$AC$38,'2016 Table 11 CWTs exp'!$A10)</f>
        <v>5</v>
      </c>
      <c r="U10" s="38">
        <f>SUMIFS('[9]inland_taf_hatchgrp_tableraw&amp;yy'!U$3:U$38,'[9]inland_taf_hatchgrp_tableraw&amp;yy'!$AC$3:$AC$38,'2016 Table 11 CWTs exp'!$A10)</f>
        <v>80</v>
      </c>
      <c r="V10" s="40">
        <f>SUMIFS('[9]inland_taf_hatchgrp_tableraw&amp;yy'!V$3:V$38,'[9]inland_taf_hatchgrp_tableraw&amp;yy'!$AC$3:$AC$38,'2016 Table 11 CWTs exp'!$A10)</f>
        <v>14</v>
      </c>
      <c r="W10" s="40">
        <f>SUMIFS('[9]inland_taf_hatchgrp_tableraw&amp;yy'!W$3:W$38,'[9]inland_taf_hatchgrp_tableraw&amp;yy'!$AC$3:$AC$38,'2016 Table 11 CWTs exp'!$A10)</f>
        <v>25</v>
      </c>
      <c r="X10" s="38">
        <f>SUMIFS('[9]inland_taf_hatchgrp_tableraw&amp;yy'!X$3:X$38,'[9]inland_taf_hatchgrp_tableraw&amp;yy'!$AC$3:$AC$38,'2016 Table 11 CWTs exp'!$A10)</f>
        <v>0</v>
      </c>
      <c r="Y10" s="41">
        <f>SUMIFS('[9]inland_taf_hatchgrp_tableraw&amp;yy'!Y$3:Y$38,'[9]inland_taf_hatchgrp_tableraw&amp;yy'!$AC$3:$AC$38,'2016 Table 11 CWTs exp'!$A10)</f>
        <v>19738</v>
      </c>
      <c r="Z10" s="42">
        <f>SUMIFS('[9]inland_taf_hatchgrp_tableraw&amp;yy'!Z$3:Z$38,'[9]inland_taf_hatchgrp_tableraw&amp;yy'!$AC$3:$AC$38,'2016 Table 11 CWTs exp'!$A10)</f>
        <v>818</v>
      </c>
      <c r="AA10" s="38">
        <f>SUMIFS('[9]inland_taf_hatchgrp_tableraw&amp;yy'!AA$3:AA$38,'[9]inland_taf_hatchgrp_tableraw&amp;yy'!$AC$3:$AC$38,'2016 Table 11 CWTs exp'!$A10)</f>
        <v>20556</v>
      </c>
      <c r="AB10" s="634"/>
      <c r="AC10" s="634"/>
      <c r="AD10" s="635">
        <f t="shared" si="3"/>
        <v>0.96020626581046897</v>
      </c>
      <c r="AE10" s="604" t="str">
        <f t="shared" si="1"/>
        <v>FRFH503</v>
      </c>
      <c r="AF10" s="603"/>
      <c r="AG10" s="622">
        <f>SUMIFS('[9]inland_taf_hatchgrp_tableraw&amp;yy'!AB$3:AB$38,'[9]inland_taf_hatchgrp_tableraw&amp;yy'!$AC$3:$AC$38,'2016 Table 11 CWTs exp'!$A10)</f>
        <v>0.96</v>
      </c>
      <c r="AH10" s="597"/>
      <c r="AI10" s="605">
        <f t="shared" ref="AI10:AI13" si="4">1-AD10</f>
        <v>3.9793734189531027E-2</v>
      </c>
      <c r="AJ10" s="447">
        <f t="shared" ref="AJ10:AJ13" si="5">Z10</f>
        <v>818</v>
      </c>
      <c r="AK10" s="451"/>
      <c r="AL10" s="451">
        <v>7</v>
      </c>
      <c r="AM10" s="442" t="s">
        <v>49</v>
      </c>
      <c r="AN10" s="442"/>
      <c r="AO10" s="442"/>
      <c r="AP10" s="442"/>
      <c r="AQ10" s="442"/>
      <c r="AR10" s="442"/>
      <c r="AS10" s="442"/>
    </row>
    <row r="11" spans="1:60" ht="14.5" customHeight="1" x14ac:dyDescent="0.25">
      <c r="A11" s="50" t="str">
        <f t="shared" si="0"/>
        <v>NBFH503</v>
      </c>
      <c r="B11" s="13" t="s">
        <v>50</v>
      </c>
      <c r="C11" s="13">
        <v>50</v>
      </c>
      <c r="D11" s="13">
        <v>3</v>
      </c>
      <c r="E11" s="3" t="s">
        <v>51</v>
      </c>
      <c r="F11" s="43" t="str">
        <f t="shared" si="2"/>
        <v>Fall</v>
      </c>
      <c r="G11" s="38">
        <f>SUMIFS('[9]inland_taf_hatchgrp_tableraw&amp;yy'!G$3:G$38,'[9]inland_taf_hatchgrp_tableraw&amp;yy'!$AC$3:$AC$38,'2016 Table 11 CWTs exp'!$A11)</f>
        <v>0</v>
      </c>
      <c r="H11" s="39">
        <f>SUMIFS('[9]inland_taf_hatchgrp_tableraw&amp;yy'!H$3:H$38,'[9]inland_taf_hatchgrp_tableraw&amp;yy'!$AC$3:$AC$38,'2016 Table 11 CWTs exp'!$A11)</f>
        <v>0</v>
      </c>
      <c r="I11" s="38">
        <f>SUMIFS('[9]inland_taf_hatchgrp_tableraw&amp;yy'!I$3:I$38,'[9]inland_taf_hatchgrp_tableraw&amp;yy'!$AC$3:$AC$38,'2016 Table 11 CWTs exp'!$A11)</f>
        <v>0</v>
      </c>
      <c r="J11" s="40">
        <f>SUMIFS('[9]inland_taf_hatchgrp_tableraw&amp;yy'!J$3:J$38,'[9]inland_taf_hatchgrp_tableraw&amp;yy'!$AC$3:$AC$38,'2016 Table 11 CWTs exp'!$A11)</f>
        <v>1307</v>
      </c>
      <c r="K11" s="38">
        <f>SUMIFS('[9]inland_taf_hatchgrp_tableraw&amp;yy'!K$3:K$38,'[9]inland_taf_hatchgrp_tableraw&amp;yy'!$AC$3:$AC$38,'2016 Table 11 CWTs exp'!$A11)</f>
        <v>0</v>
      </c>
      <c r="L11" s="38">
        <f>SUMIFS('[9]inland_taf_hatchgrp_tableraw&amp;yy'!L$3:L$38,'[9]inland_taf_hatchgrp_tableraw&amp;yy'!$AC$3:$AC$38,'2016 Table 11 CWTs exp'!$A11)</f>
        <v>0</v>
      </c>
      <c r="M11" s="38">
        <f>SUMIFS('[9]inland_taf_hatchgrp_tableraw&amp;yy'!M$3:M$38,'[9]inland_taf_hatchgrp_tableraw&amp;yy'!$AC$3:$AC$38,'2016 Table 11 CWTs exp'!$A11)</f>
        <v>0</v>
      </c>
      <c r="N11" s="38">
        <f>SUMIFS('[9]inland_taf_hatchgrp_tableraw&amp;yy'!N$3:N$38,'[9]inland_taf_hatchgrp_tableraw&amp;yy'!$AC$3:$AC$38,'2016 Table 11 CWTs exp'!$A11)</f>
        <v>0</v>
      </c>
      <c r="O11" s="38">
        <f>SUMIFS('[9]inland_taf_hatchgrp_tableraw&amp;yy'!O$3:O$38,'[9]inland_taf_hatchgrp_tableraw&amp;yy'!$AC$3:$AC$38,'2016 Table 11 CWTs exp'!$A11)</f>
        <v>150</v>
      </c>
      <c r="P11" s="38">
        <f>SUMIFS('[9]inland_taf_hatchgrp_tableraw&amp;yy'!P$3:P$38,'[9]inland_taf_hatchgrp_tableraw&amp;yy'!$AC$3:$AC$38,'2016 Table 11 CWTs exp'!$A11)</f>
        <v>87</v>
      </c>
      <c r="Q11" s="39">
        <f>SUMIFS('[9]inland_taf_hatchgrp_tableraw&amp;yy'!Q$3:Q$38,'[9]inland_taf_hatchgrp_tableraw&amp;yy'!$AC$3:$AC$38,'2016 Table 11 CWTs exp'!$A11)</f>
        <v>497</v>
      </c>
      <c r="R11" s="40">
        <f>SUMIFS('[9]inland_taf_hatchgrp_tableraw&amp;yy'!R$3:R$38,'[9]inland_taf_hatchgrp_tableraw&amp;yy'!$AC$3:$AC$38,'2016 Table 11 CWTs exp'!$A11)</f>
        <v>5525</v>
      </c>
      <c r="S11" s="38">
        <f>SUMIFS('[9]inland_taf_hatchgrp_tableraw&amp;yy'!S$3:S$38,'[9]inland_taf_hatchgrp_tableraw&amp;yy'!$AC$3:$AC$38,'2016 Table 11 CWTs exp'!$A11)</f>
        <v>7</v>
      </c>
      <c r="T11" s="38">
        <f>SUMIFS('[9]inland_taf_hatchgrp_tableraw&amp;yy'!T$3:T$38,'[9]inland_taf_hatchgrp_tableraw&amp;yy'!$AC$3:$AC$38,'2016 Table 11 CWTs exp'!$A11)</f>
        <v>39</v>
      </c>
      <c r="U11" s="38">
        <f>SUMIFS('[9]inland_taf_hatchgrp_tableraw&amp;yy'!U$3:U$38,'[9]inland_taf_hatchgrp_tableraw&amp;yy'!$AC$3:$AC$38,'2016 Table 11 CWTs exp'!$A11)</f>
        <v>558</v>
      </c>
      <c r="V11" s="40">
        <f>SUMIFS('[9]inland_taf_hatchgrp_tableraw&amp;yy'!V$3:V$38,'[9]inland_taf_hatchgrp_tableraw&amp;yy'!$AC$3:$AC$38,'2016 Table 11 CWTs exp'!$A11)</f>
        <v>40</v>
      </c>
      <c r="W11" s="40">
        <f>SUMIFS('[9]inland_taf_hatchgrp_tableraw&amp;yy'!W$3:W$38,'[9]inland_taf_hatchgrp_tableraw&amp;yy'!$AC$3:$AC$38,'2016 Table 11 CWTs exp'!$A11)</f>
        <v>117</v>
      </c>
      <c r="X11" s="38">
        <f>SUMIFS('[9]inland_taf_hatchgrp_tableraw&amp;yy'!X$3:X$38,'[9]inland_taf_hatchgrp_tableraw&amp;yy'!$AC$3:$AC$38,'2016 Table 11 CWTs exp'!$A11)</f>
        <v>0</v>
      </c>
      <c r="Y11" s="41">
        <f>SUMIFS('[9]inland_taf_hatchgrp_tableraw&amp;yy'!Y$3:Y$38,'[9]inland_taf_hatchgrp_tableraw&amp;yy'!$AC$3:$AC$38,'2016 Table 11 CWTs exp'!$A11)</f>
        <v>8328</v>
      </c>
      <c r="Z11" s="42">
        <f>SUMIFS('[9]inland_taf_hatchgrp_tableraw&amp;yy'!Z$3:Z$38,'[9]inland_taf_hatchgrp_tableraw&amp;yy'!$AC$3:$AC$38,'2016 Table 11 CWTs exp'!$A11)</f>
        <v>1096</v>
      </c>
      <c r="AA11" s="38">
        <f>SUMIFS('[9]inland_taf_hatchgrp_tableraw&amp;yy'!AA$3:AA$38,'[9]inland_taf_hatchgrp_tableraw&amp;yy'!$AC$3:$AC$38,'2016 Table 11 CWTs exp'!$A11)</f>
        <v>9424</v>
      </c>
      <c r="AB11" s="634"/>
      <c r="AC11" s="634"/>
      <c r="AD11" s="635">
        <f t="shared" si="3"/>
        <v>0.88370118845500845</v>
      </c>
      <c r="AE11" s="604" t="str">
        <f t="shared" si="1"/>
        <v>NBFH503</v>
      </c>
      <c r="AF11" s="603"/>
      <c r="AG11" s="622">
        <f>SUMIFS('[9]inland_taf_hatchgrp_tableraw&amp;yy'!AB$3:AB$38,'[9]inland_taf_hatchgrp_tableraw&amp;yy'!$AC$3:$AC$38,'2016 Table 11 CWTs exp'!$A11)</f>
        <v>0.88400000000000001</v>
      </c>
      <c r="AH11" s="597"/>
      <c r="AI11" s="605">
        <f t="shared" si="4"/>
        <v>0.11629881154499155</v>
      </c>
      <c r="AJ11" s="447">
        <f t="shared" si="5"/>
        <v>1096</v>
      </c>
      <c r="AK11" s="451"/>
      <c r="AL11" s="451"/>
      <c r="AM11" s="442"/>
      <c r="AN11" s="442"/>
      <c r="AO11" s="442"/>
      <c r="AP11" s="442"/>
      <c r="AQ11" s="442"/>
      <c r="AR11" s="442"/>
      <c r="AS11" s="442"/>
    </row>
    <row r="12" spans="1:60" ht="14.5" customHeight="1" x14ac:dyDescent="0.25">
      <c r="A12" s="50" t="str">
        <f t="shared" si="0"/>
        <v>MRFI503</v>
      </c>
      <c r="B12" s="13" t="s">
        <v>52</v>
      </c>
      <c r="C12" s="13">
        <v>50</v>
      </c>
      <c r="D12" s="13">
        <v>3</v>
      </c>
      <c r="E12" s="3" t="s">
        <v>53</v>
      </c>
      <c r="F12" s="43" t="str">
        <f t="shared" si="2"/>
        <v>Fall</v>
      </c>
      <c r="G12" s="38">
        <f>SUMIFS('[9]inland_taf_hatchgrp_tableraw&amp;yy'!G$3:G$38,'[9]inland_taf_hatchgrp_tableraw&amp;yy'!$AC$3:$AC$38,'2016 Table 11 CWTs exp'!$A12)</f>
        <v>0</v>
      </c>
      <c r="H12" s="39">
        <f>SUMIFS('[9]inland_taf_hatchgrp_tableraw&amp;yy'!H$3:H$38,'[9]inland_taf_hatchgrp_tableraw&amp;yy'!$AC$3:$AC$38,'2016 Table 11 CWTs exp'!$A12)</f>
        <v>0</v>
      </c>
      <c r="I12" s="38">
        <f>SUMIFS('[9]inland_taf_hatchgrp_tableraw&amp;yy'!I$3:I$38,'[9]inland_taf_hatchgrp_tableraw&amp;yy'!$AC$3:$AC$38,'2016 Table 11 CWTs exp'!$A12)</f>
        <v>0</v>
      </c>
      <c r="J12" s="40">
        <f>SUMIFS('[9]inland_taf_hatchgrp_tableraw&amp;yy'!J$3:J$38,'[9]inland_taf_hatchgrp_tableraw&amp;yy'!$AC$3:$AC$38,'2016 Table 11 CWTs exp'!$A12)</f>
        <v>676</v>
      </c>
      <c r="K12" s="38">
        <f>SUMIFS('[9]inland_taf_hatchgrp_tableraw&amp;yy'!K$3:K$38,'[9]inland_taf_hatchgrp_tableraw&amp;yy'!$AC$3:$AC$38,'2016 Table 11 CWTs exp'!$A12)</f>
        <v>0</v>
      </c>
      <c r="L12" s="38">
        <f>SUMIFS('[9]inland_taf_hatchgrp_tableraw&amp;yy'!L$3:L$38,'[9]inland_taf_hatchgrp_tableraw&amp;yy'!$AC$3:$AC$38,'2016 Table 11 CWTs exp'!$A12)</f>
        <v>0</v>
      </c>
      <c r="M12" s="38">
        <f>SUMIFS('[9]inland_taf_hatchgrp_tableraw&amp;yy'!M$3:M$38,'[9]inland_taf_hatchgrp_tableraw&amp;yy'!$AC$3:$AC$38,'2016 Table 11 CWTs exp'!$A12)</f>
        <v>1</v>
      </c>
      <c r="N12" s="38">
        <f>SUMIFS('[9]inland_taf_hatchgrp_tableraw&amp;yy'!N$3:N$38,'[9]inland_taf_hatchgrp_tableraw&amp;yy'!$AC$3:$AC$38,'2016 Table 11 CWTs exp'!$A12)</f>
        <v>0</v>
      </c>
      <c r="O12" s="38">
        <f>SUMIFS('[9]inland_taf_hatchgrp_tableraw&amp;yy'!O$3:O$38,'[9]inland_taf_hatchgrp_tableraw&amp;yy'!$AC$3:$AC$38,'2016 Table 11 CWTs exp'!$A12)</f>
        <v>108</v>
      </c>
      <c r="P12" s="38">
        <f>SUMIFS('[9]inland_taf_hatchgrp_tableraw&amp;yy'!P$3:P$38,'[9]inland_taf_hatchgrp_tableraw&amp;yy'!$AC$3:$AC$38,'2016 Table 11 CWTs exp'!$A12)</f>
        <v>29</v>
      </c>
      <c r="Q12" s="39">
        <f>SUMIFS('[9]inland_taf_hatchgrp_tableraw&amp;yy'!Q$3:Q$38,'[9]inland_taf_hatchgrp_tableraw&amp;yy'!$AC$3:$AC$38,'2016 Table 11 CWTs exp'!$A12)</f>
        <v>0</v>
      </c>
      <c r="R12" s="40">
        <f>SUMIFS('[9]inland_taf_hatchgrp_tableraw&amp;yy'!R$3:R$38,'[9]inland_taf_hatchgrp_tableraw&amp;yy'!$AC$3:$AC$38,'2016 Table 11 CWTs exp'!$A12)</f>
        <v>2628</v>
      </c>
      <c r="S12" s="38">
        <f>SUMIFS('[9]inland_taf_hatchgrp_tableraw&amp;yy'!S$3:S$38,'[9]inland_taf_hatchgrp_tableraw&amp;yy'!$AC$3:$AC$38,'2016 Table 11 CWTs exp'!$A12)</f>
        <v>62</v>
      </c>
      <c r="T12" s="38">
        <f>SUMIFS('[9]inland_taf_hatchgrp_tableraw&amp;yy'!T$3:T$38,'[9]inland_taf_hatchgrp_tableraw&amp;yy'!$AC$3:$AC$38,'2016 Table 11 CWTs exp'!$A12)</f>
        <v>92</v>
      </c>
      <c r="U12" s="38">
        <f>SUMIFS('[9]inland_taf_hatchgrp_tableraw&amp;yy'!U$3:U$38,'[9]inland_taf_hatchgrp_tableraw&amp;yy'!$AC$3:$AC$38,'2016 Table 11 CWTs exp'!$A12)</f>
        <v>2417</v>
      </c>
      <c r="V12" s="40">
        <f>SUMIFS('[9]inland_taf_hatchgrp_tableraw&amp;yy'!V$3:V$38,'[9]inland_taf_hatchgrp_tableraw&amp;yy'!$AC$3:$AC$38,'2016 Table 11 CWTs exp'!$A12)</f>
        <v>70</v>
      </c>
      <c r="W12" s="40">
        <f>SUMIFS('[9]inland_taf_hatchgrp_tableraw&amp;yy'!W$3:W$38,'[9]inland_taf_hatchgrp_tableraw&amp;yy'!$AC$3:$AC$38,'2016 Table 11 CWTs exp'!$A12)</f>
        <v>136</v>
      </c>
      <c r="X12" s="38">
        <f>SUMIFS('[9]inland_taf_hatchgrp_tableraw&amp;yy'!X$3:X$38,'[9]inland_taf_hatchgrp_tableraw&amp;yy'!$AC$3:$AC$38,'2016 Table 11 CWTs exp'!$A12)</f>
        <v>0</v>
      </c>
      <c r="Y12" s="41">
        <f>SUMIFS('[9]inland_taf_hatchgrp_tableraw&amp;yy'!Y$3:Y$38,'[9]inland_taf_hatchgrp_tableraw&amp;yy'!$AC$3:$AC$38,'2016 Table 11 CWTs exp'!$A12)</f>
        <v>6218</v>
      </c>
      <c r="Z12" s="42">
        <f>SUMIFS('[9]inland_taf_hatchgrp_tableraw&amp;yy'!Z$3:Z$38,'[9]inland_taf_hatchgrp_tableraw&amp;yy'!$AC$3:$AC$38,'2016 Table 11 CWTs exp'!$A12)</f>
        <v>669</v>
      </c>
      <c r="AA12" s="38">
        <f>SUMIFS('[9]inland_taf_hatchgrp_tableraw&amp;yy'!AA$3:AA$38,'[9]inland_taf_hatchgrp_tableraw&amp;yy'!$AC$3:$AC$38,'2016 Table 11 CWTs exp'!$A12)</f>
        <v>6887</v>
      </c>
      <c r="AB12" s="634"/>
      <c r="AC12" s="634"/>
      <c r="AD12" s="635">
        <f t="shared" si="3"/>
        <v>0.90286046173950918</v>
      </c>
      <c r="AE12" s="604" t="str">
        <f t="shared" si="1"/>
        <v>MRFI503</v>
      </c>
      <c r="AF12" s="603"/>
      <c r="AG12" s="622">
        <f>SUMIFS('[9]inland_taf_hatchgrp_tableraw&amp;yy'!AB$3:AB$38,'[9]inland_taf_hatchgrp_tableraw&amp;yy'!$AC$3:$AC$38,'2016 Table 11 CWTs exp'!$A12)</f>
        <v>0.90300000000000002</v>
      </c>
      <c r="AH12" s="597"/>
      <c r="AI12" s="605">
        <f t="shared" si="4"/>
        <v>9.7139538260490821E-2</v>
      </c>
      <c r="AJ12" s="447">
        <f t="shared" si="5"/>
        <v>669</v>
      </c>
      <c r="AK12" s="451"/>
      <c r="AL12" s="451"/>
      <c r="AM12" s="442"/>
      <c r="AN12" s="442"/>
      <c r="AO12" s="442"/>
      <c r="AP12" s="442"/>
      <c r="AQ12" s="442"/>
      <c r="AR12" s="442"/>
      <c r="AS12" s="442"/>
    </row>
    <row r="13" spans="1:60" ht="14.5" customHeight="1" x14ac:dyDescent="0.25">
      <c r="A13" s="50" t="str">
        <f t="shared" si="0"/>
        <v>MRFF503</v>
      </c>
      <c r="B13" s="13" t="s">
        <v>54</v>
      </c>
      <c r="C13" s="13">
        <v>50</v>
      </c>
      <c r="D13" s="13">
        <v>3</v>
      </c>
      <c r="E13" s="3" t="s">
        <v>55</v>
      </c>
      <c r="F13" s="43" t="str">
        <f t="shared" si="2"/>
        <v>Fall</v>
      </c>
      <c r="G13" s="38">
        <f>SUMIFS('[9]inland_taf_hatchgrp_tableraw&amp;yy'!G$3:G$38,'[9]inland_taf_hatchgrp_tableraw&amp;yy'!$AC$3:$AC$38,'2016 Table 11 CWTs exp'!$A13)</f>
        <v>0</v>
      </c>
      <c r="H13" s="39">
        <f>SUMIFS('[9]inland_taf_hatchgrp_tableraw&amp;yy'!H$3:H$38,'[9]inland_taf_hatchgrp_tableraw&amp;yy'!$AC$3:$AC$38,'2016 Table 11 CWTs exp'!$A13)</f>
        <v>0</v>
      </c>
      <c r="I13" s="38">
        <f>SUMIFS('[9]inland_taf_hatchgrp_tableraw&amp;yy'!I$3:I$38,'[9]inland_taf_hatchgrp_tableraw&amp;yy'!$AC$3:$AC$38,'2016 Table 11 CWTs exp'!$A13)</f>
        <v>0</v>
      </c>
      <c r="J13" s="40">
        <f>SUMIFS('[9]inland_taf_hatchgrp_tableraw&amp;yy'!J$3:J$38,'[9]inland_taf_hatchgrp_tableraw&amp;yy'!$AC$3:$AC$38,'2016 Table 11 CWTs exp'!$A13)</f>
        <v>318</v>
      </c>
      <c r="K13" s="38">
        <f>SUMIFS('[9]inland_taf_hatchgrp_tableraw&amp;yy'!K$3:K$38,'[9]inland_taf_hatchgrp_tableraw&amp;yy'!$AC$3:$AC$38,'2016 Table 11 CWTs exp'!$A13)</f>
        <v>0</v>
      </c>
      <c r="L13" s="38">
        <f>SUMIFS('[9]inland_taf_hatchgrp_tableraw&amp;yy'!L$3:L$38,'[9]inland_taf_hatchgrp_tableraw&amp;yy'!$AC$3:$AC$38,'2016 Table 11 CWTs exp'!$A13)</f>
        <v>0</v>
      </c>
      <c r="M13" s="38">
        <f>SUMIFS('[9]inland_taf_hatchgrp_tableraw&amp;yy'!M$3:M$38,'[9]inland_taf_hatchgrp_tableraw&amp;yy'!$AC$3:$AC$38,'2016 Table 11 CWTs exp'!$A13)</f>
        <v>0</v>
      </c>
      <c r="N13" s="38">
        <f>SUMIFS('[9]inland_taf_hatchgrp_tableraw&amp;yy'!N$3:N$38,'[9]inland_taf_hatchgrp_tableraw&amp;yy'!$AC$3:$AC$38,'2016 Table 11 CWTs exp'!$A13)</f>
        <v>0</v>
      </c>
      <c r="O13" s="38">
        <f>SUMIFS('[9]inland_taf_hatchgrp_tableraw&amp;yy'!O$3:O$38,'[9]inland_taf_hatchgrp_tableraw&amp;yy'!$AC$3:$AC$38,'2016 Table 11 CWTs exp'!$A13)</f>
        <v>36</v>
      </c>
      <c r="P13" s="38">
        <f>SUMIFS('[9]inland_taf_hatchgrp_tableraw&amp;yy'!P$3:P$38,'[9]inland_taf_hatchgrp_tableraw&amp;yy'!$AC$3:$AC$38,'2016 Table 11 CWTs exp'!$A13)</f>
        <v>8</v>
      </c>
      <c r="Q13" s="39">
        <f>SUMIFS('[9]inland_taf_hatchgrp_tableraw&amp;yy'!Q$3:Q$38,'[9]inland_taf_hatchgrp_tableraw&amp;yy'!$AC$3:$AC$38,'2016 Table 11 CWTs exp'!$A13)</f>
        <v>0</v>
      </c>
      <c r="R13" s="40">
        <f>SUMIFS('[9]inland_taf_hatchgrp_tableraw&amp;yy'!R$3:R$38,'[9]inland_taf_hatchgrp_tableraw&amp;yy'!$AC$3:$AC$38,'2016 Table 11 CWTs exp'!$A13)</f>
        <v>128</v>
      </c>
      <c r="S13" s="38">
        <f>SUMIFS('[9]inland_taf_hatchgrp_tableraw&amp;yy'!S$3:S$38,'[9]inland_taf_hatchgrp_tableraw&amp;yy'!$AC$3:$AC$38,'2016 Table 11 CWTs exp'!$A13)</f>
        <v>30</v>
      </c>
      <c r="T13" s="38">
        <f>SUMIFS('[9]inland_taf_hatchgrp_tableraw&amp;yy'!T$3:T$38,'[9]inland_taf_hatchgrp_tableraw&amp;yy'!$AC$3:$AC$38,'2016 Table 11 CWTs exp'!$A13)</f>
        <v>16</v>
      </c>
      <c r="U13" s="38">
        <f>SUMIFS('[9]inland_taf_hatchgrp_tableraw&amp;yy'!U$3:U$38,'[9]inland_taf_hatchgrp_tableraw&amp;yy'!$AC$3:$AC$38,'2016 Table 11 CWTs exp'!$A13)</f>
        <v>1999</v>
      </c>
      <c r="V13" s="40">
        <f>SUMIFS('[9]inland_taf_hatchgrp_tableraw&amp;yy'!V$3:V$38,'[9]inland_taf_hatchgrp_tableraw&amp;yy'!$AC$3:$AC$38,'2016 Table 11 CWTs exp'!$A13)</f>
        <v>17</v>
      </c>
      <c r="W13" s="40">
        <f>SUMIFS('[9]inland_taf_hatchgrp_tableraw&amp;yy'!W$3:W$38,'[9]inland_taf_hatchgrp_tableraw&amp;yy'!$AC$3:$AC$38,'2016 Table 11 CWTs exp'!$A13)</f>
        <v>102</v>
      </c>
      <c r="X13" s="38">
        <f>SUMIFS('[9]inland_taf_hatchgrp_tableraw&amp;yy'!X$3:X$38,'[9]inland_taf_hatchgrp_tableraw&amp;yy'!$AC$3:$AC$38,'2016 Table 11 CWTs exp'!$A13)</f>
        <v>0</v>
      </c>
      <c r="Y13" s="41">
        <f>SUMIFS('[9]inland_taf_hatchgrp_tableraw&amp;yy'!Y$3:Y$38,'[9]inland_taf_hatchgrp_tableraw&amp;yy'!$AC$3:$AC$38,'2016 Table 11 CWTs exp'!$A13)</f>
        <v>2653</v>
      </c>
      <c r="Z13" s="42">
        <f>SUMIFS('[9]inland_taf_hatchgrp_tableraw&amp;yy'!Z$3:Z$38,'[9]inland_taf_hatchgrp_tableraw&amp;yy'!$AC$3:$AC$38,'2016 Table 11 CWTs exp'!$A13)</f>
        <v>312</v>
      </c>
      <c r="AA13" s="38">
        <f>SUMIFS('[9]inland_taf_hatchgrp_tableraw&amp;yy'!AA$3:AA$38,'[9]inland_taf_hatchgrp_tableraw&amp;yy'!$AC$3:$AC$38,'2016 Table 11 CWTs exp'!$A13)</f>
        <v>2965</v>
      </c>
      <c r="AB13" s="624">
        <f>W13/AA13</f>
        <v>3.4401349072512646E-2</v>
      </c>
      <c r="AC13" s="624"/>
      <c r="AD13" s="635">
        <f t="shared" si="3"/>
        <v>0.89477234401349071</v>
      </c>
      <c r="AE13" s="604" t="str">
        <f t="shared" si="1"/>
        <v>MRFF503</v>
      </c>
      <c r="AF13" s="603"/>
      <c r="AG13" s="622">
        <f>SUMIFS('[9]inland_taf_hatchgrp_tableraw&amp;yy'!AB$3:AB$38,'[9]inland_taf_hatchgrp_tableraw&amp;yy'!$AC$3:$AC$38,'2016 Table 11 CWTs exp'!$A13)</f>
        <v>0.89500000000000002</v>
      </c>
      <c r="AH13" s="597"/>
      <c r="AI13" s="605">
        <f t="shared" si="4"/>
        <v>0.10522765598650929</v>
      </c>
      <c r="AJ13" s="447">
        <f t="shared" si="5"/>
        <v>312</v>
      </c>
      <c r="AK13" s="451"/>
      <c r="AL13" s="451"/>
      <c r="AM13" s="442"/>
      <c r="AN13" s="442"/>
      <c r="AO13" s="442"/>
      <c r="AP13" s="442"/>
      <c r="AQ13" s="442"/>
      <c r="AR13" s="442"/>
      <c r="AS13" s="442"/>
    </row>
    <row r="14" spans="1:60" ht="14.5" customHeight="1" x14ac:dyDescent="0.25">
      <c r="A14" s="50" t="str">
        <f t="shared" si="0"/>
        <v>CNFH507</v>
      </c>
      <c r="B14" s="13" t="s">
        <v>40</v>
      </c>
      <c r="C14" s="13">
        <v>50</v>
      </c>
      <c r="D14" s="13">
        <v>7</v>
      </c>
      <c r="E14" s="3" t="s">
        <v>56</v>
      </c>
      <c r="F14" s="37" t="s">
        <v>57</v>
      </c>
      <c r="G14" s="38">
        <f>SUMIFS('[9]inland_taf_hatchgrp_tableraw&amp;yy'!G$3:G$38,'[9]inland_taf_hatchgrp_tableraw&amp;yy'!$AC$3:$AC$38,'2016 Table 11 CWTs exp'!$A14)</f>
        <v>0</v>
      </c>
      <c r="H14" s="39">
        <f>SUMIFS('[9]inland_taf_hatchgrp_tableraw&amp;yy'!H$3:H$38,'[9]inland_taf_hatchgrp_tableraw&amp;yy'!$AC$3:$AC$38,'2016 Table 11 CWTs exp'!$A14)</f>
        <v>1657</v>
      </c>
      <c r="I14" s="38">
        <f>SUMIFS('[9]inland_taf_hatchgrp_tableraw&amp;yy'!I$3:I$38,'[9]inland_taf_hatchgrp_tableraw&amp;yy'!$AC$3:$AC$38,'2016 Table 11 CWTs exp'!$A14)</f>
        <v>0</v>
      </c>
      <c r="J14" s="40">
        <f>SUMIFS('[9]inland_taf_hatchgrp_tableraw&amp;yy'!J$3:J$38,'[9]inland_taf_hatchgrp_tableraw&amp;yy'!$AC$3:$AC$38,'2016 Table 11 CWTs exp'!$A14)</f>
        <v>0</v>
      </c>
      <c r="K14" s="38">
        <f>SUMIFS('[9]inland_taf_hatchgrp_tableraw&amp;yy'!K$3:K$38,'[9]inland_taf_hatchgrp_tableraw&amp;yy'!$AC$3:$AC$38,'2016 Table 11 CWTs exp'!$A14)</f>
        <v>0</v>
      </c>
      <c r="L14" s="38">
        <f>SUMIFS('[9]inland_taf_hatchgrp_tableraw&amp;yy'!L$3:L$38,'[9]inland_taf_hatchgrp_tableraw&amp;yy'!$AC$3:$AC$38,'2016 Table 11 CWTs exp'!$A14)</f>
        <v>0</v>
      </c>
      <c r="M14" s="38">
        <f>SUMIFS('[9]inland_taf_hatchgrp_tableraw&amp;yy'!M$3:M$38,'[9]inland_taf_hatchgrp_tableraw&amp;yy'!$AC$3:$AC$38,'2016 Table 11 CWTs exp'!$A14)</f>
        <v>0</v>
      </c>
      <c r="N14" s="38">
        <f>SUMIFS('[9]inland_taf_hatchgrp_tableraw&amp;yy'!N$3:N$38,'[9]inland_taf_hatchgrp_tableraw&amp;yy'!$AC$3:$AC$38,'2016 Table 11 CWTs exp'!$A14)</f>
        <v>0</v>
      </c>
      <c r="O14" s="38">
        <f>SUMIFS('[9]inland_taf_hatchgrp_tableraw&amp;yy'!O$3:O$38,'[9]inland_taf_hatchgrp_tableraw&amp;yy'!$AC$3:$AC$38,'2016 Table 11 CWTs exp'!$A14)</f>
        <v>0</v>
      </c>
      <c r="P14" s="38">
        <f>SUMIFS('[9]inland_taf_hatchgrp_tableraw&amp;yy'!P$3:P$38,'[9]inland_taf_hatchgrp_tableraw&amp;yy'!$AC$3:$AC$38,'2016 Table 11 CWTs exp'!$A14)</f>
        <v>0</v>
      </c>
      <c r="Q14" s="39">
        <f>SUMIFS('[9]inland_taf_hatchgrp_tableraw&amp;yy'!Q$3:Q$38,'[9]inland_taf_hatchgrp_tableraw&amp;yy'!$AC$3:$AC$38,'2016 Table 11 CWTs exp'!$A14)</f>
        <v>0</v>
      </c>
      <c r="R14" s="40">
        <f>SUMIFS('[9]inland_taf_hatchgrp_tableraw&amp;yy'!R$3:R$38,'[9]inland_taf_hatchgrp_tableraw&amp;yy'!$AC$3:$AC$38,'2016 Table 11 CWTs exp'!$A14)</f>
        <v>0</v>
      </c>
      <c r="S14" s="38">
        <f>SUMIFS('[9]inland_taf_hatchgrp_tableraw&amp;yy'!S$3:S$38,'[9]inland_taf_hatchgrp_tableraw&amp;yy'!$AC$3:$AC$38,'2016 Table 11 CWTs exp'!$A14)</f>
        <v>0</v>
      </c>
      <c r="T14" s="38">
        <f>SUMIFS('[9]inland_taf_hatchgrp_tableraw&amp;yy'!T$3:T$38,'[9]inland_taf_hatchgrp_tableraw&amp;yy'!$AC$3:$AC$38,'2016 Table 11 CWTs exp'!$A14)</f>
        <v>0</v>
      </c>
      <c r="U14" s="38">
        <f>SUMIFS('[9]inland_taf_hatchgrp_tableraw&amp;yy'!U$3:U$38,'[9]inland_taf_hatchgrp_tableraw&amp;yy'!$AC$3:$AC$38,'2016 Table 11 CWTs exp'!$A14)</f>
        <v>0</v>
      </c>
      <c r="V14" s="40">
        <f>SUMIFS('[9]inland_taf_hatchgrp_tableraw&amp;yy'!V$3:V$38,'[9]inland_taf_hatchgrp_tableraw&amp;yy'!$AC$3:$AC$38,'2016 Table 11 CWTs exp'!$A14)</f>
        <v>0</v>
      </c>
      <c r="W14" s="40">
        <f>SUMIFS('[9]inland_taf_hatchgrp_tableraw&amp;yy'!W$3:W$38,'[9]inland_taf_hatchgrp_tableraw&amp;yy'!$AC$3:$AC$38,'2016 Table 11 CWTs exp'!$A14)</f>
        <v>0</v>
      </c>
      <c r="X14" s="38">
        <f>SUMIFS('[9]inland_taf_hatchgrp_tableraw&amp;yy'!X$3:X$38,'[9]inland_taf_hatchgrp_tableraw&amp;yy'!$AC$3:$AC$38,'2016 Table 11 CWTs exp'!$A14)</f>
        <v>0</v>
      </c>
      <c r="Y14" s="41">
        <f>SUMIFS('[9]inland_taf_hatchgrp_tableraw&amp;yy'!Y$3:Y$38,'[9]inland_taf_hatchgrp_tableraw&amp;yy'!$AC$3:$AC$38,'2016 Table 11 CWTs exp'!$A14)</f>
        <v>1657</v>
      </c>
      <c r="Z14" s="42">
        <f>SUMIFS('[9]inland_taf_hatchgrp_tableraw&amp;yy'!Z$3:Z$38,'[9]inland_taf_hatchgrp_tableraw&amp;yy'!$AC$3:$AC$38,'2016 Table 11 CWTs exp'!$A14)</f>
        <v>4</v>
      </c>
      <c r="AA14" s="38">
        <f>SUMIFS('[9]inland_taf_hatchgrp_tableraw&amp;yy'!AA$3:AA$38,'[9]inland_taf_hatchgrp_tableraw&amp;yy'!$AC$3:$AC$38,'2016 Table 11 CWTs exp'!$A14)</f>
        <v>1661</v>
      </c>
      <c r="AB14" s="634"/>
      <c r="AC14" s="634"/>
      <c r="AD14" s="635">
        <f t="shared" si="3"/>
        <v>0.99759181216134862</v>
      </c>
      <c r="AE14" s="604" t="str">
        <f t="shared" si="1"/>
        <v>CNFH507</v>
      </c>
      <c r="AF14" s="603"/>
      <c r="AG14" s="622">
        <f>SUMIFS('[9]inland_taf_hatchgrp_tableraw&amp;yy'!AB$3:AB$38,'[9]inland_taf_hatchgrp_tableraw&amp;yy'!$AC$3:$AC$38,'2016 Table 11 CWTs exp'!$A14)</f>
        <v>0.998</v>
      </c>
      <c r="AH14" s="597"/>
      <c r="AI14" s="592">
        <f>AVERAGE(AI9:AI13)</f>
        <v>0.10583828945971918</v>
      </c>
      <c r="AJ14" s="447">
        <f>SUM(AJ9:AJ13)</f>
        <v>4351</v>
      </c>
      <c r="AK14" s="448">
        <f>AJ14/AA17</f>
        <v>8.9449446979976158E-2</v>
      </c>
      <c r="AL14" s="451"/>
      <c r="AM14" s="442"/>
      <c r="AN14" s="442"/>
      <c r="AO14" s="442"/>
      <c r="AP14" s="442"/>
      <c r="AQ14" s="442"/>
      <c r="AR14" s="442"/>
      <c r="AS14" s="442"/>
    </row>
    <row r="15" spans="1:60" ht="14.5" customHeight="1" x14ac:dyDescent="0.25">
      <c r="A15" s="50" t="str">
        <f t="shared" si="0"/>
        <v>CNFW527</v>
      </c>
      <c r="B15" s="13" t="s">
        <v>59</v>
      </c>
      <c r="C15" s="13">
        <v>52</v>
      </c>
      <c r="D15" s="13">
        <v>7</v>
      </c>
      <c r="E15" s="3" t="s">
        <v>60</v>
      </c>
      <c r="F15" s="37" t="s">
        <v>57</v>
      </c>
      <c r="G15" s="38">
        <f>SUMIFS('[9]inland_taf_hatchgrp_tableraw&amp;yy'!G$3:G$38,'[9]inland_taf_hatchgrp_tableraw&amp;yy'!$AC$3:$AC$38,'2016 Table 11 CWTs exp'!$A15)</f>
        <v>0</v>
      </c>
      <c r="H15" s="39">
        <f>SUMIFS('[9]inland_taf_hatchgrp_tableraw&amp;yy'!H$3:H$38,'[9]inland_taf_hatchgrp_tableraw&amp;yy'!$AC$3:$AC$38,'2016 Table 11 CWTs exp'!$A15)</f>
        <v>48</v>
      </c>
      <c r="I15" s="38">
        <f>SUMIFS('[9]inland_taf_hatchgrp_tableraw&amp;yy'!I$3:I$38,'[9]inland_taf_hatchgrp_tableraw&amp;yy'!$AC$3:$AC$38,'2016 Table 11 CWTs exp'!$A15)</f>
        <v>0</v>
      </c>
      <c r="J15" s="40">
        <f>SUMIFS('[9]inland_taf_hatchgrp_tableraw&amp;yy'!J$3:J$38,'[9]inland_taf_hatchgrp_tableraw&amp;yy'!$AC$3:$AC$38,'2016 Table 11 CWTs exp'!$A15)</f>
        <v>0</v>
      </c>
      <c r="K15" s="38">
        <f>SUMIFS('[9]inland_taf_hatchgrp_tableraw&amp;yy'!K$3:K$38,'[9]inland_taf_hatchgrp_tableraw&amp;yy'!$AC$3:$AC$38,'2016 Table 11 CWTs exp'!$A15)</f>
        <v>0</v>
      </c>
      <c r="L15" s="38">
        <f>SUMIFS('[9]inland_taf_hatchgrp_tableraw&amp;yy'!L$3:L$38,'[9]inland_taf_hatchgrp_tableraw&amp;yy'!$AC$3:$AC$38,'2016 Table 11 CWTs exp'!$A15)</f>
        <v>0</v>
      </c>
      <c r="M15" s="38">
        <f>SUMIFS('[9]inland_taf_hatchgrp_tableraw&amp;yy'!M$3:M$38,'[9]inland_taf_hatchgrp_tableraw&amp;yy'!$AC$3:$AC$38,'2016 Table 11 CWTs exp'!$A15)</f>
        <v>0</v>
      </c>
      <c r="N15" s="38">
        <f>SUMIFS('[9]inland_taf_hatchgrp_tableraw&amp;yy'!N$3:N$38,'[9]inland_taf_hatchgrp_tableraw&amp;yy'!$AC$3:$AC$38,'2016 Table 11 CWTs exp'!$A15)</f>
        <v>0</v>
      </c>
      <c r="O15" s="38">
        <f>SUMIFS('[9]inland_taf_hatchgrp_tableraw&amp;yy'!O$3:O$38,'[9]inland_taf_hatchgrp_tableraw&amp;yy'!$AC$3:$AC$38,'2016 Table 11 CWTs exp'!$A15)</f>
        <v>0</v>
      </c>
      <c r="P15" s="38">
        <f>SUMIFS('[9]inland_taf_hatchgrp_tableraw&amp;yy'!P$3:P$38,'[9]inland_taf_hatchgrp_tableraw&amp;yy'!$AC$3:$AC$38,'2016 Table 11 CWTs exp'!$A15)</f>
        <v>0</v>
      </c>
      <c r="Q15" s="39">
        <f>SUMIFS('[9]inland_taf_hatchgrp_tableraw&amp;yy'!Q$3:Q$38,'[9]inland_taf_hatchgrp_tableraw&amp;yy'!$AC$3:$AC$38,'2016 Table 11 CWTs exp'!$A15)</f>
        <v>0</v>
      </c>
      <c r="R15" s="40">
        <f>SUMIFS('[9]inland_taf_hatchgrp_tableraw&amp;yy'!R$3:R$38,'[9]inland_taf_hatchgrp_tableraw&amp;yy'!$AC$3:$AC$38,'2016 Table 11 CWTs exp'!$A15)</f>
        <v>0</v>
      </c>
      <c r="S15" s="38">
        <f>SUMIFS('[9]inland_taf_hatchgrp_tableraw&amp;yy'!S$3:S$38,'[9]inland_taf_hatchgrp_tableraw&amp;yy'!$AC$3:$AC$38,'2016 Table 11 CWTs exp'!$A15)</f>
        <v>0</v>
      </c>
      <c r="T15" s="38">
        <f>SUMIFS('[9]inland_taf_hatchgrp_tableraw&amp;yy'!T$3:T$38,'[9]inland_taf_hatchgrp_tableraw&amp;yy'!$AC$3:$AC$38,'2016 Table 11 CWTs exp'!$A15)</f>
        <v>0</v>
      </c>
      <c r="U15" s="38">
        <f>SUMIFS('[9]inland_taf_hatchgrp_tableraw&amp;yy'!U$3:U$38,'[9]inland_taf_hatchgrp_tableraw&amp;yy'!$AC$3:$AC$38,'2016 Table 11 CWTs exp'!$A15)</f>
        <v>0</v>
      </c>
      <c r="V15" s="40">
        <f>SUMIFS('[9]inland_taf_hatchgrp_tableraw&amp;yy'!V$3:V$38,'[9]inland_taf_hatchgrp_tableraw&amp;yy'!$AC$3:$AC$38,'2016 Table 11 CWTs exp'!$A15)</f>
        <v>0</v>
      </c>
      <c r="W15" s="40">
        <f>SUMIFS('[9]inland_taf_hatchgrp_tableraw&amp;yy'!W$3:W$38,'[9]inland_taf_hatchgrp_tableraw&amp;yy'!$AC$3:$AC$38,'2016 Table 11 CWTs exp'!$A15)</f>
        <v>0</v>
      </c>
      <c r="X15" s="38">
        <f>SUMIFS('[9]inland_taf_hatchgrp_tableraw&amp;yy'!X$3:X$38,'[9]inland_taf_hatchgrp_tableraw&amp;yy'!$AC$3:$AC$38,'2016 Table 11 CWTs exp'!$A15)</f>
        <v>0</v>
      </c>
      <c r="Y15" s="41">
        <f>SUMIFS('[9]inland_taf_hatchgrp_tableraw&amp;yy'!Y$3:Y$38,'[9]inland_taf_hatchgrp_tableraw&amp;yy'!$AC$3:$AC$38,'2016 Table 11 CWTs exp'!$A15)</f>
        <v>48</v>
      </c>
      <c r="Z15" s="42">
        <f>SUMIFS('[9]inland_taf_hatchgrp_tableraw&amp;yy'!Z$3:Z$38,'[9]inland_taf_hatchgrp_tableraw&amp;yy'!$AC$3:$AC$38,'2016 Table 11 CWTs exp'!$A15)</f>
        <v>0</v>
      </c>
      <c r="AA15" s="38">
        <f>SUMIFS('[9]inland_taf_hatchgrp_tableraw&amp;yy'!AA$3:AA$38,'[9]inland_taf_hatchgrp_tableraw&amp;yy'!$AC$3:$AC$38,'2016 Table 11 CWTs exp'!$A15)</f>
        <v>48</v>
      </c>
      <c r="AB15" s="634"/>
      <c r="AC15" s="634"/>
      <c r="AD15" s="635">
        <f t="shared" si="3"/>
        <v>1</v>
      </c>
      <c r="AE15" s="604" t="str">
        <f t="shared" si="1"/>
        <v>CNFW527</v>
      </c>
      <c r="AF15" s="444">
        <f>SUM(Y7:Y15)</f>
        <v>47504</v>
      </c>
      <c r="AG15" s="622">
        <f>SUMIFS('[9]inland_taf_hatchgrp_tableraw&amp;yy'!AB$3:AB$38,'[9]inland_taf_hatchgrp_tableraw&amp;yy'!$AC$3:$AC$38,'2016 Table 11 CWTs exp'!$A15)</f>
        <v>1</v>
      </c>
      <c r="AH15" s="606">
        <f>SUM(AA7:AA15)</f>
        <v>52001</v>
      </c>
      <c r="AI15" s="600" t="s">
        <v>58</v>
      </c>
      <c r="AJ15" s="599"/>
      <c r="AK15" s="451"/>
      <c r="AL15" s="451"/>
      <c r="AM15" s="442"/>
      <c r="AN15" s="442"/>
      <c r="AO15" s="442"/>
      <c r="AP15" s="442"/>
      <c r="AQ15" s="442"/>
      <c r="AR15" s="442"/>
      <c r="AS15" s="442"/>
    </row>
    <row r="16" spans="1:60" ht="14.5" customHeight="1" x14ac:dyDescent="0.25">
      <c r="A16" s="50" t="str">
        <f t="shared" si="0"/>
        <v>KESW507</v>
      </c>
      <c r="B16" s="13" t="s">
        <v>43</v>
      </c>
      <c r="C16" s="13">
        <v>50</v>
      </c>
      <c r="D16" s="13">
        <v>7</v>
      </c>
      <c r="E16" s="3" t="s">
        <v>44</v>
      </c>
      <c r="F16" s="37" t="s">
        <v>57</v>
      </c>
      <c r="G16" s="38"/>
      <c r="H16" s="39">
        <f>SUMIFS('[9]inland_taf_hatchgrp_tableraw&amp;yy'!H$3:H$38,'[9]inland_taf_hatchgrp_tableraw&amp;yy'!$AC$3:$AC$38,'2016 Table 11 CWTs exp'!$A16)</f>
        <v>2</v>
      </c>
      <c r="I16" s="38">
        <f>SUMIFS('[9]inland_taf_hatchgrp_tableraw&amp;yy'!I$3:I$38,'[9]inland_taf_hatchgrp_tableraw&amp;yy'!$AC$3:$AC$38,'2016 Table 11 CWTs exp'!$A16)</f>
        <v>0</v>
      </c>
      <c r="J16" s="40">
        <f>SUMIFS('[9]inland_taf_hatchgrp_tableraw&amp;yy'!J$3:J$38,'[9]inland_taf_hatchgrp_tableraw&amp;yy'!$AC$3:$AC$38,'2016 Table 11 CWTs exp'!$A16)</f>
        <v>0</v>
      </c>
      <c r="K16" s="38">
        <f>SUMIFS('[9]inland_taf_hatchgrp_tableraw&amp;yy'!K$3:K$38,'[9]inland_taf_hatchgrp_tableraw&amp;yy'!$AC$3:$AC$38,'2016 Table 11 CWTs exp'!$A16)</f>
        <v>0</v>
      </c>
      <c r="L16" s="38">
        <f>SUMIFS('[9]inland_taf_hatchgrp_tableraw&amp;yy'!L$3:L$38,'[9]inland_taf_hatchgrp_tableraw&amp;yy'!$AC$3:$AC$38,'2016 Table 11 CWTs exp'!$A16)</f>
        <v>0</v>
      </c>
      <c r="M16" s="38">
        <f>SUMIFS('[9]inland_taf_hatchgrp_tableraw&amp;yy'!M$3:M$38,'[9]inland_taf_hatchgrp_tableraw&amp;yy'!$AC$3:$AC$38,'2016 Table 11 CWTs exp'!$A16)</f>
        <v>0</v>
      </c>
      <c r="N16" s="38">
        <f>SUMIFS('[9]inland_taf_hatchgrp_tableraw&amp;yy'!N$3:N$38,'[9]inland_taf_hatchgrp_tableraw&amp;yy'!$AC$3:$AC$38,'2016 Table 11 CWTs exp'!$A16)</f>
        <v>0</v>
      </c>
      <c r="O16" s="38">
        <f>SUMIFS('[9]inland_taf_hatchgrp_tableraw&amp;yy'!O$3:O$38,'[9]inland_taf_hatchgrp_tableraw&amp;yy'!$AC$3:$AC$38,'2016 Table 11 CWTs exp'!$A16)</f>
        <v>0</v>
      </c>
      <c r="P16" s="38">
        <f>SUMIFS('[9]inland_taf_hatchgrp_tableraw&amp;yy'!P$3:P$38,'[9]inland_taf_hatchgrp_tableraw&amp;yy'!$AC$3:$AC$38,'2016 Table 11 CWTs exp'!$A16)</f>
        <v>0</v>
      </c>
      <c r="Q16" s="39">
        <f>SUMIFS('[9]inland_taf_hatchgrp_tableraw&amp;yy'!Q$3:Q$38,'[9]inland_taf_hatchgrp_tableraw&amp;yy'!$AC$3:$AC$38,'2016 Table 11 CWTs exp'!$A16)</f>
        <v>0</v>
      </c>
      <c r="R16" s="40">
        <f>SUMIFS('[9]inland_taf_hatchgrp_tableraw&amp;yy'!R$3:R$38,'[9]inland_taf_hatchgrp_tableraw&amp;yy'!$AC$3:$AC$38,'2016 Table 11 CWTs exp'!$A16)</f>
        <v>0</v>
      </c>
      <c r="S16" s="38">
        <f>SUMIFS('[9]inland_taf_hatchgrp_tableraw&amp;yy'!S$3:S$38,'[9]inland_taf_hatchgrp_tableraw&amp;yy'!$AC$3:$AC$38,'2016 Table 11 CWTs exp'!$A16)</f>
        <v>0</v>
      </c>
      <c r="T16" s="38">
        <f>SUMIFS('[9]inland_taf_hatchgrp_tableraw&amp;yy'!T$3:T$38,'[9]inland_taf_hatchgrp_tableraw&amp;yy'!$AC$3:$AC$38,'2016 Table 11 CWTs exp'!$A16)</f>
        <v>0</v>
      </c>
      <c r="U16" s="38">
        <f>SUMIFS('[9]inland_taf_hatchgrp_tableraw&amp;yy'!U$3:U$38,'[9]inland_taf_hatchgrp_tableraw&amp;yy'!$AC$3:$AC$38,'2016 Table 11 CWTs exp'!$A16)</f>
        <v>0</v>
      </c>
      <c r="V16" s="40">
        <f>SUMIFS('[9]inland_taf_hatchgrp_tableraw&amp;yy'!V$3:V$38,'[9]inland_taf_hatchgrp_tableraw&amp;yy'!$AC$3:$AC$38,'2016 Table 11 CWTs exp'!$A16)</f>
        <v>0</v>
      </c>
      <c r="W16" s="40">
        <f>SUMIFS('[9]inland_taf_hatchgrp_tableraw&amp;yy'!W$3:W$38,'[9]inland_taf_hatchgrp_tableraw&amp;yy'!$AC$3:$AC$38,'2016 Table 11 CWTs exp'!$A16)</f>
        <v>0</v>
      </c>
      <c r="X16" s="38">
        <f>SUMIFS('[9]inland_taf_hatchgrp_tableraw&amp;yy'!X$3:X$38,'[9]inland_taf_hatchgrp_tableraw&amp;yy'!$AC$3:$AC$38,'2016 Table 11 CWTs exp'!$A16)</f>
        <v>0</v>
      </c>
      <c r="Y16" s="41">
        <f>SUMIFS('[9]inland_taf_hatchgrp_tableraw&amp;yy'!Y$3:Y$38,'[9]inland_taf_hatchgrp_tableraw&amp;yy'!$AC$3:$AC$38,'2016 Table 11 CWTs exp'!$A16)</f>
        <v>2</v>
      </c>
      <c r="Z16" s="42">
        <f>SUMIFS('[9]inland_taf_hatchgrp_tableraw&amp;yy'!Z$3:Z$38,'[9]inland_taf_hatchgrp_tableraw&amp;yy'!$AC$3:$AC$38,'2016 Table 11 CWTs exp'!$A16)</f>
        <v>11</v>
      </c>
      <c r="AA16" s="38">
        <f>SUMIFS('[9]inland_taf_hatchgrp_tableraw&amp;yy'!AA$3:AA$38,'[9]inland_taf_hatchgrp_tableraw&amp;yy'!$AC$3:$AC$38,'2016 Table 11 CWTs exp'!$A16)</f>
        <v>13</v>
      </c>
      <c r="AB16" s="634"/>
      <c r="AC16" s="634"/>
      <c r="AD16" s="635">
        <f t="shared" si="3"/>
        <v>0.15384615384615385</v>
      </c>
      <c r="AE16" s="604" t="str">
        <f t="shared" si="1"/>
        <v>KESW507</v>
      </c>
      <c r="AF16" s="444"/>
      <c r="AG16" s="622">
        <f>SUMIFS('[9]inland_taf_hatchgrp_tableraw&amp;yy'!AB$3:AB$38,'[9]inland_taf_hatchgrp_tableraw&amp;yy'!$AC$3:$AC$38,'2016 Table 11 CWTs exp'!$A16)</f>
        <v>0.154</v>
      </c>
      <c r="AH16" s="606"/>
      <c r="AI16" s="600"/>
      <c r="AJ16" s="599"/>
      <c r="AK16" s="451"/>
      <c r="AL16" s="451"/>
      <c r="AM16" s="442"/>
      <c r="AN16" s="442"/>
      <c r="AO16" s="442"/>
      <c r="AP16" s="442"/>
      <c r="AQ16" s="442"/>
      <c r="AR16" s="442"/>
      <c r="AS16" s="442"/>
    </row>
    <row r="17" spans="1:51" ht="14.15" customHeight="1" x14ac:dyDescent="0.3">
      <c r="A17" s="55"/>
      <c r="B17" s="56"/>
      <c r="C17" s="56"/>
      <c r="D17" s="56"/>
      <c r="E17" s="743" t="s">
        <v>188</v>
      </c>
      <c r="F17" s="743"/>
      <c r="G17" s="57">
        <f>SUM(G8:G13)</f>
        <v>0</v>
      </c>
      <c r="H17" s="58">
        <f t="shared" ref="H17:AA17" si="6">SUM(H8:H13)</f>
        <v>0</v>
      </c>
      <c r="I17" s="59">
        <f t="shared" si="6"/>
        <v>6418</v>
      </c>
      <c r="J17" s="60">
        <f t="shared" si="6"/>
        <v>4425</v>
      </c>
      <c r="K17" s="59">
        <f t="shared" si="6"/>
        <v>722</v>
      </c>
      <c r="L17" s="59">
        <f t="shared" si="6"/>
        <v>919</v>
      </c>
      <c r="M17" s="59">
        <f t="shared" si="6"/>
        <v>10</v>
      </c>
      <c r="N17" s="59">
        <f t="shared" si="6"/>
        <v>616</v>
      </c>
      <c r="O17" s="59">
        <f t="shared" si="6"/>
        <v>13430</v>
      </c>
      <c r="P17" s="59">
        <f t="shared" si="6"/>
        <v>2814</v>
      </c>
      <c r="Q17" s="58">
        <f t="shared" si="6"/>
        <v>497</v>
      </c>
      <c r="R17" s="60">
        <f t="shared" si="6"/>
        <v>8489</v>
      </c>
      <c r="S17" s="59">
        <f t="shared" si="6"/>
        <v>125</v>
      </c>
      <c r="T17" s="59">
        <f t="shared" si="6"/>
        <v>153</v>
      </c>
      <c r="U17" s="59">
        <f t="shared" si="6"/>
        <v>5086</v>
      </c>
      <c r="V17" s="60">
        <f t="shared" si="6"/>
        <v>144</v>
      </c>
      <c r="W17" s="60">
        <f t="shared" si="6"/>
        <v>384</v>
      </c>
      <c r="X17" s="59">
        <f t="shared" si="6"/>
        <v>0</v>
      </c>
      <c r="Y17" s="188">
        <f t="shared" si="6"/>
        <v>44232</v>
      </c>
      <c r="Z17" s="189">
        <f t="shared" si="6"/>
        <v>4410</v>
      </c>
      <c r="AA17" s="59">
        <f t="shared" si="6"/>
        <v>48642</v>
      </c>
      <c r="AB17" s="630"/>
      <c r="AC17" s="630"/>
      <c r="AD17" s="635">
        <f t="shared" si="3"/>
        <v>0.90933760947329467</v>
      </c>
      <c r="AE17" s="562"/>
      <c r="AF17" s="607"/>
      <c r="AG17" s="622">
        <f>SUMIFS('[9]inland_taf_hatchgrp_tableraw&amp;yy'!AB$3:AB$38,'[9]inland_taf_hatchgrp_tableraw&amp;yy'!$AC$3:$AC$38,'2016 Table 11 CWTs exp'!$A17)</f>
        <v>0</v>
      </c>
      <c r="AH17" s="608"/>
      <c r="AI17" s="608"/>
      <c r="AJ17" s="609"/>
      <c r="AK17" s="610"/>
      <c r="AL17" s="610"/>
      <c r="AM17" s="442"/>
      <c r="AN17" s="442"/>
      <c r="AO17" s="442"/>
      <c r="AP17" s="442"/>
      <c r="AQ17" s="442"/>
      <c r="AR17" s="442"/>
      <c r="AS17" s="442"/>
    </row>
    <row r="18" spans="1:51" ht="14.15" customHeight="1" x14ac:dyDescent="0.3">
      <c r="A18" s="50" t="s">
        <v>62</v>
      </c>
      <c r="B18" s="13"/>
      <c r="C18" s="13"/>
      <c r="D18" s="13"/>
      <c r="E18" s="26" t="s">
        <v>63</v>
      </c>
      <c r="F18" s="47"/>
      <c r="G18" s="68"/>
      <c r="H18" s="69"/>
      <c r="I18" s="68"/>
      <c r="J18" s="70"/>
      <c r="K18" s="68"/>
      <c r="L18" s="68"/>
      <c r="M18" s="68"/>
      <c r="N18" s="68"/>
      <c r="O18" s="68"/>
      <c r="P18" s="68"/>
      <c r="Q18" s="69"/>
      <c r="R18" s="70"/>
      <c r="S18" s="68"/>
      <c r="T18" s="68"/>
      <c r="U18" s="68"/>
      <c r="V18" s="70"/>
      <c r="W18" s="70"/>
      <c r="X18" s="68"/>
      <c r="Y18" s="86"/>
      <c r="Z18" s="87"/>
      <c r="AA18" s="68"/>
      <c r="AB18" s="611"/>
      <c r="AC18" s="611"/>
      <c r="AD18" s="611"/>
      <c r="AE18" s="611"/>
      <c r="AF18" s="442"/>
      <c r="AG18" s="597"/>
      <c r="AH18" s="597"/>
      <c r="AI18" s="597"/>
      <c r="AJ18" s="599"/>
      <c r="AK18" s="451"/>
      <c r="AL18" s="451"/>
      <c r="AM18" s="442"/>
      <c r="AN18" s="442"/>
      <c r="AO18" s="442"/>
      <c r="AP18" s="442"/>
      <c r="AQ18" s="442"/>
      <c r="AR18" s="442"/>
      <c r="AS18" s="442"/>
    </row>
    <row r="19" spans="1:51" ht="14.5" customHeight="1" x14ac:dyDescent="0.25">
      <c r="A19" s="50" t="str">
        <f t="shared" ref="A19:A39" si="7">CONCATENATE(B19,C19,D19)</f>
        <v>USAC544</v>
      </c>
      <c r="B19" s="13" t="s">
        <v>64</v>
      </c>
      <c r="C19" s="13">
        <v>54</v>
      </c>
      <c r="D19" s="13">
        <v>4</v>
      </c>
      <c r="E19" s="3" t="s">
        <v>65</v>
      </c>
      <c r="F19" s="28" t="str">
        <f>LOOKUP(D19,$AL$7:$AL$10,$AM$7:$AM$10)</f>
        <v>Winter</v>
      </c>
      <c r="G19" s="44">
        <f>SUMIFS('[9]inland_taf_hatchgrp_tableraw&amp;yy'!G$3:G$38,'[9]inland_taf_hatchgrp_tableraw&amp;yy'!$AC$3:$AC$38,'2016 Table 11 CWTs exp'!$A19)</f>
        <v>362</v>
      </c>
      <c r="H19" s="45">
        <f>SUMIFS('[9]inland_taf_hatchgrp_tableraw&amp;yy'!H$3:H$38,'[9]inland_taf_hatchgrp_tableraw&amp;yy'!$AC$3:$AC$38,'2016 Table 11 CWTs exp'!$A19)</f>
        <v>0</v>
      </c>
      <c r="I19" s="44">
        <f>SUMIFS('[9]inland_taf_hatchgrp_tableraw&amp;yy'!I$3:I$38,'[9]inland_taf_hatchgrp_tableraw&amp;yy'!$AC$3:$AC$38,'2016 Table 11 CWTs exp'!$A19)</f>
        <v>0</v>
      </c>
      <c r="J19" s="46">
        <f>SUMIFS('[9]inland_taf_hatchgrp_tableraw&amp;yy'!J$3:J$38,'[9]inland_taf_hatchgrp_tableraw&amp;yy'!$AC$3:$AC$38,'2016 Table 11 CWTs exp'!$A19)</f>
        <v>0</v>
      </c>
      <c r="K19" s="44">
        <f>SUMIFS('[9]inland_taf_hatchgrp_tableraw&amp;yy'!K$3:K$38,'[9]inland_taf_hatchgrp_tableraw&amp;yy'!$AC$3:$AC$38,'2016 Table 11 CWTs exp'!$A19)</f>
        <v>0</v>
      </c>
      <c r="L19" s="44">
        <f>SUMIFS('[9]inland_taf_hatchgrp_tableraw&amp;yy'!L$3:L$38,'[9]inland_taf_hatchgrp_tableraw&amp;yy'!$AC$3:$AC$38,'2016 Table 11 CWTs exp'!$A19)</f>
        <v>0</v>
      </c>
      <c r="M19" s="44">
        <f>SUMIFS('[9]inland_taf_hatchgrp_tableraw&amp;yy'!M$3:M$38,'[9]inland_taf_hatchgrp_tableraw&amp;yy'!$AC$3:$AC$38,'2016 Table 11 CWTs exp'!$A19)</f>
        <v>0</v>
      </c>
      <c r="N19" s="44">
        <f>SUMIFS('[9]inland_taf_hatchgrp_tableraw&amp;yy'!N$3:N$38,'[9]inland_taf_hatchgrp_tableraw&amp;yy'!$AC$3:$AC$38,'2016 Table 11 CWTs exp'!$A19)</f>
        <v>0</v>
      </c>
      <c r="O19" s="44">
        <f>SUMIFS('[9]inland_taf_hatchgrp_tableraw&amp;yy'!O$3:O$38,'[9]inland_taf_hatchgrp_tableraw&amp;yy'!$AC$3:$AC$38,'2016 Table 11 CWTs exp'!$A19)</f>
        <v>0</v>
      </c>
      <c r="P19" s="44">
        <f>SUMIFS('[9]inland_taf_hatchgrp_tableraw&amp;yy'!P$3:P$38,'[9]inland_taf_hatchgrp_tableraw&amp;yy'!$AC$3:$AC$38,'2016 Table 11 CWTs exp'!$A19)</f>
        <v>0</v>
      </c>
      <c r="Q19" s="45">
        <f>SUMIFS('[9]inland_taf_hatchgrp_tableraw&amp;yy'!Q$3:Q$38,'[9]inland_taf_hatchgrp_tableraw&amp;yy'!$AC$3:$AC$38,'2016 Table 11 CWTs exp'!$A19)</f>
        <v>0</v>
      </c>
      <c r="R19" s="46">
        <f>SUMIFS('[9]inland_taf_hatchgrp_tableraw&amp;yy'!R$3:R$38,'[9]inland_taf_hatchgrp_tableraw&amp;yy'!$AC$3:$AC$38,'2016 Table 11 CWTs exp'!$A19)</f>
        <v>0</v>
      </c>
      <c r="S19" s="44">
        <f>SUMIFS('[9]inland_taf_hatchgrp_tableraw&amp;yy'!S$3:S$38,'[9]inland_taf_hatchgrp_tableraw&amp;yy'!$AC$3:$AC$38,'2016 Table 11 CWTs exp'!$A19)</f>
        <v>0</v>
      </c>
      <c r="T19" s="44">
        <f>SUMIFS('[9]inland_taf_hatchgrp_tableraw&amp;yy'!T$3:T$38,'[9]inland_taf_hatchgrp_tableraw&amp;yy'!$AC$3:$AC$38,'2016 Table 11 CWTs exp'!$A19)</f>
        <v>0</v>
      </c>
      <c r="U19" s="44">
        <f>SUMIFS('[9]inland_taf_hatchgrp_tableraw&amp;yy'!U$3:U$38,'[9]inland_taf_hatchgrp_tableraw&amp;yy'!$AC$3:$AC$38,'2016 Table 11 CWTs exp'!$A19)</f>
        <v>0</v>
      </c>
      <c r="V19" s="46">
        <f>SUMIFS('[9]inland_taf_hatchgrp_tableraw&amp;yy'!V$3:V$38,'[9]inland_taf_hatchgrp_tableraw&amp;yy'!$AC$3:$AC$38,'2016 Table 11 CWTs exp'!$A19)</f>
        <v>0</v>
      </c>
      <c r="W19" s="46">
        <f>SUMIFS('[9]inland_taf_hatchgrp_tableraw&amp;yy'!W$3:W$38,'[9]inland_taf_hatchgrp_tableraw&amp;yy'!$AC$3:$AC$38,'2016 Table 11 CWTs exp'!$A19)</f>
        <v>0</v>
      </c>
      <c r="X19" s="44">
        <f>SUMIFS('[9]inland_taf_hatchgrp_tableraw&amp;yy'!X$3:X$38,'[9]inland_taf_hatchgrp_tableraw&amp;yy'!$AC$3:$AC$38,'2016 Table 11 CWTs exp'!$A19)</f>
        <v>0</v>
      </c>
      <c r="Y19" s="84">
        <f>SUMIFS('[9]inland_taf_hatchgrp_tableraw&amp;yy'!Y$3:Y$38,'[9]inland_taf_hatchgrp_tableraw&amp;yy'!$AC$3:$AC$38,'2016 Table 11 CWTs exp'!$A19)</f>
        <v>362</v>
      </c>
      <c r="Z19" s="85">
        <f>SUMIFS('[9]inland_taf_hatchgrp_tableraw&amp;yy'!Z$3:Z$38,'[9]inland_taf_hatchgrp_tableraw&amp;yy'!$AC$3:$AC$38,'2016 Table 11 CWTs exp'!$A19)</f>
        <v>1047</v>
      </c>
      <c r="AA19" s="44">
        <f>SUMIFS('[9]inland_taf_hatchgrp_tableraw&amp;yy'!AA$3:AA$38,'[9]inland_taf_hatchgrp_tableraw&amp;yy'!$AC$3:$AC$38,'2016 Table 11 CWTs exp'!$A19)</f>
        <v>1409</v>
      </c>
      <c r="AB19" s="636"/>
      <c r="AC19" s="636"/>
      <c r="AD19" s="635">
        <f t="shared" ref="AD19:AD40" si="8">Y19/AA19</f>
        <v>0.25691980127750175</v>
      </c>
      <c r="AE19" s="604" t="str">
        <f t="shared" ref="AE19:AE39" si="9">A19</f>
        <v>USAC544</v>
      </c>
      <c r="AF19" s="442"/>
      <c r="AG19" s="622">
        <f>SUMIFS('[9]inland_taf_hatchgrp_tableraw&amp;yy'!AB$3:AB$38,'[9]inland_taf_hatchgrp_tableraw&amp;yy'!$AC$3:$AC$38,'2016 Table 11 CWTs exp'!$A19)</f>
        <v>0.25700000000000001</v>
      </c>
      <c r="AH19" s="623">
        <f t="shared" ref="AH19:AH37" si="10">Z19/AA19</f>
        <v>0.7430801987224982</v>
      </c>
      <c r="AI19" s="597"/>
      <c r="AJ19" s="599"/>
      <c r="AK19" s="451"/>
      <c r="AL19" s="451"/>
      <c r="AM19" s="442"/>
      <c r="AN19" s="442"/>
      <c r="AO19" s="442"/>
      <c r="AP19" s="442"/>
      <c r="AQ19" s="442"/>
      <c r="AR19" s="442"/>
      <c r="AS19" s="442"/>
    </row>
    <row r="20" spans="1:51" ht="12.65" hidden="1" customHeight="1" x14ac:dyDescent="0.25">
      <c r="A20" s="50" t="str">
        <f t="shared" si="7"/>
        <v>BUT541</v>
      </c>
      <c r="B20" s="227" t="s">
        <v>208</v>
      </c>
      <c r="C20" s="227">
        <v>54</v>
      </c>
      <c r="D20" s="227">
        <v>1</v>
      </c>
      <c r="E20" s="3" t="s">
        <v>67</v>
      </c>
      <c r="F20" s="28" t="str">
        <f>LOOKUP(D20,$AL$7:$AL$10,$AM$7:$AM$10)</f>
        <v>Spring</v>
      </c>
      <c r="G20" s="38">
        <f>SUMIFS('[9]inland_taf_hatchgrp_tableraw&amp;yy'!G$3:G$38,'[9]inland_taf_hatchgrp_tableraw&amp;yy'!$AC$3:$AC$38,'2016 Table 11 CWTs exp'!$A20)</f>
        <v>0</v>
      </c>
      <c r="H20" s="39">
        <f>SUMIFS('[9]inland_taf_hatchgrp_tableraw&amp;yy'!H$3:H$38,'[9]inland_taf_hatchgrp_tableraw&amp;yy'!$AC$3:$AC$38,'2016 Table 11 CWTs exp'!$A20)</f>
        <v>0</v>
      </c>
      <c r="I20" s="38">
        <f>SUMIFS('[9]inland_taf_hatchgrp_tableraw&amp;yy'!I$3:I$38,'[9]inland_taf_hatchgrp_tableraw&amp;yy'!$AC$3:$AC$38,'2016 Table 11 CWTs exp'!$A20)</f>
        <v>0</v>
      </c>
      <c r="J20" s="40">
        <f>SUMIFS('[9]inland_taf_hatchgrp_tableraw&amp;yy'!J$3:J$38,'[9]inland_taf_hatchgrp_tableraw&amp;yy'!$AC$3:$AC$38,'2016 Table 11 CWTs exp'!$A20)</f>
        <v>0</v>
      </c>
      <c r="K20" s="38">
        <f>SUMIFS('[9]inland_taf_hatchgrp_tableraw&amp;yy'!K$3:K$38,'[9]inland_taf_hatchgrp_tableraw&amp;yy'!$AC$3:$AC$38,'2016 Table 11 CWTs exp'!$A20)</f>
        <v>0</v>
      </c>
      <c r="L20" s="38">
        <f>SUMIFS('[9]inland_taf_hatchgrp_tableraw&amp;yy'!L$3:L$38,'[9]inland_taf_hatchgrp_tableraw&amp;yy'!$AC$3:$AC$38,'2016 Table 11 CWTs exp'!$A20)</f>
        <v>0</v>
      </c>
      <c r="M20" s="38">
        <f>SUMIFS('[9]inland_taf_hatchgrp_tableraw&amp;yy'!M$3:M$38,'[9]inland_taf_hatchgrp_tableraw&amp;yy'!$AC$3:$AC$38,'2016 Table 11 CWTs exp'!$A20)</f>
        <v>0</v>
      </c>
      <c r="N20" s="38">
        <f>SUMIFS('[9]inland_taf_hatchgrp_tableraw&amp;yy'!N$3:N$38,'[9]inland_taf_hatchgrp_tableraw&amp;yy'!$AC$3:$AC$38,'2016 Table 11 CWTs exp'!$A20)</f>
        <v>0</v>
      </c>
      <c r="O20" s="38">
        <f>SUMIFS('[9]inland_taf_hatchgrp_tableraw&amp;yy'!O$3:O$38,'[9]inland_taf_hatchgrp_tableraw&amp;yy'!$AC$3:$AC$38,'2016 Table 11 CWTs exp'!$A20)</f>
        <v>0</v>
      </c>
      <c r="P20" s="38">
        <f>SUMIFS('[9]inland_taf_hatchgrp_tableraw&amp;yy'!P$3:P$38,'[9]inland_taf_hatchgrp_tableraw&amp;yy'!$AC$3:$AC$38,'2016 Table 11 CWTs exp'!$A20)</f>
        <v>0</v>
      </c>
      <c r="Q20" s="39">
        <f>SUMIFS('[9]inland_taf_hatchgrp_tableraw&amp;yy'!Q$3:Q$38,'[9]inland_taf_hatchgrp_tableraw&amp;yy'!$AC$3:$AC$38,'2016 Table 11 CWTs exp'!$A20)</f>
        <v>0</v>
      </c>
      <c r="R20" s="40">
        <f>SUMIFS('[9]inland_taf_hatchgrp_tableraw&amp;yy'!R$3:R$38,'[9]inland_taf_hatchgrp_tableraw&amp;yy'!$AC$3:$AC$38,'2016 Table 11 CWTs exp'!$A20)</f>
        <v>0</v>
      </c>
      <c r="S20" s="38">
        <f>SUMIFS('[9]inland_taf_hatchgrp_tableraw&amp;yy'!S$3:S$38,'[9]inland_taf_hatchgrp_tableraw&amp;yy'!$AC$3:$AC$38,'2016 Table 11 CWTs exp'!$A20)</f>
        <v>0</v>
      </c>
      <c r="T20" s="38">
        <f>SUMIFS('[9]inland_taf_hatchgrp_tableraw&amp;yy'!T$3:T$38,'[9]inland_taf_hatchgrp_tableraw&amp;yy'!$AC$3:$AC$38,'2016 Table 11 CWTs exp'!$A20)</f>
        <v>0</v>
      </c>
      <c r="U20" s="38">
        <f>SUMIFS('[9]inland_taf_hatchgrp_tableraw&amp;yy'!U$3:U$38,'[9]inland_taf_hatchgrp_tableraw&amp;yy'!$AC$3:$AC$38,'2016 Table 11 CWTs exp'!$A20)</f>
        <v>0</v>
      </c>
      <c r="V20" s="40">
        <f>SUMIFS('[9]inland_taf_hatchgrp_tableraw&amp;yy'!V$3:V$38,'[9]inland_taf_hatchgrp_tableraw&amp;yy'!$AC$3:$AC$38,'2016 Table 11 CWTs exp'!$A20)</f>
        <v>0</v>
      </c>
      <c r="W20" s="40">
        <f>SUMIFS('[9]inland_taf_hatchgrp_tableraw&amp;yy'!W$3:W$38,'[9]inland_taf_hatchgrp_tableraw&amp;yy'!$AC$3:$AC$38,'2016 Table 11 CWTs exp'!$A20)</f>
        <v>0</v>
      </c>
      <c r="X20" s="38">
        <f>SUMIFS('[9]inland_taf_hatchgrp_tableraw&amp;yy'!X$3:X$38,'[9]inland_taf_hatchgrp_tableraw&amp;yy'!$AC$3:$AC$38,'2016 Table 11 CWTs exp'!$A20)</f>
        <v>0</v>
      </c>
      <c r="Y20" s="41">
        <f>SUM(G20:X20)</f>
        <v>0</v>
      </c>
      <c r="Z20" s="42"/>
      <c r="AA20" s="38"/>
      <c r="AB20" s="636"/>
      <c r="AC20" s="636"/>
      <c r="AD20" s="635" t="e">
        <f t="shared" si="8"/>
        <v>#DIV/0!</v>
      </c>
      <c r="AE20" s="604" t="str">
        <f t="shared" si="9"/>
        <v>BUT541</v>
      </c>
      <c r="AF20" s="442"/>
      <c r="AG20" s="622">
        <f>SUMIFS('[9]inland_taf_hatchgrp_tableraw&amp;yy'!AB$3:AB$38,'[9]inland_taf_hatchgrp_tableraw&amp;yy'!$AC$3:$AC$38,'2016 Table 11 CWTs exp'!$A20)</f>
        <v>0</v>
      </c>
      <c r="AH20" s="623" t="e">
        <f t="shared" si="10"/>
        <v>#DIV/0!</v>
      </c>
      <c r="AI20" s="597"/>
      <c r="AJ20" s="599"/>
      <c r="AK20" s="451"/>
      <c r="AL20" s="451"/>
      <c r="AM20" s="442"/>
      <c r="AN20" s="442"/>
      <c r="AO20" s="442"/>
      <c r="AP20" s="442"/>
      <c r="AQ20" s="442"/>
      <c r="AR20" s="442"/>
      <c r="AS20" s="442"/>
    </row>
    <row r="21" spans="1:51" ht="14.5" customHeight="1" x14ac:dyDescent="0.25">
      <c r="A21" s="50" t="str">
        <f t="shared" si="7"/>
        <v>USAC543</v>
      </c>
      <c r="B21" s="13" t="s">
        <v>64</v>
      </c>
      <c r="C21" s="13">
        <v>54</v>
      </c>
      <c r="D21" s="13">
        <v>3</v>
      </c>
      <c r="E21" s="3" t="s">
        <v>65</v>
      </c>
      <c r="F21" s="43" t="str">
        <f>LOOKUP(D21,$AL$7:$AL$10,$AM$7:$AM$10)</f>
        <v>Fall</v>
      </c>
      <c r="G21" s="44">
        <f>SUMIFS('[9]inland_taf_hatchgrp_tableraw&amp;yy'!G$3:G$38,'[9]inland_taf_hatchgrp_tableraw&amp;yy'!$AC$3:$AC$38,'2016 Table 11 CWTs exp'!$A21)</f>
        <v>0</v>
      </c>
      <c r="H21" s="45">
        <f>SUMIFS('[9]inland_taf_hatchgrp_tableraw&amp;yy'!H$3:H$38,'[9]inland_taf_hatchgrp_tableraw&amp;yy'!$AC$3:$AC$38,'2016 Table 11 CWTs exp'!$A21)</f>
        <v>0</v>
      </c>
      <c r="I21" s="44">
        <f>SUMIFS('[9]inland_taf_hatchgrp_tableraw&amp;yy'!I$3:I$38,'[9]inland_taf_hatchgrp_tableraw&amp;yy'!$AC$3:$AC$38,'2016 Table 11 CWTs exp'!$A21)</f>
        <v>638</v>
      </c>
      <c r="J21" s="46">
        <f>SUMIFS('[9]inland_taf_hatchgrp_tableraw&amp;yy'!J$3:J$38,'[9]inland_taf_hatchgrp_tableraw&amp;yy'!$AC$3:$AC$38,'2016 Table 11 CWTs exp'!$A21)</f>
        <v>339</v>
      </c>
      <c r="K21" s="44">
        <f>SUMIFS('[9]inland_taf_hatchgrp_tableraw&amp;yy'!K$3:K$38,'[9]inland_taf_hatchgrp_tableraw&amp;yy'!$AC$3:$AC$38,'2016 Table 11 CWTs exp'!$A21)</f>
        <v>0</v>
      </c>
      <c r="L21" s="44">
        <f>SUMIFS('[9]inland_taf_hatchgrp_tableraw&amp;yy'!L$3:L$38,'[9]inland_taf_hatchgrp_tableraw&amp;yy'!$AC$3:$AC$38,'2016 Table 11 CWTs exp'!$A21)</f>
        <v>10</v>
      </c>
      <c r="M21" s="44">
        <f>SUMIFS('[9]inland_taf_hatchgrp_tableraw&amp;yy'!M$3:M$38,'[9]inland_taf_hatchgrp_tableraw&amp;yy'!$AC$3:$AC$38,'2016 Table 11 CWTs exp'!$A21)</f>
        <v>0</v>
      </c>
      <c r="N21" s="44">
        <f>SUMIFS('[9]inland_taf_hatchgrp_tableraw&amp;yy'!N$3:N$38,'[9]inland_taf_hatchgrp_tableraw&amp;yy'!$AC$3:$AC$38,'2016 Table 11 CWTs exp'!$A21)</f>
        <v>10</v>
      </c>
      <c r="O21" s="44">
        <f>SUMIFS('[9]inland_taf_hatchgrp_tableraw&amp;yy'!O$3:O$38,'[9]inland_taf_hatchgrp_tableraw&amp;yy'!$AC$3:$AC$38,'2016 Table 11 CWTs exp'!$A21)</f>
        <v>302</v>
      </c>
      <c r="P21" s="44">
        <f>SUMIFS('[9]inland_taf_hatchgrp_tableraw&amp;yy'!P$3:P$38,'[9]inland_taf_hatchgrp_tableraw&amp;yy'!$AC$3:$AC$38,'2016 Table 11 CWTs exp'!$A21)</f>
        <v>142</v>
      </c>
      <c r="Q21" s="45">
        <f>SUMIFS('[9]inland_taf_hatchgrp_tableraw&amp;yy'!Q$3:Q$38,'[9]inland_taf_hatchgrp_tableraw&amp;yy'!$AC$3:$AC$38,'2016 Table 11 CWTs exp'!$A21)</f>
        <v>0</v>
      </c>
      <c r="R21" s="46">
        <f>SUMIFS('[9]inland_taf_hatchgrp_tableraw&amp;yy'!R$3:R$38,'[9]inland_taf_hatchgrp_tableraw&amp;yy'!$AC$3:$AC$38,'2016 Table 11 CWTs exp'!$A21)</f>
        <v>75</v>
      </c>
      <c r="S21" s="44">
        <f>SUMIFS('[9]inland_taf_hatchgrp_tableraw&amp;yy'!S$3:S$38,'[9]inland_taf_hatchgrp_tableraw&amp;yy'!$AC$3:$AC$38,'2016 Table 11 CWTs exp'!$A21)</f>
        <v>0</v>
      </c>
      <c r="T21" s="44">
        <f>SUMIFS('[9]inland_taf_hatchgrp_tableraw&amp;yy'!T$3:T$38,'[9]inland_taf_hatchgrp_tableraw&amp;yy'!$AC$3:$AC$38,'2016 Table 11 CWTs exp'!$A21)</f>
        <v>19</v>
      </c>
      <c r="U21" s="44">
        <f>SUMIFS('[9]inland_taf_hatchgrp_tableraw&amp;yy'!U$3:U$38,'[9]inland_taf_hatchgrp_tableraw&amp;yy'!$AC$3:$AC$38,'2016 Table 11 CWTs exp'!$A21)</f>
        <v>75</v>
      </c>
      <c r="V21" s="46">
        <f>SUMIFS('[9]inland_taf_hatchgrp_tableraw&amp;yy'!V$3:V$38,'[9]inland_taf_hatchgrp_tableraw&amp;yy'!$AC$3:$AC$38,'2016 Table 11 CWTs exp'!$A21)</f>
        <v>9</v>
      </c>
      <c r="W21" s="46">
        <f>SUMIFS('[9]inland_taf_hatchgrp_tableraw&amp;yy'!W$3:W$38,'[9]inland_taf_hatchgrp_tableraw&amp;yy'!$AC$3:$AC$38,'2016 Table 11 CWTs exp'!$A21)</f>
        <v>41</v>
      </c>
      <c r="X21" s="44">
        <f>SUMIFS('[9]inland_taf_hatchgrp_tableraw&amp;yy'!X$3:X$38,'[9]inland_taf_hatchgrp_tableraw&amp;yy'!$AC$3:$AC$38,'2016 Table 11 CWTs exp'!$A21)</f>
        <v>0</v>
      </c>
      <c r="Y21" s="84">
        <f>SUMIFS('[9]inland_taf_hatchgrp_tableraw&amp;yy'!Y$3:Y$38,'[9]inland_taf_hatchgrp_tableraw&amp;yy'!$AC$3:$AC$38,'2016 Table 11 CWTs exp'!$A21)</f>
        <v>1660</v>
      </c>
      <c r="Z21" s="85">
        <f>SUMIFS('[9]inland_taf_hatchgrp_tableraw&amp;yy'!Z$3:Z$38,'[9]inland_taf_hatchgrp_tableraw&amp;yy'!$AC$3:$AC$38,'2016 Table 11 CWTs exp'!$A21)</f>
        <v>2629</v>
      </c>
      <c r="AA21" s="44">
        <f>SUMIFS('[9]inland_taf_hatchgrp_tableraw&amp;yy'!AA$3:AA$38,'[9]inland_taf_hatchgrp_tableraw&amp;yy'!$AC$3:$AC$38,'2016 Table 11 CWTs exp'!$A21)</f>
        <v>4289</v>
      </c>
      <c r="AB21" s="636"/>
      <c r="AC21" s="636"/>
      <c r="AD21" s="635">
        <f t="shared" si="8"/>
        <v>0.38703660526929357</v>
      </c>
      <c r="AE21" s="604" t="str">
        <f t="shared" si="9"/>
        <v>USAC543</v>
      </c>
      <c r="AF21" s="442"/>
      <c r="AG21" s="622">
        <f>SUMIFS('[9]inland_taf_hatchgrp_tableraw&amp;yy'!AB$3:AB$38,'[9]inland_taf_hatchgrp_tableraw&amp;yy'!$AC$3:$AC$38,'2016 Table 11 CWTs exp'!$A21)</f>
        <v>0.38700000000000001</v>
      </c>
      <c r="AH21" s="623">
        <f t="shared" si="10"/>
        <v>0.61296339473070649</v>
      </c>
      <c r="AI21" s="605">
        <f>1-AD21</f>
        <v>0.61296339473070649</v>
      </c>
      <c r="AJ21" s="447">
        <f t="shared" ref="AJ21:AJ37" si="11">Z21</f>
        <v>2629</v>
      </c>
      <c r="AK21" s="451"/>
      <c r="AL21" s="451"/>
      <c r="AM21" s="442"/>
      <c r="AN21" s="442"/>
      <c r="AO21" s="442"/>
      <c r="AP21" s="442"/>
      <c r="AQ21" s="442"/>
      <c r="AR21" s="442"/>
      <c r="AS21" s="442"/>
    </row>
    <row r="22" spans="1:51" ht="14.5" customHeight="1" x14ac:dyDescent="0.25">
      <c r="A22" s="50" t="str">
        <f t="shared" si="7"/>
        <v>CLR543</v>
      </c>
      <c r="B22" s="13" t="s">
        <v>70</v>
      </c>
      <c r="C22" s="13">
        <v>54</v>
      </c>
      <c r="D22" s="13">
        <v>3</v>
      </c>
      <c r="E22" s="3" t="s">
        <v>71</v>
      </c>
      <c r="F22" s="43" t="str">
        <f>LOOKUP(D22,$AL$7:$AL$10,$AM$7:$AM$10)</f>
        <v>Fall</v>
      </c>
      <c r="G22" s="44">
        <f>SUMIFS('[9]inland_taf_hatchgrp_tableraw&amp;yy'!G$3:G$38,'[9]inland_taf_hatchgrp_tableraw&amp;yy'!$AC$3:$AC$38,'2016 Table 11 CWTs exp'!$A22)</f>
        <v>0</v>
      </c>
      <c r="H22" s="45">
        <f>SUMIFS('[9]inland_taf_hatchgrp_tableraw&amp;yy'!H$3:H$38,'[9]inland_taf_hatchgrp_tableraw&amp;yy'!$AC$3:$AC$38,'2016 Table 11 CWTs exp'!$A22)</f>
        <v>20</v>
      </c>
      <c r="I22" s="44">
        <f>SUMIFS('[9]inland_taf_hatchgrp_tableraw&amp;yy'!I$3:I$38,'[9]inland_taf_hatchgrp_tableraw&amp;yy'!$AC$3:$AC$38,'2016 Table 11 CWTs exp'!$A22)</f>
        <v>77</v>
      </c>
      <c r="J22" s="46">
        <f>SUMIFS('[9]inland_taf_hatchgrp_tableraw&amp;yy'!J$3:J$38,'[9]inland_taf_hatchgrp_tableraw&amp;yy'!$AC$3:$AC$38,'2016 Table 11 CWTs exp'!$A22)</f>
        <v>233</v>
      </c>
      <c r="K22" s="44">
        <f>SUMIFS('[9]inland_taf_hatchgrp_tableraw&amp;yy'!K$3:K$38,'[9]inland_taf_hatchgrp_tableraw&amp;yy'!$AC$3:$AC$38,'2016 Table 11 CWTs exp'!$A22)</f>
        <v>0</v>
      </c>
      <c r="L22" s="44">
        <f>SUMIFS('[9]inland_taf_hatchgrp_tableraw&amp;yy'!L$3:L$38,'[9]inland_taf_hatchgrp_tableraw&amp;yy'!$AC$3:$AC$38,'2016 Table 11 CWTs exp'!$A22)</f>
        <v>0</v>
      </c>
      <c r="M22" s="44">
        <f>SUMIFS('[9]inland_taf_hatchgrp_tableraw&amp;yy'!M$3:M$38,'[9]inland_taf_hatchgrp_tableraw&amp;yy'!$AC$3:$AC$38,'2016 Table 11 CWTs exp'!$A22)</f>
        <v>0</v>
      </c>
      <c r="N22" s="44">
        <f>SUMIFS('[9]inland_taf_hatchgrp_tableraw&amp;yy'!N$3:N$38,'[9]inland_taf_hatchgrp_tableraw&amp;yy'!$AC$3:$AC$38,'2016 Table 11 CWTs exp'!$A22)</f>
        <v>0</v>
      </c>
      <c r="O22" s="44">
        <f>SUMIFS('[9]inland_taf_hatchgrp_tableraw&amp;yy'!O$3:O$38,'[9]inland_taf_hatchgrp_tableraw&amp;yy'!$AC$3:$AC$38,'2016 Table 11 CWTs exp'!$A22)</f>
        <v>233</v>
      </c>
      <c r="P22" s="44">
        <f>SUMIFS('[9]inland_taf_hatchgrp_tableraw&amp;yy'!P$3:P$38,'[9]inland_taf_hatchgrp_tableraw&amp;yy'!$AC$3:$AC$38,'2016 Table 11 CWTs exp'!$A22)</f>
        <v>79</v>
      </c>
      <c r="Q22" s="45">
        <f>SUMIFS('[9]inland_taf_hatchgrp_tableraw&amp;yy'!Q$3:Q$38,'[9]inland_taf_hatchgrp_tableraw&amp;yy'!$AC$3:$AC$38,'2016 Table 11 CWTs exp'!$A22)</f>
        <v>0</v>
      </c>
      <c r="R22" s="46">
        <f>SUMIFS('[9]inland_taf_hatchgrp_tableraw&amp;yy'!R$3:R$38,'[9]inland_taf_hatchgrp_tableraw&amp;yy'!$AC$3:$AC$38,'2016 Table 11 CWTs exp'!$A22)</f>
        <v>0</v>
      </c>
      <c r="S22" s="44">
        <f>SUMIFS('[9]inland_taf_hatchgrp_tableraw&amp;yy'!S$3:S$38,'[9]inland_taf_hatchgrp_tableraw&amp;yy'!$AC$3:$AC$38,'2016 Table 11 CWTs exp'!$A22)</f>
        <v>0</v>
      </c>
      <c r="T22" s="44">
        <f>SUMIFS('[9]inland_taf_hatchgrp_tableraw&amp;yy'!T$3:T$38,'[9]inland_taf_hatchgrp_tableraw&amp;yy'!$AC$3:$AC$38,'2016 Table 11 CWTs exp'!$A22)</f>
        <v>0</v>
      </c>
      <c r="U22" s="44">
        <f>SUMIFS('[9]inland_taf_hatchgrp_tableraw&amp;yy'!U$3:U$38,'[9]inland_taf_hatchgrp_tableraw&amp;yy'!$AC$3:$AC$38,'2016 Table 11 CWTs exp'!$A22)</f>
        <v>0</v>
      </c>
      <c r="V22" s="46">
        <f>SUMIFS('[9]inland_taf_hatchgrp_tableraw&amp;yy'!V$3:V$38,'[9]inland_taf_hatchgrp_tableraw&amp;yy'!$AC$3:$AC$38,'2016 Table 11 CWTs exp'!$A22)</f>
        <v>0</v>
      </c>
      <c r="W22" s="46">
        <f>SUMIFS('[9]inland_taf_hatchgrp_tableraw&amp;yy'!W$3:W$38,'[9]inland_taf_hatchgrp_tableraw&amp;yy'!$AC$3:$AC$38,'2016 Table 11 CWTs exp'!$A22)</f>
        <v>0</v>
      </c>
      <c r="X22" s="44">
        <f>SUMIFS('[9]inland_taf_hatchgrp_tableraw&amp;yy'!X$3:X$38,'[9]inland_taf_hatchgrp_tableraw&amp;yy'!$AC$3:$AC$38,'2016 Table 11 CWTs exp'!$A22)</f>
        <v>0</v>
      </c>
      <c r="Y22" s="84">
        <f>SUMIFS('[9]inland_taf_hatchgrp_tableraw&amp;yy'!Y$3:Y$38,'[9]inland_taf_hatchgrp_tableraw&amp;yy'!$AC$3:$AC$38,'2016 Table 11 CWTs exp'!$A22)</f>
        <v>642</v>
      </c>
      <c r="Z22" s="85">
        <f>SUMIFS('[9]inland_taf_hatchgrp_tableraw&amp;yy'!Z$3:Z$38,'[9]inland_taf_hatchgrp_tableraw&amp;yy'!$AC$3:$AC$38,'2016 Table 11 CWTs exp'!$A22)</f>
        <v>1839</v>
      </c>
      <c r="AA22" s="44">
        <f>SUMIFS('[9]inland_taf_hatchgrp_tableraw&amp;yy'!AA$3:AA$38,'[9]inland_taf_hatchgrp_tableraw&amp;yy'!$AC$3:$AC$38,'2016 Table 11 CWTs exp'!$A22)</f>
        <v>2481</v>
      </c>
      <c r="AB22" s="636"/>
      <c r="AC22" s="636"/>
      <c r="AD22" s="635">
        <f t="shared" si="8"/>
        <v>0.25876662636033859</v>
      </c>
      <c r="AE22" s="604" t="str">
        <f t="shared" si="9"/>
        <v>CLR543</v>
      </c>
      <c r="AF22" s="613"/>
      <c r="AG22" s="622">
        <f>SUMIFS('[9]inland_taf_hatchgrp_tableraw&amp;yy'!AB$3:AB$38,'[9]inland_taf_hatchgrp_tableraw&amp;yy'!$AC$3:$AC$38,'2016 Table 11 CWTs exp'!$A22)</f>
        <v>0.25900000000000001</v>
      </c>
      <c r="AH22" s="623">
        <f t="shared" si="10"/>
        <v>0.74123337363966146</v>
      </c>
      <c r="AI22" s="605">
        <f t="shared" ref="AI22:AI38" si="12">1-AD22</f>
        <v>0.74123337363966146</v>
      </c>
      <c r="AJ22" s="447">
        <f t="shared" si="11"/>
        <v>1839</v>
      </c>
      <c r="AK22" s="451"/>
      <c r="AL22" s="451"/>
      <c r="AM22" s="442"/>
      <c r="AN22" s="442"/>
      <c r="AO22" s="442"/>
      <c r="AP22" s="442"/>
      <c r="AQ22" s="442"/>
      <c r="AR22" s="442"/>
      <c r="AS22" s="442"/>
      <c r="AY22" s="442"/>
    </row>
    <row r="23" spans="1:51" ht="14.5" customHeight="1" x14ac:dyDescent="0.25">
      <c r="A23" s="50" t="str">
        <f t="shared" si="7"/>
        <v>BATT543</v>
      </c>
      <c r="B23" s="13" t="s">
        <v>72</v>
      </c>
      <c r="C23" s="13">
        <v>54</v>
      </c>
      <c r="D23" s="13">
        <v>3</v>
      </c>
      <c r="E23" s="75" t="s">
        <v>73</v>
      </c>
      <c r="F23" s="43" t="s">
        <v>48</v>
      </c>
      <c r="G23" s="44">
        <f>SUMIFS('[9]inland_taf_hatchgrp_tableraw&amp;yy'!G$3:G$38,'[9]inland_taf_hatchgrp_tableraw&amp;yy'!$AC$3:$AC$38,'2016 Table 11 CWTs exp'!$A23)</f>
        <v>0</v>
      </c>
      <c r="H23" s="45">
        <f>SUMIFS('[9]inland_taf_hatchgrp_tableraw&amp;yy'!H$3:H$38,'[9]inland_taf_hatchgrp_tableraw&amp;yy'!$AC$3:$AC$38,'2016 Table 11 CWTs exp'!$A23)</f>
        <v>0</v>
      </c>
      <c r="I23" s="44">
        <f>SUMIFS('[9]inland_taf_hatchgrp_tableraw&amp;yy'!I$3:I$38,'[9]inland_taf_hatchgrp_tableraw&amp;yy'!$AC$3:$AC$38,'2016 Table 11 CWTs exp'!$A23)</f>
        <v>758</v>
      </c>
      <c r="J23" s="46">
        <f>SUMIFS('[9]inland_taf_hatchgrp_tableraw&amp;yy'!J$3:J$38,'[9]inland_taf_hatchgrp_tableraw&amp;yy'!$AC$3:$AC$38,'2016 Table 11 CWTs exp'!$A23)</f>
        <v>79</v>
      </c>
      <c r="K23" s="44">
        <f>SUMIFS('[9]inland_taf_hatchgrp_tableraw&amp;yy'!K$3:K$38,'[9]inland_taf_hatchgrp_tableraw&amp;yy'!$AC$3:$AC$38,'2016 Table 11 CWTs exp'!$A23)</f>
        <v>0</v>
      </c>
      <c r="L23" s="44">
        <f>SUMIFS('[9]inland_taf_hatchgrp_tableraw&amp;yy'!L$3:L$38,'[9]inland_taf_hatchgrp_tableraw&amp;yy'!$AC$3:$AC$38,'2016 Table 11 CWTs exp'!$A23)</f>
        <v>0</v>
      </c>
      <c r="M23" s="44">
        <f>SUMIFS('[9]inland_taf_hatchgrp_tableraw&amp;yy'!M$3:M$38,'[9]inland_taf_hatchgrp_tableraw&amp;yy'!$AC$3:$AC$38,'2016 Table 11 CWTs exp'!$A23)</f>
        <v>0</v>
      </c>
      <c r="N23" s="44">
        <f>SUMIFS('[9]inland_taf_hatchgrp_tableraw&amp;yy'!N$3:N$38,'[9]inland_taf_hatchgrp_tableraw&amp;yy'!$AC$3:$AC$38,'2016 Table 11 CWTs exp'!$A23)</f>
        <v>0</v>
      </c>
      <c r="O23" s="44">
        <f>SUMIFS('[9]inland_taf_hatchgrp_tableraw&amp;yy'!O$3:O$38,'[9]inland_taf_hatchgrp_tableraw&amp;yy'!$AC$3:$AC$38,'2016 Table 11 CWTs exp'!$A23)</f>
        <v>1</v>
      </c>
      <c r="P23" s="44">
        <f>SUMIFS('[9]inland_taf_hatchgrp_tableraw&amp;yy'!P$3:P$38,'[9]inland_taf_hatchgrp_tableraw&amp;yy'!$AC$3:$AC$38,'2016 Table 11 CWTs exp'!$A23)</f>
        <v>5</v>
      </c>
      <c r="Q23" s="45">
        <f>SUMIFS('[9]inland_taf_hatchgrp_tableraw&amp;yy'!Q$3:Q$38,'[9]inland_taf_hatchgrp_tableraw&amp;yy'!$AC$3:$AC$38,'2016 Table 11 CWTs exp'!$A23)</f>
        <v>0</v>
      </c>
      <c r="R23" s="46">
        <f>SUMIFS('[9]inland_taf_hatchgrp_tableraw&amp;yy'!R$3:R$38,'[9]inland_taf_hatchgrp_tableraw&amp;yy'!$AC$3:$AC$38,'2016 Table 11 CWTs exp'!$A23)</f>
        <v>0</v>
      </c>
      <c r="S23" s="44">
        <f>SUMIFS('[9]inland_taf_hatchgrp_tableraw&amp;yy'!S$3:S$38,'[9]inland_taf_hatchgrp_tableraw&amp;yy'!$AC$3:$AC$38,'2016 Table 11 CWTs exp'!$A23)</f>
        <v>0</v>
      </c>
      <c r="T23" s="44">
        <f>SUMIFS('[9]inland_taf_hatchgrp_tableraw&amp;yy'!T$3:T$38,'[9]inland_taf_hatchgrp_tableraw&amp;yy'!$AC$3:$AC$38,'2016 Table 11 CWTs exp'!$A23)</f>
        <v>0</v>
      </c>
      <c r="U23" s="44">
        <f>SUMIFS('[9]inland_taf_hatchgrp_tableraw&amp;yy'!U$3:U$38,'[9]inland_taf_hatchgrp_tableraw&amp;yy'!$AC$3:$AC$38,'2016 Table 11 CWTs exp'!$A23)</f>
        <v>3</v>
      </c>
      <c r="V23" s="46">
        <f>SUMIFS('[9]inland_taf_hatchgrp_tableraw&amp;yy'!V$3:V$38,'[9]inland_taf_hatchgrp_tableraw&amp;yy'!$AC$3:$AC$38,'2016 Table 11 CWTs exp'!$A23)</f>
        <v>0</v>
      </c>
      <c r="W23" s="46">
        <f>SUMIFS('[9]inland_taf_hatchgrp_tableraw&amp;yy'!W$3:W$38,'[9]inland_taf_hatchgrp_tableraw&amp;yy'!$AC$3:$AC$38,'2016 Table 11 CWTs exp'!$A23)</f>
        <v>0</v>
      </c>
      <c r="X23" s="44">
        <f>SUMIFS('[9]inland_taf_hatchgrp_tableraw&amp;yy'!X$3:X$38,'[9]inland_taf_hatchgrp_tableraw&amp;yy'!$AC$3:$AC$38,'2016 Table 11 CWTs exp'!$A23)</f>
        <v>0</v>
      </c>
      <c r="Y23" s="84">
        <f>SUMIFS('[9]inland_taf_hatchgrp_tableraw&amp;yy'!Y$3:Y$38,'[9]inland_taf_hatchgrp_tableraw&amp;yy'!$AC$3:$AC$38,'2016 Table 11 CWTs exp'!$A23)</f>
        <v>848</v>
      </c>
      <c r="Z23" s="85">
        <f>SUMIFS('[9]inland_taf_hatchgrp_tableraw&amp;yy'!Z$3:Z$38,'[9]inland_taf_hatchgrp_tableraw&amp;yy'!$AC$3:$AC$38,'2016 Table 11 CWTs exp'!$A23)</f>
        <v>173</v>
      </c>
      <c r="AA23" s="44">
        <f>SUMIFS('[9]inland_taf_hatchgrp_tableraw&amp;yy'!AA$3:AA$38,'[9]inland_taf_hatchgrp_tableraw&amp;yy'!$AC$3:$AC$38,'2016 Table 11 CWTs exp'!$A23)</f>
        <v>1021</v>
      </c>
      <c r="AB23" s="636"/>
      <c r="AC23" s="636"/>
      <c r="AD23" s="635">
        <f t="shared" si="8"/>
        <v>0.83055827619980416</v>
      </c>
      <c r="AE23" s="604" t="str">
        <f t="shared" si="9"/>
        <v>BATT543</v>
      </c>
      <c r="AF23" s="442"/>
      <c r="AG23" s="622">
        <f>SUMIFS('[9]inland_taf_hatchgrp_tableraw&amp;yy'!AB$3:AB$38,'[9]inland_taf_hatchgrp_tableraw&amp;yy'!$AC$3:$AC$38,'2016 Table 11 CWTs exp'!$A23)</f>
        <v>0.83099999999999996</v>
      </c>
      <c r="AH23" s="623">
        <f t="shared" si="10"/>
        <v>0.1694417238001959</v>
      </c>
      <c r="AI23" s="605">
        <f t="shared" si="12"/>
        <v>0.16944172380019584</v>
      </c>
      <c r="AJ23" s="447">
        <f t="shared" si="11"/>
        <v>173</v>
      </c>
      <c r="AK23" s="451"/>
      <c r="AL23" s="451"/>
      <c r="AM23" s="442"/>
      <c r="AN23" s="442"/>
      <c r="AO23" s="442"/>
      <c r="AP23" s="442"/>
      <c r="AQ23" s="442"/>
      <c r="AR23" s="442"/>
      <c r="AS23" s="442"/>
    </row>
    <row r="24" spans="1:51" ht="14.5" hidden="1" customHeight="1" x14ac:dyDescent="0.25">
      <c r="A24" s="50" t="str">
        <f t="shared" si="7"/>
        <v>COT543</v>
      </c>
      <c r="B24" s="13" t="s">
        <v>74</v>
      </c>
      <c r="C24" s="13">
        <v>54</v>
      </c>
      <c r="D24" s="13">
        <v>3</v>
      </c>
      <c r="E24" s="3" t="s">
        <v>162</v>
      </c>
      <c r="F24" s="43" t="str">
        <f t="shared" ref="F24:F38" si="13">LOOKUP(D24,$AL$7:$AL$10,$AM$7:$AM$10)</f>
        <v>Fall</v>
      </c>
      <c r="G24" s="44">
        <f>SUMIFS('[9]inland_taf_hatchgrp_tableraw&amp;yy'!G$3:G$38,'[9]inland_taf_hatchgrp_tableraw&amp;yy'!$AC$3:$AC$38,'2016 Table 11 CWTs exp'!$A24)</f>
        <v>0</v>
      </c>
      <c r="H24" s="45">
        <f>SUMIFS('[9]inland_taf_hatchgrp_tableraw&amp;yy'!H$3:H$38,'[9]inland_taf_hatchgrp_tableraw&amp;yy'!$AC$3:$AC$38,'2016 Table 11 CWTs exp'!$A24)</f>
        <v>0</v>
      </c>
      <c r="I24" s="44">
        <f>SUMIFS('[9]inland_taf_hatchgrp_tableraw&amp;yy'!I$3:I$38,'[9]inland_taf_hatchgrp_tableraw&amp;yy'!$AC$3:$AC$38,'2016 Table 11 CWTs exp'!$A24)</f>
        <v>0</v>
      </c>
      <c r="J24" s="46">
        <f>SUMIFS('[9]inland_taf_hatchgrp_tableraw&amp;yy'!J$3:J$38,'[9]inland_taf_hatchgrp_tableraw&amp;yy'!$AC$3:$AC$38,'2016 Table 11 CWTs exp'!$A24)</f>
        <v>8</v>
      </c>
      <c r="K24" s="44">
        <f>SUMIFS('[9]inland_taf_hatchgrp_tableraw&amp;yy'!K$3:K$38,'[9]inland_taf_hatchgrp_tableraw&amp;yy'!$AC$3:$AC$38,'2016 Table 11 CWTs exp'!$A24)</f>
        <v>0</v>
      </c>
      <c r="L24" s="44">
        <f>SUMIFS('[9]inland_taf_hatchgrp_tableraw&amp;yy'!L$3:L$38,'[9]inland_taf_hatchgrp_tableraw&amp;yy'!$AC$3:$AC$38,'2016 Table 11 CWTs exp'!$A24)</f>
        <v>0</v>
      </c>
      <c r="M24" s="44">
        <f>SUMIFS('[9]inland_taf_hatchgrp_tableraw&amp;yy'!M$3:M$38,'[9]inland_taf_hatchgrp_tableraw&amp;yy'!$AC$3:$AC$38,'2016 Table 11 CWTs exp'!$A24)</f>
        <v>0</v>
      </c>
      <c r="N24" s="44">
        <f>SUMIFS('[9]inland_taf_hatchgrp_tableraw&amp;yy'!N$3:N$38,'[9]inland_taf_hatchgrp_tableraw&amp;yy'!$AC$3:$AC$38,'2016 Table 11 CWTs exp'!$A24)</f>
        <v>0</v>
      </c>
      <c r="O24" s="44">
        <f>SUMIFS('[9]inland_taf_hatchgrp_tableraw&amp;yy'!O$3:O$38,'[9]inland_taf_hatchgrp_tableraw&amp;yy'!$AC$3:$AC$38,'2016 Table 11 CWTs exp'!$A24)</f>
        <v>0</v>
      </c>
      <c r="P24" s="44">
        <f>SUMIFS('[9]inland_taf_hatchgrp_tableraw&amp;yy'!P$3:P$38,'[9]inland_taf_hatchgrp_tableraw&amp;yy'!$AC$3:$AC$38,'2016 Table 11 CWTs exp'!$A24)</f>
        <v>0</v>
      </c>
      <c r="Q24" s="45">
        <f>SUMIFS('[9]inland_taf_hatchgrp_tableraw&amp;yy'!Q$3:Q$38,'[9]inland_taf_hatchgrp_tableraw&amp;yy'!$AC$3:$AC$38,'2016 Table 11 CWTs exp'!$A24)</f>
        <v>0</v>
      </c>
      <c r="R24" s="46">
        <f>SUMIFS('[9]inland_taf_hatchgrp_tableraw&amp;yy'!R$3:R$38,'[9]inland_taf_hatchgrp_tableraw&amp;yy'!$AC$3:$AC$38,'2016 Table 11 CWTs exp'!$A24)</f>
        <v>0</v>
      </c>
      <c r="S24" s="44">
        <f>SUMIFS('[9]inland_taf_hatchgrp_tableraw&amp;yy'!S$3:S$38,'[9]inland_taf_hatchgrp_tableraw&amp;yy'!$AC$3:$AC$38,'2016 Table 11 CWTs exp'!$A24)</f>
        <v>0</v>
      </c>
      <c r="T24" s="44">
        <f>SUMIFS('[9]inland_taf_hatchgrp_tableraw&amp;yy'!T$3:T$38,'[9]inland_taf_hatchgrp_tableraw&amp;yy'!$AC$3:$AC$38,'2016 Table 11 CWTs exp'!$A24)</f>
        <v>0</v>
      </c>
      <c r="U24" s="44">
        <f>SUMIFS('[9]inland_taf_hatchgrp_tableraw&amp;yy'!U$3:U$38,'[9]inland_taf_hatchgrp_tableraw&amp;yy'!$AC$3:$AC$38,'2016 Table 11 CWTs exp'!$A24)</f>
        <v>0</v>
      </c>
      <c r="V24" s="46">
        <f>SUMIFS('[9]inland_taf_hatchgrp_tableraw&amp;yy'!V$3:V$38,'[9]inland_taf_hatchgrp_tableraw&amp;yy'!$AC$3:$AC$38,'2016 Table 11 CWTs exp'!$A24)</f>
        <v>0</v>
      </c>
      <c r="W24" s="46">
        <f>SUMIFS('[9]inland_taf_hatchgrp_tableraw&amp;yy'!W$3:W$38,'[9]inland_taf_hatchgrp_tableraw&amp;yy'!$AC$3:$AC$38,'2016 Table 11 CWTs exp'!$A24)</f>
        <v>0</v>
      </c>
      <c r="X24" s="44">
        <f>SUMIFS('[9]inland_taf_hatchgrp_tableraw&amp;yy'!X$3:X$38,'[9]inland_taf_hatchgrp_tableraw&amp;yy'!$AC$3:$AC$38,'2016 Table 11 CWTs exp'!$A24)</f>
        <v>0</v>
      </c>
      <c r="Y24" s="84">
        <f>SUMIFS('[9]inland_taf_hatchgrp_tableraw&amp;yy'!Y$3:Y$38,'[9]inland_taf_hatchgrp_tableraw&amp;yy'!$AC$3:$AC$38,'2016 Table 11 CWTs exp'!$A24)</f>
        <v>8</v>
      </c>
      <c r="Z24" s="85">
        <f>SUMIFS('[9]inland_taf_hatchgrp_tableraw&amp;yy'!Z$3:Z$38,'[9]inland_taf_hatchgrp_tableraw&amp;yy'!$AC$3:$AC$38,'2016 Table 11 CWTs exp'!$A24)</f>
        <v>805</v>
      </c>
      <c r="AA24" s="44">
        <f>SUMIFS('[9]inland_taf_hatchgrp_tableraw&amp;yy'!AA$3:AA$38,'[9]inland_taf_hatchgrp_tableraw&amp;yy'!$AC$3:$AC$38,'2016 Table 11 CWTs exp'!$A24)</f>
        <v>813</v>
      </c>
      <c r="AB24" s="636"/>
      <c r="AC24" s="636"/>
      <c r="AD24" s="635">
        <f t="shared" si="8"/>
        <v>9.8400984009840101E-3</v>
      </c>
      <c r="AE24" s="637" t="str">
        <f t="shared" si="9"/>
        <v>COT543</v>
      </c>
      <c r="AF24" s="442"/>
      <c r="AG24" s="622">
        <f>SUMIFS('[9]inland_taf_hatchgrp_tableraw&amp;yy'!AB$3:AB$38,'[9]inland_taf_hatchgrp_tableraw&amp;yy'!$AC$3:$AC$38,'2016 Table 11 CWTs exp'!$A24)</f>
        <v>0.01</v>
      </c>
      <c r="AH24" s="623">
        <f t="shared" si="10"/>
        <v>0.99015990159901601</v>
      </c>
      <c r="AI24" s="605">
        <f t="shared" si="12"/>
        <v>0.99015990159901601</v>
      </c>
      <c r="AJ24" s="447">
        <f t="shared" si="11"/>
        <v>805</v>
      </c>
      <c r="AK24" s="451"/>
      <c r="AL24" s="451"/>
      <c r="AM24" s="442"/>
      <c r="AN24" s="442"/>
      <c r="AO24" s="442"/>
      <c r="AP24" s="442"/>
      <c r="AQ24" s="442"/>
      <c r="AR24" s="442"/>
      <c r="AS24" s="442"/>
    </row>
    <row r="25" spans="1:51" ht="14.5" hidden="1" customHeight="1" x14ac:dyDescent="0.25">
      <c r="A25" s="50" t="str">
        <f t="shared" si="7"/>
        <v>COW543</v>
      </c>
      <c r="B25" s="13" t="s">
        <v>76</v>
      </c>
      <c r="C25" s="13">
        <v>54</v>
      </c>
      <c r="D25" s="13">
        <v>3</v>
      </c>
      <c r="E25" s="3" t="s">
        <v>163</v>
      </c>
      <c r="F25" s="43" t="str">
        <f t="shared" si="13"/>
        <v>Fall</v>
      </c>
      <c r="G25" s="44">
        <f>SUMIFS('[9]inland_taf_hatchgrp_tableraw&amp;yy'!G$3:G$38,'[9]inland_taf_hatchgrp_tableraw&amp;yy'!$AC$3:$AC$38,'2016 Table 11 CWTs exp'!$A25)</f>
        <v>0</v>
      </c>
      <c r="H25" s="45">
        <f>SUMIFS('[9]inland_taf_hatchgrp_tableraw&amp;yy'!H$3:H$38,'[9]inland_taf_hatchgrp_tableraw&amp;yy'!$AC$3:$AC$38,'2016 Table 11 CWTs exp'!$A25)</f>
        <v>0</v>
      </c>
      <c r="I25" s="44">
        <f>SUMIFS('[9]inland_taf_hatchgrp_tableraw&amp;yy'!I$3:I$38,'[9]inland_taf_hatchgrp_tableraw&amp;yy'!$AC$3:$AC$38,'2016 Table 11 CWTs exp'!$A25)</f>
        <v>0</v>
      </c>
      <c r="J25" s="46">
        <f>SUMIFS('[9]inland_taf_hatchgrp_tableraw&amp;yy'!J$3:J$38,'[9]inland_taf_hatchgrp_tableraw&amp;yy'!$AC$3:$AC$38,'2016 Table 11 CWTs exp'!$A25)</f>
        <v>0</v>
      </c>
      <c r="K25" s="44">
        <f>SUMIFS('[9]inland_taf_hatchgrp_tableraw&amp;yy'!K$3:K$38,'[9]inland_taf_hatchgrp_tableraw&amp;yy'!$AC$3:$AC$38,'2016 Table 11 CWTs exp'!$A25)</f>
        <v>0</v>
      </c>
      <c r="L25" s="44">
        <f>SUMIFS('[9]inland_taf_hatchgrp_tableraw&amp;yy'!L$3:L$38,'[9]inland_taf_hatchgrp_tableraw&amp;yy'!$AC$3:$AC$38,'2016 Table 11 CWTs exp'!$A25)</f>
        <v>0</v>
      </c>
      <c r="M25" s="44">
        <f>SUMIFS('[9]inland_taf_hatchgrp_tableraw&amp;yy'!M$3:M$38,'[9]inland_taf_hatchgrp_tableraw&amp;yy'!$AC$3:$AC$38,'2016 Table 11 CWTs exp'!$A25)</f>
        <v>0</v>
      </c>
      <c r="N25" s="44">
        <f>SUMIFS('[9]inland_taf_hatchgrp_tableraw&amp;yy'!N$3:N$38,'[9]inland_taf_hatchgrp_tableraw&amp;yy'!$AC$3:$AC$38,'2016 Table 11 CWTs exp'!$A25)</f>
        <v>0</v>
      </c>
      <c r="O25" s="44">
        <f>SUMIFS('[9]inland_taf_hatchgrp_tableraw&amp;yy'!O$3:O$38,'[9]inland_taf_hatchgrp_tableraw&amp;yy'!$AC$3:$AC$38,'2016 Table 11 CWTs exp'!$A25)</f>
        <v>0</v>
      </c>
      <c r="P25" s="44">
        <f>SUMIFS('[9]inland_taf_hatchgrp_tableraw&amp;yy'!P$3:P$38,'[9]inland_taf_hatchgrp_tableraw&amp;yy'!$AC$3:$AC$38,'2016 Table 11 CWTs exp'!$A25)</f>
        <v>1</v>
      </c>
      <c r="Q25" s="45">
        <f>SUMIFS('[9]inland_taf_hatchgrp_tableraw&amp;yy'!Q$3:Q$38,'[9]inland_taf_hatchgrp_tableraw&amp;yy'!$AC$3:$AC$38,'2016 Table 11 CWTs exp'!$A25)</f>
        <v>0</v>
      </c>
      <c r="R25" s="46">
        <f>SUMIFS('[9]inland_taf_hatchgrp_tableraw&amp;yy'!R$3:R$38,'[9]inland_taf_hatchgrp_tableraw&amp;yy'!$AC$3:$AC$38,'2016 Table 11 CWTs exp'!$A25)</f>
        <v>0</v>
      </c>
      <c r="S25" s="44">
        <f>SUMIFS('[9]inland_taf_hatchgrp_tableraw&amp;yy'!S$3:S$38,'[9]inland_taf_hatchgrp_tableraw&amp;yy'!$AC$3:$AC$38,'2016 Table 11 CWTs exp'!$A25)</f>
        <v>0</v>
      </c>
      <c r="T25" s="44">
        <f>SUMIFS('[9]inland_taf_hatchgrp_tableraw&amp;yy'!T$3:T$38,'[9]inland_taf_hatchgrp_tableraw&amp;yy'!$AC$3:$AC$38,'2016 Table 11 CWTs exp'!$A25)</f>
        <v>0</v>
      </c>
      <c r="U25" s="44">
        <f>SUMIFS('[9]inland_taf_hatchgrp_tableraw&amp;yy'!U$3:U$38,'[9]inland_taf_hatchgrp_tableraw&amp;yy'!$AC$3:$AC$38,'2016 Table 11 CWTs exp'!$A25)</f>
        <v>0</v>
      </c>
      <c r="V25" s="46">
        <f>SUMIFS('[9]inland_taf_hatchgrp_tableraw&amp;yy'!V$3:V$38,'[9]inland_taf_hatchgrp_tableraw&amp;yy'!$AC$3:$AC$38,'2016 Table 11 CWTs exp'!$A25)</f>
        <v>0</v>
      </c>
      <c r="W25" s="46">
        <f>SUMIFS('[9]inland_taf_hatchgrp_tableraw&amp;yy'!W$3:W$38,'[9]inland_taf_hatchgrp_tableraw&amp;yy'!$AC$3:$AC$38,'2016 Table 11 CWTs exp'!$A25)</f>
        <v>0</v>
      </c>
      <c r="X25" s="44">
        <f>SUMIFS('[9]inland_taf_hatchgrp_tableraw&amp;yy'!X$3:X$38,'[9]inland_taf_hatchgrp_tableraw&amp;yy'!$AC$3:$AC$38,'2016 Table 11 CWTs exp'!$A25)</f>
        <v>0</v>
      </c>
      <c r="Y25" s="84">
        <f>SUMIFS('[9]inland_taf_hatchgrp_tableraw&amp;yy'!Y$3:Y$38,'[9]inland_taf_hatchgrp_tableraw&amp;yy'!$AC$3:$AC$38,'2016 Table 11 CWTs exp'!$A25)</f>
        <v>1</v>
      </c>
      <c r="Z25" s="85">
        <f>SUMIFS('[9]inland_taf_hatchgrp_tableraw&amp;yy'!Z$3:Z$38,'[9]inland_taf_hatchgrp_tableraw&amp;yy'!$AC$3:$AC$38,'2016 Table 11 CWTs exp'!$A25)</f>
        <v>820</v>
      </c>
      <c r="AA25" s="44">
        <f>SUMIFS('[9]inland_taf_hatchgrp_tableraw&amp;yy'!AA$3:AA$38,'[9]inland_taf_hatchgrp_tableraw&amp;yy'!$AC$3:$AC$38,'2016 Table 11 CWTs exp'!$A25)</f>
        <v>821</v>
      </c>
      <c r="AB25" s="636"/>
      <c r="AC25" s="636"/>
      <c r="AD25" s="635">
        <f t="shared" si="8"/>
        <v>1.2180267965895249E-3</v>
      </c>
      <c r="AE25" s="637" t="str">
        <f t="shared" si="9"/>
        <v>COW543</v>
      </c>
      <c r="AF25" s="442"/>
      <c r="AG25" s="622">
        <f>SUMIFS('[9]inland_taf_hatchgrp_tableraw&amp;yy'!AB$3:AB$38,'[9]inland_taf_hatchgrp_tableraw&amp;yy'!$AC$3:$AC$38,'2016 Table 11 CWTs exp'!$A25)</f>
        <v>1E-3</v>
      </c>
      <c r="AH25" s="623">
        <f t="shared" si="10"/>
        <v>0.99878197320341044</v>
      </c>
      <c r="AI25" s="605">
        <f t="shared" si="12"/>
        <v>0.99878197320341044</v>
      </c>
      <c r="AJ25" s="447">
        <f t="shared" si="11"/>
        <v>820</v>
      </c>
      <c r="AK25" s="451"/>
      <c r="AL25" s="451"/>
      <c r="AM25" s="442"/>
      <c r="AN25" s="442"/>
      <c r="AO25" s="442"/>
      <c r="AP25" s="442"/>
      <c r="AQ25" s="442"/>
      <c r="AR25" s="442"/>
      <c r="AS25" s="442"/>
    </row>
    <row r="26" spans="1:51" ht="14.5" hidden="1" customHeight="1" x14ac:dyDescent="0.25">
      <c r="A26" s="50" t="str">
        <f t="shared" si="7"/>
        <v>MLC543</v>
      </c>
      <c r="B26" s="13" t="s">
        <v>78</v>
      </c>
      <c r="C26" s="13">
        <v>54</v>
      </c>
      <c r="D26" s="13">
        <v>3</v>
      </c>
      <c r="E26" s="3" t="s">
        <v>164</v>
      </c>
      <c r="F26" s="43" t="str">
        <f t="shared" si="13"/>
        <v>Fall</v>
      </c>
      <c r="G26" s="44">
        <f>SUMIFS('[9]inland_taf_hatchgrp_tableraw&amp;yy'!G$3:G$38,'[9]inland_taf_hatchgrp_tableraw&amp;yy'!$AC$3:$AC$38,'2016 Table 11 CWTs exp'!$A26)</f>
        <v>0</v>
      </c>
      <c r="H26" s="45">
        <f>SUMIFS('[9]inland_taf_hatchgrp_tableraw&amp;yy'!H$3:H$38,'[9]inland_taf_hatchgrp_tableraw&amp;yy'!$AC$3:$AC$38,'2016 Table 11 CWTs exp'!$A26)</f>
        <v>0</v>
      </c>
      <c r="I26" s="44">
        <f>SUMIFS('[9]inland_taf_hatchgrp_tableraw&amp;yy'!I$3:I$38,'[9]inland_taf_hatchgrp_tableraw&amp;yy'!$AC$3:$AC$38,'2016 Table 11 CWTs exp'!$A26)</f>
        <v>8</v>
      </c>
      <c r="J26" s="46">
        <f>SUMIFS('[9]inland_taf_hatchgrp_tableraw&amp;yy'!J$3:J$38,'[9]inland_taf_hatchgrp_tableraw&amp;yy'!$AC$3:$AC$38,'2016 Table 11 CWTs exp'!$A26)</f>
        <v>0</v>
      </c>
      <c r="K26" s="44">
        <f>SUMIFS('[9]inland_taf_hatchgrp_tableraw&amp;yy'!K$3:K$38,'[9]inland_taf_hatchgrp_tableraw&amp;yy'!$AC$3:$AC$38,'2016 Table 11 CWTs exp'!$A26)</f>
        <v>0</v>
      </c>
      <c r="L26" s="44">
        <f>SUMIFS('[9]inland_taf_hatchgrp_tableraw&amp;yy'!L$3:L$38,'[9]inland_taf_hatchgrp_tableraw&amp;yy'!$AC$3:$AC$38,'2016 Table 11 CWTs exp'!$A26)</f>
        <v>0</v>
      </c>
      <c r="M26" s="44">
        <f>SUMIFS('[9]inland_taf_hatchgrp_tableraw&amp;yy'!M$3:M$38,'[9]inland_taf_hatchgrp_tableraw&amp;yy'!$AC$3:$AC$38,'2016 Table 11 CWTs exp'!$A26)</f>
        <v>0</v>
      </c>
      <c r="N26" s="44">
        <f>SUMIFS('[9]inland_taf_hatchgrp_tableraw&amp;yy'!N$3:N$38,'[9]inland_taf_hatchgrp_tableraw&amp;yy'!$AC$3:$AC$38,'2016 Table 11 CWTs exp'!$A26)</f>
        <v>0</v>
      </c>
      <c r="O26" s="44">
        <f>SUMIFS('[9]inland_taf_hatchgrp_tableraw&amp;yy'!O$3:O$38,'[9]inland_taf_hatchgrp_tableraw&amp;yy'!$AC$3:$AC$38,'2016 Table 11 CWTs exp'!$A26)</f>
        <v>4</v>
      </c>
      <c r="P26" s="44">
        <f>SUMIFS('[9]inland_taf_hatchgrp_tableraw&amp;yy'!P$3:P$38,'[9]inland_taf_hatchgrp_tableraw&amp;yy'!$AC$3:$AC$38,'2016 Table 11 CWTs exp'!$A26)</f>
        <v>0</v>
      </c>
      <c r="Q26" s="45">
        <f>SUMIFS('[9]inland_taf_hatchgrp_tableraw&amp;yy'!Q$3:Q$38,'[9]inland_taf_hatchgrp_tableraw&amp;yy'!$AC$3:$AC$38,'2016 Table 11 CWTs exp'!$A26)</f>
        <v>0</v>
      </c>
      <c r="R26" s="46">
        <f>SUMIFS('[9]inland_taf_hatchgrp_tableraw&amp;yy'!R$3:R$38,'[9]inland_taf_hatchgrp_tableraw&amp;yy'!$AC$3:$AC$38,'2016 Table 11 CWTs exp'!$A26)</f>
        <v>0</v>
      </c>
      <c r="S26" s="44">
        <f>SUMIFS('[9]inland_taf_hatchgrp_tableraw&amp;yy'!S$3:S$38,'[9]inland_taf_hatchgrp_tableraw&amp;yy'!$AC$3:$AC$38,'2016 Table 11 CWTs exp'!$A26)</f>
        <v>0</v>
      </c>
      <c r="T26" s="44">
        <f>SUMIFS('[9]inland_taf_hatchgrp_tableraw&amp;yy'!T$3:T$38,'[9]inland_taf_hatchgrp_tableraw&amp;yy'!$AC$3:$AC$38,'2016 Table 11 CWTs exp'!$A26)</f>
        <v>0</v>
      </c>
      <c r="U26" s="44">
        <f>SUMIFS('[9]inland_taf_hatchgrp_tableraw&amp;yy'!U$3:U$38,'[9]inland_taf_hatchgrp_tableraw&amp;yy'!$AC$3:$AC$38,'2016 Table 11 CWTs exp'!$A26)</f>
        <v>0</v>
      </c>
      <c r="V26" s="46">
        <f>SUMIFS('[9]inland_taf_hatchgrp_tableraw&amp;yy'!V$3:V$38,'[9]inland_taf_hatchgrp_tableraw&amp;yy'!$AC$3:$AC$38,'2016 Table 11 CWTs exp'!$A26)</f>
        <v>0</v>
      </c>
      <c r="W26" s="46">
        <f>SUMIFS('[9]inland_taf_hatchgrp_tableraw&amp;yy'!W$3:W$38,'[9]inland_taf_hatchgrp_tableraw&amp;yy'!$AC$3:$AC$38,'2016 Table 11 CWTs exp'!$A26)</f>
        <v>0</v>
      </c>
      <c r="X26" s="44">
        <f>SUMIFS('[9]inland_taf_hatchgrp_tableraw&amp;yy'!X$3:X$38,'[9]inland_taf_hatchgrp_tableraw&amp;yy'!$AC$3:$AC$38,'2016 Table 11 CWTs exp'!$A26)</f>
        <v>0</v>
      </c>
      <c r="Y26" s="84">
        <f>SUMIFS('[9]inland_taf_hatchgrp_tableraw&amp;yy'!Y$3:Y$38,'[9]inland_taf_hatchgrp_tableraw&amp;yy'!$AC$3:$AC$38,'2016 Table 11 CWTs exp'!$A26)</f>
        <v>12</v>
      </c>
      <c r="Z26" s="85">
        <f>SUMIFS('[9]inland_taf_hatchgrp_tableraw&amp;yy'!Z$3:Z$38,'[9]inland_taf_hatchgrp_tableraw&amp;yy'!$AC$3:$AC$38,'2016 Table 11 CWTs exp'!$A26)</f>
        <v>590</v>
      </c>
      <c r="AA26" s="44">
        <f>SUMIFS('[9]inland_taf_hatchgrp_tableraw&amp;yy'!AA$3:AA$38,'[9]inland_taf_hatchgrp_tableraw&amp;yy'!$AC$3:$AC$38,'2016 Table 11 CWTs exp'!$A26)</f>
        <v>602</v>
      </c>
      <c r="AB26" s="636"/>
      <c r="AC26" s="636"/>
      <c r="AD26" s="635">
        <f t="shared" si="8"/>
        <v>1.9933554817275746E-2</v>
      </c>
      <c r="AE26" s="637" t="str">
        <f t="shared" si="9"/>
        <v>MLC543</v>
      </c>
      <c r="AF26" s="442"/>
      <c r="AG26" s="622">
        <f>SUMIFS('[9]inland_taf_hatchgrp_tableraw&amp;yy'!AB$3:AB$38,'[9]inland_taf_hatchgrp_tableraw&amp;yy'!$AC$3:$AC$38,'2016 Table 11 CWTs exp'!$A26)</f>
        <v>0.02</v>
      </c>
      <c r="AH26" s="623">
        <f t="shared" si="10"/>
        <v>0.98006644518272423</v>
      </c>
      <c r="AI26" s="605">
        <f t="shared" si="12"/>
        <v>0.98006644518272423</v>
      </c>
      <c r="AJ26" s="447">
        <f t="shared" si="11"/>
        <v>590</v>
      </c>
      <c r="AK26" s="451"/>
      <c r="AL26" s="451"/>
      <c r="AM26" s="442"/>
      <c r="AN26" s="442"/>
      <c r="AO26" s="442"/>
      <c r="AP26" s="442"/>
      <c r="AQ26" s="442"/>
      <c r="AR26" s="442"/>
      <c r="AS26" s="442"/>
    </row>
    <row r="27" spans="1:51" ht="14.5" customHeight="1" x14ac:dyDescent="0.25">
      <c r="A27" s="50" t="str">
        <f t="shared" si="7"/>
        <v>BUTT543</v>
      </c>
      <c r="B27" s="13" t="s">
        <v>66</v>
      </c>
      <c r="C27" s="13">
        <v>54</v>
      </c>
      <c r="D27" s="13">
        <v>3</v>
      </c>
      <c r="E27" s="3" t="s">
        <v>67</v>
      </c>
      <c r="F27" s="43" t="str">
        <f t="shared" si="13"/>
        <v>Fall</v>
      </c>
      <c r="G27" s="44">
        <f>SUMIFS('[9]inland_taf_hatchgrp_tableraw&amp;yy'!G$3:G$38,'[9]inland_taf_hatchgrp_tableraw&amp;yy'!$AC$3:$AC$38,'2016 Table 11 CWTs exp'!$A27)</f>
        <v>0</v>
      </c>
      <c r="H27" s="45">
        <f>SUMIFS('[9]inland_taf_hatchgrp_tableraw&amp;yy'!H$3:H$38,'[9]inland_taf_hatchgrp_tableraw&amp;yy'!$AC$3:$AC$38,'2016 Table 11 CWTs exp'!$A27)</f>
        <v>0</v>
      </c>
      <c r="I27" s="44">
        <f>SUMIFS('[9]inland_taf_hatchgrp_tableraw&amp;yy'!I$3:I$38,'[9]inland_taf_hatchgrp_tableraw&amp;yy'!$AC$3:$AC$38,'2016 Table 11 CWTs exp'!$A27)</f>
        <v>0</v>
      </c>
      <c r="J27" s="46">
        <f>SUMIFS('[9]inland_taf_hatchgrp_tableraw&amp;yy'!J$3:J$38,'[9]inland_taf_hatchgrp_tableraw&amp;yy'!$AC$3:$AC$38,'2016 Table 11 CWTs exp'!$A27)</f>
        <v>0</v>
      </c>
      <c r="K27" s="44">
        <f>SUMIFS('[9]inland_taf_hatchgrp_tableraw&amp;yy'!K$3:K$38,'[9]inland_taf_hatchgrp_tableraw&amp;yy'!$AC$3:$AC$38,'2016 Table 11 CWTs exp'!$A27)</f>
        <v>0</v>
      </c>
      <c r="L27" s="44">
        <f>SUMIFS('[9]inland_taf_hatchgrp_tableraw&amp;yy'!L$3:L$38,'[9]inland_taf_hatchgrp_tableraw&amp;yy'!$AC$3:$AC$38,'2016 Table 11 CWTs exp'!$A27)</f>
        <v>0</v>
      </c>
      <c r="M27" s="44">
        <f>SUMIFS('[9]inland_taf_hatchgrp_tableraw&amp;yy'!M$3:M$38,'[9]inland_taf_hatchgrp_tableraw&amp;yy'!$AC$3:$AC$38,'2016 Table 11 CWTs exp'!$A27)</f>
        <v>0</v>
      </c>
      <c r="N27" s="44">
        <f>SUMIFS('[9]inland_taf_hatchgrp_tableraw&amp;yy'!N$3:N$38,'[9]inland_taf_hatchgrp_tableraw&amp;yy'!$AC$3:$AC$38,'2016 Table 11 CWTs exp'!$A27)</f>
        <v>0</v>
      </c>
      <c r="O27" s="44">
        <f>SUMIFS('[9]inland_taf_hatchgrp_tableraw&amp;yy'!O$3:O$38,'[9]inland_taf_hatchgrp_tableraw&amp;yy'!$AC$3:$AC$38,'2016 Table 11 CWTs exp'!$A27)</f>
        <v>46</v>
      </c>
      <c r="P27" s="44">
        <f>SUMIFS('[9]inland_taf_hatchgrp_tableraw&amp;yy'!P$3:P$38,'[9]inland_taf_hatchgrp_tableraw&amp;yy'!$AC$3:$AC$38,'2016 Table 11 CWTs exp'!$A27)</f>
        <v>12</v>
      </c>
      <c r="Q27" s="45">
        <f>SUMIFS('[9]inland_taf_hatchgrp_tableraw&amp;yy'!Q$3:Q$38,'[9]inland_taf_hatchgrp_tableraw&amp;yy'!$AC$3:$AC$38,'2016 Table 11 CWTs exp'!$A27)</f>
        <v>0</v>
      </c>
      <c r="R27" s="46">
        <f>SUMIFS('[9]inland_taf_hatchgrp_tableraw&amp;yy'!R$3:R$38,'[9]inland_taf_hatchgrp_tableraw&amp;yy'!$AC$3:$AC$38,'2016 Table 11 CWTs exp'!$A27)</f>
        <v>0</v>
      </c>
      <c r="S27" s="44">
        <f>SUMIFS('[9]inland_taf_hatchgrp_tableraw&amp;yy'!S$3:S$38,'[9]inland_taf_hatchgrp_tableraw&amp;yy'!$AC$3:$AC$38,'2016 Table 11 CWTs exp'!$A27)</f>
        <v>0</v>
      </c>
      <c r="T27" s="44">
        <f>SUMIFS('[9]inland_taf_hatchgrp_tableraw&amp;yy'!T$3:T$38,'[9]inland_taf_hatchgrp_tableraw&amp;yy'!$AC$3:$AC$38,'2016 Table 11 CWTs exp'!$A27)</f>
        <v>6</v>
      </c>
      <c r="U27" s="44">
        <f>SUMIFS('[9]inland_taf_hatchgrp_tableraw&amp;yy'!U$3:U$38,'[9]inland_taf_hatchgrp_tableraw&amp;yy'!$AC$3:$AC$38,'2016 Table 11 CWTs exp'!$A27)</f>
        <v>23</v>
      </c>
      <c r="V27" s="46">
        <f>SUMIFS('[9]inland_taf_hatchgrp_tableraw&amp;yy'!V$3:V$38,'[9]inland_taf_hatchgrp_tableraw&amp;yy'!$AC$3:$AC$38,'2016 Table 11 CWTs exp'!$A27)</f>
        <v>0</v>
      </c>
      <c r="W27" s="46">
        <f>SUMIFS('[9]inland_taf_hatchgrp_tableraw&amp;yy'!W$3:W$38,'[9]inland_taf_hatchgrp_tableraw&amp;yy'!$AC$3:$AC$38,'2016 Table 11 CWTs exp'!$A27)</f>
        <v>0</v>
      </c>
      <c r="X27" s="44">
        <f>SUMIFS('[9]inland_taf_hatchgrp_tableraw&amp;yy'!X$3:X$38,'[9]inland_taf_hatchgrp_tableraw&amp;yy'!$AC$3:$AC$38,'2016 Table 11 CWTs exp'!$A27)</f>
        <v>0</v>
      </c>
      <c r="Y27" s="84">
        <f>SUMIFS('[9]inland_taf_hatchgrp_tableraw&amp;yy'!Y$3:Y$38,'[9]inland_taf_hatchgrp_tableraw&amp;yy'!$AC$3:$AC$38,'2016 Table 11 CWTs exp'!$A27)</f>
        <v>87</v>
      </c>
      <c r="Z27" s="85">
        <f>SUMIFS('[9]inland_taf_hatchgrp_tableraw&amp;yy'!Z$3:Z$38,'[9]inland_taf_hatchgrp_tableraw&amp;yy'!$AC$3:$AC$38,'2016 Table 11 CWTs exp'!$A27)</f>
        <v>539</v>
      </c>
      <c r="AA27" s="44">
        <f>SUMIFS('[9]inland_taf_hatchgrp_tableraw&amp;yy'!AA$3:AA$38,'[9]inland_taf_hatchgrp_tableraw&amp;yy'!$AC$3:$AC$38,'2016 Table 11 CWTs exp'!$A27)</f>
        <v>626</v>
      </c>
      <c r="AB27" s="636"/>
      <c r="AC27" s="636"/>
      <c r="AD27" s="635">
        <f t="shared" si="8"/>
        <v>0.1389776357827476</v>
      </c>
      <c r="AE27" s="604" t="str">
        <f t="shared" si="9"/>
        <v>BUTT543</v>
      </c>
      <c r="AF27" s="442"/>
      <c r="AG27" s="622">
        <f>SUMIFS('[9]inland_taf_hatchgrp_tableraw&amp;yy'!AB$3:AB$38,'[9]inland_taf_hatchgrp_tableraw&amp;yy'!$AC$3:$AC$38,'2016 Table 11 CWTs exp'!$A27)</f>
        <v>0.13900000000000001</v>
      </c>
      <c r="AH27" s="623">
        <f t="shared" si="10"/>
        <v>0.86102236421725242</v>
      </c>
      <c r="AI27" s="605">
        <f t="shared" si="12"/>
        <v>0.86102236421725242</v>
      </c>
      <c r="AJ27" s="447">
        <f t="shared" si="11"/>
        <v>539</v>
      </c>
      <c r="AK27" s="451"/>
      <c r="AL27" s="451"/>
      <c r="AM27" s="442"/>
      <c r="AN27" s="442"/>
      <c r="AO27" s="442"/>
      <c r="AP27" s="442"/>
      <c r="AQ27" s="442"/>
      <c r="AR27" s="442"/>
      <c r="AS27" s="442"/>
    </row>
    <row r="28" spans="1:51" ht="14.5" customHeight="1" x14ac:dyDescent="0.25">
      <c r="A28" s="50" t="str">
        <f t="shared" si="7"/>
        <v>FEAC543</v>
      </c>
      <c r="B28" s="13" t="s">
        <v>209</v>
      </c>
      <c r="C28" s="13">
        <v>54</v>
      </c>
      <c r="D28" s="13">
        <v>3</v>
      </c>
      <c r="E28" s="3" t="s">
        <v>81</v>
      </c>
      <c r="F28" s="43" t="str">
        <f t="shared" si="13"/>
        <v>Fall</v>
      </c>
      <c r="G28" s="44">
        <f>SUMIFS('[9]inland_taf_hatchgrp_tableraw&amp;yy'!G$3:G$38,'[9]inland_taf_hatchgrp_tableraw&amp;yy'!$AC$3:$AC$38,'2016 Table 11 CWTs exp'!$A28)</f>
        <v>0</v>
      </c>
      <c r="H28" s="45">
        <f>SUMIFS('[9]inland_taf_hatchgrp_tableraw&amp;yy'!H$3:H$38,'[9]inland_taf_hatchgrp_tableraw&amp;yy'!$AC$3:$AC$38,'2016 Table 11 CWTs exp'!$A28)</f>
        <v>0</v>
      </c>
      <c r="I28" s="44">
        <f>SUMIFS('[9]inland_taf_hatchgrp_tableraw&amp;yy'!I$3:I$38,'[9]inland_taf_hatchgrp_tableraw&amp;yy'!$AC$3:$AC$38,'2016 Table 11 CWTs exp'!$A28)</f>
        <v>0</v>
      </c>
      <c r="J28" s="46">
        <f>SUMIFS('[9]inland_taf_hatchgrp_tableraw&amp;yy'!J$3:J$38,'[9]inland_taf_hatchgrp_tableraw&amp;yy'!$AC$3:$AC$38,'2016 Table 11 CWTs exp'!$A28)</f>
        <v>4550</v>
      </c>
      <c r="K28" s="44">
        <f>SUMIFS('[9]inland_taf_hatchgrp_tableraw&amp;yy'!K$3:K$38,'[9]inland_taf_hatchgrp_tableraw&amp;yy'!$AC$3:$AC$38,'2016 Table 11 CWTs exp'!$A28)</f>
        <v>1067</v>
      </c>
      <c r="L28" s="44">
        <f>SUMIFS('[9]inland_taf_hatchgrp_tableraw&amp;yy'!L$3:L$38,'[9]inland_taf_hatchgrp_tableraw&amp;yy'!$AC$3:$AC$38,'2016 Table 11 CWTs exp'!$A28)</f>
        <v>1717</v>
      </c>
      <c r="M28" s="44">
        <f>SUMIFS('[9]inland_taf_hatchgrp_tableraw&amp;yy'!M$3:M$38,'[9]inland_taf_hatchgrp_tableraw&amp;yy'!$AC$3:$AC$38,'2016 Table 11 CWTs exp'!$A28)</f>
        <v>10</v>
      </c>
      <c r="N28" s="44">
        <f>SUMIFS('[9]inland_taf_hatchgrp_tableraw&amp;yy'!N$3:N$38,'[9]inland_taf_hatchgrp_tableraw&amp;yy'!$AC$3:$AC$38,'2016 Table 11 CWTs exp'!$A28)</f>
        <v>931</v>
      </c>
      <c r="O28" s="44">
        <f>SUMIFS('[9]inland_taf_hatchgrp_tableraw&amp;yy'!O$3:O$38,'[9]inland_taf_hatchgrp_tableraw&amp;yy'!$AC$3:$AC$38,'2016 Table 11 CWTs exp'!$A28)</f>
        <v>21741</v>
      </c>
      <c r="P28" s="44">
        <f>SUMIFS('[9]inland_taf_hatchgrp_tableraw&amp;yy'!P$3:P$38,'[9]inland_taf_hatchgrp_tableraw&amp;yy'!$AC$3:$AC$38,'2016 Table 11 CWTs exp'!$A28)</f>
        <v>2966</v>
      </c>
      <c r="Q28" s="45">
        <f>SUMIFS('[9]inland_taf_hatchgrp_tableraw&amp;yy'!Q$3:Q$38,'[9]inland_taf_hatchgrp_tableraw&amp;yy'!$AC$3:$AC$38,'2016 Table 11 CWTs exp'!$A28)</f>
        <v>0</v>
      </c>
      <c r="R28" s="46">
        <f>SUMIFS('[9]inland_taf_hatchgrp_tableraw&amp;yy'!R$3:R$38,'[9]inland_taf_hatchgrp_tableraw&amp;yy'!$AC$3:$AC$38,'2016 Table 11 CWTs exp'!$A28)</f>
        <v>162</v>
      </c>
      <c r="S28" s="44">
        <f>SUMIFS('[9]inland_taf_hatchgrp_tableraw&amp;yy'!S$3:S$38,'[9]inland_taf_hatchgrp_tableraw&amp;yy'!$AC$3:$AC$38,'2016 Table 11 CWTs exp'!$A28)</f>
        <v>63</v>
      </c>
      <c r="T28" s="44">
        <f>SUMIFS('[9]inland_taf_hatchgrp_tableraw&amp;yy'!T$3:T$38,'[9]inland_taf_hatchgrp_tableraw&amp;yy'!$AC$3:$AC$38,'2016 Table 11 CWTs exp'!$A28)</f>
        <v>30</v>
      </c>
      <c r="U28" s="44">
        <f>SUMIFS('[9]inland_taf_hatchgrp_tableraw&amp;yy'!U$3:U$38,'[9]inland_taf_hatchgrp_tableraw&amp;yy'!$AC$3:$AC$38,'2016 Table 11 CWTs exp'!$A28)</f>
        <v>162</v>
      </c>
      <c r="V28" s="46">
        <f>SUMIFS('[9]inland_taf_hatchgrp_tableraw&amp;yy'!V$3:V$38,'[9]inland_taf_hatchgrp_tableraw&amp;yy'!$AC$3:$AC$38,'2016 Table 11 CWTs exp'!$A28)</f>
        <v>10</v>
      </c>
      <c r="W28" s="46">
        <f>SUMIFS('[9]inland_taf_hatchgrp_tableraw&amp;yy'!W$3:W$38,'[9]inland_taf_hatchgrp_tableraw&amp;yy'!$AC$3:$AC$38,'2016 Table 11 CWTs exp'!$A28)</f>
        <v>94</v>
      </c>
      <c r="X28" s="44">
        <f>SUMIFS('[9]inland_taf_hatchgrp_tableraw&amp;yy'!X$3:X$38,'[9]inland_taf_hatchgrp_tableraw&amp;yy'!$AC$3:$AC$38,'2016 Table 11 CWTs exp'!$A28)</f>
        <v>0</v>
      </c>
      <c r="Y28" s="84">
        <f>SUMIFS('[9]inland_taf_hatchgrp_tableraw&amp;yy'!Y$3:Y$38,'[9]inland_taf_hatchgrp_tableraw&amp;yy'!$AC$3:$AC$38,'2016 Table 11 CWTs exp'!$A28)</f>
        <v>33506</v>
      </c>
      <c r="Z28" s="85">
        <f>SUMIFS('[9]inland_taf_hatchgrp_tableraw&amp;yy'!Z$3:Z$38,'[9]inland_taf_hatchgrp_tableraw&amp;yy'!$AC$3:$AC$38,'2016 Table 11 CWTs exp'!$A28)</f>
        <v>5236</v>
      </c>
      <c r="AA28" s="44">
        <f>SUMIFS('[9]inland_taf_hatchgrp_tableraw&amp;yy'!AA$3:AA$38,'[9]inland_taf_hatchgrp_tableraw&amp;yy'!$AC$3:$AC$38,'2016 Table 11 CWTs exp'!$A28)</f>
        <v>38742</v>
      </c>
      <c r="AB28" s="636"/>
      <c r="AC28" s="636"/>
      <c r="AD28" s="635">
        <f t="shared" si="8"/>
        <v>0.86484951731970472</v>
      </c>
      <c r="AE28" s="604" t="str">
        <f t="shared" si="9"/>
        <v>FEAC543</v>
      </c>
      <c r="AF28" s="442"/>
      <c r="AG28" s="622">
        <f>SUMIFS('[9]inland_taf_hatchgrp_tableraw&amp;yy'!AB$3:AB$38,'[9]inland_taf_hatchgrp_tableraw&amp;yy'!$AC$3:$AC$38,'2016 Table 11 CWTs exp'!$A28)</f>
        <v>0.86499999999999999</v>
      </c>
      <c r="AH28" s="623">
        <f t="shared" si="10"/>
        <v>0.13515048268029528</v>
      </c>
      <c r="AI28" s="605">
        <f t="shared" si="12"/>
        <v>0.13515048268029528</v>
      </c>
      <c r="AJ28" s="447">
        <f t="shared" si="11"/>
        <v>5236</v>
      </c>
      <c r="AK28" s="451"/>
      <c r="AL28" s="451"/>
      <c r="AM28" s="442"/>
      <c r="AN28" s="442"/>
      <c r="AO28" s="442"/>
      <c r="AP28" s="442"/>
      <c r="AQ28" s="442"/>
      <c r="AR28" s="442"/>
      <c r="AS28" s="442"/>
    </row>
    <row r="29" spans="1:51" ht="14.5" customHeight="1" x14ac:dyDescent="0.25">
      <c r="A29" s="50" t="str">
        <f t="shared" si="7"/>
        <v>YUBA543</v>
      </c>
      <c r="B29" s="13" t="s">
        <v>82</v>
      </c>
      <c r="C29" s="13">
        <v>54</v>
      </c>
      <c r="D29" s="13">
        <v>3</v>
      </c>
      <c r="E29" s="79" t="s">
        <v>165</v>
      </c>
      <c r="F29" s="43" t="str">
        <f t="shared" si="13"/>
        <v>Fall</v>
      </c>
      <c r="G29" s="44">
        <f>SUMIFS('[9]inland_taf_hatchgrp_tableraw&amp;yy'!G$3:G$38,'[9]inland_taf_hatchgrp_tableraw&amp;yy'!$AC$3:$AC$38,'2016 Table 11 CWTs exp'!$A29)</f>
        <v>0</v>
      </c>
      <c r="H29" s="45">
        <f>SUMIFS('[9]inland_taf_hatchgrp_tableraw&amp;yy'!H$3:H$38,'[9]inland_taf_hatchgrp_tableraw&amp;yy'!$AC$3:$AC$38,'2016 Table 11 CWTs exp'!$A29)</f>
        <v>0</v>
      </c>
      <c r="I29" s="44">
        <f>SUMIFS('[9]inland_taf_hatchgrp_tableraw&amp;yy'!I$3:I$38,'[9]inland_taf_hatchgrp_tableraw&amp;yy'!$AC$3:$AC$38,'2016 Table 11 CWTs exp'!$A29)</f>
        <v>0</v>
      </c>
      <c r="J29" s="46">
        <f>SUMIFS('[9]inland_taf_hatchgrp_tableraw&amp;yy'!J$3:J$38,'[9]inland_taf_hatchgrp_tableraw&amp;yy'!$AC$3:$AC$38,'2016 Table 11 CWTs exp'!$A29)</f>
        <v>817</v>
      </c>
      <c r="K29" s="44">
        <f>SUMIFS('[9]inland_taf_hatchgrp_tableraw&amp;yy'!K$3:K$38,'[9]inland_taf_hatchgrp_tableraw&amp;yy'!$AC$3:$AC$38,'2016 Table 11 CWTs exp'!$A29)</f>
        <v>33</v>
      </c>
      <c r="L29" s="44">
        <f>SUMIFS('[9]inland_taf_hatchgrp_tableraw&amp;yy'!L$3:L$38,'[9]inland_taf_hatchgrp_tableraw&amp;yy'!$AC$3:$AC$38,'2016 Table 11 CWTs exp'!$A29)</f>
        <v>49</v>
      </c>
      <c r="M29" s="44">
        <f>SUMIFS('[9]inland_taf_hatchgrp_tableraw&amp;yy'!M$3:M$38,'[9]inland_taf_hatchgrp_tableraw&amp;yy'!$AC$3:$AC$38,'2016 Table 11 CWTs exp'!$A29)</f>
        <v>0</v>
      </c>
      <c r="N29" s="44">
        <f>SUMIFS('[9]inland_taf_hatchgrp_tableraw&amp;yy'!N$3:N$38,'[9]inland_taf_hatchgrp_tableraw&amp;yy'!$AC$3:$AC$38,'2016 Table 11 CWTs exp'!$A29)</f>
        <v>5</v>
      </c>
      <c r="O29" s="44">
        <f>SUMIFS('[9]inland_taf_hatchgrp_tableraw&amp;yy'!O$3:O$38,'[9]inland_taf_hatchgrp_tableraw&amp;yy'!$AC$3:$AC$38,'2016 Table 11 CWTs exp'!$A29)</f>
        <v>286</v>
      </c>
      <c r="P29" s="44">
        <f>SUMIFS('[9]inland_taf_hatchgrp_tableraw&amp;yy'!P$3:P$38,'[9]inland_taf_hatchgrp_tableraw&amp;yy'!$AC$3:$AC$38,'2016 Table 11 CWTs exp'!$A29)</f>
        <v>49</v>
      </c>
      <c r="Q29" s="45">
        <f>SUMIFS('[9]inland_taf_hatchgrp_tableraw&amp;yy'!Q$3:Q$38,'[9]inland_taf_hatchgrp_tableraw&amp;yy'!$AC$3:$AC$38,'2016 Table 11 CWTs exp'!$A29)</f>
        <v>0</v>
      </c>
      <c r="R29" s="46">
        <f>SUMIFS('[9]inland_taf_hatchgrp_tableraw&amp;yy'!R$3:R$38,'[9]inland_taf_hatchgrp_tableraw&amp;yy'!$AC$3:$AC$38,'2016 Table 11 CWTs exp'!$A29)</f>
        <v>43</v>
      </c>
      <c r="S29" s="44">
        <f>SUMIFS('[9]inland_taf_hatchgrp_tableraw&amp;yy'!S$3:S$38,'[9]inland_taf_hatchgrp_tableraw&amp;yy'!$AC$3:$AC$38,'2016 Table 11 CWTs exp'!$A29)</f>
        <v>0</v>
      </c>
      <c r="T29" s="44">
        <f>SUMIFS('[9]inland_taf_hatchgrp_tableraw&amp;yy'!T$3:T$38,'[9]inland_taf_hatchgrp_tableraw&amp;yy'!$AC$3:$AC$38,'2016 Table 11 CWTs exp'!$A29)</f>
        <v>5</v>
      </c>
      <c r="U29" s="44">
        <f>SUMIFS('[9]inland_taf_hatchgrp_tableraw&amp;yy'!U$3:U$38,'[9]inland_taf_hatchgrp_tableraw&amp;yy'!$AC$3:$AC$38,'2016 Table 11 CWTs exp'!$A29)</f>
        <v>64</v>
      </c>
      <c r="V29" s="46">
        <f>SUMIFS('[9]inland_taf_hatchgrp_tableraw&amp;yy'!V$3:V$38,'[9]inland_taf_hatchgrp_tableraw&amp;yy'!$AC$3:$AC$38,'2016 Table 11 CWTs exp'!$A29)</f>
        <v>5</v>
      </c>
      <c r="W29" s="46">
        <f>SUMIFS('[9]inland_taf_hatchgrp_tableraw&amp;yy'!W$3:W$38,'[9]inland_taf_hatchgrp_tableraw&amp;yy'!$AC$3:$AC$38,'2016 Table 11 CWTs exp'!$A29)</f>
        <v>51</v>
      </c>
      <c r="X29" s="44">
        <f>SUMIFS('[9]inland_taf_hatchgrp_tableraw&amp;yy'!X$3:X$38,'[9]inland_taf_hatchgrp_tableraw&amp;yy'!$AC$3:$AC$38,'2016 Table 11 CWTs exp'!$A29)</f>
        <v>0</v>
      </c>
      <c r="Y29" s="84">
        <f>SUMIFS('[9]inland_taf_hatchgrp_tableraw&amp;yy'!Y$3:Y$38,'[9]inland_taf_hatchgrp_tableraw&amp;yy'!$AC$3:$AC$38,'2016 Table 11 CWTs exp'!$A29)</f>
        <v>1408</v>
      </c>
      <c r="Z29" s="85">
        <f>SUMIFS('[9]inland_taf_hatchgrp_tableraw&amp;yy'!Z$3:Z$38,'[9]inland_taf_hatchgrp_tableraw&amp;yy'!$AC$3:$AC$38,'2016 Table 11 CWTs exp'!$A29)</f>
        <v>2157</v>
      </c>
      <c r="AA29" s="44">
        <f>SUMIFS('[9]inland_taf_hatchgrp_tableraw&amp;yy'!AA$3:AA$38,'[9]inland_taf_hatchgrp_tableraw&amp;yy'!$AC$3:$AC$38,'2016 Table 11 CWTs exp'!$A29)</f>
        <v>3565</v>
      </c>
      <c r="AB29" s="636"/>
      <c r="AC29" s="636"/>
      <c r="AD29" s="635">
        <f t="shared" si="8"/>
        <v>0.39495091164095369</v>
      </c>
      <c r="AE29" s="604" t="str">
        <f t="shared" si="9"/>
        <v>YUBA543</v>
      </c>
      <c r="AF29" s="442"/>
      <c r="AG29" s="622">
        <f>SUMIFS('[9]inland_taf_hatchgrp_tableraw&amp;yy'!AB$3:AB$38,'[9]inland_taf_hatchgrp_tableraw&amp;yy'!$AC$3:$AC$38,'2016 Table 11 CWTs exp'!$A29)</f>
        <v>0.39500000000000002</v>
      </c>
      <c r="AH29" s="623">
        <f t="shared" si="10"/>
        <v>0.60504908835904625</v>
      </c>
      <c r="AI29" s="605">
        <f t="shared" si="12"/>
        <v>0.60504908835904625</v>
      </c>
      <c r="AJ29" s="447">
        <f t="shared" si="11"/>
        <v>2157</v>
      </c>
      <c r="AK29" s="624">
        <f>(Y29+Y30)/(AA29+AA30)</f>
        <v>0.39495091164095369</v>
      </c>
      <c r="AL29" s="451"/>
      <c r="AM29" s="442"/>
      <c r="AN29" s="442"/>
      <c r="AO29" s="442"/>
      <c r="AP29" s="442"/>
      <c r="AQ29" s="442"/>
      <c r="AR29" s="442"/>
      <c r="AS29" s="442"/>
    </row>
    <row r="30" spans="1:51" ht="14.5" hidden="1" customHeight="1" x14ac:dyDescent="0.25">
      <c r="A30" s="50" t="str">
        <f t="shared" si="7"/>
        <v>YUBB543</v>
      </c>
      <c r="B30" s="13" t="s">
        <v>84</v>
      </c>
      <c r="C30" s="13">
        <v>54</v>
      </c>
      <c r="D30" s="13">
        <v>3</v>
      </c>
      <c r="E30" s="79" t="s">
        <v>85</v>
      </c>
      <c r="F30" s="43" t="str">
        <f t="shared" si="13"/>
        <v>Fall</v>
      </c>
      <c r="G30" s="44">
        <f>SUMIFS('[9]inland_taf_hatchgrp_tableraw&amp;yy'!G$3:G$38,'[9]inland_taf_hatchgrp_tableraw&amp;yy'!$AC$3:$AC$38,'2016 Table 11 CWTs exp'!$A30)</f>
        <v>0</v>
      </c>
      <c r="H30" s="45">
        <f>SUMIFS('[9]inland_taf_hatchgrp_tableraw&amp;yy'!H$3:H$38,'[9]inland_taf_hatchgrp_tableraw&amp;yy'!$AC$3:$AC$38,'2016 Table 11 CWTs exp'!$A30)</f>
        <v>0</v>
      </c>
      <c r="I30" s="44">
        <f>SUMIFS('[9]inland_taf_hatchgrp_tableraw&amp;yy'!I$3:I$38,'[9]inland_taf_hatchgrp_tableraw&amp;yy'!$AC$3:$AC$38,'2016 Table 11 CWTs exp'!$A30)</f>
        <v>0</v>
      </c>
      <c r="J30" s="46">
        <f>SUMIFS('[9]inland_taf_hatchgrp_tableraw&amp;yy'!J$3:J$38,'[9]inland_taf_hatchgrp_tableraw&amp;yy'!$AC$3:$AC$38,'2016 Table 11 CWTs exp'!$A30)</f>
        <v>0</v>
      </c>
      <c r="K30" s="44">
        <f>SUMIFS('[9]inland_taf_hatchgrp_tableraw&amp;yy'!K$3:K$38,'[9]inland_taf_hatchgrp_tableraw&amp;yy'!$AC$3:$AC$38,'2016 Table 11 CWTs exp'!$A30)</f>
        <v>0</v>
      </c>
      <c r="L30" s="44">
        <f>SUMIFS('[9]inland_taf_hatchgrp_tableraw&amp;yy'!L$3:L$38,'[9]inland_taf_hatchgrp_tableraw&amp;yy'!$AC$3:$AC$38,'2016 Table 11 CWTs exp'!$A30)</f>
        <v>0</v>
      </c>
      <c r="M30" s="44">
        <f>SUMIFS('[9]inland_taf_hatchgrp_tableraw&amp;yy'!M$3:M$38,'[9]inland_taf_hatchgrp_tableraw&amp;yy'!$AC$3:$AC$38,'2016 Table 11 CWTs exp'!$A30)</f>
        <v>0</v>
      </c>
      <c r="N30" s="44">
        <f>SUMIFS('[9]inland_taf_hatchgrp_tableraw&amp;yy'!N$3:N$38,'[9]inland_taf_hatchgrp_tableraw&amp;yy'!$AC$3:$AC$38,'2016 Table 11 CWTs exp'!$A30)</f>
        <v>0</v>
      </c>
      <c r="O30" s="44">
        <f>SUMIFS('[9]inland_taf_hatchgrp_tableraw&amp;yy'!O$3:O$38,'[9]inland_taf_hatchgrp_tableraw&amp;yy'!$AC$3:$AC$38,'2016 Table 11 CWTs exp'!$A30)</f>
        <v>0</v>
      </c>
      <c r="P30" s="44">
        <f>SUMIFS('[9]inland_taf_hatchgrp_tableraw&amp;yy'!P$3:P$38,'[9]inland_taf_hatchgrp_tableraw&amp;yy'!$AC$3:$AC$38,'2016 Table 11 CWTs exp'!$A30)</f>
        <v>0</v>
      </c>
      <c r="Q30" s="45">
        <f>SUMIFS('[9]inland_taf_hatchgrp_tableraw&amp;yy'!Q$3:Q$38,'[9]inland_taf_hatchgrp_tableraw&amp;yy'!$AC$3:$AC$38,'2016 Table 11 CWTs exp'!$A30)</f>
        <v>0</v>
      </c>
      <c r="R30" s="46">
        <f>SUMIFS('[9]inland_taf_hatchgrp_tableraw&amp;yy'!R$3:R$38,'[9]inland_taf_hatchgrp_tableraw&amp;yy'!$AC$3:$AC$38,'2016 Table 11 CWTs exp'!$A30)</f>
        <v>0</v>
      </c>
      <c r="S30" s="44">
        <f>SUMIFS('[9]inland_taf_hatchgrp_tableraw&amp;yy'!S$3:S$38,'[9]inland_taf_hatchgrp_tableraw&amp;yy'!$AC$3:$AC$38,'2016 Table 11 CWTs exp'!$A30)</f>
        <v>0</v>
      </c>
      <c r="T30" s="44">
        <f>SUMIFS('[9]inland_taf_hatchgrp_tableraw&amp;yy'!T$3:T$38,'[9]inland_taf_hatchgrp_tableraw&amp;yy'!$AC$3:$AC$38,'2016 Table 11 CWTs exp'!$A30)</f>
        <v>0</v>
      </c>
      <c r="U30" s="44">
        <f>SUMIFS('[9]inland_taf_hatchgrp_tableraw&amp;yy'!U$3:U$38,'[9]inland_taf_hatchgrp_tableraw&amp;yy'!$AC$3:$AC$38,'2016 Table 11 CWTs exp'!$A30)</f>
        <v>0</v>
      </c>
      <c r="V30" s="46">
        <f>SUMIFS('[9]inland_taf_hatchgrp_tableraw&amp;yy'!V$3:V$38,'[9]inland_taf_hatchgrp_tableraw&amp;yy'!$AC$3:$AC$38,'2016 Table 11 CWTs exp'!$A30)</f>
        <v>0</v>
      </c>
      <c r="W30" s="46">
        <f>SUMIFS('[9]inland_taf_hatchgrp_tableraw&amp;yy'!W$3:W$38,'[9]inland_taf_hatchgrp_tableraw&amp;yy'!$AC$3:$AC$38,'2016 Table 11 CWTs exp'!$A30)</f>
        <v>0</v>
      </c>
      <c r="X30" s="44">
        <f>SUMIFS('[9]inland_taf_hatchgrp_tableraw&amp;yy'!X$3:X$38,'[9]inland_taf_hatchgrp_tableraw&amp;yy'!$AC$3:$AC$38,'2016 Table 11 CWTs exp'!$A30)</f>
        <v>0</v>
      </c>
      <c r="Y30" s="84">
        <f>SUMIFS('[9]inland_taf_hatchgrp_tableraw&amp;yy'!Y$3:Y$38,'[9]inland_taf_hatchgrp_tableraw&amp;yy'!$AC$3:$AC$38,'2016 Table 11 CWTs exp'!$A30)</f>
        <v>0</v>
      </c>
      <c r="Z30" s="85">
        <f>SUMIFS('[9]inland_taf_hatchgrp_tableraw&amp;yy'!Z$3:Z$38,'[9]inland_taf_hatchgrp_tableraw&amp;yy'!$AC$3:$AC$38,'2016 Table 11 CWTs exp'!$A30)</f>
        <v>0</v>
      </c>
      <c r="AA30" s="44">
        <f>SUMIFS('[9]inland_taf_hatchgrp_tableraw&amp;yy'!AA$3:AA$38,'[9]inland_taf_hatchgrp_tableraw&amp;yy'!$AC$3:$AC$38,'2016 Table 11 CWTs exp'!$A30)</f>
        <v>0</v>
      </c>
      <c r="AB30" s="636"/>
      <c r="AC30" s="636"/>
      <c r="AD30" s="635" t="e">
        <f t="shared" si="8"/>
        <v>#DIV/0!</v>
      </c>
      <c r="AE30" s="604" t="str">
        <f t="shared" si="9"/>
        <v>YUBB543</v>
      </c>
      <c r="AF30" s="442"/>
      <c r="AG30" s="622">
        <f>SUMIFS('[9]inland_taf_hatchgrp_tableraw&amp;yy'!AB$3:AB$38,'[9]inland_taf_hatchgrp_tableraw&amp;yy'!$AC$3:$AC$38,'2016 Table 11 CWTs exp'!$A30)</f>
        <v>0</v>
      </c>
      <c r="AH30" s="623" t="e">
        <f t="shared" si="10"/>
        <v>#DIV/0!</v>
      </c>
      <c r="AI30" s="605" t="e">
        <f t="shared" si="12"/>
        <v>#DIV/0!</v>
      </c>
      <c r="AJ30" s="447">
        <f t="shared" si="11"/>
        <v>0</v>
      </c>
      <c r="AK30" s="451"/>
      <c r="AL30" s="451"/>
      <c r="AM30" s="442"/>
      <c r="AN30" s="442"/>
      <c r="AO30" s="442"/>
      <c r="AP30" s="442"/>
      <c r="AQ30" s="442"/>
      <c r="AR30" s="442"/>
      <c r="AS30" s="442"/>
    </row>
    <row r="31" spans="1:51" ht="14.5" customHeight="1" x14ac:dyDescent="0.25">
      <c r="A31" s="50" t="str">
        <f t="shared" si="7"/>
        <v>LARC543</v>
      </c>
      <c r="B31" s="13" t="s">
        <v>86</v>
      </c>
      <c r="C31" s="13">
        <v>54</v>
      </c>
      <c r="D31" s="13">
        <v>3</v>
      </c>
      <c r="E31" s="3" t="s">
        <v>87</v>
      </c>
      <c r="F31" s="43" t="str">
        <f t="shared" si="13"/>
        <v>Fall</v>
      </c>
      <c r="G31" s="44">
        <f>SUMIFS('[9]inland_taf_hatchgrp_tableraw&amp;yy'!G$3:G$38,'[9]inland_taf_hatchgrp_tableraw&amp;yy'!$AC$3:$AC$38,'2016 Table 11 CWTs exp'!$A31)</f>
        <v>0</v>
      </c>
      <c r="H31" s="45">
        <f>SUMIFS('[9]inland_taf_hatchgrp_tableraw&amp;yy'!H$3:H$38,'[9]inland_taf_hatchgrp_tableraw&amp;yy'!$AC$3:$AC$38,'2016 Table 11 CWTs exp'!$A31)</f>
        <v>0</v>
      </c>
      <c r="I31" s="44">
        <f>SUMIFS('[9]inland_taf_hatchgrp_tableraw&amp;yy'!I$3:I$38,'[9]inland_taf_hatchgrp_tableraw&amp;yy'!$AC$3:$AC$38,'2016 Table 11 CWTs exp'!$A31)</f>
        <v>0</v>
      </c>
      <c r="J31" s="46">
        <f>SUMIFS('[9]inland_taf_hatchgrp_tableraw&amp;yy'!J$3:J$38,'[9]inland_taf_hatchgrp_tableraw&amp;yy'!$AC$3:$AC$38,'2016 Table 11 CWTs exp'!$A31)</f>
        <v>4372</v>
      </c>
      <c r="K31" s="44">
        <f>SUMIFS('[9]inland_taf_hatchgrp_tableraw&amp;yy'!K$3:K$38,'[9]inland_taf_hatchgrp_tableraw&amp;yy'!$AC$3:$AC$38,'2016 Table 11 CWTs exp'!$A31)</f>
        <v>0</v>
      </c>
      <c r="L31" s="44">
        <f>SUMIFS('[9]inland_taf_hatchgrp_tableraw&amp;yy'!L$3:L$38,'[9]inland_taf_hatchgrp_tableraw&amp;yy'!$AC$3:$AC$38,'2016 Table 11 CWTs exp'!$A31)</f>
        <v>3</v>
      </c>
      <c r="M31" s="44">
        <f>SUMIFS('[9]inland_taf_hatchgrp_tableraw&amp;yy'!M$3:M$38,'[9]inland_taf_hatchgrp_tableraw&amp;yy'!$AC$3:$AC$38,'2016 Table 11 CWTs exp'!$A31)</f>
        <v>0</v>
      </c>
      <c r="N31" s="44">
        <f>SUMIFS('[9]inland_taf_hatchgrp_tableraw&amp;yy'!N$3:N$38,'[9]inland_taf_hatchgrp_tableraw&amp;yy'!$AC$3:$AC$38,'2016 Table 11 CWTs exp'!$A31)</f>
        <v>0</v>
      </c>
      <c r="O31" s="44">
        <f>SUMIFS('[9]inland_taf_hatchgrp_tableraw&amp;yy'!O$3:O$38,'[9]inland_taf_hatchgrp_tableraw&amp;yy'!$AC$3:$AC$38,'2016 Table 11 CWTs exp'!$A31)</f>
        <v>258</v>
      </c>
      <c r="P31" s="44">
        <f>SUMIFS('[9]inland_taf_hatchgrp_tableraw&amp;yy'!P$3:P$38,'[9]inland_taf_hatchgrp_tableraw&amp;yy'!$AC$3:$AC$38,'2016 Table 11 CWTs exp'!$A31)</f>
        <v>42</v>
      </c>
      <c r="Q31" s="45">
        <f>SUMIFS('[9]inland_taf_hatchgrp_tableraw&amp;yy'!Q$3:Q$38,'[9]inland_taf_hatchgrp_tableraw&amp;yy'!$AC$3:$AC$38,'2016 Table 11 CWTs exp'!$A31)</f>
        <v>397</v>
      </c>
      <c r="R31" s="46">
        <f>SUMIFS('[9]inland_taf_hatchgrp_tableraw&amp;yy'!R$3:R$38,'[9]inland_taf_hatchgrp_tableraw&amp;yy'!$AC$3:$AC$38,'2016 Table 11 CWTs exp'!$A31)</f>
        <v>3331</v>
      </c>
      <c r="S31" s="44">
        <f>SUMIFS('[9]inland_taf_hatchgrp_tableraw&amp;yy'!S$3:S$38,'[9]inland_taf_hatchgrp_tableraw&amp;yy'!$AC$3:$AC$38,'2016 Table 11 CWTs exp'!$A31)</f>
        <v>11</v>
      </c>
      <c r="T31" s="44">
        <f>SUMIFS('[9]inland_taf_hatchgrp_tableraw&amp;yy'!T$3:T$38,'[9]inland_taf_hatchgrp_tableraw&amp;yy'!$AC$3:$AC$38,'2016 Table 11 CWTs exp'!$A31)</f>
        <v>14</v>
      </c>
      <c r="U31" s="44">
        <f>SUMIFS('[9]inland_taf_hatchgrp_tableraw&amp;yy'!U$3:U$38,'[9]inland_taf_hatchgrp_tableraw&amp;yy'!$AC$3:$AC$38,'2016 Table 11 CWTs exp'!$A31)</f>
        <v>312</v>
      </c>
      <c r="V31" s="46">
        <f>SUMIFS('[9]inland_taf_hatchgrp_tableraw&amp;yy'!V$3:V$38,'[9]inland_taf_hatchgrp_tableraw&amp;yy'!$AC$3:$AC$38,'2016 Table 11 CWTs exp'!$A31)</f>
        <v>10</v>
      </c>
      <c r="W31" s="46">
        <f>SUMIFS('[9]inland_taf_hatchgrp_tableraw&amp;yy'!W$3:W$38,'[9]inland_taf_hatchgrp_tableraw&amp;yy'!$AC$3:$AC$38,'2016 Table 11 CWTs exp'!$A31)</f>
        <v>78</v>
      </c>
      <c r="X31" s="44">
        <f>SUMIFS('[9]inland_taf_hatchgrp_tableraw&amp;yy'!X$3:X$38,'[9]inland_taf_hatchgrp_tableraw&amp;yy'!$AC$3:$AC$38,'2016 Table 11 CWTs exp'!$A31)</f>
        <v>0</v>
      </c>
      <c r="Y31" s="84">
        <f>SUMIFS('[9]inland_taf_hatchgrp_tableraw&amp;yy'!Y$3:Y$38,'[9]inland_taf_hatchgrp_tableraw&amp;yy'!$AC$3:$AC$38,'2016 Table 11 CWTs exp'!$A31)</f>
        <v>8826</v>
      </c>
      <c r="Z31" s="85">
        <f>SUMIFS('[9]inland_taf_hatchgrp_tableraw&amp;yy'!Z$3:Z$38,'[9]inland_taf_hatchgrp_tableraw&amp;yy'!$AC$3:$AC$38,'2016 Table 11 CWTs exp'!$A31)</f>
        <v>1658</v>
      </c>
      <c r="AA31" s="44">
        <f>SUMIFS('[9]inland_taf_hatchgrp_tableraw&amp;yy'!AA$3:AA$38,'[9]inland_taf_hatchgrp_tableraw&amp;yy'!$AC$3:$AC$38,'2016 Table 11 CWTs exp'!$A31)</f>
        <v>10484</v>
      </c>
      <c r="AB31" s="636"/>
      <c r="AC31" s="636"/>
      <c r="AD31" s="635">
        <f t="shared" si="8"/>
        <v>0.84185425410148795</v>
      </c>
      <c r="AE31" s="604" t="str">
        <f t="shared" si="9"/>
        <v>LARC543</v>
      </c>
      <c r="AF31" s="442"/>
      <c r="AG31" s="622">
        <f>SUMIFS('[9]inland_taf_hatchgrp_tableraw&amp;yy'!AB$3:AB$38,'[9]inland_taf_hatchgrp_tableraw&amp;yy'!$AC$3:$AC$38,'2016 Table 11 CWTs exp'!$A31)</f>
        <v>0.84199999999999997</v>
      </c>
      <c r="AH31" s="623">
        <f t="shared" si="10"/>
        <v>0.15814574589851202</v>
      </c>
      <c r="AI31" s="605">
        <f t="shared" si="12"/>
        <v>0.15814574589851205</v>
      </c>
      <c r="AJ31" s="447">
        <f t="shared" si="11"/>
        <v>1658</v>
      </c>
      <c r="AK31" s="451"/>
      <c r="AL31" s="451"/>
      <c r="AM31" s="442"/>
      <c r="AN31" s="442"/>
      <c r="AO31" s="442"/>
      <c r="AP31" s="442"/>
      <c r="AQ31" s="442"/>
      <c r="AR31" s="442"/>
      <c r="AS31" s="442"/>
    </row>
    <row r="32" spans="1:51" ht="14.5" customHeight="1" x14ac:dyDescent="0.25">
      <c r="A32" s="36" t="str">
        <f t="shared" si="7"/>
        <v>NIMW593</v>
      </c>
      <c r="B32" s="35" t="s">
        <v>88</v>
      </c>
      <c r="C32" s="35">
        <v>59</v>
      </c>
      <c r="D32" s="35">
        <v>3</v>
      </c>
      <c r="E32" s="3" t="s">
        <v>89</v>
      </c>
      <c r="F32" s="43" t="str">
        <f t="shared" si="13"/>
        <v>Fall</v>
      </c>
      <c r="G32" s="44">
        <f>SUMIFS('[9]inland_taf_hatchgrp_tableraw&amp;yy'!G$3:G$38,'[9]inland_taf_hatchgrp_tableraw&amp;yy'!$AC$3:$AC$38,'2016 Table 11 CWTs exp'!$A32)</f>
        <v>0</v>
      </c>
      <c r="H32" s="45">
        <f>SUMIFS('[9]inland_taf_hatchgrp_tableraw&amp;yy'!H$3:H$38,'[9]inland_taf_hatchgrp_tableraw&amp;yy'!$AC$3:$AC$38,'2016 Table 11 CWTs exp'!$A32)</f>
        <v>0</v>
      </c>
      <c r="I32" s="44">
        <f>SUMIFS('[9]inland_taf_hatchgrp_tableraw&amp;yy'!I$3:I$38,'[9]inland_taf_hatchgrp_tableraw&amp;yy'!$AC$3:$AC$38,'2016 Table 11 CWTs exp'!$A32)</f>
        <v>0</v>
      </c>
      <c r="J32" s="46">
        <f>SUMIFS('[9]inland_taf_hatchgrp_tableraw&amp;yy'!J$3:J$38,'[9]inland_taf_hatchgrp_tableraw&amp;yy'!$AC$3:$AC$38,'2016 Table 11 CWTs exp'!$A32)</f>
        <v>442</v>
      </c>
      <c r="K32" s="44">
        <f>SUMIFS('[9]inland_taf_hatchgrp_tableraw&amp;yy'!K$3:K$38,'[9]inland_taf_hatchgrp_tableraw&amp;yy'!$AC$3:$AC$38,'2016 Table 11 CWTs exp'!$A32)</f>
        <v>0</v>
      </c>
      <c r="L32" s="44">
        <f>SUMIFS('[9]inland_taf_hatchgrp_tableraw&amp;yy'!L$3:L$38,'[9]inland_taf_hatchgrp_tableraw&amp;yy'!$AC$3:$AC$38,'2016 Table 11 CWTs exp'!$A32)</f>
        <v>6</v>
      </c>
      <c r="M32" s="44">
        <f>SUMIFS('[9]inland_taf_hatchgrp_tableraw&amp;yy'!M$3:M$38,'[9]inland_taf_hatchgrp_tableraw&amp;yy'!$AC$3:$AC$38,'2016 Table 11 CWTs exp'!$A32)</f>
        <v>0</v>
      </c>
      <c r="N32" s="44">
        <f>SUMIFS('[9]inland_taf_hatchgrp_tableraw&amp;yy'!N$3:N$38,'[9]inland_taf_hatchgrp_tableraw&amp;yy'!$AC$3:$AC$38,'2016 Table 11 CWTs exp'!$A32)</f>
        <v>3</v>
      </c>
      <c r="O32" s="44">
        <f>SUMIFS('[9]inland_taf_hatchgrp_tableraw&amp;yy'!O$3:O$38,'[9]inland_taf_hatchgrp_tableraw&amp;yy'!$AC$3:$AC$38,'2016 Table 11 CWTs exp'!$A32)</f>
        <v>61</v>
      </c>
      <c r="P32" s="44">
        <f>SUMIFS('[9]inland_taf_hatchgrp_tableraw&amp;yy'!P$3:P$38,'[9]inland_taf_hatchgrp_tableraw&amp;yy'!$AC$3:$AC$38,'2016 Table 11 CWTs exp'!$A32)</f>
        <v>13</v>
      </c>
      <c r="Q32" s="45">
        <f>SUMIFS('[9]inland_taf_hatchgrp_tableraw&amp;yy'!Q$3:Q$38,'[9]inland_taf_hatchgrp_tableraw&amp;yy'!$AC$3:$AC$38,'2016 Table 11 CWTs exp'!$A32)</f>
        <v>10</v>
      </c>
      <c r="R32" s="46">
        <f>SUMIFS('[9]inland_taf_hatchgrp_tableraw&amp;yy'!R$3:R$38,'[9]inland_taf_hatchgrp_tableraw&amp;yy'!$AC$3:$AC$38,'2016 Table 11 CWTs exp'!$A32)</f>
        <v>417</v>
      </c>
      <c r="S32" s="44">
        <f>SUMIFS('[9]inland_taf_hatchgrp_tableraw&amp;yy'!S$3:S$38,'[9]inland_taf_hatchgrp_tableraw&amp;yy'!$AC$3:$AC$38,'2016 Table 11 CWTs exp'!$A32)</f>
        <v>7</v>
      </c>
      <c r="T32" s="44">
        <f>SUMIFS('[9]inland_taf_hatchgrp_tableraw&amp;yy'!T$3:T$38,'[9]inland_taf_hatchgrp_tableraw&amp;yy'!$AC$3:$AC$38,'2016 Table 11 CWTs exp'!$A32)</f>
        <v>4</v>
      </c>
      <c r="U32" s="44">
        <f>SUMIFS('[9]inland_taf_hatchgrp_tableraw&amp;yy'!U$3:U$38,'[9]inland_taf_hatchgrp_tableraw&amp;yy'!$AC$3:$AC$38,'2016 Table 11 CWTs exp'!$A32)</f>
        <v>84</v>
      </c>
      <c r="V32" s="46">
        <f>SUMIFS('[9]inland_taf_hatchgrp_tableraw&amp;yy'!V$3:V$38,'[9]inland_taf_hatchgrp_tableraw&amp;yy'!$AC$3:$AC$38,'2016 Table 11 CWTs exp'!$A32)</f>
        <v>5</v>
      </c>
      <c r="W32" s="46">
        <f>SUMIFS('[9]inland_taf_hatchgrp_tableraw&amp;yy'!W$3:W$38,'[9]inland_taf_hatchgrp_tableraw&amp;yy'!$AC$3:$AC$38,'2016 Table 11 CWTs exp'!$A32)</f>
        <v>16</v>
      </c>
      <c r="X32" s="44">
        <f>SUMIFS('[9]inland_taf_hatchgrp_tableraw&amp;yy'!X$3:X$38,'[9]inland_taf_hatchgrp_tableraw&amp;yy'!$AC$3:$AC$38,'2016 Table 11 CWTs exp'!$A32)</f>
        <v>0</v>
      </c>
      <c r="Y32" s="84">
        <f>SUMIFS('[9]inland_taf_hatchgrp_tableraw&amp;yy'!Y$3:Y$38,'[9]inland_taf_hatchgrp_tableraw&amp;yy'!$AC$3:$AC$38,'2016 Table 11 CWTs exp'!$A32)</f>
        <v>1068</v>
      </c>
      <c r="Z32" s="85">
        <f>SUMIFS('[9]inland_taf_hatchgrp_tableraw&amp;yy'!Z$3:Z$38,'[9]inland_taf_hatchgrp_tableraw&amp;yy'!$AC$3:$AC$38,'2016 Table 11 CWTs exp'!$A32)</f>
        <v>2921</v>
      </c>
      <c r="AA32" s="44">
        <f>SUMIFS('[9]inland_taf_hatchgrp_tableraw&amp;yy'!AA$3:AA$38,'[9]inland_taf_hatchgrp_tableraw&amp;yy'!$AC$3:$AC$38,'2016 Table 11 CWTs exp'!$A32)</f>
        <v>3989</v>
      </c>
      <c r="AB32" s="636"/>
      <c r="AC32" s="636"/>
      <c r="AD32" s="635">
        <f t="shared" si="8"/>
        <v>0.26773627475557782</v>
      </c>
      <c r="AE32" s="604" t="str">
        <f t="shared" si="9"/>
        <v>NIMW593</v>
      </c>
      <c r="AF32" s="603"/>
      <c r="AG32" s="622">
        <f>SUMIFS('[9]inland_taf_hatchgrp_tableraw&amp;yy'!AB$3:AB$38,'[9]inland_taf_hatchgrp_tableraw&amp;yy'!$AC$3:$AC$38,'2016 Table 11 CWTs exp'!$A32)</f>
        <v>0.26800000000000002</v>
      </c>
      <c r="AH32" s="623">
        <f t="shared" si="10"/>
        <v>0.73226372524442218</v>
      </c>
      <c r="AI32" s="605">
        <f t="shared" si="12"/>
        <v>0.73226372524442218</v>
      </c>
      <c r="AJ32" s="447">
        <f t="shared" si="11"/>
        <v>2921</v>
      </c>
      <c r="AK32" s="451"/>
      <c r="AL32" s="451"/>
      <c r="AM32" s="442"/>
      <c r="AN32" s="442"/>
      <c r="AO32" s="442"/>
      <c r="AP32" s="442"/>
      <c r="AQ32" s="442"/>
      <c r="AR32" s="442"/>
      <c r="AS32" s="442"/>
    </row>
    <row r="33" spans="1:45" ht="14.5" customHeight="1" x14ac:dyDescent="0.25">
      <c r="A33" s="50" t="str">
        <f t="shared" si="7"/>
        <v>MOKE543</v>
      </c>
      <c r="B33" s="13" t="s">
        <v>90</v>
      </c>
      <c r="C33" s="13">
        <v>54</v>
      </c>
      <c r="D33" s="13">
        <v>3</v>
      </c>
      <c r="E33" s="3" t="s">
        <v>199</v>
      </c>
      <c r="F33" s="43" t="str">
        <f t="shared" si="13"/>
        <v>Fall</v>
      </c>
      <c r="G33" s="44">
        <f>SUMIFS('[9]inland_taf_hatchgrp_tableraw&amp;yy'!G$3:G$38,'[9]inland_taf_hatchgrp_tableraw&amp;yy'!$AC$3:$AC$38,'2016 Table 11 CWTs exp'!$A33)</f>
        <v>0</v>
      </c>
      <c r="H33" s="45">
        <f>SUMIFS('[9]inland_taf_hatchgrp_tableraw&amp;yy'!H$3:H$38,'[9]inland_taf_hatchgrp_tableraw&amp;yy'!$AC$3:$AC$38,'2016 Table 11 CWTs exp'!$A33)</f>
        <v>0</v>
      </c>
      <c r="I33" s="44">
        <f>SUMIFS('[9]inland_taf_hatchgrp_tableraw&amp;yy'!I$3:I$38,'[9]inland_taf_hatchgrp_tableraw&amp;yy'!$AC$3:$AC$38,'2016 Table 11 CWTs exp'!$A33)</f>
        <v>0</v>
      </c>
      <c r="J33" s="46">
        <f>SUMIFS('[9]inland_taf_hatchgrp_tableraw&amp;yy'!J$3:J$38,'[9]inland_taf_hatchgrp_tableraw&amp;yy'!$AC$3:$AC$38,'2016 Table 11 CWTs exp'!$A33)</f>
        <v>157</v>
      </c>
      <c r="K33" s="44">
        <f>SUMIFS('[9]inland_taf_hatchgrp_tableraw&amp;yy'!K$3:K$38,'[9]inland_taf_hatchgrp_tableraw&amp;yy'!$AC$3:$AC$38,'2016 Table 11 CWTs exp'!$A33)</f>
        <v>0</v>
      </c>
      <c r="L33" s="44">
        <f>SUMIFS('[9]inland_taf_hatchgrp_tableraw&amp;yy'!L$3:L$38,'[9]inland_taf_hatchgrp_tableraw&amp;yy'!$AC$3:$AC$38,'2016 Table 11 CWTs exp'!$A33)</f>
        <v>0</v>
      </c>
      <c r="M33" s="44">
        <f>SUMIFS('[9]inland_taf_hatchgrp_tableraw&amp;yy'!M$3:M$38,'[9]inland_taf_hatchgrp_tableraw&amp;yy'!$AC$3:$AC$38,'2016 Table 11 CWTs exp'!$A33)</f>
        <v>0</v>
      </c>
      <c r="N33" s="44">
        <f>SUMIFS('[9]inland_taf_hatchgrp_tableraw&amp;yy'!N$3:N$38,'[9]inland_taf_hatchgrp_tableraw&amp;yy'!$AC$3:$AC$38,'2016 Table 11 CWTs exp'!$A33)</f>
        <v>0</v>
      </c>
      <c r="O33" s="44">
        <f>SUMIFS('[9]inland_taf_hatchgrp_tableraw&amp;yy'!O$3:O$38,'[9]inland_taf_hatchgrp_tableraw&amp;yy'!$AC$3:$AC$38,'2016 Table 11 CWTs exp'!$A33)</f>
        <v>38</v>
      </c>
      <c r="P33" s="44">
        <f>SUMIFS('[9]inland_taf_hatchgrp_tableraw&amp;yy'!P$3:P$38,'[9]inland_taf_hatchgrp_tableraw&amp;yy'!$AC$3:$AC$38,'2016 Table 11 CWTs exp'!$A33)</f>
        <v>7</v>
      </c>
      <c r="Q33" s="45">
        <f>SUMIFS('[9]inland_taf_hatchgrp_tableraw&amp;yy'!Q$3:Q$38,'[9]inland_taf_hatchgrp_tableraw&amp;yy'!$AC$3:$AC$38,'2016 Table 11 CWTs exp'!$A33)</f>
        <v>0</v>
      </c>
      <c r="R33" s="46">
        <f>SUMIFS('[9]inland_taf_hatchgrp_tableraw&amp;yy'!R$3:R$38,'[9]inland_taf_hatchgrp_tableraw&amp;yy'!$AC$3:$AC$38,'2016 Table 11 CWTs exp'!$A33)</f>
        <v>678</v>
      </c>
      <c r="S33" s="44">
        <f>SUMIFS('[9]inland_taf_hatchgrp_tableraw&amp;yy'!S$3:S$38,'[9]inland_taf_hatchgrp_tableraw&amp;yy'!$AC$3:$AC$38,'2016 Table 11 CWTs exp'!$A33)</f>
        <v>16</v>
      </c>
      <c r="T33" s="44">
        <f>SUMIFS('[9]inland_taf_hatchgrp_tableraw&amp;yy'!T$3:T$38,'[9]inland_taf_hatchgrp_tableraw&amp;yy'!$AC$3:$AC$38,'2016 Table 11 CWTs exp'!$A33)</f>
        <v>24</v>
      </c>
      <c r="U33" s="44">
        <f>SUMIFS('[9]inland_taf_hatchgrp_tableraw&amp;yy'!U$3:U$38,'[9]inland_taf_hatchgrp_tableraw&amp;yy'!$AC$3:$AC$38,'2016 Table 11 CWTs exp'!$A33)</f>
        <v>628</v>
      </c>
      <c r="V33" s="46">
        <f>SUMIFS('[9]inland_taf_hatchgrp_tableraw&amp;yy'!V$3:V$38,'[9]inland_taf_hatchgrp_tableraw&amp;yy'!$AC$3:$AC$38,'2016 Table 11 CWTs exp'!$A33)</f>
        <v>18</v>
      </c>
      <c r="W33" s="46">
        <f>SUMIFS('[9]inland_taf_hatchgrp_tableraw&amp;yy'!W$3:W$38,'[9]inland_taf_hatchgrp_tableraw&amp;yy'!$AC$3:$AC$38,'2016 Table 11 CWTs exp'!$A33)</f>
        <v>38</v>
      </c>
      <c r="X33" s="44">
        <f>SUMIFS('[9]inland_taf_hatchgrp_tableraw&amp;yy'!X$3:X$38,'[9]inland_taf_hatchgrp_tableraw&amp;yy'!$AC$3:$AC$38,'2016 Table 11 CWTs exp'!$A33)</f>
        <v>0</v>
      </c>
      <c r="Y33" s="84">
        <f>SUMIFS('[9]inland_taf_hatchgrp_tableraw&amp;yy'!Y$3:Y$38,'[9]inland_taf_hatchgrp_tableraw&amp;yy'!$AC$3:$AC$38,'2016 Table 11 CWTs exp'!$A33)</f>
        <v>1604</v>
      </c>
      <c r="Z33" s="85">
        <f>SUMIFS('[9]inland_taf_hatchgrp_tableraw&amp;yy'!Z$3:Z$38,'[9]inland_taf_hatchgrp_tableraw&amp;yy'!$AC$3:$AC$38,'2016 Table 11 CWTs exp'!$A33)</f>
        <v>380</v>
      </c>
      <c r="AA33" s="44">
        <f>SUMIFS('[9]inland_taf_hatchgrp_tableraw&amp;yy'!AA$3:AA$38,'[9]inland_taf_hatchgrp_tableraw&amp;yy'!$AC$3:$AC$38,'2016 Table 11 CWTs exp'!$A33)</f>
        <v>1984</v>
      </c>
      <c r="AB33" s="636"/>
      <c r="AC33" s="636"/>
      <c r="AD33" s="635">
        <f t="shared" si="8"/>
        <v>0.80846774193548387</v>
      </c>
      <c r="AE33" s="604" t="str">
        <f t="shared" si="9"/>
        <v>MOKE543</v>
      </c>
      <c r="AF33" s="442"/>
      <c r="AG33" s="622">
        <f>SUMIFS('[9]inland_taf_hatchgrp_tableraw&amp;yy'!AB$3:AB$38,'[9]inland_taf_hatchgrp_tableraw&amp;yy'!$AC$3:$AC$38,'2016 Table 11 CWTs exp'!$A33)</f>
        <v>0.80800000000000005</v>
      </c>
      <c r="AH33" s="623">
        <f t="shared" si="10"/>
        <v>0.19153225806451613</v>
      </c>
      <c r="AI33" s="605">
        <f t="shared" si="12"/>
        <v>0.19153225806451613</v>
      </c>
      <c r="AJ33" s="447">
        <f t="shared" si="11"/>
        <v>380</v>
      </c>
      <c r="AK33" s="451"/>
      <c r="AL33" s="451"/>
      <c r="AM33" s="442"/>
      <c r="AN33" s="442"/>
      <c r="AO33" s="442"/>
      <c r="AP33" s="442"/>
      <c r="AQ33" s="442"/>
      <c r="AR33" s="442"/>
      <c r="AS33" s="442"/>
    </row>
    <row r="34" spans="1:45" ht="14.5" hidden="1" customHeight="1" x14ac:dyDescent="0.25">
      <c r="A34" s="50" t="str">
        <f t="shared" si="7"/>
        <v>COSU543</v>
      </c>
      <c r="B34" s="13" t="s">
        <v>92</v>
      </c>
      <c r="C34" s="13">
        <v>54</v>
      </c>
      <c r="D34" s="13">
        <v>3</v>
      </c>
      <c r="E34" s="3" t="s">
        <v>93</v>
      </c>
      <c r="F34" s="43" t="str">
        <f t="shared" si="13"/>
        <v>Fall</v>
      </c>
      <c r="G34" s="44">
        <f>SUMIFS('[9]inland_taf_hatchgrp_tableraw&amp;yy'!G$3:G$38,'[9]inland_taf_hatchgrp_tableraw&amp;yy'!$AC$3:$AC$38,'2016 Table 11 CWTs exp'!$A34)</f>
        <v>0</v>
      </c>
      <c r="H34" s="45">
        <f>SUMIFS('[9]inland_taf_hatchgrp_tableraw&amp;yy'!H$3:H$38,'[9]inland_taf_hatchgrp_tableraw&amp;yy'!$AC$3:$AC$38,'2016 Table 11 CWTs exp'!$A34)</f>
        <v>0</v>
      </c>
      <c r="I34" s="44">
        <f>SUMIFS('[9]inland_taf_hatchgrp_tableraw&amp;yy'!I$3:I$38,'[9]inland_taf_hatchgrp_tableraw&amp;yy'!$AC$3:$AC$38,'2016 Table 11 CWTs exp'!$A34)</f>
        <v>0</v>
      </c>
      <c r="J34" s="46">
        <f>SUMIFS('[9]inland_taf_hatchgrp_tableraw&amp;yy'!J$3:J$38,'[9]inland_taf_hatchgrp_tableraw&amp;yy'!$AC$3:$AC$38,'2016 Table 11 CWTs exp'!$A34)</f>
        <v>8</v>
      </c>
      <c r="K34" s="44">
        <f>SUMIFS('[9]inland_taf_hatchgrp_tableraw&amp;yy'!K$3:K$38,'[9]inland_taf_hatchgrp_tableraw&amp;yy'!$AC$3:$AC$38,'2016 Table 11 CWTs exp'!$A34)</f>
        <v>0</v>
      </c>
      <c r="L34" s="44">
        <f>SUMIFS('[9]inland_taf_hatchgrp_tableraw&amp;yy'!L$3:L$38,'[9]inland_taf_hatchgrp_tableraw&amp;yy'!$AC$3:$AC$38,'2016 Table 11 CWTs exp'!$A34)</f>
        <v>0</v>
      </c>
      <c r="M34" s="44">
        <f>SUMIFS('[9]inland_taf_hatchgrp_tableraw&amp;yy'!M$3:M$38,'[9]inland_taf_hatchgrp_tableraw&amp;yy'!$AC$3:$AC$38,'2016 Table 11 CWTs exp'!$A34)</f>
        <v>0</v>
      </c>
      <c r="N34" s="44">
        <f>SUMIFS('[9]inland_taf_hatchgrp_tableraw&amp;yy'!N$3:N$38,'[9]inland_taf_hatchgrp_tableraw&amp;yy'!$AC$3:$AC$38,'2016 Table 11 CWTs exp'!$A34)</f>
        <v>0</v>
      </c>
      <c r="O34" s="44">
        <f>SUMIFS('[9]inland_taf_hatchgrp_tableraw&amp;yy'!O$3:O$38,'[9]inland_taf_hatchgrp_tableraw&amp;yy'!$AC$3:$AC$38,'2016 Table 11 CWTs exp'!$A34)</f>
        <v>0</v>
      </c>
      <c r="P34" s="44">
        <f>SUMIFS('[9]inland_taf_hatchgrp_tableraw&amp;yy'!P$3:P$38,'[9]inland_taf_hatchgrp_tableraw&amp;yy'!$AC$3:$AC$38,'2016 Table 11 CWTs exp'!$A34)</f>
        <v>1</v>
      </c>
      <c r="Q34" s="45">
        <f>SUMIFS('[9]inland_taf_hatchgrp_tableraw&amp;yy'!Q$3:Q$38,'[9]inland_taf_hatchgrp_tableraw&amp;yy'!$AC$3:$AC$38,'2016 Table 11 CWTs exp'!$A34)</f>
        <v>0</v>
      </c>
      <c r="R34" s="46">
        <f>SUMIFS('[9]inland_taf_hatchgrp_tableraw&amp;yy'!R$3:R$38,'[9]inland_taf_hatchgrp_tableraw&amp;yy'!$AC$3:$AC$38,'2016 Table 11 CWTs exp'!$A34)</f>
        <v>4</v>
      </c>
      <c r="S34" s="44">
        <f>SUMIFS('[9]inland_taf_hatchgrp_tableraw&amp;yy'!S$3:S$38,'[9]inland_taf_hatchgrp_tableraw&amp;yy'!$AC$3:$AC$38,'2016 Table 11 CWTs exp'!$A34)</f>
        <v>0</v>
      </c>
      <c r="T34" s="44">
        <f>SUMIFS('[9]inland_taf_hatchgrp_tableraw&amp;yy'!T$3:T$38,'[9]inland_taf_hatchgrp_tableraw&amp;yy'!$AC$3:$AC$38,'2016 Table 11 CWTs exp'!$A34)</f>
        <v>0</v>
      </c>
      <c r="U34" s="44">
        <f>SUMIFS('[9]inland_taf_hatchgrp_tableraw&amp;yy'!U$3:U$38,'[9]inland_taf_hatchgrp_tableraw&amp;yy'!$AC$3:$AC$38,'2016 Table 11 CWTs exp'!$A34)</f>
        <v>8</v>
      </c>
      <c r="V34" s="46">
        <f>SUMIFS('[9]inland_taf_hatchgrp_tableraw&amp;yy'!V$3:V$38,'[9]inland_taf_hatchgrp_tableraw&amp;yy'!$AC$3:$AC$38,'2016 Table 11 CWTs exp'!$A34)</f>
        <v>0</v>
      </c>
      <c r="W34" s="46">
        <f>SUMIFS('[9]inland_taf_hatchgrp_tableraw&amp;yy'!W$3:W$38,'[9]inland_taf_hatchgrp_tableraw&amp;yy'!$AC$3:$AC$38,'2016 Table 11 CWTs exp'!$A34)</f>
        <v>0</v>
      </c>
      <c r="X34" s="44">
        <f>SUMIFS('[9]inland_taf_hatchgrp_tableraw&amp;yy'!X$3:X$38,'[9]inland_taf_hatchgrp_tableraw&amp;yy'!$AC$3:$AC$38,'2016 Table 11 CWTs exp'!$A34)</f>
        <v>0</v>
      </c>
      <c r="Y34" s="84">
        <f>SUMIFS('[9]inland_taf_hatchgrp_tableraw&amp;yy'!Y$3:Y$38,'[9]inland_taf_hatchgrp_tableraw&amp;yy'!$AC$3:$AC$38,'2016 Table 11 CWTs exp'!$A34)</f>
        <v>21</v>
      </c>
      <c r="Z34" s="85">
        <f>SUMIFS('[9]inland_taf_hatchgrp_tableraw&amp;yy'!Z$3:Z$38,'[9]inland_taf_hatchgrp_tableraw&amp;yy'!$AC$3:$AC$38,'2016 Table 11 CWTs exp'!$A34)</f>
        <v>1227</v>
      </c>
      <c r="AA34" s="44">
        <f>SUMIFS('[9]inland_taf_hatchgrp_tableraw&amp;yy'!AA$3:AA$38,'[9]inland_taf_hatchgrp_tableraw&amp;yy'!$AC$3:$AC$38,'2016 Table 11 CWTs exp'!$A34)</f>
        <v>1248</v>
      </c>
      <c r="AB34" s="636"/>
      <c r="AC34" s="636"/>
      <c r="AD34" s="635">
        <f t="shared" si="8"/>
        <v>1.6826923076923076E-2</v>
      </c>
      <c r="AE34" s="637" t="str">
        <f t="shared" si="9"/>
        <v>COSU543</v>
      </c>
      <c r="AF34" s="442"/>
      <c r="AG34" s="622">
        <f>SUMIFS('[9]inland_taf_hatchgrp_tableraw&amp;yy'!AB$3:AB$38,'[9]inland_taf_hatchgrp_tableraw&amp;yy'!$AC$3:$AC$38,'2016 Table 11 CWTs exp'!$A34)</f>
        <v>1.7000000000000001E-2</v>
      </c>
      <c r="AH34" s="623">
        <f t="shared" si="10"/>
        <v>0.98317307692307687</v>
      </c>
      <c r="AI34" s="605">
        <f t="shared" si="12"/>
        <v>0.98317307692307687</v>
      </c>
      <c r="AJ34" s="447">
        <f t="shared" si="11"/>
        <v>1227</v>
      </c>
      <c r="AK34" s="451"/>
      <c r="AL34" s="451"/>
      <c r="AM34" s="442"/>
      <c r="AN34" s="442"/>
      <c r="AO34" s="442"/>
      <c r="AP34" s="442"/>
      <c r="AQ34" s="442"/>
      <c r="AR34" s="442"/>
      <c r="AS34" s="442"/>
    </row>
    <row r="35" spans="1:45" ht="14.5" hidden="1" customHeight="1" x14ac:dyDescent="0.25">
      <c r="A35" s="50" t="str">
        <f t="shared" si="7"/>
        <v>CAL543</v>
      </c>
      <c r="B35" s="13" t="s">
        <v>94</v>
      </c>
      <c r="C35" s="13">
        <v>54</v>
      </c>
      <c r="D35" s="13">
        <v>3</v>
      </c>
      <c r="E35" s="3" t="s">
        <v>166</v>
      </c>
      <c r="F35" s="43" t="str">
        <f t="shared" si="13"/>
        <v>Fall</v>
      </c>
      <c r="G35" s="44">
        <f>SUMIFS('[9]inland_taf_hatchgrp_tableraw&amp;yy'!G$3:G$38,'[9]inland_taf_hatchgrp_tableraw&amp;yy'!$AC$3:$AC$38,'2016 Table 11 CWTs exp'!$A35)</f>
        <v>0</v>
      </c>
      <c r="H35" s="45">
        <f>SUMIFS('[9]inland_taf_hatchgrp_tableraw&amp;yy'!H$3:H$38,'[9]inland_taf_hatchgrp_tableraw&amp;yy'!$AC$3:$AC$38,'2016 Table 11 CWTs exp'!$A35)</f>
        <v>0</v>
      </c>
      <c r="I35" s="44">
        <f>SUMIFS('[9]inland_taf_hatchgrp_tableraw&amp;yy'!I$3:I$38,'[9]inland_taf_hatchgrp_tableraw&amp;yy'!$AC$3:$AC$38,'2016 Table 11 CWTs exp'!$A35)</f>
        <v>0</v>
      </c>
      <c r="J35" s="46">
        <f>SUMIFS('[9]inland_taf_hatchgrp_tableraw&amp;yy'!J$3:J$38,'[9]inland_taf_hatchgrp_tableraw&amp;yy'!$AC$3:$AC$38,'2016 Table 11 CWTs exp'!$A35)</f>
        <v>0</v>
      </c>
      <c r="K35" s="44">
        <f>SUMIFS('[9]inland_taf_hatchgrp_tableraw&amp;yy'!K$3:K$38,'[9]inland_taf_hatchgrp_tableraw&amp;yy'!$AC$3:$AC$38,'2016 Table 11 CWTs exp'!$A35)</f>
        <v>0</v>
      </c>
      <c r="L35" s="44">
        <f>SUMIFS('[9]inland_taf_hatchgrp_tableraw&amp;yy'!L$3:L$38,'[9]inland_taf_hatchgrp_tableraw&amp;yy'!$AC$3:$AC$38,'2016 Table 11 CWTs exp'!$A35)</f>
        <v>0</v>
      </c>
      <c r="M35" s="44">
        <f>SUMIFS('[9]inland_taf_hatchgrp_tableraw&amp;yy'!M$3:M$38,'[9]inland_taf_hatchgrp_tableraw&amp;yy'!$AC$3:$AC$38,'2016 Table 11 CWTs exp'!$A35)</f>
        <v>0</v>
      </c>
      <c r="N35" s="44">
        <f>SUMIFS('[9]inland_taf_hatchgrp_tableraw&amp;yy'!N$3:N$38,'[9]inland_taf_hatchgrp_tableraw&amp;yy'!$AC$3:$AC$38,'2016 Table 11 CWTs exp'!$A35)</f>
        <v>0</v>
      </c>
      <c r="O35" s="44">
        <f>SUMIFS('[9]inland_taf_hatchgrp_tableraw&amp;yy'!O$3:O$38,'[9]inland_taf_hatchgrp_tableraw&amp;yy'!$AC$3:$AC$38,'2016 Table 11 CWTs exp'!$A35)</f>
        <v>0</v>
      </c>
      <c r="P35" s="44">
        <f>SUMIFS('[9]inland_taf_hatchgrp_tableraw&amp;yy'!P$3:P$38,'[9]inland_taf_hatchgrp_tableraw&amp;yy'!$AC$3:$AC$38,'2016 Table 11 CWTs exp'!$A35)</f>
        <v>0</v>
      </c>
      <c r="Q35" s="45">
        <f>SUMIFS('[9]inland_taf_hatchgrp_tableraw&amp;yy'!Q$3:Q$38,'[9]inland_taf_hatchgrp_tableraw&amp;yy'!$AC$3:$AC$38,'2016 Table 11 CWTs exp'!$A35)</f>
        <v>0</v>
      </c>
      <c r="R35" s="46">
        <f>SUMIFS('[9]inland_taf_hatchgrp_tableraw&amp;yy'!R$3:R$38,'[9]inland_taf_hatchgrp_tableraw&amp;yy'!$AC$3:$AC$38,'2016 Table 11 CWTs exp'!$A35)</f>
        <v>0</v>
      </c>
      <c r="S35" s="44">
        <f>SUMIFS('[9]inland_taf_hatchgrp_tableraw&amp;yy'!S$3:S$38,'[9]inland_taf_hatchgrp_tableraw&amp;yy'!$AC$3:$AC$38,'2016 Table 11 CWTs exp'!$A35)</f>
        <v>0</v>
      </c>
      <c r="T35" s="44">
        <f>SUMIFS('[9]inland_taf_hatchgrp_tableraw&amp;yy'!T$3:T$38,'[9]inland_taf_hatchgrp_tableraw&amp;yy'!$AC$3:$AC$38,'2016 Table 11 CWTs exp'!$A35)</f>
        <v>0</v>
      </c>
      <c r="U35" s="44">
        <f>SUMIFS('[9]inland_taf_hatchgrp_tableraw&amp;yy'!U$3:U$38,'[9]inland_taf_hatchgrp_tableraw&amp;yy'!$AC$3:$AC$38,'2016 Table 11 CWTs exp'!$A35)</f>
        <v>0</v>
      </c>
      <c r="V35" s="46">
        <f>SUMIFS('[9]inland_taf_hatchgrp_tableraw&amp;yy'!V$3:V$38,'[9]inland_taf_hatchgrp_tableraw&amp;yy'!$AC$3:$AC$38,'2016 Table 11 CWTs exp'!$A35)</f>
        <v>0</v>
      </c>
      <c r="W35" s="46">
        <f>SUMIFS('[9]inland_taf_hatchgrp_tableraw&amp;yy'!W$3:W$38,'[9]inland_taf_hatchgrp_tableraw&amp;yy'!$AC$3:$AC$38,'2016 Table 11 CWTs exp'!$A35)</f>
        <v>0</v>
      </c>
      <c r="X35" s="44">
        <f>SUMIFS('[9]inland_taf_hatchgrp_tableraw&amp;yy'!X$3:X$38,'[9]inland_taf_hatchgrp_tableraw&amp;yy'!$AC$3:$AC$38,'2016 Table 11 CWTs exp'!$A35)</f>
        <v>0</v>
      </c>
      <c r="Y35" s="84">
        <f>SUMIFS('[9]inland_taf_hatchgrp_tableraw&amp;yy'!Y$3:Y$38,'[9]inland_taf_hatchgrp_tableraw&amp;yy'!$AC$3:$AC$38,'2016 Table 11 CWTs exp'!$A35)</f>
        <v>0</v>
      </c>
      <c r="Z35" s="85">
        <f>SUMIFS('[9]inland_taf_hatchgrp_tableraw&amp;yy'!Z$3:Z$38,'[9]inland_taf_hatchgrp_tableraw&amp;yy'!$AC$3:$AC$38,'2016 Table 11 CWTs exp'!$A35)</f>
        <v>0</v>
      </c>
      <c r="AA35" s="44">
        <f>SUMIFS('[9]inland_taf_hatchgrp_tableraw&amp;yy'!AA$3:AA$38,'[9]inland_taf_hatchgrp_tableraw&amp;yy'!$AC$3:$AC$38,'2016 Table 11 CWTs exp'!$A35)</f>
        <v>0</v>
      </c>
      <c r="AB35" s="636"/>
      <c r="AC35" s="636"/>
      <c r="AD35" s="635" t="e">
        <f t="shared" si="8"/>
        <v>#DIV/0!</v>
      </c>
      <c r="AE35" s="604" t="str">
        <f t="shared" si="9"/>
        <v>CAL543</v>
      </c>
      <c r="AF35" s="442"/>
      <c r="AG35" s="622">
        <f>SUMIFS('[9]inland_taf_hatchgrp_tableraw&amp;yy'!AB$3:AB$38,'[9]inland_taf_hatchgrp_tableraw&amp;yy'!$AC$3:$AC$38,'2016 Table 11 CWTs exp'!$A35)</f>
        <v>0</v>
      </c>
      <c r="AH35" s="623" t="e">
        <f t="shared" si="10"/>
        <v>#DIV/0!</v>
      </c>
      <c r="AI35" s="605" t="e">
        <f t="shared" si="12"/>
        <v>#DIV/0!</v>
      </c>
      <c r="AJ35" s="447">
        <f t="shared" si="11"/>
        <v>0</v>
      </c>
      <c r="AK35" s="451"/>
      <c r="AL35" s="451"/>
      <c r="AM35" s="442"/>
      <c r="AN35" s="442"/>
      <c r="AO35" s="442"/>
      <c r="AP35" s="442"/>
      <c r="AQ35" s="442"/>
      <c r="AR35" s="442"/>
      <c r="AS35" s="442"/>
    </row>
    <row r="36" spans="1:45" ht="14.5" customHeight="1" x14ac:dyDescent="0.25">
      <c r="A36" s="50" t="str">
        <f t="shared" si="7"/>
        <v>STA543</v>
      </c>
      <c r="B36" s="13" t="s">
        <v>96</v>
      </c>
      <c r="C36" s="13">
        <v>54</v>
      </c>
      <c r="D36" s="13">
        <v>3</v>
      </c>
      <c r="E36" s="3" t="s">
        <v>97</v>
      </c>
      <c r="F36" s="43" t="str">
        <f t="shared" si="13"/>
        <v>Fall</v>
      </c>
      <c r="G36" s="44">
        <f>SUMIFS('[9]inland_taf_hatchgrp_tableraw&amp;yy'!G$3:G$38,'[9]inland_taf_hatchgrp_tableraw&amp;yy'!$AC$3:$AC$38,'2016 Table 11 CWTs exp'!$A36)</f>
        <v>0</v>
      </c>
      <c r="H36" s="45">
        <f>SUMIFS('[9]inland_taf_hatchgrp_tableraw&amp;yy'!H$3:H$38,'[9]inland_taf_hatchgrp_tableraw&amp;yy'!$AC$3:$AC$38,'2016 Table 11 CWTs exp'!$A36)</f>
        <v>0</v>
      </c>
      <c r="I36" s="44">
        <f>SUMIFS('[9]inland_taf_hatchgrp_tableraw&amp;yy'!I$3:I$38,'[9]inland_taf_hatchgrp_tableraw&amp;yy'!$AC$3:$AC$38,'2016 Table 11 CWTs exp'!$A36)</f>
        <v>0</v>
      </c>
      <c r="J36" s="46">
        <f>SUMIFS('[9]inland_taf_hatchgrp_tableraw&amp;yy'!J$3:J$38,'[9]inland_taf_hatchgrp_tableraw&amp;yy'!$AC$3:$AC$38,'2016 Table 11 CWTs exp'!$A36)</f>
        <v>661</v>
      </c>
      <c r="K36" s="44">
        <f>SUMIFS('[9]inland_taf_hatchgrp_tableraw&amp;yy'!K$3:K$38,'[9]inland_taf_hatchgrp_tableraw&amp;yy'!$AC$3:$AC$38,'2016 Table 11 CWTs exp'!$A36)</f>
        <v>0</v>
      </c>
      <c r="L36" s="44">
        <f>SUMIFS('[9]inland_taf_hatchgrp_tableraw&amp;yy'!L$3:L$38,'[9]inland_taf_hatchgrp_tableraw&amp;yy'!$AC$3:$AC$38,'2016 Table 11 CWTs exp'!$A36)</f>
        <v>0</v>
      </c>
      <c r="M36" s="44">
        <f>SUMIFS('[9]inland_taf_hatchgrp_tableraw&amp;yy'!M$3:M$38,'[9]inland_taf_hatchgrp_tableraw&amp;yy'!$AC$3:$AC$38,'2016 Table 11 CWTs exp'!$A36)</f>
        <v>0</v>
      </c>
      <c r="N36" s="44">
        <f>SUMIFS('[9]inland_taf_hatchgrp_tableraw&amp;yy'!N$3:N$38,'[9]inland_taf_hatchgrp_tableraw&amp;yy'!$AC$3:$AC$38,'2016 Table 11 CWTs exp'!$A36)</f>
        <v>0</v>
      </c>
      <c r="O36" s="44">
        <f>SUMIFS('[9]inland_taf_hatchgrp_tableraw&amp;yy'!O$3:O$38,'[9]inland_taf_hatchgrp_tableraw&amp;yy'!$AC$3:$AC$38,'2016 Table 11 CWTs exp'!$A36)</f>
        <v>116</v>
      </c>
      <c r="P36" s="44">
        <f>SUMIFS('[9]inland_taf_hatchgrp_tableraw&amp;yy'!P$3:P$38,'[9]inland_taf_hatchgrp_tableraw&amp;yy'!$AC$3:$AC$38,'2016 Table 11 CWTs exp'!$A36)</f>
        <v>0</v>
      </c>
      <c r="Q36" s="45">
        <f>SUMIFS('[9]inland_taf_hatchgrp_tableraw&amp;yy'!Q$3:Q$38,'[9]inland_taf_hatchgrp_tableraw&amp;yy'!$AC$3:$AC$38,'2016 Table 11 CWTs exp'!$A36)</f>
        <v>0</v>
      </c>
      <c r="R36" s="46">
        <f>SUMIFS('[9]inland_taf_hatchgrp_tableraw&amp;yy'!R$3:R$38,'[9]inland_taf_hatchgrp_tableraw&amp;yy'!$AC$3:$AC$38,'2016 Table 11 CWTs exp'!$A36)</f>
        <v>156</v>
      </c>
      <c r="S36" s="44">
        <f>SUMIFS('[9]inland_taf_hatchgrp_tableraw&amp;yy'!S$3:S$38,'[9]inland_taf_hatchgrp_tableraw&amp;yy'!$AC$3:$AC$38,'2016 Table 11 CWTs exp'!$A36)</f>
        <v>38</v>
      </c>
      <c r="T36" s="44">
        <f>SUMIFS('[9]inland_taf_hatchgrp_tableraw&amp;yy'!T$3:T$38,'[9]inland_taf_hatchgrp_tableraw&amp;yy'!$AC$3:$AC$38,'2016 Table 11 CWTs exp'!$A36)</f>
        <v>68</v>
      </c>
      <c r="U36" s="44">
        <f>SUMIFS('[9]inland_taf_hatchgrp_tableraw&amp;yy'!U$3:U$38,'[9]inland_taf_hatchgrp_tableraw&amp;yy'!$AC$3:$AC$38,'2016 Table 11 CWTs exp'!$A36)</f>
        <v>5716</v>
      </c>
      <c r="V36" s="46">
        <f>SUMIFS('[9]inland_taf_hatchgrp_tableraw&amp;yy'!V$3:V$38,'[9]inland_taf_hatchgrp_tableraw&amp;yy'!$AC$3:$AC$38,'2016 Table 11 CWTs exp'!$A36)</f>
        <v>0</v>
      </c>
      <c r="W36" s="46">
        <f>SUMIFS('[9]inland_taf_hatchgrp_tableraw&amp;yy'!W$3:W$38,'[9]inland_taf_hatchgrp_tableraw&amp;yy'!$AC$3:$AC$38,'2016 Table 11 CWTs exp'!$A36)</f>
        <v>131</v>
      </c>
      <c r="X36" s="44">
        <f>SUMIFS('[9]inland_taf_hatchgrp_tableraw&amp;yy'!X$3:X$38,'[9]inland_taf_hatchgrp_tableraw&amp;yy'!$AC$3:$AC$38,'2016 Table 11 CWTs exp'!$A36)</f>
        <v>0</v>
      </c>
      <c r="Y36" s="84">
        <f>SUMIFS('[9]inland_taf_hatchgrp_tableraw&amp;yy'!Y$3:Y$38,'[9]inland_taf_hatchgrp_tableraw&amp;yy'!$AC$3:$AC$38,'2016 Table 11 CWTs exp'!$A36)</f>
        <v>6886</v>
      </c>
      <c r="Z36" s="85">
        <f>SUMIFS('[9]inland_taf_hatchgrp_tableraw&amp;yy'!Z$3:Z$38,'[9]inland_taf_hatchgrp_tableraw&amp;yy'!$AC$3:$AC$38,'2016 Table 11 CWTs exp'!$A36)</f>
        <v>2306</v>
      </c>
      <c r="AA36" s="44">
        <f>SUMIFS('[9]inland_taf_hatchgrp_tableraw&amp;yy'!AA$3:AA$38,'[9]inland_taf_hatchgrp_tableraw&amp;yy'!$AC$3:$AC$38,'2016 Table 11 CWTs exp'!$A36)</f>
        <v>9192</v>
      </c>
      <c r="AB36" s="636"/>
      <c r="AC36" s="636"/>
      <c r="AD36" s="635">
        <f t="shared" si="8"/>
        <v>0.74912967798085295</v>
      </c>
      <c r="AE36" s="604" t="str">
        <f t="shared" si="9"/>
        <v>STA543</v>
      </c>
      <c r="AF36" s="442"/>
      <c r="AG36" s="622">
        <f>SUMIFS('[9]inland_taf_hatchgrp_tableraw&amp;yy'!AB$3:AB$38,'[9]inland_taf_hatchgrp_tableraw&amp;yy'!$AC$3:$AC$38,'2016 Table 11 CWTs exp'!$A36)</f>
        <v>0.749</v>
      </c>
      <c r="AH36" s="623">
        <f t="shared" si="10"/>
        <v>0.25087032201914711</v>
      </c>
      <c r="AI36" s="605">
        <f t="shared" si="12"/>
        <v>0.25087032201914705</v>
      </c>
      <c r="AJ36" s="447">
        <f t="shared" si="11"/>
        <v>2306</v>
      </c>
      <c r="AK36" s="451"/>
      <c r="AL36" s="451"/>
      <c r="AM36" s="442"/>
      <c r="AN36" s="442"/>
      <c r="AO36" s="442"/>
      <c r="AP36" s="442"/>
      <c r="AQ36" s="442"/>
      <c r="AR36" s="442"/>
      <c r="AS36" s="442"/>
    </row>
    <row r="37" spans="1:45" ht="14.5" customHeight="1" x14ac:dyDescent="0.25">
      <c r="A37" s="50" t="str">
        <f t="shared" si="7"/>
        <v>TUO543</v>
      </c>
      <c r="B37" s="13" t="s">
        <v>98</v>
      </c>
      <c r="C37" s="13">
        <v>54</v>
      </c>
      <c r="D37" s="13">
        <v>3</v>
      </c>
      <c r="E37" s="3" t="s">
        <v>99</v>
      </c>
      <c r="F37" s="43" t="str">
        <f t="shared" si="13"/>
        <v>Fall</v>
      </c>
      <c r="G37" s="44">
        <f>SUMIFS('[9]inland_taf_hatchgrp_tableraw&amp;yy'!G$3:G$38,'[9]inland_taf_hatchgrp_tableraw&amp;yy'!$AC$3:$AC$38,'2016 Table 11 CWTs exp'!$A37)</f>
        <v>0</v>
      </c>
      <c r="H37" s="45">
        <f>SUMIFS('[9]inland_taf_hatchgrp_tableraw&amp;yy'!H$3:H$38,'[9]inland_taf_hatchgrp_tableraw&amp;yy'!$AC$3:$AC$38,'2016 Table 11 CWTs exp'!$A37)</f>
        <v>0</v>
      </c>
      <c r="I37" s="44">
        <f>SUMIFS('[9]inland_taf_hatchgrp_tableraw&amp;yy'!I$3:I$38,'[9]inland_taf_hatchgrp_tableraw&amp;yy'!$AC$3:$AC$38,'2016 Table 11 CWTs exp'!$A37)</f>
        <v>0</v>
      </c>
      <c r="J37" s="46">
        <f>SUMIFS('[9]inland_taf_hatchgrp_tableraw&amp;yy'!J$3:J$38,'[9]inland_taf_hatchgrp_tableraw&amp;yy'!$AC$3:$AC$38,'2016 Table 11 CWTs exp'!$A37)</f>
        <v>297</v>
      </c>
      <c r="K37" s="44">
        <f>SUMIFS('[9]inland_taf_hatchgrp_tableraw&amp;yy'!K$3:K$38,'[9]inland_taf_hatchgrp_tableraw&amp;yy'!$AC$3:$AC$38,'2016 Table 11 CWTs exp'!$A37)</f>
        <v>0</v>
      </c>
      <c r="L37" s="44">
        <f>SUMIFS('[9]inland_taf_hatchgrp_tableraw&amp;yy'!L$3:L$38,'[9]inland_taf_hatchgrp_tableraw&amp;yy'!$AC$3:$AC$38,'2016 Table 11 CWTs exp'!$A37)</f>
        <v>0</v>
      </c>
      <c r="M37" s="44">
        <f>SUMIFS('[9]inland_taf_hatchgrp_tableraw&amp;yy'!M$3:M$38,'[9]inland_taf_hatchgrp_tableraw&amp;yy'!$AC$3:$AC$38,'2016 Table 11 CWTs exp'!$A37)</f>
        <v>0</v>
      </c>
      <c r="N37" s="44">
        <f>SUMIFS('[9]inland_taf_hatchgrp_tableraw&amp;yy'!N$3:N$38,'[9]inland_taf_hatchgrp_tableraw&amp;yy'!$AC$3:$AC$38,'2016 Table 11 CWTs exp'!$A37)</f>
        <v>0</v>
      </c>
      <c r="O37" s="44">
        <f>SUMIFS('[9]inland_taf_hatchgrp_tableraw&amp;yy'!O$3:O$38,'[9]inland_taf_hatchgrp_tableraw&amp;yy'!$AC$3:$AC$38,'2016 Table 11 CWTs exp'!$A37)</f>
        <v>19</v>
      </c>
      <c r="P37" s="44">
        <f>SUMIFS('[9]inland_taf_hatchgrp_tableraw&amp;yy'!P$3:P$38,'[9]inland_taf_hatchgrp_tableraw&amp;yy'!$AC$3:$AC$38,'2016 Table 11 CWTs exp'!$A37)</f>
        <v>5</v>
      </c>
      <c r="Q37" s="45">
        <f>SUMIFS('[9]inland_taf_hatchgrp_tableraw&amp;yy'!Q$3:Q$38,'[9]inland_taf_hatchgrp_tableraw&amp;yy'!$AC$3:$AC$38,'2016 Table 11 CWTs exp'!$A37)</f>
        <v>0</v>
      </c>
      <c r="R37" s="46">
        <f>SUMIFS('[9]inland_taf_hatchgrp_tableraw&amp;yy'!R$3:R$38,'[9]inland_taf_hatchgrp_tableraw&amp;yy'!$AC$3:$AC$38,'2016 Table 11 CWTs exp'!$A37)</f>
        <v>45</v>
      </c>
      <c r="S37" s="44">
        <f>SUMIFS('[9]inland_taf_hatchgrp_tableraw&amp;yy'!S$3:S$38,'[9]inland_taf_hatchgrp_tableraw&amp;yy'!$AC$3:$AC$38,'2016 Table 11 CWTs exp'!$A37)</f>
        <v>5</v>
      </c>
      <c r="T37" s="44">
        <f>SUMIFS('[9]inland_taf_hatchgrp_tableraw&amp;yy'!T$3:T$38,'[9]inland_taf_hatchgrp_tableraw&amp;yy'!$AC$3:$AC$38,'2016 Table 11 CWTs exp'!$A37)</f>
        <v>18</v>
      </c>
      <c r="U37" s="44">
        <f>SUMIFS('[9]inland_taf_hatchgrp_tableraw&amp;yy'!U$3:U$38,'[9]inland_taf_hatchgrp_tableraw&amp;yy'!$AC$3:$AC$38,'2016 Table 11 CWTs exp'!$A37)</f>
        <v>769</v>
      </c>
      <c r="V37" s="44">
        <f>SUMIFS('[9]inland_taf_hatchgrp_tableraw&amp;yy'!V$3:V$38,'[9]inland_taf_hatchgrp_tableraw&amp;yy'!$AC$3:$AC$38,'2016 Table 11 CWTs exp'!$A37)</f>
        <v>3</v>
      </c>
      <c r="W37" s="229">
        <f>SUMIFS('[9]inland_taf_hatchgrp_tableraw&amp;yy'!W$3:W$38,'[9]inland_taf_hatchgrp_tableraw&amp;yy'!$AC$3:$AC$38,'2016 Table 11 CWTs exp'!$A37)</f>
        <v>39</v>
      </c>
      <c r="X37" s="44">
        <f>SUMIFS('[9]inland_taf_hatchgrp_tableraw&amp;yy'!X$3:X$38,'[9]inland_taf_hatchgrp_tableraw&amp;yy'!$AC$3:$AC$38,'2016 Table 11 CWTs exp'!$A37)</f>
        <v>0</v>
      </c>
      <c r="Y37" s="84">
        <f>SUMIFS('[9]inland_taf_hatchgrp_tableraw&amp;yy'!Y$3:Y$38,'[9]inland_taf_hatchgrp_tableraw&amp;yy'!$AC$3:$AC$38,'2016 Table 11 CWTs exp'!$A37)</f>
        <v>1200</v>
      </c>
      <c r="Z37" s="85">
        <f>SUMIFS('[9]inland_taf_hatchgrp_tableraw&amp;yy'!Z$3:Z$38,'[9]inland_taf_hatchgrp_tableraw&amp;yy'!$AC$3:$AC$38,'2016 Table 11 CWTs exp'!$A37)</f>
        <v>157</v>
      </c>
      <c r="AA37" s="44">
        <f>SUMIFS('[9]inland_taf_hatchgrp_tableraw&amp;yy'!AA$3:AA$38,'[9]inland_taf_hatchgrp_tableraw&amp;yy'!$AC$3:$AC$38,'2016 Table 11 CWTs exp'!$A37)</f>
        <v>1357</v>
      </c>
      <c r="AB37" s="636"/>
      <c r="AC37" s="636"/>
      <c r="AD37" s="635">
        <f t="shared" si="8"/>
        <v>0.88430361090641119</v>
      </c>
      <c r="AE37" s="604" t="str">
        <f t="shared" si="9"/>
        <v>TUO543</v>
      </c>
      <c r="AF37" s="442"/>
      <c r="AG37" s="622">
        <f>SUMIFS('[9]inland_taf_hatchgrp_tableraw&amp;yy'!AB$3:AB$38,'[9]inland_taf_hatchgrp_tableraw&amp;yy'!$AC$3:$AC$38,'2016 Table 11 CWTs exp'!$A37)</f>
        <v>0.88400000000000001</v>
      </c>
      <c r="AH37" s="623">
        <f t="shared" si="10"/>
        <v>0.1156963890935888</v>
      </c>
      <c r="AI37" s="605">
        <f t="shared" si="12"/>
        <v>0.11569638909358881</v>
      </c>
      <c r="AJ37" s="447">
        <f t="shared" si="11"/>
        <v>157</v>
      </c>
      <c r="AK37" s="451"/>
      <c r="AL37" s="451"/>
      <c r="AM37" s="442"/>
      <c r="AN37" s="442"/>
      <c r="AO37" s="442"/>
      <c r="AP37" s="442"/>
      <c r="AQ37" s="442"/>
      <c r="AR37" s="442"/>
      <c r="AS37" s="442"/>
    </row>
    <row r="38" spans="1:45" ht="14.5" customHeight="1" x14ac:dyDescent="0.25">
      <c r="A38" s="50" t="str">
        <f t="shared" si="7"/>
        <v>MER543</v>
      </c>
      <c r="B38" s="13" t="s">
        <v>5</v>
      </c>
      <c r="C38" s="13">
        <v>54</v>
      </c>
      <c r="D38" s="13">
        <v>3</v>
      </c>
      <c r="E38" s="3" t="s">
        <v>100</v>
      </c>
      <c r="F38" s="43" t="str">
        <f t="shared" si="13"/>
        <v>Fall</v>
      </c>
      <c r="G38" s="38">
        <f>SUMIFS('[9]inland_taf_hatchgrp_tableraw&amp;yy'!G$3:G$38,'[9]inland_taf_hatchgrp_tableraw&amp;yy'!$AC$3:$AC$38,'2016 Table 11 CWTs exp'!$A38)</f>
        <v>0</v>
      </c>
      <c r="H38" s="39">
        <f>SUMIFS('[9]inland_taf_hatchgrp_tableraw&amp;yy'!H$3:H$38,'[9]inland_taf_hatchgrp_tableraw&amp;yy'!$AC$3:$AC$38,'2016 Table 11 CWTs exp'!$A38)</f>
        <v>0</v>
      </c>
      <c r="I38" s="38">
        <f>SUMIFS('[9]inland_taf_hatchgrp_tableraw&amp;yy'!I$3:I$38,'[9]inland_taf_hatchgrp_tableraw&amp;yy'!$AC$3:$AC$38,'2016 Table 11 CWTs exp'!$A38)</f>
        <v>0</v>
      </c>
      <c r="J38" s="40">
        <f>SUMIFS('[9]inland_taf_hatchgrp_tableraw&amp;yy'!J$3:J$38,'[9]inland_taf_hatchgrp_tableraw&amp;yy'!$AC$3:$AC$38,'2016 Table 11 CWTs exp'!$A38)</f>
        <v>337</v>
      </c>
      <c r="K38" s="38">
        <f>SUMIFS('[9]inland_taf_hatchgrp_tableraw&amp;yy'!K$3:K$38,'[9]inland_taf_hatchgrp_tableraw&amp;yy'!$AC$3:$AC$38,'2016 Table 11 CWTs exp'!$A38)</f>
        <v>0</v>
      </c>
      <c r="L38" s="38">
        <f>SUMIFS('[9]inland_taf_hatchgrp_tableraw&amp;yy'!L$3:L$38,'[9]inland_taf_hatchgrp_tableraw&amp;yy'!$AC$3:$AC$38,'2016 Table 11 CWTs exp'!$A38)</f>
        <v>0</v>
      </c>
      <c r="M38" s="38">
        <f>SUMIFS('[9]inland_taf_hatchgrp_tableraw&amp;yy'!M$3:M$38,'[9]inland_taf_hatchgrp_tableraw&amp;yy'!$AC$3:$AC$38,'2016 Table 11 CWTs exp'!$A38)</f>
        <v>0</v>
      </c>
      <c r="N38" s="38">
        <f>SUMIFS('[9]inland_taf_hatchgrp_tableraw&amp;yy'!N$3:N$38,'[9]inland_taf_hatchgrp_tableraw&amp;yy'!$AC$3:$AC$38,'2016 Table 11 CWTs exp'!$A38)</f>
        <v>0</v>
      </c>
      <c r="O38" s="38">
        <f>SUMIFS('[9]inland_taf_hatchgrp_tableraw&amp;yy'!O$3:O$38,'[9]inland_taf_hatchgrp_tableraw&amp;yy'!$AC$3:$AC$38,'2016 Table 11 CWTs exp'!$A38)</f>
        <v>28</v>
      </c>
      <c r="P38" s="38">
        <f>SUMIFS('[9]inland_taf_hatchgrp_tableraw&amp;yy'!P$3:P$38,'[9]inland_taf_hatchgrp_tableraw&amp;yy'!$AC$3:$AC$38,'2016 Table 11 CWTs exp'!$A38)</f>
        <v>17</v>
      </c>
      <c r="Q38" s="39">
        <f>SUMIFS('[9]inland_taf_hatchgrp_tableraw&amp;yy'!Q$3:Q$38,'[9]inland_taf_hatchgrp_tableraw&amp;yy'!$AC$3:$AC$38,'2016 Table 11 CWTs exp'!$A38)</f>
        <v>0</v>
      </c>
      <c r="R38" s="40">
        <f>SUMIFS('[9]inland_taf_hatchgrp_tableraw&amp;yy'!R$3:R$38,'[9]inland_taf_hatchgrp_tableraw&amp;yy'!$AC$3:$AC$38,'2016 Table 11 CWTs exp'!$A38)</f>
        <v>67</v>
      </c>
      <c r="S38" s="38">
        <f>SUMIFS('[9]inland_taf_hatchgrp_tableraw&amp;yy'!S$3:S$38,'[9]inland_taf_hatchgrp_tableraw&amp;yy'!$AC$3:$AC$38,'2016 Table 11 CWTs exp'!$A38)</f>
        <v>0</v>
      </c>
      <c r="T38" s="38">
        <f>SUMIFS('[9]inland_taf_hatchgrp_tableraw&amp;yy'!T$3:T$38,'[9]inland_taf_hatchgrp_tableraw&amp;yy'!$AC$3:$AC$38,'2016 Table 11 CWTs exp'!$A38)</f>
        <v>17</v>
      </c>
      <c r="U38" s="38">
        <f>SUMIFS('[9]inland_taf_hatchgrp_tableraw&amp;yy'!U$3:U$38,'[9]inland_taf_hatchgrp_tableraw&amp;yy'!$AC$3:$AC$38,'2016 Table 11 CWTs exp'!$A38)</f>
        <v>2018</v>
      </c>
      <c r="V38" s="38">
        <f>SUMIFS('[9]inland_taf_hatchgrp_tableraw&amp;yy'!V$3:V$38,'[9]inland_taf_hatchgrp_tableraw&amp;yy'!$AC$3:$AC$38,'2016 Table 11 CWTs exp'!$A38)</f>
        <v>28</v>
      </c>
      <c r="W38" s="230">
        <f>SUMIFS('[9]inland_taf_hatchgrp_tableraw&amp;yy'!W$3:W$38,'[9]inland_taf_hatchgrp_tableraw&amp;yy'!$AC$3:$AC$38,'2016 Table 11 CWTs exp'!$A38)</f>
        <v>48</v>
      </c>
      <c r="X38" s="38">
        <f>SUMIFS('[9]inland_taf_hatchgrp_tableraw&amp;yy'!X$3:X$38,'[9]inland_taf_hatchgrp_tableraw&amp;yy'!$AC$3:$AC$38,'2016 Table 11 CWTs exp'!$A38)</f>
        <v>0</v>
      </c>
      <c r="Y38" s="41">
        <f>SUMIFS('[9]inland_taf_hatchgrp_tableraw&amp;yy'!Y$3:Y$38,'[9]inland_taf_hatchgrp_tableraw&amp;yy'!$AC$3:$AC$38,'2016 Table 11 CWTs exp'!$A38)</f>
        <v>2560</v>
      </c>
      <c r="Z38" s="42">
        <f>SUMIFS('[9]inland_taf_hatchgrp_tableraw&amp;yy'!Z$3:Z$38,'[9]inland_taf_hatchgrp_tableraw&amp;yy'!$AC$3:$AC$38,'2016 Table 11 CWTs exp'!$A38)</f>
        <v>771</v>
      </c>
      <c r="AA38" s="38">
        <f>SUMIFS('[9]inland_taf_hatchgrp_tableraw&amp;yy'!AA$3:AA$38,'[9]inland_taf_hatchgrp_tableraw&amp;yy'!$AC$3:$AC$38,'2016 Table 11 CWTs exp'!$A38)</f>
        <v>3331</v>
      </c>
      <c r="AB38" s="636"/>
      <c r="AC38" s="636"/>
      <c r="AD38" s="635">
        <f t="shared" si="8"/>
        <v>0.76853797658360856</v>
      </c>
      <c r="AE38" s="604" t="str">
        <f t="shared" si="9"/>
        <v>MER543</v>
      </c>
      <c r="AF38" s="442"/>
      <c r="AG38" s="622">
        <f>SUMIFS('[9]inland_taf_hatchgrp_tableraw&amp;yy'!AB$3:AB$38,'[9]inland_taf_hatchgrp_tableraw&amp;yy'!$AC$3:$AC$38,'2016 Table 11 CWTs exp'!$A38)</f>
        <v>0.76900000000000002</v>
      </c>
      <c r="AH38" s="623">
        <f>Z38/AA38</f>
        <v>0.23146202341639147</v>
      </c>
      <c r="AI38" s="605">
        <f t="shared" si="12"/>
        <v>0.23146202341639144</v>
      </c>
      <c r="AJ38" s="447">
        <f>Z38</f>
        <v>771</v>
      </c>
      <c r="AK38" s="451"/>
      <c r="AL38" s="451"/>
      <c r="AM38" s="442"/>
      <c r="AN38" s="442"/>
      <c r="AO38" s="442"/>
      <c r="AP38" s="442"/>
      <c r="AQ38" s="442"/>
      <c r="AR38" s="442"/>
      <c r="AS38" s="442"/>
    </row>
    <row r="39" spans="1:45" ht="14.5" customHeight="1" x14ac:dyDescent="0.25">
      <c r="A39" s="50" t="str">
        <f t="shared" si="7"/>
        <v>USAC547</v>
      </c>
      <c r="B39" s="13" t="s">
        <v>64</v>
      </c>
      <c r="C39" s="13">
        <v>54</v>
      </c>
      <c r="D39" s="13">
        <v>7</v>
      </c>
      <c r="E39" s="3" t="s">
        <v>65</v>
      </c>
      <c r="F39" s="37" t="s">
        <v>57</v>
      </c>
      <c r="G39" s="44">
        <f>SUMIFS('[9]inland_taf_hatchgrp_tableraw&amp;yy'!G$3:G$38,'[9]inland_taf_hatchgrp_tableraw&amp;yy'!$AC$3:$AC$38,'2016 Table 11 CWTs exp'!$A39)</f>
        <v>0</v>
      </c>
      <c r="H39" s="45">
        <f>SUMIFS('[9]inland_taf_hatchgrp_tableraw&amp;yy'!H$3:H$38,'[9]inland_taf_hatchgrp_tableraw&amp;yy'!$AC$3:$AC$38,'2016 Table 11 CWTs exp'!$A39)</f>
        <v>1</v>
      </c>
      <c r="I39" s="44">
        <f>SUMIFS('[9]inland_taf_hatchgrp_tableraw&amp;yy'!I$3:I$38,'[9]inland_taf_hatchgrp_tableraw&amp;yy'!$AC$3:$AC$38,'2016 Table 11 CWTs exp'!$A39)</f>
        <v>0</v>
      </c>
      <c r="J39" s="46">
        <f>SUMIFS('[9]inland_taf_hatchgrp_tableraw&amp;yy'!J$3:J$38,'[9]inland_taf_hatchgrp_tableraw&amp;yy'!$AC$3:$AC$38,'2016 Table 11 CWTs exp'!$A39)</f>
        <v>0</v>
      </c>
      <c r="K39" s="44">
        <f>SUMIFS('[9]inland_taf_hatchgrp_tableraw&amp;yy'!K$3:K$38,'[9]inland_taf_hatchgrp_tableraw&amp;yy'!$AC$3:$AC$38,'2016 Table 11 CWTs exp'!$A39)</f>
        <v>0</v>
      </c>
      <c r="L39" s="44">
        <f>SUMIFS('[9]inland_taf_hatchgrp_tableraw&amp;yy'!L$3:L$38,'[9]inland_taf_hatchgrp_tableraw&amp;yy'!$AC$3:$AC$38,'2016 Table 11 CWTs exp'!$A39)</f>
        <v>0</v>
      </c>
      <c r="M39" s="44">
        <f>SUMIFS('[9]inland_taf_hatchgrp_tableraw&amp;yy'!M$3:M$38,'[9]inland_taf_hatchgrp_tableraw&amp;yy'!$AC$3:$AC$38,'2016 Table 11 CWTs exp'!$A39)</f>
        <v>0</v>
      </c>
      <c r="N39" s="44">
        <f>SUMIFS('[9]inland_taf_hatchgrp_tableraw&amp;yy'!N$3:N$38,'[9]inland_taf_hatchgrp_tableraw&amp;yy'!$AC$3:$AC$38,'2016 Table 11 CWTs exp'!$A39)</f>
        <v>0</v>
      </c>
      <c r="O39" s="44">
        <f>SUMIFS('[9]inland_taf_hatchgrp_tableraw&amp;yy'!O$3:O$38,'[9]inland_taf_hatchgrp_tableraw&amp;yy'!$AC$3:$AC$38,'2016 Table 11 CWTs exp'!$A39)</f>
        <v>0</v>
      </c>
      <c r="P39" s="44">
        <f>SUMIFS('[9]inland_taf_hatchgrp_tableraw&amp;yy'!P$3:P$38,'[9]inland_taf_hatchgrp_tableraw&amp;yy'!$AC$3:$AC$38,'2016 Table 11 CWTs exp'!$A39)</f>
        <v>0</v>
      </c>
      <c r="Q39" s="45">
        <f>SUMIFS('[9]inland_taf_hatchgrp_tableraw&amp;yy'!Q$3:Q$38,'[9]inland_taf_hatchgrp_tableraw&amp;yy'!$AC$3:$AC$38,'2016 Table 11 CWTs exp'!$A39)</f>
        <v>0</v>
      </c>
      <c r="R39" s="46">
        <f>SUMIFS('[9]inland_taf_hatchgrp_tableraw&amp;yy'!R$3:R$38,'[9]inland_taf_hatchgrp_tableraw&amp;yy'!$AC$3:$AC$38,'2016 Table 11 CWTs exp'!$A39)</f>
        <v>0</v>
      </c>
      <c r="S39" s="44">
        <f>SUMIFS('[9]inland_taf_hatchgrp_tableraw&amp;yy'!S$3:S$38,'[9]inland_taf_hatchgrp_tableraw&amp;yy'!$AC$3:$AC$38,'2016 Table 11 CWTs exp'!$A39)</f>
        <v>0</v>
      </c>
      <c r="T39" s="44">
        <f>SUMIFS('[9]inland_taf_hatchgrp_tableraw&amp;yy'!T$3:T$38,'[9]inland_taf_hatchgrp_tableraw&amp;yy'!$AC$3:$AC$38,'2016 Table 11 CWTs exp'!$A39)</f>
        <v>0</v>
      </c>
      <c r="U39" s="44">
        <f>SUMIFS('[9]inland_taf_hatchgrp_tableraw&amp;yy'!U$3:U$38,'[9]inland_taf_hatchgrp_tableraw&amp;yy'!$AC$3:$AC$38,'2016 Table 11 CWTs exp'!$A39)</f>
        <v>0</v>
      </c>
      <c r="V39" s="44">
        <f>SUMIFS('[9]inland_taf_hatchgrp_tableraw&amp;yy'!V$3:V$38,'[9]inland_taf_hatchgrp_tableraw&amp;yy'!$AC$3:$AC$38,'2016 Table 11 CWTs exp'!$A39)</f>
        <v>0</v>
      </c>
      <c r="W39" s="229">
        <f>SUMIFS('[9]inland_taf_hatchgrp_tableraw&amp;yy'!W$3:W$38,'[9]inland_taf_hatchgrp_tableraw&amp;yy'!$AC$3:$AC$38,'2016 Table 11 CWTs exp'!$A39)</f>
        <v>0</v>
      </c>
      <c r="X39" s="44">
        <f>SUMIFS('[9]inland_taf_hatchgrp_tableraw&amp;yy'!X$3:X$38,'[9]inland_taf_hatchgrp_tableraw&amp;yy'!$AC$3:$AC$38,'2016 Table 11 CWTs exp'!$A39)</f>
        <v>0</v>
      </c>
      <c r="Y39" s="84">
        <f>SUMIFS('[9]inland_taf_hatchgrp_tableraw&amp;yy'!Y$3:Y$38,'[9]inland_taf_hatchgrp_tableraw&amp;yy'!$AC$3:$AC$38,'2016 Table 11 CWTs exp'!$A39)</f>
        <v>1</v>
      </c>
      <c r="Z39" s="85">
        <f>SUMIFS('[9]inland_taf_hatchgrp_tableraw&amp;yy'!Z$3:Z$38,'[9]inland_taf_hatchgrp_tableraw&amp;yy'!$AC$3:$AC$38,'2016 Table 11 CWTs exp'!$A39)</f>
        <v>3068</v>
      </c>
      <c r="AA39" s="44">
        <f>SUMIFS('[9]inland_taf_hatchgrp_tableraw&amp;yy'!AA$3:AA$38,'[9]inland_taf_hatchgrp_tableraw&amp;yy'!$AC$3:$AC$38,'2016 Table 11 CWTs exp'!$A39)</f>
        <v>3069</v>
      </c>
      <c r="AB39" s="636"/>
      <c r="AC39" s="636"/>
      <c r="AD39" s="638">
        <f t="shared" si="8"/>
        <v>3.2583903551645487E-4</v>
      </c>
      <c r="AE39" s="604" t="str">
        <f t="shared" si="9"/>
        <v>USAC547</v>
      </c>
      <c r="AF39" s="444">
        <f>SUM(Y19:Y39)</f>
        <v>60700</v>
      </c>
      <c r="AG39" s="622"/>
      <c r="AH39" s="606">
        <f>SUM(AA19:AA39)</f>
        <v>89023</v>
      </c>
      <c r="AI39" s="592" t="e">
        <f>AVERAGE(AI21:AI38)</f>
        <v>#DIV/0!</v>
      </c>
      <c r="AJ39" s="447">
        <f>SUM(AJ21:AJ38)</f>
        <v>24208</v>
      </c>
      <c r="AK39" s="448">
        <f>AJ39/AA40</f>
        <v>0.28633272221893669</v>
      </c>
      <c r="AL39" s="451"/>
      <c r="AM39" s="442"/>
      <c r="AN39" s="442"/>
      <c r="AO39" s="442"/>
      <c r="AP39" s="442"/>
      <c r="AQ39" s="442"/>
      <c r="AR39" s="442"/>
      <c r="AS39" s="442"/>
    </row>
    <row r="40" spans="1:45" ht="14.15" customHeight="1" x14ac:dyDescent="0.3">
      <c r="A40" s="50"/>
      <c r="B40" s="13"/>
      <c r="C40" s="13"/>
      <c r="D40" s="13"/>
      <c r="E40" s="723" t="s">
        <v>200</v>
      </c>
      <c r="F40" s="723"/>
      <c r="G40" s="59">
        <f t="shared" ref="G40:AA40" si="14">SUM(G21:G38)</f>
        <v>0</v>
      </c>
      <c r="H40" s="58">
        <f t="shared" si="14"/>
        <v>20</v>
      </c>
      <c r="I40" s="59">
        <f t="shared" si="14"/>
        <v>1481</v>
      </c>
      <c r="J40" s="60">
        <f t="shared" si="14"/>
        <v>12300</v>
      </c>
      <c r="K40" s="59">
        <f t="shared" si="14"/>
        <v>1100</v>
      </c>
      <c r="L40" s="59">
        <f t="shared" si="14"/>
        <v>1785</v>
      </c>
      <c r="M40" s="59">
        <f t="shared" si="14"/>
        <v>10</v>
      </c>
      <c r="N40" s="59">
        <f t="shared" si="14"/>
        <v>949</v>
      </c>
      <c r="O40" s="59">
        <f t="shared" si="14"/>
        <v>23133</v>
      </c>
      <c r="P40" s="59">
        <f t="shared" si="14"/>
        <v>3339</v>
      </c>
      <c r="Q40" s="58">
        <f t="shared" si="14"/>
        <v>407</v>
      </c>
      <c r="R40" s="60">
        <f t="shared" si="14"/>
        <v>4978</v>
      </c>
      <c r="S40" s="59">
        <f t="shared" si="14"/>
        <v>140</v>
      </c>
      <c r="T40" s="59">
        <f t="shared" si="14"/>
        <v>205</v>
      </c>
      <c r="U40" s="59">
        <f t="shared" si="14"/>
        <v>9862</v>
      </c>
      <c r="V40" s="59">
        <f t="shared" si="14"/>
        <v>88</v>
      </c>
      <c r="W40" s="231">
        <f t="shared" si="14"/>
        <v>536</v>
      </c>
      <c r="X40" s="59">
        <f t="shared" si="14"/>
        <v>0</v>
      </c>
      <c r="Y40" s="188">
        <f t="shared" si="14"/>
        <v>60337</v>
      </c>
      <c r="Z40" s="189">
        <f t="shared" si="14"/>
        <v>24208</v>
      </c>
      <c r="AA40" s="59">
        <f t="shared" si="14"/>
        <v>84545</v>
      </c>
      <c r="AB40" s="630"/>
      <c r="AC40" s="630"/>
      <c r="AD40" s="639">
        <f t="shared" si="8"/>
        <v>0.71366727778106331</v>
      </c>
      <c r="AE40" s="445"/>
      <c r="AF40" s="607"/>
      <c r="AG40" s="608"/>
      <c r="AH40" s="608"/>
      <c r="AI40" s="606">
        <f>AA40-AA23</f>
        <v>83524</v>
      </c>
      <c r="AJ40" s="447">
        <f>AJ39-AJ23</f>
        <v>24035</v>
      </c>
      <c r="AK40" s="448">
        <f>AJ40/AI40</f>
        <v>0.28776160145586899</v>
      </c>
      <c r="AL40" s="451" t="s">
        <v>102</v>
      </c>
      <c r="AM40" s="442"/>
      <c r="AN40" s="442"/>
      <c r="AO40" s="442"/>
      <c r="AP40" s="442"/>
      <c r="AQ40" s="442"/>
      <c r="AR40" s="442"/>
      <c r="AS40" s="442"/>
    </row>
    <row r="41" spans="1:45" ht="3.75" customHeight="1" x14ac:dyDescent="0.3">
      <c r="A41" s="50"/>
      <c r="B41" s="13"/>
      <c r="C41" s="13"/>
      <c r="D41" s="13"/>
      <c r="E41" s="83"/>
      <c r="G41" s="44"/>
      <c r="H41" s="45"/>
      <c r="I41" s="44"/>
      <c r="J41" s="46"/>
      <c r="K41" s="44"/>
      <c r="L41" s="44"/>
      <c r="M41" s="44"/>
      <c r="N41" s="44"/>
      <c r="O41" s="44"/>
      <c r="P41" s="44"/>
      <c r="Q41" s="45"/>
      <c r="R41" s="46"/>
      <c r="S41" s="44"/>
      <c r="T41" s="44"/>
      <c r="U41" s="44"/>
      <c r="V41" s="44"/>
      <c r="W41" s="229"/>
      <c r="X41" s="44"/>
      <c r="Y41" s="84"/>
      <c r="Z41" s="85"/>
      <c r="AA41" s="44"/>
      <c r="AB41" s="630"/>
      <c r="AC41" s="630"/>
      <c r="AD41" s="445"/>
      <c r="AE41" s="445"/>
      <c r="AF41" s="607"/>
      <c r="AG41" s="608"/>
      <c r="AH41" s="608"/>
      <c r="AI41" s="606"/>
      <c r="AJ41" s="447"/>
      <c r="AK41" s="448"/>
      <c r="AL41" s="451"/>
    </row>
    <row r="42" spans="1:45" ht="14.9" customHeight="1" x14ac:dyDescent="0.25">
      <c r="A42" s="50"/>
      <c r="B42" s="13"/>
      <c r="C42" s="13"/>
      <c r="D42" s="13"/>
      <c r="E42" s="27" t="s">
        <v>103</v>
      </c>
      <c r="F42" s="37" t="s">
        <v>104</v>
      </c>
      <c r="G42" s="68">
        <f>G19+G6</f>
        <v>472</v>
      </c>
      <c r="H42" s="69">
        <f>H9+H15+H14+H21+H23+H39+H16+H8</f>
        <v>1708</v>
      </c>
      <c r="I42" s="68">
        <f>I9+I15+I14+I21+I23+I39+I16+I8</f>
        <v>7790</v>
      </c>
      <c r="J42" s="70">
        <f>J9+J15+J14+J21+J23+J39+J16+J8</f>
        <v>1125</v>
      </c>
      <c r="K42" s="68">
        <f t="shared" ref="K42:P42" si="15">K7+K10+K28+K29+K30</f>
        <v>2595</v>
      </c>
      <c r="L42" s="68">
        <f t="shared" si="15"/>
        <v>3451</v>
      </c>
      <c r="M42" s="68">
        <f t="shared" si="15"/>
        <v>19</v>
      </c>
      <c r="N42" s="68">
        <f t="shared" si="15"/>
        <v>1556</v>
      </c>
      <c r="O42" s="68">
        <f t="shared" si="15"/>
        <v>35117</v>
      </c>
      <c r="P42" s="68">
        <f t="shared" si="15"/>
        <v>5628</v>
      </c>
      <c r="Q42" s="69">
        <f>Q11+Q32+Q31</f>
        <v>904</v>
      </c>
      <c r="R42" s="70">
        <f>R11+R32+R31</f>
        <v>9273</v>
      </c>
      <c r="S42" s="68">
        <f>S12+S33</f>
        <v>78</v>
      </c>
      <c r="T42" s="68">
        <f>T12+T33</f>
        <v>116</v>
      </c>
      <c r="U42" s="68">
        <f>U12+U33</f>
        <v>3045</v>
      </c>
      <c r="V42" s="68">
        <f>V12+V33</f>
        <v>88</v>
      </c>
      <c r="W42" s="232">
        <f>W13+W38</f>
        <v>150</v>
      </c>
      <c r="X42" s="68"/>
      <c r="Y42" s="86">
        <f>SUM(G42:X42)</f>
        <v>73115</v>
      </c>
      <c r="Z42" s="87">
        <f>Z44</f>
        <v>32858</v>
      </c>
      <c r="AA42" s="44">
        <f>Z42+Y42</f>
        <v>105973</v>
      </c>
      <c r="AB42" s="630"/>
      <c r="AC42" s="630"/>
      <c r="AD42" s="445">
        <f>Y42/(Y42+Z42)</f>
        <v>0.6899398903494286</v>
      </c>
      <c r="AE42" s="445"/>
      <c r="AF42" s="607"/>
      <c r="AG42" s="608"/>
      <c r="AH42" s="608"/>
      <c r="AI42" s="606"/>
      <c r="AJ42" s="447"/>
      <c r="AK42" s="448"/>
      <c r="AL42" s="451"/>
    </row>
    <row r="43" spans="1:45" ht="14.9" customHeight="1" x14ac:dyDescent="0.25">
      <c r="A43" s="50"/>
      <c r="B43" s="13"/>
      <c r="C43" s="13"/>
      <c r="D43" s="13"/>
      <c r="E43" s="27" t="s">
        <v>105</v>
      </c>
      <c r="F43" s="37" t="s">
        <v>104</v>
      </c>
      <c r="G43" s="70">
        <f>IF(G44-G42&gt;0,G44-G42,0.001)</f>
        <v>1E-3</v>
      </c>
      <c r="H43" s="69">
        <f t="shared" ref="H43:W43" si="16">IF(H44-H42&gt;0,H44-H42,0.001)</f>
        <v>20</v>
      </c>
      <c r="I43" s="68">
        <f t="shared" si="16"/>
        <v>109</v>
      </c>
      <c r="J43" s="70">
        <f t="shared" si="16"/>
        <v>15600</v>
      </c>
      <c r="K43" s="69">
        <f t="shared" si="16"/>
        <v>1E-3</v>
      </c>
      <c r="L43" s="68">
        <f t="shared" si="16"/>
        <v>19</v>
      </c>
      <c r="M43" s="68">
        <f t="shared" si="16"/>
        <v>1</v>
      </c>
      <c r="N43" s="68">
        <f t="shared" si="16"/>
        <v>13</v>
      </c>
      <c r="O43" s="68">
        <f t="shared" si="16"/>
        <v>1470</v>
      </c>
      <c r="P43" s="68">
        <f t="shared" si="16"/>
        <v>525</v>
      </c>
      <c r="Q43" s="69">
        <f t="shared" si="16"/>
        <v>1E-3</v>
      </c>
      <c r="R43" s="70">
        <f t="shared" si="16"/>
        <v>4194</v>
      </c>
      <c r="S43" s="68">
        <f t="shared" si="16"/>
        <v>187</v>
      </c>
      <c r="T43" s="68">
        <f t="shared" si="16"/>
        <v>242</v>
      </c>
      <c r="U43" s="68">
        <f t="shared" si="16"/>
        <v>11903</v>
      </c>
      <c r="V43" s="68">
        <f t="shared" si="16"/>
        <v>144</v>
      </c>
      <c r="W43" s="232">
        <f t="shared" si="16"/>
        <v>770</v>
      </c>
      <c r="X43" s="68">
        <f t="shared" ref="X43" si="17">X44-X42</f>
        <v>0</v>
      </c>
      <c r="Y43" s="86">
        <f t="shared" ref="Y43:Z43" si="18">IF(Y44-Y42&gt;0,Y44-Y42,0.001)</f>
        <v>35201</v>
      </c>
      <c r="Z43" s="87">
        <f t="shared" si="18"/>
        <v>1E-3</v>
      </c>
      <c r="AA43" s="44">
        <f>Z43+Y43</f>
        <v>35201.000999999997</v>
      </c>
      <c r="AB43" s="630">
        <f>SUM(G43:W43)</f>
        <v>35197.002999999997</v>
      </c>
      <c r="AC43" s="630"/>
      <c r="AD43" s="445">
        <f>Y43/(Y43+Z43)</f>
        <v>0.99999997159171705</v>
      </c>
      <c r="AE43" s="625">
        <v>82</v>
      </c>
      <c r="AF43" s="626" t="s">
        <v>107</v>
      </c>
      <c r="AG43" s="600" t="s">
        <v>108</v>
      </c>
      <c r="AH43" s="608"/>
      <c r="AI43" s="606"/>
      <c r="AJ43" s="447"/>
      <c r="AK43" s="448"/>
      <c r="AL43" s="451"/>
    </row>
    <row r="44" spans="1:45" ht="14.9" customHeight="1" x14ac:dyDescent="0.3">
      <c r="A44" s="50"/>
      <c r="B44" s="13"/>
      <c r="C44" s="13"/>
      <c r="D44" s="13"/>
      <c r="E44" s="27"/>
      <c r="F44" s="88" t="s">
        <v>109</v>
      </c>
      <c r="G44" s="89">
        <f>SUM(G19:G39,G6:G16)</f>
        <v>472</v>
      </c>
      <c r="H44" s="90">
        <f>SUM(H19:H39,H6:H16)</f>
        <v>1728</v>
      </c>
      <c r="I44" s="89">
        <f>SUM(I19:I39,I6:I16)</f>
        <v>7899</v>
      </c>
      <c r="J44" s="91">
        <f t="shared" ref="J44:Z44" si="19">SUM(J19:J39,J6:J16)</f>
        <v>16725</v>
      </c>
      <c r="K44" s="89">
        <f t="shared" si="19"/>
        <v>2595</v>
      </c>
      <c r="L44" s="89">
        <f t="shared" si="19"/>
        <v>3470</v>
      </c>
      <c r="M44" s="89">
        <f t="shared" si="19"/>
        <v>20</v>
      </c>
      <c r="N44" s="89">
        <f t="shared" si="19"/>
        <v>1569</v>
      </c>
      <c r="O44" s="89">
        <f t="shared" si="19"/>
        <v>36587</v>
      </c>
      <c r="P44" s="89">
        <f t="shared" si="19"/>
        <v>6153</v>
      </c>
      <c r="Q44" s="90">
        <f t="shared" si="19"/>
        <v>904</v>
      </c>
      <c r="R44" s="91">
        <f t="shared" si="19"/>
        <v>13467</v>
      </c>
      <c r="S44" s="89">
        <f t="shared" si="19"/>
        <v>265</v>
      </c>
      <c r="T44" s="89">
        <f t="shared" si="19"/>
        <v>358</v>
      </c>
      <c r="U44" s="89">
        <f t="shared" si="19"/>
        <v>14948</v>
      </c>
      <c r="V44" s="89">
        <f t="shared" si="19"/>
        <v>232</v>
      </c>
      <c r="W44" s="233">
        <f t="shared" si="19"/>
        <v>920</v>
      </c>
      <c r="X44" s="89">
        <f t="shared" si="19"/>
        <v>0</v>
      </c>
      <c r="Y44" s="92">
        <f t="shared" si="19"/>
        <v>108316</v>
      </c>
      <c r="Z44" s="93">
        <f t="shared" si="19"/>
        <v>32858</v>
      </c>
      <c r="AA44" s="94">
        <f>Z44+Y44</f>
        <v>141174</v>
      </c>
      <c r="AB44" s="444"/>
      <c r="AC44" s="444"/>
      <c r="AD44" s="445">
        <f>Y44/AA44</f>
        <v>0.76725176023913755</v>
      </c>
      <c r="AE44" s="627">
        <v>413</v>
      </c>
      <c r="AF44" s="628" t="s">
        <v>110</v>
      </c>
      <c r="AG44" s="614">
        <f>SUM(G44:W44)</f>
        <v>108312</v>
      </c>
      <c r="AH44" s="608"/>
      <c r="AI44" s="606"/>
      <c r="AJ44" s="447"/>
      <c r="AK44" s="448"/>
      <c r="AL44" s="451"/>
    </row>
    <row r="45" spans="1:45" ht="13.5" customHeight="1" x14ac:dyDescent="0.25">
      <c r="A45" s="50"/>
      <c r="B45" s="13"/>
      <c r="C45" s="13"/>
      <c r="D45" s="13"/>
      <c r="E45" s="27"/>
      <c r="F45" s="95" t="s">
        <v>168</v>
      </c>
      <c r="G45" s="96" t="str">
        <f t="shared" ref="G45:J45" si="20">IF(G43/G44&gt;0.005,G43/G44,IF(G43/G44&gt;0,"&lt;1%",0.001))</f>
        <v>&lt;1%</v>
      </c>
      <c r="H45" s="101">
        <f t="shared" si="20"/>
        <v>1.1574074074074073E-2</v>
      </c>
      <c r="I45" s="98">
        <f t="shared" si="20"/>
        <v>1.3799215090517788E-2</v>
      </c>
      <c r="J45" s="99">
        <f t="shared" si="20"/>
        <v>0.93273542600896864</v>
      </c>
      <c r="K45" s="98" t="str">
        <f>IF(K43/K44&gt;0.005,K43/K44,IF(K43/K44&gt;0,"&lt;1%",0.001))</f>
        <v>&lt;1%</v>
      </c>
      <c r="L45" s="98">
        <f t="shared" ref="L45:W45" si="21">IF(L43/L44&gt;0.005,L43/L44,IF(L43/L44&gt;0,"&lt;1%",0.001))</f>
        <v>5.4755043227665704E-3</v>
      </c>
      <c r="M45" s="98">
        <f t="shared" si="21"/>
        <v>0.05</v>
      </c>
      <c r="N45" s="98">
        <f t="shared" si="21"/>
        <v>8.2855321861057991E-3</v>
      </c>
      <c r="O45" s="98">
        <f t="shared" si="21"/>
        <v>4.0178205373493314E-2</v>
      </c>
      <c r="P45" s="98">
        <f t="shared" si="21"/>
        <v>8.5324232081911269E-2</v>
      </c>
      <c r="Q45" s="101" t="str">
        <f t="shared" si="21"/>
        <v>&lt;1%</v>
      </c>
      <c r="R45" s="99">
        <f t="shared" si="21"/>
        <v>0.31142793495210513</v>
      </c>
      <c r="S45" s="98">
        <f t="shared" si="21"/>
        <v>0.70566037735849052</v>
      </c>
      <c r="T45" s="98">
        <f t="shared" si="21"/>
        <v>0.67597765363128492</v>
      </c>
      <c r="U45" s="98">
        <f t="shared" si="21"/>
        <v>0.79629381857104631</v>
      </c>
      <c r="V45" s="98">
        <f t="shared" si="21"/>
        <v>0.62068965517241381</v>
      </c>
      <c r="W45" s="234">
        <f t="shared" si="21"/>
        <v>0.83695652173913049</v>
      </c>
      <c r="X45" s="98" t="e">
        <f t="shared" ref="X45:Y45" si="22">X43/X44</f>
        <v>#DIV/0!</v>
      </c>
      <c r="Y45" s="101">
        <f t="shared" si="22"/>
        <v>0.32498430518113669</v>
      </c>
      <c r="Z45" s="102"/>
      <c r="AA45" s="98">
        <f t="shared" ref="AA45" si="23">IF(AA43/AA44&gt;0.005,AA43/AA44,IF(AA43/AA44&gt;0,"&lt;1%",0.001))</f>
        <v>0.24934478728377743</v>
      </c>
      <c r="AB45" s="630"/>
      <c r="AC45" s="630"/>
      <c r="AD45" s="445"/>
      <c r="AE45" s="445"/>
      <c r="AF45" s="607"/>
      <c r="AG45" s="608"/>
      <c r="AH45" s="608"/>
      <c r="AI45" s="606"/>
      <c r="AJ45" s="447"/>
      <c r="AK45" s="448"/>
      <c r="AL45" s="451"/>
    </row>
    <row r="46" spans="1:45" ht="15" customHeight="1" x14ac:dyDescent="0.25">
      <c r="A46" s="5" t="s">
        <v>112</v>
      </c>
      <c r="B46" s="13"/>
      <c r="C46" s="13"/>
      <c r="D46" s="13"/>
      <c r="E46" s="103" t="s">
        <v>113</v>
      </c>
      <c r="F46" s="47"/>
      <c r="G46" s="28"/>
      <c r="H46" s="69"/>
      <c r="I46" s="68"/>
      <c r="J46" s="70"/>
      <c r="K46" s="68"/>
      <c r="L46" s="68"/>
      <c r="M46" s="68"/>
      <c r="N46" s="68"/>
      <c r="O46" s="68"/>
      <c r="P46" s="68"/>
      <c r="Q46" s="69"/>
      <c r="R46" s="70"/>
      <c r="S46" s="68"/>
      <c r="T46" s="68"/>
      <c r="U46" s="68"/>
      <c r="V46" s="68"/>
      <c r="W46" s="232"/>
      <c r="X46" s="68"/>
      <c r="Y46" s="86"/>
      <c r="Z46" s="87"/>
      <c r="AA46" s="68"/>
      <c r="AB46" s="611"/>
      <c r="AC46" s="611"/>
      <c r="AD46" s="566"/>
      <c r="AE46" s="566"/>
      <c r="AF46" s="442"/>
      <c r="AG46" s="597"/>
      <c r="AH46" s="597"/>
      <c r="AI46" s="597"/>
      <c r="AJ46" s="599"/>
      <c r="AK46" s="451"/>
      <c r="AL46" s="451"/>
    </row>
    <row r="47" spans="1:45" ht="14.5" customHeight="1" x14ac:dyDescent="0.25">
      <c r="A47" s="50" t="str">
        <f t="shared" ref="A47:A52" si="24">CONCATENATE(B47,C47,D47)</f>
        <v>SAK463</v>
      </c>
      <c r="B47" s="13" t="s">
        <v>210</v>
      </c>
      <c r="C47" s="13">
        <v>46</v>
      </c>
      <c r="D47" s="13">
        <v>3</v>
      </c>
      <c r="E47" s="27" t="s">
        <v>114</v>
      </c>
      <c r="F47" s="28" t="str">
        <f>LOOKUP(D47,$AL$7:$AL$10,$AM$7:$AM$10)</f>
        <v>Fall</v>
      </c>
      <c r="G47" s="235">
        <f>SUMIFS('[9]inland_taf_hatchgrp_tableraw&amp;yy'!G$3:G$38,'[9]inland_taf_hatchgrp_tableraw&amp;yy'!$AC$3:$AC$38,'2016 Table 11 CWTs exp'!$A47)</f>
        <v>0</v>
      </c>
      <c r="H47" s="45">
        <f>SUMIFS('[9]inland_taf_hatchgrp_tableraw&amp;yy'!H$3:H$38,'[9]inland_taf_hatchgrp_tableraw&amp;yy'!$AC$3:$AC$38,'2016 Table 11 CWTs exp'!$A47)</f>
        <v>0</v>
      </c>
      <c r="I47" s="44">
        <f>SUMIFS('[9]inland_taf_hatchgrp_tableraw&amp;yy'!I$3:I$38,'[9]inland_taf_hatchgrp_tableraw&amp;yy'!$AC$3:$AC$38,'2016 Table 11 CWTs exp'!$A47)</f>
        <v>1608</v>
      </c>
      <c r="J47" s="46">
        <f>SUMIFS('[9]inland_taf_hatchgrp_tableraw&amp;yy'!J$3:J$38,'[9]inland_taf_hatchgrp_tableraw&amp;yy'!$AC$3:$AC$38,'2016 Table 11 CWTs exp'!$A47)</f>
        <v>70</v>
      </c>
      <c r="K47" s="44">
        <f>SUMIFS('[9]inland_taf_hatchgrp_tableraw&amp;yy'!K$3:K$38,'[9]inland_taf_hatchgrp_tableraw&amp;yy'!$AC$3:$AC$38,'2016 Table 11 CWTs exp'!$A47)</f>
        <v>0</v>
      </c>
      <c r="L47" s="44">
        <f>SUMIFS('[9]inland_taf_hatchgrp_tableraw&amp;yy'!L$3:L$38,'[9]inland_taf_hatchgrp_tableraw&amp;yy'!$AC$3:$AC$38,'2016 Table 11 CWTs exp'!$A47)</f>
        <v>18</v>
      </c>
      <c r="M47" s="44">
        <f>SUMIFS('[9]inland_taf_hatchgrp_tableraw&amp;yy'!M$3:M$38,'[9]inland_taf_hatchgrp_tableraw&amp;yy'!$AC$3:$AC$38,'2016 Table 11 CWTs exp'!$A47)</f>
        <v>0</v>
      </c>
      <c r="N47" s="44">
        <f>SUMIFS('[9]inland_taf_hatchgrp_tableraw&amp;yy'!N$3:N$38,'[9]inland_taf_hatchgrp_tableraw&amp;yy'!$AC$3:$AC$38,'2016 Table 11 CWTs exp'!$A47)</f>
        <v>0</v>
      </c>
      <c r="O47" s="44">
        <f>SUMIFS('[9]inland_taf_hatchgrp_tableraw&amp;yy'!O$3:O$38,'[9]inland_taf_hatchgrp_tableraw&amp;yy'!$AC$3:$AC$38,'2016 Table 11 CWTs exp'!$A47)</f>
        <v>70</v>
      </c>
      <c r="P47" s="44">
        <f>SUMIFS('[9]inland_taf_hatchgrp_tableraw&amp;yy'!P$3:P$38,'[9]inland_taf_hatchgrp_tableraw&amp;yy'!$AC$3:$AC$38,'2016 Table 11 CWTs exp'!$A47)</f>
        <v>18</v>
      </c>
      <c r="Q47" s="45">
        <f>SUMIFS('[9]inland_taf_hatchgrp_tableraw&amp;yy'!Q$3:Q$38,'[9]inland_taf_hatchgrp_tableraw&amp;yy'!$AC$3:$AC$38,'2016 Table 11 CWTs exp'!$A47)</f>
        <v>0</v>
      </c>
      <c r="R47" s="46">
        <f>SUMIFS('[9]inland_taf_hatchgrp_tableraw&amp;yy'!R$3:R$38,'[9]inland_taf_hatchgrp_tableraw&amp;yy'!$AC$3:$AC$38,'2016 Table 11 CWTs exp'!$A47)</f>
        <v>0</v>
      </c>
      <c r="S47" s="44">
        <f>SUMIFS('[9]inland_taf_hatchgrp_tableraw&amp;yy'!S$3:S$38,'[9]inland_taf_hatchgrp_tableraw&amp;yy'!$AC$3:$AC$38,'2016 Table 11 CWTs exp'!$A47)</f>
        <v>0</v>
      </c>
      <c r="T47" s="44">
        <f>SUMIFS('[9]inland_taf_hatchgrp_tableraw&amp;yy'!T$3:T$38,'[9]inland_taf_hatchgrp_tableraw&amp;yy'!$AC$3:$AC$38,'2016 Table 11 CWTs exp'!$A47)</f>
        <v>0</v>
      </c>
      <c r="U47" s="44">
        <f>SUMIFS('[9]inland_taf_hatchgrp_tableraw&amp;yy'!U$3:U$38,'[9]inland_taf_hatchgrp_tableraw&amp;yy'!$AC$3:$AC$38,'2016 Table 11 CWTs exp'!$A47)</f>
        <v>0</v>
      </c>
      <c r="V47" s="46">
        <f>SUMIFS('[9]inland_taf_hatchgrp_tableraw&amp;yy'!V$3:V$38,'[9]inland_taf_hatchgrp_tableraw&amp;yy'!$AC$3:$AC$38,'2016 Table 11 CWTs exp'!$A47)</f>
        <v>0</v>
      </c>
      <c r="W47" s="46">
        <f>SUMIFS('[9]inland_taf_hatchgrp_tableraw&amp;yy'!W$3:W$38,'[9]inland_taf_hatchgrp_tableraw&amp;yy'!$AC$3:$AC$38,'2016 Table 11 CWTs exp'!$A47)</f>
        <v>0</v>
      </c>
      <c r="X47" s="44">
        <f>SUMIFS('[9]inland_taf_hatchgrp_tableraw&amp;yy'!X$3:X$38,'[9]inland_taf_hatchgrp_tableraw&amp;yy'!$AC$3:$AC$38,'2016 Table 11 CWTs exp'!$A47)</f>
        <v>0</v>
      </c>
      <c r="Y47" s="84">
        <f>SUMIFS('[9]inland_taf_hatchgrp_tableraw&amp;yy'!Y$3:Y$38,'[9]inland_taf_hatchgrp_tableraw&amp;yy'!$AC$3:$AC$38,'2016 Table 11 CWTs exp'!$A47)</f>
        <v>1783</v>
      </c>
      <c r="Z47" s="85">
        <f>SUMIFS('[9]inland_taf_hatchgrp_tableraw&amp;yy'!Z$3:Z$38,'[9]inland_taf_hatchgrp_tableraw&amp;yy'!$AC$3:$AC$38,'2016 Table 11 CWTs exp'!$A47)</f>
        <v>1100</v>
      </c>
      <c r="AA47" s="44">
        <f>SUMIFS('[9]inland_taf_hatchgrp_tableraw&amp;yy'!AA$3:AA$38,'[9]inland_taf_hatchgrp_tableraw&amp;yy'!$AC$3:$AC$38,'2016 Table 11 CWTs exp'!$A47)</f>
        <v>2883</v>
      </c>
      <c r="AB47" s="636"/>
      <c r="AC47" s="636"/>
      <c r="AD47" s="566">
        <f>SUMIFS('[9]inland_taf_hatchgrp_tableraw&amp;yy'!AB$3:AB$38,'[9]inland_taf_hatchgrp_tableraw&amp;yy'!$AC$3:$AC$38,'2016 Table 11 CWTs exp'!$A47)</f>
        <v>0.61799999999999999</v>
      </c>
      <c r="AE47" s="604" t="str">
        <f t="shared" ref="AE47:AE53" si="25">A47</f>
        <v>SAK463</v>
      </c>
      <c r="AF47" s="442"/>
      <c r="AG47" s="597"/>
      <c r="AH47" s="597"/>
      <c r="AI47" s="597"/>
      <c r="AJ47" s="599"/>
      <c r="AK47" s="451"/>
      <c r="AL47" s="451"/>
    </row>
    <row r="48" spans="1:45" ht="14.5" customHeight="1" x14ac:dyDescent="0.25">
      <c r="A48" s="50" t="str">
        <f t="shared" si="24"/>
        <v>SBK463</v>
      </c>
      <c r="B48" s="13" t="s">
        <v>211</v>
      </c>
      <c r="C48" s="13">
        <v>46</v>
      </c>
      <c r="D48" s="13">
        <v>3</v>
      </c>
      <c r="E48" s="27" t="s">
        <v>116</v>
      </c>
      <c r="F48" s="28" t="str">
        <f>LOOKUP(D48,$AL$7:$AL$10,$AM$7:$AM$10)</f>
        <v>Fall</v>
      </c>
      <c r="G48" s="235">
        <f>SUMIFS('[9]inland_taf_hatchgrp_tableraw&amp;yy'!G$3:G$38,'[9]inland_taf_hatchgrp_tableraw&amp;yy'!$AC$3:$AC$38,'2016 Table 11 CWTs exp'!$A48)</f>
        <v>0</v>
      </c>
      <c r="H48" s="45">
        <f>SUMIFS('[9]inland_taf_hatchgrp_tableraw&amp;yy'!H$3:H$38,'[9]inland_taf_hatchgrp_tableraw&amp;yy'!$AC$3:$AC$38,'2016 Table 11 CWTs exp'!$A48)</f>
        <v>0</v>
      </c>
      <c r="I48" s="44">
        <f>SUMIFS('[9]inland_taf_hatchgrp_tableraw&amp;yy'!I$3:I$38,'[9]inland_taf_hatchgrp_tableraw&amp;yy'!$AC$3:$AC$38,'2016 Table 11 CWTs exp'!$A48)</f>
        <v>260</v>
      </c>
      <c r="J48" s="46">
        <f>SUMIFS('[9]inland_taf_hatchgrp_tableraw&amp;yy'!J$3:J$38,'[9]inland_taf_hatchgrp_tableraw&amp;yy'!$AC$3:$AC$38,'2016 Table 11 CWTs exp'!$A48)</f>
        <v>2741</v>
      </c>
      <c r="K48" s="44">
        <f>SUMIFS('[9]inland_taf_hatchgrp_tableraw&amp;yy'!K$3:K$38,'[9]inland_taf_hatchgrp_tableraw&amp;yy'!$AC$3:$AC$38,'2016 Table 11 CWTs exp'!$A48)</f>
        <v>0</v>
      </c>
      <c r="L48" s="44">
        <f>SUMIFS('[9]inland_taf_hatchgrp_tableraw&amp;yy'!L$3:L$38,'[9]inland_taf_hatchgrp_tableraw&amp;yy'!$AC$3:$AC$38,'2016 Table 11 CWTs exp'!$A48)</f>
        <v>0</v>
      </c>
      <c r="M48" s="44">
        <f>SUMIFS('[9]inland_taf_hatchgrp_tableraw&amp;yy'!M$3:M$38,'[9]inland_taf_hatchgrp_tableraw&amp;yy'!$AC$3:$AC$38,'2016 Table 11 CWTs exp'!$A48)</f>
        <v>0</v>
      </c>
      <c r="N48" s="44">
        <f>SUMIFS('[9]inland_taf_hatchgrp_tableraw&amp;yy'!N$3:N$38,'[9]inland_taf_hatchgrp_tableraw&amp;yy'!$AC$3:$AC$38,'2016 Table 11 CWTs exp'!$A48)</f>
        <v>0</v>
      </c>
      <c r="O48" s="44">
        <f>SUMIFS('[9]inland_taf_hatchgrp_tableraw&amp;yy'!O$3:O$38,'[9]inland_taf_hatchgrp_tableraw&amp;yy'!$AC$3:$AC$38,'2016 Table 11 CWTs exp'!$A48)</f>
        <v>1182</v>
      </c>
      <c r="P48" s="44">
        <f>SUMIFS('[9]inland_taf_hatchgrp_tableraw&amp;yy'!P$3:P$38,'[9]inland_taf_hatchgrp_tableraw&amp;yy'!$AC$3:$AC$38,'2016 Table 11 CWTs exp'!$A48)</f>
        <v>67</v>
      </c>
      <c r="Q48" s="45">
        <f>SUMIFS('[9]inland_taf_hatchgrp_tableraw&amp;yy'!Q$3:Q$38,'[9]inland_taf_hatchgrp_tableraw&amp;yy'!$AC$3:$AC$38,'2016 Table 11 CWTs exp'!$A48)</f>
        <v>0</v>
      </c>
      <c r="R48" s="46">
        <f>SUMIFS('[9]inland_taf_hatchgrp_tableraw&amp;yy'!R$3:R$38,'[9]inland_taf_hatchgrp_tableraw&amp;yy'!$AC$3:$AC$38,'2016 Table 11 CWTs exp'!$A48)</f>
        <v>1822</v>
      </c>
      <c r="S48" s="44">
        <f>SUMIFS('[9]inland_taf_hatchgrp_tableraw&amp;yy'!S$3:S$38,'[9]inland_taf_hatchgrp_tableraw&amp;yy'!$AC$3:$AC$38,'2016 Table 11 CWTs exp'!$A48)</f>
        <v>0</v>
      </c>
      <c r="T48" s="44">
        <f>SUMIFS('[9]inland_taf_hatchgrp_tableraw&amp;yy'!T$3:T$38,'[9]inland_taf_hatchgrp_tableraw&amp;yy'!$AC$3:$AC$38,'2016 Table 11 CWTs exp'!$A48)</f>
        <v>33</v>
      </c>
      <c r="U48" s="44">
        <f>SUMIFS('[9]inland_taf_hatchgrp_tableraw&amp;yy'!U$3:U$38,'[9]inland_taf_hatchgrp_tableraw&amp;yy'!$AC$3:$AC$38,'2016 Table 11 CWTs exp'!$A48)</f>
        <v>391</v>
      </c>
      <c r="V48" s="46">
        <f>SUMIFS('[9]inland_taf_hatchgrp_tableraw&amp;yy'!V$3:V$38,'[9]inland_taf_hatchgrp_tableraw&amp;yy'!$AC$3:$AC$38,'2016 Table 11 CWTs exp'!$A48)</f>
        <v>131</v>
      </c>
      <c r="W48" s="46">
        <f>SUMIFS('[9]inland_taf_hatchgrp_tableraw&amp;yy'!W$3:W$38,'[9]inland_taf_hatchgrp_tableraw&amp;yy'!$AC$3:$AC$38,'2016 Table 11 CWTs exp'!$A48)</f>
        <v>0</v>
      </c>
      <c r="X48" s="44">
        <f>SUMIFS('[9]inland_taf_hatchgrp_tableraw&amp;yy'!X$3:X$38,'[9]inland_taf_hatchgrp_tableraw&amp;yy'!$AC$3:$AC$38,'2016 Table 11 CWTs exp'!$A48)</f>
        <v>0</v>
      </c>
      <c r="Y48" s="84">
        <f>SUMIFS('[9]inland_taf_hatchgrp_tableraw&amp;yy'!Y$3:Y$38,'[9]inland_taf_hatchgrp_tableraw&amp;yy'!$AC$3:$AC$38,'2016 Table 11 CWTs exp'!$A48)</f>
        <v>6626</v>
      </c>
      <c r="Z48" s="85">
        <f>SUMIFS('[9]inland_taf_hatchgrp_tableraw&amp;yy'!Z$3:Z$38,'[9]inland_taf_hatchgrp_tableraw&amp;yy'!$AC$3:$AC$38,'2016 Table 11 CWTs exp'!$A48)</f>
        <v>1784</v>
      </c>
      <c r="AA48" s="44">
        <f>SUMIFS('[9]inland_taf_hatchgrp_tableraw&amp;yy'!AA$3:AA$38,'[9]inland_taf_hatchgrp_tableraw&amp;yy'!$AC$3:$AC$38,'2016 Table 11 CWTs exp'!$A48)</f>
        <v>8410</v>
      </c>
      <c r="AB48" s="636"/>
      <c r="AC48" s="636"/>
      <c r="AD48" s="566">
        <f>SUMIFS('[9]inland_taf_hatchgrp_tableraw&amp;yy'!AB$3:AB$38,'[9]inland_taf_hatchgrp_tableraw&amp;yy'!$AC$3:$AC$38,'2016 Table 11 CWTs exp'!$A48)</f>
        <v>0.78800000000000003</v>
      </c>
      <c r="AE48" s="604" t="str">
        <f t="shared" si="25"/>
        <v>SBK463</v>
      </c>
      <c r="AF48" s="442"/>
      <c r="AG48" s="597"/>
      <c r="AH48" s="597"/>
      <c r="AI48" s="597"/>
      <c r="AJ48" s="599"/>
      <c r="AK48" s="451"/>
      <c r="AL48" s="451"/>
    </row>
    <row r="49" spans="1:52" ht="14.5" customHeight="1" x14ac:dyDescent="0.25">
      <c r="A49" s="50" t="str">
        <f t="shared" si="24"/>
        <v>FEA463</v>
      </c>
      <c r="B49" s="13" t="s">
        <v>80</v>
      </c>
      <c r="C49" s="13">
        <v>46</v>
      </c>
      <c r="D49" s="13">
        <v>3</v>
      </c>
      <c r="E49" s="27" t="s">
        <v>117</v>
      </c>
      <c r="F49" s="28" t="str">
        <f>LOOKUP(D49,$AL$7:$AL$10,$AM$7:$AM$10)</f>
        <v>Fall</v>
      </c>
      <c r="G49" s="235">
        <f>SUMIFS('[9]inland_taf_hatchgrp_tableraw&amp;yy'!G$3:G$38,'[9]inland_taf_hatchgrp_tableraw&amp;yy'!$AC$3:$AC$38,'2016 Table 11 CWTs exp'!$A49)</f>
        <v>0</v>
      </c>
      <c r="H49" s="45">
        <f>SUMIFS('[9]inland_taf_hatchgrp_tableraw&amp;yy'!H$3:H$38,'[9]inland_taf_hatchgrp_tableraw&amp;yy'!$AC$3:$AC$38,'2016 Table 11 CWTs exp'!$A49)</f>
        <v>0</v>
      </c>
      <c r="I49" s="44">
        <f>SUMIFS('[9]inland_taf_hatchgrp_tableraw&amp;yy'!I$3:I$38,'[9]inland_taf_hatchgrp_tableraw&amp;yy'!$AC$3:$AC$38,'2016 Table 11 CWTs exp'!$A49)</f>
        <v>63</v>
      </c>
      <c r="J49" s="46">
        <f>SUMIFS('[9]inland_taf_hatchgrp_tableraw&amp;yy'!J$3:J$38,'[9]inland_taf_hatchgrp_tableraw&amp;yy'!$AC$3:$AC$38,'2016 Table 11 CWTs exp'!$A49)</f>
        <v>1079</v>
      </c>
      <c r="K49" s="44">
        <f>SUMIFS('[9]inland_taf_hatchgrp_tableraw&amp;yy'!K$3:K$38,'[9]inland_taf_hatchgrp_tableraw&amp;yy'!$AC$3:$AC$38,'2016 Table 11 CWTs exp'!$A49)</f>
        <v>16</v>
      </c>
      <c r="L49" s="44">
        <f>SUMIFS('[9]inland_taf_hatchgrp_tableraw&amp;yy'!L$3:L$38,'[9]inland_taf_hatchgrp_tableraw&amp;yy'!$AC$3:$AC$38,'2016 Table 11 CWTs exp'!$A49)</f>
        <v>32</v>
      </c>
      <c r="M49" s="44">
        <f>SUMIFS('[9]inland_taf_hatchgrp_tableraw&amp;yy'!M$3:M$38,'[9]inland_taf_hatchgrp_tableraw&amp;yy'!$AC$3:$AC$38,'2016 Table 11 CWTs exp'!$A49)</f>
        <v>0</v>
      </c>
      <c r="N49" s="44">
        <f>SUMIFS('[9]inland_taf_hatchgrp_tableraw&amp;yy'!N$3:N$38,'[9]inland_taf_hatchgrp_tableraw&amp;yy'!$AC$3:$AC$38,'2016 Table 11 CWTs exp'!$A49)</f>
        <v>96</v>
      </c>
      <c r="O49" s="44">
        <f>SUMIFS('[9]inland_taf_hatchgrp_tableraw&amp;yy'!O$3:O$38,'[9]inland_taf_hatchgrp_tableraw&amp;yy'!$AC$3:$AC$38,'2016 Table 11 CWTs exp'!$A49)</f>
        <v>3356</v>
      </c>
      <c r="P49" s="44">
        <f>SUMIFS('[9]inland_taf_hatchgrp_tableraw&amp;yy'!P$3:P$38,'[9]inland_taf_hatchgrp_tableraw&amp;yy'!$AC$3:$AC$38,'2016 Table 11 CWTs exp'!$A49)</f>
        <v>677</v>
      </c>
      <c r="Q49" s="45">
        <f>SUMIFS('[9]inland_taf_hatchgrp_tableraw&amp;yy'!Q$3:Q$38,'[9]inland_taf_hatchgrp_tableraw&amp;yy'!$AC$3:$AC$38,'2016 Table 11 CWTs exp'!$A49)</f>
        <v>0</v>
      </c>
      <c r="R49" s="46">
        <f>SUMIFS('[9]inland_taf_hatchgrp_tableraw&amp;yy'!R$3:R$38,'[9]inland_taf_hatchgrp_tableraw&amp;yy'!$AC$3:$AC$38,'2016 Table 11 CWTs exp'!$A49)</f>
        <v>0</v>
      </c>
      <c r="S49" s="44">
        <f>SUMIFS('[9]inland_taf_hatchgrp_tableraw&amp;yy'!S$3:S$38,'[9]inland_taf_hatchgrp_tableraw&amp;yy'!$AC$3:$AC$38,'2016 Table 11 CWTs exp'!$A49)</f>
        <v>0</v>
      </c>
      <c r="T49" s="44">
        <f>SUMIFS('[9]inland_taf_hatchgrp_tableraw&amp;yy'!T$3:T$38,'[9]inland_taf_hatchgrp_tableraw&amp;yy'!$AC$3:$AC$38,'2016 Table 11 CWTs exp'!$A49)</f>
        <v>0</v>
      </c>
      <c r="U49" s="44">
        <f>SUMIFS('[9]inland_taf_hatchgrp_tableraw&amp;yy'!U$3:U$38,'[9]inland_taf_hatchgrp_tableraw&amp;yy'!$AC$3:$AC$38,'2016 Table 11 CWTs exp'!$A49)</f>
        <v>0</v>
      </c>
      <c r="V49" s="46">
        <f>SUMIFS('[9]inland_taf_hatchgrp_tableraw&amp;yy'!V$3:V$38,'[9]inland_taf_hatchgrp_tableraw&amp;yy'!$AC$3:$AC$38,'2016 Table 11 CWTs exp'!$A49)</f>
        <v>0</v>
      </c>
      <c r="W49" s="46">
        <f>SUMIFS('[9]inland_taf_hatchgrp_tableraw&amp;yy'!W$3:W$38,'[9]inland_taf_hatchgrp_tableraw&amp;yy'!$AC$3:$AC$38,'2016 Table 11 CWTs exp'!$A49)</f>
        <v>0</v>
      </c>
      <c r="X49" s="44">
        <f>SUMIFS('[9]inland_taf_hatchgrp_tableraw&amp;yy'!X$3:X$38,'[9]inland_taf_hatchgrp_tableraw&amp;yy'!$AC$3:$AC$38,'2016 Table 11 CWTs exp'!$A49)</f>
        <v>0</v>
      </c>
      <c r="Y49" s="84">
        <f>SUMIFS('[9]inland_taf_hatchgrp_tableraw&amp;yy'!Y$3:Y$38,'[9]inland_taf_hatchgrp_tableraw&amp;yy'!$AC$3:$AC$38,'2016 Table 11 CWTs exp'!$A49)</f>
        <v>5319</v>
      </c>
      <c r="Z49" s="85">
        <f>SUMIFS('[9]inland_taf_hatchgrp_tableraw&amp;yy'!Z$3:Z$38,'[9]inland_taf_hatchgrp_tableraw&amp;yy'!$AC$3:$AC$38,'2016 Table 11 CWTs exp'!$A49)</f>
        <v>1049</v>
      </c>
      <c r="AA49" s="44">
        <f>SUMIFS('[9]inland_taf_hatchgrp_tableraw&amp;yy'!AA$3:AA$38,'[9]inland_taf_hatchgrp_tableraw&amp;yy'!$AC$3:$AC$38,'2016 Table 11 CWTs exp'!$A49)</f>
        <v>6368</v>
      </c>
      <c r="AB49" s="636"/>
      <c r="AC49" s="636"/>
      <c r="AD49" s="566">
        <f>SUMIFS('[9]inland_taf_hatchgrp_tableraw&amp;yy'!AB$3:AB$38,'[9]inland_taf_hatchgrp_tableraw&amp;yy'!$AC$3:$AC$38,'2016 Table 11 CWTs exp'!$A49)</f>
        <v>0.83499999999999996</v>
      </c>
      <c r="AE49" s="604" t="str">
        <f t="shared" si="25"/>
        <v>FEA463</v>
      </c>
      <c r="AF49" s="442"/>
      <c r="AG49" s="597"/>
      <c r="AH49" s="597"/>
      <c r="AI49" s="597"/>
      <c r="AJ49" s="599"/>
      <c r="AK49" s="451"/>
      <c r="AL49" s="451"/>
    </row>
    <row r="50" spans="1:52" ht="14.5" customHeight="1" x14ac:dyDescent="0.25">
      <c r="A50" s="50" t="str">
        <f t="shared" si="24"/>
        <v>AMN463</v>
      </c>
      <c r="B50" s="13" t="s">
        <v>118</v>
      </c>
      <c r="C50" s="13">
        <v>46</v>
      </c>
      <c r="D50" s="13">
        <v>3</v>
      </c>
      <c r="E50" s="27" t="s">
        <v>119</v>
      </c>
      <c r="F50" s="28" t="str">
        <f>LOOKUP(D50,$AL$7:$AL$10,$AM$7:$AM$10)</f>
        <v>Fall</v>
      </c>
      <c r="G50" s="235">
        <f>SUMIFS('[9]inland_taf_hatchgrp_tableraw&amp;yy'!G$3:G$38,'[9]inland_taf_hatchgrp_tableraw&amp;yy'!$AC$3:$AC$38,'2016 Table 11 CWTs exp'!$A50)</f>
        <v>0</v>
      </c>
      <c r="H50" s="45">
        <f>SUMIFS('[9]inland_taf_hatchgrp_tableraw&amp;yy'!H$3:H$38,'[9]inland_taf_hatchgrp_tableraw&amp;yy'!$AC$3:$AC$38,'2016 Table 11 CWTs exp'!$A50)</f>
        <v>0</v>
      </c>
      <c r="I50" s="44">
        <f>SUMIFS('[9]inland_taf_hatchgrp_tableraw&amp;yy'!I$3:I$38,'[9]inland_taf_hatchgrp_tableraw&amp;yy'!$AC$3:$AC$38,'2016 Table 11 CWTs exp'!$A50)</f>
        <v>0</v>
      </c>
      <c r="J50" s="46">
        <f>SUMIFS('[9]inland_taf_hatchgrp_tableraw&amp;yy'!J$3:J$38,'[9]inland_taf_hatchgrp_tableraw&amp;yy'!$AC$3:$AC$38,'2016 Table 11 CWTs exp'!$A50)</f>
        <v>8900</v>
      </c>
      <c r="K50" s="44">
        <f>SUMIFS('[9]inland_taf_hatchgrp_tableraw&amp;yy'!K$3:K$38,'[9]inland_taf_hatchgrp_tableraw&amp;yy'!$AC$3:$AC$38,'2016 Table 11 CWTs exp'!$A50)</f>
        <v>0</v>
      </c>
      <c r="L50" s="44">
        <f>SUMIFS('[9]inland_taf_hatchgrp_tableraw&amp;yy'!L$3:L$38,'[9]inland_taf_hatchgrp_tableraw&amp;yy'!$AC$3:$AC$38,'2016 Table 11 CWTs exp'!$A50)</f>
        <v>64</v>
      </c>
      <c r="M50" s="44">
        <f>SUMIFS('[9]inland_taf_hatchgrp_tableraw&amp;yy'!M$3:M$38,'[9]inland_taf_hatchgrp_tableraw&amp;yy'!$AC$3:$AC$38,'2016 Table 11 CWTs exp'!$A50)</f>
        <v>0</v>
      </c>
      <c r="N50" s="44">
        <f>SUMIFS('[9]inland_taf_hatchgrp_tableraw&amp;yy'!N$3:N$38,'[9]inland_taf_hatchgrp_tableraw&amp;yy'!$AC$3:$AC$38,'2016 Table 11 CWTs exp'!$A50)</f>
        <v>128</v>
      </c>
      <c r="O50" s="44">
        <f>SUMIFS('[9]inland_taf_hatchgrp_tableraw&amp;yy'!O$3:O$38,'[9]inland_taf_hatchgrp_tableraw&amp;yy'!$AC$3:$AC$38,'2016 Table 11 CWTs exp'!$A50)</f>
        <v>1664</v>
      </c>
      <c r="P50" s="44">
        <f>SUMIFS('[9]inland_taf_hatchgrp_tableraw&amp;yy'!P$3:P$38,'[9]inland_taf_hatchgrp_tableraw&amp;yy'!$AC$3:$AC$38,'2016 Table 11 CWTs exp'!$A50)</f>
        <v>257</v>
      </c>
      <c r="Q50" s="45">
        <f>SUMIFS('[9]inland_taf_hatchgrp_tableraw&amp;yy'!Q$3:Q$38,'[9]inland_taf_hatchgrp_tableraw&amp;yy'!$AC$3:$AC$38,'2016 Table 11 CWTs exp'!$A50)</f>
        <v>127</v>
      </c>
      <c r="R50" s="46">
        <f>SUMIFS('[9]inland_taf_hatchgrp_tableraw&amp;yy'!R$3:R$38,'[9]inland_taf_hatchgrp_tableraw&amp;yy'!$AC$3:$AC$38,'2016 Table 11 CWTs exp'!$A50)</f>
        <v>3676</v>
      </c>
      <c r="S50" s="44">
        <f>SUMIFS('[9]inland_taf_hatchgrp_tableraw&amp;yy'!S$3:S$38,'[9]inland_taf_hatchgrp_tableraw&amp;yy'!$AC$3:$AC$38,'2016 Table 11 CWTs exp'!$A50)</f>
        <v>0</v>
      </c>
      <c r="T50" s="44">
        <f>SUMIFS('[9]inland_taf_hatchgrp_tableraw&amp;yy'!T$3:T$38,'[9]inland_taf_hatchgrp_tableraw&amp;yy'!$AC$3:$AC$38,'2016 Table 11 CWTs exp'!$A50)</f>
        <v>32</v>
      </c>
      <c r="U50" s="44">
        <f>SUMIFS('[9]inland_taf_hatchgrp_tableraw&amp;yy'!U$3:U$38,'[9]inland_taf_hatchgrp_tableraw&amp;yy'!$AC$3:$AC$38,'2016 Table 11 CWTs exp'!$A50)</f>
        <v>636</v>
      </c>
      <c r="V50" s="46">
        <f>SUMIFS('[9]inland_taf_hatchgrp_tableraw&amp;yy'!V$3:V$38,'[9]inland_taf_hatchgrp_tableraw&amp;yy'!$AC$3:$AC$38,'2016 Table 11 CWTs exp'!$A50)</f>
        <v>0</v>
      </c>
      <c r="W50" s="46">
        <f>SUMIFS('[9]inland_taf_hatchgrp_tableraw&amp;yy'!W$3:W$38,'[9]inland_taf_hatchgrp_tableraw&amp;yy'!$AC$3:$AC$38,'2016 Table 11 CWTs exp'!$A50)</f>
        <v>140</v>
      </c>
      <c r="X50" s="44">
        <f>SUMIFS('[9]inland_taf_hatchgrp_tableraw&amp;yy'!X$3:X$38,'[9]inland_taf_hatchgrp_tableraw&amp;yy'!$AC$3:$AC$38,'2016 Table 11 CWTs exp'!$A50)</f>
        <v>0</v>
      </c>
      <c r="Y50" s="84">
        <f>SUMIFS('[9]inland_taf_hatchgrp_tableraw&amp;yy'!Y$3:Y$38,'[9]inland_taf_hatchgrp_tableraw&amp;yy'!$AC$3:$AC$38,'2016 Table 11 CWTs exp'!$A50)</f>
        <v>15623</v>
      </c>
      <c r="Z50" s="85">
        <f>SUMIFS('[9]inland_taf_hatchgrp_tableraw&amp;yy'!Z$3:Z$38,'[9]inland_taf_hatchgrp_tableraw&amp;yy'!$AC$3:$AC$38,'2016 Table 11 CWTs exp'!$A50)</f>
        <v>2236</v>
      </c>
      <c r="AA50" s="44">
        <f>SUMIFS('[9]inland_taf_hatchgrp_tableraw&amp;yy'!AA$3:AA$38,'[9]inland_taf_hatchgrp_tableraw&amp;yy'!$AC$3:$AC$38,'2016 Table 11 CWTs exp'!$A50)</f>
        <v>17859</v>
      </c>
      <c r="AB50" s="636"/>
      <c r="AC50" s="636"/>
      <c r="AD50" s="566">
        <f>SUMIFS('[9]inland_taf_hatchgrp_tableraw&amp;yy'!AB$3:AB$38,'[9]inland_taf_hatchgrp_tableraw&amp;yy'!$AC$3:$AC$38,'2016 Table 11 CWTs exp'!$A50)</f>
        <v>0.875</v>
      </c>
      <c r="AE50" s="604" t="str">
        <f t="shared" si="25"/>
        <v>AMN463</v>
      </c>
      <c r="AF50" s="442"/>
      <c r="AG50" s="597"/>
      <c r="AH50" s="597"/>
      <c r="AI50" s="442"/>
      <c r="AJ50" s="451"/>
      <c r="AK50" s="451"/>
      <c r="AL50" s="451"/>
    </row>
    <row r="51" spans="1:52" ht="14.5" customHeight="1" x14ac:dyDescent="0.25">
      <c r="A51" s="50" t="str">
        <f t="shared" si="24"/>
        <v>MOK463</v>
      </c>
      <c r="B51" s="13" t="s">
        <v>4</v>
      </c>
      <c r="C51" s="13">
        <v>46</v>
      </c>
      <c r="D51" s="13">
        <v>3</v>
      </c>
      <c r="E51" s="27" t="s">
        <v>91</v>
      </c>
      <c r="F51" s="28" t="str">
        <f>LOOKUP(D51,$AL$7:$AL$10,$AM$7:$AM$10)</f>
        <v>Fall</v>
      </c>
      <c r="G51" s="235">
        <f>SUMIFS('[9]inland_taf_hatchgrp_tableraw&amp;yy'!G$3:G$38,'[9]inland_taf_hatchgrp_tableraw&amp;yy'!$AC$3:$AC$38,'2016 Table 11 CWTs exp'!$A51)</f>
        <v>0</v>
      </c>
      <c r="H51" s="45">
        <f>SUMIFS('[9]inland_taf_hatchgrp_tableraw&amp;yy'!H$3:H$38,'[9]inland_taf_hatchgrp_tableraw&amp;yy'!$AC$3:$AC$38,'2016 Table 11 CWTs exp'!$A51)</f>
        <v>0</v>
      </c>
      <c r="I51" s="44">
        <f>SUMIFS('[9]inland_taf_hatchgrp_tableraw&amp;yy'!I$3:I$38,'[9]inland_taf_hatchgrp_tableraw&amp;yy'!$AC$3:$AC$38,'2016 Table 11 CWTs exp'!$A51)</f>
        <v>0</v>
      </c>
      <c r="J51" s="46">
        <f>SUMIFS('[9]inland_taf_hatchgrp_tableraw&amp;yy'!J$3:J$38,'[9]inland_taf_hatchgrp_tableraw&amp;yy'!$AC$3:$AC$38,'2016 Table 11 CWTs exp'!$A51)</f>
        <v>212</v>
      </c>
      <c r="K51" s="44">
        <f>SUMIFS('[9]inland_taf_hatchgrp_tableraw&amp;yy'!K$3:K$38,'[9]inland_taf_hatchgrp_tableraw&amp;yy'!$AC$3:$AC$38,'2016 Table 11 CWTs exp'!$A51)</f>
        <v>0</v>
      </c>
      <c r="L51" s="44">
        <f>SUMIFS('[9]inland_taf_hatchgrp_tableraw&amp;yy'!L$3:L$38,'[9]inland_taf_hatchgrp_tableraw&amp;yy'!$AC$3:$AC$38,'2016 Table 11 CWTs exp'!$A51)</f>
        <v>0</v>
      </c>
      <c r="M51" s="44">
        <f>SUMIFS('[9]inland_taf_hatchgrp_tableraw&amp;yy'!M$3:M$38,'[9]inland_taf_hatchgrp_tableraw&amp;yy'!$AC$3:$AC$38,'2016 Table 11 CWTs exp'!$A51)</f>
        <v>0</v>
      </c>
      <c r="N51" s="44">
        <f>SUMIFS('[9]inland_taf_hatchgrp_tableraw&amp;yy'!N$3:N$38,'[9]inland_taf_hatchgrp_tableraw&amp;yy'!$AC$3:$AC$38,'2016 Table 11 CWTs exp'!$A51)</f>
        <v>0</v>
      </c>
      <c r="O51" s="44">
        <f>SUMIFS('[9]inland_taf_hatchgrp_tableraw&amp;yy'!O$3:O$38,'[9]inland_taf_hatchgrp_tableraw&amp;yy'!$AC$3:$AC$38,'2016 Table 11 CWTs exp'!$A51)</f>
        <v>71</v>
      </c>
      <c r="P51" s="44">
        <f>SUMIFS('[9]inland_taf_hatchgrp_tableraw&amp;yy'!P$3:P$38,'[9]inland_taf_hatchgrp_tableraw&amp;yy'!$AC$3:$AC$38,'2016 Table 11 CWTs exp'!$A51)</f>
        <v>18</v>
      </c>
      <c r="Q51" s="45">
        <f>SUMIFS('[9]inland_taf_hatchgrp_tableraw&amp;yy'!Q$3:Q$38,'[9]inland_taf_hatchgrp_tableraw&amp;yy'!$AC$3:$AC$38,'2016 Table 11 CWTs exp'!$A51)</f>
        <v>0</v>
      </c>
      <c r="R51" s="46">
        <f>SUMIFS('[9]inland_taf_hatchgrp_tableraw&amp;yy'!R$3:R$38,'[9]inland_taf_hatchgrp_tableraw&amp;yy'!$AC$3:$AC$38,'2016 Table 11 CWTs exp'!$A51)</f>
        <v>281</v>
      </c>
      <c r="S51" s="44">
        <f>SUMIFS('[9]inland_taf_hatchgrp_tableraw&amp;yy'!S$3:S$38,'[9]inland_taf_hatchgrp_tableraw&amp;yy'!$AC$3:$AC$38,'2016 Table 11 CWTs exp'!$A51)</f>
        <v>0</v>
      </c>
      <c r="T51" s="44">
        <f>SUMIFS('[9]inland_taf_hatchgrp_tableraw&amp;yy'!T$3:T$38,'[9]inland_taf_hatchgrp_tableraw&amp;yy'!$AC$3:$AC$38,'2016 Table 11 CWTs exp'!$A51)</f>
        <v>0</v>
      </c>
      <c r="U51" s="44">
        <f>SUMIFS('[9]inland_taf_hatchgrp_tableraw&amp;yy'!U$3:U$38,'[9]inland_taf_hatchgrp_tableraw&amp;yy'!$AC$3:$AC$38,'2016 Table 11 CWTs exp'!$A51)</f>
        <v>423</v>
      </c>
      <c r="V51" s="46">
        <f>SUMIFS('[9]inland_taf_hatchgrp_tableraw&amp;yy'!V$3:V$38,'[9]inland_taf_hatchgrp_tableraw&amp;yy'!$AC$3:$AC$38,'2016 Table 11 CWTs exp'!$A51)</f>
        <v>0</v>
      </c>
      <c r="W51" s="46">
        <f>SUMIFS('[9]inland_taf_hatchgrp_tableraw&amp;yy'!W$3:W$38,'[9]inland_taf_hatchgrp_tableraw&amp;yy'!$AC$3:$AC$38,'2016 Table 11 CWTs exp'!$A51)</f>
        <v>0</v>
      </c>
      <c r="X51" s="44">
        <f>SUMIFS('[9]inland_taf_hatchgrp_tableraw&amp;yy'!X$3:X$38,'[9]inland_taf_hatchgrp_tableraw&amp;yy'!$AC$3:$AC$38,'2016 Table 11 CWTs exp'!$A51)</f>
        <v>0</v>
      </c>
      <c r="Y51" s="84">
        <f>SUMIFS('[9]inland_taf_hatchgrp_tableraw&amp;yy'!Y$3:Y$38,'[9]inland_taf_hatchgrp_tableraw&amp;yy'!$AC$3:$AC$38,'2016 Table 11 CWTs exp'!$A51)</f>
        <v>1006</v>
      </c>
      <c r="Z51" s="85">
        <f>AA51-Y51+0.0001</f>
        <v>1E-4</v>
      </c>
      <c r="AA51" s="44">
        <f>SUMIFS('[9]inland_taf_hatchgrp_tableraw&amp;yy'!AA$3:AA$38,'[9]inland_taf_hatchgrp_tableraw&amp;yy'!$AC$3:$AC$38,'2016 Table 11 CWTs exp'!$A51)</f>
        <v>1006</v>
      </c>
      <c r="AB51" s="636"/>
      <c r="AC51" s="636"/>
      <c r="AD51" s="566">
        <f>SUMIFS('[9]inland_taf_hatchgrp_tableraw&amp;yy'!AB$3:AB$38,'[9]inland_taf_hatchgrp_tableraw&amp;yy'!$AC$3:$AC$38,'2016 Table 11 CWTs exp'!$A51)</f>
        <v>1</v>
      </c>
      <c r="AE51" s="604" t="str">
        <f t="shared" si="25"/>
        <v>MOK463</v>
      </c>
      <c r="AF51" s="442"/>
      <c r="AG51" s="597"/>
      <c r="AH51" s="597"/>
      <c r="AI51" s="442"/>
      <c r="AJ51" s="451"/>
      <c r="AK51" s="451"/>
      <c r="AL51" s="451"/>
    </row>
    <row r="52" spans="1:52" ht="14.5" customHeight="1" x14ac:dyDescent="0.25">
      <c r="A52" s="50" t="str">
        <f t="shared" si="24"/>
        <v>SAK467</v>
      </c>
      <c r="B52" s="13" t="s">
        <v>210</v>
      </c>
      <c r="C52" s="13">
        <v>46</v>
      </c>
      <c r="D52" s="13">
        <v>7</v>
      </c>
      <c r="E52" s="27" t="s">
        <v>114</v>
      </c>
      <c r="F52" s="37" t="s">
        <v>57</v>
      </c>
      <c r="G52" s="235">
        <f>SUMIFS('[9]inland_taf_hatchgrp_tableraw&amp;yy'!G$3:G$38,'[9]inland_taf_hatchgrp_tableraw&amp;yy'!$AC$3:$AC$38,'2016 Table 11 CWTs exp'!$A52)</f>
        <v>0</v>
      </c>
      <c r="H52" s="45">
        <f>SUMIFS('[9]inland_taf_hatchgrp_tableraw&amp;yy'!H$3:H$38,'[9]inland_taf_hatchgrp_tableraw&amp;yy'!$AC$3:$AC$38,'2016 Table 11 CWTs exp'!$A52)</f>
        <v>73</v>
      </c>
      <c r="I52" s="44">
        <f>SUMIFS('[9]inland_taf_hatchgrp_tableraw&amp;yy'!I$3:I$38,'[9]inland_taf_hatchgrp_tableraw&amp;yy'!$AC$3:$AC$38,'2016 Table 11 CWTs exp'!$A52)</f>
        <v>0</v>
      </c>
      <c r="J52" s="46">
        <f>SUMIFS('[9]inland_taf_hatchgrp_tableraw&amp;yy'!J$3:J$38,'[9]inland_taf_hatchgrp_tableraw&amp;yy'!$AC$3:$AC$38,'2016 Table 11 CWTs exp'!$A52)</f>
        <v>0</v>
      </c>
      <c r="K52" s="44">
        <f>SUMIFS('[9]inland_taf_hatchgrp_tableraw&amp;yy'!K$3:K$38,'[9]inland_taf_hatchgrp_tableraw&amp;yy'!$AC$3:$AC$38,'2016 Table 11 CWTs exp'!$A52)</f>
        <v>0</v>
      </c>
      <c r="L52" s="44">
        <f>SUMIFS('[9]inland_taf_hatchgrp_tableraw&amp;yy'!L$3:L$38,'[9]inland_taf_hatchgrp_tableraw&amp;yy'!$AC$3:$AC$38,'2016 Table 11 CWTs exp'!$A52)</f>
        <v>0</v>
      </c>
      <c r="M52" s="44">
        <f>SUMIFS('[9]inland_taf_hatchgrp_tableraw&amp;yy'!M$3:M$38,'[9]inland_taf_hatchgrp_tableraw&amp;yy'!$AC$3:$AC$38,'2016 Table 11 CWTs exp'!$A52)</f>
        <v>0</v>
      </c>
      <c r="N52" s="44">
        <f>SUMIFS('[9]inland_taf_hatchgrp_tableraw&amp;yy'!N$3:N$38,'[9]inland_taf_hatchgrp_tableraw&amp;yy'!$AC$3:$AC$38,'2016 Table 11 CWTs exp'!$A52)</f>
        <v>0</v>
      </c>
      <c r="O52" s="44">
        <f>SUMIFS('[9]inland_taf_hatchgrp_tableraw&amp;yy'!O$3:O$38,'[9]inland_taf_hatchgrp_tableraw&amp;yy'!$AC$3:$AC$38,'2016 Table 11 CWTs exp'!$A52)</f>
        <v>0</v>
      </c>
      <c r="P52" s="44">
        <f>SUMIFS('[9]inland_taf_hatchgrp_tableraw&amp;yy'!P$3:P$38,'[9]inland_taf_hatchgrp_tableraw&amp;yy'!$AC$3:$AC$38,'2016 Table 11 CWTs exp'!$A52)</f>
        <v>0</v>
      </c>
      <c r="Q52" s="45">
        <f>SUMIFS('[9]inland_taf_hatchgrp_tableraw&amp;yy'!Q$3:Q$38,'[9]inland_taf_hatchgrp_tableraw&amp;yy'!$AC$3:$AC$38,'2016 Table 11 CWTs exp'!$A52)</f>
        <v>0</v>
      </c>
      <c r="R52" s="46">
        <f>SUMIFS('[9]inland_taf_hatchgrp_tableraw&amp;yy'!R$3:R$38,'[9]inland_taf_hatchgrp_tableraw&amp;yy'!$AC$3:$AC$38,'2016 Table 11 CWTs exp'!$A52)</f>
        <v>0</v>
      </c>
      <c r="S52" s="44">
        <f>SUMIFS('[9]inland_taf_hatchgrp_tableraw&amp;yy'!S$3:S$38,'[9]inland_taf_hatchgrp_tableraw&amp;yy'!$AC$3:$AC$38,'2016 Table 11 CWTs exp'!$A52)</f>
        <v>0</v>
      </c>
      <c r="T52" s="44">
        <f>SUMIFS('[9]inland_taf_hatchgrp_tableraw&amp;yy'!T$3:T$38,'[9]inland_taf_hatchgrp_tableraw&amp;yy'!$AC$3:$AC$38,'2016 Table 11 CWTs exp'!$A52)</f>
        <v>0</v>
      </c>
      <c r="U52" s="44">
        <f>SUMIFS('[9]inland_taf_hatchgrp_tableraw&amp;yy'!U$3:U$38,'[9]inland_taf_hatchgrp_tableraw&amp;yy'!$AC$3:$AC$38,'2016 Table 11 CWTs exp'!$A52)</f>
        <v>0</v>
      </c>
      <c r="V52" s="46">
        <f>SUMIFS('[9]inland_taf_hatchgrp_tableraw&amp;yy'!V$3:V$38,'[9]inland_taf_hatchgrp_tableraw&amp;yy'!$AC$3:$AC$38,'2016 Table 11 CWTs exp'!$A52)</f>
        <v>0</v>
      </c>
      <c r="W52" s="46">
        <f>SUMIFS('[9]inland_taf_hatchgrp_tableraw&amp;yy'!W$3:W$38,'[9]inland_taf_hatchgrp_tableraw&amp;yy'!$AC$3:$AC$38,'2016 Table 11 CWTs exp'!$A52)</f>
        <v>0</v>
      </c>
      <c r="X52" s="44">
        <f>SUMIFS('[9]inland_taf_hatchgrp_tableraw&amp;yy'!X$3:X$38,'[9]inland_taf_hatchgrp_tableraw&amp;yy'!$AC$3:$AC$38,'2016 Table 11 CWTs exp'!$A52)</f>
        <v>0</v>
      </c>
      <c r="Y52" s="84">
        <f>SUMIFS('[9]inland_taf_hatchgrp_tableraw&amp;yy'!Y$3:Y$38,'[9]inland_taf_hatchgrp_tableraw&amp;yy'!$AC$3:$AC$38,'2016 Table 11 CWTs exp'!$A52)</f>
        <v>73</v>
      </c>
      <c r="Z52" s="85">
        <f>SUMIFS('[9]inland_taf_hatchgrp_tableraw&amp;yy'!Z$3:Z$38,'[9]inland_taf_hatchgrp_tableraw&amp;yy'!$AC$3:$AC$38,'2016 Table 11 CWTs exp'!$A52)</f>
        <v>57</v>
      </c>
      <c r="AA52" s="44">
        <f>SUMIFS('[9]inland_taf_hatchgrp_tableraw&amp;yy'!AA$3:AA$38,'[9]inland_taf_hatchgrp_tableraw&amp;yy'!$AC$3:$AC$38,'2016 Table 11 CWTs exp'!$A52)</f>
        <v>130</v>
      </c>
      <c r="AB52" s="636"/>
      <c r="AC52" s="636"/>
      <c r="AD52" s="566">
        <f>SUMIFS('[9]inland_taf_hatchgrp_tableraw&amp;yy'!AB$3:AB$38,'[9]inland_taf_hatchgrp_tableraw&amp;yy'!$AC$3:$AC$38,'2016 Table 11 CWTs exp'!$A52)</f>
        <v>0.56200000000000006</v>
      </c>
      <c r="AE52" s="604" t="str">
        <f t="shared" si="25"/>
        <v>SAK467</v>
      </c>
      <c r="AF52" s="444">
        <f>SUM(Y47:Y52)</f>
        <v>30430</v>
      </c>
      <c r="AG52" s="606">
        <f>SUM(Z47:Z52)</f>
        <v>6226.0001000000002</v>
      </c>
      <c r="AH52" s="606">
        <f>SUM(AA47:AA52)</f>
        <v>36656</v>
      </c>
      <c r="AI52" s="442"/>
      <c r="AJ52" s="451"/>
      <c r="AK52" s="451"/>
      <c r="AL52" s="451"/>
    </row>
    <row r="53" spans="1:52" ht="14.15" customHeight="1" x14ac:dyDescent="0.25">
      <c r="A53" s="50"/>
      <c r="B53" s="13"/>
      <c r="C53" s="13"/>
      <c r="D53" s="13"/>
      <c r="E53" s="3"/>
      <c r="F53" s="192" t="s">
        <v>120</v>
      </c>
      <c r="G53" s="236">
        <f>IF(SUM(G47:G52)&gt;0,SUM(G47:G52),0.001)</f>
        <v>1E-3</v>
      </c>
      <c r="H53" s="237">
        <f>IF(SUM(H47:H52)&gt;0,SUM(H47:H52),0.001)</f>
        <v>73</v>
      </c>
      <c r="I53" s="64">
        <f t="shared" ref="I53:Z53" si="26">IF(SUM(I47:I52)&gt;0,SUM(I47:I52),0.001)</f>
        <v>1931</v>
      </c>
      <c r="J53" s="238">
        <f t="shared" si="26"/>
        <v>13002</v>
      </c>
      <c r="K53" s="64">
        <f t="shared" si="26"/>
        <v>16</v>
      </c>
      <c r="L53" s="64">
        <f t="shared" si="26"/>
        <v>114</v>
      </c>
      <c r="M53" s="64">
        <f t="shared" si="26"/>
        <v>1E-3</v>
      </c>
      <c r="N53" s="64">
        <f t="shared" si="26"/>
        <v>224</v>
      </c>
      <c r="O53" s="64">
        <f t="shared" si="26"/>
        <v>6343</v>
      </c>
      <c r="P53" s="64">
        <f t="shared" si="26"/>
        <v>1037</v>
      </c>
      <c r="Q53" s="237">
        <f t="shared" si="26"/>
        <v>127</v>
      </c>
      <c r="R53" s="238">
        <f t="shared" si="26"/>
        <v>5779</v>
      </c>
      <c r="S53" s="64">
        <f t="shared" si="26"/>
        <v>1E-3</v>
      </c>
      <c r="T53" s="64">
        <f t="shared" si="26"/>
        <v>65</v>
      </c>
      <c r="U53" s="64">
        <f t="shared" si="26"/>
        <v>1450</v>
      </c>
      <c r="V53" s="238">
        <f t="shared" si="26"/>
        <v>131</v>
      </c>
      <c r="W53" s="238">
        <f t="shared" si="26"/>
        <v>140</v>
      </c>
      <c r="X53" s="64">
        <f t="shared" si="26"/>
        <v>1E-3</v>
      </c>
      <c r="Y53" s="239">
        <f t="shared" si="26"/>
        <v>30430</v>
      </c>
      <c r="Z53" s="240">
        <f t="shared" si="26"/>
        <v>6226.0001000000002</v>
      </c>
      <c r="AA53" s="64">
        <f t="shared" ref="AA53" si="27">SUM(AA47:AA52)</f>
        <v>36656</v>
      </c>
      <c r="AB53" s="636"/>
      <c r="AC53" s="636"/>
      <c r="AD53" s="566">
        <f>Y53/AA53</f>
        <v>0.83015058926233087</v>
      </c>
      <c r="AE53" s="604">
        <f t="shared" si="25"/>
        <v>0</v>
      </c>
      <c r="AF53" s="444"/>
      <c r="AG53" s="606"/>
      <c r="AH53" s="606"/>
      <c r="AI53" s="442"/>
      <c r="AJ53" s="451"/>
      <c r="AK53" s="451"/>
      <c r="AL53" s="451"/>
    </row>
    <row r="54" spans="1:52" ht="2.9" customHeight="1" x14ac:dyDescent="0.3">
      <c r="A54" s="50"/>
      <c r="B54" s="11"/>
      <c r="C54" s="11"/>
      <c r="D54" s="11"/>
      <c r="E54" s="110"/>
      <c r="F54" s="110"/>
      <c r="G54" s="241"/>
      <c r="H54" s="112"/>
      <c r="I54" s="111"/>
      <c r="J54" s="113"/>
      <c r="K54" s="111"/>
      <c r="L54" s="111"/>
      <c r="M54" s="111"/>
      <c r="N54" s="111"/>
      <c r="O54" s="111"/>
      <c r="P54" s="111"/>
      <c r="Q54" s="112"/>
      <c r="R54" s="113"/>
      <c r="S54" s="111"/>
      <c r="T54" s="111"/>
      <c r="U54" s="111"/>
      <c r="V54" s="113"/>
      <c r="W54" s="113"/>
      <c r="X54" s="111"/>
      <c r="Y54" s="114"/>
      <c r="Z54" s="115"/>
      <c r="AA54" s="111"/>
      <c r="AB54" s="451"/>
      <c r="AC54" s="451"/>
      <c r="AD54" s="451"/>
      <c r="AE54" s="451"/>
      <c r="AF54" s="442"/>
      <c r="AG54" s="597"/>
      <c r="AH54" s="597"/>
      <c r="AI54" s="442"/>
      <c r="AJ54" s="451"/>
      <c r="AK54" s="451"/>
      <c r="AL54" s="451"/>
    </row>
    <row r="55" spans="1:52" s="47" customFormat="1" ht="14.25" customHeight="1" x14ac:dyDescent="0.25">
      <c r="A55" s="36"/>
      <c r="B55" s="48"/>
      <c r="C55" s="48"/>
      <c r="D55" s="48"/>
      <c r="E55" s="186" t="s">
        <v>201</v>
      </c>
      <c r="F55" s="202"/>
      <c r="G55" s="220"/>
      <c r="H55" s="202"/>
      <c r="I55" s="202"/>
      <c r="J55" s="202"/>
      <c r="K55" s="202"/>
      <c r="L55" s="202"/>
      <c r="M55" s="202"/>
      <c r="N55" s="202"/>
      <c r="O55" s="202"/>
      <c r="P55" s="202"/>
      <c r="Q55" s="202"/>
      <c r="R55" s="202"/>
      <c r="S55" s="202"/>
      <c r="T55" s="202"/>
      <c r="U55" s="202"/>
      <c r="V55" s="202"/>
      <c r="W55" s="202"/>
      <c r="X55" s="202"/>
      <c r="Y55" s="202"/>
      <c r="Z55" s="202"/>
      <c r="AA55" s="202"/>
      <c r="AB55" s="595"/>
      <c r="AC55" s="595"/>
      <c r="AD55" s="615"/>
      <c r="AE55" s="615"/>
      <c r="AF55" s="594"/>
      <c r="AG55" s="616"/>
      <c r="AH55" s="616"/>
      <c r="AI55" s="594"/>
      <c r="AJ55" s="601"/>
      <c r="AK55" s="601"/>
      <c r="AL55" s="601"/>
    </row>
    <row r="56" spans="1:52" s="47" customFormat="1" ht="14.25" customHeight="1" x14ac:dyDescent="0.25">
      <c r="A56" s="116"/>
      <c r="B56" s="117"/>
      <c r="C56" s="48"/>
      <c r="D56" s="48"/>
      <c r="E56" s="726" t="s">
        <v>202</v>
      </c>
      <c r="F56" s="726"/>
      <c r="G56" s="726"/>
      <c r="H56" s="726"/>
      <c r="I56" s="726"/>
      <c r="J56" s="726"/>
      <c r="K56" s="726"/>
      <c r="L56" s="726"/>
      <c r="M56" s="726"/>
      <c r="N56" s="726"/>
      <c r="O56" s="726"/>
      <c r="P56" s="726"/>
      <c r="Q56" s="27"/>
      <c r="R56" s="27"/>
      <c r="S56" s="27"/>
      <c r="T56" s="27"/>
      <c r="U56" s="27"/>
      <c r="V56" s="27"/>
      <c r="W56" s="27"/>
      <c r="X56" s="27"/>
      <c r="Y56" s="118"/>
      <c r="Z56" s="27"/>
      <c r="AA56" s="27"/>
      <c r="AB56" s="594"/>
      <c r="AC56" s="594"/>
      <c r="AD56" s="615">
        <f>SUM(Y47:Y51)</f>
        <v>30357</v>
      </c>
      <c r="AE56" s="615">
        <f>SUM(AA47:AA51)</f>
        <v>36526</v>
      </c>
      <c r="AF56" s="617">
        <f>AF52+AF39+AF15</f>
        <v>138634</v>
      </c>
      <c r="AG56" s="618">
        <f>AG52+AG39+AG15</f>
        <v>6227.0001000000002</v>
      </c>
      <c r="AH56" s="618">
        <f>AH52+AH39+AH15</f>
        <v>177680</v>
      </c>
      <c r="AI56" s="594" t="s">
        <v>212</v>
      </c>
      <c r="AJ56" s="601"/>
      <c r="AK56" s="601"/>
      <c r="AL56" s="601"/>
    </row>
    <row r="57" spans="1:52" s="47" customFormat="1" ht="14.25" customHeight="1" x14ac:dyDescent="0.25">
      <c r="A57" s="116"/>
      <c r="B57" s="48"/>
      <c r="C57" s="48"/>
      <c r="D57" s="48"/>
      <c r="E57" s="27" t="s">
        <v>203</v>
      </c>
      <c r="F57" s="27"/>
      <c r="G57" s="27"/>
      <c r="H57" s="27"/>
      <c r="I57" s="27"/>
      <c r="J57" s="27"/>
      <c r="K57" s="27"/>
      <c r="L57" s="27"/>
      <c r="M57" s="27"/>
      <c r="N57" s="27"/>
      <c r="O57" s="27"/>
      <c r="P57" s="27"/>
      <c r="Q57" s="27"/>
      <c r="R57" s="27"/>
      <c r="S57" s="27"/>
      <c r="T57" s="27"/>
      <c r="U57" s="27"/>
      <c r="V57" s="27"/>
      <c r="W57" s="27"/>
      <c r="X57" s="27"/>
      <c r="Y57" s="27"/>
      <c r="Z57" s="27"/>
      <c r="AA57" s="27"/>
      <c r="AB57" s="594"/>
      <c r="AC57" s="594"/>
      <c r="AD57" s="594"/>
      <c r="AE57" s="594"/>
      <c r="AF57" s="594"/>
      <c r="AG57" s="594"/>
      <c r="AH57" s="594"/>
      <c r="AI57" s="594"/>
      <c r="AJ57" s="601"/>
      <c r="AK57" s="601"/>
      <c r="AL57" s="601"/>
    </row>
    <row r="58" spans="1:52" s="47" customFormat="1" ht="14.25" customHeight="1" x14ac:dyDescent="0.25">
      <c r="A58" s="116"/>
      <c r="B58" s="48"/>
      <c r="C58" s="48"/>
      <c r="D58" s="48"/>
      <c r="E58" s="27" t="s">
        <v>204</v>
      </c>
      <c r="F58" s="34"/>
      <c r="G58" s="34"/>
      <c r="H58" s="27"/>
      <c r="I58" s="27"/>
      <c r="J58" s="27"/>
      <c r="K58" s="27"/>
      <c r="L58" s="27"/>
      <c r="M58" s="27"/>
      <c r="N58" s="27"/>
      <c r="O58" s="27"/>
      <c r="P58" s="27"/>
      <c r="Q58" s="27"/>
      <c r="R58" s="27"/>
      <c r="S58" s="27"/>
      <c r="T58" s="27"/>
      <c r="U58" s="27"/>
      <c r="V58" s="27"/>
      <c r="W58" s="27"/>
      <c r="X58" s="27"/>
      <c r="Y58" s="27"/>
      <c r="Z58" s="27"/>
      <c r="AA58" s="27"/>
      <c r="AB58" s="594"/>
      <c r="AC58" s="594"/>
      <c r="AD58" s="617"/>
      <c r="AE58" s="617"/>
      <c r="AF58" s="617"/>
      <c r="AG58" s="617"/>
      <c r="AH58" s="617"/>
      <c r="AI58" s="594"/>
      <c r="AJ58" s="601"/>
      <c r="AK58" s="601"/>
      <c r="AL58" s="601"/>
      <c r="AP58" s="594"/>
      <c r="AQ58" s="594"/>
      <c r="AR58" s="594"/>
      <c r="AS58" s="594"/>
      <c r="AT58" s="594"/>
      <c r="AU58" s="594"/>
    </row>
    <row r="59" spans="1:52" x14ac:dyDescent="0.25">
      <c r="A59" s="15"/>
      <c r="AB59" s="442"/>
      <c r="AC59" s="442"/>
      <c r="AD59" s="442"/>
      <c r="AE59" s="442"/>
      <c r="AF59" s="442"/>
      <c r="AG59" s="442"/>
      <c r="AH59" s="442"/>
      <c r="AI59" s="442"/>
      <c r="AJ59" s="451"/>
      <c r="AK59" s="451"/>
      <c r="AL59" s="451"/>
      <c r="AP59" s="442"/>
      <c r="AQ59" s="442"/>
      <c r="AR59" s="442"/>
      <c r="AS59" s="442"/>
      <c r="AT59" s="442"/>
      <c r="AU59" s="442"/>
    </row>
    <row r="60" spans="1:52" x14ac:dyDescent="0.25">
      <c r="A60" s="15"/>
      <c r="AB60" s="442"/>
      <c r="AC60" s="442"/>
      <c r="AD60" s="442"/>
      <c r="AE60" s="442"/>
      <c r="AF60" s="442"/>
      <c r="AG60" s="442" t="s">
        <v>126</v>
      </c>
      <c r="AH60" s="442" t="s">
        <v>213</v>
      </c>
      <c r="AI60" s="442"/>
      <c r="AJ60" s="451"/>
      <c r="AK60" s="451"/>
      <c r="AL60" s="451"/>
      <c r="AP60" s="442" t="s">
        <v>126</v>
      </c>
      <c r="AQ60" s="442"/>
      <c r="AR60" s="442"/>
      <c r="AS60" s="442" t="s">
        <v>127</v>
      </c>
      <c r="AT60" s="442"/>
      <c r="AU60" s="442"/>
    </row>
    <row r="61" spans="1:52" x14ac:dyDescent="0.25">
      <c r="A61" s="15"/>
      <c r="Y61" s="14"/>
      <c r="AA61" s="14"/>
      <c r="AB61" s="442"/>
      <c r="AC61" s="442"/>
      <c r="AD61" s="445"/>
      <c r="AE61" s="445"/>
      <c r="AF61" s="445"/>
      <c r="AG61" s="442"/>
      <c r="AH61" s="442"/>
      <c r="AI61" s="442"/>
      <c r="AJ61" s="451"/>
      <c r="AK61" s="451"/>
      <c r="AL61" s="451"/>
      <c r="AP61" s="442"/>
      <c r="AQ61" s="442"/>
      <c r="AR61" s="442"/>
      <c r="AS61" s="442"/>
      <c r="AT61" s="442"/>
      <c r="AU61" s="442"/>
    </row>
    <row r="62" spans="1:52" ht="4.5" customHeight="1" x14ac:dyDescent="0.3">
      <c r="A62" s="15"/>
      <c r="F62" s="119"/>
      <c r="G62" s="120"/>
      <c r="H62" s="741"/>
      <c r="I62" s="741"/>
      <c r="J62" s="741"/>
      <c r="K62" s="741"/>
      <c r="L62" s="744"/>
      <c r="M62" s="744"/>
      <c r="N62" s="744"/>
      <c r="O62" s="744"/>
      <c r="P62" s="744"/>
      <c r="Q62" s="741"/>
      <c r="R62" s="741"/>
      <c r="S62" s="122"/>
      <c r="T62" s="123"/>
      <c r="U62" s="122"/>
      <c r="V62" s="741"/>
      <c r="W62" s="741"/>
      <c r="X62" s="124"/>
      <c r="Y62" s="742"/>
      <c r="Z62" s="742"/>
      <c r="AA62" s="126"/>
      <c r="AB62" s="442"/>
      <c r="AC62" s="442"/>
      <c r="AD62" s="442"/>
      <c r="AE62" s="442"/>
      <c r="AF62" s="442"/>
      <c r="AG62" s="442"/>
      <c r="AH62" s="442"/>
      <c r="AI62" s="442"/>
      <c r="AJ62" s="451"/>
      <c r="AK62" s="451"/>
      <c r="AL62" s="451"/>
      <c r="AP62" s="442"/>
      <c r="AQ62" s="442"/>
      <c r="AR62" s="442"/>
      <c r="AS62" s="442"/>
      <c r="AT62" s="442"/>
      <c r="AU62" s="442"/>
    </row>
    <row r="63" spans="1:52" ht="17.5" customHeight="1" x14ac:dyDescent="0.3">
      <c r="A63" s="15"/>
      <c r="F63" s="119"/>
      <c r="G63" s="120"/>
      <c r="H63" s="120"/>
      <c r="I63" s="120"/>
      <c r="J63" s="120"/>
      <c r="K63" s="120"/>
      <c r="L63" s="121"/>
      <c r="M63" s="121"/>
      <c r="N63" s="121"/>
      <c r="O63" s="121"/>
      <c r="P63" s="121"/>
      <c r="Q63" s="120"/>
      <c r="R63" s="120"/>
      <c r="S63" s="122"/>
      <c r="T63" s="123"/>
      <c r="U63" s="122"/>
      <c r="V63" s="120"/>
      <c r="W63" s="120"/>
      <c r="X63" s="124"/>
      <c r="Y63" s="125"/>
      <c r="Z63" s="125"/>
      <c r="AA63" s="126"/>
      <c r="AB63" s="442"/>
      <c r="AC63" s="442"/>
      <c r="AD63" s="442"/>
      <c r="AE63" s="442"/>
      <c r="AF63" s="442"/>
      <c r="AG63" s="442"/>
      <c r="AH63" s="442"/>
      <c r="AI63" s="442"/>
      <c r="AJ63" s="451"/>
      <c r="AK63" s="451"/>
      <c r="AL63" s="451"/>
      <c r="AP63" s="442"/>
      <c r="AQ63" s="442"/>
      <c r="AR63" s="442"/>
      <c r="AS63" s="442"/>
      <c r="AT63" s="442"/>
      <c r="AU63" s="442"/>
      <c r="AZ63" s="127"/>
    </row>
    <row r="64" spans="1:52" x14ac:dyDescent="0.25">
      <c r="A64" s="15"/>
      <c r="F64" s="119"/>
      <c r="G64" s="242"/>
      <c r="H64" s="132"/>
      <c r="I64" s="132"/>
      <c r="J64" s="132"/>
      <c r="K64" s="132"/>
      <c r="L64" s="132"/>
      <c r="M64" s="132"/>
      <c r="N64" s="132"/>
      <c r="O64" s="132"/>
      <c r="P64" s="132"/>
      <c r="Q64" s="132"/>
      <c r="R64" s="132"/>
      <c r="S64" s="132"/>
      <c r="T64" s="132"/>
      <c r="U64" s="132"/>
      <c r="V64" s="132"/>
      <c r="W64" s="132"/>
      <c r="X64" s="133"/>
      <c r="Y64" s="132"/>
      <c r="Z64" s="132"/>
      <c r="AB64" s="442"/>
      <c r="AC64" s="442"/>
      <c r="AD64" s="442"/>
      <c r="AE64" s="442"/>
      <c r="AF64" s="442"/>
      <c r="AG64" s="442"/>
      <c r="AH64" s="442"/>
      <c r="AI64" s="442"/>
      <c r="AJ64" s="451"/>
      <c r="AK64" s="451"/>
      <c r="AL64" s="451"/>
      <c r="AP64" s="442"/>
      <c r="AQ64" s="442"/>
      <c r="AR64" s="442"/>
      <c r="AS64" s="442"/>
      <c r="AT64" s="442"/>
      <c r="AU64" s="442"/>
    </row>
    <row r="65" spans="1:47" x14ac:dyDescent="0.25">
      <c r="A65" s="15"/>
      <c r="H65" s="134"/>
      <c r="I65" s="134"/>
      <c r="J65" s="134"/>
      <c r="AB65" s="442"/>
      <c r="AC65" s="442"/>
      <c r="AD65" s="442"/>
      <c r="AE65" s="442"/>
      <c r="AF65" s="442"/>
      <c r="AG65" s="442"/>
      <c r="AH65" s="442"/>
      <c r="AI65" s="442"/>
      <c r="AJ65" s="451"/>
      <c r="AK65" s="451"/>
      <c r="AL65" s="451"/>
      <c r="AP65" s="442"/>
      <c r="AQ65" s="442"/>
      <c r="AR65" s="442"/>
      <c r="AS65" s="442"/>
      <c r="AT65" s="442"/>
      <c r="AU65" s="442"/>
    </row>
    <row r="66" spans="1:47" ht="20.9" customHeight="1" x14ac:dyDescent="0.25">
      <c r="A66" s="15"/>
      <c r="AB66" s="447"/>
      <c r="AC66" s="447"/>
      <c r="AD66" s="444"/>
      <c r="AE66" s="444"/>
      <c r="AF66" s="442"/>
      <c r="AG66" s="442"/>
      <c r="AH66" s="442"/>
      <c r="AI66" s="442"/>
      <c r="AJ66" s="451"/>
      <c r="AK66" s="451"/>
      <c r="AL66" s="451"/>
      <c r="AP66" s="442"/>
      <c r="AQ66" s="442"/>
      <c r="AR66" s="442"/>
      <c r="AS66" s="442"/>
      <c r="AT66" s="442"/>
      <c r="AU66" s="442"/>
    </row>
    <row r="67" spans="1:47" x14ac:dyDescent="0.25">
      <c r="A67" s="15"/>
      <c r="AB67" s="448"/>
      <c r="AC67" s="448"/>
      <c r="AD67" s="442"/>
      <c r="AE67" s="442"/>
      <c r="AF67" s="442"/>
      <c r="AG67" s="442"/>
      <c r="AH67" s="442"/>
      <c r="AI67" s="442"/>
      <c r="AJ67" s="451"/>
      <c r="AK67" s="451"/>
      <c r="AL67" s="451"/>
      <c r="AP67" s="442"/>
      <c r="AQ67" s="442"/>
      <c r="AR67" s="442"/>
      <c r="AS67" s="442"/>
      <c r="AT67" s="442"/>
      <c r="AU67" s="442"/>
    </row>
    <row r="68" spans="1:47" x14ac:dyDescent="0.25">
      <c r="A68" s="15"/>
      <c r="AB68" s="442"/>
      <c r="AC68" s="442"/>
      <c r="AD68" s="442"/>
      <c r="AE68" s="442"/>
      <c r="AF68" s="442"/>
      <c r="AG68" s="442"/>
      <c r="AH68" s="442"/>
      <c r="AI68" s="442"/>
      <c r="AJ68" s="451"/>
      <c r="AK68" s="451"/>
      <c r="AL68" s="451"/>
      <c r="AP68" s="442"/>
      <c r="AQ68" s="442"/>
      <c r="AR68" s="442"/>
      <c r="AS68" s="442"/>
      <c r="AT68" s="442"/>
      <c r="AU68" s="442"/>
    </row>
    <row r="69" spans="1:47" x14ac:dyDescent="0.25">
      <c r="A69" s="15"/>
      <c r="AB69" s="442"/>
      <c r="AC69" s="442"/>
      <c r="AD69" s="442"/>
      <c r="AE69" s="442"/>
      <c r="AF69" s="442"/>
      <c r="AG69" s="442"/>
      <c r="AH69" s="442"/>
      <c r="AI69" s="442"/>
      <c r="AJ69" s="451"/>
      <c r="AK69" s="451"/>
      <c r="AL69" s="451"/>
      <c r="AP69" s="442"/>
      <c r="AQ69" s="442"/>
      <c r="AR69" s="442"/>
      <c r="AS69" s="442"/>
      <c r="AT69" s="442"/>
      <c r="AU69" s="442"/>
    </row>
    <row r="70" spans="1:47" ht="20.9" customHeight="1" x14ac:dyDescent="0.25">
      <c r="A70" s="15"/>
      <c r="F70" s="135"/>
      <c r="G70" s="136"/>
      <c r="H70" s="136"/>
      <c r="I70" s="137"/>
      <c r="J70" s="136"/>
      <c r="K70" s="136"/>
      <c r="L70" s="136"/>
      <c r="M70" s="136"/>
      <c r="N70" s="136"/>
      <c r="O70" s="136"/>
      <c r="P70" s="136"/>
      <c r="Q70" s="136"/>
      <c r="R70" s="136"/>
      <c r="S70" s="136"/>
      <c r="T70" s="136"/>
      <c r="U70" s="136"/>
      <c r="V70" s="136"/>
      <c r="W70" s="136"/>
      <c r="X70" s="136"/>
      <c r="Y70" s="136"/>
      <c r="Z70" s="136"/>
      <c r="AA70" s="136"/>
      <c r="AB70" s="442"/>
      <c r="AC70" s="442"/>
      <c r="AD70" s="442"/>
      <c r="AE70" s="442"/>
      <c r="AF70" s="442"/>
      <c r="AG70" s="442"/>
      <c r="AH70" s="442"/>
      <c r="AI70" s="442"/>
      <c r="AJ70" s="451"/>
      <c r="AK70" s="451"/>
      <c r="AL70" s="451"/>
      <c r="AP70" s="442"/>
      <c r="AQ70" s="442"/>
      <c r="AR70" s="442"/>
      <c r="AS70" s="442"/>
      <c r="AT70" s="442"/>
      <c r="AU70" s="442"/>
    </row>
    <row r="71" spans="1:47" x14ac:dyDescent="0.25">
      <c r="A71" s="15"/>
      <c r="F71" s="135"/>
      <c r="G71" s="138"/>
      <c r="H71" s="138"/>
      <c r="I71" s="138"/>
      <c r="J71" s="138"/>
      <c r="K71" s="138"/>
      <c r="L71" s="138"/>
      <c r="M71" s="138"/>
      <c r="N71" s="138"/>
      <c r="O71" s="138"/>
      <c r="P71" s="138"/>
      <c r="Q71" s="138"/>
      <c r="R71" s="138"/>
      <c r="S71" s="138"/>
      <c r="T71" s="138"/>
      <c r="U71" s="138"/>
      <c r="V71" s="138"/>
      <c r="W71" s="138"/>
      <c r="X71" s="138"/>
      <c r="Y71" s="138"/>
      <c r="AB71" s="442"/>
      <c r="AC71" s="442"/>
      <c r="AD71" s="442"/>
      <c r="AE71" s="442"/>
      <c r="AF71" s="442"/>
      <c r="AG71" s="442"/>
      <c r="AH71" s="442"/>
      <c r="AI71" s="442"/>
      <c r="AJ71" s="451"/>
      <c r="AK71" s="451"/>
      <c r="AL71" s="451"/>
      <c r="AP71" s="442"/>
      <c r="AQ71" s="442"/>
      <c r="AR71" s="442"/>
      <c r="AS71" s="442"/>
      <c r="AT71" s="442"/>
      <c r="AU71" s="442"/>
    </row>
    <row r="72" spans="1:47" ht="20.9" customHeight="1" x14ac:dyDescent="0.25">
      <c r="A72" s="15"/>
      <c r="AB72" s="442"/>
      <c r="AC72" s="442"/>
      <c r="AD72" s="442"/>
      <c r="AE72" s="442"/>
      <c r="AF72" s="442"/>
      <c r="AG72" s="442"/>
      <c r="AH72" s="442"/>
      <c r="AI72" s="442"/>
      <c r="AJ72" s="451"/>
      <c r="AK72" s="451"/>
      <c r="AL72" s="451"/>
      <c r="AP72" s="442"/>
      <c r="AQ72" s="442"/>
      <c r="AR72" s="442"/>
      <c r="AS72" s="442"/>
      <c r="AT72" s="442"/>
      <c r="AU72" s="442"/>
    </row>
    <row r="73" spans="1:47" x14ac:dyDescent="0.25">
      <c r="AB73" s="442"/>
      <c r="AC73" s="442"/>
      <c r="AD73" s="442"/>
      <c r="AE73" s="442"/>
      <c r="AF73" s="442"/>
      <c r="AG73" s="442"/>
      <c r="AH73" s="442"/>
      <c r="AI73" s="442"/>
      <c r="AJ73" s="451"/>
      <c r="AK73" s="451"/>
      <c r="AL73" s="451"/>
      <c r="AP73" s="442"/>
      <c r="AQ73" s="442"/>
      <c r="AR73" s="442"/>
      <c r="AS73" s="442"/>
      <c r="AT73" s="442"/>
      <c r="AU73" s="442"/>
    </row>
    <row r="74" spans="1:47" x14ac:dyDescent="0.25">
      <c r="AB74" s="442"/>
      <c r="AC74" s="442"/>
      <c r="AD74" s="442"/>
      <c r="AE74" s="442"/>
      <c r="AF74" s="442"/>
      <c r="AG74" s="442"/>
      <c r="AH74" s="442"/>
      <c r="AI74" s="442"/>
      <c r="AJ74" s="451"/>
      <c r="AK74" s="451"/>
      <c r="AL74" s="451"/>
      <c r="AP74" s="442"/>
      <c r="AQ74" s="442"/>
      <c r="AR74" s="442"/>
      <c r="AS74" s="442"/>
      <c r="AT74" s="442"/>
      <c r="AU74" s="442"/>
    </row>
    <row r="75" spans="1:47" ht="20.9" customHeight="1" x14ac:dyDescent="0.25">
      <c r="AB75" s="442"/>
      <c r="AC75" s="442"/>
      <c r="AD75" s="442"/>
      <c r="AE75" s="442"/>
      <c r="AF75" s="442"/>
      <c r="AG75" s="442"/>
      <c r="AH75" s="442"/>
      <c r="AI75" s="442"/>
      <c r="AJ75" s="451"/>
      <c r="AK75" s="451"/>
      <c r="AL75" s="451"/>
    </row>
    <row r="76" spans="1:47" x14ac:dyDescent="0.25">
      <c r="AB76" s="442"/>
      <c r="AC76" s="442"/>
      <c r="AD76" s="442"/>
      <c r="AE76" s="442"/>
      <c r="AF76" s="442"/>
      <c r="AG76" s="442"/>
      <c r="AH76" s="442"/>
      <c r="AI76" s="442"/>
      <c r="AJ76" s="451"/>
      <c r="AK76" s="451"/>
      <c r="AL76" s="451"/>
    </row>
    <row r="77" spans="1:47" ht="20.9" customHeight="1" x14ac:dyDescent="0.25">
      <c r="AB77" s="442"/>
      <c r="AC77" s="442"/>
      <c r="AD77" s="442"/>
      <c r="AE77" s="442"/>
      <c r="AF77" s="442"/>
      <c r="AG77" s="442"/>
      <c r="AH77" s="442"/>
      <c r="AI77" s="442"/>
      <c r="AJ77" s="451"/>
      <c r="AK77" s="451"/>
      <c r="AL77" s="451"/>
    </row>
    <row r="78" spans="1:47" x14ac:dyDescent="0.25">
      <c r="AB78" s="442"/>
      <c r="AC78" s="442"/>
      <c r="AD78" s="442"/>
      <c r="AE78" s="442"/>
      <c r="AF78" s="442"/>
      <c r="AG78" s="442"/>
      <c r="AH78" s="442"/>
      <c r="AI78" s="442"/>
      <c r="AJ78" s="451"/>
      <c r="AK78" s="451"/>
      <c r="AL78" s="451"/>
    </row>
    <row r="79" spans="1:47" ht="20.9" customHeight="1" x14ac:dyDescent="0.25">
      <c r="AB79" s="442"/>
      <c r="AC79" s="442"/>
      <c r="AD79" s="442"/>
      <c r="AE79" s="442"/>
      <c r="AF79" s="442"/>
      <c r="AG79" s="442"/>
      <c r="AH79" s="442"/>
      <c r="AI79" s="442"/>
      <c r="AJ79" s="451"/>
      <c r="AK79" s="451"/>
      <c r="AL79" s="451"/>
    </row>
    <row r="80" spans="1:47" ht="15" customHeight="1" x14ac:dyDescent="0.25">
      <c r="AB80" s="442"/>
      <c r="AC80" s="442"/>
      <c r="AD80" s="442"/>
      <c r="AE80" s="442"/>
      <c r="AF80" s="442"/>
      <c r="AG80" s="442"/>
      <c r="AH80" s="442"/>
      <c r="AI80" s="442"/>
      <c r="AJ80" s="451"/>
      <c r="AK80" s="451"/>
      <c r="AL80" s="451"/>
    </row>
    <row r="81" spans="6:52" ht="21" customHeight="1" x14ac:dyDescent="0.25">
      <c r="AB81" s="442"/>
      <c r="AC81" s="442"/>
      <c r="AD81" s="442"/>
      <c r="AE81" s="442"/>
      <c r="AF81" s="442"/>
      <c r="AG81" s="442"/>
      <c r="AH81" s="442"/>
      <c r="AI81" s="442"/>
      <c r="AJ81" s="451"/>
      <c r="AK81" s="451"/>
      <c r="AL81" s="451"/>
    </row>
    <row r="82" spans="6:52" ht="21" customHeight="1" x14ac:dyDescent="0.25">
      <c r="AB82" s="442"/>
      <c r="AC82" s="442"/>
      <c r="AD82" s="442"/>
      <c r="AE82" s="442"/>
      <c r="AF82" s="442"/>
      <c r="AG82" s="442"/>
      <c r="AH82" s="442"/>
      <c r="AI82" s="442"/>
      <c r="AJ82" s="451"/>
      <c r="AK82" s="451"/>
      <c r="AL82" s="451"/>
    </row>
    <row r="83" spans="6:52" x14ac:dyDescent="0.25">
      <c r="AB83" s="442"/>
      <c r="AC83" s="442"/>
      <c r="AD83" s="442"/>
      <c r="AE83" s="442"/>
      <c r="AF83" s="442"/>
      <c r="AG83" s="442"/>
      <c r="AH83" s="442"/>
      <c r="AI83" s="442"/>
      <c r="AJ83" s="451"/>
      <c r="AK83" s="451"/>
      <c r="AL83" s="451"/>
    </row>
    <row r="84" spans="6:52" x14ac:dyDescent="0.25">
      <c r="AC84" s="442"/>
      <c r="AD84" s="442" t="s">
        <v>129</v>
      </c>
      <c r="AE84" s="442"/>
      <c r="AF84" s="442" t="s">
        <v>38</v>
      </c>
      <c r="AG84" s="442"/>
      <c r="AH84" s="442"/>
      <c r="AI84" s="442"/>
      <c r="AJ84" s="451"/>
      <c r="AK84" s="451"/>
      <c r="AL84" s="451"/>
      <c r="AM84" s="442"/>
      <c r="AN84" s="442"/>
      <c r="AO84" s="442"/>
      <c r="AP84" s="442"/>
      <c r="AQ84" s="442"/>
      <c r="AR84" s="442"/>
      <c r="AS84" s="442"/>
      <c r="AT84" s="442"/>
      <c r="AU84" s="442"/>
      <c r="AV84" s="442"/>
      <c r="AW84" s="442"/>
      <c r="AX84" s="442"/>
      <c r="AY84" s="442"/>
      <c r="AZ84" s="442"/>
    </row>
    <row r="85" spans="6:52" x14ac:dyDescent="0.25">
      <c r="F85" s="4"/>
      <c r="H85" s="4"/>
      <c r="I85" s="4"/>
      <c r="AC85" s="442"/>
      <c r="AD85" s="442"/>
      <c r="AE85" s="442"/>
      <c r="AF85" s="442" t="s">
        <v>130</v>
      </c>
      <c r="AG85" s="442"/>
      <c r="AH85" s="442"/>
      <c r="AI85" s="442"/>
      <c r="AJ85" s="451"/>
      <c r="AK85" s="451"/>
      <c r="AL85" s="451"/>
      <c r="AM85" s="442"/>
      <c r="AN85" s="442"/>
      <c r="AO85" s="442"/>
      <c r="AP85" s="442"/>
      <c r="AQ85" s="442"/>
      <c r="AR85" s="442"/>
      <c r="AS85" s="442"/>
      <c r="AT85" s="442"/>
      <c r="AU85" s="442"/>
      <c r="AV85" s="442"/>
      <c r="AW85" s="442"/>
      <c r="AX85" s="442"/>
      <c r="AY85" s="442"/>
      <c r="AZ85" s="442"/>
    </row>
    <row r="86" spans="6:52" x14ac:dyDescent="0.25">
      <c r="G86"/>
      <c r="AC86" s="442"/>
      <c r="AD86" s="442"/>
      <c r="AE86" s="442"/>
      <c r="AF86" s="442" t="s">
        <v>9</v>
      </c>
      <c r="AG86" s="442"/>
      <c r="AH86" s="442"/>
      <c r="AI86" s="442"/>
      <c r="AJ86" s="451"/>
      <c r="AK86" s="451"/>
      <c r="AL86" s="451"/>
      <c r="AM86" s="442"/>
      <c r="AN86" s="442"/>
      <c r="AO86" s="442"/>
      <c r="AP86" s="442"/>
      <c r="AQ86" s="442"/>
      <c r="AR86" s="442"/>
      <c r="AS86" s="442"/>
      <c r="AT86" s="442"/>
      <c r="AU86" s="442"/>
      <c r="AV86" s="442"/>
      <c r="AW86" s="442"/>
      <c r="AX86" s="442"/>
      <c r="AY86" s="442"/>
      <c r="AZ86" s="442"/>
    </row>
    <row r="87" spans="6:52" x14ac:dyDescent="0.25">
      <c r="G87"/>
      <c r="AC87" s="442"/>
      <c r="AD87" s="442"/>
      <c r="AE87" s="442"/>
      <c r="AF87" s="442"/>
      <c r="AG87" s="442"/>
      <c r="AH87" s="442"/>
      <c r="AI87" s="442"/>
      <c r="AJ87" s="451"/>
      <c r="AK87" s="442"/>
      <c r="AL87" s="451"/>
      <c r="AM87" s="451"/>
      <c r="AN87" s="442"/>
      <c r="AO87" s="442"/>
      <c r="AP87" s="442"/>
      <c r="AQ87" s="442"/>
      <c r="AR87" s="442"/>
      <c r="AS87" s="442"/>
      <c r="AT87" s="442"/>
      <c r="AU87" s="442"/>
      <c r="AV87" s="442"/>
      <c r="AW87" s="442"/>
      <c r="AX87" s="442"/>
      <c r="AY87" s="442"/>
      <c r="AZ87" s="442"/>
    </row>
    <row r="88" spans="6:52" x14ac:dyDescent="0.25">
      <c r="G88"/>
      <c r="AC88" s="442"/>
      <c r="AD88" s="442"/>
      <c r="AE88" s="442"/>
      <c r="AF88" s="442"/>
      <c r="AG88" s="442"/>
      <c r="AH88" s="442"/>
      <c r="AI88" s="442"/>
      <c r="AJ88" s="451"/>
      <c r="AK88" s="451"/>
      <c r="AL88" s="451"/>
      <c r="AM88" s="442"/>
      <c r="AN88" s="442"/>
      <c r="AO88" s="442"/>
      <c r="AP88" s="442"/>
      <c r="AQ88" s="442"/>
      <c r="AR88" s="442"/>
      <c r="AS88" s="442"/>
      <c r="AT88" s="442"/>
      <c r="AU88" s="442"/>
      <c r="AV88" s="442"/>
      <c r="AW88" s="442"/>
      <c r="AX88" s="442"/>
      <c r="AY88" s="442"/>
      <c r="AZ88" s="442"/>
    </row>
    <row r="89" spans="6:52" x14ac:dyDescent="0.25">
      <c r="G89"/>
      <c r="AC89" s="442"/>
      <c r="AD89" s="442"/>
      <c r="AE89" s="442"/>
      <c r="AF89" s="442"/>
      <c r="AG89" s="442"/>
      <c r="AH89" s="442"/>
      <c r="AI89" s="442"/>
      <c r="AJ89" s="451"/>
      <c r="AK89" s="451"/>
      <c r="AL89" s="451"/>
      <c r="AM89" s="442"/>
      <c r="AN89" s="442"/>
      <c r="AO89" s="442"/>
      <c r="AP89" s="442"/>
      <c r="AQ89" s="442"/>
      <c r="AR89" s="442"/>
      <c r="AS89" s="442"/>
      <c r="AT89" s="442"/>
      <c r="AU89" s="442"/>
      <c r="AV89" s="442"/>
      <c r="AW89" s="442"/>
      <c r="AX89" s="442"/>
      <c r="AY89" s="442"/>
      <c r="AZ89" s="442"/>
    </row>
    <row r="90" spans="6:52" x14ac:dyDescent="0.25">
      <c r="G90"/>
      <c r="AC90" s="442"/>
      <c r="AD90" s="442"/>
      <c r="AE90" s="442"/>
      <c r="AF90" s="442"/>
      <c r="AG90" s="442"/>
      <c r="AH90" s="442"/>
      <c r="AI90" s="442"/>
      <c r="AJ90" s="451"/>
      <c r="AK90" s="451"/>
      <c r="AL90" s="451"/>
      <c r="AM90" s="442"/>
      <c r="AN90" s="442"/>
      <c r="AO90" s="442"/>
      <c r="AP90" s="442"/>
      <c r="AQ90" s="442"/>
      <c r="AR90" s="442"/>
      <c r="AS90" s="442"/>
      <c r="AT90" s="442"/>
      <c r="AU90" s="442"/>
      <c r="AV90" s="442"/>
      <c r="AW90" s="442"/>
      <c r="AX90" s="442"/>
      <c r="AY90" s="442"/>
      <c r="AZ90" s="442"/>
    </row>
    <row r="91" spans="6:52" x14ac:dyDescent="0.25">
      <c r="G91"/>
    </row>
    <row r="92" spans="6:52" ht="21" customHeight="1" x14ac:dyDescent="0.25">
      <c r="G92"/>
    </row>
    <row r="93" spans="6:52" x14ac:dyDescent="0.25">
      <c r="G93"/>
    </row>
    <row r="94" spans="6:52" x14ac:dyDescent="0.25">
      <c r="G94"/>
    </row>
    <row r="95" spans="6:52" x14ac:dyDescent="0.25">
      <c r="G95"/>
    </row>
    <row r="96" spans="6:52" ht="20.9" customHeight="1" x14ac:dyDescent="0.25">
      <c r="G96"/>
    </row>
    <row r="97" spans="7:32" x14ac:dyDescent="0.25">
      <c r="G97"/>
    </row>
    <row r="98" spans="7:32" ht="21" customHeight="1" x14ac:dyDescent="0.25">
      <c r="G98"/>
    </row>
    <row r="99" spans="7:32" x14ac:dyDescent="0.25">
      <c r="G99"/>
    </row>
    <row r="100" spans="7:32" x14ac:dyDescent="0.25">
      <c r="G100"/>
    </row>
    <row r="101" spans="7:32" ht="21" customHeight="1" x14ac:dyDescent="0.25">
      <c r="G101"/>
    </row>
    <row r="103" spans="7:32" ht="21" customHeight="1" x14ac:dyDescent="0.25"/>
    <row r="105" spans="7:32" ht="21" customHeight="1" x14ac:dyDescent="0.25"/>
    <row r="108" spans="7:32" x14ac:dyDescent="0.25">
      <c r="AF108" s="3"/>
    </row>
    <row r="109" spans="7:32" x14ac:dyDescent="0.25">
      <c r="AF109" s="3"/>
    </row>
    <row r="110" spans="7:32" x14ac:dyDescent="0.25">
      <c r="AF110" s="3" t="s">
        <v>9</v>
      </c>
    </row>
  </sheetData>
  <mergeCells count="13">
    <mergeCell ref="Y3:Z3"/>
    <mergeCell ref="Y62:Z62"/>
    <mergeCell ref="E40:F40"/>
    <mergeCell ref="E56:P56"/>
    <mergeCell ref="H62:J62"/>
    <mergeCell ref="K62:P62"/>
    <mergeCell ref="Q62:R62"/>
    <mergeCell ref="V62:W62"/>
    <mergeCell ref="E17:F17"/>
    <mergeCell ref="H3:J3"/>
    <mergeCell ref="K3:P3"/>
    <mergeCell ref="Q3:R3"/>
    <mergeCell ref="S3:V3"/>
  </mergeCells>
  <pageMargins left="0.5" right="0.25" top="0.5" bottom="0.25" header="0.3" footer="0.3"/>
  <pageSetup scale="29" fitToHeight="0"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C11D3-8729-490F-BE56-2A21DF09C614}">
  <sheetPr>
    <pageSetUpPr fitToPage="1"/>
  </sheetPr>
  <dimension ref="A2:AI66"/>
  <sheetViews>
    <sheetView showGridLines="0" zoomScale="90" zoomScaleNormal="90" zoomScaleSheetLayoutView="90" workbookViewId="0">
      <selection activeCell="Y28" sqref="Y28:Z32"/>
    </sheetView>
  </sheetViews>
  <sheetFormatPr defaultRowHeight="12.5" x14ac:dyDescent="0.25"/>
  <cols>
    <col min="1" max="1" width="10.54296875" customWidth="1"/>
    <col min="2" max="4" width="0.453125" customWidth="1"/>
    <col min="5" max="5" width="28.7265625" customWidth="1"/>
    <col min="6" max="6" width="7.54296875" style="1" customWidth="1"/>
    <col min="7" max="7" width="7.1796875" style="1" customWidth="1"/>
    <col min="8" max="24" width="7.1796875" customWidth="1"/>
    <col min="25" max="26" width="9" customWidth="1"/>
    <col min="27" max="27" width="10.81640625" customWidth="1"/>
    <col min="28" max="28" width="1.453125" customWidth="1"/>
  </cols>
  <sheetData>
    <row r="2" spans="1:35" ht="21.75" customHeight="1" x14ac:dyDescent="0.25">
      <c r="E2" s="2" t="s">
        <v>192</v>
      </c>
      <c r="AC2" s="442"/>
      <c r="AD2" s="442"/>
      <c r="AE2" s="442"/>
      <c r="AF2" s="442"/>
    </row>
    <row r="3" spans="1:35" ht="17.899999999999999" customHeight="1" x14ac:dyDescent="0.3">
      <c r="E3" s="6"/>
      <c r="F3" s="7"/>
      <c r="G3" s="8"/>
      <c r="H3" s="727" t="str">
        <f>'[10]Table 10 CWTs exp'!H3:J3</f>
        <v>CFH</v>
      </c>
      <c r="I3" s="727"/>
      <c r="J3" s="727"/>
      <c r="K3" s="727" t="str">
        <f>'[10]Table 10 CWTs exp'!K3:P3</f>
        <v>FRH</v>
      </c>
      <c r="L3" s="727"/>
      <c r="M3" s="727"/>
      <c r="N3" s="727"/>
      <c r="O3" s="727"/>
      <c r="P3" s="727"/>
      <c r="Q3" s="727">
        <f>'[10]Table 10 CWTs exp'!Q3:R3</f>
        <v>0</v>
      </c>
      <c r="R3" s="727" t="str">
        <f>'[10]Table 10 CWTs exp'!R3:S3</f>
        <v>NIM</v>
      </c>
      <c r="S3" s="727">
        <f>'[10]Table 10 CWTs exp'!S3:U3</f>
        <v>0</v>
      </c>
      <c r="T3" s="727" t="str">
        <f>'[10]Table 10 CWTs exp'!T3:W3</f>
        <v>MOK</v>
      </c>
      <c r="U3" s="727"/>
      <c r="V3" s="727"/>
      <c r="W3" s="727">
        <f>'[10]Table 10 CWTs exp'!W3</f>
        <v>0</v>
      </c>
      <c r="X3" s="8" t="str">
        <f>'[10]Table 10 CWTs exp'!X3</f>
        <v>MER</v>
      </c>
      <c r="Y3" s="729" t="s">
        <v>132</v>
      </c>
      <c r="Z3" s="730"/>
      <c r="AA3" s="10" t="s">
        <v>9</v>
      </c>
      <c r="AC3" s="442"/>
      <c r="AD3" s="442"/>
      <c r="AE3" s="442"/>
      <c r="AF3" s="442"/>
    </row>
    <row r="4" spans="1:35" ht="15.75" customHeight="1" x14ac:dyDescent="0.3">
      <c r="E4" s="17" t="s">
        <v>17</v>
      </c>
      <c r="F4" s="18" t="s">
        <v>18</v>
      </c>
      <c r="G4" s="19" t="str">
        <f>'[10]Table 10 CWTs exp'!G4</f>
        <v>SacW</v>
      </c>
      <c r="H4" s="20" t="str">
        <f>'[10]Table 10 CWTs exp'!H4</f>
        <v>CFHLh</v>
      </c>
      <c r="I4" s="19" t="str">
        <f>'[10]Table 10 CWTs exp'!I4</f>
        <v>CFHFh</v>
      </c>
      <c r="J4" s="21" t="str">
        <f>'[10]Table 10 CWTs exp'!J4</f>
        <v>CFHFn</v>
      </c>
      <c r="K4" s="19" t="str">
        <f>'[10]Table 10 CWTs exp'!K4</f>
        <v>FRHS</v>
      </c>
      <c r="L4" s="19" t="str">
        <f>'[10]Table 10 CWTs exp'!L4</f>
        <v>FRHSn</v>
      </c>
      <c r="M4" s="19" t="str">
        <f>'[10]Table 10 CWTs exp'!M4</f>
        <v>FRHF</v>
      </c>
      <c r="N4" s="19" t="str">
        <f>'[10]Table 10 CWTs exp'!N4</f>
        <v>FRHFn</v>
      </c>
      <c r="O4" s="19" t="str">
        <f>'[10]Table 10 CWTs exp'!O4</f>
        <v>FRHFnc</v>
      </c>
      <c r="P4" s="19" t="str">
        <f>'[10]Table 10 CWTs exp'!P4</f>
        <v>FRHFb</v>
      </c>
      <c r="Q4" s="21" t="str">
        <f>'[10]Table 10 CWTs exp'!Q4</f>
        <v>FRHFk</v>
      </c>
      <c r="R4" s="19" t="str">
        <f>'[10]Table 10 CWTs exp'!R4</f>
        <v>NIMF</v>
      </c>
      <c r="S4" s="21" t="str">
        <f>'[10]Table 10 CWTs exp'!S4</f>
        <v>NIMFn</v>
      </c>
      <c r="T4" s="19" t="str">
        <f>'[10]Table 10 CWTs exp'!T4</f>
        <v>MOKF</v>
      </c>
      <c r="U4" s="19" t="str">
        <f>'[10]Table 10 CWTs exp'!U4</f>
        <v>MOKFn</v>
      </c>
      <c r="V4" s="19" t="str">
        <f>'[10]Table 10 CWTs exp'!V4</f>
        <v>MOKFnc</v>
      </c>
      <c r="W4" s="21" t="str">
        <f>'[10]Table 10 CWTs exp'!W4</f>
        <v>MOKFb</v>
      </c>
      <c r="X4" s="200" t="str">
        <f>'[10]Table 10 CWTs exp'!X4</f>
        <v>MERFn</v>
      </c>
      <c r="Y4" s="22" t="s">
        <v>36</v>
      </c>
      <c r="Z4" s="23" t="s">
        <v>37</v>
      </c>
      <c r="AA4" s="24" t="s">
        <v>18</v>
      </c>
      <c r="AC4" s="442"/>
      <c r="AD4" s="442"/>
      <c r="AE4" s="442"/>
      <c r="AF4" s="442"/>
    </row>
    <row r="5" spans="1:35" ht="14.15" customHeight="1" x14ac:dyDescent="0.3">
      <c r="E5" s="26" t="s">
        <v>39</v>
      </c>
      <c r="F5" s="11"/>
      <c r="G5" s="4"/>
      <c r="H5" s="139"/>
      <c r="J5" s="140"/>
      <c r="Q5" s="140"/>
      <c r="S5" s="140"/>
      <c r="W5" s="140"/>
      <c r="X5" s="11"/>
      <c r="Y5" s="141"/>
      <c r="Z5" s="142"/>
      <c r="AA5" s="88"/>
      <c r="AC5" s="442"/>
      <c r="AD5" s="442"/>
      <c r="AE5" s="442"/>
      <c r="AF5" s="442"/>
    </row>
    <row r="6" spans="1:35" ht="14.25" customHeight="1" x14ac:dyDescent="0.25">
      <c r="A6" s="54" t="str">
        <f>'[10]Table 10 CWTs exp'!A6</f>
        <v>KESW504</v>
      </c>
      <c r="E6" s="3" t="str">
        <f>'[10]Table 10 CWTs exp'!E6</f>
        <v>Keswick Dam Fish Trap</v>
      </c>
      <c r="F6" s="143" t="str">
        <f>'[10]Table 10 CWTs exp'!F6</f>
        <v>Winter</v>
      </c>
      <c r="G6" s="151">
        <f>IF('[10]Table 10 CWTs exp'!G6/'[10]Table 10 CWTs exp'!$AA6&gt;0,'[10]Table 10 CWTs exp'!G6/'[10]Table 10 CWTs exp'!$AA6," ")</f>
        <v>0.93333333333333335</v>
      </c>
      <c r="H6" s="145" t="str">
        <f>IF('[10]Table 10 CWTs exp'!H6/'[10]Table 10 CWTs exp'!$AA6&gt;0,'[10]Table 10 CWTs exp'!H6/'[10]Table 10 CWTs exp'!$AA6," ")</f>
        <v xml:space="preserve"> </v>
      </c>
      <c r="I6" s="144" t="str">
        <f>IF('[10]Table 10 CWTs exp'!I6/'[10]Table 10 CWTs exp'!$AA6&gt;0,'[10]Table 10 CWTs exp'!I6/'[10]Table 10 CWTs exp'!$AA6," ")</f>
        <v xml:space="preserve"> </v>
      </c>
      <c r="J6" s="146" t="str">
        <f>IF('[10]Table 10 CWTs exp'!J6/'[10]Table 10 CWTs exp'!$AA6&gt;0,'[10]Table 10 CWTs exp'!J6/'[10]Table 10 CWTs exp'!$AA6," ")</f>
        <v xml:space="preserve"> </v>
      </c>
      <c r="K6" s="144" t="str">
        <f>IF('[10]Table 10 CWTs exp'!K6/'[10]Table 10 CWTs exp'!$AA6&gt;0,'[10]Table 10 CWTs exp'!K6/'[10]Table 10 CWTs exp'!$AA6," ")</f>
        <v xml:space="preserve"> </v>
      </c>
      <c r="L6" s="144" t="str">
        <f>IF('[10]Table 10 CWTs exp'!L6/'[10]Table 10 CWTs exp'!$AA6&gt;0,'[10]Table 10 CWTs exp'!L6/'[10]Table 10 CWTs exp'!$AA6," ")</f>
        <v xml:space="preserve"> </v>
      </c>
      <c r="M6" s="144" t="str">
        <f>IF('[10]Table 10 CWTs exp'!M6/'[10]Table 10 CWTs exp'!$AA6&gt;0,'[10]Table 10 CWTs exp'!M6/'[10]Table 10 CWTs exp'!$AA6," ")</f>
        <v xml:space="preserve"> </v>
      </c>
      <c r="N6" s="144" t="str">
        <f>IF('[10]Table 10 CWTs exp'!N6/'[10]Table 10 CWTs exp'!$AA6&gt;0,'[10]Table 10 CWTs exp'!N6/'[10]Table 10 CWTs exp'!$AA6," ")</f>
        <v xml:space="preserve"> </v>
      </c>
      <c r="O6" s="144" t="str">
        <f>IF('[10]Table 10 CWTs exp'!O6/'[10]Table 10 CWTs exp'!$AA6&gt;0,'[10]Table 10 CWTs exp'!O6/'[10]Table 10 CWTs exp'!$AA6," ")</f>
        <v xml:space="preserve"> </v>
      </c>
      <c r="P6" s="144" t="str">
        <f>IF('[10]Table 10 CWTs exp'!P6/'[10]Table 10 CWTs exp'!$AA6&gt;0,'[10]Table 10 CWTs exp'!P6/'[10]Table 10 CWTs exp'!$AA6," ")</f>
        <v xml:space="preserve"> </v>
      </c>
      <c r="Q6" s="146" t="str">
        <f>IF('[10]Table 10 CWTs exp'!Q6/'[10]Table 10 CWTs exp'!$AA6&gt;0,'[10]Table 10 CWTs exp'!Q6/'[10]Table 10 CWTs exp'!$AA6," ")</f>
        <v xml:space="preserve"> </v>
      </c>
      <c r="R6" s="144" t="str">
        <f>IF('[10]Table 10 CWTs exp'!R6/'[10]Table 10 CWTs exp'!$AA6&gt;0,'[10]Table 10 CWTs exp'!R6/'[10]Table 10 CWTs exp'!$AA6," ")</f>
        <v xml:space="preserve"> </v>
      </c>
      <c r="S6" s="146" t="str">
        <f>IF('[10]Table 10 CWTs exp'!S6/'[10]Table 10 CWTs exp'!$AA6&gt;0,'[10]Table 10 CWTs exp'!S6/'[10]Table 10 CWTs exp'!$AA6," ")</f>
        <v xml:space="preserve"> </v>
      </c>
      <c r="T6" s="144" t="str">
        <f>IF('[10]Table 10 CWTs exp'!T6/'[10]Table 10 CWTs exp'!$AA6&gt;0,'[10]Table 10 CWTs exp'!T6/'[10]Table 10 CWTs exp'!$AA6," ")</f>
        <v xml:space="preserve"> </v>
      </c>
      <c r="U6" s="144" t="str">
        <f>IF('[10]Table 10 CWTs exp'!U6/'[10]Table 10 CWTs exp'!$AA6&gt;0,'[10]Table 10 CWTs exp'!U6/'[10]Table 10 CWTs exp'!$AA6," ")</f>
        <v xml:space="preserve"> </v>
      </c>
      <c r="V6" s="144" t="str">
        <f>IF('[10]Table 10 CWTs exp'!V6/'[10]Table 10 CWTs exp'!$AA6&gt;0,'[10]Table 10 CWTs exp'!V6/'[10]Table 10 CWTs exp'!$AA6," ")</f>
        <v xml:space="preserve"> </v>
      </c>
      <c r="W6" s="146" t="str">
        <f>IF('[10]Table 10 CWTs exp'!W6/'[10]Table 10 CWTs exp'!$AA6&gt;0,'[10]Table 10 CWTs exp'!W6/'[10]Table 10 CWTs exp'!$AA6," ")</f>
        <v xml:space="preserve"> </v>
      </c>
      <c r="X6" s="144" t="str">
        <f>IF('[10]Table 10 CWTs exp'!X6/'[10]Table 10 CWTs exp'!$AA6&gt;0,'[10]Table 10 CWTs exp'!X6/'[10]Table 10 CWTs exp'!$AA6," ")</f>
        <v xml:space="preserve"> </v>
      </c>
      <c r="Y6" s="147">
        <f>SUM(G6:X6)</f>
        <v>0.93333333333333335</v>
      </c>
      <c r="Z6" s="148">
        <f>1-Y6</f>
        <v>6.6666666666666652E-2</v>
      </c>
      <c r="AA6" s="38">
        <f>'[10]Table 10 CWTs exp'!AA6</f>
        <v>180</v>
      </c>
      <c r="AC6" s="592">
        <f>'[10]Table 10 CWTs exp'!AD6</f>
        <v>0.93300000000000005</v>
      </c>
      <c r="AD6" s="592">
        <f>Y6-AC6</f>
        <v>3.3333333333329662E-4</v>
      </c>
      <c r="AE6" s="593" t="str">
        <f>A6</f>
        <v>KESW504</v>
      </c>
      <c r="AF6" s="442"/>
      <c r="AH6" s="149"/>
      <c r="AI6" s="150"/>
    </row>
    <row r="7" spans="1:35" ht="14.5" customHeight="1" x14ac:dyDescent="0.25">
      <c r="A7" s="54" t="str">
        <f>'[10]Table 10 CWTs exp'!A7</f>
        <v>FRFH501</v>
      </c>
      <c r="B7" s="75" t="str">
        <f>'[10]Table 10 CWTs exp'!B7</f>
        <v>FRFH</v>
      </c>
      <c r="C7" s="75">
        <f>'[10]Table 10 CWTs exp'!C7</f>
        <v>50</v>
      </c>
      <c r="D7" s="75">
        <f>'[10]Table 10 CWTs exp'!D7</f>
        <v>1</v>
      </c>
      <c r="E7" s="3" t="str">
        <f>'[10]Table 10 CWTs exp'!E7</f>
        <v>Feather River Hatchery</v>
      </c>
      <c r="F7" s="143" t="str">
        <f>'[10]Table 10 CWTs exp'!F7</f>
        <v>Spring</v>
      </c>
      <c r="G7" s="151" t="str">
        <f>IF('[10]Table 10 CWTs exp'!G7/'[10]Table 10 CWTs exp'!$AA7&gt;0,'[10]Table 10 CWTs exp'!G7/'[10]Table 10 CWTs exp'!$AA7," ")</f>
        <v xml:space="preserve"> </v>
      </c>
      <c r="H7" s="145" t="str">
        <f>IF('[10]Table 10 CWTs exp'!H7/'[10]Table 10 CWTs exp'!$AA7&gt;0,'[10]Table 10 CWTs exp'!H7/'[10]Table 10 CWTs exp'!$AA7," ")</f>
        <v xml:space="preserve"> </v>
      </c>
      <c r="I7" s="144" t="str">
        <f>IF('[10]Table 10 CWTs exp'!I7/'[10]Table 10 CWTs exp'!$AA7&gt;0,'[10]Table 10 CWTs exp'!I7/'[10]Table 10 CWTs exp'!$AA7," ")</f>
        <v xml:space="preserve"> </v>
      </c>
      <c r="J7" s="146" t="str">
        <f>IF('[10]Table 10 CWTs exp'!J7/'[10]Table 10 CWTs exp'!$AA7&gt;0,'[10]Table 10 CWTs exp'!J7/'[10]Table 10 CWTs exp'!$AA7," ")</f>
        <v xml:space="preserve"> </v>
      </c>
      <c r="K7" s="144">
        <f>IF('[10]Table 10 CWTs exp'!K7/'[10]Table 10 CWTs exp'!$AA7&gt;0,'[10]Table 10 CWTs exp'!K7/'[10]Table 10 CWTs exp'!$AA7," ")</f>
        <v>0.71034482758620687</v>
      </c>
      <c r="L7" s="144">
        <f>IF('[10]Table 10 CWTs exp'!L7/'[10]Table 10 CWTs exp'!$AA7&gt;0,'[10]Table 10 CWTs exp'!L7/'[10]Table 10 CWTs exp'!$AA7," ")</f>
        <v>0.13793103448275862</v>
      </c>
      <c r="M7" s="144" t="str">
        <f>IF('[10]Table 10 CWTs exp'!M7/'[10]Table 10 CWTs exp'!$AA7&gt;0,'[10]Table 10 CWTs exp'!M7/'[10]Table 10 CWTs exp'!$AA7," ")</f>
        <v xml:space="preserve"> </v>
      </c>
      <c r="N7" s="144">
        <f>IF('[10]Table 10 CWTs exp'!N7/'[10]Table 10 CWTs exp'!$AA7&gt;0,'[10]Table 10 CWTs exp'!N7/'[10]Table 10 CWTs exp'!$AA7," ")</f>
        <v>0.12586206896551724</v>
      </c>
      <c r="O7" s="144" t="str">
        <f>IF('[10]Table 10 CWTs exp'!O7/'[10]Table 10 CWTs exp'!$AA7&gt;0,'[10]Table 10 CWTs exp'!O7/'[10]Table 10 CWTs exp'!$AA7," ")</f>
        <v xml:space="preserve"> </v>
      </c>
      <c r="P7" s="144">
        <f>IF('[10]Table 10 CWTs exp'!P7/'[10]Table 10 CWTs exp'!$AA7&gt;0,'[10]Table 10 CWTs exp'!P7/'[10]Table 10 CWTs exp'!$AA7," ")</f>
        <v>3.4482758620689655E-3</v>
      </c>
      <c r="Q7" s="146" t="str">
        <f>IF('[10]Table 10 CWTs exp'!Q7/'[10]Table 10 CWTs exp'!$AA7&gt;0,'[10]Table 10 CWTs exp'!Q7/'[10]Table 10 CWTs exp'!$AA7," ")</f>
        <v xml:space="preserve"> </v>
      </c>
      <c r="R7" s="144" t="str">
        <f>IF('[10]Table 10 CWTs exp'!R7/'[10]Table 10 CWTs exp'!$AA7&gt;0,'[10]Table 10 CWTs exp'!R7/'[10]Table 10 CWTs exp'!$AA7," ")</f>
        <v xml:space="preserve"> </v>
      </c>
      <c r="S7" s="146" t="str">
        <f>IF('[10]Table 10 CWTs exp'!S7/'[10]Table 10 CWTs exp'!$AA7&gt;0,'[10]Table 10 CWTs exp'!S7/'[10]Table 10 CWTs exp'!$AA7," ")</f>
        <v xml:space="preserve"> </v>
      </c>
      <c r="T7" s="144" t="str">
        <f>IF('[10]Table 10 CWTs exp'!T7/'[10]Table 10 CWTs exp'!$AA7&gt;0,'[10]Table 10 CWTs exp'!T7/'[10]Table 10 CWTs exp'!$AA7," ")</f>
        <v xml:space="preserve"> </v>
      </c>
      <c r="U7" s="144" t="str">
        <f>IF('[10]Table 10 CWTs exp'!U7/'[10]Table 10 CWTs exp'!$AA7&gt;0,'[10]Table 10 CWTs exp'!U7/'[10]Table 10 CWTs exp'!$AA7," ")</f>
        <v xml:space="preserve"> </v>
      </c>
      <c r="V7" s="144" t="str">
        <f>IF('[10]Table 10 CWTs exp'!V7/'[10]Table 10 CWTs exp'!$AA7&gt;0,'[10]Table 10 CWTs exp'!V7/'[10]Table 10 CWTs exp'!$AA7," ")</f>
        <v xml:space="preserve"> </v>
      </c>
      <c r="W7" s="146" t="str">
        <f>IF('[10]Table 10 CWTs exp'!W7/'[10]Table 10 CWTs exp'!$AA7&gt;0,'[10]Table 10 CWTs exp'!W7/'[10]Table 10 CWTs exp'!$AA7," ")</f>
        <v xml:space="preserve"> </v>
      </c>
      <c r="X7" s="144" t="str">
        <f>IF('[10]Table 10 CWTs exp'!X7/'[10]Table 10 CWTs exp'!$AA7&gt;0,'[10]Table 10 CWTs exp'!X7/'[10]Table 10 CWTs exp'!$AA7," ")</f>
        <v xml:space="preserve"> </v>
      </c>
      <c r="Y7" s="147">
        <f>SUM(G7:X7)</f>
        <v>0.97758620689655162</v>
      </c>
      <c r="Z7" s="148">
        <f>1-Y7</f>
        <v>2.2413793103448376E-2</v>
      </c>
      <c r="AA7" s="38">
        <f>'[10]Table 10 CWTs exp'!AA7</f>
        <v>580</v>
      </c>
      <c r="AC7" s="592">
        <f>'[10]Table 10 CWTs exp'!AD7</f>
        <v>0.97799999999999998</v>
      </c>
      <c r="AD7" s="592">
        <f>Y7-AC7</f>
        <v>-4.1379310344835663E-4</v>
      </c>
      <c r="AE7" s="593" t="str">
        <f>A7</f>
        <v>FRFH501</v>
      </c>
      <c r="AF7" s="442"/>
      <c r="AH7" s="149"/>
      <c r="AI7" s="150"/>
    </row>
    <row r="8" spans="1:35" ht="14.5" customHeight="1" x14ac:dyDescent="0.25">
      <c r="A8" s="54" t="str">
        <f>'[10]Table 10 CWTs exp'!A8</f>
        <v>KESW503</v>
      </c>
      <c r="B8" s="75" t="str">
        <f>'[10]Table 10 CWTs exp'!B8</f>
        <v>KESW</v>
      </c>
      <c r="C8" s="75">
        <f>'[10]Table 10 CWTs exp'!C8</f>
        <v>50</v>
      </c>
      <c r="D8" s="75">
        <f>'[10]Table 10 CWTs exp'!D8</f>
        <v>3</v>
      </c>
      <c r="E8" s="3" t="str">
        <f>'[10]Table 10 CWTs exp'!E8</f>
        <v>Keswick Dam Fish Trap</v>
      </c>
      <c r="F8" s="143" t="str">
        <f>'[10]Table 10 CWTs exp'!F8</f>
        <v>Fall</v>
      </c>
      <c r="G8" s="151" t="str">
        <f>IF('[10]Table 10 CWTs exp'!G8/'[10]Table 10 CWTs exp'!$AA8&gt;0,'[10]Table 10 CWTs exp'!G8/'[10]Table 10 CWTs exp'!$AA8," ")</f>
        <v xml:space="preserve"> </v>
      </c>
      <c r="H8" s="145" t="str">
        <f>IF('[10]Table 10 CWTs exp'!H8/'[10]Table 10 CWTs exp'!$AA8&gt;0,'[10]Table 10 CWTs exp'!H8/'[10]Table 10 CWTs exp'!$AA8," ")</f>
        <v xml:space="preserve"> </v>
      </c>
      <c r="I8" s="144">
        <f>IF('[10]Table 10 CWTs exp'!I8/'[10]Table 10 CWTs exp'!$AA8&gt;0,'[10]Table 10 CWTs exp'!I8/'[10]Table 10 CWTs exp'!$AA8," ")</f>
        <v>0.25225225225225223</v>
      </c>
      <c r="J8" s="146" t="str">
        <f>IF('[10]Table 10 CWTs exp'!J8/'[10]Table 10 CWTs exp'!$AA8&gt;0,'[10]Table 10 CWTs exp'!J8/'[10]Table 10 CWTs exp'!$AA8," ")</f>
        <v xml:space="preserve"> </v>
      </c>
      <c r="K8" s="144" t="str">
        <f>IF('[10]Table 10 CWTs exp'!K8/'[10]Table 10 CWTs exp'!$AA8&gt;0,'[10]Table 10 CWTs exp'!K8/'[10]Table 10 CWTs exp'!$AA8," ")</f>
        <v xml:space="preserve"> </v>
      </c>
      <c r="L8" s="144" t="str">
        <f>IF('[10]Table 10 CWTs exp'!L8/'[10]Table 10 CWTs exp'!$AA8&gt;0,'[10]Table 10 CWTs exp'!L8/'[10]Table 10 CWTs exp'!$AA8," ")</f>
        <v xml:space="preserve"> </v>
      </c>
      <c r="M8" s="144" t="str">
        <f>IF('[10]Table 10 CWTs exp'!M8/'[10]Table 10 CWTs exp'!$AA8&gt;0,'[10]Table 10 CWTs exp'!M8/'[10]Table 10 CWTs exp'!$AA8," ")</f>
        <v xml:space="preserve"> </v>
      </c>
      <c r="N8" s="144">
        <f>IF('[10]Table 10 CWTs exp'!N8/'[10]Table 10 CWTs exp'!$AA8&gt;0,'[10]Table 10 CWTs exp'!N8/'[10]Table 10 CWTs exp'!$AA8," ")</f>
        <v>0.10810810810810811</v>
      </c>
      <c r="O8" s="144">
        <f>IF('[10]Table 10 CWTs exp'!O8/'[10]Table 10 CWTs exp'!$AA8&gt;0,'[10]Table 10 CWTs exp'!O8/'[10]Table 10 CWTs exp'!$AA8," ")</f>
        <v>5.4054054054054057E-2</v>
      </c>
      <c r="P8" s="144" t="str">
        <f>IF('[10]Table 10 CWTs exp'!P8/'[10]Table 10 CWTs exp'!$AA8&gt;0,'[10]Table 10 CWTs exp'!P8/'[10]Table 10 CWTs exp'!$AA8," ")</f>
        <v xml:space="preserve"> </v>
      </c>
      <c r="Q8" s="146" t="str">
        <f>IF('[10]Table 10 CWTs exp'!Q8/'[10]Table 10 CWTs exp'!$AA8&gt;0,'[10]Table 10 CWTs exp'!Q8/'[10]Table 10 CWTs exp'!$AA8," ")</f>
        <v xml:space="preserve"> </v>
      </c>
      <c r="R8" s="144" t="str">
        <f>IF('[10]Table 10 CWTs exp'!R8/'[10]Table 10 CWTs exp'!$AA8&gt;0,'[10]Table 10 CWTs exp'!R8/'[10]Table 10 CWTs exp'!$AA8," ")</f>
        <v xml:space="preserve"> </v>
      </c>
      <c r="S8" s="146">
        <f>IF('[10]Table 10 CWTs exp'!S8/'[10]Table 10 CWTs exp'!$AA8&gt;0,'[10]Table 10 CWTs exp'!S8/'[10]Table 10 CWTs exp'!$AA8," ")</f>
        <v>3.6036036036036036E-2</v>
      </c>
      <c r="T8" s="144" t="str">
        <f>IF('[10]Table 10 CWTs exp'!T8/'[10]Table 10 CWTs exp'!$AA8&gt;0,'[10]Table 10 CWTs exp'!T8/'[10]Table 10 CWTs exp'!$AA8," ")</f>
        <v xml:space="preserve"> </v>
      </c>
      <c r="U8" s="144">
        <f>IF('[10]Table 10 CWTs exp'!U8/'[10]Table 10 CWTs exp'!$AA8&gt;0,'[10]Table 10 CWTs exp'!U8/'[10]Table 10 CWTs exp'!$AA8," ")</f>
        <v>3.6036036036036036E-2</v>
      </c>
      <c r="V8" s="144" t="str">
        <f>IF('[10]Table 10 CWTs exp'!V8/'[10]Table 10 CWTs exp'!$AA8&gt;0,'[10]Table 10 CWTs exp'!V8/'[10]Table 10 CWTs exp'!$AA8," ")</f>
        <v xml:space="preserve"> </v>
      </c>
      <c r="W8" s="146" t="str">
        <f>IF('[10]Table 10 CWTs exp'!W8/'[10]Table 10 CWTs exp'!$AA8&gt;0,'[10]Table 10 CWTs exp'!W8/'[10]Table 10 CWTs exp'!$AA8," ")</f>
        <v xml:space="preserve"> </v>
      </c>
      <c r="X8" s="144" t="str">
        <f>IF('[10]Table 10 CWTs exp'!X8/'[10]Table 10 CWTs exp'!$AA8&gt;0,'[10]Table 10 CWTs exp'!X8/'[10]Table 10 CWTs exp'!$AA8," ")</f>
        <v xml:space="preserve"> </v>
      </c>
      <c r="Y8" s="147">
        <f t="shared" ref="Y8:Y40" si="0">SUM(G8:X8)</f>
        <v>0.48648648648648651</v>
      </c>
      <c r="Z8" s="148">
        <f t="shared" ref="Z8:Z13" si="1">1-Y8</f>
        <v>0.51351351351351349</v>
      </c>
      <c r="AA8" s="38">
        <f>'[10]Table 10 CWTs exp'!AA8</f>
        <v>111</v>
      </c>
      <c r="AC8" s="592">
        <f>'[10]Table 10 CWTs exp'!AD8</f>
        <v>0.48599999999999999</v>
      </c>
      <c r="AD8" s="592">
        <f t="shared" ref="AD8:AD53" si="2">Y8-AC8</f>
        <v>4.8648648648652593E-4</v>
      </c>
      <c r="AE8" s="593" t="str">
        <f t="shared" ref="AE8:AE39" si="3">A8</f>
        <v>KESW503</v>
      </c>
      <c r="AF8" s="442"/>
      <c r="AH8" s="149"/>
      <c r="AI8" s="150"/>
    </row>
    <row r="9" spans="1:35" ht="14.5" customHeight="1" x14ac:dyDescent="0.25">
      <c r="A9" s="54" t="str">
        <f>'[10]Table 10 CWTs exp'!A9</f>
        <v>CNFH503</v>
      </c>
      <c r="B9" s="75" t="str">
        <f>'[10]Table 10 CWTs exp'!B9</f>
        <v>CNFH</v>
      </c>
      <c r="C9" s="75">
        <f>'[10]Table 10 CWTs exp'!C9</f>
        <v>50</v>
      </c>
      <c r="D9" s="75">
        <f>'[10]Table 10 CWTs exp'!D9</f>
        <v>3</v>
      </c>
      <c r="E9" s="3" t="str">
        <f>'[10]Table 10 CWTs exp'!E9</f>
        <v>Coleman National Fish Hatchery</v>
      </c>
      <c r="F9" s="143" t="str">
        <f>'[10]Table 10 CWTs exp'!F9</f>
        <v>Fall</v>
      </c>
      <c r="G9" s="151" t="str">
        <f>IF('[10]Table 10 CWTs exp'!G9/'[10]Table 10 CWTs exp'!$AA9&gt;0,'[10]Table 10 CWTs exp'!G9/'[10]Table 10 CWTs exp'!$AA9," ")</f>
        <v xml:space="preserve"> </v>
      </c>
      <c r="H9" s="145" t="str">
        <f>IF('[10]Table 10 CWTs exp'!H9/'[10]Table 10 CWTs exp'!$AA9&gt;0,'[10]Table 10 CWTs exp'!H9/'[10]Table 10 CWTs exp'!$AA9," ")</f>
        <v xml:space="preserve"> </v>
      </c>
      <c r="I9" s="144">
        <f>IF('[10]Table 10 CWTs exp'!I9/'[10]Table 10 CWTs exp'!$AA9&gt;0,'[10]Table 10 CWTs exp'!I9/'[10]Table 10 CWTs exp'!$AA9," ")</f>
        <v>0.8542839274546592</v>
      </c>
      <c r="J9" s="146">
        <f>IF('[10]Table 10 CWTs exp'!J9/'[10]Table 10 CWTs exp'!$AA9&gt;0,'[10]Table 10 CWTs exp'!J9/'[10]Table 10 CWTs exp'!$AA9," ")</f>
        <v>4.3777360850531582E-3</v>
      </c>
      <c r="K9" s="144">
        <f>IF('[10]Table 10 CWTs exp'!K9/'[10]Table 10 CWTs exp'!$AA9&gt;0,'[10]Table 10 CWTs exp'!K9/'[10]Table 10 CWTs exp'!$AA9," ")</f>
        <v>1.5634771732332708E-4</v>
      </c>
      <c r="L9" s="144" t="str">
        <f>IF('[10]Table 10 CWTs exp'!L9/'[10]Table 10 CWTs exp'!$AA9&gt;0,'[10]Table 10 CWTs exp'!L9/'[10]Table 10 CWTs exp'!$AA9," ")</f>
        <v xml:space="preserve"> </v>
      </c>
      <c r="M9" s="144" t="str">
        <f>IF('[10]Table 10 CWTs exp'!M9/'[10]Table 10 CWTs exp'!$AA9&gt;0,'[10]Table 10 CWTs exp'!M9/'[10]Table 10 CWTs exp'!$AA9," ")</f>
        <v xml:space="preserve"> </v>
      </c>
      <c r="N9" s="144">
        <f>IF('[10]Table 10 CWTs exp'!N9/'[10]Table 10 CWTs exp'!$AA9&gt;0,'[10]Table 10 CWTs exp'!N9/'[10]Table 10 CWTs exp'!$AA9," ")</f>
        <v>1.2507817385866166E-3</v>
      </c>
      <c r="O9" s="144">
        <f>IF('[10]Table 10 CWTs exp'!O9/'[10]Table 10 CWTs exp'!$AA9&gt;0,'[10]Table 10 CWTs exp'!O9/'[10]Table 10 CWTs exp'!$AA9," ")</f>
        <v>1.5634771732332708E-4</v>
      </c>
      <c r="P9" s="144" t="str">
        <f>IF('[10]Table 10 CWTs exp'!P9/'[10]Table 10 CWTs exp'!$AA9&gt;0,'[10]Table 10 CWTs exp'!P9/'[10]Table 10 CWTs exp'!$AA9," ")</f>
        <v xml:space="preserve"> </v>
      </c>
      <c r="Q9" s="146" t="str">
        <f>IF('[10]Table 10 CWTs exp'!Q9/'[10]Table 10 CWTs exp'!$AA9&gt;0,'[10]Table 10 CWTs exp'!Q9/'[10]Table 10 CWTs exp'!$AA9," ")</f>
        <v xml:space="preserve"> </v>
      </c>
      <c r="R9" s="144" t="str">
        <f>IF('[10]Table 10 CWTs exp'!R9/'[10]Table 10 CWTs exp'!$AA9&gt;0,'[10]Table 10 CWTs exp'!R9/'[10]Table 10 CWTs exp'!$AA9," ")</f>
        <v xml:space="preserve"> </v>
      </c>
      <c r="S9" s="146">
        <f>IF('[10]Table 10 CWTs exp'!S9/'[10]Table 10 CWTs exp'!$AA9&gt;0,'[10]Table 10 CWTs exp'!S9/'[10]Table 10 CWTs exp'!$AA9," ")</f>
        <v>1.2507817385866166E-3</v>
      </c>
      <c r="T9" s="144" t="str">
        <f>IF('[10]Table 10 CWTs exp'!T9/'[10]Table 10 CWTs exp'!$AA9&gt;0,'[10]Table 10 CWTs exp'!T9/'[10]Table 10 CWTs exp'!$AA9," ")</f>
        <v xml:space="preserve"> </v>
      </c>
      <c r="U9" s="144">
        <f>IF('[10]Table 10 CWTs exp'!U9/'[10]Table 10 CWTs exp'!$AA9&gt;0,'[10]Table 10 CWTs exp'!U9/'[10]Table 10 CWTs exp'!$AA9," ")</f>
        <v>6.2539086929330832E-3</v>
      </c>
      <c r="V9" s="144">
        <f>IF('[10]Table 10 CWTs exp'!V9/'[10]Table 10 CWTs exp'!$AA9&gt;0,'[10]Table 10 CWTs exp'!V9/'[10]Table 10 CWTs exp'!$AA9," ")</f>
        <v>4.6904315196998124E-4</v>
      </c>
      <c r="W9" s="146">
        <f>IF('[10]Table 10 CWTs exp'!W9/'[10]Table 10 CWTs exp'!$AA9&gt;0,'[10]Table 10 CWTs exp'!W9/'[10]Table 10 CWTs exp'!$AA9," ")</f>
        <v>1.5634771732332708E-4</v>
      </c>
      <c r="X9" s="144">
        <f>IF('[10]Table 10 CWTs exp'!X9/'[10]Table 10 CWTs exp'!$AA9&gt;0,'[10]Table 10 CWTs exp'!X9/'[10]Table 10 CWTs exp'!$AA9," ")</f>
        <v>3.1269543464665416E-4</v>
      </c>
      <c r="Y9" s="147">
        <f t="shared" si="0"/>
        <v>0.86866791744840521</v>
      </c>
      <c r="Z9" s="148">
        <f t="shared" si="1"/>
        <v>0.13133208255159479</v>
      </c>
      <c r="AA9" s="38">
        <f>'[10]Table 10 CWTs exp'!AA9</f>
        <v>6396</v>
      </c>
      <c r="AC9" s="592">
        <f>'[10]Table 10 CWTs exp'!AD9</f>
        <v>0.86899999999999999</v>
      </c>
      <c r="AD9" s="592">
        <f t="shared" si="2"/>
        <v>-3.3208255159478117E-4</v>
      </c>
      <c r="AE9" s="593" t="str">
        <f t="shared" si="3"/>
        <v>CNFH503</v>
      </c>
      <c r="AF9" s="442"/>
      <c r="AH9" s="149"/>
      <c r="AI9" s="150"/>
    </row>
    <row r="10" spans="1:35" ht="14.5" customHeight="1" x14ac:dyDescent="0.25">
      <c r="A10" s="54" t="str">
        <f>'[10]Table 10 CWTs exp'!A10</f>
        <v>FRFH503</v>
      </c>
      <c r="B10" s="75" t="str">
        <f>'[10]Table 10 CWTs exp'!B10</f>
        <v>FRFH</v>
      </c>
      <c r="C10" s="75">
        <f>'[10]Table 10 CWTs exp'!C10</f>
        <v>50</v>
      </c>
      <c r="D10" s="75">
        <f>'[10]Table 10 CWTs exp'!D10</f>
        <v>3</v>
      </c>
      <c r="E10" s="3" t="str">
        <f>'[10]Table 10 CWTs exp'!E10</f>
        <v>Feather River Hatchery</v>
      </c>
      <c r="F10" s="143" t="str">
        <f>'[10]Table 10 CWTs exp'!F10</f>
        <v>Fall</v>
      </c>
      <c r="G10" s="151" t="str">
        <f>IF('[10]Table 10 CWTs exp'!G10/'[10]Table 10 CWTs exp'!$AA10&gt;0,'[10]Table 10 CWTs exp'!G10/'[10]Table 10 CWTs exp'!$AA10," ")</f>
        <v xml:space="preserve"> </v>
      </c>
      <c r="H10" s="145">
        <f>IF('[10]Table 10 CWTs exp'!H10/'[10]Table 10 CWTs exp'!$AA10&gt;0,'[10]Table 10 CWTs exp'!H10/'[10]Table 10 CWTs exp'!$AA10," ")</f>
        <v>7.9853070350554981E-5</v>
      </c>
      <c r="I10" s="144">
        <f>IF('[10]Table 10 CWTs exp'!I10/'[10]Table 10 CWTs exp'!$AA10&gt;0,'[10]Table 10 CWTs exp'!I10/'[10]Table 10 CWTs exp'!$AA10," ")</f>
        <v>1.5970614070110996E-4</v>
      </c>
      <c r="J10" s="146">
        <f>IF('[10]Table 10 CWTs exp'!J10/'[10]Table 10 CWTs exp'!$AA10&gt;0,'[10]Table 10 CWTs exp'!J10/'[10]Table 10 CWTs exp'!$AA10," ")</f>
        <v>1.3614948494769625E-2</v>
      </c>
      <c r="K10" s="144">
        <f>IF('[10]Table 10 CWTs exp'!K10/'[10]Table 10 CWTs exp'!$AA10&gt;0,'[10]Table 10 CWTs exp'!K10/'[10]Table 10 CWTs exp'!$AA10," ")</f>
        <v>2.3117463866485666E-2</v>
      </c>
      <c r="L10" s="144">
        <f>IF('[10]Table 10 CWTs exp'!L10/'[10]Table 10 CWTs exp'!$AA10&gt;0,'[10]Table 10 CWTs exp'!L10/'[10]Table 10 CWTs exp'!$AA10," ")</f>
        <v>2.4355186456919268E-3</v>
      </c>
      <c r="M10" s="144">
        <f>IF('[10]Table 10 CWTs exp'!M10/'[10]Table 10 CWTs exp'!$AA10&gt;0,'[10]Table 10 CWTs exp'!M10/'[10]Table 10 CWTs exp'!$AA10," ")</f>
        <v>1.7567675477122096E-3</v>
      </c>
      <c r="N10" s="144">
        <f>IF('[10]Table 10 CWTs exp'!N10/'[10]Table 10 CWTs exp'!$AA10&gt;0,'[10]Table 10 CWTs exp'!N10/'[10]Table 10 CWTs exp'!$AA10," ")</f>
        <v>0.85015571348718355</v>
      </c>
      <c r="O10" s="144">
        <f>IF('[10]Table 10 CWTs exp'!O10/'[10]Table 10 CWTs exp'!$AA10&gt;0,'[10]Table 10 CWTs exp'!O10/'[10]Table 10 CWTs exp'!$AA10," ")</f>
        <v>5.6655753413718757E-2</v>
      </c>
      <c r="P10" s="144">
        <f>IF('[10]Table 10 CWTs exp'!P10/'[10]Table 10 CWTs exp'!$AA10&gt;0,'[10]Table 10 CWTs exp'!P10/'[10]Table 10 CWTs exp'!$AA10," ")</f>
        <v>1.5172083366605446E-3</v>
      </c>
      <c r="Q10" s="146">
        <f>IF('[10]Table 10 CWTs exp'!Q10/'[10]Table 10 CWTs exp'!$AA10&gt;0,'[10]Table 10 CWTs exp'!Q10/'[10]Table 10 CWTs exp'!$AA10," ")</f>
        <v>3.992653517527749E-4</v>
      </c>
      <c r="R10" s="144" t="str">
        <f>IF('[10]Table 10 CWTs exp'!R10/'[10]Table 10 CWTs exp'!$AA10&gt;0,'[10]Table 10 CWTs exp'!R10/'[10]Table 10 CWTs exp'!$AA10," ")</f>
        <v xml:space="preserve"> </v>
      </c>
      <c r="S10" s="146">
        <f>IF('[10]Table 10 CWTs exp'!S10/'[10]Table 10 CWTs exp'!$AA10&gt;0,'[10]Table 10 CWTs exp'!S10/'[10]Table 10 CWTs exp'!$AA10," ")</f>
        <v>3.8329473768266391E-3</v>
      </c>
      <c r="T10" s="144">
        <f>IF('[10]Table 10 CWTs exp'!T10/'[10]Table 10 CWTs exp'!$AA10&gt;0,'[10]Table 10 CWTs exp'!T10/'[10]Table 10 CWTs exp'!$AA10," ")</f>
        <v>1.9963267587638745E-4</v>
      </c>
      <c r="U10" s="144">
        <f>IF('[10]Table 10 CWTs exp'!U10/'[10]Table 10 CWTs exp'!$AA10&gt;0,'[10]Table 10 CWTs exp'!U10/'[10]Table 10 CWTs exp'!$AA10," ")</f>
        <v>9.6222949772418742E-3</v>
      </c>
      <c r="V10" s="144">
        <f>IF('[10]Table 10 CWTs exp'!V10/'[10]Table 10 CWTs exp'!$AA10&gt;0,'[10]Table 10 CWTs exp'!V10/'[10]Table 10 CWTs exp'!$AA10," ")</f>
        <v>3.1941228140221992E-3</v>
      </c>
      <c r="W10" s="146">
        <f>IF('[10]Table 10 CWTs exp'!W10/'[10]Table 10 CWTs exp'!$AA10&gt;0,'[10]Table 10 CWTs exp'!W10/'[10]Table 10 CWTs exp'!$AA10," ")</f>
        <v>8.7838377385610479E-4</v>
      </c>
      <c r="X10" s="144">
        <f>IF('[10]Table 10 CWTs exp'!X10/'[10]Table 10 CWTs exp'!$AA10&gt;0,'[10]Table 10 CWTs exp'!X10/'[10]Table 10 CWTs exp'!$AA10," ")</f>
        <v>4.2322127285794138E-3</v>
      </c>
      <c r="Y10" s="147">
        <f t="shared" si="0"/>
        <v>0.9718517927014293</v>
      </c>
      <c r="Z10" s="148">
        <f t="shared" si="1"/>
        <v>2.8148207298570704E-2</v>
      </c>
      <c r="AA10" s="38">
        <f>'[10]Table 10 CWTs exp'!AA10</f>
        <v>25046</v>
      </c>
      <c r="AC10" s="592">
        <f>'[10]Table 10 CWTs exp'!AD10</f>
        <v>0.97199999999999998</v>
      </c>
      <c r="AD10" s="592">
        <f t="shared" si="2"/>
        <v>-1.4820729857067949E-4</v>
      </c>
      <c r="AE10" s="593" t="str">
        <f t="shared" si="3"/>
        <v>FRFH503</v>
      </c>
      <c r="AF10" s="442"/>
      <c r="AH10" s="149"/>
      <c r="AI10" s="150"/>
    </row>
    <row r="11" spans="1:35" ht="14.5" customHeight="1" x14ac:dyDescent="0.25">
      <c r="A11" s="54" t="str">
        <f>'[10]Table 10 CWTs exp'!A11</f>
        <v>NBFH503</v>
      </c>
      <c r="B11" s="75" t="str">
        <f>'[10]Table 10 CWTs exp'!B11</f>
        <v>NBFH</v>
      </c>
      <c r="C11" s="75">
        <f>'[10]Table 10 CWTs exp'!C11</f>
        <v>50</v>
      </c>
      <c r="D11" s="75">
        <f>'[10]Table 10 CWTs exp'!D11</f>
        <v>3</v>
      </c>
      <c r="E11" s="3" t="str">
        <f>'[10]Table 10 CWTs exp'!E11</f>
        <v>Nimbus Fish Hatchery</v>
      </c>
      <c r="F11" s="143" t="str">
        <f>'[10]Table 10 CWTs exp'!F11</f>
        <v>Fall</v>
      </c>
      <c r="G11" s="151" t="str">
        <f>IF('[10]Table 10 CWTs exp'!G11/'[10]Table 10 CWTs exp'!$AA11&gt;0,'[10]Table 10 CWTs exp'!G11/'[10]Table 10 CWTs exp'!$AA11," ")</f>
        <v xml:space="preserve"> </v>
      </c>
      <c r="H11" s="145">
        <f>IF('[10]Table 10 CWTs exp'!H11/'[10]Table 10 CWTs exp'!$AA11&gt;0,'[10]Table 10 CWTs exp'!H11/'[10]Table 10 CWTs exp'!$AA11," ")</f>
        <v>1.8905378580206069E-4</v>
      </c>
      <c r="I11" s="144" t="str">
        <f>IF('[10]Table 10 CWTs exp'!I11/'[10]Table 10 CWTs exp'!$AA11&gt;0,'[10]Table 10 CWTs exp'!I11/'[10]Table 10 CWTs exp'!$AA11," ")</f>
        <v xml:space="preserve"> </v>
      </c>
      <c r="J11" s="146">
        <f>IF('[10]Table 10 CWTs exp'!J11/'[10]Table 10 CWTs exp'!$AA11&gt;0,'[10]Table 10 CWTs exp'!J11/'[10]Table 10 CWTs exp'!$AA11," ")</f>
        <v>0.22724265053407694</v>
      </c>
      <c r="K11" s="144" t="str">
        <f>IF('[10]Table 10 CWTs exp'!K11/'[10]Table 10 CWTs exp'!$AA11&gt;0,'[10]Table 10 CWTs exp'!K11/'[10]Table 10 CWTs exp'!$AA11," ")</f>
        <v xml:space="preserve"> </v>
      </c>
      <c r="L11" s="144" t="str">
        <f>IF('[10]Table 10 CWTs exp'!L11/'[10]Table 10 CWTs exp'!$AA11&gt;0,'[10]Table 10 CWTs exp'!L11/'[10]Table 10 CWTs exp'!$AA11," ")</f>
        <v xml:space="preserve"> </v>
      </c>
      <c r="M11" s="144" t="str">
        <f>IF('[10]Table 10 CWTs exp'!M11/'[10]Table 10 CWTs exp'!$AA11&gt;0,'[10]Table 10 CWTs exp'!M11/'[10]Table 10 CWTs exp'!$AA11," ")</f>
        <v xml:space="preserve"> </v>
      </c>
      <c r="N11" s="144">
        <f>IF('[10]Table 10 CWTs exp'!N11/'[10]Table 10 CWTs exp'!$AA11&gt;0,'[10]Table 10 CWTs exp'!N11/'[10]Table 10 CWTs exp'!$AA11," ")</f>
        <v>9.1407505435296341E-2</v>
      </c>
      <c r="O11" s="144">
        <f>IF('[10]Table 10 CWTs exp'!O11/'[10]Table 10 CWTs exp'!$AA11&gt;0,'[10]Table 10 CWTs exp'!O11/'[10]Table 10 CWTs exp'!$AA11," ")</f>
        <v>1.6542206257680311E-2</v>
      </c>
      <c r="P11" s="144">
        <f>IF('[10]Table 10 CWTs exp'!P11/'[10]Table 10 CWTs exp'!$AA11&gt;0,'[10]Table 10 CWTs exp'!P11/'[10]Table 10 CWTs exp'!$AA11," ")</f>
        <v>2.8358067870309103E-4</v>
      </c>
      <c r="Q11" s="146" t="str">
        <f>IF('[10]Table 10 CWTs exp'!Q11/'[10]Table 10 CWTs exp'!$AA11&gt;0,'[10]Table 10 CWTs exp'!Q11/'[10]Table 10 CWTs exp'!$AA11," ")</f>
        <v xml:space="preserve"> </v>
      </c>
      <c r="R11" s="144">
        <f>IF('[10]Table 10 CWTs exp'!R11/'[10]Table 10 CWTs exp'!$AA11&gt;0,'[10]Table 10 CWTs exp'!R11/'[10]Table 10 CWTs exp'!$AA11," ")</f>
        <v>1.2477549862936005E-2</v>
      </c>
      <c r="S11" s="146">
        <f>IF('[10]Table 10 CWTs exp'!S11/'[10]Table 10 CWTs exp'!$AA11&gt;0,'[10]Table 10 CWTs exp'!S11/'[10]Table 10 CWTs exp'!$AA11," ")</f>
        <v>0.41610738255033558</v>
      </c>
      <c r="T11" s="144">
        <f>IF('[10]Table 10 CWTs exp'!T11/'[10]Table 10 CWTs exp'!$AA11&gt;0,'[10]Table 10 CWTs exp'!T11/'[10]Table 10 CWTs exp'!$AA11," ")</f>
        <v>1.5124302864164855E-3</v>
      </c>
      <c r="U11" s="144">
        <f>IF('[10]Table 10 CWTs exp'!U11/'[10]Table 10 CWTs exp'!$AA11&gt;0,'[10]Table 10 CWTs exp'!U11/'[10]Table 10 CWTs exp'!$AA11," ")</f>
        <v>9.1691086113999426E-2</v>
      </c>
      <c r="V11" s="144">
        <f>IF('[10]Table 10 CWTs exp'!V11/'[10]Table 10 CWTs exp'!$AA11&gt;0,'[10]Table 10 CWTs exp'!V11/'[10]Table 10 CWTs exp'!$AA11," ")</f>
        <v>2.7034691369694677E-2</v>
      </c>
      <c r="W11" s="146">
        <f>IF('[10]Table 10 CWTs exp'!W11/'[10]Table 10 CWTs exp'!$AA11&gt;0,'[10]Table 10 CWTs exp'!W11/'[10]Table 10 CWTs exp'!$AA11," ")</f>
        <v>7.0895169675772758E-3</v>
      </c>
      <c r="X11" s="144">
        <f>IF('[10]Table 10 CWTs exp'!X11/'[10]Table 10 CWTs exp'!$AA11&gt;0,'[10]Table 10 CWTs exp'!X11/'[10]Table 10 CWTs exp'!$AA11," ")</f>
        <v>1.0397958219113337E-2</v>
      </c>
      <c r="Y11" s="147">
        <f t="shared" si="0"/>
        <v>0.90197561206163168</v>
      </c>
      <c r="Z11" s="148">
        <f t="shared" si="1"/>
        <v>9.8024387938368318E-2</v>
      </c>
      <c r="AA11" s="38">
        <f>'[10]Table 10 CWTs exp'!AA11</f>
        <v>10579</v>
      </c>
      <c r="AC11" s="592">
        <f>'[10]Table 10 CWTs exp'!AD11</f>
        <v>0.90200000000000002</v>
      </c>
      <c r="AD11" s="592">
        <f t="shared" si="2"/>
        <v>-2.4387938368342077E-5</v>
      </c>
      <c r="AE11" s="593" t="str">
        <f t="shared" si="3"/>
        <v>NBFH503</v>
      </c>
      <c r="AF11" s="442"/>
      <c r="AH11" s="149"/>
      <c r="AI11" s="150"/>
    </row>
    <row r="12" spans="1:35" ht="14.5" customHeight="1" x14ac:dyDescent="0.25">
      <c r="A12" s="54" t="str">
        <f>'[10]Table 10 CWTs exp'!A12</f>
        <v>MRFI503</v>
      </c>
      <c r="B12" s="75" t="str">
        <f>'[10]Table 10 CWTs exp'!B12</f>
        <v>MRFI</v>
      </c>
      <c r="C12" s="75">
        <f>'[10]Table 10 CWTs exp'!C12</f>
        <v>50</v>
      </c>
      <c r="D12" s="75">
        <f>'[10]Table 10 CWTs exp'!D12</f>
        <v>3</v>
      </c>
      <c r="E12" s="3" t="str">
        <f>'[10]Table 10 CWTs exp'!E12</f>
        <v>Mokelumne River Hatchery</v>
      </c>
      <c r="F12" s="143" t="str">
        <f>'[10]Table 10 CWTs exp'!F12</f>
        <v>Fall</v>
      </c>
      <c r="G12" s="151" t="str">
        <f>IF('[10]Table 10 CWTs exp'!G12/'[10]Table 10 CWTs exp'!$AA12&gt;0,'[10]Table 10 CWTs exp'!G12/'[10]Table 10 CWTs exp'!$AA12," ")</f>
        <v xml:space="preserve"> </v>
      </c>
      <c r="H12" s="145">
        <f>IF('[10]Table 10 CWTs exp'!H12/'[10]Table 10 CWTs exp'!$AA12&gt;0,'[10]Table 10 CWTs exp'!H12/'[10]Table 10 CWTs exp'!$AA12," ")</f>
        <v>4.8886095397723307E-4</v>
      </c>
      <c r="I12" s="144" t="str">
        <f>IF('[10]Table 10 CWTs exp'!I12/'[10]Table 10 CWTs exp'!$AA12&gt;0,'[10]Table 10 CWTs exp'!I12/'[10]Table 10 CWTs exp'!$AA12," ")</f>
        <v xml:space="preserve"> </v>
      </c>
      <c r="J12" s="146">
        <f>IF('[10]Table 10 CWTs exp'!J12/'[10]Table 10 CWTs exp'!$AA12&gt;0,'[10]Table 10 CWTs exp'!J12/'[10]Table 10 CWTs exp'!$AA12," ")</f>
        <v>3.5407500523779591E-2</v>
      </c>
      <c r="K12" s="144" t="str">
        <f>IF('[10]Table 10 CWTs exp'!K12/'[10]Table 10 CWTs exp'!$AA12&gt;0,'[10]Table 10 CWTs exp'!K12/'[10]Table 10 CWTs exp'!$AA12," ")</f>
        <v xml:space="preserve"> </v>
      </c>
      <c r="L12" s="144" t="str">
        <f>IF('[10]Table 10 CWTs exp'!L12/'[10]Table 10 CWTs exp'!$AA12&gt;0,'[10]Table 10 CWTs exp'!L12/'[10]Table 10 CWTs exp'!$AA12," ")</f>
        <v xml:space="preserve"> </v>
      </c>
      <c r="M12" s="144" t="str">
        <f>IF('[10]Table 10 CWTs exp'!M12/'[10]Table 10 CWTs exp'!$AA12&gt;0,'[10]Table 10 CWTs exp'!M12/'[10]Table 10 CWTs exp'!$AA12," ")</f>
        <v xml:space="preserve"> </v>
      </c>
      <c r="N12" s="144">
        <f>IF('[10]Table 10 CWTs exp'!N12/'[10]Table 10 CWTs exp'!$AA12&gt;0,'[10]Table 10 CWTs exp'!N12/'[10]Table 10 CWTs exp'!$AA12," ")</f>
        <v>4.8536909002025279E-2</v>
      </c>
      <c r="O12" s="144">
        <f>IF('[10]Table 10 CWTs exp'!O12/'[10]Table 10 CWTs exp'!$AA12&gt;0,'[10]Table 10 CWTs exp'!O12/'[10]Table 10 CWTs exp'!$AA12," ")</f>
        <v>6.2155178434248198E-3</v>
      </c>
      <c r="P12" s="144" t="str">
        <f>IF('[10]Table 10 CWTs exp'!P12/'[10]Table 10 CWTs exp'!$AA12&gt;0,'[10]Table 10 CWTs exp'!P12/'[10]Table 10 CWTs exp'!$AA12," ")</f>
        <v xml:space="preserve"> </v>
      </c>
      <c r="Q12" s="146" t="str">
        <f>IF('[10]Table 10 CWTs exp'!Q12/'[10]Table 10 CWTs exp'!$AA12&gt;0,'[10]Table 10 CWTs exp'!Q12/'[10]Table 10 CWTs exp'!$AA12," ")</f>
        <v xml:space="preserve"> </v>
      </c>
      <c r="R12" s="144">
        <f>IF('[10]Table 10 CWTs exp'!R12/'[10]Table 10 CWTs exp'!$AA12&gt;0,'[10]Table 10 CWTs exp'!R12/'[10]Table 10 CWTs exp'!$AA12," ")</f>
        <v>2.7934911655841887E-4</v>
      </c>
      <c r="S12" s="146">
        <f>IF('[10]Table 10 CWTs exp'!S12/'[10]Table 10 CWTs exp'!$AA12&gt;0,'[10]Table 10 CWTs exp'!S12/'[10]Table 10 CWTs exp'!$AA12," ")</f>
        <v>0.15168657029122146</v>
      </c>
      <c r="T12" s="144">
        <f>IF('[10]Table 10 CWTs exp'!T12/'[10]Table 10 CWTs exp'!$AA12&gt;0,'[10]Table 10 CWTs exp'!T12/'[10]Table 10 CWTs exp'!$AA12," ")</f>
        <v>7.9614498219149378E-3</v>
      </c>
      <c r="U12" s="144">
        <f>IF('[10]Table 10 CWTs exp'!U12/'[10]Table 10 CWTs exp'!$AA12&gt;0,'[10]Table 10 CWTs exp'!U12/'[10]Table 10 CWTs exp'!$AA12," ")</f>
        <v>0.50345694531741048</v>
      </c>
      <c r="V12" s="144">
        <f>IF('[10]Table 10 CWTs exp'!V12/'[10]Table 10 CWTs exp'!$AA12&gt;0,'[10]Table 10 CWTs exp'!V12/'[10]Table 10 CWTs exp'!$AA12," ")</f>
        <v>0.10615266429219918</v>
      </c>
      <c r="W12" s="146">
        <f>IF('[10]Table 10 CWTs exp'!W12/'[10]Table 10 CWTs exp'!$AA12&gt;0,'[10]Table 10 CWTs exp'!W12/'[10]Table 10 CWTs exp'!$AA12," ")</f>
        <v>5.5590474195125361E-2</v>
      </c>
      <c r="X12" s="144">
        <f>IF('[10]Table 10 CWTs exp'!X12/'[10]Table 10 CWTs exp'!$AA12&gt;0,'[10]Table 10 CWTs exp'!X12/'[10]Table 10 CWTs exp'!$AA12," ")</f>
        <v>2.3465325790907186E-2</v>
      </c>
      <c r="Y12" s="147">
        <f t="shared" si="0"/>
        <v>0.9392415671485439</v>
      </c>
      <c r="Z12" s="148">
        <f t="shared" si="1"/>
        <v>6.0758432851456101E-2</v>
      </c>
      <c r="AA12" s="38">
        <f>'[10]Table 10 CWTs exp'!AA12</f>
        <v>14319</v>
      </c>
      <c r="AC12" s="592">
        <f>'[10]Table 10 CWTs exp'!AD12</f>
        <v>0.93899999999999995</v>
      </c>
      <c r="AD12" s="592">
        <f t="shared" si="2"/>
        <v>2.41567148543953E-4</v>
      </c>
      <c r="AE12" s="593" t="str">
        <f t="shared" si="3"/>
        <v>MRFI503</v>
      </c>
      <c r="AF12" s="442"/>
      <c r="AH12" s="149"/>
      <c r="AI12" s="150"/>
    </row>
    <row r="13" spans="1:35" ht="14.5" customHeight="1" x14ac:dyDescent="0.25">
      <c r="A13" s="54" t="str">
        <f>'[10]Table 10 CWTs exp'!A13</f>
        <v>MRFF503</v>
      </c>
      <c r="B13" s="75" t="str">
        <f>'[10]Table 10 CWTs exp'!B13</f>
        <v>MRFF</v>
      </c>
      <c r="C13" s="75">
        <f>'[10]Table 10 CWTs exp'!C13</f>
        <v>50</v>
      </c>
      <c r="D13" s="75">
        <f>'[10]Table 10 CWTs exp'!D13</f>
        <v>3</v>
      </c>
      <c r="E13" s="3" t="str">
        <f>'[10]Table 10 CWTs exp'!E13</f>
        <v>Merced River Hatchery</v>
      </c>
      <c r="F13" s="143" t="str">
        <f>'[10]Table 10 CWTs exp'!F13</f>
        <v>Fall</v>
      </c>
      <c r="G13" s="151" t="str">
        <f>IF('[10]Table 10 CWTs exp'!G13/'[10]Table 10 CWTs exp'!$AA13&gt;0,'[10]Table 10 CWTs exp'!G13/'[10]Table 10 CWTs exp'!$AA13," ")</f>
        <v xml:space="preserve"> </v>
      </c>
      <c r="H13" s="145">
        <f>IF('[10]Table 10 CWTs exp'!H13/'[10]Table 10 CWTs exp'!$AA13&gt;0,'[10]Table 10 CWTs exp'!H13/'[10]Table 10 CWTs exp'!$AA13," ")</f>
        <v>5.8788947677836567E-4</v>
      </c>
      <c r="I13" s="144" t="str">
        <f>IF('[10]Table 10 CWTs exp'!I13/'[10]Table 10 CWTs exp'!$AA13&gt;0,'[10]Table 10 CWTs exp'!I13/'[10]Table 10 CWTs exp'!$AA13," ")</f>
        <v xml:space="preserve"> </v>
      </c>
      <c r="J13" s="146">
        <f>IF('[10]Table 10 CWTs exp'!J13/'[10]Table 10 CWTs exp'!$AA13&gt;0,'[10]Table 10 CWTs exp'!J13/'[10]Table 10 CWTs exp'!$AA13," ")</f>
        <v>7.5837742504409167E-2</v>
      </c>
      <c r="K13" s="144" t="str">
        <f>IF('[10]Table 10 CWTs exp'!K13/'[10]Table 10 CWTs exp'!$AA13&gt;0,'[10]Table 10 CWTs exp'!K13/'[10]Table 10 CWTs exp'!$AA13," ")</f>
        <v xml:space="preserve"> </v>
      </c>
      <c r="L13" s="144" t="str">
        <f>IF('[10]Table 10 CWTs exp'!L13/'[10]Table 10 CWTs exp'!$AA13&gt;0,'[10]Table 10 CWTs exp'!L13/'[10]Table 10 CWTs exp'!$AA13," ")</f>
        <v xml:space="preserve"> </v>
      </c>
      <c r="M13" s="144" t="str">
        <f>IF('[10]Table 10 CWTs exp'!M13/'[10]Table 10 CWTs exp'!$AA13&gt;0,'[10]Table 10 CWTs exp'!M13/'[10]Table 10 CWTs exp'!$AA13," ")</f>
        <v xml:space="preserve"> </v>
      </c>
      <c r="N13" s="144">
        <f>IF('[10]Table 10 CWTs exp'!N13/'[10]Table 10 CWTs exp'!$AA13&gt;0,'[10]Table 10 CWTs exp'!N13/'[10]Table 10 CWTs exp'!$AA13," ")</f>
        <v>5.8788947677836566E-2</v>
      </c>
      <c r="O13" s="144">
        <f>IF('[10]Table 10 CWTs exp'!O13/'[10]Table 10 CWTs exp'!$AA13&gt;0,'[10]Table 10 CWTs exp'!O13/'[10]Table 10 CWTs exp'!$AA13," ")</f>
        <v>2.9394473838918285E-3</v>
      </c>
      <c r="P13" s="144" t="str">
        <f>IF('[10]Table 10 CWTs exp'!P13/'[10]Table 10 CWTs exp'!$AA13&gt;0,'[10]Table 10 CWTs exp'!P13/'[10]Table 10 CWTs exp'!$AA13," ")</f>
        <v xml:space="preserve"> </v>
      </c>
      <c r="Q13" s="146" t="str">
        <f>IF('[10]Table 10 CWTs exp'!Q13/'[10]Table 10 CWTs exp'!$AA13&gt;0,'[10]Table 10 CWTs exp'!Q13/'[10]Table 10 CWTs exp'!$AA13," ")</f>
        <v xml:space="preserve"> </v>
      </c>
      <c r="R13" s="144" t="str">
        <f>IF('[10]Table 10 CWTs exp'!R13/'[10]Table 10 CWTs exp'!$AA13&gt;0,'[10]Table 10 CWTs exp'!R13/'[10]Table 10 CWTs exp'!$AA13," ")</f>
        <v xml:space="preserve"> </v>
      </c>
      <c r="S13" s="146">
        <f>IF('[10]Table 10 CWTs exp'!S13/'[10]Table 10 CWTs exp'!$AA13&gt;0,'[10]Table 10 CWTs exp'!S13/'[10]Table 10 CWTs exp'!$AA13," ")</f>
        <v>6.8195179306290418E-2</v>
      </c>
      <c r="T13" s="144">
        <f>IF('[10]Table 10 CWTs exp'!T13/'[10]Table 10 CWTs exp'!$AA13&gt;0,'[10]Table 10 CWTs exp'!T13/'[10]Table 10 CWTs exp'!$AA13," ")</f>
        <v>4.11522633744856E-3</v>
      </c>
      <c r="U13" s="144">
        <f>IF('[10]Table 10 CWTs exp'!U13/'[10]Table 10 CWTs exp'!$AA13&gt;0,'[10]Table 10 CWTs exp'!U13/'[10]Table 10 CWTs exp'!$AA13," ")</f>
        <v>0.54438565549676665</v>
      </c>
      <c r="V13" s="144">
        <f>IF('[10]Table 10 CWTs exp'!V13/'[10]Table 10 CWTs exp'!$AA13&gt;0,'[10]Table 10 CWTs exp'!V13/'[10]Table 10 CWTs exp'!$AA13," ")</f>
        <v>4.8206937095825984E-2</v>
      </c>
      <c r="W13" s="146">
        <f>IF('[10]Table 10 CWTs exp'!W13/'[10]Table 10 CWTs exp'!$AA13&gt;0,'[10]Table 10 CWTs exp'!W13/'[10]Table 10 CWTs exp'!$AA13," ")</f>
        <v>1.7636684303350969E-2</v>
      </c>
      <c r="X13" s="144">
        <f>IF('[10]Table 10 CWTs exp'!X13/'[10]Table 10 CWTs exp'!$AA13&gt;0,'[10]Table 10 CWTs exp'!X13/'[10]Table 10 CWTs exp'!$AA13," ")</f>
        <v>0.13991769547325103</v>
      </c>
      <c r="Y13" s="147">
        <f t="shared" si="0"/>
        <v>0.96061140505584963</v>
      </c>
      <c r="Z13" s="148">
        <f t="shared" si="1"/>
        <v>3.9388594944150368E-2</v>
      </c>
      <c r="AA13" s="38">
        <f>'[10]Table 10 CWTs exp'!AA13</f>
        <v>1701</v>
      </c>
      <c r="AC13" s="592">
        <f>'[10]Table 10 CWTs exp'!AD13</f>
        <v>0.96099999999999997</v>
      </c>
      <c r="AD13" s="592">
        <f t="shared" si="2"/>
        <v>-3.8859494415033335E-4</v>
      </c>
      <c r="AE13" s="593" t="str">
        <f t="shared" si="3"/>
        <v>MRFF503</v>
      </c>
      <c r="AF13" s="442"/>
      <c r="AH13" s="149"/>
      <c r="AI13" s="150"/>
    </row>
    <row r="14" spans="1:35" ht="14.5" customHeight="1" x14ac:dyDescent="0.25">
      <c r="A14" s="54" t="str">
        <f>'[10]Table 10 CWTs exp'!A14</f>
        <v>CNFH507</v>
      </c>
      <c r="B14" s="75" t="str">
        <f>'[10]Table 10 CWTs exp'!B14</f>
        <v>CNFH</v>
      </c>
      <c r="C14" s="75">
        <f>'[10]Table 10 CWTs exp'!C14</f>
        <v>50</v>
      </c>
      <c r="D14" s="75">
        <f>'[10]Table 10 CWTs exp'!D14</f>
        <v>7</v>
      </c>
      <c r="E14" s="3" t="str">
        <f>'[10]Table 10 CWTs exp'!E14</f>
        <v xml:space="preserve">Coleman National Fish Hatchery </v>
      </c>
      <c r="F14" s="37" t="s">
        <v>133</v>
      </c>
      <c r="G14" s="151" t="str">
        <f>IF('[10]Table 10 CWTs exp'!G14/'[10]Table 10 CWTs exp'!$AA14&gt;0,'[10]Table 10 CWTs exp'!G14/'[10]Table 10 CWTs exp'!$AA14," ")</f>
        <v xml:space="preserve"> </v>
      </c>
      <c r="H14" s="145">
        <f>IF('[10]Table 10 CWTs exp'!H14/'[10]Table 10 CWTs exp'!$AA14&gt;0,'[10]Table 10 CWTs exp'!H14/'[10]Table 10 CWTs exp'!$AA14," ")</f>
        <v>1</v>
      </c>
      <c r="I14" s="144" t="str">
        <f>IF('[10]Table 10 CWTs exp'!I14/'[10]Table 10 CWTs exp'!$AA14&gt;0,'[10]Table 10 CWTs exp'!I14/'[10]Table 10 CWTs exp'!$AA14," ")</f>
        <v xml:space="preserve"> </v>
      </c>
      <c r="J14" s="146" t="str">
        <f>IF('[10]Table 10 CWTs exp'!J14/'[10]Table 10 CWTs exp'!$AA14&gt;0,'[10]Table 10 CWTs exp'!J14/'[10]Table 10 CWTs exp'!$AA14," ")</f>
        <v xml:space="preserve"> </v>
      </c>
      <c r="K14" s="144" t="str">
        <f>IF('[10]Table 10 CWTs exp'!K14/'[10]Table 10 CWTs exp'!$AA14&gt;0,'[10]Table 10 CWTs exp'!K14/'[10]Table 10 CWTs exp'!$AA14," ")</f>
        <v xml:space="preserve"> </v>
      </c>
      <c r="L14" s="144" t="str">
        <f>IF('[10]Table 10 CWTs exp'!L14/'[10]Table 10 CWTs exp'!$AA14&gt;0,'[10]Table 10 CWTs exp'!L14/'[10]Table 10 CWTs exp'!$AA14," ")</f>
        <v xml:space="preserve"> </v>
      </c>
      <c r="M14" s="144" t="str">
        <f>IF('[10]Table 10 CWTs exp'!M14/'[10]Table 10 CWTs exp'!$AA14&gt;0,'[10]Table 10 CWTs exp'!M14/'[10]Table 10 CWTs exp'!$AA14," ")</f>
        <v xml:space="preserve"> </v>
      </c>
      <c r="N14" s="144" t="str">
        <f>IF('[10]Table 10 CWTs exp'!N14/'[10]Table 10 CWTs exp'!$AA14&gt;0,'[10]Table 10 CWTs exp'!N14/'[10]Table 10 CWTs exp'!$AA14," ")</f>
        <v xml:space="preserve"> </v>
      </c>
      <c r="O14" s="144" t="str">
        <f>IF('[10]Table 10 CWTs exp'!O14/'[10]Table 10 CWTs exp'!$AA14&gt;0,'[10]Table 10 CWTs exp'!O14/'[10]Table 10 CWTs exp'!$AA14," ")</f>
        <v xml:space="preserve"> </v>
      </c>
      <c r="P14" s="144" t="str">
        <f>IF('[10]Table 10 CWTs exp'!P14/'[10]Table 10 CWTs exp'!$AA14&gt;0,'[10]Table 10 CWTs exp'!P14/'[10]Table 10 CWTs exp'!$AA14," ")</f>
        <v xml:space="preserve"> </v>
      </c>
      <c r="Q14" s="146" t="str">
        <f>IF('[10]Table 10 CWTs exp'!Q14/'[10]Table 10 CWTs exp'!$AA14&gt;0,'[10]Table 10 CWTs exp'!Q14/'[10]Table 10 CWTs exp'!$AA14," ")</f>
        <v xml:space="preserve"> </v>
      </c>
      <c r="R14" s="144" t="str">
        <f>IF('[10]Table 10 CWTs exp'!R14/'[10]Table 10 CWTs exp'!$AA14&gt;0,'[10]Table 10 CWTs exp'!R14/'[10]Table 10 CWTs exp'!$AA14," ")</f>
        <v xml:space="preserve"> </v>
      </c>
      <c r="S14" s="146" t="str">
        <f>IF('[10]Table 10 CWTs exp'!S14/'[10]Table 10 CWTs exp'!$AA14&gt;0,'[10]Table 10 CWTs exp'!S14/'[10]Table 10 CWTs exp'!$AA14," ")</f>
        <v xml:space="preserve"> </v>
      </c>
      <c r="T14" s="144" t="str">
        <f>IF('[10]Table 10 CWTs exp'!T14/'[10]Table 10 CWTs exp'!$AA14&gt;0,'[10]Table 10 CWTs exp'!T14/'[10]Table 10 CWTs exp'!$AA14," ")</f>
        <v xml:space="preserve"> </v>
      </c>
      <c r="U14" s="144" t="str">
        <f>IF('[10]Table 10 CWTs exp'!U14/'[10]Table 10 CWTs exp'!$AA14&gt;0,'[10]Table 10 CWTs exp'!U14/'[10]Table 10 CWTs exp'!$AA14," ")</f>
        <v xml:space="preserve"> </v>
      </c>
      <c r="V14" s="144" t="str">
        <f>IF('[10]Table 10 CWTs exp'!V14/'[10]Table 10 CWTs exp'!$AA14&gt;0,'[10]Table 10 CWTs exp'!V14/'[10]Table 10 CWTs exp'!$AA14," ")</f>
        <v xml:space="preserve"> </v>
      </c>
      <c r="W14" s="146" t="str">
        <f>IF('[10]Table 10 CWTs exp'!W14/'[10]Table 10 CWTs exp'!$AA14&gt;0,'[10]Table 10 CWTs exp'!W14/'[10]Table 10 CWTs exp'!$AA14," ")</f>
        <v xml:space="preserve"> </v>
      </c>
      <c r="X14" s="144" t="str">
        <f>IF('[10]Table 10 CWTs exp'!X14/'[10]Table 10 CWTs exp'!$AA14&gt;0,'[10]Table 10 CWTs exp'!X14/'[10]Table 10 CWTs exp'!$AA14," ")</f>
        <v xml:space="preserve"> </v>
      </c>
      <c r="Y14" s="147">
        <f t="shared" si="0"/>
        <v>1</v>
      </c>
      <c r="Z14" s="148"/>
      <c r="AA14" s="38">
        <f>'[10]Table 10 CWTs exp'!AA14</f>
        <v>3906</v>
      </c>
      <c r="AC14" s="592">
        <f>'[10]Table 10 CWTs exp'!AD14</f>
        <v>1</v>
      </c>
      <c r="AD14" s="592">
        <f t="shared" si="2"/>
        <v>0</v>
      </c>
      <c r="AE14" s="593" t="str">
        <f t="shared" si="3"/>
        <v>CNFH507</v>
      </c>
      <c r="AF14" s="442"/>
      <c r="AH14" s="149"/>
      <c r="AI14" s="150"/>
    </row>
    <row r="15" spans="1:35" ht="14.5" hidden="1" customHeight="1" x14ac:dyDescent="0.25">
      <c r="A15" s="54" t="str">
        <f>'[10]Table 10 CWTs exp'!A15</f>
        <v>CNFW527</v>
      </c>
      <c r="B15" s="75" t="str">
        <f>'[10]Table 10 CWTs exp'!B15</f>
        <v>CNFW</v>
      </c>
      <c r="C15" s="75">
        <f>'[10]Table 10 CWTs exp'!C15</f>
        <v>52</v>
      </c>
      <c r="D15" s="75">
        <f>'[10]Table 10 CWTs exp'!D15</f>
        <v>7</v>
      </c>
      <c r="E15" s="3" t="str">
        <f>'[10]Table 10 CWTs exp'!E15</f>
        <v>Coleman Hatchery Fish Trap</v>
      </c>
      <c r="F15" s="37" t="s">
        <v>133</v>
      </c>
      <c r="G15" s="151" t="e">
        <f>IF('[10]Table 10 CWTs exp'!G15/'[10]Table 10 CWTs exp'!$AA15&gt;0,'[10]Table 10 CWTs exp'!G15/'[10]Table 10 CWTs exp'!$AA15," ")</f>
        <v>#DIV/0!</v>
      </c>
      <c r="H15" s="145" t="e">
        <f>IF('[10]Table 10 CWTs exp'!H15/'[10]Table 10 CWTs exp'!$AA15&gt;0,'[10]Table 10 CWTs exp'!H15/'[10]Table 10 CWTs exp'!$AA15," ")</f>
        <v>#DIV/0!</v>
      </c>
      <c r="I15" s="144" t="e">
        <f>IF('[10]Table 10 CWTs exp'!I15/'[10]Table 10 CWTs exp'!$AA15&gt;0,'[10]Table 10 CWTs exp'!I15/'[10]Table 10 CWTs exp'!$AA15," ")</f>
        <v>#DIV/0!</v>
      </c>
      <c r="J15" s="146" t="e">
        <f>IF('[10]Table 10 CWTs exp'!J15/'[10]Table 10 CWTs exp'!$AA15&gt;0,'[10]Table 10 CWTs exp'!J15/'[10]Table 10 CWTs exp'!$AA15," ")</f>
        <v>#DIV/0!</v>
      </c>
      <c r="K15" s="144" t="e">
        <f>IF('[10]Table 10 CWTs exp'!K15/'[10]Table 10 CWTs exp'!$AA15&gt;0,'[10]Table 10 CWTs exp'!K15/'[10]Table 10 CWTs exp'!$AA15," ")</f>
        <v>#DIV/0!</v>
      </c>
      <c r="L15" s="144" t="e">
        <f>IF('[10]Table 10 CWTs exp'!L15/'[10]Table 10 CWTs exp'!$AA15&gt;0,'[10]Table 10 CWTs exp'!L15/'[10]Table 10 CWTs exp'!$AA15," ")</f>
        <v>#DIV/0!</v>
      </c>
      <c r="M15" s="144" t="e">
        <f>IF('[10]Table 10 CWTs exp'!M15/'[10]Table 10 CWTs exp'!$AA15&gt;0,'[10]Table 10 CWTs exp'!M15/'[10]Table 10 CWTs exp'!$AA15," ")</f>
        <v>#DIV/0!</v>
      </c>
      <c r="N15" s="144" t="e">
        <f>IF('[10]Table 10 CWTs exp'!N15/'[10]Table 10 CWTs exp'!$AA15&gt;0,'[10]Table 10 CWTs exp'!N15/'[10]Table 10 CWTs exp'!$AA15," ")</f>
        <v>#DIV/0!</v>
      </c>
      <c r="O15" s="144" t="e">
        <f>IF('[10]Table 10 CWTs exp'!O15/'[10]Table 10 CWTs exp'!$AA15&gt;0,'[10]Table 10 CWTs exp'!O15/'[10]Table 10 CWTs exp'!$AA15," ")</f>
        <v>#DIV/0!</v>
      </c>
      <c r="P15" s="144" t="e">
        <f>IF('[10]Table 10 CWTs exp'!P15/'[10]Table 10 CWTs exp'!$AA15&gt;0,'[10]Table 10 CWTs exp'!P15/'[10]Table 10 CWTs exp'!$AA15," ")</f>
        <v>#DIV/0!</v>
      </c>
      <c r="Q15" s="146" t="e">
        <f>IF('[10]Table 10 CWTs exp'!Q15/'[10]Table 10 CWTs exp'!$AA15&gt;0,'[10]Table 10 CWTs exp'!Q15/'[10]Table 10 CWTs exp'!$AA15," ")</f>
        <v>#DIV/0!</v>
      </c>
      <c r="R15" s="144" t="e">
        <f>IF('[10]Table 10 CWTs exp'!R15/'[10]Table 10 CWTs exp'!$AA15&gt;0,'[10]Table 10 CWTs exp'!R15/'[10]Table 10 CWTs exp'!$AA15," ")</f>
        <v>#DIV/0!</v>
      </c>
      <c r="S15" s="146" t="e">
        <f>IF('[10]Table 10 CWTs exp'!S15/'[10]Table 10 CWTs exp'!$AA15&gt;0,'[10]Table 10 CWTs exp'!S15/'[10]Table 10 CWTs exp'!$AA15," ")</f>
        <v>#DIV/0!</v>
      </c>
      <c r="T15" s="144" t="e">
        <f>IF('[10]Table 10 CWTs exp'!T15/'[10]Table 10 CWTs exp'!$AA15&gt;0,'[10]Table 10 CWTs exp'!T15/'[10]Table 10 CWTs exp'!$AA15," ")</f>
        <v>#DIV/0!</v>
      </c>
      <c r="U15" s="144" t="e">
        <f>IF('[10]Table 10 CWTs exp'!U15/'[10]Table 10 CWTs exp'!$AA15&gt;0,'[10]Table 10 CWTs exp'!U15/'[10]Table 10 CWTs exp'!$AA15," ")</f>
        <v>#DIV/0!</v>
      </c>
      <c r="V15" s="144" t="e">
        <f>IF('[10]Table 10 CWTs exp'!V15/'[10]Table 10 CWTs exp'!$AA15&gt;0,'[10]Table 10 CWTs exp'!V15/'[10]Table 10 CWTs exp'!$AA15," ")</f>
        <v>#DIV/0!</v>
      </c>
      <c r="W15" s="146" t="e">
        <f>IF('[10]Table 10 CWTs exp'!W15/'[10]Table 10 CWTs exp'!$AA15&gt;0,'[10]Table 10 CWTs exp'!W15/'[10]Table 10 CWTs exp'!$AA15," ")</f>
        <v>#DIV/0!</v>
      </c>
      <c r="X15" s="144" t="e">
        <f>IF('[10]Table 10 CWTs exp'!X15/'[10]Table 10 CWTs exp'!$AA15&gt;0,'[10]Table 10 CWTs exp'!X15/'[10]Table 10 CWTs exp'!$AA15," ")</f>
        <v>#DIV/0!</v>
      </c>
      <c r="Y15" s="147" t="e">
        <f t="shared" si="0"/>
        <v>#DIV/0!</v>
      </c>
      <c r="Z15" s="148"/>
      <c r="AA15" s="38">
        <f>'[10]Table 10 CWTs exp'!AA15</f>
        <v>0</v>
      </c>
      <c r="AC15" s="592">
        <f>'[10]Table 10 CWTs exp'!AD15</f>
        <v>0</v>
      </c>
      <c r="AD15" s="592" t="e">
        <f t="shared" si="2"/>
        <v>#DIV/0!</v>
      </c>
      <c r="AE15" s="593" t="str">
        <f t="shared" si="3"/>
        <v>CNFW527</v>
      </c>
      <c r="AF15" s="442"/>
      <c r="AH15" s="149"/>
      <c r="AI15" s="150"/>
    </row>
    <row r="16" spans="1:35" ht="14.5" customHeight="1" x14ac:dyDescent="0.25">
      <c r="A16" s="50" t="s">
        <v>134</v>
      </c>
      <c r="B16" s="75" t="str">
        <f>'[10]Table 10 CWTs exp'!B16</f>
        <v>KESW</v>
      </c>
      <c r="C16" s="75">
        <f>'[10]Table 10 CWTs exp'!C16</f>
        <v>50</v>
      </c>
      <c r="D16" s="75">
        <f>'[10]Table 10 CWTs exp'!D16</f>
        <v>7</v>
      </c>
      <c r="E16" s="3" t="str">
        <f>'[10]Table 10 CWTs exp'!E16</f>
        <v>Keswick Dam Fish Trap</v>
      </c>
      <c r="F16" s="37" t="s">
        <v>133</v>
      </c>
      <c r="G16" s="151" t="str">
        <f>IF('[10]Table 10 CWTs exp'!G16/'[10]Table 10 CWTs exp'!$AA16&gt;0,'[10]Table 10 CWTs exp'!G16/'[10]Table 10 CWTs exp'!$AA16," ")</f>
        <v xml:space="preserve"> </v>
      </c>
      <c r="H16" s="145">
        <f>IF('[10]Table 10 CWTs exp'!H16/'[10]Table 10 CWTs exp'!$AA16&gt;0,'[10]Table 10 CWTs exp'!H16/'[10]Table 10 CWTs exp'!$AA16," ")</f>
        <v>0.1111111111111111</v>
      </c>
      <c r="I16" s="144" t="str">
        <f>IF('[10]Table 10 CWTs exp'!I16/'[10]Table 10 CWTs exp'!$AA16&gt;0,'[10]Table 10 CWTs exp'!I16/'[10]Table 10 CWTs exp'!$AA16," ")</f>
        <v xml:space="preserve"> </v>
      </c>
      <c r="J16" s="146" t="str">
        <f>IF('[10]Table 10 CWTs exp'!J16/'[10]Table 10 CWTs exp'!$AA16&gt;0,'[10]Table 10 CWTs exp'!J16/'[10]Table 10 CWTs exp'!$AA16," ")</f>
        <v xml:space="preserve"> </v>
      </c>
      <c r="K16" s="144" t="str">
        <f>IF('[10]Table 10 CWTs exp'!K16/'[10]Table 10 CWTs exp'!$AA16&gt;0,'[10]Table 10 CWTs exp'!K16/'[10]Table 10 CWTs exp'!$AA16," ")</f>
        <v xml:space="preserve"> </v>
      </c>
      <c r="L16" s="144" t="str">
        <f>IF('[10]Table 10 CWTs exp'!L16/'[10]Table 10 CWTs exp'!$AA16&gt;0,'[10]Table 10 CWTs exp'!L16/'[10]Table 10 CWTs exp'!$AA16," ")</f>
        <v xml:space="preserve"> </v>
      </c>
      <c r="M16" s="144" t="str">
        <f>IF('[10]Table 10 CWTs exp'!M16/'[10]Table 10 CWTs exp'!$AA16&gt;0,'[10]Table 10 CWTs exp'!M16/'[10]Table 10 CWTs exp'!$AA16," ")</f>
        <v xml:space="preserve"> </v>
      </c>
      <c r="N16" s="144" t="str">
        <f>IF('[10]Table 10 CWTs exp'!N16/'[10]Table 10 CWTs exp'!$AA16&gt;0,'[10]Table 10 CWTs exp'!N16/'[10]Table 10 CWTs exp'!$AA16," ")</f>
        <v xml:space="preserve"> </v>
      </c>
      <c r="O16" s="144" t="str">
        <f>IF('[10]Table 10 CWTs exp'!O16/'[10]Table 10 CWTs exp'!$AA16&gt;0,'[10]Table 10 CWTs exp'!O16/'[10]Table 10 CWTs exp'!$AA16," ")</f>
        <v xml:space="preserve"> </v>
      </c>
      <c r="P16" s="144" t="str">
        <f>IF('[10]Table 10 CWTs exp'!P16/'[10]Table 10 CWTs exp'!$AA16&gt;0,'[10]Table 10 CWTs exp'!P16/'[10]Table 10 CWTs exp'!$AA16," ")</f>
        <v xml:space="preserve"> </v>
      </c>
      <c r="Q16" s="146" t="str">
        <f>IF('[10]Table 10 CWTs exp'!Q16/'[10]Table 10 CWTs exp'!$AA16&gt;0,'[10]Table 10 CWTs exp'!Q16/'[10]Table 10 CWTs exp'!$AA16," ")</f>
        <v xml:space="preserve"> </v>
      </c>
      <c r="R16" s="144" t="str">
        <f>IF('[10]Table 10 CWTs exp'!R16/'[10]Table 10 CWTs exp'!$AA16&gt;0,'[10]Table 10 CWTs exp'!R16/'[10]Table 10 CWTs exp'!$AA16," ")</f>
        <v xml:space="preserve"> </v>
      </c>
      <c r="S16" s="146" t="str">
        <f>IF('[10]Table 10 CWTs exp'!S16/'[10]Table 10 CWTs exp'!$AA16&gt;0,'[10]Table 10 CWTs exp'!S16/'[10]Table 10 CWTs exp'!$AA16," ")</f>
        <v xml:space="preserve"> </v>
      </c>
      <c r="T16" s="144" t="str">
        <f>IF('[10]Table 10 CWTs exp'!T16/'[10]Table 10 CWTs exp'!$AA16&gt;0,'[10]Table 10 CWTs exp'!T16/'[10]Table 10 CWTs exp'!$AA16," ")</f>
        <v xml:space="preserve"> </v>
      </c>
      <c r="U16" s="144" t="str">
        <f>IF('[10]Table 10 CWTs exp'!U16/'[10]Table 10 CWTs exp'!$AA16&gt;0,'[10]Table 10 CWTs exp'!U16/'[10]Table 10 CWTs exp'!$AA16," ")</f>
        <v xml:space="preserve"> </v>
      </c>
      <c r="V16" s="144" t="str">
        <f>IF('[10]Table 10 CWTs exp'!V16/'[10]Table 10 CWTs exp'!$AA16&gt;0,'[10]Table 10 CWTs exp'!V16/'[10]Table 10 CWTs exp'!$AA16," ")</f>
        <v xml:space="preserve"> </v>
      </c>
      <c r="W16" s="146" t="str">
        <f>IF('[10]Table 10 CWTs exp'!W16/'[10]Table 10 CWTs exp'!$AA16&gt;0,'[10]Table 10 CWTs exp'!W16/'[10]Table 10 CWTs exp'!$AA16," ")</f>
        <v xml:space="preserve"> </v>
      </c>
      <c r="X16" s="144" t="str">
        <f>IF('[10]Table 10 CWTs exp'!X16/'[10]Table 10 CWTs exp'!$AA16&gt;0,'[10]Table 10 CWTs exp'!X16/'[10]Table 10 CWTs exp'!$AA16," ")</f>
        <v xml:space="preserve"> </v>
      </c>
      <c r="Y16" s="147">
        <f t="shared" si="0"/>
        <v>0.1111111111111111</v>
      </c>
      <c r="Z16" s="148">
        <f t="shared" ref="Z16" si="4">1-Y16</f>
        <v>0.88888888888888884</v>
      </c>
      <c r="AA16" s="38">
        <f>'[10]Table 10 CWTs exp'!AA16</f>
        <v>18</v>
      </c>
      <c r="AC16" s="592"/>
      <c r="AD16" s="592"/>
      <c r="AE16" s="593"/>
      <c r="AF16" s="442"/>
      <c r="AH16" s="149"/>
      <c r="AI16" s="150"/>
    </row>
    <row r="17" spans="1:35" ht="14.15" customHeight="1" x14ac:dyDescent="0.25">
      <c r="A17" s="5"/>
      <c r="E17" s="723" t="s">
        <v>193</v>
      </c>
      <c r="F17" s="723"/>
      <c r="G17" s="195" t="str">
        <f>IF('[10]Table 10 CWTs exp'!G17/'[10]Table 10 CWTs exp'!$AA17&gt;0,'[10]Table 10 CWTs exp'!G17/'[10]Table 10 CWTs exp'!$AA17," ")</f>
        <v xml:space="preserve"> </v>
      </c>
      <c r="H17" s="196">
        <f>IF('[10]Table 10 CWTs exp'!H17/'[10]Table 10 CWTs exp'!$AA17&gt;0,'[10]Table 10 CWTs exp'!H17/'[10]Table 10 CWTs exp'!$AA17," ")</f>
        <v>2.063557573256294E-4</v>
      </c>
      <c r="I17" s="195">
        <f>IF('[10]Table 10 CWTs exp'!I17/'[10]Table 10 CWTs exp'!$AA17&gt;0,'[10]Table 10 CWTs exp'!I17/'[10]Table 10 CWTs exp'!$AA17," ")</f>
        <v>9.4510936855138256E-2</v>
      </c>
      <c r="J17" s="197">
        <f>IF('[10]Table 10 CWTs exp'!J17/'[10]Table 10 CWTs exp'!$AA17&gt;0,'[10]Table 10 CWTs exp'!J17/'[10]Table 10 CWTs exp'!$AA17," ")</f>
        <v>5.8622231393589214E-2</v>
      </c>
      <c r="K17" s="195">
        <f>IF('[10]Table 10 CWTs exp'!K17/'[10]Table 10 CWTs exp'!$AA17&gt;0,'[10]Table 10 CWTs exp'!K17/'[10]Table 10 CWTs exp'!$AA17," ")</f>
        <v>9.9738616040720863E-3</v>
      </c>
      <c r="L17" s="195">
        <f>IF('[10]Table 10 CWTs exp'!L17/'[10]Table 10 CWTs exp'!$AA17&gt;0,'[10]Table 10 CWTs exp'!L17/'[10]Table 10 CWTs exp'!$AA17," ")</f>
        <v>1.048975099738616E-3</v>
      </c>
      <c r="M17" s="195">
        <f>IF('[10]Table 10 CWTs exp'!M17/'[10]Table 10 CWTs exp'!$AA17&gt;0,'[10]Table 10 CWTs exp'!M17/'[10]Table 10 CWTs exp'!$AA17," ")</f>
        <v>7.5663777686064103E-4</v>
      </c>
      <c r="N17" s="195">
        <f>IF('[10]Table 10 CWTs exp'!N17/'[10]Table 10 CWTs exp'!$AA17&gt;0,'[10]Table 10 CWTs exp'!N17/'[10]Table 10 CWTs exp'!$AA17," ")</f>
        <v>0.39680492502407483</v>
      </c>
      <c r="O17" s="195">
        <f>IF('[10]Table 10 CWTs exp'!O17/'[10]Table 10 CWTs exp'!$AA17&gt;0,'[10]Table 10 CWTs exp'!O17/'[10]Table 10 CWTs exp'!$AA17," ")</f>
        <v>2.9147750722245149E-2</v>
      </c>
      <c r="P17" s="195">
        <f>IF('[10]Table 10 CWTs exp'!P17/'[10]Table 10 CWTs exp'!$AA17&gt;0,'[10]Table 10 CWTs exp'!P17/'[10]Table 10 CWTs exp'!$AA17," ")</f>
        <v>7.0504883752923369E-4</v>
      </c>
      <c r="Q17" s="197">
        <f>IF('[10]Table 10 CWTs exp'!Q17/'[10]Table 10 CWTs exp'!$AA17&gt;0,'[10]Table 10 CWTs exp'!Q17/'[10]Table 10 CWTs exp'!$AA17," ")</f>
        <v>1.7196313110469114E-4</v>
      </c>
      <c r="R17" s="195">
        <f>IF('[10]Table 10 CWTs exp'!R17/'[10]Table 10 CWTs exp'!$AA17&gt;0,'[10]Table 10 CWTs exp'!R17/'[10]Table 10 CWTs exp'!$AA17," ")</f>
        <v>2.3386985830237995E-3</v>
      </c>
      <c r="S17" s="197">
        <f>IF('[10]Table 10 CWTs exp'!S17/'[10]Table 10 CWTs exp'!$AA17&gt;0,'[10]Table 10 CWTs exp'!S17/'[10]Table 10 CWTs exp'!$AA17," ")</f>
        <v>0.11690053652496904</v>
      </c>
      <c r="T17" s="195">
        <f>IF('[10]Table 10 CWTs exp'!T17/'[10]Table 10 CWTs exp'!$AA17&gt;0,'[10]Table 10 CWTs exp'!T17/'[10]Table 10 CWTs exp'!$AA17," ")</f>
        <v>2.4418764616866142E-3</v>
      </c>
      <c r="U17" s="195">
        <f>IF('[10]Table 10 CWTs exp'!U17/'[10]Table 10 CWTs exp'!$AA17&gt;0,'[10]Table 10 CWTs exp'!U17/'[10]Table 10 CWTs exp'!$AA17," ")</f>
        <v>0.161473380107305</v>
      </c>
      <c r="V17" s="195">
        <f>IF('[10]Table 10 CWTs exp'!V17/'[10]Table 10 CWTs exp'!$AA17&gt;0,'[10]Table 10 CWTs exp'!V17/'[10]Table 10 CWTs exp'!$AA17," ")</f>
        <v>3.3893933140734626E-2</v>
      </c>
      <c r="W17" s="197">
        <f>IF('[10]Table 10 CWTs exp'!W17/'[10]Table 10 CWTs exp'!$AA17&gt;0,'[10]Table 10 CWTs exp'!W17/'[10]Table 10 CWTs exp'!$AA17," ")</f>
        <v>1.5889393314073463E-2</v>
      </c>
      <c r="X17" s="195">
        <f>IF('[10]Table 10 CWTs exp'!X17/'[10]Table 10 CWTs exp'!$AA17&gt;0,'[10]Table 10 CWTs exp'!X17/'[10]Table 10 CWTs exp'!$AA17," ")</f>
        <v>1.361947998349154E-2</v>
      </c>
      <c r="Y17" s="198">
        <f t="shared" si="0"/>
        <v>0.93850598431696253</v>
      </c>
      <c r="Z17" s="199">
        <f>IF('[10]Table 10 CWTs exp'!Z17&gt;0,'[10]Table 10 CWTs exp'!Z17/'[10]Table 10 CWTs exp'!$AA17," ")</f>
        <v>6.1494015683037556E-2</v>
      </c>
      <c r="AA17" s="59">
        <f>'[10]Table 10 CWTs exp'!AA17</f>
        <v>58152</v>
      </c>
      <c r="AB17" s="47"/>
      <c r="AC17" s="592">
        <f>'[10]Table 10 CWTs exp'!AD17</f>
        <v>0.93850598431696242</v>
      </c>
      <c r="AD17" s="592">
        <f t="shared" si="2"/>
        <v>0</v>
      </c>
      <c r="AE17" s="593"/>
      <c r="AF17" s="594"/>
      <c r="AH17" s="149"/>
      <c r="AI17" s="150"/>
    </row>
    <row r="18" spans="1:35" ht="14.15" customHeight="1" x14ac:dyDescent="0.3">
      <c r="A18" s="5"/>
      <c r="E18" s="26" t="s">
        <v>63</v>
      </c>
      <c r="F18"/>
      <c r="G18" s="151"/>
      <c r="H18" s="157"/>
      <c r="I18" s="151"/>
      <c r="J18" s="158"/>
      <c r="K18" s="151"/>
      <c r="L18" s="151"/>
      <c r="M18" s="151"/>
      <c r="N18" s="151"/>
      <c r="O18" s="151"/>
      <c r="P18" s="151"/>
      <c r="Q18" s="158"/>
      <c r="R18" s="151"/>
      <c r="S18" s="158"/>
      <c r="T18" s="151"/>
      <c r="U18" s="151"/>
      <c r="V18" s="151"/>
      <c r="W18" s="158"/>
      <c r="X18" s="144"/>
      <c r="Y18" s="147"/>
      <c r="Z18" s="148"/>
      <c r="AA18" s="38"/>
      <c r="AC18" s="592"/>
      <c r="AD18" s="592"/>
      <c r="AE18" s="593"/>
      <c r="AF18" s="442"/>
      <c r="AH18" s="149"/>
      <c r="AI18" s="150"/>
    </row>
    <row r="19" spans="1:35" ht="14.5" customHeight="1" x14ac:dyDescent="0.25">
      <c r="A19" s="54" t="str">
        <f>'[10]Table 10 CWTs exp'!A19</f>
        <v>USAC544</v>
      </c>
      <c r="B19" s="75" t="str">
        <f>'[10]Table 10 CWTs exp'!B19</f>
        <v>USAC</v>
      </c>
      <c r="C19" s="75">
        <f>'[10]Table 10 CWTs exp'!C19</f>
        <v>54</v>
      </c>
      <c r="D19" s="75">
        <f>'[10]Table 10 CWTs exp'!D19</f>
        <v>4</v>
      </c>
      <c r="E19" t="str">
        <f>'[10]Table 10 CWTs exp'!E19</f>
        <v>Upper Sacramento River</v>
      </c>
      <c r="F19" s="37" t="str">
        <f>'[10]Table 10 CWTs exp'!F19</f>
        <v>Winter</v>
      </c>
      <c r="G19" s="144">
        <f>IF('[10]Table 10 CWTs exp'!G19/'[10]Table 10 CWTs exp'!$AA19&gt;0,'[10]Table 10 CWTs exp'!G19/'[10]Table 10 CWTs exp'!$AA19," ")</f>
        <v>0.82012578616352205</v>
      </c>
      <c r="H19" s="145" t="str">
        <f>IF('[10]Table 10 CWTs exp'!H19/'[10]Table 10 CWTs exp'!$AA19&gt;0,'[10]Table 10 CWTs exp'!H19/'[10]Table 10 CWTs exp'!$AA19," ")</f>
        <v xml:space="preserve"> </v>
      </c>
      <c r="I19" s="144" t="str">
        <f>IF('[10]Table 10 CWTs exp'!I19/'[10]Table 10 CWTs exp'!$AA19&gt;0,'[10]Table 10 CWTs exp'!I19/'[10]Table 10 CWTs exp'!$AA19," ")</f>
        <v xml:space="preserve"> </v>
      </c>
      <c r="J19" s="146" t="str">
        <f>IF('[10]Table 10 CWTs exp'!J19/'[10]Table 10 CWTs exp'!$AA19&gt;0,'[10]Table 10 CWTs exp'!J19/'[10]Table 10 CWTs exp'!$AA19," ")</f>
        <v xml:space="preserve"> </v>
      </c>
      <c r="K19" s="144" t="str">
        <f>IF('[10]Table 10 CWTs exp'!K19/'[10]Table 10 CWTs exp'!$AA19&gt;0,'[10]Table 10 CWTs exp'!K19/'[10]Table 10 CWTs exp'!$AA19," ")</f>
        <v xml:space="preserve"> </v>
      </c>
      <c r="L19" s="144" t="str">
        <f>IF('[10]Table 10 CWTs exp'!L19/'[10]Table 10 CWTs exp'!$AA19&gt;0,'[10]Table 10 CWTs exp'!L19/'[10]Table 10 CWTs exp'!$AA19," ")</f>
        <v xml:space="preserve"> </v>
      </c>
      <c r="M19" s="144" t="str">
        <f>IF('[10]Table 10 CWTs exp'!M19/'[10]Table 10 CWTs exp'!$AA19&gt;0,'[10]Table 10 CWTs exp'!M19/'[10]Table 10 CWTs exp'!$AA19," ")</f>
        <v xml:space="preserve"> </v>
      </c>
      <c r="N19" s="144" t="str">
        <f>IF('[10]Table 10 CWTs exp'!N19/'[10]Table 10 CWTs exp'!$AA19&gt;0,'[10]Table 10 CWTs exp'!N19/'[10]Table 10 CWTs exp'!$AA19," ")</f>
        <v xml:space="preserve"> </v>
      </c>
      <c r="O19" s="144" t="str">
        <f>IF('[10]Table 10 CWTs exp'!O19/'[10]Table 10 CWTs exp'!$AA19&gt;0,'[10]Table 10 CWTs exp'!O19/'[10]Table 10 CWTs exp'!$AA19," ")</f>
        <v xml:space="preserve"> </v>
      </c>
      <c r="P19" s="144" t="str">
        <f>IF('[10]Table 10 CWTs exp'!P19/'[10]Table 10 CWTs exp'!$AA19&gt;0,'[10]Table 10 CWTs exp'!P19/'[10]Table 10 CWTs exp'!$AA19," ")</f>
        <v xml:space="preserve"> </v>
      </c>
      <c r="Q19" s="146" t="str">
        <f>IF('[10]Table 10 CWTs exp'!Q19/'[10]Table 10 CWTs exp'!$AA19&gt;0,'[10]Table 10 CWTs exp'!Q19/'[10]Table 10 CWTs exp'!$AA19," ")</f>
        <v xml:space="preserve"> </v>
      </c>
      <c r="R19" s="144" t="str">
        <f>IF('[10]Table 10 CWTs exp'!R19/'[10]Table 10 CWTs exp'!$AA19&gt;0,'[10]Table 10 CWTs exp'!R19/'[10]Table 10 CWTs exp'!$AA19," ")</f>
        <v xml:space="preserve"> </v>
      </c>
      <c r="S19" s="146" t="str">
        <f>IF('[10]Table 10 CWTs exp'!S19/'[10]Table 10 CWTs exp'!$AA19&gt;0,'[10]Table 10 CWTs exp'!S19/'[10]Table 10 CWTs exp'!$AA19," ")</f>
        <v xml:space="preserve"> </v>
      </c>
      <c r="T19" s="144" t="str">
        <f>IF('[10]Table 10 CWTs exp'!T19/'[10]Table 10 CWTs exp'!$AA19&gt;0,'[10]Table 10 CWTs exp'!T19/'[10]Table 10 CWTs exp'!$AA19," ")</f>
        <v xml:space="preserve"> </v>
      </c>
      <c r="U19" s="144" t="str">
        <f>IF('[10]Table 10 CWTs exp'!U19/'[10]Table 10 CWTs exp'!$AA19&gt;0,'[10]Table 10 CWTs exp'!U19/'[10]Table 10 CWTs exp'!$AA19," ")</f>
        <v xml:space="preserve"> </v>
      </c>
      <c r="V19" s="144" t="str">
        <f>IF('[10]Table 10 CWTs exp'!V19/'[10]Table 10 CWTs exp'!$AA19&gt;0,'[10]Table 10 CWTs exp'!V19/'[10]Table 10 CWTs exp'!$AA19," ")</f>
        <v xml:space="preserve"> </v>
      </c>
      <c r="W19" s="146" t="str">
        <f>IF('[10]Table 10 CWTs exp'!W19/'[10]Table 10 CWTs exp'!$AA19&gt;0,'[10]Table 10 CWTs exp'!W19/'[10]Table 10 CWTs exp'!$AA19," ")</f>
        <v xml:space="preserve"> </v>
      </c>
      <c r="X19" s="144" t="str">
        <f>IF('[10]Table 10 CWTs exp'!X19/'[10]Table 10 CWTs exp'!$AA19&gt;0,'[10]Table 10 CWTs exp'!X19/'[10]Table 10 CWTs exp'!$AA19," ")</f>
        <v xml:space="preserve"> </v>
      </c>
      <c r="Y19" s="147">
        <f t="shared" si="0"/>
        <v>0.82012578616352205</v>
      </c>
      <c r="Z19" s="148">
        <f t="shared" ref="Z19:Z39" si="5">1-Y19</f>
        <v>0.17987421383647795</v>
      </c>
      <c r="AA19" s="38">
        <f>'[10]Table 10 CWTs exp'!AA19</f>
        <v>795</v>
      </c>
      <c r="AC19" s="592">
        <f>'[10]Table 10 CWTs exp'!AD19</f>
        <v>0.82</v>
      </c>
      <c r="AD19" s="592">
        <f t="shared" si="2"/>
        <v>1.2578616352210137E-4</v>
      </c>
      <c r="AE19" s="593" t="str">
        <f t="shared" si="3"/>
        <v>USAC544</v>
      </c>
      <c r="AF19" s="442"/>
      <c r="AH19" s="149"/>
      <c r="AI19" s="150"/>
    </row>
    <row r="20" spans="1:35" ht="14.25" customHeight="1" x14ac:dyDescent="0.25">
      <c r="A20" s="54" t="str">
        <f>'[10]Table 10 CWTs exp'!A20</f>
        <v>BUTT541</v>
      </c>
      <c r="B20" s="75" t="str">
        <f>'[10]Table 10 CWTs exp'!B20</f>
        <v>BUTT</v>
      </c>
      <c r="C20" s="75">
        <f>'[10]Table 10 CWTs exp'!C20</f>
        <v>54</v>
      </c>
      <c r="D20" s="75">
        <f>'[10]Table 10 CWTs exp'!D20</f>
        <v>1</v>
      </c>
      <c r="E20" t="str">
        <f>'[10]Table 10 CWTs exp'!E20</f>
        <v>Butte Creek</v>
      </c>
      <c r="F20" s="37" t="str">
        <f>'[10]Table 10 CWTs exp'!F20</f>
        <v>Spring</v>
      </c>
      <c r="G20" s="144" t="str">
        <f>IF('[10]Table 10 CWTs exp'!G20/'[10]Table 10 CWTs exp'!$AA20&gt;0,'[10]Table 10 CWTs exp'!G20/'[10]Table 10 CWTs exp'!$AA20," ")</f>
        <v xml:space="preserve"> </v>
      </c>
      <c r="H20" s="145" t="str">
        <f>IF('[10]Table 10 CWTs exp'!H20/'[10]Table 10 CWTs exp'!$AA20&gt;0,'[10]Table 10 CWTs exp'!H20/'[10]Table 10 CWTs exp'!$AA20," ")</f>
        <v xml:space="preserve"> </v>
      </c>
      <c r="I20" s="144" t="str">
        <f>IF('[10]Table 10 CWTs exp'!I20/'[10]Table 10 CWTs exp'!$AA20&gt;0,'[10]Table 10 CWTs exp'!I20/'[10]Table 10 CWTs exp'!$AA20," ")</f>
        <v xml:space="preserve"> </v>
      </c>
      <c r="J20" s="146" t="str">
        <f>IF('[10]Table 10 CWTs exp'!J20/'[10]Table 10 CWTs exp'!$AA20&gt;0,'[10]Table 10 CWTs exp'!J20/'[10]Table 10 CWTs exp'!$AA20," ")</f>
        <v xml:space="preserve"> </v>
      </c>
      <c r="K20" s="144" t="str">
        <f>IF('[10]Table 10 CWTs exp'!K20/'[10]Table 10 CWTs exp'!$AA20&gt;0,'[10]Table 10 CWTs exp'!K20/'[10]Table 10 CWTs exp'!$AA20," ")</f>
        <v xml:space="preserve"> </v>
      </c>
      <c r="L20" s="144" t="str">
        <f>IF('[10]Table 10 CWTs exp'!L20/'[10]Table 10 CWTs exp'!$AA20&gt;0,'[10]Table 10 CWTs exp'!L20/'[10]Table 10 CWTs exp'!$AA20," ")</f>
        <v xml:space="preserve"> </v>
      </c>
      <c r="M20" s="144" t="str">
        <f>IF('[10]Table 10 CWTs exp'!M20/'[10]Table 10 CWTs exp'!$AA20&gt;0,'[10]Table 10 CWTs exp'!M20/'[10]Table 10 CWTs exp'!$AA20," ")</f>
        <v xml:space="preserve"> </v>
      </c>
      <c r="N20" s="144" t="str">
        <f>IF('[10]Table 10 CWTs exp'!N20/'[10]Table 10 CWTs exp'!$AA20&gt;0,'[10]Table 10 CWTs exp'!N20/'[10]Table 10 CWTs exp'!$AA20," ")</f>
        <v xml:space="preserve"> </v>
      </c>
      <c r="O20" s="144" t="str">
        <f>IF('[10]Table 10 CWTs exp'!O20/'[10]Table 10 CWTs exp'!$AA20&gt;0,'[10]Table 10 CWTs exp'!O20/'[10]Table 10 CWTs exp'!$AA20," ")</f>
        <v xml:space="preserve"> </v>
      </c>
      <c r="P20" s="144" t="str">
        <f>IF('[10]Table 10 CWTs exp'!P20/'[10]Table 10 CWTs exp'!$AA20&gt;0,'[10]Table 10 CWTs exp'!P20/'[10]Table 10 CWTs exp'!$AA20," ")</f>
        <v xml:space="preserve"> </v>
      </c>
      <c r="Q20" s="146" t="str">
        <f>IF('[10]Table 10 CWTs exp'!Q20/'[10]Table 10 CWTs exp'!$AA20&gt;0,'[10]Table 10 CWTs exp'!Q20/'[10]Table 10 CWTs exp'!$AA20," ")</f>
        <v xml:space="preserve"> </v>
      </c>
      <c r="R20" s="144" t="str">
        <f>IF('[10]Table 10 CWTs exp'!R20/'[10]Table 10 CWTs exp'!$AA20&gt;0,'[10]Table 10 CWTs exp'!R20/'[10]Table 10 CWTs exp'!$AA20," ")</f>
        <v xml:space="preserve"> </v>
      </c>
      <c r="S20" s="146" t="str">
        <f>IF('[10]Table 10 CWTs exp'!S20/'[10]Table 10 CWTs exp'!$AA20&gt;0,'[10]Table 10 CWTs exp'!S20/'[10]Table 10 CWTs exp'!$AA20," ")</f>
        <v xml:space="preserve"> </v>
      </c>
      <c r="T20" s="144" t="str">
        <f>IF('[10]Table 10 CWTs exp'!T20/'[10]Table 10 CWTs exp'!$AA20&gt;0,'[10]Table 10 CWTs exp'!T20/'[10]Table 10 CWTs exp'!$AA20," ")</f>
        <v xml:space="preserve"> </v>
      </c>
      <c r="U20" s="144" t="str">
        <f>IF('[10]Table 10 CWTs exp'!U20/'[10]Table 10 CWTs exp'!$AA20&gt;0,'[10]Table 10 CWTs exp'!U20/'[10]Table 10 CWTs exp'!$AA20," ")</f>
        <v xml:space="preserve"> </v>
      </c>
      <c r="V20" s="144" t="str">
        <f>IF('[10]Table 10 CWTs exp'!V20/'[10]Table 10 CWTs exp'!$AA20&gt;0,'[10]Table 10 CWTs exp'!V20/'[10]Table 10 CWTs exp'!$AA20," ")</f>
        <v xml:space="preserve"> </v>
      </c>
      <c r="W20" s="146" t="str">
        <f>IF('[10]Table 10 CWTs exp'!W20/'[10]Table 10 CWTs exp'!$AA20&gt;0,'[10]Table 10 CWTs exp'!W20/'[10]Table 10 CWTs exp'!$AA20," ")</f>
        <v xml:space="preserve"> </v>
      </c>
      <c r="X20" s="144" t="str">
        <f>IF('[10]Table 10 CWTs exp'!X20/'[10]Table 10 CWTs exp'!$AA20&gt;0,'[10]Table 10 CWTs exp'!X20/'[10]Table 10 CWTs exp'!$AA20," ")</f>
        <v xml:space="preserve"> </v>
      </c>
      <c r="Y20" s="147">
        <f t="shared" si="0"/>
        <v>0</v>
      </c>
      <c r="Z20" s="148">
        <f t="shared" si="5"/>
        <v>1</v>
      </c>
      <c r="AA20" s="38">
        <f>'[10]Table 10 CWTs exp'!AA20</f>
        <v>515</v>
      </c>
      <c r="AC20" s="592">
        <f>'[10]Table 10 CWTs exp'!AD20</f>
        <v>0</v>
      </c>
      <c r="AD20" s="592">
        <f t="shared" si="2"/>
        <v>0</v>
      </c>
      <c r="AE20" s="593" t="str">
        <f t="shared" si="3"/>
        <v>BUTT541</v>
      </c>
      <c r="AF20" s="442"/>
      <c r="AH20" s="149"/>
      <c r="AI20" s="150"/>
    </row>
    <row r="21" spans="1:35" ht="14.5" customHeight="1" x14ac:dyDescent="0.25">
      <c r="A21" s="54" t="str">
        <f>'[10]Table 10 CWTs exp'!A21</f>
        <v>USAC543</v>
      </c>
      <c r="B21" s="75" t="str">
        <f>'[10]Table 10 CWTs exp'!B21</f>
        <v>USAC</v>
      </c>
      <c r="C21" s="75">
        <f>'[10]Table 10 CWTs exp'!C21</f>
        <v>54</v>
      </c>
      <c r="D21" s="75">
        <f>'[10]Table 10 CWTs exp'!D21</f>
        <v>3</v>
      </c>
      <c r="E21" t="str">
        <f>'[10]Table 10 CWTs exp'!E21</f>
        <v>Upper Sacramento River</v>
      </c>
      <c r="F21" s="37" t="str">
        <f>'[10]Table 10 CWTs exp'!F21</f>
        <v>Fall</v>
      </c>
      <c r="G21" s="144" t="str">
        <f>IF('[10]Table 10 CWTs exp'!G21/'[10]Table 10 CWTs exp'!$AA21&gt;0,'[10]Table 10 CWTs exp'!G21/'[10]Table 10 CWTs exp'!$AA21," ")</f>
        <v xml:space="preserve"> </v>
      </c>
      <c r="H21" s="145" t="str">
        <f>IF('[10]Table 10 CWTs exp'!H21/'[10]Table 10 CWTs exp'!$AA21&gt;0,'[10]Table 10 CWTs exp'!H21/'[10]Table 10 CWTs exp'!$AA21," ")</f>
        <v xml:space="preserve"> </v>
      </c>
      <c r="I21" s="144">
        <f>IF('[10]Table 10 CWTs exp'!I21/'[10]Table 10 CWTs exp'!$AA21&gt;0,'[10]Table 10 CWTs exp'!I21/'[10]Table 10 CWTs exp'!$AA21," ")</f>
        <v>7.2488584474885848E-2</v>
      </c>
      <c r="J21" s="146">
        <f>IF('[10]Table 10 CWTs exp'!J21/'[10]Table 10 CWTs exp'!$AA21&gt;0,'[10]Table 10 CWTs exp'!J21/'[10]Table 10 CWTs exp'!$AA21," ")</f>
        <v>7.3059360730593603E-2</v>
      </c>
      <c r="K21" s="144" t="str">
        <f>IF('[10]Table 10 CWTs exp'!K21/'[10]Table 10 CWTs exp'!$AA21&gt;0,'[10]Table 10 CWTs exp'!K21/'[10]Table 10 CWTs exp'!$AA21," ")</f>
        <v xml:space="preserve"> </v>
      </c>
      <c r="L21" s="144" t="str">
        <f>IF('[10]Table 10 CWTs exp'!L21/'[10]Table 10 CWTs exp'!$AA21&gt;0,'[10]Table 10 CWTs exp'!L21/'[10]Table 10 CWTs exp'!$AA21," ")</f>
        <v xml:space="preserve"> </v>
      </c>
      <c r="M21" s="144" t="str">
        <f>IF('[10]Table 10 CWTs exp'!M21/'[10]Table 10 CWTs exp'!$AA21&gt;0,'[10]Table 10 CWTs exp'!M21/'[10]Table 10 CWTs exp'!$AA21," ")</f>
        <v xml:space="preserve"> </v>
      </c>
      <c r="N21" s="144">
        <f>IF('[10]Table 10 CWTs exp'!N21/'[10]Table 10 CWTs exp'!$AA21&gt;0,'[10]Table 10 CWTs exp'!N21/'[10]Table 10 CWTs exp'!$AA21," ")</f>
        <v>3.6529680365296802E-2</v>
      </c>
      <c r="O21" s="144">
        <f>IF('[10]Table 10 CWTs exp'!O21/'[10]Table 10 CWTs exp'!$AA21&gt;0,'[10]Table 10 CWTs exp'!O21/'[10]Table 10 CWTs exp'!$AA21," ")</f>
        <v>9.1324200913242004E-3</v>
      </c>
      <c r="P21" s="144" t="str">
        <f>IF('[10]Table 10 CWTs exp'!P21/'[10]Table 10 CWTs exp'!$AA21&gt;0,'[10]Table 10 CWTs exp'!P21/'[10]Table 10 CWTs exp'!$AA21," ")</f>
        <v xml:space="preserve"> </v>
      </c>
      <c r="Q21" s="146" t="str">
        <f>IF('[10]Table 10 CWTs exp'!Q21/'[10]Table 10 CWTs exp'!$AA21&gt;0,'[10]Table 10 CWTs exp'!Q21/'[10]Table 10 CWTs exp'!$AA21," ")</f>
        <v xml:space="preserve"> </v>
      </c>
      <c r="R21" s="144" t="str">
        <f>IF('[10]Table 10 CWTs exp'!R21/'[10]Table 10 CWTs exp'!$AA21&gt;0,'[10]Table 10 CWTs exp'!R21/'[10]Table 10 CWTs exp'!$AA21," ")</f>
        <v xml:space="preserve"> </v>
      </c>
      <c r="S21" s="146" t="str">
        <f>IF('[10]Table 10 CWTs exp'!S21/'[10]Table 10 CWTs exp'!$AA21&gt;0,'[10]Table 10 CWTs exp'!S21/'[10]Table 10 CWTs exp'!$AA21," ")</f>
        <v xml:space="preserve"> </v>
      </c>
      <c r="T21" s="144" t="str">
        <f>IF('[10]Table 10 CWTs exp'!T21/'[10]Table 10 CWTs exp'!$AA21&gt;0,'[10]Table 10 CWTs exp'!T21/'[10]Table 10 CWTs exp'!$AA21," ")</f>
        <v xml:space="preserve"> </v>
      </c>
      <c r="U21" s="144" t="str">
        <f>IF('[10]Table 10 CWTs exp'!U21/'[10]Table 10 CWTs exp'!$AA21&gt;0,'[10]Table 10 CWTs exp'!U21/'[10]Table 10 CWTs exp'!$AA21," ")</f>
        <v xml:space="preserve"> </v>
      </c>
      <c r="V21" s="144">
        <f>IF('[10]Table 10 CWTs exp'!V21/'[10]Table 10 CWTs exp'!$AA21&gt;0,'[10]Table 10 CWTs exp'!V21/'[10]Table 10 CWTs exp'!$AA21," ")</f>
        <v>1.3698630136986301E-2</v>
      </c>
      <c r="W21" s="146" t="str">
        <f>IF('[10]Table 10 CWTs exp'!W21/'[10]Table 10 CWTs exp'!$AA21&gt;0,'[10]Table 10 CWTs exp'!W21/'[10]Table 10 CWTs exp'!$AA21," ")</f>
        <v xml:space="preserve"> </v>
      </c>
      <c r="X21" s="144">
        <f>IF('[10]Table 10 CWTs exp'!X21/'[10]Table 10 CWTs exp'!$AA21&gt;0,'[10]Table 10 CWTs exp'!X21/'[10]Table 10 CWTs exp'!$AA21," ")</f>
        <v>8.5616438356164379E-3</v>
      </c>
      <c r="Y21" s="147">
        <f t="shared" si="0"/>
        <v>0.2134703196347032</v>
      </c>
      <c r="Z21" s="148">
        <f t="shared" si="5"/>
        <v>0.7865296803652968</v>
      </c>
      <c r="AA21" s="38">
        <f>'[10]Table 10 CWTs exp'!AA21</f>
        <v>1752</v>
      </c>
      <c r="AC21" s="592">
        <f>'[10]Table 10 CWTs exp'!AD21</f>
        <v>0.21299999999999999</v>
      </c>
      <c r="AD21" s="592">
        <f t="shared" si="2"/>
        <v>4.7031963470320348E-4</v>
      </c>
      <c r="AE21" s="593" t="str">
        <f t="shared" si="3"/>
        <v>USAC543</v>
      </c>
      <c r="AF21" s="442"/>
      <c r="AH21" s="149"/>
      <c r="AI21" s="150"/>
    </row>
    <row r="22" spans="1:35" ht="12.75" hidden="1" customHeight="1" x14ac:dyDescent="0.25">
      <c r="A22" s="54" t="str">
        <f>'[10]Table 10 CWTs exp'!A22</f>
        <v>CLR543</v>
      </c>
      <c r="B22" s="75" t="str">
        <f>'[10]Table 10 CWTs exp'!B22</f>
        <v>CLR</v>
      </c>
      <c r="C22" s="75">
        <f>'[10]Table 10 CWTs exp'!C22</f>
        <v>54</v>
      </c>
      <c r="D22" s="75">
        <f>'[10]Table 10 CWTs exp'!D22</f>
        <v>3</v>
      </c>
      <c r="E22" t="str">
        <f>'[10]Table 10 CWTs exp'!E22</f>
        <v>Clear Creek</v>
      </c>
      <c r="F22" s="37" t="str">
        <f>'[10]Table 10 CWTs exp'!F22</f>
        <v>Fall</v>
      </c>
      <c r="G22" s="144" t="e">
        <f>IF('[10]Table 10 CWTs exp'!G22/'[10]Table 10 CWTs exp'!$AA22&gt;0,'[10]Table 10 CWTs exp'!G22/'[10]Table 10 CWTs exp'!$AA22," ")</f>
        <v>#DIV/0!</v>
      </c>
      <c r="H22" s="145" t="e">
        <f>IF('[10]Table 10 CWTs exp'!H22/'[10]Table 10 CWTs exp'!$AA22&gt;0,'[10]Table 10 CWTs exp'!H22/'[10]Table 10 CWTs exp'!$AA22," ")</f>
        <v>#DIV/0!</v>
      </c>
      <c r="I22" s="144" t="e">
        <f>IF('[10]Table 10 CWTs exp'!I22/'[10]Table 10 CWTs exp'!$AA22&gt;0,'[10]Table 10 CWTs exp'!I22/'[10]Table 10 CWTs exp'!$AA22," ")</f>
        <v>#DIV/0!</v>
      </c>
      <c r="J22" s="146" t="e">
        <f>IF('[10]Table 10 CWTs exp'!J22/'[10]Table 10 CWTs exp'!$AA22&gt;0,'[10]Table 10 CWTs exp'!J22/'[10]Table 10 CWTs exp'!$AA22," ")</f>
        <v>#DIV/0!</v>
      </c>
      <c r="K22" s="144" t="e">
        <f>IF('[10]Table 10 CWTs exp'!K22/'[10]Table 10 CWTs exp'!$AA22&gt;0,'[10]Table 10 CWTs exp'!K22/'[10]Table 10 CWTs exp'!$AA22," ")</f>
        <v>#DIV/0!</v>
      </c>
      <c r="L22" s="144" t="e">
        <f>IF('[10]Table 10 CWTs exp'!L22/'[10]Table 10 CWTs exp'!$AA22&gt;0,'[10]Table 10 CWTs exp'!L22/'[10]Table 10 CWTs exp'!$AA22," ")</f>
        <v>#DIV/0!</v>
      </c>
      <c r="M22" s="144" t="e">
        <f>IF('[10]Table 10 CWTs exp'!M22/'[10]Table 10 CWTs exp'!$AA22&gt;0,'[10]Table 10 CWTs exp'!M22/'[10]Table 10 CWTs exp'!$AA22," ")</f>
        <v>#DIV/0!</v>
      </c>
      <c r="N22" s="144" t="e">
        <f>IF('[10]Table 10 CWTs exp'!N22/'[10]Table 10 CWTs exp'!$AA22&gt;0,'[10]Table 10 CWTs exp'!N22/'[10]Table 10 CWTs exp'!$AA22," ")</f>
        <v>#DIV/0!</v>
      </c>
      <c r="O22" s="144" t="e">
        <f>IF('[10]Table 10 CWTs exp'!O22/'[10]Table 10 CWTs exp'!$AA22&gt;0,'[10]Table 10 CWTs exp'!O22/'[10]Table 10 CWTs exp'!$AA22," ")</f>
        <v>#DIV/0!</v>
      </c>
      <c r="P22" s="144" t="e">
        <f>IF('[10]Table 10 CWTs exp'!P22/'[10]Table 10 CWTs exp'!$AA22&gt;0,'[10]Table 10 CWTs exp'!P22/'[10]Table 10 CWTs exp'!$AA22," ")</f>
        <v>#DIV/0!</v>
      </c>
      <c r="Q22" s="146" t="e">
        <f>IF('[10]Table 10 CWTs exp'!Q22/'[10]Table 10 CWTs exp'!$AA22&gt;0,'[10]Table 10 CWTs exp'!Q22/'[10]Table 10 CWTs exp'!$AA22," ")</f>
        <v>#DIV/0!</v>
      </c>
      <c r="R22" s="144" t="e">
        <f>IF('[10]Table 10 CWTs exp'!R22/'[10]Table 10 CWTs exp'!$AA22&gt;0,'[10]Table 10 CWTs exp'!R22/'[10]Table 10 CWTs exp'!$AA22," ")</f>
        <v>#DIV/0!</v>
      </c>
      <c r="S22" s="146" t="e">
        <f>IF('[10]Table 10 CWTs exp'!S22/'[10]Table 10 CWTs exp'!$AA22&gt;0,'[10]Table 10 CWTs exp'!S22/'[10]Table 10 CWTs exp'!$AA22," ")</f>
        <v>#DIV/0!</v>
      </c>
      <c r="T22" s="144" t="e">
        <f>IF('[10]Table 10 CWTs exp'!T22/'[10]Table 10 CWTs exp'!$AA22&gt;0,'[10]Table 10 CWTs exp'!T22/'[10]Table 10 CWTs exp'!$AA22," ")</f>
        <v>#DIV/0!</v>
      </c>
      <c r="U22" s="144" t="e">
        <f>IF('[10]Table 10 CWTs exp'!U22/'[10]Table 10 CWTs exp'!$AA22&gt;0,'[10]Table 10 CWTs exp'!U22/'[10]Table 10 CWTs exp'!$AA22," ")</f>
        <v>#DIV/0!</v>
      </c>
      <c r="V22" s="144" t="e">
        <f>IF('[10]Table 10 CWTs exp'!V22/'[10]Table 10 CWTs exp'!$AA22&gt;0,'[10]Table 10 CWTs exp'!V22/'[10]Table 10 CWTs exp'!$AA22," ")</f>
        <v>#DIV/0!</v>
      </c>
      <c r="W22" s="146" t="e">
        <f>IF('[10]Table 10 CWTs exp'!W22/'[10]Table 10 CWTs exp'!$AA22&gt;0,'[10]Table 10 CWTs exp'!W22/'[10]Table 10 CWTs exp'!$AA22," ")</f>
        <v>#DIV/0!</v>
      </c>
      <c r="X22" s="144" t="e">
        <f>IF('[10]Table 10 CWTs exp'!X22/'[10]Table 10 CWTs exp'!$AA22&gt;0,'[10]Table 10 CWTs exp'!X22/'[10]Table 10 CWTs exp'!$AA22," ")</f>
        <v>#DIV/0!</v>
      </c>
      <c r="Y22" s="147" t="e">
        <f t="shared" si="0"/>
        <v>#DIV/0!</v>
      </c>
      <c r="Z22" s="148" t="e">
        <f t="shared" si="5"/>
        <v>#DIV/0!</v>
      </c>
      <c r="AA22" s="38">
        <f>'[10]Table 10 CWTs exp'!AA22</f>
        <v>0</v>
      </c>
      <c r="AC22" s="592">
        <f>'[10]Table 10 CWTs exp'!AD22</f>
        <v>0</v>
      </c>
      <c r="AD22" s="592" t="e">
        <f t="shared" si="2"/>
        <v>#DIV/0!</v>
      </c>
      <c r="AE22" s="593" t="str">
        <f t="shared" si="3"/>
        <v>CLR543</v>
      </c>
      <c r="AF22" s="442"/>
      <c r="AH22" s="149"/>
      <c r="AI22" s="150"/>
    </row>
    <row r="23" spans="1:35" ht="14.5" customHeight="1" x14ac:dyDescent="0.25">
      <c r="A23" s="54" t="str">
        <f>'[10]Table 10 CWTs exp'!A23</f>
        <v>BATT543</v>
      </c>
      <c r="B23" s="75" t="str">
        <f>'[10]Table 10 CWTs exp'!B23</f>
        <v>BATT</v>
      </c>
      <c r="C23" s="75">
        <f>'[10]Table 10 CWTs exp'!C23</f>
        <v>54</v>
      </c>
      <c r="D23" s="75">
        <f>'[10]Table 10 CWTs exp'!D23</f>
        <v>3</v>
      </c>
      <c r="E23" s="75" t="s">
        <v>136</v>
      </c>
      <c r="F23" s="37" t="str">
        <f>'[10]Table 10 CWTs exp'!F23</f>
        <v>Fall</v>
      </c>
      <c r="G23" s="144" t="str">
        <f>IF('[10]Table 10 CWTs exp'!G23/'[10]Table 10 CWTs exp'!$AA23&gt;0,'[10]Table 10 CWTs exp'!G23/'[10]Table 10 CWTs exp'!$AA23," ")</f>
        <v xml:space="preserve"> </v>
      </c>
      <c r="H23" s="145" t="str">
        <f>IF('[10]Table 10 CWTs exp'!H23/'[10]Table 10 CWTs exp'!$AA23&gt;0,'[10]Table 10 CWTs exp'!H23/'[10]Table 10 CWTs exp'!$AA23," ")</f>
        <v xml:space="preserve"> </v>
      </c>
      <c r="I23" s="144">
        <f>IF('[10]Table 10 CWTs exp'!I23/'[10]Table 10 CWTs exp'!$AA23&gt;0,'[10]Table 10 CWTs exp'!I23/'[10]Table 10 CWTs exp'!$AA23," ")</f>
        <v>0.84985835694050993</v>
      </c>
      <c r="J23" s="146">
        <f>IF('[10]Table 10 CWTs exp'!J23/'[10]Table 10 CWTs exp'!$AA23&gt;0,'[10]Table 10 CWTs exp'!J23/'[10]Table 10 CWTs exp'!$AA23," ")</f>
        <v>5.6657223796033997E-3</v>
      </c>
      <c r="K23" s="144" t="str">
        <f>IF('[10]Table 10 CWTs exp'!K23/'[10]Table 10 CWTs exp'!$AA23&gt;0,'[10]Table 10 CWTs exp'!K23/'[10]Table 10 CWTs exp'!$AA23," ")</f>
        <v xml:space="preserve"> </v>
      </c>
      <c r="L23" s="144" t="str">
        <f>IF('[10]Table 10 CWTs exp'!L23/'[10]Table 10 CWTs exp'!$AA23&gt;0,'[10]Table 10 CWTs exp'!L23/'[10]Table 10 CWTs exp'!$AA23," ")</f>
        <v xml:space="preserve"> </v>
      </c>
      <c r="M23" s="144" t="str">
        <f>IF('[10]Table 10 CWTs exp'!M23/'[10]Table 10 CWTs exp'!$AA23&gt;0,'[10]Table 10 CWTs exp'!M23/'[10]Table 10 CWTs exp'!$AA23," ")</f>
        <v xml:space="preserve"> </v>
      </c>
      <c r="N23" s="144" t="str">
        <f>IF('[10]Table 10 CWTs exp'!N23/'[10]Table 10 CWTs exp'!$AA23&gt;0,'[10]Table 10 CWTs exp'!N23/'[10]Table 10 CWTs exp'!$AA23," ")</f>
        <v xml:space="preserve"> </v>
      </c>
      <c r="O23" s="144" t="str">
        <f>IF('[10]Table 10 CWTs exp'!O23/'[10]Table 10 CWTs exp'!$AA23&gt;0,'[10]Table 10 CWTs exp'!O23/'[10]Table 10 CWTs exp'!$AA23," ")</f>
        <v xml:space="preserve"> </v>
      </c>
      <c r="P23" s="144" t="str">
        <f>IF('[10]Table 10 CWTs exp'!P23/'[10]Table 10 CWTs exp'!$AA23&gt;0,'[10]Table 10 CWTs exp'!P23/'[10]Table 10 CWTs exp'!$AA23," ")</f>
        <v xml:space="preserve"> </v>
      </c>
      <c r="Q23" s="146" t="str">
        <f>IF('[10]Table 10 CWTs exp'!Q23/'[10]Table 10 CWTs exp'!$AA23&gt;0,'[10]Table 10 CWTs exp'!Q23/'[10]Table 10 CWTs exp'!$AA23," ")</f>
        <v xml:space="preserve"> </v>
      </c>
      <c r="R23" s="144" t="str">
        <f>IF('[10]Table 10 CWTs exp'!R23/'[10]Table 10 CWTs exp'!$AA23&gt;0,'[10]Table 10 CWTs exp'!R23/'[10]Table 10 CWTs exp'!$AA23," ")</f>
        <v xml:space="preserve"> </v>
      </c>
      <c r="S23" s="146" t="str">
        <f>IF('[10]Table 10 CWTs exp'!S23/'[10]Table 10 CWTs exp'!$AA23&gt;0,'[10]Table 10 CWTs exp'!S23/'[10]Table 10 CWTs exp'!$AA23," ")</f>
        <v xml:space="preserve"> </v>
      </c>
      <c r="T23" s="144" t="str">
        <f>IF('[10]Table 10 CWTs exp'!T23/'[10]Table 10 CWTs exp'!$AA23&gt;0,'[10]Table 10 CWTs exp'!T23/'[10]Table 10 CWTs exp'!$AA23," ")</f>
        <v xml:space="preserve"> </v>
      </c>
      <c r="U23" s="144">
        <f>IF('[10]Table 10 CWTs exp'!U23/'[10]Table 10 CWTs exp'!$AA23&gt;0,'[10]Table 10 CWTs exp'!U23/'[10]Table 10 CWTs exp'!$AA23," ")</f>
        <v>5.6657223796033997E-3</v>
      </c>
      <c r="V23" s="144" t="str">
        <f>IF('[10]Table 10 CWTs exp'!V23/'[10]Table 10 CWTs exp'!$AA23&gt;0,'[10]Table 10 CWTs exp'!V23/'[10]Table 10 CWTs exp'!$AA23," ")</f>
        <v xml:space="preserve"> </v>
      </c>
      <c r="W23" s="146" t="str">
        <f>IF('[10]Table 10 CWTs exp'!W23/'[10]Table 10 CWTs exp'!$AA23&gt;0,'[10]Table 10 CWTs exp'!W23/'[10]Table 10 CWTs exp'!$AA23," ")</f>
        <v xml:space="preserve"> </v>
      </c>
      <c r="X23" s="144" t="str">
        <f>IF('[10]Table 10 CWTs exp'!X23/'[10]Table 10 CWTs exp'!$AA23&gt;0,'[10]Table 10 CWTs exp'!X23/'[10]Table 10 CWTs exp'!$AA23," ")</f>
        <v xml:space="preserve"> </v>
      </c>
      <c r="Y23" s="147">
        <f t="shared" si="0"/>
        <v>0.86118980169971671</v>
      </c>
      <c r="Z23" s="148">
        <f t="shared" si="5"/>
        <v>0.13881019830028329</v>
      </c>
      <c r="AA23" s="38">
        <f>'[10]Table 10 CWTs exp'!AA23</f>
        <v>353</v>
      </c>
      <c r="AC23" s="592">
        <f>'[10]Table 10 CWTs exp'!AD23</f>
        <v>0.86118980169971671</v>
      </c>
      <c r="AD23" s="592">
        <f t="shared" si="2"/>
        <v>0</v>
      </c>
      <c r="AE23" s="593" t="str">
        <f t="shared" si="3"/>
        <v>BATT543</v>
      </c>
      <c r="AF23" s="442"/>
      <c r="AH23" s="149"/>
      <c r="AI23" s="150"/>
    </row>
    <row r="24" spans="1:35" ht="14.5" hidden="1" customHeight="1" x14ac:dyDescent="0.25">
      <c r="A24" s="54" t="str">
        <f>'[10]Table 10 CWTs exp'!A24</f>
        <v>COT543</v>
      </c>
      <c r="B24" s="75" t="str">
        <f>'[10]Table 10 CWTs exp'!B24</f>
        <v>COT</v>
      </c>
      <c r="C24" s="75">
        <f>'[10]Table 10 CWTs exp'!C24</f>
        <v>54</v>
      </c>
      <c r="D24" s="75">
        <f>'[10]Table 10 CWTs exp'!D24</f>
        <v>3</v>
      </c>
      <c r="E24" t="str">
        <f>'[10]Table 10 CWTs exp'!E24</f>
        <v>Cottonwood Creek*</v>
      </c>
      <c r="F24" s="37" t="str">
        <f>'[10]Table 10 CWTs exp'!F24</f>
        <v>Fall</v>
      </c>
      <c r="G24" s="144" t="e">
        <f>IF('[10]Table 10 CWTs exp'!G24/'[10]Table 10 CWTs exp'!$AA24&gt;0,'[10]Table 10 CWTs exp'!G24/'[10]Table 10 CWTs exp'!$AA24," ")</f>
        <v>#DIV/0!</v>
      </c>
      <c r="H24" s="145" t="e">
        <f>IF('[10]Table 10 CWTs exp'!H24/'[10]Table 10 CWTs exp'!$AA24&gt;0,'[10]Table 10 CWTs exp'!H24/'[10]Table 10 CWTs exp'!$AA24," ")</f>
        <v>#DIV/0!</v>
      </c>
      <c r="I24" s="144" t="e">
        <f>IF('[10]Table 10 CWTs exp'!I24/'[10]Table 10 CWTs exp'!$AA24&gt;0,'[10]Table 10 CWTs exp'!I24/'[10]Table 10 CWTs exp'!$AA24," ")</f>
        <v>#DIV/0!</v>
      </c>
      <c r="J24" s="146" t="e">
        <f>IF('[10]Table 10 CWTs exp'!J24/'[10]Table 10 CWTs exp'!$AA24&gt;0,'[10]Table 10 CWTs exp'!J24/'[10]Table 10 CWTs exp'!$AA24," ")</f>
        <v>#DIV/0!</v>
      </c>
      <c r="K24" s="144" t="e">
        <f>IF('[10]Table 10 CWTs exp'!K24/'[10]Table 10 CWTs exp'!$AA24&gt;0,'[10]Table 10 CWTs exp'!K24/'[10]Table 10 CWTs exp'!$AA24," ")</f>
        <v>#DIV/0!</v>
      </c>
      <c r="L24" s="144" t="e">
        <f>IF('[10]Table 10 CWTs exp'!L24/'[10]Table 10 CWTs exp'!$AA24&gt;0,'[10]Table 10 CWTs exp'!L24/'[10]Table 10 CWTs exp'!$AA24," ")</f>
        <v>#DIV/0!</v>
      </c>
      <c r="M24" s="144" t="e">
        <f>IF('[10]Table 10 CWTs exp'!M24/'[10]Table 10 CWTs exp'!$AA24&gt;0,'[10]Table 10 CWTs exp'!M24/'[10]Table 10 CWTs exp'!$AA24," ")</f>
        <v>#DIV/0!</v>
      </c>
      <c r="N24" s="144" t="e">
        <f>IF('[10]Table 10 CWTs exp'!N24/'[10]Table 10 CWTs exp'!$AA24&gt;0,'[10]Table 10 CWTs exp'!N24/'[10]Table 10 CWTs exp'!$AA24," ")</f>
        <v>#DIV/0!</v>
      </c>
      <c r="O24" s="144" t="e">
        <f>IF('[10]Table 10 CWTs exp'!O24/'[10]Table 10 CWTs exp'!$AA24&gt;0,'[10]Table 10 CWTs exp'!O24/'[10]Table 10 CWTs exp'!$AA24," ")</f>
        <v>#DIV/0!</v>
      </c>
      <c r="P24" s="144" t="e">
        <f>IF('[10]Table 10 CWTs exp'!P24/'[10]Table 10 CWTs exp'!$AA24&gt;0,'[10]Table 10 CWTs exp'!P24/'[10]Table 10 CWTs exp'!$AA24," ")</f>
        <v>#DIV/0!</v>
      </c>
      <c r="Q24" s="146" t="e">
        <f>IF('[10]Table 10 CWTs exp'!Q24/'[10]Table 10 CWTs exp'!$AA24&gt;0,'[10]Table 10 CWTs exp'!Q24/'[10]Table 10 CWTs exp'!$AA24," ")</f>
        <v>#DIV/0!</v>
      </c>
      <c r="R24" s="144" t="e">
        <f>IF('[10]Table 10 CWTs exp'!R24/'[10]Table 10 CWTs exp'!$AA24&gt;0,'[10]Table 10 CWTs exp'!R24/'[10]Table 10 CWTs exp'!$AA24," ")</f>
        <v>#DIV/0!</v>
      </c>
      <c r="S24" s="146" t="e">
        <f>IF('[10]Table 10 CWTs exp'!S24/'[10]Table 10 CWTs exp'!$AA24&gt;0,'[10]Table 10 CWTs exp'!S24/'[10]Table 10 CWTs exp'!$AA24," ")</f>
        <v>#DIV/0!</v>
      </c>
      <c r="T24" s="144" t="e">
        <f>IF('[10]Table 10 CWTs exp'!T24/'[10]Table 10 CWTs exp'!$AA24&gt;0,'[10]Table 10 CWTs exp'!T24/'[10]Table 10 CWTs exp'!$AA24," ")</f>
        <v>#DIV/0!</v>
      </c>
      <c r="U24" s="144" t="e">
        <f>IF('[10]Table 10 CWTs exp'!U24/'[10]Table 10 CWTs exp'!$AA24&gt;0,'[10]Table 10 CWTs exp'!U24/'[10]Table 10 CWTs exp'!$AA24," ")</f>
        <v>#DIV/0!</v>
      </c>
      <c r="V24" s="144" t="e">
        <f>IF('[10]Table 10 CWTs exp'!V24/'[10]Table 10 CWTs exp'!$AA24&gt;0,'[10]Table 10 CWTs exp'!V24/'[10]Table 10 CWTs exp'!$AA24," ")</f>
        <v>#DIV/0!</v>
      </c>
      <c r="W24" s="146" t="e">
        <f>IF('[10]Table 10 CWTs exp'!W24/'[10]Table 10 CWTs exp'!$AA24&gt;0,'[10]Table 10 CWTs exp'!W24/'[10]Table 10 CWTs exp'!$AA24," ")</f>
        <v>#DIV/0!</v>
      </c>
      <c r="X24" s="144" t="e">
        <f>IF('[10]Table 10 CWTs exp'!X24/'[10]Table 10 CWTs exp'!$AA24&gt;0,'[10]Table 10 CWTs exp'!X24/'[10]Table 10 CWTs exp'!$AA24," ")</f>
        <v>#DIV/0!</v>
      </c>
      <c r="Y24" s="147" t="e">
        <f t="shared" si="0"/>
        <v>#DIV/0!</v>
      </c>
      <c r="Z24" s="148" t="e">
        <f t="shared" si="5"/>
        <v>#DIV/0!</v>
      </c>
      <c r="AA24" s="38">
        <f>'[10]Table 10 CWTs exp'!AA24</f>
        <v>0</v>
      </c>
      <c r="AC24" s="592">
        <f>'[10]Table 10 CWTs exp'!AD24</f>
        <v>0</v>
      </c>
      <c r="AD24" s="592" t="e">
        <f t="shared" si="2"/>
        <v>#DIV/0!</v>
      </c>
      <c r="AE24" s="593" t="str">
        <f t="shared" si="3"/>
        <v>COT543</v>
      </c>
      <c r="AF24" s="442"/>
      <c r="AH24" s="149"/>
      <c r="AI24" s="150"/>
    </row>
    <row r="25" spans="1:35" ht="14.5" hidden="1" customHeight="1" x14ac:dyDescent="0.25">
      <c r="A25" s="54" t="str">
        <f>'[10]Table 10 CWTs exp'!A25</f>
        <v>COW543</v>
      </c>
      <c r="B25" s="75" t="str">
        <f>'[10]Table 10 CWTs exp'!B25</f>
        <v>COW</v>
      </c>
      <c r="C25" s="75">
        <f>'[10]Table 10 CWTs exp'!C25</f>
        <v>54</v>
      </c>
      <c r="D25" s="75">
        <f>'[10]Table 10 CWTs exp'!D25</f>
        <v>3</v>
      </c>
      <c r="E25" t="str">
        <f>'[10]Table 10 CWTs exp'!E25</f>
        <v>Cow Creek*</v>
      </c>
      <c r="F25" s="37" t="str">
        <f>'[10]Table 10 CWTs exp'!F25</f>
        <v>Fall</v>
      </c>
      <c r="G25" s="144" t="e">
        <f>IF('[10]Table 10 CWTs exp'!G25/'[10]Table 10 CWTs exp'!$AA25&gt;0,'[10]Table 10 CWTs exp'!G25/'[10]Table 10 CWTs exp'!$AA25," ")</f>
        <v>#DIV/0!</v>
      </c>
      <c r="H25" s="145" t="e">
        <f>IF('[10]Table 10 CWTs exp'!H25/'[10]Table 10 CWTs exp'!$AA25&gt;0,'[10]Table 10 CWTs exp'!H25/'[10]Table 10 CWTs exp'!$AA25," ")</f>
        <v>#DIV/0!</v>
      </c>
      <c r="I25" s="144" t="e">
        <f>IF('[10]Table 10 CWTs exp'!I25/'[10]Table 10 CWTs exp'!$AA25&gt;0,'[10]Table 10 CWTs exp'!I25/'[10]Table 10 CWTs exp'!$AA25," ")</f>
        <v>#DIV/0!</v>
      </c>
      <c r="J25" s="146" t="e">
        <f>IF('[10]Table 10 CWTs exp'!J25/'[10]Table 10 CWTs exp'!$AA25&gt;0,'[10]Table 10 CWTs exp'!J25/'[10]Table 10 CWTs exp'!$AA25," ")</f>
        <v>#DIV/0!</v>
      </c>
      <c r="K25" s="144" t="e">
        <f>IF('[10]Table 10 CWTs exp'!K25/'[10]Table 10 CWTs exp'!$AA25&gt;0,'[10]Table 10 CWTs exp'!K25/'[10]Table 10 CWTs exp'!$AA25," ")</f>
        <v>#DIV/0!</v>
      </c>
      <c r="L25" s="144" t="e">
        <f>IF('[10]Table 10 CWTs exp'!L25/'[10]Table 10 CWTs exp'!$AA25&gt;0,'[10]Table 10 CWTs exp'!L25/'[10]Table 10 CWTs exp'!$AA25," ")</f>
        <v>#DIV/0!</v>
      </c>
      <c r="M25" s="144" t="e">
        <f>IF('[10]Table 10 CWTs exp'!M25/'[10]Table 10 CWTs exp'!$AA25&gt;0,'[10]Table 10 CWTs exp'!M25/'[10]Table 10 CWTs exp'!$AA25," ")</f>
        <v>#DIV/0!</v>
      </c>
      <c r="N25" s="144" t="e">
        <f>IF('[10]Table 10 CWTs exp'!N25/'[10]Table 10 CWTs exp'!$AA25&gt;0,'[10]Table 10 CWTs exp'!N25/'[10]Table 10 CWTs exp'!$AA25," ")</f>
        <v>#DIV/0!</v>
      </c>
      <c r="O25" s="144" t="e">
        <f>IF('[10]Table 10 CWTs exp'!O25/'[10]Table 10 CWTs exp'!$AA25&gt;0,'[10]Table 10 CWTs exp'!O25/'[10]Table 10 CWTs exp'!$AA25," ")</f>
        <v>#DIV/0!</v>
      </c>
      <c r="P25" s="144" t="e">
        <f>IF('[10]Table 10 CWTs exp'!P25/'[10]Table 10 CWTs exp'!$AA25&gt;0,'[10]Table 10 CWTs exp'!P25/'[10]Table 10 CWTs exp'!$AA25," ")</f>
        <v>#DIV/0!</v>
      </c>
      <c r="Q25" s="146" t="e">
        <f>IF('[10]Table 10 CWTs exp'!Q25/'[10]Table 10 CWTs exp'!$AA25&gt;0,'[10]Table 10 CWTs exp'!Q25/'[10]Table 10 CWTs exp'!$AA25," ")</f>
        <v>#DIV/0!</v>
      </c>
      <c r="R25" s="144" t="e">
        <f>IF('[10]Table 10 CWTs exp'!R25/'[10]Table 10 CWTs exp'!$AA25&gt;0,'[10]Table 10 CWTs exp'!R25/'[10]Table 10 CWTs exp'!$AA25," ")</f>
        <v>#DIV/0!</v>
      </c>
      <c r="S25" s="146" t="e">
        <f>IF('[10]Table 10 CWTs exp'!S25/'[10]Table 10 CWTs exp'!$AA25&gt;0,'[10]Table 10 CWTs exp'!S25/'[10]Table 10 CWTs exp'!$AA25," ")</f>
        <v>#DIV/0!</v>
      </c>
      <c r="T25" s="144" t="e">
        <f>IF('[10]Table 10 CWTs exp'!T25/'[10]Table 10 CWTs exp'!$AA25&gt;0,'[10]Table 10 CWTs exp'!T25/'[10]Table 10 CWTs exp'!$AA25," ")</f>
        <v>#DIV/0!</v>
      </c>
      <c r="U25" s="144" t="e">
        <f>IF('[10]Table 10 CWTs exp'!U25/'[10]Table 10 CWTs exp'!$AA25&gt;0,'[10]Table 10 CWTs exp'!U25/'[10]Table 10 CWTs exp'!$AA25," ")</f>
        <v>#DIV/0!</v>
      </c>
      <c r="V25" s="144" t="e">
        <f>IF('[10]Table 10 CWTs exp'!V25/'[10]Table 10 CWTs exp'!$AA25&gt;0,'[10]Table 10 CWTs exp'!V25/'[10]Table 10 CWTs exp'!$AA25," ")</f>
        <v>#DIV/0!</v>
      </c>
      <c r="W25" s="146" t="e">
        <f>IF('[10]Table 10 CWTs exp'!W25/'[10]Table 10 CWTs exp'!$AA25&gt;0,'[10]Table 10 CWTs exp'!W25/'[10]Table 10 CWTs exp'!$AA25," ")</f>
        <v>#DIV/0!</v>
      </c>
      <c r="X25" s="144" t="e">
        <f>IF('[10]Table 10 CWTs exp'!X25/'[10]Table 10 CWTs exp'!$AA25&gt;0,'[10]Table 10 CWTs exp'!X25/'[10]Table 10 CWTs exp'!$AA25," ")</f>
        <v>#DIV/0!</v>
      </c>
      <c r="Y25" s="147" t="e">
        <f t="shared" si="0"/>
        <v>#DIV/0!</v>
      </c>
      <c r="Z25" s="148"/>
      <c r="AA25" s="38">
        <f>'[10]Table 10 CWTs exp'!AA25</f>
        <v>0</v>
      </c>
      <c r="AC25" s="592">
        <f>'[10]Table 10 CWTs exp'!AD25</f>
        <v>0</v>
      </c>
      <c r="AD25" s="592" t="e">
        <f t="shared" si="2"/>
        <v>#DIV/0!</v>
      </c>
      <c r="AE25" s="593" t="str">
        <f t="shared" si="3"/>
        <v>COW543</v>
      </c>
      <c r="AF25" s="442"/>
      <c r="AH25" s="149"/>
      <c r="AI25" s="150"/>
    </row>
    <row r="26" spans="1:35" ht="14.5" hidden="1" customHeight="1" x14ac:dyDescent="0.25">
      <c r="A26" s="54" t="str">
        <f>'[10]Table 10 CWTs exp'!A26</f>
        <v>MLC543</v>
      </c>
      <c r="B26" s="75" t="str">
        <f>'[10]Table 10 CWTs exp'!B26</f>
        <v>MLC</v>
      </c>
      <c r="C26" s="75">
        <f>'[10]Table 10 CWTs exp'!C26</f>
        <v>54</v>
      </c>
      <c r="D26" s="75">
        <f>'[10]Table 10 CWTs exp'!D26</f>
        <v>3</v>
      </c>
      <c r="E26" t="str">
        <f>'[10]Table 10 CWTs exp'!E26</f>
        <v>Mill Creek*</v>
      </c>
      <c r="F26" s="37" t="str">
        <f>'[10]Table 10 CWTs exp'!F26</f>
        <v>Fall</v>
      </c>
      <c r="G26" s="144" t="e">
        <f>IF('[10]Table 10 CWTs exp'!G26/'[10]Table 10 CWTs exp'!$AA26&gt;0,'[10]Table 10 CWTs exp'!G26/'[10]Table 10 CWTs exp'!$AA26," ")</f>
        <v>#DIV/0!</v>
      </c>
      <c r="H26" s="145" t="e">
        <f>IF('[10]Table 10 CWTs exp'!H26/'[10]Table 10 CWTs exp'!$AA26&gt;0,'[10]Table 10 CWTs exp'!H26/'[10]Table 10 CWTs exp'!$AA26," ")</f>
        <v>#DIV/0!</v>
      </c>
      <c r="I26" s="144" t="e">
        <f>IF('[10]Table 10 CWTs exp'!I26/'[10]Table 10 CWTs exp'!$AA26&gt;0,'[10]Table 10 CWTs exp'!I26/'[10]Table 10 CWTs exp'!$AA26," ")</f>
        <v>#DIV/0!</v>
      </c>
      <c r="J26" s="146" t="e">
        <f>IF('[10]Table 10 CWTs exp'!J26/'[10]Table 10 CWTs exp'!$AA26&gt;0,'[10]Table 10 CWTs exp'!J26/'[10]Table 10 CWTs exp'!$AA26," ")</f>
        <v>#DIV/0!</v>
      </c>
      <c r="K26" s="144" t="e">
        <f>IF('[10]Table 10 CWTs exp'!K26/'[10]Table 10 CWTs exp'!$AA26&gt;0,'[10]Table 10 CWTs exp'!K26/'[10]Table 10 CWTs exp'!$AA26," ")</f>
        <v>#DIV/0!</v>
      </c>
      <c r="L26" s="144" t="e">
        <f>IF('[10]Table 10 CWTs exp'!L26/'[10]Table 10 CWTs exp'!$AA26&gt;0,'[10]Table 10 CWTs exp'!L26/'[10]Table 10 CWTs exp'!$AA26," ")</f>
        <v>#DIV/0!</v>
      </c>
      <c r="M26" s="144" t="e">
        <f>IF('[10]Table 10 CWTs exp'!M26/'[10]Table 10 CWTs exp'!$AA26&gt;0,'[10]Table 10 CWTs exp'!M26/'[10]Table 10 CWTs exp'!$AA26," ")</f>
        <v>#DIV/0!</v>
      </c>
      <c r="N26" s="144" t="e">
        <f>IF('[10]Table 10 CWTs exp'!N26/'[10]Table 10 CWTs exp'!$AA26&gt;0,'[10]Table 10 CWTs exp'!N26/'[10]Table 10 CWTs exp'!$AA26," ")</f>
        <v>#DIV/0!</v>
      </c>
      <c r="O26" s="144" t="e">
        <f>IF('[10]Table 10 CWTs exp'!O26/'[10]Table 10 CWTs exp'!$AA26&gt;0,'[10]Table 10 CWTs exp'!O26/'[10]Table 10 CWTs exp'!$AA26," ")</f>
        <v>#DIV/0!</v>
      </c>
      <c r="P26" s="144" t="e">
        <f>IF('[10]Table 10 CWTs exp'!P26/'[10]Table 10 CWTs exp'!$AA26&gt;0,'[10]Table 10 CWTs exp'!P26/'[10]Table 10 CWTs exp'!$AA26," ")</f>
        <v>#DIV/0!</v>
      </c>
      <c r="Q26" s="146" t="e">
        <f>IF('[10]Table 10 CWTs exp'!Q26/'[10]Table 10 CWTs exp'!$AA26&gt;0,'[10]Table 10 CWTs exp'!Q26/'[10]Table 10 CWTs exp'!$AA26," ")</f>
        <v>#DIV/0!</v>
      </c>
      <c r="R26" s="144" t="e">
        <f>IF('[10]Table 10 CWTs exp'!R26/'[10]Table 10 CWTs exp'!$AA26&gt;0,'[10]Table 10 CWTs exp'!R26/'[10]Table 10 CWTs exp'!$AA26," ")</f>
        <v>#DIV/0!</v>
      </c>
      <c r="S26" s="146" t="e">
        <f>IF('[10]Table 10 CWTs exp'!S26/'[10]Table 10 CWTs exp'!$AA26&gt;0,'[10]Table 10 CWTs exp'!S26/'[10]Table 10 CWTs exp'!$AA26," ")</f>
        <v>#DIV/0!</v>
      </c>
      <c r="T26" s="144" t="e">
        <f>IF('[10]Table 10 CWTs exp'!T26/'[10]Table 10 CWTs exp'!$AA26&gt;0,'[10]Table 10 CWTs exp'!T26/'[10]Table 10 CWTs exp'!$AA26," ")</f>
        <v>#DIV/0!</v>
      </c>
      <c r="U26" s="144" t="e">
        <f>IF('[10]Table 10 CWTs exp'!U26/'[10]Table 10 CWTs exp'!$AA26&gt;0,'[10]Table 10 CWTs exp'!U26/'[10]Table 10 CWTs exp'!$AA26," ")</f>
        <v>#DIV/0!</v>
      </c>
      <c r="V26" s="144" t="e">
        <f>IF('[10]Table 10 CWTs exp'!V26/'[10]Table 10 CWTs exp'!$AA26&gt;0,'[10]Table 10 CWTs exp'!V26/'[10]Table 10 CWTs exp'!$AA26," ")</f>
        <v>#DIV/0!</v>
      </c>
      <c r="W26" s="146" t="e">
        <f>IF('[10]Table 10 CWTs exp'!W26/'[10]Table 10 CWTs exp'!$AA26&gt;0,'[10]Table 10 CWTs exp'!W26/'[10]Table 10 CWTs exp'!$AA26," ")</f>
        <v>#DIV/0!</v>
      </c>
      <c r="X26" s="144" t="e">
        <f>IF('[10]Table 10 CWTs exp'!X26/'[10]Table 10 CWTs exp'!$AA26&gt;0,'[10]Table 10 CWTs exp'!X26/'[10]Table 10 CWTs exp'!$AA26," ")</f>
        <v>#DIV/0!</v>
      </c>
      <c r="Y26" s="147" t="e">
        <f t="shared" si="0"/>
        <v>#DIV/0!</v>
      </c>
      <c r="Z26" s="148" t="e">
        <f t="shared" ref="Z26:Z27" si="6">1-Y26</f>
        <v>#DIV/0!</v>
      </c>
      <c r="AA26" s="38">
        <f>'[10]Table 10 CWTs exp'!AA26</f>
        <v>0</v>
      </c>
      <c r="AC26" s="592">
        <f>'[10]Table 10 CWTs exp'!AD26</f>
        <v>0</v>
      </c>
      <c r="AD26" s="592" t="e">
        <f t="shared" si="2"/>
        <v>#DIV/0!</v>
      </c>
      <c r="AE26" s="593" t="str">
        <f t="shared" si="3"/>
        <v>MLC543</v>
      </c>
      <c r="AF26" s="442"/>
      <c r="AH26" s="149"/>
      <c r="AI26" s="150"/>
    </row>
    <row r="27" spans="1:35" ht="14.25" customHeight="1" x14ac:dyDescent="0.25">
      <c r="A27" s="54" t="str">
        <f>'[10]Table 10 CWTs exp'!A27</f>
        <v>BUTT543</v>
      </c>
      <c r="B27" s="75" t="str">
        <f>'[10]Table 10 CWTs exp'!B27</f>
        <v>BUTT</v>
      </c>
      <c r="C27" s="75">
        <f>'[10]Table 10 CWTs exp'!C27</f>
        <v>54</v>
      </c>
      <c r="D27" s="75">
        <f>'[10]Table 10 CWTs exp'!D27</f>
        <v>3</v>
      </c>
      <c r="E27" t="str">
        <f>'[10]Table 10 CWTs exp'!E27</f>
        <v>Butte Creek</v>
      </c>
      <c r="F27" s="37" t="str">
        <f>'[10]Table 10 CWTs exp'!F27</f>
        <v>Fall</v>
      </c>
      <c r="G27" s="144" t="str">
        <f>IF('[10]Table 10 CWTs exp'!G27/'[10]Table 10 CWTs exp'!$AA27&gt;0,'[10]Table 10 CWTs exp'!G27/'[10]Table 10 CWTs exp'!$AA27," ")</f>
        <v xml:space="preserve"> </v>
      </c>
      <c r="H27" s="145" t="str">
        <f>IF('[10]Table 10 CWTs exp'!H27/'[10]Table 10 CWTs exp'!$AA27&gt;0,'[10]Table 10 CWTs exp'!H27/'[10]Table 10 CWTs exp'!$AA27," ")</f>
        <v xml:space="preserve"> </v>
      </c>
      <c r="I27" s="144" t="str">
        <f>IF('[10]Table 10 CWTs exp'!I27/'[10]Table 10 CWTs exp'!$AA27&gt;0,'[10]Table 10 CWTs exp'!I27/'[10]Table 10 CWTs exp'!$AA27," ")</f>
        <v xml:space="preserve"> </v>
      </c>
      <c r="J27" s="146" t="str">
        <f>IF('[10]Table 10 CWTs exp'!J27/'[10]Table 10 CWTs exp'!$AA27&gt;0,'[10]Table 10 CWTs exp'!J27/'[10]Table 10 CWTs exp'!$AA27," ")</f>
        <v xml:space="preserve"> </v>
      </c>
      <c r="K27" s="144" t="str">
        <f>IF('[10]Table 10 CWTs exp'!K27/'[10]Table 10 CWTs exp'!$AA27&gt;0,'[10]Table 10 CWTs exp'!K27/'[10]Table 10 CWTs exp'!$AA27," ")</f>
        <v xml:space="preserve"> </v>
      </c>
      <c r="L27" s="144" t="str">
        <f>IF('[10]Table 10 CWTs exp'!L27/'[10]Table 10 CWTs exp'!$AA27&gt;0,'[10]Table 10 CWTs exp'!L27/'[10]Table 10 CWTs exp'!$AA27," ")</f>
        <v xml:space="preserve"> </v>
      </c>
      <c r="M27" s="144" t="str">
        <f>IF('[10]Table 10 CWTs exp'!M27/'[10]Table 10 CWTs exp'!$AA27&gt;0,'[10]Table 10 CWTs exp'!M27/'[10]Table 10 CWTs exp'!$AA27," ")</f>
        <v xml:space="preserve"> </v>
      </c>
      <c r="N27" s="144" t="str">
        <f>IF('[10]Table 10 CWTs exp'!N27/'[10]Table 10 CWTs exp'!$AA27&gt;0,'[10]Table 10 CWTs exp'!N27/'[10]Table 10 CWTs exp'!$AA27," ")</f>
        <v xml:space="preserve"> </v>
      </c>
      <c r="O27" s="144" t="str">
        <f>IF('[10]Table 10 CWTs exp'!O27/'[10]Table 10 CWTs exp'!$AA27&gt;0,'[10]Table 10 CWTs exp'!O27/'[10]Table 10 CWTs exp'!$AA27," ")</f>
        <v xml:space="preserve"> </v>
      </c>
      <c r="P27" s="144" t="str">
        <f>IF('[10]Table 10 CWTs exp'!P27/'[10]Table 10 CWTs exp'!$AA27&gt;0,'[10]Table 10 CWTs exp'!P27/'[10]Table 10 CWTs exp'!$AA27," ")</f>
        <v xml:space="preserve"> </v>
      </c>
      <c r="Q27" s="146" t="str">
        <f>IF('[10]Table 10 CWTs exp'!Q27/'[10]Table 10 CWTs exp'!$AA27&gt;0,'[10]Table 10 CWTs exp'!Q27/'[10]Table 10 CWTs exp'!$AA27," ")</f>
        <v xml:space="preserve"> </v>
      </c>
      <c r="R27" s="144" t="str">
        <f>IF('[10]Table 10 CWTs exp'!R27/'[10]Table 10 CWTs exp'!$AA27&gt;0,'[10]Table 10 CWTs exp'!R27/'[10]Table 10 CWTs exp'!$AA27," ")</f>
        <v xml:space="preserve"> </v>
      </c>
      <c r="S27" s="146" t="str">
        <f>IF('[10]Table 10 CWTs exp'!S27/'[10]Table 10 CWTs exp'!$AA27&gt;0,'[10]Table 10 CWTs exp'!S27/'[10]Table 10 CWTs exp'!$AA27," ")</f>
        <v xml:space="preserve"> </v>
      </c>
      <c r="T27" s="144" t="str">
        <f>IF('[10]Table 10 CWTs exp'!T27/'[10]Table 10 CWTs exp'!$AA27&gt;0,'[10]Table 10 CWTs exp'!T27/'[10]Table 10 CWTs exp'!$AA27," ")</f>
        <v xml:space="preserve"> </v>
      </c>
      <c r="U27" s="144" t="str">
        <f>IF('[10]Table 10 CWTs exp'!U27/'[10]Table 10 CWTs exp'!$AA27&gt;0,'[10]Table 10 CWTs exp'!U27/'[10]Table 10 CWTs exp'!$AA27," ")</f>
        <v xml:space="preserve"> </v>
      </c>
      <c r="V27" s="144" t="str">
        <f>IF('[10]Table 10 CWTs exp'!V27/'[10]Table 10 CWTs exp'!$AA27&gt;0,'[10]Table 10 CWTs exp'!V27/'[10]Table 10 CWTs exp'!$AA27," ")</f>
        <v xml:space="preserve"> </v>
      </c>
      <c r="W27" s="146" t="str">
        <f>IF('[10]Table 10 CWTs exp'!W27/'[10]Table 10 CWTs exp'!$AA27&gt;0,'[10]Table 10 CWTs exp'!W27/'[10]Table 10 CWTs exp'!$AA27," ")</f>
        <v xml:space="preserve"> </v>
      </c>
      <c r="X27" s="144" t="str">
        <f>IF('[10]Table 10 CWTs exp'!X27/'[10]Table 10 CWTs exp'!$AA27&gt;0,'[10]Table 10 CWTs exp'!X27/'[10]Table 10 CWTs exp'!$AA27," ")</f>
        <v xml:space="preserve"> </v>
      </c>
      <c r="Y27" s="147">
        <f t="shared" si="0"/>
        <v>0</v>
      </c>
      <c r="Z27" s="148">
        <f t="shared" si="6"/>
        <v>1</v>
      </c>
      <c r="AA27" s="38">
        <f>'[10]Table 10 CWTs exp'!AA27</f>
        <v>105</v>
      </c>
      <c r="AC27" s="592">
        <f>'[10]Table 10 CWTs exp'!AD27</f>
        <v>0</v>
      </c>
      <c r="AD27" s="592">
        <f t="shared" si="2"/>
        <v>0</v>
      </c>
      <c r="AE27" s="593" t="str">
        <f t="shared" si="3"/>
        <v>BUTT543</v>
      </c>
      <c r="AF27" s="442"/>
      <c r="AH27" s="149"/>
      <c r="AI27" s="150"/>
    </row>
    <row r="28" spans="1:35" ht="14.5" customHeight="1" x14ac:dyDescent="0.25">
      <c r="A28" s="54" t="str">
        <f>'[10]Table 10 CWTs exp'!A28</f>
        <v>FEA543</v>
      </c>
      <c r="B28" s="75" t="str">
        <f>'[10]Table 10 CWTs exp'!B28</f>
        <v>FEA</v>
      </c>
      <c r="C28" s="75">
        <f>'[10]Table 10 CWTs exp'!C28</f>
        <v>54</v>
      </c>
      <c r="D28" s="75">
        <f>'[10]Table 10 CWTs exp'!D28</f>
        <v>3</v>
      </c>
      <c r="E28" t="str">
        <f>'[10]Table 10 CWTs exp'!E28</f>
        <v>Feather River</v>
      </c>
      <c r="F28" s="37" t="str">
        <f>'[10]Table 10 CWTs exp'!F28</f>
        <v>Fall</v>
      </c>
      <c r="G28" s="144" t="str">
        <f>IF('[10]Table 10 CWTs exp'!G28/'[10]Table 10 CWTs exp'!$AA28&gt;0,'[10]Table 10 CWTs exp'!G28/'[10]Table 10 CWTs exp'!$AA28," ")</f>
        <v xml:space="preserve"> </v>
      </c>
      <c r="H28" s="145" t="str">
        <f>IF('[10]Table 10 CWTs exp'!H28/'[10]Table 10 CWTs exp'!$AA28&gt;0,'[10]Table 10 CWTs exp'!H28/'[10]Table 10 CWTs exp'!$AA28," ")</f>
        <v xml:space="preserve"> </v>
      </c>
      <c r="I28" s="144" t="str">
        <f>IF('[10]Table 10 CWTs exp'!I28/'[10]Table 10 CWTs exp'!$AA28&gt;0,'[10]Table 10 CWTs exp'!I28/'[10]Table 10 CWTs exp'!$AA28," ")</f>
        <v xml:space="preserve"> </v>
      </c>
      <c r="J28" s="146">
        <f>IF('[10]Table 10 CWTs exp'!J28/'[10]Table 10 CWTs exp'!$AA28&gt;0,'[10]Table 10 CWTs exp'!J28/'[10]Table 10 CWTs exp'!$AA28," ")</f>
        <v>5.059806341370799E-2</v>
      </c>
      <c r="K28" s="144">
        <f>IF('[10]Table 10 CWTs exp'!K28/'[10]Table 10 CWTs exp'!$AA28&gt;0,'[10]Table 10 CWTs exp'!K28/'[10]Table 10 CWTs exp'!$AA28," ")</f>
        <v>3.2276438200113918E-3</v>
      </c>
      <c r="L28" s="144">
        <f>IF('[10]Table 10 CWTs exp'!L28/'[10]Table 10 CWTs exp'!$AA28&gt;0,'[10]Table 10 CWTs exp'!L28/'[10]Table 10 CWTs exp'!$AA28," ")</f>
        <v>3.2276438200113918E-3</v>
      </c>
      <c r="M28" s="144" t="str">
        <f>IF('[10]Table 10 CWTs exp'!M28/'[10]Table 10 CWTs exp'!$AA28&gt;0,'[10]Table 10 CWTs exp'!M28/'[10]Table 10 CWTs exp'!$AA28," ")</f>
        <v xml:space="preserve"> </v>
      </c>
      <c r="N28" s="144">
        <f>IF('[10]Table 10 CWTs exp'!N28/'[10]Table 10 CWTs exp'!$AA28&gt;0,'[10]Table 10 CWTs exp'!N28/'[10]Table 10 CWTs exp'!$AA28," ")</f>
        <v>0.7279286121131574</v>
      </c>
      <c r="O28" s="144">
        <f>IF('[10]Table 10 CWTs exp'!O28/'[10]Table 10 CWTs exp'!$AA28&gt;0,'[10]Table 10 CWTs exp'!O28/'[10]Table 10 CWTs exp'!$AA28," ")</f>
        <v>9.9297512815644584E-2</v>
      </c>
      <c r="P28" s="144">
        <f>IF('[10]Table 10 CWTs exp'!P28/'[10]Table 10 CWTs exp'!$AA28&gt;0,'[10]Table 10 CWTs exp'!P28/'[10]Table 10 CWTs exp'!$AA28," ")</f>
        <v>2.0884754129485475E-3</v>
      </c>
      <c r="Q28" s="146">
        <f>IF('[10]Table 10 CWTs exp'!Q28/'[10]Table 10 CWTs exp'!$AA28&gt;0,'[10]Table 10 CWTs exp'!Q28/'[10]Table 10 CWTs exp'!$AA28," ")</f>
        <v>1.0442377064742738E-3</v>
      </c>
      <c r="R28" s="144" t="str">
        <f>IF('[10]Table 10 CWTs exp'!R28/'[10]Table 10 CWTs exp'!$AA28&gt;0,'[10]Table 10 CWTs exp'!R28/'[10]Table 10 CWTs exp'!$AA28," ")</f>
        <v xml:space="preserve"> </v>
      </c>
      <c r="S28" s="146">
        <f>IF('[10]Table 10 CWTs exp'!S28/'[10]Table 10 CWTs exp'!$AA28&gt;0,'[10]Table 10 CWTs exp'!S28/'[10]Table 10 CWTs exp'!$AA28," ")</f>
        <v>8.3539016517941902E-3</v>
      </c>
      <c r="T28" s="144" t="str">
        <f>IF('[10]Table 10 CWTs exp'!T28/'[10]Table 10 CWTs exp'!$AA28&gt;0,'[10]Table 10 CWTs exp'!T28/'[10]Table 10 CWTs exp'!$AA28," ")</f>
        <v xml:space="preserve"> </v>
      </c>
      <c r="U28" s="144">
        <f>IF('[10]Table 10 CWTs exp'!U28/'[10]Table 10 CWTs exp'!$AA28&gt;0,'[10]Table 10 CWTs exp'!U28/'[10]Table 10 CWTs exp'!$AA28," ")</f>
        <v>8.44883235238276E-3</v>
      </c>
      <c r="V28" s="144">
        <f>IF('[10]Table 10 CWTs exp'!V28/'[10]Table 10 CWTs exp'!$AA28&gt;0,'[10]Table 10 CWTs exp'!V28/'[10]Table 10 CWTs exp'!$AA28," ")</f>
        <v>6.2654262388456431E-3</v>
      </c>
      <c r="W28" s="146" t="str">
        <f>IF('[10]Table 10 CWTs exp'!W28/'[10]Table 10 CWTs exp'!$AA28&gt;0,'[10]Table 10 CWTs exp'!W28/'[10]Table 10 CWTs exp'!$AA28," ")</f>
        <v xml:space="preserve"> </v>
      </c>
      <c r="X28" s="144">
        <f>IF('[10]Table 10 CWTs exp'!X28/'[10]Table 10 CWTs exp'!$AA28&gt;0,'[10]Table 10 CWTs exp'!X28/'[10]Table 10 CWTs exp'!$AA28," ")</f>
        <v>1.0157584962977027E-2</v>
      </c>
      <c r="Y28" s="147">
        <f t="shared" si="0"/>
        <v>0.92063793430795526</v>
      </c>
      <c r="Z28" s="148">
        <f t="shared" si="5"/>
        <v>7.9362065692044736E-2</v>
      </c>
      <c r="AA28" s="38">
        <f>'[10]Table 10 CWTs exp'!AA28</f>
        <v>10534</v>
      </c>
      <c r="AC28" s="592">
        <f>'[10]Table 10 CWTs exp'!AD28</f>
        <v>0.92100000000000004</v>
      </c>
      <c r="AD28" s="592">
        <f t="shared" si="2"/>
        <v>-3.6206569204477734E-4</v>
      </c>
      <c r="AE28" s="593" t="str">
        <f t="shared" si="3"/>
        <v>FEA543</v>
      </c>
      <c r="AF28" s="442"/>
      <c r="AH28" s="149"/>
      <c r="AI28" s="150"/>
    </row>
    <row r="29" spans="1:35" ht="14.5" customHeight="1" x14ac:dyDescent="0.25">
      <c r="A29" s="54" t="str">
        <f>'[10]Table 10 CWTs exp'!A29</f>
        <v>YUBA543</v>
      </c>
      <c r="B29" s="75" t="str">
        <f>'[10]Table 10 CWTs exp'!B29</f>
        <v>YUBA</v>
      </c>
      <c r="C29" s="75">
        <f>'[10]Table 10 CWTs exp'!C29</f>
        <v>54</v>
      </c>
      <c r="D29" s="75">
        <f>'[10]Table 10 CWTs exp'!D29</f>
        <v>3</v>
      </c>
      <c r="E29" t="str">
        <f>'[10]Table 10 CWTs exp'!E29</f>
        <v>Yuba River</v>
      </c>
      <c r="F29" s="37" t="str">
        <f>'[10]Table 10 CWTs exp'!F29</f>
        <v>Fall</v>
      </c>
      <c r="G29" s="144" t="str">
        <f>IF('[10]Table 10 CWTs exp'!G29/'[10]Table 10 CWTs exp'!$AA29&gt;0,'[10]Table 10 CWTs exp'!G29/'[10]Table 10 CWTs exp'!$AA29," ")</f>
        <v xml:space="preserve"> </v>
      </c>
      <c r="H29" s="145" t="str">
        <f>IF('[10]Table 10 CWTs exp'!H29/'[10]Table 10 CWTs exp'!$AA29&gt;0,'[10]Table 10 CWTs exp'!H29/'[10]Table 10 CWTs exp'!$AA29," ")</f>
        <v xml:space="preserve"> </v>
      </c>
      <c r="I29" s="144" t="str">
        <f>IF('[10]Table 10 CWTs exp'!I29/'[10]Table 10 CWTs exp'!$AA29&gt;0,'[10]Table 10 CWTs exp'!I29/'[10]Table 10 CWTs exp'!$AA29," ")</f>
        <v xml:space="preserve"> </v>
      </c>
      <c r="J29" s="146">
        <f>IF('[10]Table 10 CWTs exp'!J29/'[10]Table 10 CWTs exp'!$AA29&gt;0,'[10]Table 10 CWTs exp'!J29/'[10]Table 10 CWTs exp'!$AA29," ")</f>
        <v>0.56978155339805825</v>
      </c>
      <c r="K29" s="144">
        <f>IF('[10]Table 10 CWTs exp'!K29/'[10]Table 10 CWTs exp'!$AA29&gt;0,'[10]Table 10 CWTs exp'!K29/'[10]Table 10 CWTs exp'!$AA29," ")</f>
        <v>1.2135922330097087E-2</v>
      </c>
      <c r="L29" s="144" t="str">
        <f>IF('[10]Table 10 CWTs exp'!L29/'[10]Table 10 CWTs exp'!$AA29&gt;0,'[10]Table 10 CWTs exp'!L29/'[10]Table 10 CWTs exp'!$AA29," ")</f>
        <v xml:space="preserve"> </v>
      </c>
      <c r="M29" s="144" t="str">
        <f>IF('[10]Table 10 CWTs exp'!M29/'[10]Table 10 CWTs exp'!$AA29&gt;0,'[10]Table 10 CWTs exp'!M29/'[10]Table 10 CWTs exp'!$AA29," ")</f>
        <v xml:space="preserve"> </v>
      </c>
      <c r="N29" s="144">
        <f>IF('[10]Table 10 CWTs exp'!N29/'[10]Table 10 CWTs exp'!$AA29&gt;0,'[10]Table 10 CWTs exp'!N29/'[10]Table 10 CWTs exp'!$AA29," ")</f>
        <v>9.5266990291262135E-2</v>
      </c>
      <c r="O29" s="144">
        <f>IF('[10]Table 10 CWTs exp'!O29/'[10]Table 10 CWTs exp'!$AA29&gt;0,'[10]Table 10 CWTs exp'!O29/'[10]Table 10 CWTs exp'!$AA29," ")</f>
        <v>1.2135922330097087E-2</v>
      </c>
      <c r="P29" s="144" t="str">
        <f>IF('[10]Table 10 CWTs exp'!P29/'[10]Table 10 CWTs exp'!$AA29&gt;0,'[10]Table 10 CWTs exp'!P29/'[10]Table 10 CWTs exp'!$AA29," ")</f>
        <v xml:space="preserve"> </v>
      </c>
      <c r="Q29" s="146" t="str">
        <f>IF('[10]Table 10 CWTs exp'!Q29/'[10]Table 10 CWTs exp'!$AA29&gt;0,'[10]Table 10 CWTs exp'!Q29/'[10]Table 10 CWTs exp'!$AA29," ")</f>
        <v xml:space="preserve"> </v>
      </c>
      <c r="R29" s="144" t="str">
        <f>IF('[10]Table 10 CWTs exp'!R29/'[10]Table 10 CWTs exp'!$AA29&gt;0,'[10]Table 10 CWTs exp'!R29/'[10]Table 10 CWTs exp'!$AA29," ")</f>
        <v xml:space="preserve"> </v>
      </c>
      <c r="S29" s="146">
        <f>IF('[10]Table 10 CWTs exp'!S29/'[10]Table 10 CWTs exp'!$AA29&gt;0,'[10]Table 10 CWTs exp'!S29/'[10]Table 10 CWTs exp'!$AA29," ")</f>
        <v>9.4660194174757281E-2</v>
      </c>
      <c r="T29" s="144" t="str">
        <f>IF('[10]Table 10 CWTs exp'!T29/'[10]Table 10 CWTs exp'!$AA29&gt;0,'[10]Table 10 CWTs exp'!T29/'[10]Table 10 CWTs exp'!$AA29," ")</f>
        <v xml:space="preserve"> </v>
      </c>
      <c r="U29" s="144">
        <f>IF('[10]Table 10 CWTs exp'!U29/'[10]Table 10 CWTs exp'!$AA29&gt;0,'[10]Table 10 CWTs exp'!U29/'[10]Table 10 CWTs exp'!$AA29," ")</f>
        <v>4.7330097087378641E-2</v>
      </c>
      <c r="V29" s="144">
        <f>IF('[10]Table 10 CWTs exp'!V29/'[10]Table 10 CWTs exp'!$AA29&gt;0,'[10]Table 10 CWTs exp'!V29/'[10]Table 10 CWTs exp'!$AA29," ")</f>
        <v>1.2135922330097087E-2</v>
      </c>
      <c r="W29" s="146">
        <f>IF('[10]Table 10 CWTs exp'!W29/'[10]Table 10 CWTs exp'!$AA29&gt;0,'[10]Table 10 CWTs exp'!W29/'[10]Table 10 CWTs exp'!$AA29," ")</f>
        <v>2.366504854368932E-2</v>
      </c>
      <c r="X29" s="144" t="str">
        <f>IF('[10]Table 10 CWTs exp'!X29/'[10]Table 10 CWTs exp'!$AA29&gt;0,'[10]Table 10 CWTs exp'!X29/'[10]Table 10 CWTs exp'!$AA29," ")</f>
        <v xml:space="preserve"> </v>
      </c>
      <c r="Y29" s="147">
        <f t="shared" si="0"/>
        <v>0.86711165048543692</v>
      </c>
      <c r="Z29" s="148">
        <f t="shared" si="5"/>
        <v>0.13288834951456308</v>
      </c>
      <c r="AA29" s="38">
        <f>'[10]Table 10 CWTs exp'!AA29</f>
        <v>1648</v>
      </c>
      <c r="AC29" s="592">
        <f>'[10]Table 10 CWTs exp'!AD29</f>
        <v>0.86699999999999999</v>
      </c>
      <c r="AD29" s="592">
        <f t="shared" si="2"/>
        <v>1.1165048543693157E-4</v>
      </c>
      <c r="AE29" s="593" t="str">
        <f t="shared" si="3"/>
        <v>YUBA543</v>
      </c>
      <c r="AF29" s="442"/>
      <c r="AH29" s="149"/>
      <c r="AI29" s="150"/>
    </row>
    <row r="30" spans="1:35" ht="14.5" hidden="1" customHeight="1" x14ac:dyDescent="0.25">
      <c r="A30" s="54" t="str">
        <f>'[10]Table 10 CWTs exp'!A30</f>
        <v>YUBB543</v>
      </c>
      <c r="B30" s="75" t="str">
        <f>'[10]Table 10 CWTs exp'!B30</f>
        <v>YUBB</v>
      </c>
      <c r="C30" s="75">
        <f>'[10]Table 10 CWTs exp'!C30</f>
        <v>54</v>
      </c>
      <c r="D30" s="75">
        <f>'[10]Table 10 CWTs exp'!D30</f>
        <v>3</v>
      </c>
      <c r="E30" t="str">
        <f>'[10]Table 10 CWTs exp'!E30</f>
        <v>Yuba River below DPD</v>
      </c>
      <c r="F30" s="37" t="str">
        <f>'[10]Table 10 CWTs exp'!F30</f>
        <v>Fall</v>
      </c>
      <c r="G30" s="144" t="e">
        <f>IF('[10]Table 10 CWTs exp'!G30/'[10]Table 10 CWTs exp'!$AA30&gt;0,'[10]Table 10 CWTs exp'!G30/'[10]Table 10 CWTs exp'!$AA30," ")</f>
        <v>#DIV/0!</v>
      </c>
      <c r="H30" s="145" t="e">
        <f>IF('[10]Table 10 CWTs exp'!H30/'[10]Table 10 CWTs exp'!$AA30&gt;0,'[10]Table 10 CWTs exp'!H30/'[10]Table 10 CWTs exp'!$AA30," ")</f>
        <v>#DIV/0!</v>
      </c>
      <c r="I30" s="144" t="e">
        <f>IF('[10]Table 10 CWTs exp'!I30/'[10]Table 10 CWTs exp'!$AA30&gt;0,'[10]Table 10 CWTs exp'!I30/'[10]Table 10 CWTs exp'!$AA30," ")</f>
        <v>#DIV/0!</v>
      </c>
      <c r="J30" s="146" t="e">
        <f>IF('[10]Table 10 CWTs exp'!J30/'[10]Table 10 CWTs exp'!$AA30&gt;0,'[10]Table 10 CWTs exp'!J30/'[10]Table 10 CWTs exp'!$AA30," ")</f>
        <v>#DIV/0!</v>
      </c>
      <c r="K30" s="144" t="e">
        <f>IF('[10]Table 10 CWTs exp'!K30/'[10]Table 10 CWTs exp'!$AA30&gt;0,'[10]Table 10 CWTs exp'!K30/'[10]Table 10 CWTs exp'!$AA30," ")</f>
        <v>#DIV/0!</v>
      </c>
      <c r="L30" s="144" t="e">
        <f>IF('[10]Table 10 CWTs exp'!L30/'[10]Table 10 CWTs exp'!$AA30&gt;0,'[10]Table 10 CWTs exp'!L30/'[10]Table 10 CWTs exp'!$AA30," ")</f>
        <v>#DIV/0!</v>
      </c>
      <c r="M30" s="144" t="e">
        <f>IF('[10]Table 10 CWTs exp'!M30/'[10]Table 10 CWTs exp'!$AA30&gt;0,'[10]Table 10 CWTs exp'!M30/'[10]Table 10 CWTs exp'!$AA30," ")</f>
        <v>#DIV/0!</v>
      </c>
      <c r="N30" s="144" t="e">
        <f>IF('[10]Table 10 CWTs exp'!N30/'[10]Table 10 CWTs exp'!$AA30&gt;0,'[10]Table 10 CWTs exp'!N30/'[10]Table 10 CWTs exp'!$AA30," ")</f>
        <v>#DIV/0!</v>
      </c>
      <c r="O30" s="144" t="e">
        <f>IF('[10]Table 10 CWTs exp'!O30/'[10]Table 10 CWTs exp'!$AA30&gt;0,'[10]Table 10 CWTs exp'!O30/'[10]Table 10 CWTs exp'!$AA30," ")</f>
        <v>#DIV/0!</v>
      </c>
      <c r="P30" s="144" t="e">
        <f>IF('[10]Table 10 CWTs exp'!P30/'[10]Table 10 CWTs exp'!$AA30&gt;0,'[10]Table 10 CWTs exp'!P30/'[10]Table 10 CWTs exp'!$AA30," ")</f>
        <v>#DIV/0!</v>
      </c>
      <c r="Q30" s="146" t="e">
        <f>IF('[10]Table 10 CWTs exp'!Q30/'[10]Table 10 CWTs exp'!$AA30&gt;0,'[10]Table 10 CWTs exp'!Q30/'[10]Table 10 CWTs exp'!$AA30," ")</f>
        <v>#DIV/0!</v>
      </c>
      <c r="R30" s="144" t="e">
        <f>IF('[10]Table 10 CWTs exp'!R30/'[10]Table 10 CWTs exp'!$AA30&gt;0,'[10]Table 10 CWTs exp'!R30/'[10]Table 10 CWTs exp'!$AA30," ")</f>
        <v>#DIV/0!</v>
      </c>
      <c r="S30" s="146" t="e">
        <f>IF('[10]Table 10 CWTs exp'!S30/'[10]Table 10 CWTs exp'!$AA30&gt;0,'[10]Table 10 CWTs exp'!S30/'[10]Table 10 CWTs exp'!$AA30," ")</f>
        <v>#DIV/0!</v>
      </c>
      <c r="T30" s="144" t="e">
        <f>IF('[10]Table 10 CWTs exp'!T30/'[10]Table 10 CWTs exp'!$AA30&gt;0,'[10]Table 10 CWTs exp'!T30/'[10]Table 10 CWTs exp'!$AA30," ")</f>
        <v>#DIV/0!</v>
      </c>
      <c r="U30" s="144" t="e">
        <f>IF('[10]Table 10 CWTs exp'!U30/'[10]Table 10 CWTs exp'!$AA30&gt;0,'[10]Table 10 CWTs exp'!U30/'[10]Table 10 CWTs exp'!$AA30," ")</f>
        <v>#DIV/0!</v>
      </c>
      <c r="V30" s="144" t="e">
        <f>IF('[10]Table 10 CWTs exp'!V30/'[10]Table 10 CWTs exp'!$AA30&gt;0,'[10]Table 10 CWTs exp'!V30/'[10]Table 10 CWTs exp'!$AA30," ")</f>
        <v>#DIV/0!</v>
      </c>
      <c r="W30" s="146" t="e">
        <f>IF('[10]Table 10 CWTs exp'!W30/'[10]Table 10 CWTs exp'!$AA30&gt;0,'[10]Table 10 CWTs exp'!W30/'[10]Table 10 CWTs exp'!$AA30," ")</f>
        <v>#DIV/0!</v>
      </c>
      <c r="X30" s="144" t="e">
        <f>IF('[10]Table 10 CWTs exp'!X30/'[10]Table 10 CWTs exp'!$AA30&gt;0,'[10]Table 10 CWTs exp'!X30/'[10]Table 10 CWTs exp'!$AA30," ")</f>
        <v>#DIV/0!</v>
      </c>
      <c r="Y30" s="147" t="e">
        <f t="shared" si="0"/>
        <v>#DIV/0!</v>
      </c>
      <c r="Z30" s="148" t="e">
        <f t="shared" si="5"/>
        <v>#DIV/0!</v>
      </c>
      <c r="AA30" s="38">
        <f>'[10]Table 10 CWTs exp'!AA30</f>
        <v>0</v>
      </c>
      <c r="AC30" s="592">
        <f>'[10]Table 10 CWTs exp'!AD30</f>
        <v>0</v>
      </c>
      <c r="AD30" s="592" t="e">
        <f t="shared" si="2"/>
        <v>#DIV/0!</v>
      </c>
      <c r="AE30" s="593" t="str">
        <f t="shared" si="3"/>
        <v>YUBB543</v>
      </c>
      <c r="AF30" s="442"/>
      <c r="AH30" s="149"/>
      <c r="AI30" s="150"/>
    </row>
    <row r="31" spans="1:35" ht="14.5" customHeight="1" x14ac:dyDescent="0.25">
      <c r="A31" s="54" t="str">
        <f>'[10]Table 10 CWTs exp'!A31</f>
        <v>LARC543</v>
      </c>
      <c r="B31" s="75" t="str">
        <f>'[10]Table 10 CWTs exp'!B31</f>
        <v>LARC</v>
      </c>
      <c r="C31" s="75">
        <f>'[10]Table 10 CWTs exp'!C31</f>
        <v>54</v>
      </c>
      <c r="D31" s="75">
        <f>'[10]Table 10 CWTs exp'!D31</f>
        <v>3</v>
      </c>
      <c r="E31" t="str">
        <f>'[10]Table 10 CWTs exp'!E31</f>
        <v>American River</v>
      </c>
      <c r="F31" s="37" t="str">
        <f>'[10]Table 10 CWTs exp'!F31</f>
        <v>Fall</v>
      </c>
      <c r="G31" s="144" t="str">
        <f>IF('[10]Table 10 CWTs exp'!G31/'[10]Table 10 CWTs exp'!$AA31&gt;0,'[10]Table 10 CWTs exp'!G31/'[10]Table 10 CWTs exp'!$AA31," ")</f>
        <v xml:space="preserve"> </v>
      </c>
      <c r="H31" s="145" t="str">
        <f>IF('[10]Table 10 CWTs exp'!H31/'[10]Table 10 CWTs exp'!$AA31&gt;0,'[10]Table 10 CWTs exp'!H31/'[10]Table 10 CWTs exp'!$AA31," ")</f>
        <v xml:space="preserve"> </v>
      </c>
      <c r="I31" s="144" t="str">
        <f>IF('[10]Table 10 CWTs exp'!I31/'[10]Table 10 CWTs exp'!$AA31&gt;0,'[10]Table 10 CWTs exp'!I31/'[10]Table 10 CWTs exp'!$AA31," ")</f>
        <v xml:space="preserve"> </v>
      </c>
      <c r="J31" s="146">
        <f>IF('[10]Table 10 CWTs exp'!J31/'[10]Table 10 CWTs exp'!$AA31&gt;0,'[10]Table 10 CWTs exp'!J31/'[10]Table 10 CWTs exp'!$AA31," ")</f>
        <v>0.35982858722698369</v>
      </c>
      <c r="K31" s="144" t="str">
        <f>IF('[10]Table 10 CWTs exp'!K31/'[10]Table 10 CWTs exp'!$AA31&gt;0,'[10]Table 10 CWTs exp'!K31/'[10]Table 10 CWTs exp'!$AA31," ")</f>
        <v xml:space="preserve"> </v>
      </c>
      <c r="L31" s="144" t="str">
        <f>IF('[10]Table 10 CWTs exp'!L31/'[10]Table 10 CWTs exp'!$AA31&gt;0,'[10]Table 10 CWTs exp'!L31/'[10]Table 10 CWTs exp'!$AA31," ")</f>
        <v xml:space="preserve"> </v>
      </c>
      <c r="M31" s="144" t="str">
        <f>IF('[10]Table 10 CWTs exp'!M31/'[10]Table 10 CWTs exp'!$AA31&gt;0,'[10]Table 10 CWTs exp'!M31/'[10]Table 10 CWTs exp'!$AA31," ")</f>
        <v xml:space="preserve"> </v>
      </c>
      <c r="N31" s="144">
        <f>IF('[10]Table 10 CWTs exp'!N31/'[10]Table 10 CWTs exp'!$AA31&gt;0,'[10]Table 10 CWTs exp'!N31/'[10]Table 10 CWTs exp'!$AA31," ")</f>
        <v>2.4744263201548246E-2</v>
      </c>
      <c r="O31" s="144">
        <f>IF('[10]Table 10 CWTs exp'!O31/'[10]Table 10 CWTs exp'!$AA31&gt;0,'[10]Table 10 CWTs exp'!O31/'[10]Table 10 CWTs exp'!$AA31," ")</f>
        <v>4.1470832181365776E-3</v>
      </c>
      <c r="P31" s="144" t="str">
        <f>IF('[10]Table 10 CWTs exp'!P31/'[10]Table 10 CWTs exp'!$AA31&gt;0,'[10]Table 10 CWTs exp'!P31/'[10]Table 10 CWTs exp'!$AA31," ")</f>
        <v xml:space="preserve"> </v>
      </c>
      <c r="Q31" s="146" t="str">
        <f>IF('[10]Table 10 CWTs exp'!Q31/'[10]Table 10 CWTs exp'!$AA31&gt;0,'[10]Table 10 CWTs exp'!Q31/'[10]Table 10 CWTs exp'!$AA31," ")</f>
        <v xml:space="preserve"> </v>
      </c>
      <c r="R31" s="144">
        <f>IF('[10]Table 10 CWTs exp'!R31/'[10]Table 10 CWTs exp'!$AA31&gt;0,'[10]Table 10 CWTs exp'!R31/'[10]Table 10 CWTs exp'!$AA31," ")</f>
        <v>2.7232513132430192E-2</v>
      </c>
      <c r="S31" s="146">
        <f>IF('[10]Table 10 CWTs exp'!S31/'[10]Table 10 CWTs exp'!$AA31&gt;0,'[10]Table 10 CWTs exp'!S31/'[10]Table 10 CWTs exp'!$AA31," ")</f>
        <v>0.22795134089024052</v>
      </c>
      <c r="T31" s="144">
        <f>IF('[10]Table 10 CWTs exp'!T31/'[10]Table 10 CWTs exp'!$AA31&gt;0,'[10]Table 10 CWTs exp'!T31/'[10]Table 10 CWTs exp'!$AA31," ")</f>
        <v>4.1470832181365771E-4</v>
      </c>
      <c r="U31" s="144">
        <f>IF('[10]Table 10 CWTs exp'!U31/'[10]Table 10 CWTs exp'!$AA31&gt;0,'[10]Table 10 CWTs exp'!U31/'[10]Table 10 CWTs exp'!$AA31," ")</f>
        <v>8.9300525297207625E-2</v>
      </c>
      <c r="V31" s="144">
        <f>IF('[10]Table 10 CWTs exp'!V31/'[10]Table 10 CWTs exp'!$AA31&gt;0,'[10]Table 10 CWTs exp'!V31/'[10]Table 10 CWTs exp'!$AA31," ")</f>
        <v>1.7279513408902405E-2</v>
      </c>
      <c r="W31" s="146">
        <f>IF('[10]Table 10 CWTs exp'!W31/'[10]Table 10 CWTs exp'!$AA31&gt;0,'[10]Table 10 CWTs exp'!W31/'[10]Table 10 CWTs exp'!$AA31," ")</f>
        <v>1.0505944152612662E-2</v>
      </c>
      <c r="X31" s="144">
        <f>IF('[10]Table 10 CWTs exp'!X31/'[10]Table 10 CWTs exp'!$AA31&gt;0,'[10]Table 10 CWTs exp'!X31/'[10]Table 10 CWTs exp'!$AA31," ")</f>
        <v>9.1235830799004693E-3</v>
      </c>
      <c r="Y31" s="147">
        <f t="shared" si="0"/>
        <v>0.77052806192977608</v>
      </c>
      <c r="Z31" s="148">
        <f t="shared" si="5"/>
        <v>0.22947193807022392</v>
      </c>
      <c r="AA31" s="38">
        <f>'[10]Table 10 CWTs exp'!AA31</f>
        <v>7234</v>
      </c>
      <c r="AC31" s="592">
        <f>'[10]Table 10 CWTs exp'!AD31</f>
        <v>0.77100000000000002</v>
      </c>
      <c r="AD31" s="592">
        <f t="shared" si="2"/>
        <v>-4.7193807022394285E-4</v>
      </c>
      <c r="AE31" s="593" t="str">
        <f t="shared" si="3"/>
        <v>LARC543</v>
      </c>
      <c r="AF31" s="442"/>
      <c r="AH31" s="149"/>
      <c r="AI31" s="150"/>
    </row>
    <row r="32" spans="1:35" ht="14.5" customHeight="1" x14ac:dyDescent="0.25">
      <c r="A32" s="54" t="str">
        <f>'[10]Table 10 CWTs exp'!A32</f>
        <v>NIMW593</v>
      </c>
      <c r="B32" s="75" t="str">
        <f>'[10]Table 10 CWTs exp'!B32</f>
        <v>NIMW</v>
      </c>
      <c r="C32" s="75">
        <f>'[10]Table 10 CWTs exp'!C32</f>
        <v>59</v>
      </c>
      <c r="D32" s="75">
        <f>'[10]Table 10 CWTs exp'!D32</f>
        <v>3</v>
      </c>
      <c r="E32" t="str">
        <f>'[10]Table 10 CWTs exp'!E32</f>
        <v>Nimbus Fish Hatchery Weir</v>
      </c>
      <c r="F32" s="37" t="str">
        <f>'[10]Table 10 CWTs exp'!F32</f>
        <v>Fall</v>
      </c>
      <c r="G32" s="144" t="str">
        <f>IF('[10]Table 10 CWTs exp'!G32/'[10]Table 10 CWTs exp'!$AA32&gt;0,'[10]Table 10 CWTs exp'!G32/'[10]Table 10 CWTs exp'!$AA32," ")</f>
        <v xml:space="preserve"> </v>
      </c>
      <c r="H32" s="145" t="str">
        <f>IF('[10]Table 10 CWTs exp'!H32/'[10]Table 10 CWTs exp'!$AA32&gt;0,'[10]Table 10 CWTs exp'!H32/'[10]Table 10 CWTs exp'!$AA32," ")</f>
        <v xml:space="preserve"> </v>
      </c>
      <c r="I32" s="144" t="str">
        <f>IF('[10]Table 10 CWTs exp'!I32/'[10]Table 10 CWTs exp'!$AA32&gt;0,'[10]Table 10 CWTs exp'!I32/'[10]Table 10 CWTs exp'!$AA32," ")</f>
        <v xml:space="preserve"> </v>
      </c>
      <c r="J32" s="146">
        <f>IF('[10]Table 10 CWTs exp'!J32/'[10]Table 10 CWTs exp'!$AA32&gt;0,'[10]Table 10 CWTs exp'!J32/'[10]Table 10 CWTs exp'!$AA32," ")</f>
        <v>0.14491560312885962</v>
      </c>
      <c r="K32" s="144" t="str">
        <f>IF('[10]Table 10 CWTs exp'!K32/'[10]Table 10 CWTs exp'!$AA32&gt;0,'[10]Table 10 CWTs exp'!K32/'[10]Table 10 CWTs exp'!$AA32," ")</f>
        <v xml:space="preserve"> </v>
      </c>
      <c r="L32" s="144" t="str">
        <f>IF('[10]Table 10 CWTs exp'!L32/'[10]Table 10 CWTs exp'!$AA32&gt;0,'[10]Table 10 CWTs exp'!L32/'[10]Table 10 CWTs exp'!$AA32," ")</f>
        <v xml:space="preserve"> </v>
      </c>
      <c r="M32" s="144" t="str">
        <f>IF('[10]Table 10 CWTs exp'!M32/'[10]Table 10 CWTs exp'!$AA32&gt;0,'[10]Table 10 CWTs exp'!M32/'[10]Table 10 CWTs exp'!$AA32," ")</f>
        <v xml:space="preserve"> </v>
      </c>
      <c r="N32" s="144">
        <f>IF('[10]Table 10 CWTs exp'!N32/'[10]Table 10 CWTs exp'!$AA32&gt;0,'[10]Table 10 CWTs exp'!N32/'[10]Table 10 CWTs exp'!$AA32," ")</f>
        <v>7.0399341292713052E-2</v>
      </c>
      <c r="O32" s="144">
        <f>IF('[10]Table 10 CWTs exp'!O32/'[10]Table 10 CWTs exp'!$AA32&gt;0,'[10]Table 10 CWTs exp'!O32/'[10]Table 10 CWTs exp'!$AA32," ")</f>
        <v>3.7052284890901604E-3</v>
      </c>
      <c r="P32" s="144" t="str">
        <f>IF('[10]Table 10 CWTs exp'!P32/'[10]Table 10 CWTs exp'!$AA32&gt;0,'[10]Table 10 CWTs exp'!P32/'[10]Table 10 CWTs exp'!$AA32," ")</f>
        <v xml:space="preserve"> </v>
      </c>
      <c r="Q32" s="146" t="str">
        <f>IF('[10]Table 10 CWTs exp'!Q32/'[10]Table 10 CWTs exp'!$AA32&gt;0,'[10]Table 10 CWTs exp'!Q32/'[10]Table 10 CWTs exp'!$AA32," ")</f>
        <v xml:space="preserve"> </v>
      </c>
      <c r="R32" s="144">
        <f>IF('[10]Table 10 CWTs exp'!R32/'[10]Table 10 CWTs exp'!$AA32&gt;0,'[10]Table 10 CWTs exp'!R32/'[10]Table 10 CWTs exp'!$AA32," ")</f>
        <v>1.6467682173734045E-2</v>
      </c>
      <c r="S32" s="146">
        <f>IF('[10]Table 10 CWTs exp'!S32/'[10]Table 10 CWTs exp'!$AA32&gt;0,'[10]Table 10 CWTs exp'!S32/'[10]Table 10 CWTs exp'!$AA32," ")</f>
        <v>6.3400576368876083E-2</v>
      </c>
      <c r="T32" s="144">
        <f>IF('[10]Table 10 CWTs exp'!T32/'[10]Table 10 CWTs exp'!$AA32&gt;0,'[10]Table 10 CWTs exp'!T32/'[10]Table 10 CWTs exp'!$AA32," ")</f>
        <v>1.2350761630300535E-3</v>
      </c>
      <c r="U32" s="144">
        <f>IF('[10]Table 10 CWTs exp'!U32/'[10]Table 10 CWTs exp'!$AA32&gt;0,'[10]Table 10 CWTs exp'!U32/'[10]Table 10 CWTs exp'!$AA32," ")</f>
        <v>5.3519967064635653E-2</v>
      </c>
      <c r="V32" s="144">
        <f>IF('[10]Table 10 CWTs exp'!V32/'[10]Table 10 CWTs exp'!$AA32&gt;0,'[10]Table 10 CWTs exp'!V32/'[10]Table 10 CWTs exp'!$AA32," ")</f>
        <v>2.3054755043227664E-2</v>
      </c>
      <c r="W32" s="146">
        <f>IF('[10]Table 10 CWTs exp'!W32/'[10]Table 10 CWTs exp'!$AA32&gt;0,'[10]Table 10 CWTs exp'!W32/'[10]Table 10 CWTs exp'!$AA32," ")</f>
        <v>1.68793742280774E-2</v>
      </c>
      <c r="X32" s="144">
        <f>IF('[10]Table 10 CWTs exp'!X32/'[10]Table 10 CWTs exp'!$AA32&gt;0,'[10]Table 10 CWTs exp'!X32/'[10]Table 10 CWTs exp'!$AA32," ")</f>
        <v>8.2338410868670227E-3</v>
      </c>
      <c r="Y32" s="147">
        <f t="shared" si="0"/>
        <v>0.4018114450391107</v>
      </c>
      <c r="Z32" s="148">
        <f t="shared" si="5"/>
        <v>0.5981885549608893</v>
      </c>
      <c r="AA32" s="38">
        <f>'[10]Table 10 CWTs exp'!AA32</f>
        <v>2429</v>
      </c>
      <c r="AC32" s="592">
        <f>'[10]Table 10 CWTs exp'!AD32</f>
        <v>0.40200000000000002</v>
      </c>
      <c r="AD32" s="592">
        <f t="shared" si="2"/>
        <v>-1.8855496088932E-4</v>
      </c>
      <c r="AE32" s="593" t="str">
        <f t="shared" si="3"/>
        <v>NIMW593</v>
      </c>
      <c r="AF32" s="442"/>
      <c r="AH32" s="149"/>
      <c r="AI32" s="150"/>
    </row>
    <row r="33" spans="1:35" ht="14.5" customHeight="1" x14ac:dyDescent="0.25">
      <c r="A33" s="54" t="str">
        <f>'[10]Table 10 CWTs exp'!A33</f>
        <v>MOKE543</v>
      </c>
      <c r="B33" s="75" t="str">
        <f>'[10]Table 10 CWTs exp'!B33</f>
        <v>MOKE</v>
      </c>
      <c r="C33" s="75">
        <f>'[10]Table 10 CWTs exp'!C33</f>
        <v>54</v>
      </c>
      <c r="D33" s="75">
        <f>'[10]Table 10 CWTs exp'!D33</f>
        <v>3</v>
      </c>
      <c r="E33" t="str">
        <f>'[10]Table 10 CWTs exp'!E33</f>
        <v>Mokelumne River</v>
      </c>
      <c r="F33" s="37" t="str">
        <f>'[10]Table 10 CWTs exp'!F33</f>
        <v>Fall</v>
      </c>
      <c r="G33" s="144" t="str">
        <f>IF('[10]Table 10 CWTs exp'!G33/'[10]Table 10 CWTs exp'!$AA33&gt;0,'[10]Table 10 CWTs exp'!G33/'[10]Table 10 CWTs exp'!$AA33," ")</f>
        <v xml:space="preserve"> </v>
      </c>
      <c r="H33" s="145" t="str">
        <f>IF('[10]Table 10 CWTs exp'!H33/'[10]Table 10 CWTs exp'!$AA33&gt;0,'[10]Table 10 CWTs exp'!H33/'[10]Table 10 CWTs exp'!$AA33," ")</f>
        <v xml:space="preserve"> </v>
      </c>
      <c r="I33" s="144" t="str">
        <f>IF('[10]Table 10 CWTs exp'!I33/'[10]Table 10 CWTs exp'!$AA33&gt;0,'[10]Table 10 CWTs exp'!I33/'[10]Table 10 CWTs exp'!$AA33," ")</f>
        <v xml:space="preserve"> </v>
      </c>
      <c r="J33" s="146">
        <f>IF('[10]Table 10 CWTs exp'!J33/'[10]Table 10 CWTs exp'!$AA33&gt;0,'[10]Table 10 CWTs exp'!J33/'[10]Table 10 CWTs exp'!$AA33," ")</f>
        <v>9.691708008504607E-2</v>
      </c>
      <c r="K33" s="144" t="str">
        <f>IF('[10]Table 10 CWTs exp'!K33/'[10]Table 10 CWTs exp'!$AA33&gt;0,'[10]Table 10 CWTs exp'!K33/'[10]Table 10 CWTs exp'!$AA33," ")</f>
        <v xml:space="preserve"> </v>
      </c>
      <c r="L33" s="144" t="str">
        <f>IF('[10]Table 10 CWTs exp'!L33/'[10]Table 10 CWTs exp'!$AA33&gt;0,'[10]Table 10 CWTs exp'!L33/'[10]Table 10 CWTs exp'!$AA33," ")</f>
        <v xml:space="preserve"> </v>
      </c>
      <c r="M33" s="144" t="str">
        <f>IF('[10]Table 10 CWTs exp'!M33/'[10]Table 10 CWTs exp'!$AA33&gt;0,'[10]Table 10 CWTs exp'!M33/'[10]Table 10 CWTs exp'!$AA33," ")</f>
        <v xml:space="preserve"> </v>
      </c>
      <c r="N33" s="144">
        <f>IF('[10]Table 10 CWTs exp'!N33/'[10]Table 10 CWTs exp'!$AA33&gt;0,'[10]Table 10 CWTs exp'!N33/'[10]Table 10 CWTs exp'!$AA33," ")</f>
        <v>2.1438695960311834E-2</v>
      </c>
      <c r="O33" s="144">
        <f>IF('[10]Table 10 CWTs exp'!O33/'[10]Table 10 CWTs exp'!$AA33&gt;0,'[10]Table 10 CWTs exp'!O33/'[10]Table 10 CWTs exp'!$AA33," ")</f>
        <v>5.492558469170801E-3</v>
      </c>
      <c r="P33" s="144" t="str">
        <f>IF('[10]Table 10 CWTs exp'!P33/'[10]Table 10 CWTs exp'!$AA33&gt;0,'[10]Table 10 CWTs exp'!P33/'[10]Table 10 CWTs exp'!$AA33," ")</f>
        <v xml:space="preserve"> </v>
      </c>
      <c r="Q33" s="146" t="str">
        <f>IF('[10]Table 10 CWTs exp'!Q33/'[10]Table 10 CWTs exp'!$AA33&gt;0,'[10]Table 10 CWTs exp'!Q33/'[10]Table 10 CWTs exp'!$AA33," ")</f>
        <v xml:space="preserve"> </v>
      </c>
      <c r="R33" s="144" t="str">
        <f>IF('[10]Table 10 CWTs exp'!R33/'[10]Table 10 CWTs exp'!$AA33&gt;0,'[10]Table 10 CWTs exp'!R33/'[10]Table 10 CWTs exp'!$AA33," ")</f>
        <v xml:space="preserve"> </v>
      </c>
      <c r="S33" s="146">
        <f>IF('[10]Table 10 CWTs exp'!S33/'[10]Table 10 CWTs exp'!$AA33&gt;0,'[10]Table 10 CWTs exp'!S33/'[10]Table 10 CWTs exp'!$AA33," ")</f>
        <v>0.23529411764705882</v>
      </c>
      <c r="T33" s="144">
        <f>IF('[10]Table 10 CWTs exp'!T33/'[10]Table 10 CWTs exp'!$AA33&gt;0,'[10]Table 10 CWTs exp'!T33/'[10]Table 10 CWTs exp'!$AA33," ")</f>
        <v>1.0453579021970234E-2</v>
      </c>
      <c r="U33" s="144">
        <f>IF('[10]Table 10 CWTs exp'!U33/'[10]Table 10 CWTs exp'!$AA33&gt;0,'[10]Table 10 CWTs exp'!U33/'[10]Table 10 CWTs exp'!$AA33," ")</f>
        <v>0.3747342310418143</v>
      </c>
      <c r="V33" s="144">
        <f>IF('[10]Table 10 CWTs exp'!V33/'[10]Table 10 CWTs exp'!$AA33&gt;0,'[10]Table 10 CWTs exp'!V33/'[10]Table 10 CWTs exp'!$AA33," ")</f>
        <v>7.2289156626506021E-2</v>
      </c>
      <c r="W33" s="146">
        <f>IF('[10]Table 10 CWTs exp'!W33/'[10]Table 10 CWTs exp'!$AA33&gt;0,'[10]Table 10 CWTs exp'!W33/'[10]Table 10 CWTs exp'!$AA33," ")</f>
        <v>1.8603827072997875E-2</v>
      </c>
      <c r="X33" s="144">
        <f>IF('[10]Table 10 CWTs exp'!X33/'[10]Table 10 CWTs exp'!$AA33&gt;0,'[10]Table 10 CWTs exp'!X33/'[10]Table 10 CWTs exp'!$AA33," ")</f>
        <v>2.0729978738483344E-2</v>
      </c>
      <c r="Y33" s="147">
        <f t="shared" si="0"/>
        <v>0.85595322466335932</v>
      </c>
      <c r="Z33" s="148">
        <f t="shared" si="5"/>
        <v>0.14404677533664068</v>
      </c>
      <c r="AA33" s="38">
        <f>'[10]Table 10 CWTs exp'!AA33</f>
        <v>5644</v>
      </c>
      <c r="AC33" s="592">
        <f>'[10]Table 10 CWTs exp'!AD33</f>
        <v>0.85599999999999998</v>
      </c>
      <c r="AD33" s="592">
        <f t="shared" si="2"/>
        <v>-4.6775336640658693E-5</v>
      </c>
      <c r="AE33" s="593" t="str">
        <f t="shared" si="3"/>
        <v>MOKE543</v>
      </c>
      <c r="AF33" s="442"/>
      <c r="AH33" s="149"/>
      <c r="AI33" s="150"/>
    </row>
    <row r="34" spans="1:35" ht="14.5" hidden="1" customHeight="1" x14ac:dyDescent="0.25">
      <c r="A34" s="54" t="str">
        <f>'[10]Table 10 CWTs exp'!A34</f>
        <v>COSU543</v>
      </c>
      <c r="B34" s="75" t="str">
        <f>'[10]Table 10 CWTs exp'!B34</f>
        <v>COSU</v>
      </c>
      <c r="C34" s="75">
        <f>'[10]Table 10 CWTs exp'!C34</f>
        <v>54</v>
      </c>
      <c r="D34" s="75">
        <f>'[10]Table 10 CWTs exp'!D34</f>
        <v>3</v>
      </c>
      <c r="E34" t="str">
        <f>'[10]Table 10 CWTs exp'!E34</f>
        <v>Cosumnes River</v>
      </c>
      <c r="F34" s="37" t="str">
        <f>'[10]Table 10 CWTs exp'!F34</f>
        <v>Fall</v>
      </c>
      <c r="G34" s="144" t="e">
        <f>IF('[10]Table 10 CWTs exp'!G34/'[10]Table 10 CWTs exp'!$AA34&gt;0,'[10]Table 10 CWTs exp'!G34/'[10]Table 10 CWTs exp'!$AA34," ")</f>
        <v>#DIV/0!</v>
      </c>
      <c r="H34" s="145" t="e">
        <f>IF('[10]Table 10 CWTs exp'!H34/'[10]Table 10 CWTs exp'!$AA34&gt;0,'[10]Table 10 CWTs exp'!H34/'[10]Table 10 CWTs exp'!$AA34," ")</f>
        <v>#DIV/0!</v>
      </c>
      <c r="I34" s="144" t="e">
        <f>IF('[10]Table 10 CWTs exp'!I34/'[10]Table 10 CWTs exp'!$AA34&gt;0,'[10]Table 10 CWTs exp'!I34/'[10]Table 10 CWTs exp'!$AA34," ")</f>
        <v>#DIV/0!</v>
      </c>
      <c r="J34" s="146" t="e">
        <f>IF('[10]Table 10 CWTs exp'!J34/'[10]Table 10 CWTs exp'!$AA34&gt;0,'[10]Table 10 CWTs exp'!J34/'[10]Table 10 CWTs exp'!$AA34," ")</f>
        <v>#DIV/0!</v>
      </c>
      <c r="K34" s="144" t="e">
        <f>IF('[10]Table 10 CWTs exp'!K34/'[10]Table 10 CWTs exp'!$AA34&gt;0,'[10]Table 10 CWTs exp'!K34/'[10]Table 10 CWTs exp'!$AA34," ")</f>
        <v>#DIV/0!</v>
      </c>
      <c r="L34" s="144" t="e">
        <f>IF('[10]Table 10 CWTs exp'!L34/'[10]Table 10 CWTs exp'!$AA34&gt;0,'[10]Table 10 CWTs exp'!L34/'[10]Table 10 CWTs exp'!$AA34," ")</f>
        <v>#DIV/0!</v>
      </c>
      <c r="M34" s="144" t="e">
        <f>IF('[10]Table 10 CWTs exp'!M34/'[10]Table 10 CWTs exp'!$AA34&gt;0,'[10]Table 10 CWTs exp'!M34/'[10]Table 10 CWTs exp'!$AA34," ")</f>
        <v>#DIV/0!</v>
      </c>
      <c r="N34" s="144" t="e">
        <f>IF('[10]Table 10 CWTs exp'!N34/'[10]Table 10 CWTs exp'!$AA34&gt;0,'[10]Table 10 CWTs exp'!N34/'[10]Table 10 CWTs exp'!$AA34," ")</f>
        <v>#DIV/0!</v>
      </c>
      <c r="O34" s="144" t="e">
        <f>IF('[10]Table 10 CWTs exp'!O34/'[10]Table 10 CWTs exp'!$AA34&gt;0,'[10]Table 10 CWTs exp'!O34/'[10]Table 10 CWTs exp'!$AA34," ")</f>
        <v>#DIV/0!</v>
      </c>
      <c r="P34" s="144" t="e">
        <f>IF('[10]Table 10 CWTs exp'!P34/'[10]Table 10 CWTs exp'!$AA34&gt;0,'[10]Table 10 CWTs exp'!P34/'[10]Table 10 CWTs exp'!$AA34," ")</f>
        <v>#DIV/0!</v>
      </c>
      <c r="Q34" s="146" t="e">
        <f>IF('[10]Table 10 CWTs exp'!Q34/'[10]Table 10 CWTs exp'!$AA34&gt;0,'[10]Table 10 CWTs exp'!Q34/'[10]Table 10 CWTs exp'!$AA34," ")</f>
        <v>#DIV/0!</v>
      </c>
      <c r="R34" s="144" t="e">
        <f>IF('[10]Table 10 CWTs exp'!R34/'[10]Table 10 CWTs exp'!$AA34&gt;0,'[10]Table 10 CWTs exp'!R34/'[10]Table 10 CWTs exp'!$AA34," ")</f>
        <v>#DIV/0!</v>
      </c>
      <c r="S34" s="146" t="e">
        <f>IF('[10]Table 10 CWTs exp'!S34/'[10]Table 10 CWTs exp'!$AA34&gt;0,'[10]Table 10 CWTs exp'!S34/'[10]Table 10 CWTs exp'!$AA34," ")</f>
        <v>#DIV/0!</v>
      </c>
      <c r="T34" s="144" t="e">
        <f>IF('[10]Table 10 CWTs exp'!T34/'[10]Table 10 CWTs exp'!$AA34&gt;0,'[10]Table 10 CWTs exp'!T34/'[10]Table 10 CWTs exp'!$AA34," ")</f>
        <v>#DIV/0!</v>
      </c>
      <c r="U34" s="144" t="e">
        <f>IF('[10]Table 10 CWTs exp'!U34/'[10]Table 10 CWTs exp'!$AA34&gt;0,'[10]Table 10 CWTs exp'!U34/'[10]Table 10 CWTs exp'!$AA34," ")</f>
        <v>#DIV/0!</v>
      </c>
      <c r="V34" s="144" t="e">
        <f>IF('[10]Table 10 CWTs exp'!V34/'[10]Table 10 CWTs exp'!$AA34&gt;0,'[10]Table 10 CWTs exp'!V34/'[10]Table 10 CWTs exp'!$AA34," ")</f>
        <v>#DIV/0!</v>
      </c>
      <c r="W34" s="146" t="e">
        <f>IF('[10]Table 10 CWTs exp'!W34/'[10]Table 10 CWTs exp'!$AA34&gt;0,'[10]Table 10 CWTs exp'!W34/'[10]Table 10 CWTs exp'!$AA34," ")</f>
        <v>#DIV/0!</v>
      </c>
      <c r="X34" s="144" t="e">
        <f>IF('[10]Table 10 CWTs exp'!X34/'[10]Table 10 CWTs exp'!$AA34&gt;0,'[10]Table 10 CWTs exp'!X34/'[10]Table 10 CWTs exp'!$AA34," ")</f>
        <v>#DIV/0!</v>
      </c>
      <c r="Y34" s="147" t="e">
        <f t="shared" si="0"/>
        <v>#DIV/0!</v>
      </c>
      <c r="Z34" s="148" t="e">
        <f t="shared" si="5"/>
        <v>#DIV/0!</v>
      </c>
      <c r="AA34" s="38">
        <f>'[10]Table 10 CWTs exp'!AA34</f>
        <v>0</v>
      </c>
      <c r="AC34" s="592">
        <f>'[10]Table 10 CWTs exp'!AD34</f>
        <v>0</v>
      </c>
      <c r="AD34" s="592" t="e">
        <f t="shared" si="2"/>
        <v>#DIV/0!</v>
      </c>
      <c r="AE34" s="593" t="str">
        <f t="shared" si="3"/>
        <v>COSU543</v>
      </c>
      <c r="AF34" s="442"/>
      <c r="AH34" s="149"/>
      <c r="AI34" s="150"/>
    </row>
    <row r="35" spans="1:35" ht="13.5" hidden="1" customHeight="1" x14ac:dyDescent="0.25">
      <c r="A35" s="54" t="str">
        <f>'[10]Table 10 CWTs exp'!A35</f>
        <v>CAL543</v>
      </c>
      <c r="B35" s="75" t="str">
        <f>'[10]Table 10 CWTs exp'!B35</f>
        <v>CAL</v>
      </c>
      <c r="C35" s="75">
        <f>'[10]Table 10 CWTs exp'!C35</f>
        <v>54</v>
      </c>
      <c r="D35" s="75">
        <f>'[10]Table 10 CWTs exp'!D35</f>
        <v>3</v>
      </c>
      <c r="E35" t="str">
        <f>'[10]Table 10 CWTs exp'!E35</f>
        <v>Calaveras River*</v>
      </c>
      <c r="F35" s="37" t="str">
        <f>'[10]Table 10 CWTs exp'!F35</f>
        <v>Fall</v>
      </c>
      <c r="G35" s="144" t="e">
        <f>IF('[10]Table 10 CWTs exp'!G35/'[10]Table 10 CWTs exp'!$AA35&gt;0,'[10]Table 10 CWTs exp'!G35/'[10]Table 10 CWTs exp'!$AA35," ")</f>
        <v>#DIV/0!</v>
      </c>
      <c r="H35" s="145" t="e">
        <f>IF('[10]Table 10 CWTs exp'!H35/'[10]Table 10 CWTs exp'!$AA35&gt;0,'[10]Table 10 CWTs exp'!H35/'[10]Table 10 CWTs exp'!$AA35," ")</f>
        <v>#DIV/0!</v>
      </c>
      <c r="I35" s="144" t="e">
        <f>IF('[10]Table 10 CWTs exp'!I35/'[10]Table 10 CWTs exp'!$AA35&gt;0,'[10]Table 10 CWTs exp'!I35/'[10]Table 10 CWTs exp'!$AA35," ")</f>
        <v>#DIV/0!</v>
      </c>
      <c r="J35" s="146" t="e">
        <f>IF('[10]Table 10 CWTs exp'!J35/'[10]Table 10 CWTs exp'!$AA35&gt;0,'[10]Table 10 CWTs exp'!J35/'[10]Table 10 CWTs exp'!$AA35," ")</f>
        <v>#DIV/0!</v>
      </c>
      <c r="K35" s="144" t="e">
        <f>IF('[10]Table 10 CWTs exp'!K35/'[10]Table 10 CWTs exp'!$AA35&gt;0,'[10]Table 10 CWTs exp'!K35/'[10]Table 10 CWTs exp'!$AA35," ")</f>
        <v>#DIV/0!</v>
      </c>
      <c r="L35" s="144" t="e">
        <f>IF('[10]Table 10 CWTs exp'!L35/'[10]Table 10 CWTs exp'!$AA35&gt;0,'[10]Table 10 CWTs exp'!L35/'[10]Table 10 CWTs exp'!$AA35," ")</f>
        <v>#DIV/0!</v>
      </c>
      <c r="M35" s="144" t="e">
        <f>IF('[10]Table 10 CWTs exp'!M35/'[10]Table 10 CWTs exp'!$AA35&gt;0,'[10]Table 10 CWTs exp'!M35/'[10]Table 10 CWTs exp'!$AA35," ")</f>
        <v>#DIV/0!</v>
      </c>
      <c r="N35" s="144" t="e">
        <f>IF('[10]Table 10 CWTs exp'!N35/'[10]Table 10 CWTs exp'!$AA35&gt;0,'[10]Table 10 CWTs exp'!N35/'[10]Table 10 CWTs exp'!$AA35," ")</f>
        <v>#DIV/0!</v>
      </c>
      <c r="O35" s="144" t="e">
        <f>IF('[10]Table 10 CWTs exp'!O35/'[10]Table 10 CWTs exp'!$AA35&gt;0,'[10]Table 10 CWTs exp'!O35/'[10]Table 10 CWTs exp'!$AA35," ")</f>
        <v>#DIV/0!</v>
      </c>
      <c r="P35" s="144" t="e">
        <f>IF('[10]Table 10 CWTs exp'!P35/'[10]Table 10 CWTs exp'!$AA35&gt;0,'[10]Table 10 CWTs exp'!P35/'[10]Table 10 CWTs exp'!$AA35," ")</f>
        <v>#DIV/0!</v>
      </c>
      <c r="Q35" s="146" t="e">
        <f>IF('[10]Table 10 CWTs exp'!Q35/'[10]Table 10 CWTs exp'!$AA35&gt;0,'[10]Table 10 CWTs exp'!Q35/'[10]Table 10 CWTs exp'!$AA35," ")</f>
        <v>#DIV/0!</v>
      </c>
      <c r="R35" s="144" t="e">
        <f>IF('[10]Table 10 CWTs exp'!R35/'[10]Table 10 CWTs exp'!$AA35&gt;0,'[10]Table 10 CWTs exp'!R35/'[10]Table 10 CWTs exp'!$AA35," ")</f>
        <v>#DIV/0!</v>
      </c>
      <c r="S35" s="146" t="e">
        <f>IF('[10]Table 10 CWTs exp'!S35/'[10]Table 10 CWTs exp'!$AA35&gt;0,'[10]Table 10 CWTs exp'!S35/'[10]Table 10 CWTs exp'!$AA35," ")</f>
        <v>#DIV/0!</v>
      </c>
      <c r="T35" s="144" t="e">
        <f>IF('[10]Table 10 CWTs exp'!T35/'[10]Table 10 CWTs exp'!$AA35&gt;0,'[10]Table 10 CWTs exp'!T35/'[10]Table 10 CWTs exp'!$AA35," ")</f>
        <v>#DIV/0!</v>
      </c>
      <c r="U35" s="144" t="e">
        <f>IF('[10]Table 10 CWTs exp'!U35/'[10]Table 10 CWTs exp'!$AA35&gt;0,'[10]Table 10 CWTs exp'!U35/'[10]Table 10 CWTs exp'!$AA35," ")</f>
        <v>#DIV/0!</v>
      </c>
      <c r="V35" s="144" t="e">
        <f>IF('[10]Table 10 CWTs exp'!V35/'[10]Table 10 CWTs exp'!$AA35&gt;0,'[10]Table 10 CWTs exp'!V35/'[10]Table 10 CWTs exp'!$AA35," ")</f>
        <v>#DIV/0!</v>
      </c>
      <c r="W35" s="146" t="e">
        <f>IF('[10]Table 10 CWTs exp'!W35/'[10]Table 10 CWTs exp'!$AA35&gt;0,'[10]Table 10 CWTs exp'!W35/'[10]Table 10 CWTs exp'!$AA35," ")</f>
        <v>#DIV/0!</v>
      </c>
      <c r="X35" s="144" t="e">
        <f>IF('[10]Table 10 CWTs exp'!X35/'[10]Table 10 CWTs exp'!$AA35&gt;0,'[10]Table 10 CWTs exp'!X35/'[10]Table 10 CWTs exp'!$AA35," ")</f>
        <v>#DIV/0!</v>
      </c>
      <c r="Y35" s="147" t="e">
        <f t="shared" si="0"/>
        <v>#DIV/0!</v>
      </c>
      <c r="Z35" s="148" t="e">
        <f t="shared" si="5"/>
        <v>#DIV/0!</v>
      </c>
      <c r="AA35" s="38">
        <f>'[10]Table 10 CWTs exp'!AA35</f>
        <v>0</v>
      </c>
      <c r="AC35" s="592">
        <f>'[10]Table 10 CWTs exp'!AD35</f>
        <v>0</v>
      </c>
      <c r="AD35" s="592" t="e">
        <f t="shared" si="2"/>
        <v>#DIV/0!</v>
      </c>
      <c r="AE35" s="593" t="str">
        <f t="shared" si="3"/>
        <v>CAL543</v>
      </c>
      <c r="AF35" s="442"/>
      <c r="AH35" s="149"/>
      <c r="AI35" s="150"/>
    </row>
    <row r="36" spans="1:35" ht="14.5" customHeight="1" x14ac:dyDescent="0.25">
      <c r="A36" s="54" t="str">
        <f>'[10]Table 10 CWTs exp'!A36</f>
        <v>STA543</v>
      </c>
      <c r="B36" s="75" t="str">
        <f>'[10]Table 10 CWTs exp'!B36</f>
        <v>STA</v>
      </c>
      <c r="C36" s="75">
        <f>'[10]Table 10 CWTs exp'!C36</f>
        <v>54</v>
      </c>
      <c r="D36" s="75">
        <f>'[10]Table 10 CWTs exp'!D36</f>
        <v>3</v>
      </c>
      <c r="E36" t="str">
        <f>'[10]Table 10 CWTs exp'!E36</f>
        <v>Stanislaus River</v>
      </c>
      <c r="F36" s="37" t="str">
        <f>'[10]Table 10 CWTs exp'!F36</f>
        <v>Fall</v>
      </c>
      <c r="G36" s="144" t="str">
        <f>IF('[10]Table 10 CWTs exp'!G36/'[10]Table 10 CWTs exp'!$AA36&gt;0,'[10]Table 10 CWTs exp'!G36/'[10]Table 10 CWTs exp'!$AA36," ")</f>
        <v xml:space="preserve"> </v>
      </c>
      <c r="H36" s="145">
        <f>IF('[10]Table 10 CWTs exp'!H36/'[10]Table 10 CWTs exp'!$AA36&gt;0,'[10]Table 10 CWTs exp'!H36/'[10]Table 10 CWTs exp'!$AA36," ")</f>
        <v>2.2863675335810232E-3</v>
      </c>
      <c r="I36" s="144" t="str">
        <f>IF('[10]Table 10 CWTs exp'!I36/'[10]Table 10 CWTs exp'!$AA36&gt;0,'[10]Table 10 CWTs exp'!I36/'[10]Table 10 CWTs exp'!$AA36," ")</f>
        <v xml:space="preserve"> </v>
      </c>
      <c r="J36" s="146">
        <f>IF('[10]Table 10 CWTs exp'!J36/'[10]Table 10 CWTs exp'!$AA36&gt;0,'[10]Table 10 CWTs exp'!J36/'[10]Table 10 CWTs exp'!$AA36," ")</f>
        <v>0.10460131466133181</v>
      </c>
      <c r="K36" s="144" t="str">
        <f>IF('[10]Table 10 CWTs exp'!K36/'[10]Table 10 CWTs exp'!$AA36&gt;0,'[10]Table 10 CWTs exp'!K36/'[10]Table 10 CWTs exp'!$AA36," ")</f>
        <v xml:space="preserve"> </v>
      </c>
      <c r="L36" s="144" t="str">
        <f>IF('[10]Table 10 CWTs exp'!L36/'[10]Table 10 CWTs exp'!$AA36&gt;0,'[10]Table 10 CWTs exp'!L36/'[10]Table 10 CWTs exp'!$AA36," ")</f>
        <v xml:space="preserve"> </v>
      </c>
      <c r="M36" s="144" t="str">
        <f>IF('[10]Table 10 CWTs exp'!M36/'[10]Table 10 CWTs exp'!$AA36&gt;0,'[10]Table 10 CWTs exp'!M36/'[10]Table 10 CWTs exp'!$AA36," ")</f>
        <v xml:space="preserve"> </v>
      </c>
      <c r="N36" s="144">
        <f>IF('[10]Table 10 CWTs exp'!N36/'[10]Table 10 CWTs exp'!$AA36&gt;0,'[10]Table 10 CWTs exp'!N36/'[10]Table 10 CWTs exp'!$AA36," ")</f>
        <v>4.3155187196341808E-2</v>
      </c>
      <c r="O36" s="144" t="str">
        <f>IF('[10]Table 10 CWTs exp'!O36/'[10]Table 10 CWTs exp'!$AA36&gt;0,'[10]Table 10 CWTs exp'!O36/'[10]Table 10 CWTs exp'!$AA36," ")</f>
        <v xml:space="preserve"> </v>
      </c>
      <c r="P36" s="144" t="str">
        <f>IF('[10]Table 10 CWTs exp'!P36/'[10]Table 10 CWTs exp'!$AA36&gt;0,'[10]Table 10 CWTs exp'!P36/'[10]Table 10 CWTs exp'!$AA36," ")</f>
        <v xml:space="preserve"> </v>
      </c>
      <c r="Q36" s="146" t="str">
        <f>IF('[10]Table 10 CWTs exp'!Q36/'[10]Table 10 CWTs exp'!$AA36&gt;0,'[10]Table 10 CWTs exp'!Q36/'[10]Table 10 CWTs exp'!$AA36," ")</f>
        <v xml:space="preserve"> </v>
      </c>
      <c r="R36" s="144" t="str">
        <f>IF('[10]Table 10 CWTs exp'!R36/'[10]Table 10 CWTs exp'!$AA36&gt;0,'[10]Table 10 CWTs exp'!R36/'[10]Table 10 CWTs exp'!$AA36," ")</f>
        <v xml:space="preserve"> </v>
      </c>
      <c r="S36" s="146">
        <f>IF('[10]Table 10 CWTs exp'!S36/'[10]Table 10 CWTs exp'!$AA36&gt;0,'[10]Table 10 CWTs exp'!S36/'[10]Table 10 CWTs exp'!$AA36," ")</f>
        <v>0.10402972277793655</v>
      </c>
      <c r="T36" s="144" t="str">
        <f>IF('[10]Table 10 CWTs exp'!T36/'[10]Table 10 CWTs exp'!$AA36&gt;0,'[10]Table 10 CWTs exp'!T36/'[10]Table 10 CWTs exp'!$AA36," ")</f>
        <v xml:space="preserve"> </v>
      </c>
      <c r="U36" s="144">
        <f>IF('[10]Table 10 CWTs exp'!U36/'[10]Table 10 CWTs exp'!$AA36&gt;0,'[10]Table 10 CWTs exp'!U36/'[10]Table 10 CWTs exp'!$AA36," ")</f>
        <v>0.60817376393255218</v>
      </c>
      <c r="V36" s="144">
        <f>IF('[10]Table 10 CWTs exp'!V36/'[10]Table 10 CWTs exp'!$AA36&gt;0,'[10]Table 10 CWTs exp'!V36/'[10]Table 10 CWTs exp'!$AA36," ")</f>
        <v>2.4006859102600742E-2</v>
      </c>
      <c r="W36" s="146">
        <f>IF('[10]Table 10 CWTs exp'!W36/'[10]Table 10 CWTs exp'!$AA36&gt;0,'[10]Table 10 CWTs exp'!W36/'[10]Table 10 CWTs exp'!$AA36," ")</f>
        <v>2.1720491569019718E-2</v>
      </c>
      <c r="X36" s="144">
        <f>IF('[10]Table 10 CWTs exp'!X36/'[10]Table 10 CWTs exp'!$AA36&gt;0,'[10]Table 10 CWTs exp'!X36/'[10]Table 10 CWTs exp'!$AA36," ")</f>
        <v>7.2592169191197486E-2</v>
      </c>
      <c r="Y36" s="147">
        <f t="shared" si="0"/>
        <v>0.98056587596456124</v>
      </c>
      <c r="Z36" s="148">
        <f t="shared" si="5"/>
        <v>1.943412403543876E-2</v>
      </c>
      <c r="AA36" s="38">
        <f>'[10]Table 10 CWTs exp'!AA36</f>
        <v>3499</v>
      </c>
      <c r="AC36" s="592">
        <f>'[10]Table 10 CWTs exp'!AD36</f>
        <v>0.98099999999999998</v>
      </c>
      <c r="AD36" s="592">
        <f t="shared" si="2"/>
        <v>-4.3412403543874323E-4</v>
      </c>
      <c r="AE36" s="593" t="str">
        <f t="shared" si="3"/>
        <v>STA543</v>
      </c>
      <c r="AF36" s="442"/>
      <c r="AH36" s="149"/>
      <c r="AI36" s="150"/>
    </row>
    <row r="37" spans="1:35" ht="14.5" customHeight="1" x14ac:dyDescent="0.25">
      <c r="A37" s="54" t="str">
        <f>'[10]Table 10 CWTs exp'!A37</f>
        <v>TUO543</v>
      </c>
      <c r="B37" s="75" t="str">
        <f>'[10]Table 10 CWTs exp'!B37</f>
        <v>TUO</v>
      </c>
      <c r="C37" s="75">
        <f>'[10]Table 10 CWTs exp'!C37</f>
        <v>54</v>
      </c>
      <c r="D37" s="75">
        <f>'[10]Table 10 CWTs exp'!D37</f>
        <v>3</v>
      </c>
      <c r="E37" t="str">
        <f>'[10]Table 10 CWTs exp'!E37</f>
        <v>Tuolumne River</v>
      </c>
      <c r="F37" s="37" t="str">
        <f>'[10]Table 10 CWTs exp'!F37</f>
        <v>Fall</v>
      </c>
      <c r="G37" s="144" t="str">
        <f>IF('[10]Table 10 CWTs exp'!G37/'[10]Table 10 CWTs exp'!$AA37&gt;0,'[10]Table 10 CWTs exp'!G37/'[10]Table 10 CWTs exp'!$AA37," ")</f>
        <v xml:space="preserve"> </v>
      </c>
      <c r="H37" s="145" t="str">
        <f>IF('[10]Table 10 CWTs exp'!H37/'[10]Table 10 CWTs exp'!$AA37&gt;0,'[10]Table 10 CWTs exp'!H37/'[10]Table 10 CWTs exp'!$AA37," ")</f>
        <v xml:space="preserve"> </v>
      </c>
      <c r="I37" s="144" t="str">
        <f>IF('[10]Table 10 CWTs exp'!I37/'[10]Table 10 CWTs exp'!$AA37&gt;0,'[10]Table 10 CWTs exp'!I37/'[10]Table 10 CWTs exp'!$AA37," ")</f>
        <v xml:space="preserve"> </v>
      </c>
      <c r="J37" s="146">
        <f>IF('[10]Table 10 CWTs exp'!J37/'[10]Table 10 CWTs exp'!$AA37&gt;0,'[10]Table 10 CWTs exp'!J37/'[10]Table 10 CWTs exp'!$AA37," ")</f>
        <v>0.13148479427549195</v>
      </c>
      <c r="K37" s="144" t="str">
        <f>IF('[10]Table 10 CWTs exp'!K37/'[10]Table 10 CWTs exp'!$AA37&gt;0,'[10]Table 10 CWTs exp'!K37/'[10]Table 10 CWTs exp'!$AA37," ")</f>
        <v xml:space="preserve"> </v>
      </c>
      <c r="L37" s="144" t="str">
        <f>IF('[10]Table 10 CWTs exp'!L37/'[10]Table 10 CWTs exp'!$AA37&gt;0,'[10]Table 10 CWTs exp'!L37/'[10]Table 10 CWTs exp'!$AA37," ")</f>
        <v xml:space="preserve"> </v>
      </c>
      <c r="M37" s="144" t="str">
        <f>IF('[10]Table 10 CWTs exp'!M37/'[10]Table 10 CWTs exp'!$AA37&gt;0,'[10]Table 10 CWTs exp'!M37/'[10]Table 10 CWTs exp'!$AA37," ")</f>
        <v xml:space="preserve"> </v>
      </c>
      <c r="N37" s="144">
        <f>IF('[10]Table 10 CWTs exp'!N37/'[10]Table 10 CWTs exp'!$AA37&gt;0,'[10]Table 10 CWTs exp'!N37/'[10]Table 10 CWTs exp'!$AA37," ")</f>
        <v>5.7245080500894455E-2</v>
      </c>
      <c r="O37" s="144">
        <f>IF('[10]Table 10 CWTs exp'!O37/'[10]Table 10 CWTs exp'!$AA37&gt;0,'[10]Table 10 CWTs exp'!O37/'[10]Table 10 CWTs exp'!$AA37," ")</f>
        <v>6.2611806797853312E-3</v>
      </c>
      <c r="P37" s="144" t="str">
        <f>IF('[10]Table 10 CWTs exp'!P37/'[10]Table 10 CWTs exp'!$AA37&gt;0,'[10]Table 10 CWTs exp'!P37/'[10]Table 10 CWTs exp'!$AA37," ")</f>
        <v xml:space="preserve"> </v>
      </c>
      <c r="Q37" s="146" t="str">
        <f>IF('[10]Table 10 CWTs exp'!Q37/'[10]Table 10 CWTs exp'!$AA37&gt;0,'[10]Table 10 CWTs exp'!Q37/'[10]Table 10 CWTs exp'!$AA37," ")</f>
        <v xml:space="preserve"> </v>
      </c>
      <c r="R37" s="144" t="str">
        <f>IF('[10]Table 10 CWTs exp'!R37/'[10]Table 10 CWTs exp'!$AA37&gt;0,'[10]Table 10 CWTs exp'!R37/'[10]Table 10 CWTs exp'!$AA37," ")</f>
        <v xml:space="preserve"> </v>
      </c>
      <c r="S37" s="146">
        <f>IF('[10]Table 10 CWTs exp'!S37/'[10]Table 10 CWTs exp'!$AA37&gt;0,'[10]Table 10 CWTs exp'!S37/'[10]Table 10 CWTs exp'!$AA37," ")</f>
        <v>2.5044722719141325E-2</v>
      </c>
      <c r="T37" s="144">
        <f>IF('[10]Table 10 CWTs exp'!T37/'[10]Table 10 CWTs exp'!$AA37&gt;0,'[10]Table 10 CWTs exp'!T37/'[10]Table 10 CWTs exp'!$AA37," ")</f>
        <v>1.4311270125223614E-2</v>
      </c>
      <c r="U37" s="144">
        <f>IF('[10]Table 10 CWTs exp'!U37/'[10]Table 10 CWTs exp'!$AA37&gt;0,'[10]Table 10 CWTs exp'!U37/'[10]Table 10 CWTs exp'!$AA37," ")</f>
        <v>0.54203935599284436</v>
      </c>
      <c r="V37" s="144">
        <f>IF('[10]Table 10 CWTs exp'!V37/'[10]Table 10 CWTs exp'!$AA37&gt;0,'[10]Table 10 CWTs exp'!V37/'[10]Table 10 CWTs exp'!$AA37," ")</f>
        <v>2.0572450805008944E-2</v>
      </c>
      <c r="W37" s="146">
        <f>IF('[10]Table 10 CWTs exp'!W37/'[10]Table 10 CWTs exp'!$AA37&gt;0,'[10]Table 10 CWTs exp'!W37/'[10]Table 10 CWTs exp'!$AA37," ")</f>
        <v>8.0500894454382833E-3</v>
      </c>
      <c r="X37" s="144">
        <f>IF('[10]Table 10 CWTs exp'!X37/'[10]Table 10 CWTs exp'!$AA37&gt;0,'[10]Table 10 CWTs exp'!X37/'[10]Table 10 CWTs exp'!$AA37," ")</f>
        <v>6.5295169946332735E-2</v>
      </c>
      <c r="Y37" s="147">
        <f t="shared" si="0"/>
        <v>0.87030411449016098</v>
      </c>
      <c r="Z37" s="148">
        <f t="shared" si="5"/>
        <v>0.12969588550983902</v>
      </c>
      <c r="AA37" s="38">
        <f>'[10]Table 10 CWTs exp'!AA37</f>
        <v>1118</v>
      </c>
      <c r="AC37" s="592">
        <f>'[10]Table 10 CWTs exp'!AD37</f>
        <v>0.87</v>
      </c>
      <c r="AD37" s="592">
        <f t="shared" si="2"/>
        <v>3.0411449016098935E-4</v>
      </c>
      <c r="AE37" s="593" t="str">
        <f t="shared" si="3"/>
        <v>TUO543</v>
      </c>
      <c r="AF37" s="442"/>
      <c r="AH37" s="149"/>
      <c r="AI37" s="150"/>
    </row>
    <row r="38" spans="1:35" ht="14.5" customHeight="1" x14ac:dyDescent="0.25">
      <c r="A38" s="54" t="str">
        <f>'[10]Table 10 CWTs exp'!A38</f>
        <v>MER543</v>
      </c>
      <c r="B38" s="75" t="str">
        <f>'[10]Table 10 CWTs exp'!B38</f>
        <v>MER</v>
      </c>
      <c r="C38" s="75">
        <f>'[10]Table 10 CWTs exp'!C38</f>
        <v>54</v>
      </c>
      <c r="D38" s="75">
        <f>'[10]Table 10 CWTs exp'!D38</f>
        <v>3</v>
      </c>
      <c r="E38" t="str">
        <f>'[10]Table 10 CWTs exp'!E38</f>
        <v>Merced River</v>
      </c>
      <c r="F38" s="37" t="str">
        <f>'[10]Table 10 CWTs exp'!F38</f>
        <v>Fall</v>
      </c>
      <c r="G38" s="144" t="str">
        <f>IF('[10]Table 10 CWTs exp'!G38/'[10]Table 10 CWTs exp'!$AA38&gt;0,'[10]Table 10 CWTs exp'!G38/'[10]Table 10 CWTs exp'!$AA38," ")</f>
        <v xml:space="preserve"> </v>
      </c>
      <c r="H38" s="145" t="str">
        <f>IF('[10]Table 10 CWTs exp'!H38/'[10]Table 10 CWTs exp'!$AA38&gt;0,'[10]Table 10 CWTs exp'!H38/'[10]Table 10 CWTs exp'!$AA38," ")</f>
        <v xml:space="preserve"> </v>
      </c>
      <c r="I38" s="144" t="str">
        <f>IF('[10]Table 10 CWTs exp'!I38/'[10]Table 10 CWTs exp'!$AA38&gt;0,'[10]Table 10 CWTs exp'!I38/'[10]Table 10 CWTs exp'!$AA38," ")</f>
        <v xml:space="preserve"> </v>
      </c>
      <c r="J38" s="146">
        <f>IF('[10]Table 10 CWTs exp'!J38/'[10]Table 10 CWTs exp'!$AA38&gt;0,'[10]Table 10 CWTs exp'!J38/'[10]Table 10 CWTs exp'!$AA38," ")</f>
        <v>0.26972650110028296</v>
      </c>
      <c r="K38" s="144" t="str">
        <f>IF('[10]Table 10 CWTs exp'!K38/'[10]Table 10 CWTs exp'!$AA38&gt;0,'[10]Table 10 CWTs exp'!K38/'[10]Table 10 CWTs exp'!$AA38," ")</f>
        <v xml:space="preserve"> </v>
      </c>
      <c r="L38" s="144" t="str">
        <f>IF('[10]Table 10 CWTs exp'!L38/'[10]Table 10 CWTs exp'!$AA38&gt;0,'[10]Table 10 CWTs exp'!L38/'[10]Table 10 CWTs exp'!$AA38," ")</f>
        <v xml:space="preserve"> </v>
      </c>
      <c r="M38" s="144" t="str">
        <f>IF('[10]Table 10 CWTs exp'!M38/'[10]Table 10 CWTs exp'!$AA38&gt;0,'[10]Table 10 CWTs exp'!M38/'[10]Table 10 CWTs exp'!$AA38," ")</f>
        <v xml:space="preserve"> </v>
      </c>
      <c r="N38" s="144">
        <f>IF('[10]Table 10 CWTs exp'!N38/'[10]Table 10 CWTs exp'!$AA38&gt;0,'[10]Table 10 CWTs exp'!N38/'[10]Table 10 CWTs exp'!$AA38," ")</f>
        <v>5.8157812008802261E-2</v>
      </c>
      <c r="O38" s="144">
        <f>IF('[10]Table 10 CWTs exp'!O38/'[10]Table 10 CWTs exp'!$AA38&gt;0,'[10]Table 10 CWTs exp'!O38/'[10]Table 10 CWTs exp'!$AA38," ")</f>
        <v>9.4309965419679346E-3</v>
      </c>
      <c r="P38" s="144" t="str">
        <f>IF('[10]Table 10 CWTs exp'!P38/'[10]Table 10 CWTs exp'!$AA38&gt;0,'[10]Table 10 CWTs exp'!P38/'[10]Table 10 CWTs exp'!$AA38," ")</f>
        <v xml:space="preserve"> </v>
      </c>
      <c r="Q38" s="146" t="str">
        <f>IF('[10]Table 10 CWTs exp'!Q38/'[10]Table 10 CWTs exp'!$AA38&gt;0,'[10]Table 10 CWTs exp'!Q38/'[10]Table 10 CWTs exp'!$AA38," ")</f>
        <v xml:space="preserve"> </v>
      </c>
      <c r="R38" s="144" t="str">
        <f>IF('[10]Table 10 CWTs exp'!R38/'[10]Table 10 CWTs exp'!$AA38&gt;0,'[10]Table 10 CWTs exp'!R38/'[10]Table 10 CWTs exp'!$AA38," ")</f>
        <v xml:space="preserve"> </v>
      </c>
      <c r="S38" s="146">
        <f>IF('[10]Table 10 CWTs exp'!S38/'[10]Table 10 CWTs exp'!$AA38&gt;0,'[10]Table 10 CWTs exp'!S38/'[10]Table 10 CWTs exp'!$AA38," ")</f>
        <v>9.2738132662684686E-2</v>
      </c>
      <c r="T38" s="144">
        <f>IF('[10]Table 10 CWTs exp'!T38/'[10]Table 10 CWTs exp'!$AA38&gt;0,'[10]Table 10 CWTs exp'!T38/'[10]Table 10 CWTs exp'!$AA38," ")</f>
        <v>7.2304306821754163E-3</v>
      </c>
      <c r="U38" s="144">
        <f>IF('[10]Table 10 CWTs exp'!U38/'[10]Table 10 CWTs exp'!$AA38&gt;0,'[10]Table 10 CWTs exp'!U38/'[10]Table 10 CWTs exp'!$AA38," ")</f>
        <v>0.33448601068846273</v>
      </c>
      <c r="V38" s="144">
        <f>IF('[10]Table 10 CWTs exp'!V38/'[10]Table 10 CWTs exp'!$AA38&gt;0,'[10]Table 10 CWTs exp'!V38/'[10]Table 10 CWTs exp'!$AA38," ")</f>
        <v>2.0748192392329456E-2</v>
      </c>
      <c r="W38" s="146">
        <f>IF('[10]Table 10 CWTs exp'!W38/'[10]Table 10 CWTs exp'!$AA38&gt;0,'[10]Table 10 CWTs exp'!W38/'[10]Table 10 CWTs exp'!$AA38," ")</f>
        <v>9.1166299905690029E-3</v>
      </c>
      <c r="X38" s="144">
        <f>IF('[10]Table 10 CWTs exp'!X38/'[10]Table 10 CWTs exp'!$AA38&gt;0,'[10]Table 10 CWTs exp'!X38/'[10]Table 10 CWTs exp'!$AA38," ")</f>
        <v>6.6016975793775537E-2</v>
      </c>
      <c r="Y38" s="147">
        <f t="shared" si="0"/>
        <v>0.86765168186105013</v>
      </c>
      <c r="Z38" s="148">
        <f t="shared" si="5"/>
        <v>0.13234831813894987</v>
      </c>
      <c r="AA38" s="38">
        <f>'[10]Table 10 CWTs exp'!AA38</f>
        <v>3181</v>
      </c>
      <c r="AC38" s="592">
        <f>'[10]Table 10 CWTs exp'!AD38</f>
        <v>0.86799999999999999</v>
      </c>
      <c r="AD38" s="592">
        <f t="shared" si="2"/>
        <v>-3.4831813894986574E-4</v>
      </c>
      <c r="AE38" s="593" t="str">
        <f t="shared" si="3"/>
        <v>MER543</v>
      </c>
      <c r="AF38" s="442"/>
      <c r="AH38" s="149"/>
      <c r="AI38" s="150"/>
    </row>
    <row r="39" spans="1:35" ht="14.5" customHeight="1" x14ac:dyDescent="0.25">
      <c r="A39" s="54" t="str">
        <f>'[10]Table 10 CWTs exp'!A39</f>
        <v>USAC547</v>
      </c>
      <c r="B39" s="75" t="str">
        <f>'[10]Table 10 CWTs exp'!B39</f>
        <v>USAC</v>
      </c>
      <c r="C39" s="75">
        <f>'[10]Table 10 CWTs exp'!C39</f>
        <v>54</v>
      </c>
      <c r="D39" s="75">
        <f>'[10]Table 10 CWTs exp'!D39</f>
        <v>7</v>
      </c>
      <c r="E39" t="str">
        <f>'[10]Table 10 CWTs exp'!E39</f>
        <v>Upper Sacramento River</v>
      </c>
      <c r="F39" s="37" t="s">
        <v>133</v>
      </c>
      <c r="G39" s="144">
        <f>IF('[10]Table 10 CWTs exp'!G39/'[10]Table 10 CWTs exp'!$AA39&gt;0,'[10]Table 10 CWTs exp'!G39/'[10]Table 10 CWTs exp'!$AA39," ")</f>
        <v>1.1914893617021277E-2</v>
      </c>
      <c r="H39" s="145">
        <f>IF('[10]Table 10 CWTs exp'!H39/'[10]Table 10 CWTs exp'!$AA39&gt;0,'[10]Table 10 CWTs exp'!H39/'[10]Table 10 CWTs exp'!$AA39," ")</f>
        <v>8.7659574468085102E-2</v>
      </c>
      <c r="I39" s="144" t="str">
        <f>IF('[10]Table 10 CWTs exp'!I39/'[10]Table 10 CWTs exp'!$AA39&gt;0,'[10]Table 10 CWTs exp'!I39/'[10]Table 10 CWTs exp'!$AA39," ")</f>
        <v xml:space="preserve"> </v>
      </c>
      <c r="J39" s="146" t="str">
        <f>IF('[10]Table 10 CWTs exp'!J39/'[10]Table 10 CWTs exp'!$AA39&gt;0,'[10]Table 10 CWTs exp'!J39/'[10]Table 10 CWTs exp'!$AA39," ")</f>
        <v xml:space="preserve"> </v>
      </c>
      <c r="K39" s="144" t="str">
        <f>IF('[10]Table 10 CWTs exp'!K39/'[10]Table 10 CWTs exp'!$AA39&gt;0,'[10]Table 10 CWTs exp'!K39/'[10]Table 10 CWTs exp'!$AA39," ")</f>
        <v xml:space="preserve"> </v>
      </c>
      <c r="L39" s="144" t="str">
        <f>IF('[10]Table 10 CWTs exp'!L39/'[10]Table 10 CWTs exp'!$AA39&gt;0,'[10]Table 10 CWTs exp'!L39/'[10]Table 10 CWTs exp'!$AA39," ")</f>
        <v xml:space="preserve"> </v>
      </c>
      <c r="M39" s="144" t="str">
        <f>IF('[10]Table 10 CWTs exp'!M39/'[10]Table 10 CWTs exp'!$AA39&gt;0,'[10]Table 10 CWTs exp'!M39/'[10]Table 10 CWTs exp'!$AA39," ")</f>
        <v xml:space="preserve"> </v>
      </c>
      <c r="N39" s="144" t="str">
        <f>IF('[10]Table 10 CWTs exp'!N39/'[10]Table 10 CWTs exp'!$AA39&gt;0,'[10]Table 10 CWTs exp'!N39/'[10]Table 10 CWTs exp'!$AA39," ")</f>
        <v xml:space="preserve"> </v>
      </c>
      <c r="O39" s="144" t="str">
        <f>IF('[10]Table 10 CWTs exp'!O39/'[10]Table 10 CWTs exp'!$AA39&gt;0,'[10]Table 10 CWTs exp'!O39/'[10]Table 10 CWTs exp'!$AA39," ")</f>
        <v xml:space="preserve"> </v>
      </c>
      <c r="P39" s="144" t="str">
        <f>IF('[10]Table 10 CWTs exp'!P39/'[10]Table 10 CWTs exp'!$AA39&gt;0,'[10]Table 10 CWTs exp'!P39/'[10]Table 10 CWTs exp'!$AA39," ")</f>
        <v xml:space="preserve"> </v>
      </c>
      <c r="Q39" s="146" t="str">
        <f>IF('[10]Table 10 CWTs exp'!Q39/'[10]Table 10 CWTs exp'!$AA39&gt;0,'[10]Table 10 CWTs exp'!Q39/'[10]Table 10 CWTs exp'!$AA39," ")</f>
        <v xml:space="preserve"> </v>
      </c>
      <c r="R39" s="144" t="str">
        <f>IF('[10]Table 10 CWTs exp'!R39/'[10]Table 10 CWTs exp'!$AA39&gt;0,'[10]Table 10 CWTs exp'!R39/'[10]Table 10 CWTs exp'!$AA39," ")</f>
        <v xml:space="preserve"> </v>
      </c>
      <c r="S39" s="146">
        <f>IF('[10]Table 10 CWTs exp'!S39/'[10]Table 10 CWTs exp'!$AA39&gt;0,'[10]Table 10 CWTs exp'!S39/'[10]Table 10 CWTs exp'!$AA39," ")</f>
        <v>1.1914893617021277E-2</v>
      </c>
      <c r="T39" s="144" t="str">
        <f>IF('[10]Table 10 CWTs exp'!T39/'[10]Table 10 CWTs exp'!$AA39&gt;0,'[10]Table 10 CWTs exp'!T39/'[10]Table 10 CWTs exp'!$AA39," ")</f>
        <v xml:space="preserve"> </v>
      </c>
      <c r="U39" s="144">
        <f>IF('[10]Table 10 CWTs exp'!U39/'[10]Table 10 CWTs exp'!$AA39&gt;0,'[10]Table 10 CWTs exp'!U39/'[10]Table 10 CWTs exp'!$AA39," ")</f>
        <v>1.1914893617021277E-2</v>
      </c>
      <c r="V39" s="144" t="str">
        <f>IF('[10]Table 10 CWTs exp'!V39/'[10]Table 10 CWTs exp'!$AA39&gt;0,'[10]Table 10 CWTs exp'!V39/'[10]Table 10 CWTs exp'!$AA39," ")</f>
        <v xml:space="preserve"> </v>
      </c>
      <c r="W39" s="146" t="str">
        <f>IF('[10]Table 10 CWTs exp'!W39/'[10]Table 10 CWTs exp'!$AA39&gt;0,'[10]Table 10 CWTs exp'!W39/'[10]Table 10 CWTs exp'!$AA39," ")</f>
        <v xml:space="preserve"> </v>
      </c>
      <c r="X39" s="144" t="str">
        <f>IF('[10]Table 10 CWTs exp'!X39/'[10]Table 10 CWTs exp'!$AA39&gt;0,'[10]Table 10 CWTs exp'!X39/'[10]Table 10 CWTs exp'!$AA39," ")</f>
        <v xml:space="preserve"> </v>
      </c>
      <c r="Y39" s="147">
        <f t="shared" si="0"/>
        <v>0.12340425531914893</v>
      </c>
      <c r="Z39" s="148">
        <f t="shared" si="5"/>
        <v>0.87659574468085111</v>
      </c>
      <c r="AA39" s="38">
        <f>'[10]Table 10 CWTs exp'!AA39</f>
        <v>1175</v>
      </c>
      <c r="AC39" s="592">
        <f>'[10]Table 10 CWTs exp'!AD39</f>
        <v>0.12340425531914893</v>
      </c>
      <c r="AD39" s="592">
        <f t="shared" si="2"/>
        <v>0</v>
      </c>
      <c r="AE39" s="593" t="str">
        <f t="shared" si="3"/>
        <v>USAC547</v>
      </c>
      <c r="AF39" s="442"/>
      <c r="AH39" s="149"/>
      <c r="AI39" s="150"/>
    </row>
    <row r="40" spans="1:35" ht="14.15" customHeight="1" x14ac:dyDescent="0.25">
      <c r="E40" s="723" t="s">
        <v>101</v>
      </c>
      <c r="F40" s="723"/>
      <c r="G40" s="195" t="str">
        <f>IF('[10]Table 10 CWTs exp'!G40/'[10]Table 10 CWTs exp'!$AA40&gt;0,'[10]Table 10 CWTs exp'!G40/'[10]Table 10 CWTs exp'!$AA40," ")</f>
        <v xml:space="preserve"> </v>
      </c>
      <c r="H40" s="196">
        <f>IF('[10]Table 10 CWTs exp'!H40/'[10]Table 10 CWTs exp'!$AA40&gt;0,'[10]Table 10 CWTs exp'!H40/'[10]Table 10 CWTs exp'!$AA40," ")</f>
        <v>2.1335040136544257E-4</v>
      </c>
      <c r="I40" s="195">
        <f>IF('[10]Table 10 CWTs exp'!I40/'[10]Table 10 CWTs exp'!$AA40&gt;0,'[10]Table 10 CWTs exp'!I40/'[10]Table 10 CWTs exp'!$AA40," ")</f>
        <v>1.1387577672880497E-2</v>
      </c>
      <c r="J40" s="197">
        <f>IF('[10]Table 10 CWTs exp'!J40/'[10]Table 10 CWTs exp'!$AA40&gt;0,'[10]Table 10 CWTs exp'!J40/'[10]Table 10 CWTs exp'!$AA40," ")</f>
        <v>0.17268048110515508</v>
      </c>
      <c r="K40" s="195">
        <f>IF('[10]Table 10 CWTs exp'!K40/'[10]Table 10 CWTs exp'!$AA40&gt;0,'[10]Table 10 CWTs exp'!K40/'[10]Table 10 CWTs exp'!$AA40," ")</f>
        <v>1.4401152092167373E-3</v>
      </c>
      <c r="L40" s="195">
        <f>IF('[10]Table 10 CWTs exp'!L40/'[10]Table 10 CWTs exp'!$AA40&gt;0,'[10]Table 10 CWTs exp'!L40/'[10]Table 10 CWTs exp'!$AA40," ")</f>
        <v>9.0673920580313088E-4</v>
      </c>
      <c r="M40" s="195" t="str">
        <f>IF('[10]Table 10 CWTs exp'!M40/'[10]Table 10 CWTs exp'!$AA40&gt;0,'[10]Table 10 CWTs exp'!M40/'[10]Table 10 CWTs exp'!$AA40," ")</f>
        <v xml:space="preserve"> </v>
      </c>
      <c r="N40" s="195">
        <f>IF('[10]Table 10 CWTs exp'!N40/'[10]Table 10 CWTs exp'!$AA40&gt;0,'[10]Table 10 CWTs exp'!N40/'[10]Table 10 CWTs exp'!$AA40," ")</f>
        <v>0.23361868949515963</v>
      </c>
      <c r="O40" s="195">
        <f>IF('[10]Table 10 CWTs exp'!O40/'[10]Table 10 CWTs exp'!$AA40&gt;0,'[10]Table 10 CWTs exp'!O40/'[10]Table 10 CWTs exp'!$AA40," ")</f>
        <v>3.1709203402938903E-2</v>
      </c>
      <c r="P40" s="195">
        <f>IF('[10]Table 10 CWTs exp'!P40/'[10]Table 10 CWTs exp'!$AA40&gt;0,'[10]Table 10 CWTs exp'!P40/'[10]Table 10 CWTs exp'!$AA40," ")</f>
        <v>5.8671360375496702E-4</v>
      </c>
      <c r="Q40" s="197">
        <f>IF('[10]Table 10 CWTs exp'!Q40/'[10]Table 10 CWTs exp'!$AA40&gt;0,'[10]Table 10 CWTs exp'!Q40/'[10]Table 10 CWTs exp'!$AA40," ")</f>
        <v>2.9335680187748351E-4</v>
      </c>
      <c r="R40" s="195">
        <f>IF('[10]Table 10 CWTs exp'!R40/'[10]Table 10 CWTs exp'!$AA40&gt;0,'[10]Table 10 CWTs exp'!R40/'[10]Table 10 CWTs exp'!$AA40," ")</f>
        <v>6.320505640451236E-3</v>
      </c>
      <c r="S40" s="197">
        <f>IF('[10]Table 10 CWTs exp'!S40/'[10]Table 10 CWTs exp'!$AA40&gt;0,'[10]Table 10 CWTs exp'!S40/'[10]Table 10 CWTs exp'!$AA40," ")</f>
        <v>0.10832866629330347</v>
      </c>
      <c r="T40" s="195">
        <f>IF('[10]Table 10 CWTs exp'!T40/'[10]Table 10 CWTs exp'!$AA40&gt;0,'[10]Table 10 CWTs exp'!T40/'[10]Table 10 CWTs exp'!$AA40," ")</f>
        <v>2.7735552177507532E-3</v>
      </c>
      <c r="U40" s="195">
        <f>IF('[10]Table 10 CWTs exp'!U40/'[10]Table 10 CWTs exp'!$AA40&gt;0,'[10]Table 10 CWTs exp'!U40/'[10]Table 10 CWTs exp'!$AA40," ")</f>
        <v>0.18289463157052563</v>
      </c>
      <c r="V40" s="195">
        <f>IF('[10]Table 10 CWTs exp'!V40/'[10]Table 10 CWTs exp'!$AA40&gt;0,'[10]Table 10 CWTs exp'!V40/'[10]Table 10 CWTs exp'!$AA40," ")</f>
        <v>2.3255193748833239E-2</v>
      </c>
      <c r="W40" s="197">
        <f>IF('[10]Table 10 CWTs exp'!W40/'[10]Table 10 CWTs exp'!$AA40&gt;0,'[10]Table 10 CWTs exp'!W40/'[10]Table 10 CWTs exp'!$AA40," ")</f>
        <v>1.000080006400512E-2</v>
      </c>
      <c r="X40" s="195">
        <f>IF('[10]Table 10 CWTs exp'!X40/'[10]Table 10 CWTs exp'!$AA40&gt;0,'[10]Table 10 CWTs exp'!X40/'[10]Table 10 CWTs exp'!$AA40," ")</f>
        <v>2.2988505747126436E-2</v>
      </c>
      <c r="Y40" s="198">
        <f t="shared" si="0"/>
        <v>0.80939808518014777</v>
      </c>
      <c r="Z40" s="199">
        <f>1-Y40</f>
        <v>0.19060191481985223</v>
      </c>
      <c r="AA40" s="59">
        <f>'[10]Table 10 CWTs exp'!AA40</f>
        <v>37497</v>
      </c>
      <c r="AB40" s="159"/>
      <c r="AC40" s="592">
        <f>'[10]Table 10 CWTs exp'!AD40</f>
        <v>0.80939808518014777</v>
      </c>
      <c r="AD40" s="592">
        <f t="shared" si="2"/>
        <v>0</v>
      </c>
      <c r="AE40" s="595"/>
      <c r="AF40" s="596"/>
      <c r="AG40" s="37"/>
      <c r="AH40" s="160"/>
      <c r="AI40" s="150"/>
    </row>
    <row r="41" spans="1:35" ht="4.5" customHeight="1" x14ac:dyDescent="0.3">
      <c r="E41" s="83"/>
      <c r="F41"/>
      <c r="G41" s="161"/>
      <c r="H41" s="162"/>
      <c r="I41" s="161"/>
      <c r="J41" s="163"/>
      <c r="K41" s="161"/>
      <c r="L41" s="161"/>
      <c r="M41" s="161"/>
      <c r="N41" s="161"/>
      <c r="O41" s="161"/>
      <c r="P41" s="161"/>
      <c r="Q41" s="163"/>
      <c r="R41" s="161"/>
      <c r="S41" s="163"/>
      <c r="T41" s="161"/>
      <c r="U41" s="161"/>
      <c r="V41" s="161"/>
      <c r="W41" s="163"/>
      <c r="X41" s="161"/>
      <c r="Y41" s="164"/>
      <c r="Z41" s="165"/>
      <c r="AA41" s="64"/>
      <c r="AB41" s="159"/>
      <c r="AC41" s="453"/>
      <c r="AD41" s="453"/>
      <c r="AE41" s="595"/>
      <c r="AF41" s="596"/>
      <c r="AG41" s="37"/>
      <c r="AH41" s="160"/>
      <c r="AI41" s="150"/>
    </row>
    <row r="42" spans="1:35" ht="14.9" customHeight="1" x14ac:dyDescent="0.25">
      <c r="E42" s="27" t="s">
        <v>103</v>
      </c>
      <c r="F42" s="37" t="s">
        <v>104</v>
      </c>
      <c r="G42" s="151">
        <f>IF('[10]Table 10 CWTs exp'!G42/'[10]Table 10 CWTs exp'!$AA42&gt;0,'[10]Table 10 CWTs exp'!G42/'[10]Table 10 CWTs exp'!$AA42," ")</f>
        <v>1.1010627764208858E-2</v>
      </c>
      <c r="H42" s="157">
        <f>IF('[10]Table 10 CWTs exp'!H42/'[10]Table 10 CWTs exp'!$AA42&gt;0,'[10]Table 10 CWTs exp'!H42/'[10]Table 10 CWTs exp'!$AA42," ")</f>
        <v>5.2953990362400158E-2</v>
      </c>
      <c r="I42" s="151">
        <f>IF('[10]Table 10 CWTs exp'!I42/'[10]Table 10 CWTs exp'!$AA42&gt;0,'[10]Table 10 CWTs exp'!I42/'[10]Table 10 CWTs exp'!$AA42," ")</f>
        <v>7.814377186612978E-2</v>
      </c>
      <c r="J42" s="158">
        <f>IF('[10]Table 10 CWTs exp'!J42/'[10]Table 10 CWTs exp'!$AA42&gt;0,'[10]Table 10 CWTs exp'!J42/'[10]Table 10 CWTs exp'!$AA42," ")</f>
        <v>2.0859462670803353E-3</v>
      </c>
      <c r="K42" s="151">
        <f>IF('[10]Table 10 CWTs exp'!K42/'[10]Table 10 CWTs exp'!$AA42&gt;0,'[10]Table 10 CWTs exp'!K42/'[10]Table 10 CWTs exp'!$AA42," ")</f>
        <v>1.3796290184170572E-2</v>
      </c>
      <c r="L42" s="151">
        <f>IF('[10]Table 10 CWTs exp'!L42/'[10]Table 10 CWTs exp'!$AA42&gt;0,'[10]Table 10 CWTs exp'!L42/'[10]Table 10 CWTs exp'!$AA42," ")</f>
        <v>2.3103835236649283E-3</v>
      </c>
      <c r="M42" s="151">
        <f>IF('[10]Table 10 CWTs exp'!M42/'[10]Table 10 CWTs exp'!$AA42&gt;0,'[10]Table 10 CWTs exp'!M42/'[10]Table 10 CWTs exp'!$AA42," ")</f>
        <v>5.8089642880718194E-4</v>
      </c>
      <c r="N42" s="151">
        <f>IF('[10]Table 10 CWTs exp'!N42/'[10]Table 10 CWTs exp'!$AA42&gt;0,'[10]Table 10 CWTs exp'!N42/'[10]Table 10 CWTs exp'!$AA42," ")</f>
        <v>0.38538517393887384</v>
      </c>
      <c r="O42" s="151">
        <f>IF('[10]Table 10 CWTs exp'!O42/'[10]Table 10 CWTs exp'!$AA42&gt;0,'[10]Table 10 CWTs exp'!O42/'[10]Table 10 CWTs exp'!$AA42," ")</f>
        <v>3.2807446036041986E-2</v>
      </c>
      <c r="P42" s="151">
        <f>IF('[10]Table 10 CWTs exp'!P42/'[10]Table 10 CWTs exp'!$AA42&gt;0,'[10]Table 10 CWTs exp'!P42/'[10]Table 10 CWTs exp'!$AA42," ")</f>
        <v>8.1853587695557457E-4</v>
      </c>
      <c r="Q42" s="158">
        <f>IF('[10]Table 10 CWTs exp'!Q42/'[10]Table 10 CWTs exp'!$AA42&gt;0,'[10]Table 10 CWTs exp'!Q42/'[10]Table 10 CWTs exp'!$AA42," ")</f>
        <v>2.772460228397914E-4</v>
      </c>
      <c r="R42" s="151">
        <f>IF('[10]Table 10 CWTs exp'!R42/'[10]Table 10 CWTs exp'!$AA42&gt;0,'[10]Table 10 CWTs exp'!R42/'[10]Table 10 CWTs exp'!$AA42," ")</f>
        <v>4.8716086870420486E-3</v>
      </c>
      <c r="S42" s="158">
        <f>IF('[10]Table 10 CWTs exp'!S42/'[10]Table 10 CWTs exp'!$AA42&gt;0,'[10]Table 10 CWTs exp'!S42/'[10]Table 10 CWTs exp'!$AA42," ")</f>
        <v>8.191959865337646E-2</v>
      </c>
      <c r="T42" s="151">
        <f>IF('[10]Table 10 CWTs exp'!T42/'[10]Table 10 CWTs exp'!$AA42&gt;0,'[10]Table 10 CWTs exp'!T42/'[10]Table 10 CWTs exp'!$AA42," ")</f>
        <v>2.2839791405373294E-3</v>
      </c>
      <c r="U42" s="151">
        <f>IF('[10]Table 10 CWTs exp'!U42/'[10]Table 10 CWTs exp'!$AA42&gt;0,'[10]Table 10 CWTs exp'!U42/'[10]Table 10 CWTs exp'!$AA42," ")</f>
        <v>0.12309723414086739</v>
      </c>
      <c r="V42" s="151">
        <f>IF('[10]Table 10 CWTs exp'!V42/'[10]Table 10 CWTs exp'!$AA42&gt;0,'[10]Table 10 CWTs exp'!V42/'[10]Table 10 CWTs exp'!$AA42," ")</f>
        <v>2.5453825335005609E-2</v>
      </c>
      <c r="W42" s="158">
        <f>IF('[10]Table 10 CWTs exp'!W42/'[10]Table 10 CWTs exp'!$AA42&gt;0,'[10]Table 10 CWTs exp'!W42/'[10]Table 10 CWTs exp'!$AA42," ")</f>
        <v>1.1895174598983432E-2</v>
      </c>
      <c r="X42" s="151">
        <f>IF('[10]Table 10 CWTs exp'!X42/'[10]Table 10 CWTs exp'!$AA42&gt;0,'[10]Table 10 CWTs exp'!X42/'[10]Table 10 CWTs exp'!$AA42," ")</f>
        <v>5.9145818205822162E-3</v>
      </c>
      <c r="Y42" s="166">
        <f t="shared" ref="Y42:Y44" si="7">SUM(G42:X42)</f>
        <v>0.83560631064756763</v>
      </c>
      <c r="Z42" s="167">
        <f t="shared" ref="Z42:Z44" si="8">1-Y42</f>
        <v>0.16439368935243237</v>
      </c>
      <c r="AA42" s="38">
        <f>'[10]Table 10 CWTs exp'!AA42</f>
        <v>75745</v>
      </c>
      <c r="AB42" s="159"/>
      <c r="AC42" s="453">
        <f>'[10]Table 10 CWTs exp'!AD42</f>
        <v>0.83560631064756752</v>
      </c>
      <c r="AD42" s="453">
        <f>Y42-AC42</f>
        <v>0</v>
      </c>
      <c r="AE42" s="595"/>
      <c r="AF42" s="596"/>
      <c r="AG42" s="37"/>
      <c r="AH42" s="160"/>
      <c r="AI42" s="150"/>
    </row>
    <row r="43" spans="1:35" ht="14.9" customHeight="1" x14ac:dyDescent="0.25">
      <c r="E43" s="27" t="s">
        <v>105</v>
      </c>
      <c r="F43" s="37" t="s">
        <v>104</v>
      </c>
      <c r="G43" s="151" t="str">
        <f>IF('[10]Table 10 CWTs exp'!G43/'[10]Table 10 CWTs exp'!$AA43&gt;0,'[10]Table 10 CWTs exp'!G43/'[10]Table 10 CWTs exp'!$AA43," ")</f>
        <v xml:space="preserve"> </v>
      </c>
      <c r="H43" s="157">
        <f>IF('[10]Table 10 CWTs exp'!H43/'[10]Table 10 CWTs exp'!$AA43&gt;0,'[10]Table 10 CWTs exp'!H43/'[10]Table 10 CWTs exp'!$AA43," ")</f>
        <v>7.3874339748088505E-4</v>
      </c>
      <c r="I43" s="151">
        <f>IF('[10]Table 10 CWTs exp'!I43/'[10]Table 10 CWTs exp'!$AA43&gt;0,'[10]Table 10 CWTs exp'!I43/'[10]Table 10 CWTs exp'!$AA43," ")</f>
        <v>1.47748679496177E-4</v>
      </c>
      <c r="J43" s="158">
        <f>IF('[10]Table 10 CWTs exp'!J43/'[10]Table 10 CWTs exp'!$AA43&gt;0,'[10]Table 10 CWTs exp'!J43/'[10]Table 10 CWTs exp'!$AA43," ")</f>
        <v>0.35925091419495436</v>
      </c>
      <c r="K43" s="151">
        <f>IF('[10]Table 10 CWTs exp'!K43/'[10]Table 10 CWTs exp'!$AA43&gt;0,'[10]Table 10 CWTs exp'!K43/'[10]Table 10 CWTs exp'!$AA43," ")</f>
        <v>3.693716987404425E-5</v>
      </c>
      <c r="L43" s="151" t="str">
        <f>IF('[10]Table 10 CWTs exp'!L43/'[10]Table 10 CWTs exp'!$AA43&gt;0,'[10]Table 10 CWTs exp'!L43/'[10]Table 10 CWTs exp'!$AA43," ")</f>
        <v xml:space="preserve"> </v>
      </c>
      <c r="M43" s="151" t="str">
        <f>IF('[10]Table 10 CWTs exp'!M43/'[10]Table 10 CWTs exp'!$AA43&gt;0,'[10]Table 10 CWTs exp'!M43/'[10]Table 10 CWTs exp'!$AA43," ")</f>
        <v xml:space="preserve"> </v>
      </c>
      <c r="N43" s="151">
        <f>IF('[10]Table 10 CWTs exp'!N43/'[10]Table 10 CWTs exp'!$AA43&gt;0,'[10]Table 10 CWTs exp'!N43/'[10]Table 10 CWTs exp'!$AA43," ")</f>
        <v>0.10035829054777823</v>
      </c>
      <c r="O43" s="151">
        <f>IF('[10]Table 10 CWTs exp'!O43/'[10]Table 10 CWTs exp'!$AA43&gt;0,'[10]Table 10 CWTs exp'!O43/'[10]Table 10 CWTs exp'!$AA43," ")</f>
        <v>1.4737930779743657E-2</v>
      </c>
      <c r="P43" s="151">
        <f>IF('[10]Table 10 CWTs exp'!P43/'[10]Table 10 CWTs exp'!$AA43&gt;0,'[10]Table 10 CWTs exp'!P43/'[10]Table 10 CWTs exp'!$AA43," ")</f>
        <v>1.1081150962213275E-4</v>
      </c>
      <c r="Q43" s="158" t="str">
        <f>IF('[10]Table 10 CWTs exp'!Q43/'[10]Table 10 CWTs exp'!$AA43&gt;0,'[10]Table 10 CWTs exp'!Q43/'[10]Table 10 CWTs exp'!$AA43," ")</f>
        <v xml:space="preserve"> </v>
      </c>
      <c r="R43" s="151">
        <f>IF('[10]Table 10 CWTs exp'!R43/'[10]Table 10 CWTs exp'!$AA43&gt;0,'[10]Table 10 CWTs exp'!R43/'[10]Table 10 CWTs exp'!$AA43," ")</f>
        <v>1.47748679496177E-4</v>
      </c>
      <c r="S43" s="158">
        <f>IF('[10]Table 10 CWTs exp'!S43/'[10]Table 10 CWTs exp'!$AA43&gt;0,'[10]Table 10 CWTs exp'!S43/'[10]Table 10 CWTs exp'!$AA43," ")</f>
        <v>0.17245964614191261</v>
      </c>
      <c r="T43" s="151">
        <f>IF('[10]Table 10 CWTs exp'!T43/'[10]Table 10 CWTs exp'!$AA43&gt;0,'[10]Table 10 CWTs exp'!T43/'[10]Table 10 CWTs exp'!$AA43," ")</f>
        <v>2.6964134008052305E-3</v>
      </c>
      <c r="U43" s="151">
        <f>IF('[10]Table 10 CWTs exp'!U43/'[10]Table 10 CWTs exp'!$AA43&gt;0,'[10]Table 10 CWTs exp'!U43/'[10]Table 10 CWTs exp'!$AA43," ")</f>
        <v>0.256270084586119</v>
      </c>
      <c r="V43" s="151">
        <f>IF('[10]Table 10 CWTs exp'!V43/'[10]Table 10 CWTs exp'!$AA43&gt;0,'[10]Table 10 CWTs exp'!V43/'[10]Table 10 CWTs exp'!$AA43," ")</f>
        <v>3.3797510434750488E-2</v>
      </c>
      <c r="W43" s="158">
        <f>IF('[10]Table 10 CWTs exp'!W43/'[10]Table 10 CWTs exp'!$AA43&gt;0,'[10]Table 10 CWTs exp'!W43/'[10]Table 10 CWTs exp'!$AA43," ")</f>
        <v>1.4700993609869612E-2</v>
      </c>
      <c r="X43" s="151">
        <f>IF('[10]Table 10 CWTs exp'!X43/'[10]Table 10 CWTs exp'!$AA43&gt;0,'[10]Table 10 CWTs exp'!X43/'[10]Table 10 CWTs exp'!$AA43," ")</f>
        <v>4.4546226868097366E-2</v>
      </c>
      <c r="Y43" s="166">
        <f>SUM(G43:X43)</f>
        <v>1</v>
      </c>
      <c r="Z43" s="167"/>
      <c r="AA43" s="38">
        <f>'[10]Table 10 CWTs exp'!AA43</f>
        <v>27073</v>
      </c>
      <c r="AB43" s="159"/>
      <c r="AC43" s="453">
        <f>'[10]Table 10 CWTs exp'!AD43</f>
        <v>1</v>
      </c>
      <c r="AD43" s="453">
        <f t="shared" si="2"/>
        <v>0</v>
      </c>
      <c r="AE43" s="595"/>
      <c r="AF43" s="596"/>
      <c r="AG43" s="37"/>
      <c r="AH43" s="160"/>
      <c r="AI43" s="150"/>
    </row>
    <row r="44" spans="1:35" ht="18" customHeight="1" x14ac:dyDescent="0.3">
      <c r="E44" s="27"/>
      <c r="F44" s="88" t="s">
        <v>109</v>
      </c>
      <c r="G44" s="168">
        <f>IF('[10]Table 10 CWTs exp'!G44/'[10]Table 10 CWTs exp'!$AA44&gt;0,'[10]Table 10 CWTs exp'!G44/'[10]Table 10 CWTs exp'!$AA44," ")</f>
        <v>8.1114201793460287E-3</v>
      </c>
      <c r="H44" s="169">
        <f>IF('[10]Table 10 CWTs exp'!H44/'[10]Table 10 CWTs exp'!$AA44&gt;0,'[10]Table 10 CWTs exp'!H44/'[10]Table 10 CWTs exp'!$AA44," ")</f>
        <v>3.9205197533505806E-2</v>
      </c>
      <c r="I44" s="168">
        <f>IF('[10]Table 10 CWTs exp'!I44/'[10]Table 10 CWTs exp'!$AA44&gt;0,'[10]Table 10 CWTs exp'!I44/'[10]Table 10 CWTs exp'!$AA44," ")</f>
        <v>5.7606644750919103E-2</v>
      </c>
      <c r="J44" s="170">
        <f>IF('[10]Table 10 CWTs exp'!J44/'[10]Table 10 CWTs exp'!$AA44&gt;0,'[10]Table 10 CWTs exp'!J44/'[10]Table 10 CWTs exp'!$AA44," ")</f>
        <v>9.6131027641074521E-2</v>
      </c>
      <c r="K44" s="168">
        <f>IF('[10]Table 10 CWTs exp'!K44/'[10]Table 10 CWTs exp'!$AA44&gt;0,'[10]Table 10 CWTs exp'!K44/'[10]Table 10 CWTs exp'!$AA44," ")</f>
        <v>1.0173315956350055E-2</v>
      </c>
      <c r="L44" s="168">
        <f>IF('[10]Table 10 CWTs exp'!L44/'[10]Table 10 CWTs exp'!$AA44&gt;0,'[10]Table 10 CWTs exp'!L44/'[10]Table 10 CWTs exp'!$AA44," ")</f>
        <v>1.7020366083759654E-3</v>
      </c>
      <c r="M44" s="168">
        <f>IF('[10]Table 10 CWTs exp'!M44/'[10]Table 10 CWTs exp'!$AA44&gt;0,'[10]Table 10 CWTs exp'!M44/'[10]Table 10 CWTs exp'!$AA44," ")</f>
        <v>4.2794063296309982E-4</v>
      </c>
      <c r="N44" s="168">
        <f>IF('[10]Table 10 CWTs exp'!N44/'[10]Table 10 CWTs exp'!$AA44&gt;0,'[10]Table 10 CWTs exp'!N44/'[10]Table 10 CWTs exp'!$AA44," ")</f>
        <v>0.31033476628605888</v>
      </c>
      <c r="O44" s="168">
        <f>IF('[10]Table 10 CWTs exp'!O44/'[10]Table 10 CWTs exp'!$AA44&gt;0,'[10]Table 10 CWTs exp'!O44/'[10]Table 10 CWTs exp'!$AA44," ")</f>
        <v>2.8049563306035908E-2</v>
      </c>
      <c r="P44" s="168">
        <f>IF('[10]Table 10 CWTs exp'!P44/'[10]Table 10 CWTs exp'!$AA44&gt;0,'[10]Table 10 CWTs exp'!P44/'[10]Table 10 CWTs exp'!$AA44," ")</f>
        <v>6.321850259682157E-4</v>
      </c>
      <c r="Q44" s="170">
        <f>IF('[10]Table 10 CWTs exp'!Q44/'[10]Table 10 CWTs exp'!$AA44&gt;0,'[10]Table 10 CWTs exp'!Q44/'[10]Table 10 CWTs exp'!$AA44," ")</f>
        <v>2.0424439300511583E-4</v>
      </c>
      <c r="R44" s="168">
        <f>IF('[10]Table 10 CWTs exp'!R44/'[10]Table 10 CWTs exp'!$AA44&gt;0,'[10]Table 10 CWTs exp'!R44/'[10]Table 10 CWTs exp'!$AA44," ")</f>
        <v>3.6277694567099146E-3</v>
      </c>
      <c r="S44" s="170">
        <f>IF('[10]Table 10 CWTs exp'!S44/'[10]Table 10 CWTs exp'!$AA44&gt;0,'[10]Table 10 CWTs exp'!S44/'[10]Table 10 CWTs exp'!$AA44," ")</f>
        <v>0.10575969188274427</v>
      </c>
      <c r="T44" s="168">
        <f>IF('[10]Table 10 CWTs exp'!T44/'[10]Table 10 CWTs exp'!$AA44&gt;0,'[10]Table 10 CWTs exp'!T44/'[10]Table 10 CWTs exp'!$AA44," ")</f>
        <v>2.3925771752027853E-3</v>
      </c>
      <c r="U44" s="168">
        <f>IF('[10]Table 10 CWTs exp'!U44/'[10]Table 10 CWTs exp'!$AA44&gt;0,'[10]Table 10 CWTs exp'!U44/'[10]Table 10 CWTs exp'!$AA44," ")</f>
        <v>0.15816296757377113</v>
      </c>
      <c r="V44" s="168">
        <f>IF('[10]Table 10 CWTs exp'!V44/'[10]Table 10 CWTs exp'!$AA44&gt;0,'[10]Table 10 CWTs exp'!V44/'[10]Table 10 CWTs exp'!$AA44," ")</f>
        <v>2.765080044350211E-2</v>
      </c>
      <c r="W44" s="170">
        <f>IF('[10]Table 10 CWTs exp'!W44/'[10]Table 10 CWTs exp'!$AA44&gt;0,'[10]Table 10 CWTs exp'!W44/'[10]Table 10 CWTs exp'!$AA44," ")</f>
        <v>1.263397459588788E-2</v>
      </c>
      <c r="X44" s="168">
        <f>IF('[10]Table 10 CWTs exp'!X44/'[10]Table 10 CWTs exp'!$AA44&gt;0,'[10]Table 10 CWTs exp'!X44/'[10]Table 10 CWTs exp'!$AA44," ")</f>
        <v>1.608667743002198E-2</v>
      </c>
      <c r="Y44" s="171">
        <f t="shared" si="7"/>
        <v>0.87889280087144284</v>
      </c>
      <c r="Z44" s="172">
        <f t="shared" si="8"/>
        <v>0.12110719912855716</v>
      </c>
      <c r="AA44" s="89">
        <f>'[10]Table 10 CWTs exp'!AA44</f>
        <v>102818</v>
      </c>
      <c r="AB44" s="159"/>
      <c r="AC44" s="453">
        <f>'[10]Table 10 CWTs exp'!AD44</f>
        <v>0.87889280087144273</v>
      </c>
      <c r="AD44" s="453">
        <f t="shared" si="2"/>
        <v>0</v>
      </c>
      <c r="AE44" s="595"/>
      <c r="AF44" s="596"/>
      <c r="AG44" s="37"/>
      <c r="AH44" s="160"/>
      <c r="AI44" s="150"/>
    </row>
    <row r="45" spans="1:35" ht="3.75" customHeight="1" x14ac:dyDescent="0.25">
      <c r="E45" s="173"/>
      <c r="F45" s="173"/>
      <c r="G45" s="161"/>
      <c r="H45" s="162"/>
      <c r="I45" s="161"/>
      <c r="J45" s="163"/>
      <c r="K45" s="161"/>
      <c r="L45" s="161"/>
      <c r="M45" s="161"/>
      <c r="N45" s="161"/>
      <c r="O45" s="161"/>
      <c r="P45" s="161"/>
      <c r="Q45" s="163"/>
      <c r="R45" s="161"/>
      <c r="S45" s="163"/>
      <c r="T45" s="161"/>
      <c r="U45" s="161"/>
      <c r="V45" s="161"/>
      <c r="W45" s="163"/>
      <c r="X45" s="161"/>
      <c r="Y45" s="164"/>
      <c r="Z45" s="165"/>
      <c r="AA45" s="64"/>
      <c r="AB45" s="159"/>
      <c r="AC45" s="453"/>
      <c r="AD45" s="453"/>
      <c r="AE45" s="595"/>
      <c r="AF45" s="596"/>
      <c r="AG45" s="37"/>
      <c r="AH45" s="160"/>
      <c r="AI45" s="150"/>
    </row>
    <row r="46" spans="1:35" ht="14.25" customHeight="1" x14ac:dyDescent="0.3">
      <c r="E46" s="26" t="s">
        <v>113</v>
      </c>
      <c r="F46"/>
      <c r="G46" s="144"/>
      <c r="H46" s="145"/>
      <c r="I46" s="144"/>
      <c r="J46" s="146"/>
      <c r="K46" s="144"/>
      <c r="L46" s="144"/>
      <c r="M46" s="144"/>
      <c r="N46" s="144"/>
      <c r="O46" s="144"/>
      <c r="P46" s="144"/>
      <c r="Q46" s="146"/>
      <c r="R46" s="144"/>
      <c r="S46" s="146"/>
      <c r="T46" s="144"/>
      <c r="U46" s="144"/>
      <c r="V46" s="144"/>
      <c r="W46" s="146"/>
      <c r="X46" s="144"/>
      <c r="Y46" s="147"/>
      <c r="Z46" s="148"/>
      <c r="AA46" s="38"/>
      <c r="AC46" s="453"/>
      <c r="AD46" s="453"/>
      <c r="AE46" s="442"/>
      <c r="AF46" s="442"/>
      <c r="AH46" s="149"/>
      <c r="AI46" s="150"/>
    </row>
    <row r="47" spans="1:35" ht="14.25" customHeight="1" x14ac:dyDescent="0.25">
      <c r="A47" t="str">
        <f>'[10]Table 10 CWTs exp'!A47</f>
        <v>USAC463</v>
      </c>
      <c r="B47" s="4" t="str">
        <f>'[10]Table 10 CWTs exp'!B47</f>
        <v>USAC</v>
      </c>
      <c r="C47" s="4">
        <f>'[10]Table 10 CWTs exp'!C47</f>
        <v>46</v>
      </c>
      <c r="D47" s="4">
        <f>'[10]Table 10 CWTs exp'!D47</f>
        <v>3</v>
      </c>
      <c r="E47" t="str">
        <f>'[10]Table 10 CWTs exp'!E47</f>
        <v xml:space="preserve">Upper Sacramento River </v>
      </c>
      <c r="F47" s="37" t="str">
        <f>'[10]Table 10 CWTs exp'!F47</f>
        <v>Fall</v>
      </c>
      <c r="G47" s="144" t="str">
        <f>IF('[10]Table 10 CWTs exp'!G47/'[10]Table 10 CWTs exp'!$AA47&gt;0,'[10]Table 10 CWTs exp'!G47/'[10]Table 10 CWTs exp'!$AA47," ")</f>
        <v xml:space="preserve"> </v>
      </c>
      <c r="H47" s="145">
        <f>IF('[10]Table 10 CWTs exp'!H47/'[10]Table 10 CWTs exp'!$AA47&gt;0,'[10]Table 10 CWTs exp'!H47/'[10]Table 10 CWTs exp'!$AA47," ")</f>
        <v>1.1648429226967879E-2</v>
      </c>
      <c r="I47" s="144">
        <f>IF('[10]Table 10 CWTs exp'!I47/'[10]Table 10 CWTs exp'!$AA47&gt;0,'[10]Table 10 CWTs exp'!I47/'[10]Table 10 CWTs exp'!$AA47," ")</f>
        <v>0.72643840451817865</v>
      </c>
      <c r="J47" s="146" t="str">
        <f>IF('[10]Table 10 CWTs exp'!J47/'[10]Table 10 CWTs exp'!$AA47&gt;0,'[10]Table 10 CWTs exp'!J47/'[10]Table 10 CWTs exp'!$AA47," ")</f>
        <v xml:space="preserve"> </v>
      </c>
      <c r="K47" s="144" t="str">
        <f>IF('[10]Table 10 CWTs exp'!K47/'[10]Table 10 CWTs exp'!$AA47&gt;0,'[10]Table 10 CWTs exp'!K47/'[10]Table 10 CWTs exp'!$AA47," ")</f>
        <v xml:space="preserve"> </v>
      </c>
      <c r="L47" s="144" t="str">
        <f>IF('[10]Table 10 CWTs exp'!L47/'[10]Table 10 CWTs exp'!$AA47&gt;0,'[10]Table 10 CWTs exp'!L47/'[10]Table 10 CWTs exp'!$AA47," ")</f>
        <v xml:space="preserve"> </v>
      </c>
      <c r="M47" s="144" t="str">
        <f>IF('[10]Table 10 CWTs exp'!M47/'[10]Table 10 CWTs exp'!$AA47&gt;0,'[10]Table 10 CWTs exp'!M47/'[10]Table 10 CWTs exp'!$AA47," ")</f>
        <v xml:space="preserve"> </v>
      </c>
      <c r="N47" s="144">
        <f>IF('[10]Table 10 CWTs exp'!N47/'[10]Table 10 CWTs exp'!$AA47&gt;0,'[10]Table 10 CWTs exp'!N47/'[10]Table 10 CWTs exp'!$AA47," ")</f>
        <v>1.5178256265442993E-2</v>
      </c>
      <c r="O47" s="144">
        <f>IF('[10]Table 10 CWTs exp'!O47/'[10]Table 10 CWTs exp'!$AA47&gt;0,'[10]Table 10 CWTs exp'!O47/'[10]Table 10 CWTs exp'!$AA47," ")</f>
        <v>3.8828097423226262E-3</v>
      </c>
      <c r="P47" s="144" t="str">
        <f>IF('[10]Table 10 CWTs exp'!P47/'[10]Table 10 CWTs exp'!$AA47&gt;0,'[10]Table 10 CWTs exp'!P47/'[10]Table 10 CWTs exp'!$AA47," ")</f>
        <v xml:space="preserve"> </v>
      </c>
      <c r="Q47" s="146" t="str">
        <f>IF('[10]Table 10 CWTs exp'!Q47/'[10]Table 10 CWTs exp'!$AA47&gt;0,'[10]Table 10 CWTs exp'!Q47/'[10]Table 10 CWTs exp'!$AA47," ")</f>
        <v xml:space="preserve"> </v>
      </c>
      <c r="R47" s="144" t="str">
        <f>IF('[10]Table 10 CWTs exp'!R47/'[10]Table 10 CWTs exp'!$AA47&gt;0,'[10]Table 10 CWTs exp'!R47/'[10]Table 10 CWTs exp'!$AA47," ")</f>
        <v xml:space="preserve"> </v>
      </c>
      <c r="S47" s="146" t="str">
        <f>IF('[10]Table 10 CWTs exp'!S47/'[10]Table 10 CWTs exp'!$AA47&gt;0,'[10]Table 10 CWTs exp'!S47/'[10]Table 10 CWTs exp'!$AA47," ")</f>
        <v xml:space="preserve"> </v>
      </c>
      <c r="T47" s="144" t="str">
        <f>IF('[10]Table 10 CWTs exp'!T47/'[10]Table 10 CWTs exp'!$AA47&gt;0,'[10]Table 10 CWTs exp'!T47/'[10]Table 10 CWTs exp'!$AA47," ")</f>
        <v xml:space="preserve"> </v>
      </c>
      <c r="U47" s="144" t="str">
        <f>IF('[10]Table 10 CWTs exp'!U47/'[10]Table 10 CWTs exp'!$AA47&gt;0,'[10]Table 10 CWTs exp'!U47/'[10]Table 10 CWTs exp'!$AA47," ")</f>
        <v xml:space="preserve"> </v>
      </c>
      <c r="V47" s="144" t="str">
        <f>IF('[10]Table 10 CWTs exp'!V47/'[10]Table 10 CWTs exp'!$AA47&gt;0,'[10]Table 10 CWTs exp'!V47/'[10]Table 10 CWTs exp'!$AA47," ")</f>
        <v xml:space="preserve"> </v>
      </c>
      <c r="W47" s="146" t="str">
        <f>IF('[10]Table 10 CWTs exp'!W47/'[10]Table 10 CWTs exp'!$AA47&gt;0,'[10]Table 10 CWTs exp'!W47/'[10]Table 10 CWTs exp'!$AA47," ")</f>
        <v xml:space="preserve"> </v>
      </c>
      <c r="X47" s="144" t="str">
        <f>IF('[10]Table 10 CWTs exp'!X47/'[10]Table 10 CWTs exp'!$AA47&gt;0,'[10]Table 10 CWTs exp'!X47/'[10]Table 10 CWTs exp'!$AA47," ")</f>
        <v xml:space="preserve"> </v>
      </c>
      <c r="Y47" s="147">
        <f>AC47</f>
        <v>0.75700000000000001</v>
      </c>
      <c r="Z47" s="148">
        <f>1-ROUND(Y47,2)</f>
        <v>0.24</v>
      </c>
      <c r="AA47" s="38">
        <f>'[10]Table 10 CWTs exp'!AA47</f>
        <v>2833</v>
      </c>
      <c r="AC47" s="453">
        <f>'[10]Table 10 CWTs exp'!AD47</f>
        <v>0.75700000000000001</v>
      </c>
      <c r="AD47" s="453">
        <f t="shared" si="2"/>
        <v>0</v>
      </c>
      <c r="AE47" s="593" t="str">
        <f t="shared" ref="AE47:AE52" si="9">A47</f>
        <v>USAC463</v>
      </c>
      <c r="AF47" s="442"/>
      <c r="AH47" s="149"/>
      <c r="AI47" s="150"/>
    </row>
    <row r="48" spans="1:35" ht="14.25" customHeight="1" x14ac:dyDescent="0.25">
      <c r="A48" t="str">
        <f>'[10]Table 10 CWTs exp'!A48</f>
        <v>LSAC463</v>
      </c>
      <c r="B48" s="4" t="str">
        <f>'[10]Table 10 CWTs exp'!B48</f>
        <v>LSAC</v>
      </c>
      <c r="C48" s="4">
        <f>'[10]Table 10 CWTs exp'!C48</f>
        <v>46</v>
      </c>
      <c r="D48" s="4">
        <f>'[10]Table 10 CWTs exp'!D48</f>
        <v>3</v>
      </c>
      <c r="E48" t="str">
        <f>'[10]Table 10 CWTs exp'!E48</f>
        <v xml:space="preserve">Lower Sacramento River </v>
      </c>
      <c r="F48" s="37" t="str">
        <f>'[10]Table 10 CWTs exp'!F48</f>
        <v>Fall</v>
      </c>
      <c r="G48" s="144" t="str">
        <f>IF('[10]Table 10 CWTs exp'!G48/'[10]Table 10 CWTs exp'!$AA48&gt;0,'[10]Table 10 CWTs exp'!G48/'[10]Table 10 CWTs exp'!$AA48," ")</f>
        <v xml:space="preserve"> </v>
      </c>
      <c r="H48" s="145">
        <f>IF('[10]Table 10 CWTs exp'!H48/'[10]Table 10 CWTs exp'!$AA48&gt;0,'[10]Table 10 CWTs exp'!H48/'[10]Table 10 CWTs exp'!$AA48," ")</f>
        <v>3.6845310596833131E-2</v>
      </c>
      <c r="I48" s="144">
        <f>IF('[10]Table 10 CWTs exp'!I48/'[10]Table 10 CWTs exp'!$AA48&gt;0,'[10]Table 10 CWTs exp'!I48/'[10]Table 10 CWTs exp'!$AA48," ")</f>
        <v>2.7913114088509949E-2</v>
      </c>
      <c r="J48" s="146">
        <f>IF('[10]Table 10 CWTs exp'!J48/'[10]Table 10 CWTs exp'!$AA48&gt;0,'[10]Table 10 CWTs exp'!J48/'[10]Table 10 CWTs exp'!$AA48," ")</f>
        <v>9.8558668290702395E-2</v>
      </c>
      <c r="K48" s="144" t="str">
        <f>IF('[10]Table 10 CWTs exp'!K48/'[10]Table 10 CWTs exp'!$AA48&gt;0,'[10]Table 10 CWTs exp'!K48/'[10]Table 10 CWTs exp'!$AA48," ")</f>
        <v xml:space="preserve"> </v>
      </c>
      <c r="L48" s="144" t="str">
        <f>IF('[10]Table 10 CWTs exp'!L48/'[10]Table 10 CWTs exp'!$AA48&gt;0,'[10]Table 10 CWTs exp'!L48/'[10]Table 10 CWTs exp'!$AA48," ")</f>
        <v xml:space="preserve"> </v>
      </c>
      <c r="M48" s="144" t="str">
        <f>IF('[10]Table 10 CWTs exp'!M48/'[10]Table 10 CWTs exp'!$AA48&gt;0,'[10]Table 10 CWTs exp'!M48/'[10]Table 10 CWTs exp'!$AA48," ")</f>
        <v xml:space="preserve"> </v>
      </c>
      <c r="N48" s="144">
        <f>IF('[10]Table 10 CWTs exp'!N48/'[10]Table 10 CWTs exp'!$AA48&gt;0,'[10]Table 10 CWTs exp'!N48/'[10]Table 10 CWTs exp'!$AA48," ")</f>
        <v>0.19975639464068209</v>
      </c>
      <c r="O48" s="144">
        <f>IF('[10]Table 10 CWTs exp'!O48/'[10]Table 10 CWTs exp'!$AA48&gt;0,'[10]Table 10 CWTs exp'!O48/'[10]Table 10 CWTs exp'!$AA48," ")</f>
        <v>1.7965895249695493E-2</v>
      </c>
      <c r="P48" s="144" t="str">
        <f>IF('[10]Table 10 CWTs exp'!P48/'[10]Table 10 CWTs exp'!$AA48&gt;0,'[10]Table 10 CWTs exp'!P48/'[10]Table 10 CWTs exp'!$AA48," ")</f>
        <v xml:space="preserve"> </v>
      </c>
      <c r="Q48" s="146" t="str">
        <f>IF('[10]Table 10 CWTs exp'!Q48/'[10]Table 10 CWTs exp'!$AA48&gt;0,'[10]Table 10 CWTs exp'!Q48/'[10]Table 10 CWTs exp'!$AA48," ")</f>
        <v xml:space="preserve"> </v>
      </c>
      <c r="R48" s="144">
        <f>IF('[10]Table 10 CWTs exp'!R48/'[10]Table 10 CWTs exp'!$AA48&gt;0,'[10]Table 10 CWTs exp'!R48/'[10]Table 10 CWTs exp'!$AA48," ")</f>
        <v>1.4007308160779537E-2</v>
      </c>
      <c r="S48" s="146">
        <f>IF('[10]Table 10 CWTs exp'!S48/'[10]Table 10 CWTs exp'!$AA48&gt;0,'[10]Table 10 CWTs exp'!S48/'[10]Table 10 CWTs exp'!$AA48," ")</f>
        <v>0.11205846528623629</v>
      </c>
      <c r="T48" s="144">
        <f>IF('[10]Table 10 CWTs exp'!T48/'[10]Table 10 CWTs exp'!$AA48&gt;0,'[10]Table 10 CWTs exp'!T48/'[10]Table 10 CWTs exp'!$AA48," ")</f>
        <v>1.0860738936256598E-2</v>
      </c>
      <c r="U48" s="144">
        <f>IF('[10]Table 10 CWTs exp'!U48/'[10]Table 10 CWTs exp'!$AA48&gt;0,'[10]Table 10 CWTs exp'!U48/'[10]Table 10 CWTs exp'!$AA48," ")</f>
        <v>8.4043848964677217E-2</v>
      </c>
      <c r="V48" s="144">
        <f>IF('[10]Table 10 CWTs exp'!V48/'[10]Table 10 CWTs exp'!$AA48&gt;0,'[10]Table 10 CWTs exp'!V48/'[10]Table 10 CWTs exp'!$AA48," ")</f>
        <v>1.4007308160779537E-2</v>
      </c>
      <c r="W48" s="146">
        <f>IF('[10]Table 10 CWTs exp'!W48/'[10]Table 10 CWTs exp'!$AA48&gt;0,'[10]Table 10 CWTs exp'!W48/'[10]Table 10 CWTs exp'!$AA48," ")</f>
        <v>1.045473000406009E-2</v>
      </c>
      <c r="X48" s="144">
        <f>IF('[10]Table 10 CWTs exp'!X48/'[10]Table 10 CWTs exp'!$AA48&gt;0,'[10]Table 10 CWTs exp'!X48/'[10]Table 10 CWTs exp'!$AA48," ")</f>
        <v>3.0146163215590743E-2</v>
      </c>
      <c r="Y48" s="147">
        <f t="shared" ref="Y48:Y53" si="10">SUM(G48:X48)</f>
        <v>0.65661794559480302</v>
      </c>
      <c r="Z48" s="148">
        <f t="shared" ref="Z48:Z53" si="11">1-Y48</f>
        <v>0.34338205440519698</v>
      </c>
      <c r="AA48" s="38">
        <f>'[10]Table 10 CWTs exp'!AA48</f>
        <v>9852</v>
      </c>
      <c r="AC48" s="453">
        <f>'[10]Table 10 CWTs exp'!AD48</f>
        <v>0.65700000000000003</v>
      </c>
      <c r="AD48" s="453">
        <f t="shared" si="2"/>
        <v>-3.8205440519700762E-4</v>
      </c>
      <c r="AE48" s="593" t="str">
        <f t="shared" si="9"/>
        <v>LSAC463</v>
      </c>
      <c r="AF48" s="442"/>
      <c r="AH48" s="149"/>
      <c r="AI48" s="150"/>
    </row>
    <row r="49" spans="1:35" ht="14.25" customHeight="1" x14ac:dyDescent="0.25">
      <c r="A49" t="str">
        <f>'[10]Table 10 CWTs exp'!A49</f>
        <v>FEA463</v>
      </c>
      <c r="B49" s="4" t="str">
        <f>'[10]Table 10 CWTs exp'!B49</f>
        <v>FEA</v>
      </c>
      <c r="C49" s="4">
        <f>'[10]Table 10 CWTs exp'!C49</f>
        <v>46</v>
      </c>
      <c r="D49" s="4">
        <f>'[10]Table 10 CWTs exp'!D49</f>
        <v>3</v>
      </c>
      <c r="E49" t="str">
        <f>'[10]Table 10 CWTs exp'!E49</f>
        <v xml:space="preserve">Feather River </v>
      </c>
      <c r="F49" s="37" t="str">
        <f>'[10]Table 10 CWTs exp'!F49</f>
        <v>Fall</v>
      </c>
      <c r="G49" s="144" t="str">
        <f>IF('[10]Table 10 CWTs exp'!G49/'[10]Table 10 CWTs exp'!$AA49&gt;0,'[10]Table 10 CWTs exp'!G49/'[10]Table 10 CWTs exp'!$AA49," ")</f>
        <v xml:space="preserve"> </v>
      </c>
      <c r="H49" s="145" t="str">
        <f>IF('[10]Table 10 CWTs exp'!H49/'[10]Table 10 CWTs exp'!$AA49&gt;0,'[10]Table 10 CWTs exp'!H49/'[10]Table 10 CWTs exp'!$AA49," ")</f>
        <v xml:space="preserve"> </v>
      </c>
      <c r="I49" s="144" t="str">
        <f>IF('[10]Table 10 CWTs exp'!I49/'[10]Table 10 CWTs exp'!$AA49&gt;0,'[10]Table 10 CWTs exp'!I49/'[10]Table 10 CWTs exp'!$AA49," ")</f>
        <v xml:space="preserve"> </v>
      </c>
      <c r="J49" s="146">
        <f>IF('[10]Table 10 CWTs exp'!J49/'[10]Table 10 CWTs exp'!$AA49&gt;0,'[10]Table 10 CWTs exp'!J49/'[10]Table 10 CWTs exp'!$AA49," ")</f>
        <v>7.7300307538857947E-3</v>
      </c>
      <c r="K49" s="144">
        <f>IF('[10]Table 10 CWTs exp'!K49/'[10]Table 10 CWTs exp'!$AA49&gt;0,'[10]Table 10 CWTs exp'!K49/'[10]Table 10 CWTs exp'!$AA49," ")</f>
        <v>5.8183027179785551E-3</v>
      </c>
      <c r="L49" s="144" t="str">
        <f>IF('[10]Table 10 CWTs exp'!L49/'[10]Table 10 CWTs exp'!$AA49&gt;0,'[10]Table 10 CWTs exp'!L49/'[10]Table 10 CWTs exp'!$AA49," ")</f>
        <v xml:space="preserve"> </v>
      </c>
      <c r="M49" s="144">
        <f>IF('[10]Table 10 CWTs exp'!M49/'[10]Table 10 CWTs exp'!$AA49&gt;0,'[10]Table 10 CWTs exp'!M49/'[10]Table 10 CWTs exp'!$AA49," ")</f>
        <v>7.7300307538857947E-3</v>
      </c>
      <c r="N49" s="144">
        <f>IF('[10]Table 10 CWTs exp'!N49/'[10]Table 10 CWTs exp'!$AA49&gt;0,'[10]Table 10 CWTs exp'!N49/'[10]Table 10 CWTs exp'!$AA49," ")</f>
        <v>0.81032333139389912</v>
      </c>
      <c r="O49" s="144">
        <f>IF('[10]Table 10 CWTs exp'!O49/'[10]Table 10 CWTs exp'!$AA49&gt;0,'[10]Table 10 CWTs exp'!O49/'[10]Table 10 CWTs exp'!$AA49," ")</f>
        <v>4.8458149779735685E-2</v>
      </c>
      <c r="P49" s="144">
        <f>IF('[10]Table 10 CWTs exp'!P49/'[10]Table 10 CWTs exp'!$AA49&gt;0,'[10]Table 10 CWTs exp'!P49/'[10]Table 10 CWTs exp'!$AA49," ")</f>
        <v>9.9742332308203801E-4</v>
      </c>
      <c r="Q49" s="146" t="str">
        <f>IF('[10]Table 10 CWTs exp'!Q49/'[10]Table 10 CWTs exp'!$AA49&gt;0,'[10]Table 10 CWTs exp'!Q49/'[10]Table 10 CWTs exp'!$AA49," ")</f>
        <v xml:space="preserve"> </v>
      </c>
      <c r="R49" s="144" t="str">
        <f>IF('[10]Table 10 CWTs exp'!R49/'[10]Table 10 CWTs exp'!$AA49&gt;0,'[10]Table 10 CWTs exp'!R49/'[10]Table 10 CWTs exp'!$AA49," ")</f>
        <v xml:space="preserve"> </v>
      </c>
      <c r="S49" s="146" t="str">
        <f>IF('[10]Table 10 CWTs exp'!S49/'[10]Table 10 CWTs exp'!$AA49&gt;0,'[10]Table 10 CWTs exp'!S49/'[10]Table 10 CWTs exp'!$AA49," ")</f>
        <v xml:space="preserve"> </v>
      </c>
      <c r="T49" s="144" t="str">
        <f>IF('[10]Table 10 CWTs exp'!T49/'[10]Table 10 CWTs exp'!$AA49&gt;0,'[10]Table 10 CWTs exp'!T49/'[10]Table 10 CWTs exp'!$AA49," ")</f>
        <v xml:space="preserve"> </v>
      </c>
      <c r="U49" s="144" t="str">
        <f>IF('[10]Table 10 CWTs exp'!U49/'[10]Table 10 CWTs exp'!$AA49&gt;0,'[10]Table 10 CWTs exp'!U49/'[10]Table 10 CWTs exp'!$AA49," ")</f>
        <v xml:space="preserve"> </v>
      </c>
      <c r="V49" s="144">
        <f>IF('[10]Table 10 CWTs exp'!V49/'[10]Table 10 CWTs exp'!$AA49&gt;0,'[10]Table 10 CWTs exp'!V49/'[10]Table 10 CWTs exp'!$AA49," ")</f>
        <v>9.9742332308203801E-4</v>
      </c>
      <c r="W49" s="146" t="str">
        <f>IF('[10]Table 10 CWTs exp'!W49/'[10]Table 10 CWTs exp'!$AA49&gt;0,'[10]Table 10 CWTs exp'!W49/'[10]Table 10 CWTs exp'!$AA49," ")</f>
        <v xml:space="preserve"> </v>
      </c>
      <c r="X49" s="144" t="str">
        <f>IF('[10]Table 10 CWTs exp'!X49/'[10]Table 10 CWTs exp'!$AA49&gt;0,'[10]Table 10 CWTs exp'!X49/'[10]Table 10 CWTs exp'!$AA49," ")</f>
        <v xml:space="preserve"> </v>
      </c>
      <c r="Y49" s="147">
        <f t="shared" si="10"/>
        <v>0.88205469204554909</v>
      </c>
      <c r="Z49" s="148"/>
      <c r="AA49" s="38">
        <f>'[10]Table 10 CWTs exp'!AA49</f>
        <v>12031</v>
      </c>
      <c r="AC49" s="453">
        <f>'[10]Table 10 CWTs exp'!AD49</f>
        <v>0.88200000000000001</v>
      </c>
      <c r="AD49" s="453">
        <f t="shared" si="2"/>
        <v>5.4692045549087354E-5</v>
      </c>
      <c r="AE49" s="593" t="str">
        <f t="shared" si="9"/>
        <v>FEA463</v>
      </c>
      <c r="AF49" s="442"/>
      <c r="AH49" s="149"/>
      <c r="AI49" s="150"/>
    </row>
    <row r="50" spans="1:35" ht="14.25" customHeight="1" x14ac:dyDescent="0.25">
      <c r="A50" t="str">
        <f>'[10]Table 10 CWTs exp'!A50</f>
        <v>AMN463</v>
      </c>
      <c r="B50" s="4" t="str">
        <f>'[10]Table 10 CWTs exp'!B50</f>
        <v>AMN</v>
      </c>
      <c r="C50" s="4">
        <f>'[10]Table 10 CWTs exp'!C50</f>
        <v>46</v>
      </c>
      <c r="D50" s="4">
        <f>'[10]Table 10 CWTs exp'!D50</f>
        <v>3</v>
      </c>
      <c r="E50" t="str">
        <f>'[10]Table 10 CWTs exp'!E50</f>
        <v xml:space="preserve">American River </v>
      </c>
      <c r="F50" s="37" t="str">
        <f>'[10]Table 10 CWTs exp'!F50</f>
        <v>Fall</v>
      </c>
      <c r="G50" s="144" t="str">
        <f>IF('[10]Table 10 CWTs exp'!G50/'[10]Table 10 CWTs exp'!$AA50&gt;0,'[10]Table 10 CWTs exp'!G50/'[10]Table 10 CWTs exp'!$AA50," ")</f>
        <v xml:space="preserve"> </v>
      </c>
      <c r="H50" s="145" t="str">
        <f>IF('[10]Table 10 CWTs exp'!H50/'[10]Table 10 CWTs exp'!$AA50&gt;0,'[10]Table 10 CWTs exp'!H50/'[10]Table 10 CWTs exp'!$AA50," ")</f>
        <v xml:space="preserve"> </v>
      </c>
      <c r="I50" s="144" t="str">
        <f>IF('[10]Table 10 CWTs exp'!I50/'[10]Table 10 CWTs exp'!$AA50&gt;0,'[10]Table 10 CWTs exp'!I50/'[10]Table 10 CWTs exp'!$AA50," ")</f>
        <v xml:space="preserve"> </v>
      </c>
      <c r="J50" s="146">
        <f>IF('[10]Table 10 CWTs exp'!J50/'[10]Table 10 CWTs exp'!$AA50&gt;0,'[10]Table 10 CWTs exp'!J50/'[10]Table 10 CWTs exp'!$AA50," ")</f>
        <v>0.33675366710281662</v>
      </c>
      <c r="K50" s="144" t="str">
        <f>IF('[10]Table 10 CWTs exp'!K50/'[10]Table 10 CWTs exp'!$AA50&gt;0,'[10]Table 10 CWTs exp'!K50/'[10]Table 10 CWTs exp'!$AA50," ")</f>
        <v xml:space="preserve"> </v>
      </c>
      <c r="L50" s="144" t="str">
        <f>IF('[10]Table 10 CWTs exp'!L50/'[10]Table 10 CWTs exp'!$AA50&gt;0,'[10]Table 10 CWTs exp'!L50/'[10]Table 10 CWTs exp'!$AA50," ")</f>
        <v xml:space="preserve"> </v>
      </c>
      <c r="M50" s="144" t="str">
        <f>IF('[10]Table 10 CWTs exp'!M50/'[10]Table 10 CWTs exp'!$AA50&gt;0,'[10]Table 10 CWTs exp'!M50/'[10]Table 10 CWTs exp'!$AA50," ")</f>
        <v xml:space="preserve"> </v>
      </c>
      <c r="N50" s="144">
        <f>IF('[10]Table 10 CWTs exp'!N50/'[10]Table 10 CWTs exp'!$AA50&gt;0,'[10]Table 10 CWTs exp'!N50/'[10]Table 10 CWTs exp'!$AA50," ")</f>
        <v>0.11879347152399973</v>
      </c>
      <c r="O50" s="144">
        <f>IF('[10]Table 10 CWTs exp'!O50/'[10]Table 10 CWTs exp'!$AA50&gt;0,'[10]Table 10 CWTs exp'!O50/'[10]Table 10 CWTs exp'!$AA50," ")</f>
        <v>5.0960677639281041E-3</v>
      </c>
      <c r="P50" s="144" t="str">
        <f>IF('[10]Table 10 CWTs exp'!P50/'[10]Table 10 CWTs exp'!$AA50&gt;0,'[10]Table 10 CWTs exp'!P50/'[10]Table 10 CWTs exp'!$AA50," ")</f>
        <v xml:space="preserve"> </v>
      </c>
      <c r="Q50" s="146" t="str">
        <f>IF('[10]Table 10 CWTs exp'!Q50/'[10]Table 10 CWTs exp'!$AA50&gt;0,'[10]Table 10 CWTs exp'!Q50/'[10]Table 10 CWTs exp'!$AA50," ")</f>
        <v xml:space="preserve"> </v>
      </c>
      <c r="R50" s="144">
        <f>IF('[10]Table 10 CWTs exp'!R50/'[10]Table 10 CWTs exp'!$AA50&gt;0,'[10]Table 10 CWTs exp'!R50/'[10]Table 10 CWTs exp'!$AA50," ")</f>
        <v>2.6306728186763998E-2</v>
      </c>
      <c r="S50" s="146">
        <f>IF('[10]Table 10 CWTs exp'!S50/'[10]Table 10 CWTs exp'!$AA50&gt;0,'[10]Table 10 CWTs exp'!S50/'[10]Table 10 CWTs exp'!$AA50," ")</f>
        <v>0.2042559052406859</v>
      </c>
      <c r="T50" s="144">
        <f>IF('[10]Table 10 CWTs exp'!T50/'[10]Table 10 CWTs exp'!$AA50&gt;0,'[10]Table 10 CWTs exp'!T50/'[10]Table 10 CWTs exp'!$AA50," ")</f>
        <v>1.6527787342469527E-3</v>
      </c>
      <c r="U50" s="144">
        <f>IF('[10]Table 10 CWTs exp'!U50/'[10]Table 10 CWTs exp'!$AA50&gt;0,'[10]Table 10 CWTs exp'!U50/'[10]Table 10 CWTs exp'!$AA50," ")</f>
        <v>0.1055712416500241</v>
      </c>
      <c r="V50" s="144">
        <f>IF('[10]Table 10 CWTs exp'!V50/'[10]Table 10 CWTs exp'!$AA50&gt;0,'[10]Table 10 CWTs exp'!V50/'[10]Table 10 CWTs exp'!$AA50," ")</f>
        <v>4.1181736794986573E-2</v>
      </c>
      <c r="W50" s="146">
        <f>IF('[10]Table 10 CWTs exp'!W50/'[10]Table 10 CWTs exp'!$AA50&gt;0,'[10]Table 10 CWTs exp'!W50/'[10]Table 10 CWTs exp'!$AA50," ")</f>
        <v>6.6111149369878107E-3</v>
      </c>
      <c r="X50" s="144">
        <f>IF('[10]Table 10 CWTs exp'!X50/'[10]Table 10 CWTs exp'!$AA50&gt;0,'[10]Table 10 CWTs exp'!X50/'[10]Table 10 CWTs exp'!$AA50," ")</f>
        <v>9.5723435025136007E-3</v>
      </c>
      <c r="Y50" s="147">
        <f t="shared" si="10"/>
        <v>0.85579505543695344</v>
      </c>
      <c r="Z50" s="148">
        <f t="shared" si="11"/>
        <v>0.14420494456304656</v>
      </c>
      <c r="AA50" s="38">
        <f>'[10]Table 10 CWTs exp'!AA50</f>
        <v>14521</v>
      </c>
      <c r="AC50" s="453">
        <f>'[10]Table 10 CWTs exp'!AD50</f>
        <v>0.85599999999999998</v>
      </c>
      <c r="AD50" s="453">
        <f t="shared" si="2"/>
        <v>-2.0494456304653852E-4</v>
      </c>
      <c r="AE50" s="593" t="str">
        <f t="shared" si="9"/>
        <v>AMN463</v>
      </c>
      <c r="AF50" s="442"/>
      <c r="AH50" s="149"/>
      <c r="AI50" s="150"/>
    </row>
    <row r="51" spans="1:35" ht="14.25" customHeight="1" x14ac:dyDescent="0.25">
      <c r="A51" t="str">
        <f>'[10]Table 10 CWTs exp'!A51</f>
        <v>MOKE463</v>
      </c>
      <c r="B51" s="4" t="str">
        <f>'[10]Table 10 CWTs exp'!B51</f>
        <v>MOKE</v>
      </c>
      <c r="C51" s="4">
        <f>'[10]Table 10 CWTs exp'!C51</f>
        <v>46</v>
      </c>
      <c r="D51" s="4">
        <f>'[10]Table 10 CWTs exp'!D51</f>
        <v>3</v>
      </c>
      <c r="E51" t="str">
        <f>'[10]Table 10 CWTs exp'!E51</f>
        <v>Mokelumne River</v>
      </c>
      <c r="F51" s="37" t="str">
        <f>'[10]Table 10 CWTs exp'!F51</f>
        <v>Fall</v>
      </c>
      <c r="G51" s="144" t="str">
        <f>IF('[10]Table 10 CWTs exp'!G51/'[10]Table 10 CWTs exp'!$AA51&gt;0,'[10]Table 10 CWTs exp'!G51/'[10]Table 10 CWTs exp'!$AA51," ")</f>
        <v xml:space="preserve"> </v>
      </c>
      <c r="H51" s="145">
        <f>IF('[10]Table 10 CWTs exp'!H51/'[10]Table 10 CWTs exp'!$AA51&gt;0,'[10]Table 10 CWTs exp'!H51/'[10]Table 10 CWTs exp'!$AA51," ")</f>
        <v>9.2307692307692316E-3</v>
      </c>
      <c r="I51" s="144" t="str">
        <f>IF('[10]Table 10 CWTs exp'!I51/'[10]Table 10 CWTs exp'!$AA51&gt;0,'[10]Table 10 CWTs exp'!I51/'[10]Table 10 CWTs exp'!$AA51," ")</f>
        <v xml:space="preserve"> </v>
      </c>
      <c r="J51" s="146">
        <f>IF('[10]Table 10 CWTs exp'!J51/'[10]Table 10 CWTs exp'!$AA51&gt;0,'[10]Table 10 CWTs exp'!J51/'[10]Table 10 CWTs exp'!$AA51," ")</f>
        <v>3.569230769230769E-2</v>
      </c>
      <c r="K51" s="144" t="str">
        <f>IF('[10]Table 10 CWTs exp'!K51/'[10]Table 10 CWTs exp'!$AA51&gt;0,'[10]Table 10 CWTs exp'!K51/'[10]Table 10 CWTs exp'!$AA51," ")</f>
        <v xml:space="preserve"> </v>
      </c>
      <c r="L51" s="144" t="str">
        <f>IF('[10]Table 10 CWTs exp'!L51/'[10]Table 10 CWTs exp'!$AA51&gt;0,'[10]Table 10 CWTs exp'!L51/'[10]Table 10 CWTs exp'!$AA51," ")</f>
        <v xml:space="preserve"> </v>
      </c>
      <c r="M51" s="144" t="str">
        <f>IF('[10]Table 10 CWTs exp'!M51/'[10]Table 10 CWTs exp'!$AA51&gt;0,'[10]Table 10 CWTs exp'!M51/'[10]Table 10 CWTs exp'!$AA51," ")</f>
        <v xml:space="preserve"> </v>
      </c>
      <c r="N51" s="144">
        <f>IF('[10]Table 10 CWTs exp'!N51/'[10]Table 10 CWTs exp'!$AA51&gt;0,'[10]Table 10 CWTs exp'!N51/'[10]Table 10 CWTs exp'!$AA51," ")</f>
        <v>9.2307692307692316E-3</v>
      </c>
      <c r="O51" s="144" t="str">
        <f>IF('[10]Table 10 CWTs exp'!O51/'[10]Table 10 CWTs exp'!$AA51&gt;0,'[10]Table 10 CWTs exp'!O51/'[10]Table 10 CWTs exp'!$AA51," ")</f>
        <v xml:space="preserve"> </v>
      </c>
      <c r="P51" s="144" t="str">
        <f>IF('[10]Table 10 CWTs exp'!P51/'[10]Table 10 CWTs exp'!$AA51&gt;0,'[10]Table 10 CWTs exp'!P51/'[10]Table 10 CWTs exp'!$AA51," ")</f>
        <v xml:space="preserve"> </v>
      </c>
      <c r="Q51" s="146" t="str">
        <f>IF('[10]Table 10 CWTs exp'!Q51/'[10]Table 10 CWTs exp'!$AA51&gt;0,'[10]Table 10 CWTs exp'!Q51/'[10]Table 10 CWTs exp'!$AA51," ")</f>
        <v xml:space="preserve"> </v>
      </c>
      <c r="R51" s="144" t="str">
        <f>IF('[10]Table 10 CWTs exp'!R51/'[10]Table 10 CWTs exp'!$AA51&gt;0,'[10]Table 10 CWTs exp'!R51/'[10]Table 10 CWTs exp'!$AA51," ")</f>
        <v xml:space="preserve"> </v>
      </c>
      <c r="S51" s="146">
        <f>IF('[10]Table 10 CWTs exp'!S51/'[10]Table 10 CWTs exp'!$AA51&gt;0,'[10]Table 10 CWTs exp'!S51/'[10]Table 10 CWTs exp'!$AA51," ")</f>
        <v>0.21476923076923077</v>
      </c>
      <c r="T51" s="144" t="str">
        <f>IF('[10]Table 10 CWTs exp'!T51/'[10]Table 10 CWTs exp'!$AA51&gt;0,'[10]Table 10 CWTs exp'!T51/'[10]Table 10 CWTs exp'!$AA51," ")</f>
        <v xml:space="preserve"> </v>
      </c>
      <c r="U51" s="144">
        <f>IF('[10]Table 10 CWTs exp'!U51/'[10]Table 10 CWTs exp'!$AA51&gt;0,'[10]Table 10 CWTs exp'!U51/'[10]Table 10 CWTs exp'!$AA51," ")</f>
        <v>0.50030769230769234</v>
      </c>
      <c r="V51" s="144">
        <f>IF('[10]Table 10 CWTs exp'!V51/'[10]Table 10 CWTs exp'!$AA51&gt;0,'[10]Table 10 CWTs exp'!V51/'[10]Table 10 CWTs exp'!$AA51," ")</f>
        <v>9.2307692307692316E-3</v>
      </c>
      <c r="W51" s="146">
        <f>IF('[10]Table 10 CWTs exp'!W51/'[10]Table 10 CWTs exp'!$AA51&gt;0,'[10]Table 10 CWTs exp'!W51/'[10]Table 10 CWTs exp'!$AA51," ")</f>
        <v>2.7076923076923078E-2</v>
      </c>
      <c r="X51" s="144">
        <f>IF('[10]Table 10 CWTs exp'!X51/'[10]Table 10 CWTs exp'!$AA51&gt;0,'[10]Table 10 CWTs exp'!X51/'[10]Table 10 CWTs exp'!$AA51," ")</f>
        <v>1.723076923076923E-2</v>
      </c>
      <c r="Y51" s="147">
        <f t="shared" si="10"/>
        <v>0.82276923076923092</v>
      </c>
      <c r="Z51" s="148">
        <f t="shared" si="11"/>
        <v>0.17723076923076908</v>
      </c>
      <c r="AA51" s="38">
        <f>'[10]Table 10 CWTs exp'!AA51</f>
        <v>1625</v>
      </c>
      <c r="AC51" s="453">
        <f>'[10]Table 10 CWTs exp'!AD51</f>
        <v>0.82299999999999995</v>
      </c>
      <c r="AD51" s="453">
        <f t="shared" si="2"/>
        <v>-2.3076923076903455E-4</v>
      </c>
      <c r="AE51" s="593" t="str">
        <f t="shared" si="9"/>
        <v>MOKE463</v>
      </c>
      <c r="AF51" s="442"/>
      <c r="AH51" s="149"/>
      <c r="AI51" s="150"/>
    </row>
    <row r="52" spans="1:35" ht="14.25" customHeight="1" x14ac:dyDescent="0.25">
      <c r="A52" t="str">
        <f>'[10]Table 10 CWTs exp'!A52</f>
        <v>USAC467</v>
      </c>
      <c r="B52" s="4" t="str">
        <f>'[10]Table 10 CWTs exp'!B52</f>
        <v>USAC</v>
      </c>
      <c r="C52" s="4">
        <f>'[10]Table 10 CWTs exp'!C52</f>
        <v>46</v>
      </c>
      <c r="D52" s="4">
        <f>'[10]Table 10 CWTs exp'!D52</f>
        <v>7</v>
      </c>
      <c r="E52" t="str">
        <f>'[10]Table 10 CWTs exp'!E52</f>
        <v xml:space="preserve">Upper Sacramento River </v>
      </c>
      <c r="F52" s="37" t="s">
        <v>133</v>
      </c>
      <c r="G52" s="144" t="str">
        <f>IF('[10]Table 10 CWTs exp'!G52/'[10]Table 10 CWTs exp'!$AA52&gt;0,'[10]Table 10 CWTs exp'!G52/'[10]Table 10 CWTs exp'!$AA52," ")</f>
        <v xml:space="preserve"> </v>
      </c>
      <c r="H52" s="145">
        <f>IF('[10]Table 10 CWTs exp'!H52/'[10]Table 10 CWTs exp'!$AA52&gt;0,'[10]Table 10 CWTs exp'!H52/'[10]Table 10 CWTs exp'!$AA52," ")</f>
        <v>0.66854724964739065</v>
      </c>
      <c r="I52" s="144" t="str">
        <f>IF('[10]Table 10 CWTs exp'!I52/'[10]Table 10 CWTs exp'!$AA52&gt;0,'[10]Table 10 CWTs exp'!I52/'[10]Table 10 CWTs exp'!$AA52," ")</f>
        <v xml:space="preserve"> </v>
      </c>
      <c r="J52" s="146" t="str">
        <f>IF('[10]Table 10 CWTs exp'!J52/'[10]Table 10 CWTs exp'!$AA52&gt;0,'[10]Table 10 CWTs exp'!J52/'[10]Table 10 CWTs exp'!$AA52," ")</f>
        <v xml:space="preserve"> </v>
      </c>
      <c r="K52" s="144" t="str">
        <f>IF('[10]Table 10 CWTs exp'!K52/'[10]Table 10 CWTs exp'!$AA52&gt;0,'[10]Table 10 CWTs exp'!K52/'[10]Table 10 CWTs exp'!$AA52," ")</f>
        <v xml:space="preserve"> </v>
      </c>
      <c r="L52" s="144" t="str">
        <f>IF('[10]Table 10 CWTs exp'!L52/'[10]Table 10 CWTs exp'!$AA52&gt;0,'[10]Table 10 CWTs exp'!L52/'[10]Table 10 CWTs exp'!$AA52," ")</f>
        <v xml:space="preserve"> </v>
      </c>
      <c r="M52" s="144" t="str">
        <f>IF('[10]Table 10 CWTs exp'!M52/'[10]Table 10 CWTs exp'!$AA52&gt;0,'[10]Table 10 CWTs exp'!M52/'[10]Table 10 CWTs exp'!$AA52," ")</f>
        <v xml:space="preserve"> </v>
      </c>
      <c r="N52" s="144">
        <f>IF('[10]Table 10 CWTs exp'!N52/'[10]Table 10 CWTs exp'!$AA52&gt;0,'[10]Table 10 CWTs exp'!N52/'[10]Table 10 CWTs exp'!$AA52," ")</f>
        <v>4.7954866008462625E-2</v>
      </c>
      <c r="O52" s="144" t="str">
        <f>IF('[10]Table 10 CWTs exp'!O52/'[10]Table 10 CWTs exp'!$AA52&gt;0,'[10]Table 10 CWTs exp'!O52/'[10]Table 10 CWTs exp'!$AA52," ")</f>
        <v xml:space="preserve"> </v>
      </c>
      <c r="P52" s="144" t="str">
        <f>IF('[10]Table 10 CWTs exp'!P52/'[10]Table 10 CWTs exp'!$AA52&gt;0,'[10]Table 10 CWTs exp'!P52/'[10]Table 10 CWTs exp'!$AA52," ")</f>
        <v xml:space="preserve"> </v>
      </c>
      <c r="Q52" s="146" t="str">
        <f>IF('[10]Table 10 CWTs exp'!Q52/'[10]Table 10 CWTs exp'!$AA52&gt;0,'[10]Table 10 CWTs exp'!Q52/'[10]Table 10 CWTs exp'!$AA52," ")</f>
        <v xml:space="preserve"> </v>
      </c>
      <c r="R52" s="144" t="str">
        <f>IF('[10]Table 10 CWTs exp'!R52/'[10]Table 10 CWTs exp'!$AA52&gt;0,'[10]Table 10 CWTs exp'!R52/'[10]Table 10 CWTs exp'!$AA52," ")</f>
        <v xml:space="preserve"> </v>
      </c>
      <c r="S52" s="146" t="str">
        <f>IF('[10]Table 10 CWTs exp'!S52/'[10]Table 10 CWTs exp'!$AA52&gt;0,'[10]Table 10 CWTs exp'!S52/'[10]Table 10 CWTs exp'!$AA52," ")</f>
        <v xml:space="preserve"> </v>
      </c>
      <c r="T52" s="144" t="str">
        <f>IF('[10]Table 10 CWTs exp'!T52/'[10]Table 10 CWTs exp'!$AA52&gt;0,'[10]Table 10 CWTs exp'!T52/'[10]Table 10 CWTs exp'!$AA52," ")</f>
        <v xml:space="preserve"> </v>
      </c>
      <c r="U52" s="144" t="str">
        <f>IF('[10]Table 10 CWTs exp'!U52/'[10]Table 10 CWTs exp'!$AA52&gt;0,'[10]Table 10 CWTs exp'!U52/'[10]Table 10 CWTs exp'!$AA52," ")</f>
        <v xml:space="preserve"> </v>
      </c>
      <c r="V52" s="144" t="str">
        <f>IF('[10]Table 10 CWTs exp'!V52/'[10]Table 10 CWTs exp'!$AA52&gt;0,'[10]Table 10 CWTs exp'!V52/'[10]Table 10 CWTs exp'!$AA52," ")</f>
        <v xml:space="preserve"> </v>
      </c>
      <c r="W52" s="146" t="str">
        <f>IF('[10]Table 10 CWTs exp'!W52/'[10]Table 10 CWTs exp'!$AA52&gt;0,'[10]Table 10 CWTs exp'!W52/'[10]Table 10 CWTs exp'!$AA52," ")</f>
        <v xml:space="preserve"> </v>
      </c>
      <c r="X52" s="144" t="str">
        <f>IF('[10]Table 10 CWTs exp'!X52/'[10]Table 10 CWTs exp'!$AA52&gt;0,'[10]Table 10 CWTs exp'!X52/'[10]Table 10 CWTs exp'!$AA52," ")</f>
        <v xml:space="preserve"> </v>
      </c>
      <c r="Y52" s="147">
        <f t="shared" si="10"/>
        <v>0.71650211565585331</v>
      </c>
      <c r="Z52" s="148">
        <f t="shared" si="11"/>
        <v>0.28349788434414669</v>
      </c>
      <c r="AA52" s="38">
        <f>'[10]Table 10 CWTs exp'!AA52</f>
        <v>709</v>
      </c>
      <c r="AC52" s="453">
        <f>'[10]Table 10 CWTs exp'!AD52</f>
        <v>0.71699999999999997</v>
      </c>
      <c r="AD52" s="453">
        <f t="shared" si="2"/>
        <v>-4.9788434414665961E-4</v>
      </c>
      <c r="AE52" s="593" t="str">
        <f t="shared" si="9"/>
        <v>USAC467</v>
      </c>
      <c r="AF52" s="442"/>
      <c r="AH52" s="149"/>
      <c r="AI52" s="150"/>
    </row>
    <row r="53" spans="1:35" ht="15.65" customHeight="1" x14ac:dyDescent="0.3">
      <c r="E53" s="716" t="s">
        <v>120</v>
      </c>
      <c r="F53" s="716"/>
      <c r="G53" s="144" t="str">
        <f>IF('[10]Table 10 CWTs exp'!G53/'[10]Table 10 CWTs exp'!$AA53&gt;0,'[10]Table 10 CWTs exp'!G53/'[10]Table 10 CWTs exp'!$AA53," ")</f>
        <v xml:space="preserve"> </v>
      </c>
      <c r="H53" s="169">
        <f>IF('[10]Table 10 CWTs exp'!H53/'[10]Table 10 CWTs exp'!$AA53&gt;0,'[10]Table 10 CWTs exp'!H53/'[10]Table 10 CWTs exp'!$AA53," ")</f>
        <v>2.1288879266796564E-2</v>
      </c>
      <c r="I53" s="168">
        <f>IF('[10]Table 10 CWTs exp'!I53/'[10]Table 10 CWTs exp'!$AA53&gt;0,'[10]Table 10 CWTs exp'!I53/'[10]Table 10 CWTs exp'!$AA53," ")</f>
        <v>5.6120853479589138E-2</v>
      </c>
      <c r="J53" s="170">
        <f>IF('[10]Table 10 CWTs exp'!J53/'[10]Table 10 CWTs exp'!$AA53&gt;0,'[10]Table 10 CWTs exp'!J53/'[10]Table 10 CWTs exp'!$AA53," ")</f>
        <v>0.14462004762935701</v>
      </c>
      <c r="K53" s="168">
        <f>IF('[10]Table 10 CWTs exp'!K53/'[10]Table 10 CWTs exp'!$AA53&gt;0,'[10]Table 10 CWTs exp'!K53/'[10]Table 10 CWTs exp'!$AA53," ")</f>
        <v>1.6838661566957736E-3</v>
      </c>
      <c r="L53" s="168" t="str">
        <f>IF('[10]Table 10 CWTs exp'!L53/'[10]Table 10 CWTs exp'!$AA53&gt;0,'[10]Table 10 CWTs exp'!L53/'[10]Table 10 CWTs exp'!$AA53," ")</f>
        <v xml:space="preserve"> </v>
      </c>
      <c r="M53" s="168">
        <f>IF('[10]Table 10 CWTs exp'!M53/'[10]Table 10 CWTs exp'!$AA53&gt;0,'[10]Table 10 CWTs exp'!M53/'[10]Table 10 CWTs exp'!$AA53," ")</f>
        <v>2.2371364653243847E-3</v>
      </c>
      <c r="N53" s="168">
        <f>IF('[10]Table 10 CWTs exp'!N53/'[10]Table 10 CWTs exp'!$AA53&gt;0,'[10]Table 10 CWTs exp'!N53/'[10]Table 10 CWTs exp'!$AA53," ")</f>
        <v>0.32556349378172283</v>
      </c>
      <c r="O53" s="168">
        <f>IF('[10]Table 10 CWTs exp'!O53/'[10]Table 10 CWTs exp'!$AA53&gt;0,'[10]Table 10 CWTs exp'!O53/'[10]Table 10 CWTs exp'!$AA53," ")</f>
        <v>2.0326670034398982E-2</v>
      </c>
      <c r="P53" s="168">
        <f>IF('[10]Table 10 CWTs exp'!P53/'[10]Table 10 CWTs exp'!$AA53&gt;0,'[10]Table 10 CWTs exp'!P53/'[10]Table 10 CWTs exp'!$AA53," ")</f>
        <v>2.8866276971927548E-4</v>
      </c>
      <c r="Q53" s="170" t="str">
        <f>IF('[10]Table 10 CWTs exp'!Q53/'[10]Table 10 CWTs exp'!$AA53&gt;0,'[10]Table 10 CWTs exp'!Q53/'[10]Table 10 CWTs exp'!$AA53," ")</f>
        <v xml:space="preserve"> </v>
      </c>
      <c r="R53" s="168">
        <f>IF('[10]Table 10 CWTs exp'!R53/'[10]Table 10 CWTs exp'!$AA53&gt;0,'[10]Table 10 CWTs exp'!R53/'[10]Table 10 CWTs exp'!$AA53," ")</f>
        <v>1.2508720021168603E-2</v>
      </c>
      <c r="S53" s="170">
        <f>IF('[10]Table 10 CWTs exp'!S53/'[10]Table 10 CWTs exp'!$AA53&gt;0,'[10]Table 10 CWTs exp'!S53/'[10]Table 10 CWTs exp'!$AA53," ")</f>
        <v>0.10630006494912318</v>
      </c>
      <c r="T53" s="168">
        <f>IF('[10]Table 10 CWTs exp'!T53/'[10]Table 10 CWTs exp'!$AA53&gt;0,'[10]Table 10 CWTs exp'!T53/'[10]Table 10 CWTs exp'!$AA53," ")</f>
        <v>3.1512352361020902E-3</v>
      </c>
      <c r="U53" s="168">
        <f>IF('[10]Table 10 CWTs exp'!U53/'[10]Table 10 CWTs exp'!$AA53&gt;0,'[10]Table 10 CWTs exp'!U53/'[10]Table 10 CWTs exp'!$AA53," ")</f>
        <v>7.6351302590748363E-2</v>
      </c>
      <c r="V53" s="168">
        <f>IF('[10]Table 10 CWTs exp'!V53/'[10]Table 10 CWTs exp'!$AA53&gt;0,'[10]Table 10 CWTs exp'!V53/'[10]Table 10 CWTs exp'!$AA53," ")</f>
        <v>1.8354141107983932E-2</v>
      </c>
      <c r="W53" s="170">
        <f>IF('[10]Table 10 CWTs exp'!W53/'[10]Table 10 CWTs exp'!$AA53&gt;0,'[10]Table 10 CWTs exp'!W53/'[10]Table 10 CWTs exp'!$AA53," ")</f>
        <v>5.8454210868153283E-3</v>
      </c>
      <c r="X53" s="168">
        <f>IF('[10]Table 10 CWTs exp'!X53/'[10]Table 10 CWTs exp'!$AA53&gt;0,'[10]Table 10 CWTs exp'!X53/'[10]Table 10 CWTs exp'!$AA53," ")</f>
        <v>1.1161627095811984E-2</v>
      </c>
      <c r="Y53" s="171">
        <f t="shared" si="10"/>
        <v>0.80580212167135756</v>
      </c>
      <c r="Z53" s="172">
        <f t="shared" si="11"/>
        <v>0.19419787832864244</v>
      </c>
      <c r="AA53" s="89">
        <f>'[10]Table 10 CWTs exp'!AA53</f>
        <v>41571</v>
      </c>
      <c r="AB53" s="159"/>
      <c r="AC53" s="453">
        <f>'[10]Table 10 CWTs exp'!AD53</f>
        <v>0.80580212167135745</v>
      </c>
      <c r="AD53" s="453">
        <f t="shared" si="2"/>
        <v>0</v>
      </c>
      <c r="AE53" s="442"/>
      <c r="AF53" s="442"/>
      <c r="AH53" s="149"/>
      <c r="AI53" s="150"/>
    </row>
    <row r="54" spans="1:35" ht="4" customHeight="1" x14ac:dyDescent="0.25">
      <c r="E54" s="110"/>
      <c r="F54" s="111"/>
      <c r="G54" s="25"/>
      <c r="H54" s="174"/>
      <c r="I54" s="175"/>
      <c r="J54" s="176"/>
      <c r="K54" s="175"/>
      <c r="L54" s="175"/>
      <c r="M54" s="175"/>
      <c r="N54" s="175"/>
      <c r="O54" s="175"/>
      <c r="P54" s="175"/>
      <c r="Q54" s="176"/>
      <c r="R54" s="175"/>
      <c r="S54" s="176"/>
      <c r="T54" s="175"/>
      <c r="U54" s="175"/>
      <c r="V54" s="175"/>
      <c r="W54" s="176"/>
      <c r="X54" s="175"/>
      <c r="Y54" s="177"/>
      <c r="Z54" s="178"/>
      <c r="AA54" s="179"/>
      <c r="AC54" s="442"/>
      <c r="AD54" s="453"/>
      <c r="AE54" s="442"/>
      <c r="AF54" s="442"/>
    </row>
    <row r="55" spans="1:35" ht="14.25" customHeight="1" x14ac:dyDescent="0.25">
      <c r="E55" s="181" t="s">
        <v>139</v>
      </c>
      <c r="F55" s="181"/>
      <c r="G55" s="181"/>
      <c r="H55" s="181"/>
      <c r="I55" s="181"/>
      <c r="J55" s="181"/>
      <c r="K55" s="181"/>
      <c r="L55" s="181"/>
      <c r="M55" s="181"/>
      <c r="N55" s="181"/>
      <c r="O55" s="181"/>
      <c r="P55" s="182"/>
      <c r="Q55" s="182"/>
      <c r="R55" s="182"/>
      <c r="S55" s="182"/>
      <c r="T55" s="182"/>
      <c r="U55" s="182"/>
      <c r="V55" s="182"/>
      <c r="W55" s="181"/>
      <c r="X55" s="181"/>
      <c r="Y55" s="181"/>
      <c r="Z55" s="181"/>
      <c r="AA55" s="181"/>
      <c r="AC55" s="442"/>
      <c r="AD55" s="442"/>
      <c r="AE55" s="442"/>
      <c r="AF55" s="442"/>
    </row>
    <row r="56" spans="1:35" ht="14.25" customHeight="1" x14ac:dyDescent="0.25">
      <c r="E56" s="27" t="s">
        <v>194</v>
      </c>
      <c r="F56" s="182"/>
      <c r="G56" s="182"/>
      <c r="H56" s="182"/>
      <c r="I56" s="182"/>
      <c r="J56" s="182"/>
      <c r="K56" s="182"/>
      <c r="L56" s="182"/>
      <c r="M56" s="182"/>
      <c r="N56" s="182"/>
      <c r="O56" s="182"/>
      <c r="P56" s="182"/>
      <c r="Q56" s="182"/>
      <c r="R56" s="182"/>
      <c r="S56" s="182"/>
      <c r="T56" s="182"/>
      <c r="U56" s="182"/>
      <c r="V56" s="182"/>
      <c r="W56" s="182"/>
      <c r="X56" s="182"/>
      <c r="Y56" s="182"/>
      <c r="Z56" s="182"/>
      <c r="AA56" s="182"/>
      <c r="AC56" s="442"/>
      <c r="AD56" s="442"/>
      <c r="AE56" s="442"/>
      <c r="AF56" s="442"/>
    </row>
    <row r="57" spans="1:35" ht="14.25" customHeight="1" x14ac:dyDescent="0.25">
      <c r="E57" s="27" t="s">
        <v>195</v>
      </c>
      <c r="F57" s="27"/>
      <c r="G57" s="27"/>
      <c r="H57" s="27"/>
      <c r="I57" s="27"/>
      <c r="J57" s="27"/>
      <c r="K57" s="27"/>
      <c r="L57" s="27"/>
      <c r="M57" s="27"/>
      <c r="N57" s="27"/>
      <c r="O57" s="27"/>
      <c r="P57" s="27"/>
      <c r="Q57" s="182"/>
      <c r="R57" s="182"/>
      <c r="S57" s="182"/>
      <c r="T57" s="182"/>
      <c r="U57" s="182"/>
      <c r="V57" s="182"/>
      <c r="W57" s="182"/>
      <c r="X57" s="182"/>
      <c r="Y57" s="182"/>
      <c r="Z57" s="182"/>
      <c r="AA57" s="182"/>
      <c r="AC57" s="442"/>
      <c r="AD57" s="442"/>
      <c r="AE57" s="442"/>
      <c r="AF57" s="442"/>
    </row>
    <row r="58" spans="1:35" ht="14.25" hidden="1" customHeight="1" x14ac:dyDescent="0.25">
      <c r="E58" s="183" t="s">
        <v>142</v>
      </c>
      <c r="F58" s="183"/>
      <c r="G58" s="183"/>
      <c r="H58" s="183"/>
      <c r="I58" s="183"/>
      <c r="J58" s="183"/>
      <c r="K58" s="183"/>
      <c r="L58" s="183"/>
      <c r="M58" s="183"/>
      <c r="N58" s="183"/>
      <c r="O58" s="183"/>
      <c r="P58" s="183"/>
      <c r="Q58" s="183"/>
      <c r="R58" s="183"/>
      <c r="S58" s="183"/>
      <c r="T58" s="183"/>
      <c r="U58" s="183"/>
      <c r="V58" s="183"/>
      <c r="W58" s="183"/>
      <c r="X58" s="183"/>
      <c r="Y58" s="183"/>
      <c r="Z58" s="183"/>
      <c r="AA58" s="183"/>
      <c r="AC58" s="442"/>
      <c r="AD58" s="442"/>
      <c r="AE58" s="442"/>
      <c r="AF58" s="442"/>
    </row>
    <row r="59" spans="1:35" ht="14.25" customHeight="1" x14ac:dyDescent="0.25">
      <c r="E59" s="27" t="s">
        <v>196</v>
      </c>
      <c r="F59" s="34"/>
      <c r="G59" s="34"/>
      <c r="H59" s="27"/>
      <c r="I59" s="27"/>
      <c r="J59" s="27"/>
      <c r="K59" s="27"/>
      <c r="L59" s="27"/>
      <c r="M59" s="27"/>
      <c r="N59" s="27"/>
      <c r="O59" s="27"/>
      <c r="P59" s="27"/>
      <c r="Q59" s="27"/>
      <c r="R59" s="27"/>
      <c r="S59" s="27"/>
      <c r="T59" s="27"/>
      <c r="U59" s="27"/>
      <c r="V59" s="27"/>
      <c r="W59" s="27"/>
      <c r="X59" s="27"/>
      <c r="Y59" s="27"/>
      <c r="Z59" s="27"/>
      <c r="AA59" s="27"/>
      <c r="AC59" s="442"/>
      <c r="AD59" s="442"/>
      <c r="AE59" s="442"/>
      <c r="AF59" s="442"/>
    </row>
    <row r="60" spans="1:35" ht="14.25" customHeight="1" x14ac:dyDescent="0.25">
      <c r="AC60" s="442"/>
      <c r="AD60" s="442"/>
      <c r="AE60" s="442"/>
      <c r="AF60" s="442"/>
    </row>
    <row r="61" spans="1:35" x14ac:dyDescent="0.25">
      <c r="AC61" s="442"/>
      <c r="AD61" s="442"/>
      <c r="AE61" s="442"/>
      <c r="AF61" s="442"/>
    </row>
    <row r="62" spans="1:35" x14ac:dyDescent="0.25">
      <c r="AC62" s="442"/>
      <c r="AD62" s="442"/>
      <c r="AE62" s="442"/>
      <c r="AF62" s="442"/>
    </row>
    <row r="63" spans="1:35" x14ac:dyDescent="0.25">
      <c r="AC63" s="442"/>
      <c r="AD63" s="442"/>
      <c r="AE63" s="442"/>
      <c r="AF63" s="442"/>
    </row>
    <row r="64" spans="1:35" x14ac:dyDescent="0.25">
      <c r="AC64" s="442"/>
      <c r="AD64" s="442"/>
      <c r="AE64" s="442"/>
      <c r="AF64" s="442"/>
    </row>
    <row r="66" spans="5:14" x14ac:dyDescent="0.25">
      <c r="E66" s="128" t="s">
        <v>145</v>
      </c>
      <c r="F66" s="184"/>
      <c r="G66" s="184"/>
      <c r="H66" s="185"/>
      <c r="I66" s="185"/>
      <c r="J66" s="185"/>
      <c r="K66" s="185"/>
      <c r="L66" s="185"/>
      <c r="M66" s="185"/>
      <c r="N66" s="185"/>
    </row>
  </sheetData>
  <mergeCells count="8">
    <mergeCell ref="T3:W3"/>
    <mergeCell ref="Y3:Z3"/>
    <mergeCell ref="E17:F17"/>
    <mergeCell ref="E40:F40"/>
    <mergeCell ref="E53:F53"/>
    <mergeCell ref="H3:J3"/>
    <mergeCell ref="K3:Q3"/>
    <mergeCell ref="R3:S3"/>
  </mergeCells>
  <pageMargins left="0.5" right="0.25" top="0.5" bottom="0" header="0.5" footer="0.5"/>
  <pageSetup scale="55" fitToHeight="0"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24DBC-6685-4D5E-A95E-3F75C5B3CE90}">
  <sheetPr>
    <pageSetUpPr fitToPage="1"/>
  </sheetPr>
  <dimension ref="A1:BJ110"/>
  <sheetViews>
    <sheetView showGridLines="0" showZeros="0" zoomScale="90" zoomScaleNormal="90" zoomScaleSheetLayoutView="100" workbookViewId="0">
      <selection activeCell="Y28" sqref="Y28:Z32"/>
    </sheetView>
  </sheetViews>
  <sheetFormatPr defaultRowHeight="12.5" x14ac:dyDescent="0.25"/>
  <cols>
    <col min="1" max="1" width="8" customWidth="1"/>
    <col min="2" max="4" width="1.81640625" style="1" customWidth="1"/>
    <col min="5" max="5" width="28.7265625" customWidth="1"/>
    <col min="6" max="6" width="7.54296875" customWidth="1"/>
    <col min="7" max="7" width="7.1796875" style="4" customWidth="1"/>
    <col min="8" max="24" width="7.1796875" customWidth="1"/>
    <col min="25" max="25" width="9" customWidth="1"/>
    <col min="26" max="29" width="8.54296875" customWidth="1"/>
    <col min="30" max="32" width="8" customWidth="1"/>
    <col min="33" max="33" width="12" customWidth="1"/>
    <col min="34" max="34" width="9.1796875" customWidth="1"/>
    <col min="35" max="35" width="10.54296875" customWidth="1"/>
    <col min="36" max="36" width="6.54296875" style="1" customWidth="1"/>
    <col min="37" max="37" width="11.54296875" style="1" customWidth="1"/>
    <col min="38" max="38" width="9.54296875" style="1" customWidth="1"/>
    <col min="39" max="39" width="6.54296875" customWidth="1"/>
    <col min="40" max="40" width="2" customWidth="1"/>
    <col min="43" max="43" width="3.54296875" customWidth="1"/>
    <col min="44" max="44" width="4.453125" customWidth="1"/>
    <col min="45" max="45" width="10.54296875" customWidth="1"/>
    <col min="46" max="46" width="6.54296875" customWidth="1"/>
    <col min="47" max="47" width="11.54296875" customWidth="1"/>
    <col min="48" max="48" width="9.54296875" customWidth="1"/>
    <col min="49" max="49" width="3.54296875" customWidth="1"/>
    <col min="50" max="50" width="2" customWidth="1"/>
  </cols>
  <sheetData>
    <row r="1" spans="1:62" x14ac:dyDescent="0.25">
      <c r="G1" s="1" t="str">
        <f>'[10]inland_taf_hatchgrp_tableraw&amp;yy'!G2</f>
        <v>sacw</v>
      </c>
      <c r="H1" s="1" t="str">
        <f>'[10]inland_taf_hatchgrp_tableraw&amp;yy'!H2</f>
        <v>cfhlh</v>
      </c>
      <c r="I1" s="1" t="str">
        <f>'[10]inland_taf_hatchgrp_tableraw&amp;yy'!I2</f>
        <v>cfhfh</v>
      </c>
      <c r="J1" s="1" t="str">
        <f>'[10]inland_taf_hatchgrp_tableraw&amp;yy'!J2</f>
        <v>cfhfn</v>
      </c>
      <c r="K1" s="1" t="str">
        <f>'[10]inland_taf_hatchgrp_tableraw&amp;yy'!K2</f>
        <v>frhs</v>
      </c>
      <c r="L1" s="1" t="str">
        <f>'[10]inland_taf_hatchgrp_tableraw&amp;yy'!L2</f>
        <v>frhsn</v>
      </c>
      <c r="M1" s="1" t="str">
        <f>'[10]inland_taf_hatchgrp_tableraw&amp;yy'!M2</f>
        <v>frhf</v>
      </c>
      <c r="N1" s="1" t="str">
        <f>'[10]inland_taf_hatchgrp_tableraw&amp;yy'!N2</f>
        <v>frhfn</v>
      </c>
      <c r="O1" s="1" t="str">
        <f>'[10]inland_taf_hatchgrp_tableraw&amp;yy'!O2</f>
        <v>frhfnc</v>
      </c>
      <c r="P1" s="1" t="str">
        <f>'[10]inland_taf_hatchgrp_tableraw&amp;yy'!P2</f>
        <v>frhfb</v>
      </c>
      <c r="Q1" s="1" t="str">
        <f>'[10]inland_taf_hatchgrp_tableraw&amp;yy'!Q2</f>
        <v>frhfk</v>
      </c>
      <c r="R1" s="1" t="str">
        <f>'[10]inland_taf_hatchgrp_tableraw&amp;yy'!R2</f>
        <v>nimf</v>
      </c>
      <c r="S1" s="1" t="str">
        <f>'[10]inland_taf_hatchgrp_tableraw&amp;yy'!S2</f>
        <v>nimfn</v>
      </c>
      <c r="T1" s="1" t="str">
        <f>'[10]inland_taf_hatchgrp_tableraw&amp;yy'!T2</f>
        <v>mokf</v>
      </c>
      <c r="U1" s="1" t="str">
        <f>'[10]inland_taf_hatchgrp_tableraw&amp;yy'!U2</f>
        <v>mokfn</v>
      </c>
      <c r="V1" s="1" t="str">
        <f>'[10]inland_taf_hatchgrp_tableraw&amp;yy'!V2</f>
        <v>mokfnc</v>
      </c>
      <c r="W1" s="1" t="str">
        <f>'[10]inland_taf_hatchgrp_tableraw&amp;yy'!W2</f>
        <v>mokfb</v>
      </c>
      <c r="X1" s="1" t="str">
        <f>'[10]inland_taf_hatchgrp_tableraw&amp;yy'!X2</f>
        <v>merfn</v>
      </c>
    </row>
    <row r="2" spans="1:62" ht="23.9" customHeight="1" x14ac:dyDescent="0.25">
      <c r="E2" s="2" t="s">
        <v>182</v>
      </c>
      <c r="F2" s="3"/>
      <c r="AC2" s="442"/>
      <c r="AD2" s="442"/>
      <c r="AE2" s="442"/>
      <c r="AF2" s="442"/>
      <c r="AG2" s="597"/>
      <c r="AH2" s="597"/>
      <c r="AI2" s="442"/>
      <c r="AJ2" s="451"/>
      <c r="AK2" s="451"/>
      <c r="AL2" s="451"/>
      <c r="AM2" s="442"/>
      <c r="AN2" s="442"/>
      <c r="AO2" s="442"/>
      <c r="AP2" s="442"/>
      <c r="AQ2" s="442"/>
      <c r="AR2" s="442"/>
      <c r="AS2" s="442"/>
      <c r="AT2" s="442"/>
      <c r="AU2" s="442"/>
      <c r="AV2" s="442"/>
      <c r="AW2" s="442"/>
      <c r="AX2" s="442"/>
      <c r="AY2" s="442"/>
      <c r="AZ2" s="442"/>
      <c r="BA2" s="442"/>
      <c r="BB2" s="442"/>
      <c r="BC2" s="442"/>
      <c r="BD2" s="442"/>
      <c r="BE2" s="442"/>
      <c r="BF2" s="442"/>
      <c r="BG2" s="442"/>
      <c r="BH2" s="442"/>
      <c r="BI2" s="442"/>
      <c r="BJ2" s="442"/>
    </row>
    <row r="3" spans="1:62" ht="14.9" customHeight="1" x14ac:dyDescent="0.3">
      <c r="E3" s="6"/>
      <c r="F3" s="7"/>
      <c r="G3" s="8"/>
      <c r="H3" s="727" t="s">
        <v>1</v>
      </c>
      <c r="I3" s="727"/>
      <c r="J3" s="727"/>
      <c r="K3" s="727" t="s">
        <v>2</v>
      </c>
      <c r="L3" s="727"/>
      <c r="M3" s="727"/>
      <c r="N3" s="727"/>
      <c r="O3" s="727"/>
      <c r="P3" s="727"/>
      <c r="Q3" s="727"/>
      <c r="R3" s="727" t="s">
        <v>3</v>
      </c>
      <c r="S3" s="727"/>
      <c r="T3" s="727" t="s">
        <v>4</v>
      </c>
      <c r="U3" s="727"/>
      <c r="V3" s="727"/>
      <c r="W3" s="727"/>
      <c r="X3" s="8" t="s">
        <v>5</v>
      </c>
      <c r="Y3" s="745" t="s">
        <v>8</v>
      </c>
      <c r="Z3" s="746"/>
      <c r="AA3" s="10" t="s">
        <v>9</v>
      </c>
      <c r="AB3" s="11"/>
      <c r="AC3" s="451" t="s">
        <v>158</v>
      </c>
      <c r="AD3" s="598" t="s">
        <v>10</v>
      </c>
      <c r="AE3" s="598"/>
      <c r="AF3" s="598"/>
      <c r="AG3" s="599"/>
      <c r="AH3" s="597"/>
      <c r="AI3" s="597" t="s">
        <v>11</v>
      </c>
      <c r="AJ3" s="599" t="s">
        <v>12</v>
      </c>
      <c r="AK3" s="451"/>
      <c r="AL3" s="451"/>
      <c r="AM3" s="442"/>
      <c r="AN3" s="442"/>
      <c r="AO3" s="444">
        <f>$G$43</f>
        <v>0</v>
      </c>
      <c r="AP3" s="444">
        <f>$H$43</f>
        <v>20</v>
      </c>
      <c r="AQ3" s="444">
        <f>$I$43</f>
        <v>4</v>
      </c>
      <c r="AR3" s="444">
        <f>$J$43</f>
        <v>9726</v>
      </c>
      <c r="AS3" s="444">
        <f>$K$43</f>
        <v>1</v>
      </c>
      <c r="AT3" s="444"/>
      <c r="AU3" s="444">
        <f>$L$43</f>
        <v>0</v>
      </c>
      <c r="AV3" s="444">
        <f>$M$43</f>
        <v>0</v>
      </c>
      <c r="AW3" s="444">
        <f>$O$43</f>
        <v>399</v>
      </c>
      <c r="AX3" s="444">
        <f>$P$43</f>
        <v>3</v>
      </c>
      <c r="AY3" s="444">
        <f>$N$43</f>
        <v>2717</v>
      </c>
      <c r="AZ3" s="444">
        <f>$Q$43</f>
        <v>0</v>
      </c>
      <c r="BA3" s="444">
        <f>$R$43</f>
        <v>4</v>
      </c>
      <c r="BB3" s="444">
        <f>$S$43</f>
        <v>4669</v>
      </c>
      <c r="BC3" s="444">
        <f>$T$43</f>
        <v>73</v>
      </c>
      <c r="BD3" s="444">
        <f>$U$43</f>
        <v>6938</v>
      </c>
      <c r="BE3" s="444">
        <f>$V$43</f>
        <v>915</v>
      </c>
      <c r="BF3" s="444">
        <f>$W$43</f>
        <v>398</v>
      </c>
      <c r="BG3" s="444">
        <f>$X$43</f>
        <v>1206</v>
      </c>
      <c r="BH3" s="442"/>
      <c r="BI3" s="442"/>
      <c r="BJ3" s="442"/>
    </row>
    <row r="4" spans="1:62" ht="14.9" customHeight="1" x14ac:dyDescent="0.3">
      <c r="A4" s="15" t="s">
        <v>13</v>
      </c>
      <c r="B4" s="16" t="s">
        <v>14</v>
      </c>
      <c r="C4" s="16" t="s">
        <v>15</v>
      </c>
      <c r="D4" s="16" t="s">
        <v>16</v>
      </c>
      <c r="E4" s="17" t="s">
        <v>17</v>
      </c>
      <c r="F4" s="18" t="s">
        <v>18</v>
      </c>
      <c r="G4" s="19" t="s">
        <v>19</v>
      </c>
      <c r="H4" s="20" t="s">
        <v>159</v>
      </c>
      <c r="I4" s="19" t="s">
        <v>160</v>
      </c>
      <c r="J4" s="21" t="s">
        <v>22</v>
      </c>
      <c r="K4" s="19" t="s">
        <v>23</v>
      </c>
      <c r="L4" s="19" t="s">
        <v>183</v>
      </c>
      <c r="M4" s="19" t="s">
        <v>24</v>
      </c>
      <c r="N4" s="19" t="s">
        <v>25</v>
      </c>
      <c r="O4" s="19" t="s">
        <v>184</v>
      </c>
      <c r="P4" s="19" t="s">
        <v>185</v>
      </c>
      <c r="Q4" s="21" t="s">
        <v>186</v>
      </c>
      <c r="R4" s="19" t="s">
        <v>27</v>
      </c>
      <c r="S4" s="21" t="s">
        <v>28</v>
      </c>
      <c r="T4" s="19" t="s">
        <v>29</v>
      </c>
      <c r="U4" s="19" t="s">
        <v>30</v>
      </c>
      <c r="V4" s="19" t="s">
        <v>31</v>
      </c>
      <c r="W4" s="21" t="s">
        <v>187</v>
      </c>
      <c r="X4" s="200" t="s">
        <v>34</v>
      </c>
      <c r="Y4" s="22" t="s">
        <v>36</v>
      </c>
      <c r="Z4" s="23" t="s">
        <v>37</v>
      </c>
      <c r="AA4" s="24" t="s">
        <v>18</v>
      </c>
      <c r="AB4" s="11"/>
      <c r="AC4" s="451" t="s">
        <v>38</v>
      </c>
      <c r="AD4" s="598" t="s">
        <v>38</v>
      </c>
      <c r="AE4" s="598"/>
      <c r="AF4" s="598"/>
      <c r="AG4" s="599"/>
      <c r="AH4" s="597"/>
      <c r="AI4" s="600"/>
      <c r="AJ4" s="599"/>
      <c r="AK4" s="451"/>
      <c r="AL4" s="451"/>
      <c r="AM4" s="442"/>
      <c r="AN4" s="442"/>
      <c r="AO4" s="442"/>
      <c r="AP4" s="442"/>
      <c r="AQ4" s="442"/>
      <c r="AR4" s="442"/>
      <c r="AS4" s="442"/>
      <c r="AT4" s="442"/>
      <c r="AU4" s="442"/>
      <c r="AV4" s="442"/>
      <c r="AW4" s="442"/>
      <c r="AX4" s="442"/>
      <c r="AY4" s="442"/>
      <c r="AZ4" s="442"/>
      <c r="BA4" s="442"/>
      <c r="BB4" s="442"/>
      <c r="BC4" s="442"/>
      <c r="BD4" s="442"/>
      <c r="BE4" s="442"/>
      <c r="BF4" s="442"/>
      <c r="BG4" s="442"/>
      <c r="BH4" s="442"/>
      <c r="BI4" s="442"/>
      <c r="BJ4" s="442"/>
    </row>
    <row r="5" spans="1:62" ht="15.65" customHeight="1" x14ac:dyDescent="0.3">
      <c r="A5" s="15" t="s">
        <v>36</v>
      </c>
      <c r="B5" s="13"/>
      <c r="C5" s="13"/>
      <c r="D5" s="13"/>
      <c r="E5" s="26" t="s">
        <v>39</v>
      </c>
      <c r="F5" s="27"/>
      <c r="G5" s="28"/>
      <c r="H5" s="29"/>
      <c r="I5" s="30"/>
      <c r="J5" s="31"/>
      <c r="K5" s="30"/>
      <c r="L5" s="30"/>
      <c r="M5" s="30"/>
      <c r="N5" s="30"/>
      <c r="O5" s="30"/>
      <c r="P5" s="30"/>
      <c r="Q5" s="31"/>
      <c r="R5" s="30"/>
      <c r="S5" s="31"/>
      <c r="T5" s="30"/>
      <c r="U5" s="30"/>
      <c r="V5" s="30"/>
      <c r="W5" s="31"/>
      <c r="X5" s="30"/>
      <c r="Y5" s="32"/>
      <c r="Z5" s="33"/>
      <c r="AA5" s="30"/>
      <c r="AB5" s="30"/>
      <c r="AC5" s="633"/>
      <c r="AD5" s="601"/>
      <c r="AE5" s="601"/>
      <c r="AF5" s="601"/>
      <c r="AG5" s="602"/>
      <c r="AH5" s="597"/>
      <c r="AI5" s="600"/>
      <c r="AJ5" s="599"/>
      <c r="AK5" s="451"/>
      <c r="AL5" s="451"/>
      <c r="AM5" s="442"/>
      <c r="AN5" s="442"/>
      <c r="AO5" s="442"/>
      <c r="AP5" s="442"/>
      <c r="AQ5" s="442"/>
      <c r="AR5" s="442"/>
      <c r="AS5" s="442"/>
      <c r="AT5" s="442"/>
      <c r="AU5" s="442"/>
      <c r="AV5" s="442"/>
      <c r="AW5" s="442"/>
      <c r="AX5" s="442"/>
      <c r="AY5" s="442"/>
      <c r="AZ5" s="442"/>
      <c r="BA5" s="442"/>
      <c r="BB5" s="442"/>
      <c r="BC5" s="442"/>
      <c r="BD5" s="442"/>
      <c r="BE5" s="442"/>
      <c r="BF5" s="442"/>
      <c r="BG5" s="442"/>
      <c r="BH5" s="442"/>
      <c r="BI5" s="442"/>
      <c r="BJ5" s="442"/>
    </row>
    <row r="6" spans="1:62" ht="15.65" customHeight="1" x14ac:dyDescent="0.25">
      <c r="A6" s="36" t="str">
        <f t="shared" ref="A6:A16" si="0">CONCATENATE(B6,C6,D6)</f>
        <v>KESW504</v>
      </c>
      <c r="B6" s="13" t="s">
        <v>43</v>
      </c>
      <c r="C6" s="13">
        <v>50</v>
      </c>
      <c r="D6" s="13">
        <v>4</v>
      </c>
      <c r="E6" s="3" t="s">
        <v>44</v>
      </c>
      <c r="F6" s="37" t="s">
        <v>42</v>
      </c>
      <c r="G6" s="38">
        <f>SUMIFS('[10]inland_taf_hatchgrp_tableraw&amp;yy'!G$3:G$38,'[10]inland_taf_hatchgrp_tableraw&amp;yy'!$AC$3:$AC$38,'2017 Table 10 CWTs exp'!$A6)</f>
        <v>168</v>
      </c>
      <c r="H6" s="39">
        <f>SUMIFS('[10]inland_taf_hatchgrp_tableraw&amp;yy'!H$3:H$38,'[10]inland_taf_hatchgrp_tableraw&amp;yy'!$AC$3:$AC$38,'2017 Table 10 CWTs exp'!$A6)</f>
        <v>0</v>
      </c>
      <c r="I6" s="38">
        <f>SUMIFS('[10]inland_taf_hatchgrp_tableraw&amp;yy'!I$3:I$38,'[10]inland_taf_hatchgrp_tableraw&amp;yy'!$AC$3:$AC$38,'2017 Table 10 CWTs exp'!$A6)</f>
        <v>0</v>
      </c>
      <c r="J6" s="40">
        <f>SUMIFS('[10]inland_taf_hatchgrp_tableraw&amp;yy'!J$3:J$38,'[10]inland_taf_hatchgrp_tableraw&amp;yy'!$AC$3:$AC$38,'2017 Table 10 CWTs exp'!$A6)</f>
        <v>0</v>
      </c>
      <c r="K6" s="38">
        <f>SUMIFS('[10]inland_taf_hatchgrp_tableraw&amp;yy'!K$3:K$38,'[10]inland_taf_hatchgrp_tableraw&amp;yy'!$AC$3:$AC$38,'2017 Table 10 CWTs exp'!$A6)</f>
        <v>0</v>
      </c>
      <c r="L6" s="38">
        <f>SUMIFS('[10]inland_taf_hatchgrp_tableraw&amp;yy'!L$3:L$38,'[10]inland_taf_hatchgrp_tableraw&amp;yy'!$AC$3:$AC$38,'2017 Table 10 CWTs exp'!$A6)</f>
        <v>0</v>
      </c>
      <c r="M6" s="38">
        <f>SUMIFS('[10]inland_taf_hatchgrp_tableraw&amp;yy'!M$3:M$38,'[10]inland_taf_hatchgrp_tableraw&amp;yy'!$AC$3:$AC$38,'2017 Table 10 CWTs exp'!$A6)</f>
        <v>0</v>
      </c>
      <c r="N6" s="38">
        <f>SUMIFS('[10]inland_taf_hatchgrp_tableraw&amp;yy'!N$3:N$38,'[10]inland_taf_hatchgrp_tableraw&amp;yy'!$AC$3:$AC$38,'2017 Table 10 CWTs exp'!$A6)</f>
        <v>0</v>
      </c>
      <c r="O6" s="38">
        <f>SUMIFS('[10]inland_taf_hatchgrp_tableraw&amp;yy'!O$3:O$38,'[10]inland_taf_hatchgrp_tableraw&amp;yy'!$AC$3:$AC$38,'2017 Table 10 CWTs exp'!$A6)</f>
        <v>0</v>
      </c>
      <c r="P6" s="38">
        <f>SUMIFS('[10]inland_taf_hatchgrp_tableraw&amp;yy'!P$3:P$38,'[10]inland_taf_hatchgrp_tableraw&amp;yy'!$AC$3:$AC$38,'2017 Table 10 CWTs exp'!$A6)</f>
        <v>0</v>
      </c>
      <c r="Q6" s="40">
        <f>SUMIFS('[10]inland_taf_hatchgrp_tableraw&amp;yy'!Q$3:Q$38,'[10]inland_taf_hatchgrp_tableraw&amp;yy'!$AC$3:$AC$38,'2017 Table 10 CWTs exp'!$A6)</f>
        <v>0</v>
      </c>
      <c r="R6" s="38">
        <f>SUMIFS('[10]inland_taf_hatchgrp_tableraw&amp;yy'!R$3:R$38,'[10]inland_taf_hatchgrp_tableraw&amp;yy'!$AC$3:$AC$38,'2017 Table 10 CWTs exp'!$A6)</f>
        <v>0</v>
      </c>
      <c r="S6" s="40">
        <f>SUMIFS('[10]inland_taf_hatchgrp_tableraw&amp;yy'!S$3:S$38,'[10]inland_taf_hatchgrp_tableraw&amp;yy'!$AC$3:$AC$38,'2017 Table 10 CWTs exp'!$A6)</f>
        <v>0</v>
      </c>
      <c r="T6" s="38">
        <f>SUMIFS('[10]inland_taf_hatchgrp_tableraw&amp;yy'!T$3:T$38,'[10]inland_taf_hatchgrp_tableraw&amp;yy'!$AC$3:$AC$38,'2017 Table 10 CWTs exp'!$A6)</f>
        <v>0</v>
      </c>
      <c r="U6" s="38">
        <f>SUMIFS('[10]inland_taf_hatchgrp_tableraw&amp;yy'!U$3:U$38,'[10]inland_taf_hatchgrp_tableraw&amp;yy'!$AC$3:$AC$38,'2017 Table 10 CWTs exp'!$A6)</f>
        <v>0</v>
      </c>
      <c r="V6" s="38">
        <f>SUMIFS('[10]inland_taf_hatchgrp_tableraw&amp;yy'!V$3:V$38,'[10]inland_taf_hatchgrp_tableraw&amp;yy'!$AC$3:$AC$38,'2017 Table 10 CWTs exp'!$A6)</f>
        <v>0</v>
      </c>
      <c r="W6" s="40">
        <f>SUMIFS('[10]inland_taf_hatchgrp_tableraw&amp;yy'!W$3:W$38,'[10]inland_taf_hatchgrp_tableraw&amp;yy'!$AC$3:$AC$38,'2017 Table 10 CWTs exp'!$A6)</f>
        <v>0</v>
      </c>
      <c r="X6" s="38">
        <f>SUMIFS('[10]inland_taf_hatchgrp_tableraw&amp;yy'!X$3:X$38,'[10]inland_taf_hatchgrp_tableraw&amp;yy'!$AC$3:$AC$38,'2017 Table 10 CWTs exp'!$A6)</f>
        <v>0</v>
      </c>
      <c r="Y6" s="41">
        <f>SUMIFS('[10]inland_taf_hatchgrp_tableraw&amp;yy'!Y$3:Y$38,'[10]inland_taf_hatchgrp_tableraw&amp;yy'!$AC$3:$AC$38,'2017 Table 10 CWTs exp'!$A6)</f>
        <v>168</v>
      </c>
      <c r="Z6" s="42">
        <f>SUMIFS('[10]inland_taf_hatchgrp_tableraw&amp;yy'!Z$3:Z$38,'[10]inland_taf_hatchgrp_tableraw&amp;yy'!$AC$3:$AC$38,'2017 Table 10 CWTs exp'!$A6)</f>
        <v>12</v>
      </c>
      <c r="AA6" s="38">
        <f>SUMIFS('[10]inland_taf_hatchgrp_tableraw&amp;yy'!AA$3:AA$38,'[10]inland_taf_hatchgrp_tableraw&amp;yy'!$AC$3:$AC$38,'2017 Table 10 CWTs exp'!$A6)</f>
        <v>180</v>
      </c>
      <c r="AB6" s="38"/>
      <c r="AC6" s="634">
        <f>G6</f>
        <v>168</v>
      </c>
      <c r="AD6" s="603">
        <f>SUMIFS('[10]inland_taf_hatchgrp_tableraw&amp;yy'!AB$3:AB$38,'[10]inland_taf_hatchgrp_tableraw&amp;yy'!$AC$3:$AC$38,'2017 Table 10 CWTs exp'!$A6)</f>
        <v>0.93300000000000005</v>
      </c>
      <c r="AE6" s="604" t="str">
        <f t="shared" ref="AE6:AE16" si="1">A6</f>
        <v>KESW504</v>
      </c>
      <c r="AF6" s="444"/>
      <c r="AG6" s="622">
        <f>Y6/AA6</f>
        <v>0.93333333333333335</v>
      </c>
      <c r="AH6" s="597"/>
      <c r="AI6" s="600"/>
      <c r="AJ6" s="599"/>
      <c r="AK6" s="451"/>
      <c r="AL6" s="451"/>
      <c r="AM6" s="442"/>
      <c r="AN6" s="442"/>
      <c r="AO6" s="442"/>
      <c r="AP6" s="442"/>
      <c r="AQ6" s="442"/>
      <c r="AR6" s="442"/>
      <c r="AS6" s="442"/>
      <c r="AT6" s="442"/>
      <c r="AU6" s="442"/>
      <c r="AV6" s="442"/>
      <c r="AW6" s="442"/>
      <c r="AX6" s="442"/>
      <c r="AY6" s="442"/>
      <c r="AZ6" s="442"/>
      <c r="BA6" s="442"/>
      <c r="BB6" s="442"/>
      <c r="BC6" s="442"/>
      <c r="BD6" s="442"/>
      <c r="BE6" s="442"/>
      <c r="BF6" s="442"/>
      <c r="BG6" s="442"/>
      <c r="BH6" s="442"/>
      <c r="BI6" s="442"/>
      <c r="BJ6" s="442"/>
    </row>
    <row r="7" spans="1:62" s="47" customFormat="1" ht="14.5" customHeight="1" x14ac:dyDescent="0.25">
      <c r="A7" s="36" t="str">
        <f t="shared" si="0"/>
        <v>FRFH501</v>
      </c>
      <c r="B7" s="35" t="s">
        <v>45</v>
      </c>
      <c r="C7" s="35">
        <v>50</v>
      </c>
      <c r="D7" s="35">
        <v>1</v>
      </c>
      <c r="E7" s="27" t="s">
        <v>46</v>
      </c>
      <c r="F7" s="28" t="str">
        <f t="shared" ref="F7:F13" si="2">LOOKUP(D7,$AL$7:$AL$10,$AM$7:$AM$10)</f>
        <v>Spring</v>
      </c>
      <c r="G7" s="44">
        <f>SUMIFS('[10]inland_taf_hatchgrp_tableraw&amp;yy'!G$3:G$38,'[10]inland_taf_hatchgrp_tableraw&amp;yy'!$AC$3:$AC$38,'2017 Table 10 CWTs exp'!$A7)</f>
        <v>0</v>
      </c>
      <c r="H7" s="45">
        <f>SUMIFS('[10]inland_taf_hatchgrp_tableraw&amp;yy'!H$3:H$38,'[10]inland_taf_hatchgrp_tableraw&amp;yy'!$AC$3:$AC$38,'2017 Table 10 CWTs exp'!$A7)</f>
        <v>0</v>
      </c>
      <c r="I7" s="44">
        <f>SUMIFS('[10]inland_taf_hatchgrp_tableraw&amp;yy'!I$3:I$38,'[10]inland_taf_hatchgrp_tableraw&amp;yy'!$AC$3:$AC$38,'2017 Table 10 CWTs exp'!$A7)</f>
        <v>0</v>
      </c>
      <c r="J7" s="46">
        <f>SUMIFS('[10]inland_taf_hatchgrp_tableraw&amp;yy'!J$3:J$38,'[10]inland_taf_hatchgrp_tableraw&amp;yy'!$AC$3:$AC$38,'2017 Table 10 CWTs exp'!$A7)</f>
        <v>0</v>
      </c>
      <c r="K7" s="44">
        <f>SUMIFS('[10]inland_taf_hatchgrp_tableraw&amp;yy'!K$3:K$38,'[10]inland_taf_hatchgrp_tableraw&amp;yy'!$AC$3:$AC$38,'2017 Table 10 CWTs exp'!$A7)</f>
        <v>412</v>
      </c>
      <c r="L7" s="44">
        <f>SUMIFS('[10]inland_taf_hatchgrp_tableraw&amp;yy'!L$3:L$38,'[10]inland_taf_hatchgrp_tableraw&amp;yy'!$AC$3:$AC$38,'2017 Table 10 CWTs exp'!$A7)</f>
        <v>80</v>
      </c>
      <c r="M7" s="44">
        <f>SUMIFS('[10]inland_taf_hatchgrp_tableraw&amp;yy'!M$3:M$38,'[10]inland_taf_hatchgrp_tableraw&amp;yy'!$AC$3:$AC$38,'2017 Table 10 CWTs exp'!$A7)</f>
        <v>0</v>
      </c>
      <c r="N7" s="44">
        <f>SUMIFS('[10]inland_taf_hatchgrp_tableraw&amp;yy'!N$3:N$38,'[10]inland_taf_hatchgrp_tableraw&amp;yy'!$AC$3:$AC$38,'2017 Table 10 CWTs exp'!$A7)</f>
        <v>73</v>
      </c>
      <c r="O7" s="44">
        <f>SUMIFS('[10]inland_taf_hatchgrp_tableraw&amp;yy'!O$3:O$38,'[10]inland_taf_hatchgrp_tableraw&amp;yy'!$AC$3:$AC$38,'2017 Table 10 CWTs exp'!$A7)</f>
        <v>0</v>
      </c>
      <c r="P7" s="44">
        <f>SUMIFS('[10]inland_taf_hatchgrp_tableraw&amp;yy'!P$3:P$38,'[10]inland_taf_hatchgrp_tableraw&amp;yy'!$AC$3:$AC$38,'2017 Table 10 CWTs exp'!$A7)</f>
        <v>2</v>
      </c>
      <c r="Q7" s="46">
        <f>SUMIFS('[10]inland_taf_hatchgrp_tableraw&amp;yy'!Q$3:Q$38,'[10]inland_taf_hatchgrp_tableraw&amp;yy'!$AC$3:$AC$38,'2017 Table 10 CWTs exp'!$A7)</f>
        <v>0</v>
      </c>
      <c r="R7" s="44">
        <f>SUMIFS('[10]inland_taf_hatchgrp_tableraw&amp;yy'!R$3:R$38,'[10]inland_taf_hatchgrp_tableraw&amp;yy'!$AC$3:$AC$38,'2017 Table 10 CWTs exp'!$A7)</f>
        <v>0</v>
      </c>
      <c r="S7" s="46">
        <f>SUMIFS('[10]inland_taf_hatchgrp_tableraw&amp;yy'!S$3:S$38,'[10]inland_taf_hatchgrp_tableraw&amp;yy'!$AC$3:$AC$38,'2017 Table 10 CWTs exp'!$A7)</f>
        <v>0</v>
      </c>
      <c r="T7" s="44">
        <f>SUMIFS('[10]inland_taf_hatchgrp_tableraw&amp;yy'!T$3:T$38,'[10]inland_taf_hatchgrp_tableraw&amp;yy'!$AC$3:$AC$38,'2017 Table 10 CWTs exp'!$A7)</f>
        <v>0</v>
      </c>
      <c r="U7" s="44">
        <f>SUMIFS('[10]inland_taf_hatchgrp_tableraw&amp;yy'!U$3:U$38,'[10]inland_taf_hatchgrp_tableraw&amp;yy'!$AC$3:$AC$38,'2017 Table 10 CWTs exp'!$A7)</f>
        <v>0</v>
      </c>
      <c r="V7" s="44">
        <f>SUMIFS('[10]inland_taf_hatchgrp_tableraw&amp;yy'!V$3:V$38,'[10]inland_taf_hatchgrp_tableraw&amp;yy'!$AC$3:$AC$38,'2017 Table 10 CWTs exp'!$A7)</f>
        <v>0</v>
      </c>
      <c r="W7" s="46">
        <f>SUMIFS('[10]inland_taf_hatchgrp_tableraw&amp;yy'!W$3:W$38,'[10]inland_taf_hatchgrp_tableraw&amp;yy'!$AC$3:$AC$38,'2017 Table 10 CWTs exp'!$A7)</f>
        <v>0</v>
      </c>
      <c r="X7" s="44">
        <f>SUMIFS('[10]inland_taf_hatchgrp_tableraw&amp;yy'!X$3:X$38,'[10]inland_taf_hatchgrp_tableraw&amp;yy'!$AC$3:$AC$38,'2017 Table 10 CWTs exp'!$A7)</f>
        <v>0</v>
      </c>
      <c r="Y7" s="84">
        <f>SUMIFS('[10]inland_taf_hatchgrp_tableraw&amp;yy'!Y$3:Y$38,'[10]inland_taf_hatchgrp_tableraw&amp;yy'!$AC$3:$AC$38,'2017 Table 10 CWTs exp'!$A7)</f>
        <v>567</v>
      </c>
      <c r="Z7" s="85">
        <f>SUMIFS('[10]inland_taf_hatchgrp_tableraw&amp;yy'!Z$3:Z$38,'[10]inland_taf_hatchgrp_tableraw&amp;yy'!$AC$3:$AC$38,'2017 Table 10 CWTs exp'!$A7)</f>
        <v>13</v>
      </c>
      <c r="AA7" s="44">
        <f>SUMIFS('[10]inland_taf_hatchgrp_tableraw&amp;yy'!AA$3:AA$38,'[10]inland_taf_hatchgrp_tableraw&amp;yy'!$AC$3:$AC$38,'2017 Table 10 CWTs exp'!$A7)</f>
        <v>580</v>
      </c>
      <c r="AB7" s="44"/>
      <c r="AC7" s="636"/>
      <c r="AD7" s="603">
        <f>SUMIFS('[10]inland_taf_hatchgrp_tableraw&amp;yy'!AB$3:AB$38,'[10]inland_taf_hatchgrp_tableraw&amp;yy'!$AC$3:$AC$38,'2017 Table 10 CWTs exp'!$A7)</f>
        <v>0.97799999999999998</v>
      </c>
      <c r="AE7" s="604" t="str">
        <f t="shared" si="1"/>
        <v>FRFH501</v>
      </c>
      <c r="AF7" s="594"/>
      <c r="AG7" s="622">
        <f>Y7/AA7</f>
        <v>0.97758620689655173</v>
      </c>
      <c r="AH7" s="616"/>
      <c r="AI7" s="616"/>
      <c r="AJ7" s="602"/>
      <c r="AK7" s="601"/>
      <c r="AL7" s="601">
        <v>1</v>
      </c>
      <c r="AM7" s="594" t="s">
        <v>47</v>
      </c>
      <c r="AN7" s="594"/>
      <c r="AO7" s="594"/>
      <c r="AP7" s="594"/>
      <c r="AQ7" s="594"/>
      <c r="AR7" s="594"/>
      <c r="AS7" s="594"/>
      <c r="AT7" s="594"/>
      <c r="AU7" s="594"/>
      <c r="AV7" s="594"/>
      <c r="AW7" s="594"/>
      <c r="AX7" s="594"/>
      <c r="AY7" s="594"/>
      <c r="AZ7" s="594"/>
      <c r="BA7" s="594"/>
      <c r="BB7" s="594"/>
      <c r="BC7" s="594"/>
      <c r="BD7" s="594"/>
      <c r="BE7" s="594"/>
      <c r="BF7" s="594"/>
      <c r="BG7" s="594"/>
      <c r="BH7" s="617"/>
      <c r="BI7" s="594"/>
      <c r="BJ7" s="594"/>
    </row>
    <row r="8" spans="1:62" ht="14.5" customHeight="1" x14ac:dyDescent="0.25">
      <c r="A8" s="50" t="str">
        <f>CONCATENATE(B8,C8,D8)</f>
        <v>KESW503</v>
      </c>
      <c r="B8" s="13" t="s">
        <v>43</v>
      </c>
      <c r="C8" s="13">
        <v>50</v>
      </c>
      <c r="D8" s="13">
        <v>3</v>
      </c>
      <c r="E8" s="3" t="s">
        <v>44</v>
      </c>
      <c r="F8" s="43" t="str">
        <f t="shared" si="2"/>
        <v>Fall</v>
      </c>
      <c r="G8" s="38">
        <f>SUMIFS('[10]inland_taf_hatchgrp_tableraw&amp;yy'!G$3:G$38,'[10]inland_taf_hatchgrp_tableraw&amp;yy'!$AC$3:$AC$38,'2017 Table 10 CWTs exp'!$A8)</f>
        <v>0</v>
      </c>
      <c r="H8" s="39">
        <f>SUMIFS('[10]inland_taf_hatchgrp_tableraw&amp;yy'!H$3:H$38,'[10]inland_taf_hatchgrp_tableraw&amp;yy'!$AC$3:$AC$38,'2017 Table 10 CWTs exp'!$A8)</f>
        <v>0</v>
      </c>
      <c r="I8" s="38">
        <f>SUMIFS('[10]inland_taf_hatchgrp_tableraw&amp;yy'!I$3:I$38,'[10]inland_taf_hatchgrp_tableraw&amp;yy'!$AC$3:$AC$38,'2017 Table 10 CWTs exp'!$A8)</f>
        <v>28</v>
      </c>
      <c r="J8" s="40">
        <f>SUMIFS('[10]inland_taf_hatchgrp_tableraw&amp;yy'!J$3:J$38,'[10]inland_taf_hatchgrp_tableraw&amp;yy'!$AC$3:$AC$38,'2017 Table 10 CWTs exp'!$A8)</f>
        <v>0</v>
      </c>
      <c r="K8" s="38">
        <f>SUMIFS('[10]inland_taf_hatchgrp_tableraw&amp;yy'!K$3:K$38,'[10]inland_taf_hatchgrp_tableraw&amp;yy'!$AC$3:$AC$38,'2017 Table 10 CWTs exp'!$A8)</f>
        <v>0</v>
      </c>
      <c r="L8" s="38">
        <f>SUMIFS('[10]inland_taf_hatchgrp_tableraw&amp;yy'!L$3:L$38,'[10]inland_taf_hatchgrp_tableraw&amp;yy'!$AC$3:$AC$38,'2017 Table 10 CWTs exp'!$A8)</f>
        <v>0</v>
      </c>
      <c r="M8" s="38">
        <f>SUMIFS('[10]inland_taf_hatchgrp_tableraw&amp;yy'!M$3:M$38,'[10]inland_taf_hatchgrp_tableraw&amp;yy'!$AC$3:$AC$38,'2017 Table 10 CWTs exp'!$A8)</f>
        <v>0</v>
      </c>
      <c r="N8" s="38">
        <f>SUMIFS('[10]inland_taf_hatchgrp_tableraw&amp;yy'!N$3:N$38,'[10]inland_taf_hatchgrp_tableraw&amp;yy'!$AC$3:$AC$38,'2017 Table 10 CWTs exp'!$A8)</f>
        <v>12</v>
      </c>
      <c r="O8" s="38">
        <f>SUMIFS('[10]inland_taf_hatchgrp_tableraw&amp;yy'!O$3:O$38,'[10]inland_taf_hatchgrp_tableraw&amp;yy'!$AC$3:$AC$38,'2017 Table 10 CWTs exp'!$A8)</f>
        <v>6</v>
      </c>
      <c r="P8" s="38">
        <f>SUMIFS('[10]inland_taf_hatchgrp_tableraw&amp;yy'!P$3:P$38,'[10]inland_taf_hatchgrp_tableraw&amp;yy'!$AC$3:$AC$38,'2017 Table 10 CWTs exp'!$A8)</f>
        <v>0</v>
      </c>
      <c r="Q8" s="40">
        <f>SUMIFS('[10]inland_taf_hatchgrp_tableraw&amp;yy'!Q$3:Q$38,'[10]inland_taf_hatchgrp_tableraw&amp;yy'!$AC$3:$AC$38,'2017 Table 10 CWTs exp'!$A8)</f>
        <v>0</v>
      </c>
      <c r="R8" s="38">
        <f>SUMIFS('[10]inland_taf_hatchgrp_tableraw&amp;yy'!R$3:R$38,'[10]inland_taf_hatchgrp_tableraw&amp;yy'!$AC$3:$AC$38,'2017 Table 10 CWTs exp'!$A8)</f>
        <v>0</v>
      </c>
      <c r="S8" s="40">
        <f>SUMIFS('[10]inland_taf_hatchgrp_tableraw&amp;yy'!S$3:S$38,'[10]inland_taf_hatchgrp_tableraw&amp;yy'!$AC$3:$AC$38,'2017 Table 10 CWTs exp'!$A8)</f>
        <v>4</v>
      </c>
      <c r="T8" s="38">
        <f>SUMIFS('[10]inland_taf_hatchgrp_tableraw&amp;yy'!T$3:T$38,'[10]inland_taf_hatchgrp_tableraw&amp;yy'!$AC$3:$AC$38,'2017 Table 10 CWTs exp'!$A8)</f>
        <v>0</v>
      </c>
      <c r="U8" s="38">
        <f>SUMIFS('[10]inland_taf_hatchgrp_tableraw&amp;yy'!U$3:U$38,'[10]inland_taf_hatchgrp_tableraw&amp;yy'!$AC$3:$AC$38,'2017 Table 10 CWTs exp'!$A8)</f>
        <v>4</v>
      </c>
      <c r="V8" s="38">
        <f>SUMIFS('[10]inland_taf_hatchgrp_tableraw&amp;yy'!V$3:V$38,'[10]inland_taf_hatchgrp_tableraw&amp;yy'!$AC$3:$AC$38,'2017 Table 10 CWTs exp'!$A8)</f>
        <v>0</v>
      </c>
      <c r="W8" s="40">
        <f>SUMIFS('[10]inland_taf_hatchgrp_tableraw&amp;yy'!W$3:W$38,'[10]inland_taf_hatchgrp_tableraw&amp;yy'!$AC$3:$AC$38,'2017 Table 10 CWTs exp'!$A8)</f>
        <v>0</v>
      </c>
      <c r="X8" s="38">
        <f>SUMIFS('[10]inland_taf_hatchgrp_tableraw&amp;yy'!X$3:X$38,'[10]inland_taf_hatchgrp_tableraw&amp;yy'!$AC$3:$AC$38,'2017 Table 10 CWTs exp'!$A8)</f>
        <v>0</v>
      </c>
      <c r="Y8" s="41">
        <f>SUMIFS('[10]inland_taf_hatchgrp_tableraw&amp;yy'!Y$3:Y$38,'[10]inland_taf_hatchgrp_tableraw&amp;yy'!$AC$3:$AC$38,'2017 Table 10 CWTs exp'!$A8)</f>
        <v>54</v>
      </c>
      <c r="Z8" s="42">
        <f>SUMIFS('[10]inland_taf_hatchgrp_tableraw&amp;yy'!Z$3:Z$38,'[10]inland_taf_hatchgrp_tableraw&amp;yy'!$AC$3:$AC$38,'2017 Table 10 CWTs exp'!$A8)</f>
        <v>57</v>
      </c>
      <c r="AA8" s="38">
        <f>SUMIFS('[10]inland_taf_hatchgrp_tableraw&amp;yy'!AA$3:AA$38,'[10]inland_taf_hatchgrp_tableraw&amp;yy'!$AC$3:$AC$38,'2017 Table 10 CWTs exp'!$A8)</f>
        <v>111</v>
      </c>
      <c r="AB8" s="38"/>
      <c r="AC8" s="634"/>
      <c r="AD8" s="603">
        <f>SUMIFS('[10]inland_taf_hatchgrp_tableraw&amp;yy'!AB$3:AB$38,'[10]inland_taf_hatchgrp_tableraw&amp;yy'!$AC$3:$AC$38,'2017 Table 10 CWTs exp'!$A8)</f>
        <v>0.48599999999999999</v>
      </c>
      <c r="AE8" s="604" t="str">
        <f t="shared" si="1"/>
        <v>KESW503</v>
      </c>
      <c r="AF8" s="603"/>
      <c r="AG8" s="622">
        <f>Y8/AA8</f>
        <v>0.48648648648648651</v>
      </c>
      <c r="AH8" s="597"/>
      <c r="AI8" s="605">
        <f>1-AD8</f>
        <v>0.51400000000000001</v>
      </c>
      <c r="AJ8" s="447">
        <f>Z8</f>
        <v>57</v>
      </c>
      <c r="AK8" s="448">
        <f t="shared" ref="AK8:AK13" si="3">AJ8/AA8</f>
        <v>0.51351351351351349</v>
      </c>
      <c r="AL8" s="451">
        <v>3</v>
      </c>
      <c r="AM8" s="442" t="s">
        <v>48</v>
      </c>
      <c r="AN8" s="442"/>
      <c r="AO8" s="442"/>
      <c r="AP8" s="442"/>
      <c r="AQ8" s="442"/>
      <c r="AR8" s="442"/>
      <c r="AS8" s="442"/>
      <c r="AT8" s="442"/>
      <c r="AU8" s="442"/>
      <c r="AV8" s="442"/>
      <c r="AW8" s="442"/>
      <c r="AX8" s="442"/>
      <c r="AY8" s="442"/>
      <c r="AZ8" s="442"/>
      <c r="BA8" s="442"/>
      <c r="BB8" s="442"/>
      <c r="BC8" s="442"/>
      <c r="BD8" s="442"/>
      <c r="BE8" s="442"/>
      <c r="BF8" s="442"/>
      <c r="BG8" s="442"/>
      <c r="BH8" s="442"/>
      <c r="BI8" s="442"/>
      <c r="BJ8" s="442"/>
    </row>
    <row r="9" spans="1:62" ht="14.5" customHeight="1" x14ac:dyDescent="0.25">
      <c r="A9" s="50" t="str">
        <f t="shared" si="0"/>
        <v>CNFH503</v>
      </c>
      <c r="B9" s="13" t="s">
        <v>40</v>
      </c>
      <c r="C9" s="13">
        <v>50</v>
      </c>
      <c r="D9" s="13">
        <v>3</v>
      </c>
      <c r="E9" s="3" t="s">
        <v>41</v>
      </c>
      <c r="F9" s="43" t="str">
        <f t="shared" si="2"/>
        <v>Fall</v>
      </c>
      <c r="G9" s="38">
        <f>SUMIFS('[10]inland_taf_hatchgrp_tableraw&amp;yy'!G$3:G$38,'[10]inland_taf_hatchgrp_tableraw&amp;yy'!$AC$3:$AC$38,'2017 Table 10 CWTs exp'!$A9)</f>
        <v>0</v>
      </c>
      <c r="H9" s="39">
        <f>SUMIFS('[10]inland_taf_hatchgrp_tableraw&amp;yy'!H$3:H$38,'[10]inland_taf_hatchgrp_tableraw&amp;yy'!$AC$3:$AC$38,'2017 Table 10 CWTs exp'!$A9)</f>
        <v>0</v>
      </c>
      <c r="I9" s="38">
        <f>SUMIFS('[10]inland_taf_hatchgrp_tableraw&amp;yy'!I$3:I$38,'[10]inland_taf_hatchgrp_tableraw&amp;yy'!$AC$3:$AC$38,'2017 Table 10 CWTs exp'!$A9)</f>
        <v>5464</v>
      </c>
      <c r="J9" s="40">
        <f>SUMIFS('[10]inland_taf_hatchgrp_tableraw&amp;yy'!J$3:J$38,'[10]inland_taf_hatchgrp_tableraw&amp;yy'!$AC$3:$AC$38,'2017 Table 10 CWTs exp'!$A9)</f>
        <v>28</v>
      </c>
      <c r="K9" s="38">
        <f>SUMIFS('[10]inland_taf_hatchgrp_tableraw&amp;yy'!K$3:K$38,'[10]inland_taf_hatchgrp_tableraw&amp;yy'!$AC$3:$AC$38,'2017 Table 10 CWTs exp'!$A9)</f>
        <v>1</v>
      </c>
      <c r="L9" s="38">
        <f>SUMIFS('[10]inland_taf_hatchgrp_tableraw&amp;yy'!L$3:L$38,'[10]inland_taf_hatchgrp_tableraw&amp;yy'!$AC$3:$AC$38,'2017 Table 10 CWTs exp'!$A9)</f>
        <v>0</v>
      </c>
      <c r="M9" s="38">
        <f>SUMIFS('[10]inland_taf_hatchgrp_tableraw&amp;yy'!M$3:M$38,'[10]inland_taf_hatchgrp_tableraw&amp;yy'!$AC$3:$AC$38,'2017 Table 10 CWTs exp'!$A9)</f>
        <v>0</v>
      </c>
      <c r="N9" s="38">
        <f>SUMIFS('[10]inland_taf_hatchgrp_tableraw&amp;yy'!N$3:N$38,'[10]inland_taf_hatchgrp_tableraw&amp;yy'!$AC$3:$AC$38,'2017 Table 10 CWTs exp'!$A9)</f>
        <v>8</v>
      </c>
      <c r="O9" s="38">
        <f>SUMIFS('[10]inland_taf_hatchgrp_tableraw&amp;yy'!O$3:O$38,'[10]inland_taf_hatchgrp_tableraw&amp;yy'!$AC$3:$AC$38,'2017 Table 10 CWTs exp'!$A9)</f>
        <v>1</v>
      </c>
      <c r="P9" s="38">
        <f>SUMIFS('[10]inland_taf_hatchgrp_tableraw&amp;yy'!P$3:P$38,'[10]inland_taf_hatchgrp_tableraw&amp;yy'!$AC$3:$AC$38,'2017 Table 10 CWTs exp'!$A9)</f>
        <v>0</v>
      </c>
      <c r="Q9" s="40">
        <f>SUMIFS('[10]inland_taf_hatchgrp_tableraw&amp;yy'!Q$3:Q$38,'[10]inland_taf_hatchgrp_tableraw&amp;yy'!$AC$3:$AC$38,'2017 Table 10 CWTs exp'!$A9)</f>
        <v>0</v>
      </c>
      <c r="R9" s="38">
        <f>SUMIFS('[10]inland_taf_hatchgrp_tableraw&amp;yy'!R$3:R$38,'[10]inland_taf_hatchgrp_tableraw&amp;yy'!$AC$3:$AC$38,'2017 Table 10 CWTs exp'!$A9)</f>
        <v>0</v>
      </c>
      <c r="S9" s="40">
        <f>SUMIFS('[10]inland_taf_hatchgrp_tableraw&amp;yy'!S$3:S$38,'[10]inland_taf_hatchgrp_tableraw&amp;yy'!$AC$3:$AC$38,'2017 Table 10 CWTs exp'!$A9)</f>
        <v>8</v>
      </c>
      <c r="T9" s="38">
        <f>SUMIFS('[10]inland_taf_hatchgrp_tableraw&amp;yy'!T$3:T$38,'[10]inland_taf_hatchgrp_tableraw&amp;yy'!$AC$3:$AC$38,'2017 Table 10 CWTs exp'!$A9)</f>
        <v>0</v>
      </c>
      <c r="U9" s="38">
        <f>SUMIFS('[10]inland_taf_hatchgrp_tableraw&amp;yy'!U$3:U$38,'[10]inland_taf_hatchgrp_tableraw&amp;yy'!$AC$3:$AC$38,'2017 Table 10 CWTs exp'!$A9)</f>
        <v>40</v>
      </c>
      <c r="V9" s="38">
        <f>SUMIFS('[10]inland_taf_hatchgrp_tableraw&amp;yy'!V$3:V$38,'[10]inland_taf_hatchgrp_tableraw&amp;yy'!$AC$3:$AC$38,'2017 Table 10 CWTs exp'!$A9)</f>
        <v>3</v>
      </c>
      <c r="W9" s="40">
        <f>SUMIFS('[10]inland_taf_hatchgrp_tableraw&amp;yy'!W$3:W$38,'[10]inland_taf_hatchgrp_tableraw&amp;yy'!$AC$3:$AC$38,'2017 Table 10 CWTs exp'!$A9)</f>
        <v>1</v>
      </c>
      <c r="X9" s="38">
        <f>SUMIFS('[10]inland_taf_hatchgrp_tableraw&amp;yy'!X$3:X$38,'[10]inland_taf_hatchgrp_tableraw&amp;yy'!$AC$3:$AC$38,'2017 Table 10 CWTs exp'!$A9)</f>
        <v>2</v>
      </c>
      <c r="Y9" s="41">
        <f>SUMIFS('[10]inland_taf_hatchgrp_tableraw&amp;yy'!Y$3:Y$38,'[10]inland_taf_hatchgrp_tableraw&amp;yy'!$AC$3:$AC$38,'2017 Table 10 CWTs exp'!$A9)</f>
        <v>5556</v>
      </c>
      <c r="Z9" s="42">
        <f>SUMIFS('[10]inland_taf_hatchgrp_tableraw&amp;yy'!Z$3:Z$38,'[10]inland_taf_hatchgrp_tableraw&amp;yy'!$AC$3:$AC$38,'2017 Table 10 CWTs exp'!$A9)</f>
        <v>840</v>
      </c>
      <c r="AA9" s="38">
        <f>SUMIFS('[10]inland_taf_hatchgrp_tableraw&amp;yy'!AA$3:AA$38,'[10]inland_taf_hatchgrp_tableraw&amp;yy'!$AC$3:$AC$38,'2017 Table 10 CWTs exp'!$A9)</f>
        <v>6396</v>
      </c>
      <c r="AB9" s="38"/>
      <c r="AC9" s="634"/>
      <c r="AD9" s="603">
        <f>SUMIFS('[10]inland_taf_hatchgrp_tableraw&amp;yy'!AB$3:AB$38,'[10]inland_taf_hatchgrp_tableraw&amp;yy'!$AC$3:$AC$38,'2017 Table 10 CWTs exp'!$A9)</f>
        <v>0.86899999999999999</v>
      </c>
      <c r="AE9" s="604" t="str">
        <f t="shared" si="1"/>
        <v>CNFH503</v>
      </c>
      <c r="AF9" s="603"/>
      <c r="AG9" s="622">
        <f t="shared" ref="AG9:AG16" si="4">Y9/AA9</f>
        <v>0.86866791744840521</v>
      </c>
      <c r="AH9" s="597"/>
      <c r="AI9" s="605">
        <f>1-AD9</f>
        <v>0.13100000000000001</v>
      </c>
      <c r="AJ9" s="447">
        <f>Z9</f>
        <v>840</v>
      </c>
      <c r="AK9" s="448">
        <f t="shared" si="3"/>
        <v>0.13133208255159476</v>
      </c>
      <c r="AL9" s="451">
        <v>4</v>
      </c>
      <c r="AM9" s="442" t="s">
        <v>42</v>
      </c>
      <c r="AN9" s="442"/>
      <c r="AO9" s="442"/>
      <c r="AP9" s="442"/>
      <c r="AQ9" s="442"/>
      <c r="AR9" s="442"/>
      <c r="AS9" s="442"/>
      <c r="AT9" s="442"/>
      <c r="AU9" s="442"/>
      <c r="AV9" s="442"/>
      <c r="AW9" s="442"/>
      <c r="AX9" s="442"/>
      <c r="AY9" s="442"/>
      <c r="AZ9" s="442"/>
      <c r="BA9" s="442"/>
      <c r="BB9" s="442"/>
      <c r="BC9" s="442"/>
      <c r="BD9" s="442"/>
      <c r="BE9" s="442"/>
      <c r="BF9" s="442"/>
      <c r="BG9" s="442"/>
      <c r="BH9" s="442"/>
      <c r="BI9" s="442"/>
      <c r="BJ9" s="442"/>
    </row>
    <row r="10" spans="1:62" ht="14.5" customHeight="1" x14ac:dyDescent="0.25">
      <c r="A10" s="50" t="str">
        <f t="shared" si="0"/>
        <v>FRFH503</v>
      </c>
      <c r="B10" s="13" t="s">
        <v>45</v>
      </c>
      <c r="C10" s="13">
        <v>50</v>
      </c>
      <c r="D10" s="13">
        <v>3</v>
      </c>
      <c r="E10" s="3" t="s">
        <v>46</v>
      </c>
      <c r="F10" s="43" t="str">
        <f t="shared" si="2"/>
        <v>Fall</v>
      </c>
      <c r="G10" s="38">
        <f>SUMIFS('[10]inland_taf_hatchgrp_tableraw&amp;yy'!G$3:G$38,'[10]inland_taf_hatchgrp_tableraw&amp;yy'!$AC$3:$AC$38,'2017 Table 10 CWTs exp'!$A10)</f>
        <v>0</v>
      </c>
      <c r="H10" s="39">
        <f>SUMIFS('[10]inland_taf_hatchgrp_tableraw&amp;yy'!H$3:H$38,'[10]inland_taf_hatchgrp_tableraw&amp;yy'!$AC$3:$AC$38,'2017 Table 10 CWTs exp'!$A10)</f>
        <v>2</v>
      </c>
      <c r="I10" s="38">
        <f>SUMIFS('[10]inland_taf_hatchgrp_tableraw&amp;yy'!I$3:I$38,'[10]inland_taf_hatchgrp_tableraw&amp;yy'!$AC$3:$AC$38,'2017 Table 10 CWTs exp'!$A10)</f>
        <v>4</v>
      </c>
      <c r="J10" s="40">
        <f>SUMIFS('[10]inland_taf_hatchgrp_tableraw&amp;yy'!J$3:J$38,'[10]inland_taf_hatchgrp_tableraw&amp;yy'!$AC$3:$AC$38,'2017 Table 10 CWTs exp'!$A10)</f>
        <v>341</v>
      </c>
      <c r="K10" s="38">
        <f>SUMIFS('[10]inland_taf_hatchgrp_tableraw&amp;yy'!K$3:K$38,'[10]inland_taf_hatchgrp_tableraw&amp;yy'!$AC$3:$AC$38,'2017 Table 10 CWTs exp'!$A10)</f>
        <v>579</v>
      </c>
      <c r="L10" s="38">
        <f>SUMIFS('[10]inland_taf_hatchgrp_tableraw&amp;yy'!L$3:L$38,'[10]inland_taf_hatchgrp_tableraw&amp;yy'!$AC$3:$AC$38,'2017 Table 10 CWTs exp'!$A10)</f>
        <v>61</v>
      </c>
      <c r="M10" s="38">
        <f>SUMIFS('[10]inland_taf_hatchgrp_tableraw&amp;yy'!M$3:M$38,'[10]inland_taf_hatchgrp_tableraw&amp;yy'!$AC$3:$AC$38,'2017 Table 10 CWTs exp'!$A10)</f>
        <v>44</v>
      </c>
      <c r="N10" s="38">
        <f>SUMIFS('[10]inland_taf_hatchgrp_tableraw&amp;yy'!N$3:N$38,'[10]inland_taf_hatchgrp_tableraw&amp;yy'!$AC$3:$AC$38,'2017 Table 10 CWTs exp'!$A10)</f>
        <v>21293</v>
      </c>
      <c r="O10" s="38">
        <f>SUMIFS('[10]inland_taf_hatchgrp_tableraw&amp;yy'!O$3:O$38,'[10]inland_taf_hatchgrp_tableraw&amp;yy'!$AC$3:$AC$38,'2017 Table 10 CWTs exp'!$A10)</f>
        <v>1419</v>
      </c>
      <c r="P10" s="38">
        <f>SUMIFS('[10]inland_taf_hatchgrp_tableraw&amp;yy'!P$3:P$38,'[10]inland_taf_hatchgrp_tableraw&amp;yy'!$AC$3:$AC$38,'2017 Table 10 CWTs exp'!$A10)</f>
        <v>38</v>
      </c>
      <c r="Q10" s="40">
        <f>SUMIFS('[10]inland_taf_hatchgrp_tableraw&amp;yy'!Q$3:Q$38,'[10]inland_taf_hatchgrp_tableraw&amp;yy'!$AC$3:$AC$38,'2017 Table 10 CWTs exp'!$A10)</f>
        <v>10</v>
      </c>
      <c r="R10" s="38">
        <f>SUMIFS('[10]inland_taf_hatchgrp_tableraw&amp;yy'!R$3:R$38,'[10]inland_taf_hatchgrp_tableraw&amp;yy'!$AC$3:$AC$38,'2017 Table 10 CWTs exp'!$A10)</f>
        <v>0</v>
      </c>
      <c r="S10" s="40">
        <f>SUMIFS('[10]inland_taf_hatchgrp_tableraw&amp;yy'!S$3:S$38,'[10]inland_taf_hatchgrp_tableraw&amp;yy'!$AC$3:$AC$38,'2017 Table 10 CWTs exp'!$A10)</f>
        <v>96</v>
      </c>
      <c r="T10" s="38">
        <f>SUMIFS('[10]inland_taf_hatchgrp_tableraw&amp;yy'!T$3:T$38,'[10]inland_taf_hatchgrp_tableraw&amp;yy'!$AC$3:$AC$38,'2017 Table 10 CWTs exp'!$A10)</f>
        <v>5</v>
      </c>
      <c r="U10" s="38">
        <f>SUMIFS('[10]inland_taf_hatchgrp_tableraw&amp;yy'!U$3:U$38,'[10]inland_taf_hatchgrp_tableraw&amp;yy'!$AC$3:$AC$38,'2017 Table 10 CWTs exp'!$A10)</f>
        <v>241</v>
      </c>
      <c r="V10" s="38">
        <f>SUMIFS('[10]inland_taf_hatchgrp_tableraw&amp;yy'!V$3:V$38,'[10]inland_taf_hatchgrp_tableraw&amp;yy'!$AC$3:$AC$38,'2017 Table 10 CWTs exp'!$A10)</f>
        <v>80</v>
      </c>
      <c r="W10" s="40">
        <f>SUMIFS('[10]inland_taf_hatchgrp_tableraw&amp;yy'!W$3:W$38,'[10]inland_taf_hatchgrp_tableraw&amp;yy'!$AC$3:$AC$38,'2017 Table 10 CWTs exp'!$A10)</f>
        <v>22</v>
      </c>
      <c r="X10" s="38">
        <f>SUMIFS('[10]inland_taf_hatchgrp_tableraw&amp;yy'!X$3:X$38,'[10]inland_taf_hatchgrp_tableraw&amp;yy'!$AC$3:$AC$38,'2017 Table 10 CWTs exp'!$A10)</f>
        <v>106</v>
      </c>
      <c r="Y10" s="41">
        <f>SUMIFS('[10]inland_taf_hatchgrp_tableraw&amp;yy'!Y$3:Y$38,'[10]inland_taf_hatchgrp_tableraw&amp;yy'!$AC$3:$AC$38,'2017 Table 10 CWTs exp'!$A10)</f>
        <v>24341</v>
      </c>
      <c r="Z10" s="42">
        <f>SUMIFS('[10]inland_taf_hatchgrp_tableraw&amp;yy'!Z$3:Z$38,'[10]inland_taf_hatchgrp_tableraw&amp;yy'!$AC$3:$AC$38,'2017 Table 10 CWTs exp'!$A10)</f>
        <v>705</v>
      </c>
      <c r="AA10" s="38">
        <f>SUMIFS('[10]inland_taf_hatchgrp_tableraw&amp;yy'!AA$3:AA$38,'[10]inland_taf_hatchgrp_tableraw&amp;yy'!$AC$3:$AC$38,'2017 Table 10 CWTs exp'!$A10)</f>
        <v>25046</v>
      </c>
      <c r="AB10" s="38"/>
      <c r="AC10" s="634"/>
      <c r="AD10" s="603">
        <f>SUMIFS('[10]inland_taf_hatchgrp_tableraw&amp;yy'!AB$3:AB$38,'[10]inland_taf_hatchgrp_tableraw&amp;yy'!$AC$3:$AC$38,'2017 Table 10 CWTs exp'!$A10)</f>
        <v>0.97199999999999998</v>
      </c>
      <c r="AE10" s="604" t="str">
        <f t="shared" si="1"/>
        <v>FRFH503</v>
      </c>
      <c r="AF10" s="603"/>
      <c r="AG10" s="622">
        <f t="shared" si="4"/>
        <v>0.97185179270142941</v>
      </c>
      <c r="AH10" s="597"/>
      <c r="AI10" s="605">
        <f t="shared" ref="AI10:AI13" si="5">1-AD10</f>
        <v>2.8000000000000025E-2</v>
      </c>
      <c r="AJ10" s="447">
        <f t="shared" ref="AJ10:AJ13" si="6">Z10</f>
        <v>705</v>
      </c>
      <c r="AK10" s="448">
        <f t="shared" si="3"/>
        <v>2.8148207298570632E-2</v>
      </c>
      <c r="AL10" s="451">
        <v>7</v>
      </c>
      <c r="AM10" s="442" t="s">
        <v>49</v>
      </c>
      <c r="AN10" s="442"/>
      <c r="AO10" s="442"/>
      <c r="AP10" s="442"/>
      <c r="AQ10" s="442"/>
      <c r="AR10" s="442"/>
      <c r="AS10" s="442"/>
      <c r="AT10" s="442"/>
      <c r="AU10" s="442"/>
      <c r="AV10" s="442"/>
      <c r="AW10" s="442"/>
      <c r="AX10" s="442"/>
      <c r="AY10" s="442"/>
      <c r="AZ10" s="442"/>
      <c r="BA10" s="442"/>
      <c r="BB10" s="442"/>
      <c r="BC10" s="442"/>
      <c r="BD10" s="442"/>
      <c r="BE10" s="442"/>
      <c r="BF10" s="442"/>
      <c r="BG10" s="442"/>
      <c r="BH10" s="442"/>
      <c r="BI10" s="442"/>
      <c r="BJ10" s="442"/>
    </row>
    <row r="11" spans="1:62" ht="14.5" customHeight="1" x14ac:dyDescent="0.25">
      <c r="A11" s="50" t="str">
        <f t="shared" si="0"/>
        <v>NBFH503</v>
      </c>
      <c r="B11" s="13" t="s">
        <v>50</v>
      </c>
      <c r="C11" s="13">
        <v>50</v>
      </c>
      <c r="D11" s="13">
        <v>3</v>
      </c>
      <c r="E11" s="3" t="s">
        <v>51</v>
      </c>
      <c r="F11" s="43" t="str">
        <f t="shared" si="2"/>
        <v>Fall</v>
      </c>
      <c r="G11" s="38">
        <f>SUMIFS('[10]inland_taf_hatchgrp_tableraw&amp;yy'!G$3:G$38,'[10]inland_taf_hatchgrp_tableraw&amp;yy'!$AC$3:$AC$38,'2017 Table 10 CWTs exp'!$A11)</f>
        <v>0</v>
      </c>
      <c r="H11" s="39">
        <f>SUMIFS('[10]inland_taf_hatchgrp_tableraw&amp;yy'!H$3:H$38,'[10]inland_taf_hatchgrp_tableraw&amp;yy'!$AC$3:$AC$38,'2017 Table 10 CWTs exp'!$A11)</f>
        <v>2</v>
      </c>
      <c r="I11" s="38">
        <f>SUMIFS('[10]inland_taf_hatchgrp_tableraw&amp;yy'!I$3:I$38,'[10]inland_taf_hatchgrp_tableraw&amp;yy'!$AC$3:$AC$38,'2017 Table 10 CWTs exp'!$A11)</f>
        <v>0</v>
      </c>
      <c r="J11" s="40">
        <f>SUMIFS('[10]inland_taf_hatchgrp_tableraw&amp;yy'!J$3:J$38,'[10]inland_taf_hatchgrp_tableraw&amp;yy'!$AC$3:$AC$38,'2017 Table 10 CWTs exp'!$A11)</f>
        <v>2404</v>
      </c>
      <c r="K11" s="38">
        <f>SUMIFS('[10]inland_taf_hatchgrp_tableraw&amp;yy'!K$3:K$38,'[10]inland_taf_hatchgrp_tableraw&amp;yy'!$AC$3:$AC$38,'2017 Table 10 CWTs exp'!$A11)</f>
        <v>0</v>
      </c>
      <c r="L11" s="38">
        <f>SUMIFS('[10]inland_taf_hatchgrp_tableraw&amp;yy'!L$3:L$38,'[10]inland_taf_hatchgrp_tableraw&amp;yy'!$AC$3:$AC$38,'2017 Table 10 CWTs exp'!$A11)</f>
        <v>0</v>
      </c>
      <c r="M11" s="38">
        <f>SUMIFS('[10]inland_taf_hatchgrp_tableraw&amp;yy'!M$3:M$38,'[10]inland_taf_hatchgrp_tableraw&amp;yy'!$AC$3:$AC$38,'2017 Table 10 CWTs exp'!$A11)</f>
        <v>0</v>
      </c>
      <c r="N11" s="38">
        <f>SUMIFS('[10]inland_taf_hatchgrp_tableraw&amp;yy'!N$3:N$38,'[10]inland_taf_hatchgrp_tableraw&amp;yy'!$AC$3:$AC$38,'2017 Table 10 CWTs exp'!$A11)</f>
        <v>967</v>
      </c>
      <c r="O11" s="38">
        <f>SUMIFS('[10]inland_taf_hatchgrp_tableraw&amp;yy'!O$3:O$38,'[10]inland_taf_hatchgrp_tableraw&amp;yy'!$AC$3:$AC$38,'2017 Table 10 CWTs exp'!$A11)</f>
        <v>175</v>
      </c>
      <c r="P11" s="38">
        <f>SUMIFS('[10]inland_taf_hatchgrp_tableraw&amp;yy'!P$3:P$38,'[10]inland_taf_hatchgrp_tableraw&amp;yy'!$AC$3:$AC$38,'2017 Table 10 CWTs exp'!$A11)</f>
        <v>3</v>
      </c>
      <c r="Q11" s="40">
        <f>SUMIFS('[10]inland_taf_hatchgrp_tableraw&amp;yy'!Q$3:Q$38,'[10]inland_taf_hatchgrp_tableraw&amp;yy'!$AC$3:$AC$38,'2017 Table 10 CWTs exp'!$A11)</f>
        <v>0</v>
      </c>
      <c r="R11" s="38">
        <f>SUMIFS('[10]inland_taf_hatchgrp_tableraw&amp;yy'!R$3:R$38,'[10]inland_taf_hatchgrp_tableraw&amp;yy'!$AC$3:$AC$38,'2017 Table 10 CWTs exp'!$A11)</f>
        <v>132</v>
      </c>
      <c r="S11" s="40">
        <f>SUMIFS('[10]inland_taf_hatchgrp_tableraw&amp;yy'!S$3:S$38,'[10]inland_taf_hatchgrp_tableraw&amp;yy'!$AC$3:$AC$38,'2017 Table 10 CWTs exp'!$A11)</f>
        <v>4402</v>
      </c>
      <c r="T11" s="38">
        <f>SUMIFS('[10]inland_taf_hatchgrp_tableraw&amp;yy'!T$3:T$38,'[10]inland_taf_hatchgrp_tableraw&amp;yy'!$AC$3:$AC$38,'2017 Table 10 CWTs exp'!$A11)</f>
        <v>16</v>
      </c>
      <c r="U11" s="38">
        <f>SUMIFS('[10]inland_taf_hatchgrp_tableraw&amp;yy'!U$3:U$38,'[10]inland_taf_hatchgrp_tableraw&amp;yy'!$AC$3:$AC$38,'2017 Table 10 CWTs exp'!$A11)</f>
        <v>970</v>
      </c>
      <c r="V11" s="38">
        <f>SUMIFS('[10]inland_taf_hatchgrp_tableraw&amp;yy'!V$3:V$38,'[10]inland_taf_hatchgrp_tableraw&amp;yy'!$AC$3:$AC$38,'2017 Table 10 CWTs exp'!$A11)</f>
        <v>286</v>
      </c>
      <c r="W11" s="40">
        <f>SUMIFS('[10]inland_taf_hatchgrp_tableraw&amp;yy'!W$3:W$38,'[10]inland_taf_hatchgrp_tableraw&amp;yy'!$AC$3:$AC$38,'2017 Table 10 CWTs exp'!$A11)</f>
        <v>75</v>
      </c>
      <c r="X11" s="38">
        <f>SUMIFS('[10]inland_taf_hatchgrp_tableraw&amp;yy'!X$3:X$38,'[10]inland_taf_hatchgrp_tableraw&amp;yy'!$AC$3:$AC$38,'2017 Table 10 CWTs exp'!$A11)</f>
        <v>110</v>
      </c>
      <c r="Y11" s="41">
        <f>SUMIFS('[10]inland_taf_hatchgrp_tableraw&amp;yy'!Y$3:Y$38,'[10]inland_taf_hatchgrp_tableraw&amp;yy'!$AC$3:$AC$38,'2017 Table 10 CWTs exp'!$A11)</f>
        <v>9542</v>
      </c>
      <c r="Z11" s="42">
        <f>SUMIFS('[10]inland_taf_hatchgrp_tableraw&amp;yy'!Z$3:Z$38,'[10]inland_taf_hatchgrp_tableraw&amp;yy'!$AC$3:$AC$38,'2017 Table 10 CWTs exp'!$A11)</f>
        <v>1037</v>
      </c>
      <c r="AA11" s="38">
        <f>SUMIFS('[10]inland_taf_hatchgrp_tableraw&amp;yy'!AA$3:AA$38,'[10]inland_taf_hatchgrp_tableraw&amp;yy'!$AC$3:$AC$38,'2017 Table 10 CWTs exp'!$A11)</f>
        <v>10579</v>
      </c>
      <c r="AB11" s="38"/>
      <c r="AC11" s="634"/>
      <c r="AD11" s="603">
        <f>SUMIFS('[10]inland_taf_hatchgrp_tableraw&amp;yy'!AB$3:AB$38,'[10]inland_taf_hatchgrp_tableraw&amp;yy'!$AC$3:$AC$38,'2017 Table 10 CWTs exp'!$A11)</f>
        <v>0.90200000000000002</v>
      </c>
      <c r="AE11" s="604" t="str">
        <f t="shared" si="1"/>
        <v>NBFH503</v>
      </c>
      <c r="AF11" s="603"/>
      <c r="AG11" s="622">
        <f t="shared" si="4"/>
        <v>0.90197561206163157</v>
      </c>
      <c r="AH11" s="597"/>
      <c r="AI11" s="605">
        <f t="shared" si="5"/>
        <v>9.7999999999999976E-2</v>
      </c>
      <c r="AJ11" s="447">
        <f t="shared" si="6"/>
        <v>1037</v>
      </c>
      <c r="AK11" s="448">
        <f t="shared" si="3"/>
        <v>9.8024387938368471E-2</v>
      </c>
      <c r="AL11" s="451"/>
      <c r="AM11" s="442"/>
      <c r="AN11" s="442"/>
      <c r="AO11" s="442"/>
      <c r="AP11" s="442"/>
      <c r="AQ11" s="442"/>
      <c r="AR11" s="442"/>
      <c r="AS11" s="442"/>
      <c r="AT11" s="442"/>
      <c r="AU11" s="442"/>
      <c r="AV11" s="442"/>
      <c r="AW11" s="442"/>
      <c r="AX11" s="442"/>
      <c r="AY11" s="442"/>
      <c r="AZ11" s="442"/>
      <c r="BA11" s="442"/>
      <c r="BB11" s="442"/>
      <c r="BC11" s="442"/>
      <c r="BD11" s="442"/>
      <c r="BE11" s="442"/>
      <c r="BF11" s="442"/>
      <c r="BG11" s="442"/>
      <c r="BH11" s="442"/>
      <c r="BI11" s="442"/>
      <c r="BJ11" s="442"/>
    </row>
    <row r="12" spans="1:62" ht="14.5" customHeight="1" x14ac:dyDescent="0.25">
      <c r="A12" s="50" t="str">
        <f t="shared" si="0"/>
        <v>MRFI503</v>
      </c>
      <c r="B12" s="13" t="s">
        <v>52</v>
      </c>
      <c r="C12" s="13">
        <v>50</v>
      </c>
      <c r="D12" s="13">
        <v>3</v>
      </c>
      <c r="E12" s="3" t="s">
        <v>53</v>
      </c>
      <c r="F12" s="43" t="str">
        <f t="shared" si="2"/>
        <v>Fall</v>
      </c>
      <c r="G12" s="38">
        <f>SUMIFS('[10]inland_taf_hatchgrp_tableraw&amp;yy'!G$3:G$38,'[10]inland_taf_hatchgrp_tableraw&amp;yy'!$AC$3:$AC$38,'2017 Table 10 CWTs exp'!$A12)</f>
        <v>0</v>
      </c>
      <c r="H12" s="39">
        <f>SUMIFS('[10]inland_taf_hatchgrp_tableraw&amp;yy'!H$3:H$38,'[10]inland_taf_hatchgrp_tableraw&amp;yy'!$AC$3:$AC$38,'2017 Table 10 CWTs exp'!$A12)</f>
        <v>7</v>
      </c>
      <c r="I12" s="38">
        <f>SUMIFS('[10]inland_taf_hatchgrp_tableraw&amp;yy'!I$3:I$38,'[10]inland_taf_hatchgrp_tableraw&amp;yy'!$AC$3:$AC$38,'2017 Table 10 CWTs exp'!$A12)</f>
        <v>0</v>
      </c>
      <c r="J12" s="40">
        <f>SUMIFS('[10]inland_taf_hatchgrp_tableraw&amp;yy'!J$3:J$38,'[10]inland_taf_hatchgrp_tableraw&amp;yy'!$AC$3:$AC$38,'2017 Table 10 CWTs exp'!$A12)</f>
        <v>507</v>
      </c>
      <c r="K12" s="38">
        <f>SUMIFS('[10]inland_taf_hatchgrp_tableraw&amp;yy'!K$3:K$38,'[10]inland_taf_hatchgrp_tableraw&amp;yy'!$AC$3:$AC$38,'2017 Table 10 CWTs exp'!$A12)</f>
        <v>0</v>
      </c>
      <c r="L12" s="38">
        <f>SUMIFS('[10]inland_taf_hatchgrp_tableraw&amp;yy'!L$3:L$38,'[10]inland_taf_hatchgrp_tableraw&amp;yy'!$AC$3:$AC$38,'2017 Table 10 CWTs exp'!$A12)</f>
        <v>0</v>
      </c>
      <c r="M12" s="38">
        <f>SUMIFS('[10]inland_taf_hatchgrp_tableraw&amp;yy'!M$3:M$38,'[10]inland_taf_hatchgrp_tableraw&amp;yy'!$AC$3:$AC$38,'2017 Table 10 CWTs exp'!$A12)</f>
        <v>0</v>
      </c>
      <c r="N12" s="38">
        <f>SUMIFS('[10]inland_taf_hatchgrp_tableraw&amp;yy'!N$3:N$38,'[10]inland_taf_hatchgrp_tableraw&amp;yy'!$AC$3:$AC$38,'2017 Table 10 CWTs exp'!$A12)</f>
        <v>695</v>
      </c>
      <c r="O12" s="38">
        <f>SUMIFS('[10]inland_taf_hatchgrp_tableraw&amp;yy'!O$3:O$38,'[10]inland_taf_hatchgrp_tableraw&amp;yy'!$AC$3:$AC$38,'2017 Table 10 CWTs exp'!$A12)</f>
        <v>89</v>
      </c>
      <c r="P12" s="38">
        <f>SUMIFS('[10]inland_taf_hatchgrp_tableraw&amp;yy'!P$3:P$38,'[10]inland_taf_hatchgrp_tableraw&amp;yy'!$AC$3:$AC$38,'2017 Table 10 CWTs exp'!$A12)</f>
        <v>0</v>
      </c>
      <c r="Q12" s="40">
        <f>SUMIFS('[10]inland_taf_hatchgrp_tableraw&amp;yy'!Q$3:Q$38,'[10]inland_taf_hatchgrp_tableraw&amp;yy'!$AC$3:$AC$38,'2017 Table 10 CWTs exp'!$A12)</f>
        <v>0</v>
      </c>
      <c r="R12" s="38">
        <f>SUMIFS('[10]inland_taf_hatchgrp_tableraw&amp;yy'!R$3:R$38,'[10]inland_taf_hatchgrp_tableraw&amp;yy'!$AC$3:$AC$38,'2017 Table 10 CWTs exp'!$A12)</f>
        <v>4</v>
      </c>
      <c r="S12" s="40">
        <f>SUMIFS('[10]inland_taf_hatchgrp_tableraw&amp;yy'!S$3:S$38,'[10]inland_taf_hatchgrp_tableraw&amp;yy'!$AC$3:$AC$38,'2017 Table 10 CWTs exp'!$A12)</f>
        <v>2172</v>
      </c>
      <c r="T12" s="38">
        <f>SUMIFS('[10]inland_taf_hatchgrp_tableraw&amp;yy'!T$3:T$38,'[10]inland_taf_hatchgrp_tableraw&amp;yy'!$AC$3:$AC$38,'2017 Table 10 CWTs exp'!$A12)</f>
        <v>114</v>
      </c>
      <c r="U12" s="38">
        <f>SUMIFS('[10]inland_taf_hatchgrp_tableraw&amp;yy'!U$3:U$38,'[10]inland_taf_hatchgrp_tableraw&amp;yy'!$AC$3:$AC$38,'2017 Table 10 CWTs exp'!$A12)</f>
        <v>7209</v>
      </c>
      <c r="V12" s="38">
        <f>SUMIFS('[10]inland_taf_hatchgrp_tableraw&amp;yy'!V$3:V$38,'[10]inland_taf_hatchgrp_tableraw&amp;yy'!$AC$3:$AC$38,'2017 Table 10 CWTs exp'!$A12)</f>
        <v>1520</v>
      </c>
      <c r="W12" s="40">
        <f>SUMIFS('[10]inland_taf_hatchgrp_tableraw&amp;yy'!W$3:W$38,'[10]inland_taf_hatchgrp_tableraw&amp;yy'!$AC$3:$AC$38,'2017 Table 10 CWTs exp'!$A12)</f>
        <v>796</v>
      </c>
      <c r="X12" s="38">
        <f>SUMIFS('[10]inland_taf_hatchgrp_tableraw&amp;yy'!X$3:X$38,'[10]inland_taf_hatchgrp_tableraw&amp;yy'!$AC$3:$AC$38,'2017 Table 10 CWTs exp'!$A12)</f>
        <v>336</v>
      </c>
      <c r="Y12" s="41">
        <f>SUMIFS('[10]inland_taf_hatchgrp_tableraw&amp;yy'!Y$3:Y$38,'[10]inland_taf_hatchgrp_tableraw&amp;yy'!$AC$3:$AC$38,'2017 Table 10 CWTs exp'!$A12)</f>
        <v>13449</v>
      </c>
      <c r="Z12" s="42">
        <f>SUMIFS('[10]inland_taf_hatchgrp_tableraw&amp;yy'!Z$3:Z$38,'[10]inland_taf_hatchgrp_tableraw&amp;yy'!$AC$3:$AC$38,'2017 Table 10 CWTs exp'!$A12)</f>
        <v>870</v>
      </c>
      <c r="AA12" s="38">
        <f>SUMIFS('[10]inland_taf_hatchgrp_tableraw&amp;yy'!AA$3:AA$38,'[10]inland_taf_hatchgrp_tableraw&amp;yy'!$AC$3:$AC$38,'2017 Table 10 CWTs exp'!$A12)</f>
        <v>14319</v>
      </c>
      <c r="AB12" s="38"/>
      <c r="AC12" s="634"/>
      <c r="AD12" s="603">
        <f>SUMIFS('[10]inland_taf_hatchgrp_tableraw&amp;yy'!AB$3:AB$38,'[10]inland_taf_hatchgrp_tableraw&amp;yy'!$AC$3:$AC$38,'2017 Table 10 CWTs exp'!$A12)</f>
        <v>0.93899999999999995</v>
      </c>
      <c r="AE12" s="604" t="str">
        <f t="shared" si="1"/>
        <v>MRFI503</v>
      </c>
      <c r="AF12" s="603"/>
      <c r="AG12" s="622">
        <f t="shared" si="4"/>
        <v>0.9392415671485439</v>
      </c>
      <c r="AH12" s="597"/>
      <c r="AI12" s="605">
        <f t="shared" si="5"/>
        <v>6.1000000000000054E-2</v>
      </c>
      <c r="AJ12" s="447">
        <f t="shared" si="6"/>
        <v>870</v>
      </c>
      <c r="AK12" s="448">
        <f t="shared" si="3"/>
        <v>6.0758432851456108E-2</v>
      </c>
      <c r="AL12" s="451"/>
      <c r="AM12" s="442"/>
      <c r="AN12" s="442"/>
      <c r="AO12" s="442"/>
      <c r="AP12" s="442"/>
      <c r="AQ12" s="442"/>
      <c r="AR12" s="442"/>
      <c r="AS12" s="442"/>
      <c r="AT12" s="442"/>
      <c r="AU12" s="442"/>
      <c r="AV12" s="442"/>
      <c r="AW12" s="442"/>
      <c r="AX12" s="442"/>
      <c r="AY12" s="442"/>
      <c r="AZ12" s="442"/>
      <c r="BA12" s="442"/>
      <c r="BB12" s="442"/>
      <c r="BC12" s="442"/>
      <c r="BD12" s="442"/>
      <c r="BE12" s="442"/>
      <c r="BF12" s="442"/>
      <c r="BG12" s="442"/>
      <c r="BH12" s="442"/>
      <c r="BI12" s="442"/>
      <c r="BJ12" s="442"/>
    </row>
    <row r="13" spans="1:62" ht="14.5" customHeight="1" x14ac:dyDescent="0.25">
      <c r="A13" s="50" t="str">
        <f t="shared" si="0"/>
        <v>MRFF503</v>
      </c>
      <c r="B13" s="13" t="s">
        <v>54</v>
      </c>
      <c r="C13" s="13">
        <v>50</v>
      </c>
      <c r="D13" s="13">
        <v>3</v>
      </c>
      <c r="E13" s="3" t="s">
        <v>55</v>
      </c>
      <c r="F13" s="43" t="str">
        <f t="shared" si="2"/>
        <v>Fall</v>
      </c>
      <c r="G13" s="38">
        <f>SUMIFS('[10]inland_taf_hatchgrp_tableraw&amp;yy'!G$3:G$38,'[10]inland_taf_hatchgrp_tableraw&amp;yy'!$AC$3:$AC$38,'2017 Table 10 CWTs exp'!$A13)</f>
        <v>0</v>
      </c>
      <c r="H13" s="39">
        <f>SUMIFS('[10]inland_taf_hatchgrp_tableraw&amp;yy'!H$3:H$38,'[10]inland_taf_hatchgrp_tableraw&amp;yy'!$AC$3:$AC$38,'2017 Table 10 CWTs exp'!$A13)</f>
        <v>1</v>
      </c>
      <c r="I13" s="38">
        <f>SUMIFS('[10]inland_taf_hatchgrp_tableraw&amp;yy'!I$3:I$38,'[10]inland_taf_hatchgrp_tableraw&amp;yy'!$AC$3:$AC$38,'2017 Table 10 CWTs exp'!$A13)</f>
        <v>0</v>
      </c>
      <c r="J13" s="40">
        <f>SUMIFS('[10]inland_taf_hatchgrp_tableraw&amp;yy'!J$3:J$38,'[10]inland_taf_hatchgrp_tableraw&amp;yy'!$AC$3:$AC$38,'2017 Table 10 CWTs exp'!$A13)</f>
        <v>129</v>
      </c>
      <c r="K13" s="38">
        <f>SUMIFS('[10]inland_taf_hatchgrp_tableraw&amp;yy'!K$3:K$38,'[10]inland_taf_hatchgrp_tableraw&amp;yy'!$AC$3:$AC$38,'2017 Table 10 CWTs exp'!$A13)</f>
        <v>0</v>
      </c>
      <c r="L13" s="38">
        <f>SUMIFS('[10]inland_taf_hatchgrp_tableraw&amp;yy'!L$3:L$38,'[10]inland_taf_hatchgrp_tableraw&amp;yy'!$AC$3:$AC$38,'2017 Table 10 CWTs exp'!$A13)</f>
        <v>0</v>
      </c>
      <c r="M13" s="38">
        <f>SUMIFS('[10]inland_taf_hatchgrp_tableraw&amp;yy'!M$3:M$38,'[10]inland_taf_hatchgrp_tableraw&amp;yy'!$AC$3:$AC$38,'2017 Table 10 CWTs exp'!$A13)</f>
        <v>0</v>
      </c>
      <c r="N13" s="38">
        <f>SUMIFS('[10]inland_taf_hatchgrp_tableraw&amp;yy'!N$3:N$38,'[10]inland_taf_hatchgrp_tableraw&amp;yy'!$AC$3:$AC$38,'2017 Table 10 CWTs exp'!$A13)</f>
        <v>100</v>
      </c>
      <c r="O13" s="38">
        <f>SUMIFS('[10]inland_taf_hatchgrp_tableraw&amp;yy'!O$3:O$38,'[10]inland_taf_hatchgrp_tableraw&amp;yy'!$AC$3:$AC$38,'2017 Table 10 CWTs exp'!$A13)</f>
        <v>5</v>
      </c>
      <c r="P13" s="38">
        <f>SUMIFS('[10]inland_taf_hatchgrp_tableraw&amp;yy'!P$3:P$38,'[10]inland_taf_hatchgrp_tableraw&amp;yy'!$AC$3:$AC$38,'2017 Table 10 CWTs exp'!$A13)</f>
        <v>0</v>
      </c>
      <c r="Q13" s="40">
        <f>SUMIFS('[10]inland_taf_hatchgrp_tableraw&amp;yy'!Q$3:Q$38,'[10]inland_taf_hatchgrp_tableraw&amp;yy'!$AC$3:$AC$38,'2017 Table 10 CWTs exp'!$A13)</f>
        <v>0</v>
      </c>
      <c r="R13" s="38">
        <f>SUMIFS('[10]inland_taf_hatchgrp_tableraw&amp;yy'!R$3:R$38,'[10]inland_taf_hatchgrp_tableraw&amp;yy'!$AC$3:$AC$38,'2017 Table 10 CWTs exp'!$A13)</f>
        <v>0</v>
      </c>
      <c r="S13" s="40">
        <f>SUMIFS('[10]inland_taf_hatchgrp_tableraw&amp;yy'!S$3:S$38,'[10]inland_taf_hatchgrp_tableraw&amp;yy'!$AC$3:$AC$38,'2017 Table 10 CWTs exp'!$A13)</f>
        <v>116</v>
      </c>
      <c r="T13" s="38">
        <f>SUMIFS('[10]inland_taf_hatchgrp_tableraw&amp;yy'!T$3:T$38,'[10]inland_taf_hatchgrp_tableraw&amp;yy'!$AC$3:$AC$38,'2017 Table 10 CWTs exp'!$A13)</f>
        <v>7</v>
      </c>
      <c r="U13" s="38">
        <f>SUMIFS('[10]inland_taf_hatchgrp_tableraw&amp;yy'!U$3:U$38,'[10]inland_taf_hatchgrp_tableraw&amp;yy'!$AC$3:$AC$38,'2017 Table 10 CWTs exp'!$A13)</f>
        <v>926</v>
      </c>
      <c r="V13" s="38">
        <f>SUMIFS('[10]inland_taf_hatchgrp_tableraw&amp;yy'!V$3:V$38,'[10]inland_taf_hatchgrp_tableraw&amp;yy'!$AC$3:$AC$38,'2017 Table 10 CWTs exp'!$A13)</f>
        <v>82</v>
      </c>
      <c r="W13" s="40">
        <f>SUMIFS('[10]inland_taf_hatchgrp_tableraw&amp;yy'!W$3:W$38,'[10]inland_taf_hatchgrp_tableraw&amp;yy'!$AC$3:$AC$38,'2017 Table 10 CWTs exp'!$A13)</f>
        <v>30</v>
      </c>
      <c r="X13" s="38">
        <f>SUMIFS('[10]inland_taf_hatchgrp_tableraw&amp;yy'!X$3:X$38,'[10]inland_taf_hatchgrp_tableraw&amp;yy'!$AC$3:$AC$38,'2017 Table 10 CWTs exp'!$A13)</f>
        <v>238</v>
      </c>
      <c r="Y13" s="41">
        <f>SUMIFS('[10]inland_taf_hatchgrp_tableraw&amp;yy'!Y$3:Y$38,'[10]inland_taf_hatchgrp_tableraw&amp;yy'!$AC$3:$AC$38,'2017 Table 10 CWTs exp'!$A13)</f>
        <v>1634</v>
      </c>
      <c r="Z13" s="42">
        <f>SUMIFS('[10]inland_taf_hatchgrp_tableraw&amp;yy'!Z$3:Z$38,'[10]inland_taf_hatchgrp_tableraw&amp;yy'!$AC$3:$AC$38,'2017 Table 10 CWTs exp'!$A13)</f>
        <v>67</v>
      </c>
      <c r="AA13" s="38">
        <f>SUMIFS('[10]inland_taf_hatchgrp_tableraw&amp;yy'!AA$3:AA$38,'[10]inland_taf_hatchgrp_tableraw&amp;yy'!$AC$3:$AC$38,'2017 Table 10 CWTs exp'!$A13)</f>
        <v>1701</v>
      </c>
      <c r="AB13" s="624">
        <f>W13/AA13</f>
        <v>1.7636684303350969E-2</v>
      </c>
      <c r="AC13" s="624"/>
      <c r="AD13" s="603">
        <f>SUMIFS('[10]inland_taf_hatchgrp_tableraw&amp;yy'!AB$3:AB$38,'[10]inland_taf_hatchgrp_tableraw&amp;yy'!$AC$3:$AC$38,'2017 Table 10 CWTs exp'!$A13)</f>
        <v>0.96099999999999997</v>
      </c>
      <c r="AE13" s="604" t="str">
        <f t="shared" si="1"/>
        <v>MRFF503</v>
      </c>
      <c r="AF13" s="603"/>
      <c r="AG13" s="622">
        <f t="shared" si="4"/>
        <v>0.96061140505584952</v>
      </c>
      <c r="AH13" s="597"/>
      <c r="AI13" s="605">
        <f t="shared" si="5"/>
        <v>3.9000000000000035E-2</v>
      </c>
      <c r="AJ13" s="447">
        <f t="shared" si="6"/>
        <v>67</v>
      </c>
      <c r="AK13" s="448">
        <f t="shared" si="3"/>
        <v>3.93885949441505E-2</v>
      </c>
      <c r="AL13" s="451"/>
      <c r="AM13" s="442"/>
      <c r="AN13" s="442"/>
      <c r="AO13" s="442"/>
      <c r="AP13" s="442"/>
      <c r="AQ13" s="442"/>
      <c r="AR13" s="442"/>
      <c r="AS13" s="442"/>
      <c r="AT13" s="442"/>
      <c r="AU13" s="442"/>
      <c r="AV13" s="442"/>
      <c r="AW13" s="442"/>
      <c r="AX13" s="442"/>
      <c r="AY13" s="442"/>
      <c r="AZ13" s="442"/>
      <c r="BA13" s="442"/>
      <c r="BB13" s="442"/>
      <c r="BC13" s="442"/>
      <c r="BD13" s="442"/>
      <c r="BE13" s="442"/>
      <c r="BF13" s="442"/>
      <c r="BG13" s="442"/>
      <c r="BH13" s="442"/>
      <c r="BI13" s="442"/>
      <c r="BJ13" s="442"/>
    </row>
    <row r="14" spans="1:62" ht="14.5" customHeight="1" x14ac:dyDescent="0.25">
      <c r="A14" s="50" t="str">
        <f t="shared" si="0"/>
        <v>CNFH507</v>
      </c>
      <c r="B14" s="13" t="s">
        <v>40</v>
      </c>
      <c r="C14" s="13">
        <v>50</v>
      </c>
      <c r="D14" s="13">
        <v>7</v>
      </c>
      <c r="E14" s="3" t="s">
        <v>56</v>
      </c>
      <c r="F14" s="37" t="s">
        <v>57</v>
      </c>
      <c r="G14" s="38">
        <f>SUMIFS('[10]inland_taf_hatchgrp_tableraw&amp;yy'!G$3:G$38,'[10]inland_taf_hatchgrp_tableraw&amp;yy'!$AC$3:$AC$38,'2017 Table 10 CWTs exp'!$A14)</f>
        <v>0</v>
      </c>
      <c r="H14" s="39">
        <f>SUMIFS('[10]inland_taf_hatchgrp_tableraw&amp;yy'!H$3:H$38,'[10]inland_taf_hatchgrp_tableraw&amp;yy'!$AC$3:$AC$38,'2017 Table 10 CWTs exp'!$A14)</f>
        <v>3906</v>
      </c>
      <c r="I14" s="38">
        <f>SUMIFS('[10]inland_taf_hatchgrp_tableraw&amp;yy'!I$3:I$38,'[10]inland_taf_hatchgrp_tableraw&amp;yy'!$AC$3:$AC$38,'2017 Table 10 CWTs exp'!$A14)</f>
        <v>0</v>
      </c>
      <c r="J14" s="40">
        <f>SUMIFS('[10]inland_taf_hatchgrp_tableraw&amp;yy'!J$3:J$38,'[10]inland_taf_hatchgrp_tableraw&amp;yy'!$AC$3:$AC$38,'2017 Table 10 CWTs exp'!$A14)</f>
        <v>0</v>
      </c>
      <c r="K14" s="38">
        <f>SUMIFS('[10]inland_taf_hatchgrp_tableraw&amp;yy'!K$3:K$38,'[10]inland_taf_hatchgrp_tableraw&amp;yy'!$AC$3:$AC$38,'2017 Table 10 CWTs exp'!$A14)</f>
        <v>0</v>
      </c>
      <c r="L14" s="38">
        <f>SUMIFS('[10]inland_taf_hatchgrp_tableraw&amp;yy'!L$3:L$38,'[10]inland_taf_hatchgrp_tableraw&amp;yy'!$AC$3:$AC$38,'2017 Table 10 CWTs exp'!$A14)</f>
        <v>0</v>
      </c>
      <c r="M14" s="38">
        <f>SUMIFS('[10]inland_taf_hatchgrp_tableraw&amp;yy'!M$3:M$38,'[10]inland_taf_hatchgrp_tableraw&amp;yy'!$AC$3:$AC$38,'2017 Table 10 CWTs exp'!$A14)</f>
        <v>0</v>
      </c>
      <c r="N14" s="38">
        <f>SUMIFS('[10]inland_taf_hatchgrp_tableraw&amp;yy'!N$3:N$38,'[10]inland_taf_hatchgrp_tableraw&amp;yy'!$AC$3:$AC$38,'2017 Table 10 CWTs exp'!$A14)</f>
        <v>0</v>
      </c>
      <c r="O14" s="38">
        <f>SUMIFS('[10]inland_taf_hatchgrp_tableraw&amp;yy'!O$3:O$38,'[10]inland_taf_hatchgrp_tableraw&amp;yy'!$AC$3:$AC$38,'2017 Table 10 CWTs exp'!$A14)</f>
        <v>0</v>
      </c>
      <c r="P14" s="38">
        <f>SUMIFS('[10]inland_taf_hatchgrp_tableraw&amp;yy'!P$3:P$38,'[10]inland_taf_hatchgrp_tableraw&amp;yy'!$AC$3:$AC$38,'2017 Table 10 CWTs exp'!$A14)</f>
        <v>0</v>
      </c>
      <c r="Q14" s="40">
        <f>SUMIFS('[10]inland_taf_hatchgrp_tableraw&amp;yy'!Q$3:Q$38,'[10]inland_taf_hatchgrp_tableraw&amp;yy'!$AC$3:$AC$38,'2017 Table 10 CWTs exp'!$A14)</f>
        <v>0</v>
      </c>
      <c r="R14" s="38">
        <f>SUMIFS('[10]inland_taf_hatchgrp_tableraw&amp;yy'!R$3:R$38,'[10]inland_taf_hatchgrp_tableraw&amp;yy'!$AC$3:$AC$38,'2017 Table 10 CWTs exp'!$A14)</f>
        <v>0</v>
      </c>
      <c r="S14" s="40">
        <f>SUMIFS('[10]inland_taf_hatchgrp_tableraw&amp;yy'!S$3:S$38,'[10]inland_taf_hatchgrp_tableraw&amp;yy'!$AC$3:$AC$38,'2017 Table 10 CWTs exp'!$A14)</f>
        <v>0</v>
      </c>
      <c r="T14" s="38">
        <f>SUMIFS('[10]inland_taf_hatchgrp_tableraw&amp;yy'!T$3:T$38,'[10]inland_taf_hatchgrp_tableraw&amp;yy'!$AC$3:$AC$38,'2017 Table 10 CWTs exp'!$A14)</f>
        <v>0</v>
      </c>
      <c r="U14" s="38">
        <f>SUMIFS('[10]inland_taf_hatchgrp_tableraw&amp;yy'!U$3:U$38,'[10]inland_taf_hatchgrp_tableraw&amp;yy'!$AC$3:$AC$38,'2017 Table 10 CWTs exp'!$A14)</f>
        <v>0</v>
      </c>
      <c r="V14" s="38">
        <f>SUMIFS('[10]inland_taf_hatchgrp_tableraw&amp;yy'!V$3:V$38,'[10]inland_taf_hatchgrp_tableraw&amp;yy'!$AC$3:$AC$38,'2017 Table 10 CWTs exp'!$A14)</f>
        <v>0</v>
      </c>
      <c r="W14" s="40">
        <f>SUMIFS('[10]inland_taf_hatchgrp_tableraw&amp;yy'!W$3:W$38,'[10]inland_taf_hatchgrp_tableraw&amp;yy'!$AC$3:$AC$38,'2017 Table 10 CWTs exp'!$A14)</f>
        <v>0</v>
      </c>
      <c r="X14" s="38">
        <f>SUMIFS('[10]inland_taf_hatchgrp_tableraw&amp;yy'!X$3:X$38,'[10]inland_taf_hatchgrp_tableraw&amp;yy'!$AC$3:$AC$38,'2017 Table 10 CWTs exp'!$A14)</f>
        <v>0</v>
      </c>
      <c r="Y14" s="41">
        <f>SUMIFS('[10]inland_taf_hatchgrp_tableraw&amp;yy'!Y$3:Y$38,'[10]inland_taf_hatchgrp_tableraw&amp;yy'!$AC$3:$AC$38,'2017 Table 10 CWTs exp'!$A14)</f>
        <v>3906</v>
      </c>
      <c r="Z14" s="42">
        <f>SUMIFS('[10]inland_taf_hatchgrp_tableraw&amp;yy'!Z$3:Z$38,'[10]inland_taf_hatchgrp_tableraw&amp;yy'!$AC$3:$AC$38,'2017 Table 10 CWTs exp'!$A14)</f>
        <v>0</v>
      </c>
      <c r="AA14" s="38">
        <f>SUMIFS('[10]inland_taf_hatchgrp_tableraw&amp;yy'!AA$3:AA$38,'[10]inland_taf_hatchgrp_tableraw&amp;yy'!$AC$3:$AC$38,'2017 Table 10 CWTs exp'!$A14)</f>
        <v>3906</v>
      </c>
      <c r="AB14" s="634"/>
      <c r="AC14" s="634"/>
      <c r="AD14" s="603">
        <f>SUMIFS('[10]inland_taf_hatchgrp_tableraw&amp;yy'!AB$3:AB$38,'[10]inland_taf_hatchgrp_tableraw&amp;yy'!$AC$3:$AC$38,'2017 Table 10 CWTs exp'!$A14)</f>
        <v>1</v>
      </c>
      <c r="AE14" s="604" t="str">
        <f t="shared" si="1"/>
        <v>CNFH507</v>
      </c>
      <c r="AF14" s="603"/>
      <c r="AG14" s="622">
        <f t="shared" si="4"/>
        <v>1</v>
      </c>
      <c r="AH14" s="600" t="s">
        <v>58</v>
      </c>
      <c r="AI14" s="592">
        <f>AVERAGE(AI8:AI13)</f>
        <v>0.14516666666666669</v>
      </c>
      <c r="AJ14" s="447">
        <f>SUM(AJ8:AJ13)</f>
        <v>3576</v>
      </c>
      <c r="AK14" s="640">
        <f>AVERAGE(AK8:AK13)</f>
        <v>0.14519420318294232</v>
      </c>
      <c r="AL14" s="451"/>
      <c r="AM14" s="442"/>
      <c r="AN14" s="442"/>
      <c r="AO14" s="442"/>
      <c r="AP14" s="442"/>
      <c r="AQ14" s="442"/>
      <c r="AR14" s="442"/>
      <c r="AS14" s="442"/>
      <c r="AT14" s="442"/>
      <c r="AU14" s="442"/>
      <c r="AV14" s="442"/>
      <c r="AW14" s="442"/>
      <c r="AX14" s="442"/>
      <c r="AY14" s="442"/>
      <c r="AZ14" s="442"/>
      <c r="BA14" s="442"/>
      <c r="BB14" s="442"/>
      <c r="BC14" s="442"/>
      <c r="BD14" s="442"/>
      <c r="BE14" s="442"/>
      <c r="BF14" s="442"/>
      <c r="BG14" s="442"/>
      <c r="BH14" s="442"/>
      <c r="BI14" s="442"/>
      <c r="BJ14" s="442"/>
    </row>
    <row r="15" spans="1:62" ht="13.5" hidden="1" x14ac:dyDescent="0.25">
      <c r="A15" s="50" t="str">
        <f t="shared" si="0"/>
        <v>CNFW527</v>
      </c>
      <c r="B15" s="13" t="s">
        <v>59</v>
      </c>
      <c r="C15" s="13">
        <v>52</v>
      </c>
      <c r="D15" s="13">
        <v>7</v>
      </c>
      <c r="E15" s="3" t="s">
        <v>60</v>
      </c>
      <c r="F15" s="37" t="s">
        <v>57</v>
      </c>
      <c r="G15" s="38">
        <f>SUMIFS('[10]inland_taf_hatchgrp_tableraw&amp;yy'!G$3:G$38,'[10]inland_taf_hatchgrp_tableraw&amp;yy'!$AC$3:$AC$38,'2017 Table 10 CWTs exp'!$A15)</f>
        <v>0</v>
      </c>
      <c r="H15" s="39">
        <f>SUMIFS('[10]inland_taf_hatchgrp_tableraw&amp;yy'!H$3:H$38,'[10]inland_taf_hatchgrp_tableraw&amp;yy'!$AC$3:$AC$38,'2017 Table 10 CWTs exp'!$A15)</f>
        <v>0</v>
      </c>
      <c r="I15" s="38">
        <f>SUMIFS('[10]inland_taf_hatchgrp_tableraw&amp;yy'!I$3:I$38,'[10]inland_taf_hatchgrp_tableraw&amp;yy'!$AC$3:$AC$38,'2017 Table 10 CWTs exp'!$A15)</f>
        <v>0</v>
      </c>
      <c r="J15" s="40">
        <f>SUMIFS('[10]inland_taf_hatchgrp_tableraw&amp;yy'!J$3:J$38,'[10]inland_taf_hatchgrp_tableraw&amp;yy'!$AC$3:$AC$38,'2017 Table 10 CWTs exp'!$A15)</f>
        <v>0</v>
      </c>
      <c r="K15" s="38">
        <f>SUMIFS('[10]inland_taf_hatchgrp_tableraw&amp;yy'!K$3:K$38,'[10]inland_taf_hatchgrp_tableraw&amp;yy'!$AC$3:$AC$38,'2017 Table 10 CWTs exp'!$A15)</f>
        <v>0</v>
      </c>
      <c r="L15" s="38">
        <f>SUMIFS('[10]inland_taf_hatchgrp_tableraw&amp;yy'!L$3:L$38,'[10]inland_taf_hatchgrp_tableraw&amp;yy'!$AC$3:$AC$38,'2017 Table 10 CWTs exp'!$A15)</f>
        <v>0</v>
      </c>
      <c r="M15" s="38">
        <f>SUMIFS('[10]inland_taf_hatchgrp_tableraw&amp;yy'!M$3:M$38,'[10]inland_taf_hatchgrp_tableraw&amp;yy'!$AC$3:$AC$38,'2017 Table 10 CWTs exp'!$A15)</f>
        <v>0</v>
      </c>
      <c r="N15" s="38">
        <f>SUMIFS('[10]inland_taf_hatchgrp_tableraw&amp;yy'!N$3:N$38,'[10]inland_taf_hatchgrp_tableraw&amp;yy'!$AC$3:$AC$38,'2017 Table 10 CWTs exp'!$A15)</f>
        <v>0</v>
      </c>
      <c r="O15" s="38">
        <f>SUMIFS('[10]inland_taf_hatchgrp_tableraw&amp;yy'!O$3:O$38,'[10]inland_taf_hatchgrp_tableraw&amp;yy'!$AC$3:$AC$38,'2017 Table 10 CWTs exp'!$A15)</f>
        <v>0</v>
      </c>
      <c r="P15" s="38">
        <f>SUMIFS('[10]inland_taf_hatchgrp_tableraw&amp;yy'!P$3:P$38,'[10]inland_taf_hatchgrp_tableraw&amp;yy'!$AC$3:$AC$38,'2017 Table 10 CWTs exp'!$A15)</f>
        <v>0</v>
      </c>
      <c r="Q15" s="40">
        <f>SUMIFS('[10]inland_taf_hatchgrp_tableraw&amp;yy'!Q$3:Q$38,'[10]inland_taf_hatchgrp_tableraw&amp;yy'!$AC$3:$AC$38,'2017 Table 10 CWTs exp'!$A15)</f>
        <v>0</v>
      </c>
      <c r="R15" s="38">
        <f>SUMIFS('[10]inland_taf_hatchgrp_tableraw&amp;yy'!R$3:R$38,'[10]inland_taf_hatchgrp_tableraw&amp;yy'!$AC$3:$AC$38,'2017 Table 10 CWTs exp'!$A15)</f>
        <v>0</v>
      </c>
      <c r="S15" s="40">
        <f>SUMIFS('[10]inland_taf_hatchgrp_tableraw&amp;yy'!S$3:S$38,'[10]inland_taf_hatchgrp_tableraw&amp;yy'!$AC$3:$AC$38,'2017 Table 10 CWTs exp'!$A15)</f>
        <v>0</v>
      </c>
      <c r="T15" s="38">
        <f>SUMIFS('[10]inland_taf_hatchgrp_tableraw&amp;yy'!T$3:T$38,'[10]inland_taf_hatchgrp_tableraw&amp;yy'!$AC$3:$AC$38,'2017 Table 10 CWTs exp'!$A15)</f>
        <v>0</v>
      </c>
      <c r="U15" s="38">
        <f>SUMIFS('[10]inland_taf_hatchgrp_tableraw&amp;yy'!U$3:U$38,'[10]inland_taf_hatchgrp_tableraw&amp;yy'!$AC$3:$AC$38,'2017 Table 10 CWTs exp'!$A15)</f>
        <v>0</v>
      </c>
      <c r="V15" s="38">
        <f>SUMIFS('[10]inland_taf_hatchgrp_tableraw&amp;yy'!V$3:V$38,'[10]inland_taf_hatchgrp_tableraw&amp;yy'!$AC$3:$AC$38,'2017 Table 10 CWTs exp'!$A15)</f>
        <v>0</v>
      </c>
      <c r="W15" s="40">
        <f>SUMIFS('[10]inland_taf_hatchgrp_tableraw&amp;yy'!W$3:W$38,'[10]inland_taf_hatchgrp_tableraw&amp;yy'!$AC$3:$AC$38,'2017 Table 10 CWTs exp'!$A15)</f>
        <v>0</v>
      </c>
      <c r="X15" s="38">
        <f>SUMIFS('[10]inland_taf_hatchgrp_tableraw&amp;yy'!X$3:X$38,'[10]inland_taf_hatchgrp_tableraw&amp;yy'!$AC$3:$AC$38,'2017 Table 10 CWTs exp'!$A15)</f>
        <v>0</v>
      </c>
      <c r="Y15" s="41">
        <f>SUMIFS('[10]inland_taf_hatchgrp_tableraw&amp;yy'!Y$3:Y$38,'[10]inland_taf_hatchgrp_tableraw&amp;yy'!$AC$3:$AC$38,'2017 Table 10 CWTs exp'!$A15)</f>
        <v>0</v>
      </c>
      <c r="Z15" s="42">
        <f>SUMIFS('[10]inland_taf_hatchgrp_tableraw&amp;yy'!Z$3:Z$38,'[10]inland_taf_hatchgrp_tableraw&amp;yy'!$AC$3:$AC$38,'2017 Table 10 CWTs exp'!$A15)</f>
        <v>0</v>
      </c>
      <c r="AA15" s="38">
        <f>SUMIFS('[10]inland_taf_hatchgrp_tableraw&amp;yy'!AA$3:AA$38,'[10]inland_taf_hatchgrp_tableraw&amp;yy'!$AC$3:$AC$38,'2017 Table 10 CWTs exp'!$A15)</f>
        <v>0</v>
      </c>
      <c r="AB15" s="634"/>
      <c r="AC15" s="634"/>
      <c r="AD15" s="603">
        <f>SUMIFS('[10]inland_taf_hatchgrp_tableraw&amp;yy'!AB$3:AB$38,'[10]inland_taf_hatchgrp_tableraw&amp;yy'!$AC$3:$AC$38,'2017 Table 10 CWTs exp'!$A15)</f>
        <v>0</v>
      </c>
      <c r="AE15" s="604" t="str">
        <f t="shared" si="1"/>
        <v>CNFW527</v>
      </c>
      <c r="AF15" s="444"/>
      <c r="AG15" s="622" t="e">
        <f t="shared" si="4"/>
        <v>#DIV/0!</v>
      </c>
      <c r="AH15" s="606"/>
      <c r="AI15" s="600"/>
      <c r="AJ15" s="599"/>
      <c r="AK15" s="451"/>
      <c r="AL15" s="451"/>
      <c r="AM15" s="442"/>
      <c r="AN15" s="442"/>
      <c r="AO15" s="442"/>
      <c r="AP15" s="442"/>
      <c r="AQ15" s="442"/>
      <c r="AR15" s="442"/>
      <c r="AS15" s="442"/>
      <c r="AT15" s="442"/>
      <c r="AU15" s="442"/>
      <c r="AV15" s="442"/>
      <c r="AW15" s="442"/>
      <c r="AX15" s="442"/>
      <c r="AY15" s="442"/>
      <c r="AZ15" s="442"/>
      <c r="BA15" s="442"/>
      <c r="BB15" s="442"/>
      <c r="BC15" s="442"/>
      <c r="BD15" s="442"/>
      <c r="BE15" s="442"/>
      <c r="BF15" s="442"/>
      <c r="BG15" s="442"/>
      <c r="BH15" s="442"/>
      <c r="BI15" s="442"/>
      <c r="BJ15" s="442"/>
    </row>
    <row r="16" spans="1:62" ht="14.5" customHeight="1" x14ac:dyDescent="0.25">
      <c r="A16" s="50" t="str">
        <f t="shared" si="0"/>
        <v>KESW507</v>
      </c>
      <c r="B16" s="13" t="s">
        <v>43</v>
      </c>
      <c r="C16" s="13">
        <v>50</v>
      </c>
      <c r="D16" s="13">
        <v>7</v>
      </c>
      <c r="E16" s="3" t="s">
        <v>44</v>
      </c>
      <c r="F16" s="37" t="s">
        <v>57</v>
      </c>
      <c r="G16" s="38"/>
      <c r="H16" s="39">
        <f>SUMIFS('[10]inland_taf_hatchgrp_tableraw&amp;yy'!H$3:H$38,'[10]inland_taf_hatchgrp_tableraw&amp;yy'!$AC$3:$AC$38,'2017 Table 10 CWTs exp'!$A16)</f>
        <v>2</v>
      </c>
      <c r="I16" s="38">
        <f>SUMIFS('[10]inland_taf_hatchgrp_tableraw&amp;yy'!I$3:I$38,'[10]inland_taf_hatchgrp_tableraw&amp;yy'!$AC$3:$AC$38,'2017 Table 10 CWTs exp'!$A16)</f>
        <v>0</v>
      </c>
      <c r="J16" s="40">
        <f>SUMIFS('[10]inland_taf_hatchgrp_tableraw&amp;yy'!J$3:J$38,'[10]inland_taf_hatchgrp_tableraw&amp;yy'!$AC$3:$AC$38,'2017 Table 10 CWTs exp'!$A16)</f>
        <v>0</v>
      </c>
      <c r="K16" s="38">
        <f>SUMIFS('[10]inland_taf_hatchgrp_tableraw&amp;yy'!K$3:K$38,'[10]inland_taf_hatchgrp_tableraw&amp;yy'!$AC$3:$AC$38,'2017 Table 10 CWTs exp'!$A16)</f>
        <v>0</v>
      </c>
      <c r="L16" s="38">
        <f>SUMIFS('[10]inland_taf_hatchgrp_tableraw&amp;yy'!L$3:L$38,'[10]inland_taf_hatchgrp_tableraw&amp;yy'!$AC$3:$AC$38,'2017 Table 10 CWTs exp'!$A16)</f>
        <v>0</v>
      </c>
      <c r="M16" s="38">
        <f>SUMIFS('[10]inland_taf_hatchgrp_tableraw&amp;yy'!M$3:M$38,'[10]inland_taf_hatchgrp_tableraw&amp;yy'!$AC$3:$AC$38,'2017 Table 10 CWTs exp'!$A16)</f>
        <v>0</v>
      </c>
      <c r="N16" s="38">
        <f>SUMIFS('[10]inland_taf_hatchgrp_tableraw&amp;yy'!N$3:N$38,'[10]inland_taf_hatchgrp_tableraw&amp;yy'!$AC$3:$AC$38,'2017 Table 10 CWTs exp'!$A16)</f>
        <v>0</v>
      </c>
      <c r="O16" s="38">
        <f>SUMIFS('[10]inland_taf_hatchgrp_tableraw&amp;yy'!O$3:O$38,'[10]inland_taf_hatchgrp_tableraw&amp;yy'!$AC$3:$AC$38,'2017 Table 10 CWTs exp'!$A16)</f>
        <v>0</v>
      </c>
      <c r="P16" s="38">
        <f>SUMIFS('[10]inland_taf_hatchgrp_tableraw&amp;yy'!P$3:P$38,'[10]inland_taf_hatchgrp_tableraw&amp;yy'!$AC$3:$AC$38,'2017 Table 10 CWTs exp'!$A16)</f>
        <v>0</v>
      </c>
      <c r="Q16" s="40">
        <f>SUMIFS('[10]inland_taf_hatchgrp_tableraw&amp;yy'!Q$3:Q$38,'[10]inland_taf_hatchgrp_tableraw&amp;yy'!$AC$3:$AC$38,'2017 Table 10 CWTs exp'!$A16)</f>
        <v>0</v>
      </c>
      <c r="R16" s="38">
        <f>SUMIFS('[10]inland_taf_hatchgrp_tableraw&amp;yy'!R$3:R$38,'[10]inland_taf_hatchgrp_tableraw&amp;yy'!$AC$3:$AC$38,'2017 Table 10 CWTs exp'!$A16)</f>
        <v>0</v>
      </c>
      <c r="S16" s="40">
        <f>SUMIFS('[10]inland_taf_hatchgrp_tableraw&amp;yy'!S$3:S$38,'[10]inland_taf_hatchgrp_tableraw&amp;yy'!$AC$3:$AC$38,'2017 Table 10 CWTs exp'!$A16)</f>
        <v>0</v>
      </c>
      <c r="T16" s="38">
        <f>SUMIFS('[10]inland_taf_hatchgrp_tableraw&amp;yy'!T$3:T$38,'[10]inland_taf_hatchgrp_tableraw&amp;yy'!$AC$3:$AC$38,'2017 Table 10 CWTs exp'!$A16)</f>
        <v>0</v>
      </c>
      <c r="U16" s="38">
        <f>SUMIFS('[10]inland_taf_hatchgrp_tableraw&amp;yy'!U$3:U$38,'[10]inland_taf_hatchgrp_tableraw&amp;yy'!$AC$3:$AC$38,'2017 Table 10 CWTs exp'!$A16)</f>
        <v>0</v>
      </c>
      <c r="V16" s="38">
        <f>SUMIFS('[10]inland_taf_hatchgrp_tableraw&amp;yy'!V$3:V$38,'[10]inland_taf_hatchgrp_tableraw&amp;yy'!$AC$3:$AC$38,'2017 Table 10 CWTs exp'!$A16)</f>
        <v>0</v>
      </c>
      <c r="W16" s="40">
        <f>SUMIFS('[10]inland_taf_hatchgrp_tableraw&amp;yy'!W$3:W$38,'[10]inland_taf_hatchgrp_tableraw&amp;yy'!$AC$3:$AC$38,'2017 Table 10 CWTs exp'!$A16)</f>
        <v>0</v>
      </c>
      <c r="X16" s="38">
        <f>SUMIFS('[10]inland_taf_hatchgrp_tableraw&amp;yy'!X$3:X$38,'[10]inland_taf_hatchgrp_tableraw&amp;yy'!$AC$3:$AC$38,'2017 Table 10 CWTs exp'!$A16)</f>
        <v>0</v>
      </c>
      <c r="Y16" s="41">
        <f>SUMIFS('[10]inland_taf_hatchgrp_tableraw&amp;yy'!Y$3:Y$38,'[10]inland_taf_hatchgrp_tableraw&amp;yy'!$AC$3:$AC$38,'2017 Table 10 CWTs exp'!$A16)</f>
        <v>2</v>
      </c>
      <c r="Z16" s="42">
        <f>SUMIFS('[10]inland_taf_hatchgrp_tableraw&amp;yy'!Z$3:Z$38,'[10]inland_taf_hatchgrp_tableraw&amp;yy'!$AC$3:$AC$38,'2017 Table 10 CWTs exp'!$A16)</f>
        <v>16</v>
      </c>
      <c r="AA16" s="38">
        <f>SUMIFS('[10]inland_taf_hatchgrp_tableraw&amp;yy'!AA$3:AA$38,'[10]inland_taf_hatchgrp_tableraw&amp;yy'!$AC$3:$AC$38,'2017 Table 10 CWTs exp'!$A16)</f>
        <v>18</v>
      </c>
      <c r="AB16" s="634"/>
      <c r="AC16" s="634"/>
      <c r="AD16" s="603">
        <f>SUMIFS('[10]inland_taf_hatchgrp_tableraw&amp;yy'!AB$3:AB$38,'[10]inland_taf_hatchgrp_tableraw&amp;yy'!$AC$3:$AC$38,'2017 Table 10 CWTs exp'!$A16)</f>
        <v>0.111</v>
      </c>
      <c r="AE16" s="604" t="str">
        <f t="shared" si="1"/>
        <v>KESW507</v>
      </c>
      <c r="AF16" s="444"/>
      <c r="AG16" s="622">
        <f t="shared" si="4"/>
        <v>0.1111111111111111</v>
      </c>
      <c r="AH16" s="606"/>
      <c r="AI16" s="600"/>
      <c r="AJ16" s="599"/>
      <c r="AK16" s="451"/>
      <c r="AL16" s="451"/>
      <c r="AM16" s="442"/>
      <c r="AN16" s="442"/>
      <c r="AO16" s="442"/>
      <c r="AP16" s="442"/>
      <c r="AQ16" s="442"/>
      <c r="AR16" s="442"/>
      <c r="AS16" s="442"/>
      <c r="AT16" s="442"/>
      <c r="AU16" s="442"/>
      <c r="AV16" s="442"/>
      <c r="AW16" s="442"/>
      <c r="AX16" s="442"/>
      <c r="AY16" s="442"/>
      <c r="AZ16" s="442"/>
      <c r="BA16" s="442"/>
      <c r="BB16" s="442"/>
      <c r="BC16" s="442"/>
      <c r="BD16" s="442"/>
      <c r="BE16" s="442"/>
      <c r="BF16" s="442"/>
      <c r="BG16" s="442"/>
      <c r="BH16" s="442"/>
      <c r="BI16" s="442"/>
      <c r="BJ16" s="442"/>
    </row>
    <row r="17" spans="1:62" ht="14.15" customHeight="1" x14ac:dyDescent="0.3">
      <c r="A17" s="55"/>
      <c r="B17" s="56"/>
      <c r="C17" s="56"/>
      <c r="D17" s="56"/>
      <c r="E17" s="743" t="s">
        <v>188</v>
      </c>
      <c r="F17" s="743"/>
      <c r="G17" s="57">
        <f>SUM(G8:G13)</f>
        <v>0</v>
      </c>
      <c r="H17" s="58">
        <f t="shared" ref="H17:AA17" si="7">SUM(H8:H13)</f>
        <v>12</v>
      </c>
      <c r="I17" s="59">
        <f t="shared" si="7"/>
        <v>5496</v>
      </c>
      <c r="J17" s="60">
        <f t="shared" si="7"/>
        <v>3409</v>
      </c>
      <c r="K17" s="59">
        <f t="shared" si="7"/>
        <v>580</v>
      </c>
      <c r="L17" s="59">
        <f t="shared" si="7"/>
        <v>61</v>
      </c>
      <c r="M17" s="59">
        <f t="shared" si="7"/>
        <v>44</v>
      </c>
      <c r="N17" s="59">
        <f t="shared" si="7"/>
        <v>23075</v>
      </c>
      <c r="O17" s="59">
        <f t="shared" si="7"/>
        <v>1695</v>
      </c>
      <c r="P17" s="59">
        <f t="shared" si="7"/>
        <v>41</v>
      </c>
      <c r="Q17" s="60">
        <f t="shared" si="7"/>
        <v>10</v>
      </c>
      <c r="R17" s="59">
        <f t="shared" si="7"/>
        <v>136</v>
      </c>
      <c r="S17" s="60">
        <f t="shared" si="7"/>
        <v>6798</v>
      </c>
      <c r="T17" s="59">
        <f t="shared" si="7"/>
        <v>142</v>
      </c>
      <c r="U17" s="59">
        <f t="shared" si="7"/>
        <v>9390</v>
      </c>
      <c r="V17" s="59">
        <f t="shared" si="7"/>
        <v>1971</v>
      </c>
      <c r="W17" s="60">
        <f t="shared" si="7"/>
        <v>924</v>
      </c>
      <c r="X17" s="59">
        <f t="shared" si="7"/>
        <v>792</v>
      </c>
      <c r="Y17" s="188">
        <f t="shared" si="7"/>
        <v>54576</v>
      </c>
      <c r="Z17" s="189">
        <f t="shared" si="7"/>
        <v>3576</v>
      </c>
      <c r="AA17" s="59">
        <f t="shared" si="7"/>
        <v>58152</v>
      </c>
      <c r="AB17" s="630"/>
      <c r="AC17" s="630"/>
      <c r="AD17" s="562">
        <f>Y17/AA17</f>
        <v>0.93850598431696242</v>
      </c>
      <c r="AE17" s="562"/>
      <c r="AF17" s="607"/>
      <c r="AG17" s="622">
        <f>Y17/AA17</f>
        <v>0.93850598431696242</v>
      </c>
      <c r="AH17" s="608"/>
      <c r="AI17" s="608"/>
      <c r="AJ17" s="609"/>
      <c r="AK17" s="610"/>
      <c r="AL17" s="610"/>
      <c r="AM17" s="442"/>
      <c r="AN17" s="442"/>
      <c r="AO17" s="442"/>
      <c r="AP17" s="442"/>
      <c r="AQ17" s="442"/>
      <c r="AR17" s="442"/>
      <c r="AS17" s="442"/>
      <c r="AT17" s="442"/>
      <c r="AU17" s="442"/>
      <c r="AV17" s="442"/>
      <c r="AW17" s="442"/>
      <c r="AX17" s="442"/>
      <c r="AY17" s="442"/>
      <c r="AZ17" s="442"/>
      <c r="BA17" s="442"/>
      <c r="BB17" s="442"/>
      <c r="BC17" s="442"/>
      <c r="BD17" s="442"/>
      <c r="BE17" s="442"/>
      <c r="BF17" s="442"/>
      <c r="BG17" s="442"/>
      <c r="BH17" s="442"/>
      <c r="BI17" s="442"/>
      <c r="BJ17" s="442"/>
    </row>
    <row r="18" spans="1:62" ht="14.15" customHeight="1" x14ac:dyDescent="0.3">
      <c r="A18" s="50" t="s">
        <v>62</v>
      </c>
      <c r="B18" s="13"/>
      <c r="C18" s="13"/>
      <c r="D18" s="13"/>
      <c r="E18" s="26" t="s">
        <v>63</v>
      </c>
      <c r="F18" s="47"/>
      <c r="G18" s="68"/>
      <c r="H18" s="69"/>
      <c r="I18" s="68"/>
      <c r="J18" s="70"/>
      <c r="K18" s="68"/>
      <c r="L18" s="68"/>
      <c r="M18" s="68"/>
      <c r="N18" s="68"/>
      <c r="O18" s="68"/>
      <c r="P18" s="68"/>
      <c r="Q18" s="70"/>
      <c r="R18" s="68"/>
      <c r="S18" s="70"/>
      <c r="T18" s="68"/>
      <c r="U18" s="68"/>
      <c r="V18" s="68"/>
      <c r="W18" s="70"/>
      <c r="X18" s="68"/>
      <c r="Y18" s="86"/>
      <c r="Z18" s="87"/>
      <c r="AA18" s="68"/>
      <c r="AB18" s="611"/>
      <c r="AC18" s="611"/>
      <c r="AD18" s="611"/>
      <c r="AE18" s="611"/>
      <c r="AF18" s="442"/>
      <c r="AG18" s="597"/>
      <c r="AH18" s="597"/>
      <c r="AI18" s="597"/>
      <c r="AJ18" s="599"/>
      <c r="AK18" s="451"/>
      <c r="AL18" s="451"/>
      <c r="AM18" s="442"/>
      <c r="AN18" s="442"/>
      <c r="AO18" s="442"/>
      <c r="AP18" s="442"/>
      <c r="AQ18" s="442"/>
      <c r="AR18" s="442"/>
      <c r="AS18" s="442"/>
      <c r="AT18" s="442"/>
      <c r="AU18" s="442"/>
      <c r="AV18" s="442"/>
      <c r="AW18" s="442"/>
      <c r="AX18" s="442"/>
      <c r="AY18" s="442"/>
      <c r="AZ18" s="442"/>
      <c r="BA18" s="442"/>
      <c r="BB18" s="442"/>
      <c r="BC18" s="442"/>
      <c r="BD18" s="442"/>
      <c r="BE18" s="442"/>
      <c r="BF18" s="442"/>
      <c r="BG18" s="442"/>
      <c r="BH18" s="442"/>
      <c r="BI18" s="442"/>
      <c r="BJ18" s="442"/>
    </row>
    <row r="19" spans="1:62" ht="14.5" customHeight="1" x14ac:dyDescent="0.25">
      <c r="A19" s="50" t="str">
        <f t="shared" ref="A19:A39" si="8">CONCATENATE(B19,C19,D19)</f>
        <v>USAC544</v>
      </c>
      <c r="B19" s="13" t="s">
        <v>64</v>
      </c>
      <c r="C19" s="13">
        <v>54</v>
      </c>
      <c r="D19" s="13">
        <v>4</v>
      </c>
      <c r="E19" s="3" t="s">
        <v>65</v>
      </c>
      <c r="F19" s="28" t="str">
        <f>LOOKUP(D19,$AL$7:$AL$10,$AM$7:$AM$10)</f>
        <v>Winter</v>
      </c>
      <c r="G19" s="44">
        <f>SUMIFS('[10]inland_taf_hatchgrp_tableraw&amp;yy'!G$3:G$38,'[10]inland_taf_hatchgrp_tableraw&amp;yy'!$AC$3:$AC$38,'2017 Table 10 CWTs exp'!$A19)</f>
        <v>652</v>
      </c>
      <c r="H19" s="45">
        <f>SUMIFS('[10]inland_taf_hatchgrp_tableraw&amp;yy'!H$3:H$38,'[10]inland_taf_hatchgrp_tableraw&amp;yy'!$AC$3:$AC$38,'2017 Table 10 CWTs exp'!$A19)</f>
        <v>0</v>
      </c>
      <c r="I19" s="44">
        <f>SUMIFS('[10]inland_taf_hatchgrp_tableraw&amp;yy'!I$3:I$38,'[10]inland_taf_hatchgrp_tableraw&amp;yy'!$AC$3:$AC$38,'2017 Table 10 CWTs exp'!$A19)</f>
        <v>0</v>
      </c>
      <c r="J19" s="46">
        <f>SUMIFS('[10]inland_taf_hatchgrp_tableraw&amp;yy'!J$3:J$38,'[10]inland_taf_hatchgrp_tableraw&amp;yy'!$AC$3:$AC$38,'2017 Table 10 CWTs exp'!$A19)</f>
        <v>0</v>
      </c>
      <c r="K19" s="44">
        <f>SUMIFS('[10]inland_taf_hatchgrp_tableraw&amp;yy'!K$3:K$38,'[10]inland_taf_hatchgrp_tableraw&amp;yy'!$AC$3:$AC$38,'2017 Table 10 CWTs exp'!$A19)</f>
        <v>0</v>
      </c>
      <c r="L19" s="44">
        <f>SUMIFS('[10]inland_taf_hatchgrp_tableraw&amp;yy'!L$3:L$38,'[10]inland_taf_hatchgrp_tableraw&amp;yy'!$AC$3:$AC$38,'2017 Table 10 CWTs exp'!$A19)</f>
        <v>0</v>
      </c>
      <c r="M19" s="44">
        <f>SUMIFS('[10]inland_taf_hatchgrp_tableraw&amp;yy'!M$3:M$38,'[10]inland_taf_hatchgrp_tableraw&amp;yy'!$AC$3:$AC$38,'2017 Table 10 CWTs exp'!$A19)</f>
        <v>0</v>
      </c>
      <c r="N19" s="44">
        <f>SUMIFS('[10]inland_taf_hatchgrp_tableraw&amp;yy'!N$3:N$38,'[10]inland_taf_hatchgrp_tableraw&amp;yy'!$AC$3:$AC$38,'2017 Table 10 CWTs exp'!$A19)</f>
        <v>0</v>
      </c>
      <c r="O19" s="44">
        <f>SUMIFS('[10]inland_taf_hatchgrp_tableraw&amp;yy'!O$3:O$38,'[10]inland_taf_hatchgrp_tableraw&amp;yy'!$AC$3:$AC$38,'2017 Table 10 CWTs exp'!$A19)</f>
        <v>0</v>
      </c>
      <c r="P19" s="44">
        <f>SUMIFS('[10]inland_taf_hatchgrp_tableraw&amp;yy'!P$3:P$38,'[10]inland_taf_hatchgrp_tableraw&amp;yy'!$AC$3:$AC$38,'2017 Table 10 CWTs exp'!$A19)</f>
        <v>0</v>
      </c>
      <c r="Q19" s="46">
        <f>SUMIFS('[10]inland_taf_hatchgrp_tableraw&amp;yy'!Q$3:Q$38,'[10]inland_taf_hatchgrp_tableraw&amp;yy'!$AC$3:$AC$38,'2017 Table 10 CWTs exp'!$A19)</f>
        <v>0</v>
      </c>
      <c r="R19" s="44">
        <f>SUMIFS('[10]inland_taf_hatchgrp_tableraw&amp;yy'!R$3:R$38,'[10]inland_taf_hatchgrp_tableraw&amp;yy'!$AC$3:$AC$38,'2017 Table 10 CWTs exp'!$A19)</f>
        <v>0</v>
      </c>
      <c r="S19" s="46">
        <f>SUMIFS('[10]inland_taf_hatchgrp_tableraw&amp;yy'!S$3:S$38,'[10]inland_taf_hatchgrp_tableraw&amp;yy'!$AC$3:$AC$38,'2017 Table 10 CWTs exp'!$A19)</f>
        <v>0</v>
      </c>
      <c r="T19" s="44">
        <f>SUMIFS('[10]inland_taf_hatchgrp_tableraw&amp;yy'!T$3:T$38,'[10]inland_taf_hatchgrp_tableraw&amp;yy'!$AC$3:$AC$38,'2017 Table 10 CWTs exp'!$A19)</f>
        <v>0</v>
      </c>
      <c r="U19" s="44">
        <f>SUMIFS('[10]inland_taf_hatchgrp_tableraw&amp;yy'!U$3:U$38,'[10]inland_taf_hatchgrp_tableraw&amp;yy'!$AC$3:$AC$38,'2017 Table 10 CWTs exp'!$A19)</f>
        <v>0</v>
      </c>
      <c r="V19" s="44">
        <f>SUMIFS('[10]inland_taf_hatchgrp_tableraw&amp;yy'!V$3:V$38,'[10]inland_taf_hatchgrp_tableraw&amp;yy'!$AC$3:$AC$38,'2017 Table 10 CWTs exp'!$A19)</f>
        <v>0</v>
      </c>
      <c r="W19" s="46">
        <f>SUMIFS('[10]inland_taf_hatchgrp_tableraw&amp;yy'!W$3:W$38,'[10]inland_taf_hatchgrp_tableraw&amp;yy'!$AC$3:$AC$38,'2017 Table 10 CWTs exp'!$A19)</f>
        <v>0</v>
      </c>
      <c r="X19" s="44">
        <f>SUMIFS('[10]inland_taf_hatchgrp_tableraw&amp;yy'!X$3:X$38,'[10]inland_taf_hatchgrp_tableraw&amp;yy'!$AC$3:$AC$38,'2017 Table 10 CWTs exp'!$A19)</f>
        <v>0</v>
      </c>
      <c r="Y19" s="84">
        <f>SUMIFS('[10]inland_taf_hatchgrp_tableraw&amp;yy'!Y$3:Y$38,'[10]inland_taf_hatchgrp_tableraw&amp;yy'!$AC$3:$AC$38,'2017 Table 10 CWTs exp'!$A19)</f>
        <v>652</v>
      </c>
      <c r="Z19" s="85">
        <f>SUMIFS('[10]inland_taf_hatchgrp_tableraw&amp;yy'!Z$3:Z$38,'[10]inland_taf_hatchgrp_tableraw&amp;yy'!$AC$3:$AC$38,'2017 Table 10 CWTs exp'!$A19)</f>
        <v>143</v>
      </c>
      <c r="AA19" s="44">
        <f>SUMIFS('[10]inland_taf_hatchgrp_tableraw&amp;yy'!AA$3:AA$38,'[10]inland_taf_hatchgrp_tableraw&amp;yy'!$AC$3:$AC$38,'2017 Table 10 CWTs exp'!$A19)</f>
        <v>795</v>
      </c>
      <c r="AB19" s="636"/>
      <c r="AC19" s="636"/>
      <c r="AD19" s="566">
        <f>SUMIFS('[10]inland_taf_hatchgrp_tableraw&amp;yy'!AB$3:AB$38,'[10]inland_taf_hatchgrp_tableraw&amp;yy'!$AC$3:$AC$38,'2017 Table 10 CWTs exp'!$A19)</f>
        <v>0.82</v>
      </c>
      <c r="AE19" s="604" t="str">
        <f t="shared" ref="AE19:AE39" si="9">A19</f>
        <v>USAC544</v>
      </c>
      <c r="AF19" s="442"/>
      <c r="AG19" s="622">
        <f t="shared" ref="AG19:AG39" si="10">Y19/AA19</f>
        <v>0.82012578616352205</v>
      </c>
      <c r="AH19" s="623">
        <f t="shared" ref="AH19:AH37" si="11">Z19/AA19</f>
        <v>0.17987421383647798</v>
      </c>
      <c r="AI19" s="597"/>
      <c r="AJ19" s="599"/>
      <c r="AK19" s="451"/>
      <c r="AL19" s="451"/>
      <c r="AM19" s="442"/>
      <c r="AN19" s="442"/>
      <c r="AO19" s="442"/>
      <c r="AP19" s="442"/>
      <c r="AQ19" s="442"/>
      <c r="AR19" s="442"/>
      <c r="AS19" s="442"/>
      <c r="AT19" s="442"/>
      <c r="AU19" s="442"/>
      <c r="AV19" s="442"/>
      <c r="AW19" s="442"/>
      <c r="AX19" s="442"/>
      <c r="AY19" s="442"/>
      <c r="AZ19" s="442"/>
      <c r="BA19" s="442"/>
      <c r="BB19" s="442"/>
      <c r="BC19" s="442"/>
      <c r="BD19" s="442"/>
      <c r="BE19" s="442"/>
      <c r="BF19" s="442"/>
      <c r="BG19" s="442"/>
      <c r="BH19" s="442"/>
      <c r="BI19" s="442"/>
      <c r="BJ19" s="442"/>
    </row>
    <row r="20" spans="1:62" ht="14.25" customHeight="1" x14ac:dyDescent="0.25">
      <c r="A20" s="50" t="str">
        <f>CONCATENATE(B20,C20,D20)</f>
        <v>BUTT541</v>
      </c>
      <c r="B20" s="13" t="s">
        <v>66</v>
      </c>
      <c r="C20" s="13">
        <v>54</v>
      </c>
      <c r="D20" s="13">
        <v>1</v>
      </c>
      <c r="E20" s="3" t="s">
        <v>67</v>
      </c>
      <c r="F20" s="28" t="str">
        <f>LOOKUP(D20,$AL$7:$AL$10,$AM$7:$AM$10)</f>
        <v>Spring</v>
      </c>
      <c r="G20" s="38">
        <f>SUMIFS('[10]inland_taf_hatchgrp_tableraw&amp;yy'!G$3:G$38,'[10]inland_taf_hatchgrp_tableraw&amp;yy'!$AC$3:$AC$38,'2017 Table 10 CWTs exp'!$A20)</f>
        <v>0</v>
      </c>
      <c r="H20" s="39">
        <f>SUMIFS('[10]inland_taf_hatchgrp_tableraw&amp;yy'!H$3:H$38,'[10]inland_taf_hatchgrp_tableraw&amp;yy'!$AC$3:$AC$38,'2017 Table 10 CWTs exp'!$A20)</f>
        <v>0</v>
      </c>
      <c r="I20" s="38">
        <f>SUMIFS('[10]inland_taf_hatchgrp_tableraw&amp;yy'!I$3:I$38,'[10]inland_taf_hatchgrp_tableraw&amp;yy'!$AC$3:$AC$38,'2017 Table 10 CWTs exp'!$A20)</f>
        <v>0</v>
      </c>
      <c r="J20" s="40">
        <f>SUMIFS('[10]inland_taf_hatchgrp_tableraw&amp;yy'!J$3:J$38,'[10]inland_taf_hatchgrp_tableraw&amp;yy'!$AC$3:$AC$38,'2017 Table 10 CWTs exp'!$A20)</f>
        <v>0</v>
      </c>
      <c r="K20" s="38">
        <f>SUMIFS('[10]inland_taf_hatchgrp_tableraw&amp;yy'!K$3:K$38,'[10]inland_taf_hatchgrp_tableraw&amp;yy'!$AC$3:$AC$38,'2017 Table 10 CWTs exp'!$A20)</f>
        <v>0</v>
      </c>
      <c r="L20" s="38">
        <f>SUMIFS('[10]inland_taf_hatchgrp_tableraw&amp;yy'!L$3:L$38,'[10]inland_taf_hatchgrp_tableraw&amp;yy'!$AC$3:$AC$38,'2017 Table 10 CWTs exp'!$A20)</f>
        <v>0</v>
      </c>
      <c r="M20" s="38">
        <f>SUMIFS('[10]inland_taf_hatchgrp_tableraw&amp;yy'!M$3:M$38,'[10]inland_taf_hatchgrp_tableraw&amp;yy'!$AC$3:$AC$38,'2017 Table 10 CWTs exp'!$A20)</f>
        <v>0</v>
      </c>
      <c r="N20" s="38">
        <f>SUMIFS('[10]inland_taf_hatchgrp_tableraw&amp;yy'!N$3:N$38,'[10]inland_taf_hatchgrp_tableraw&amp;yy'!$AC$3:$AC$38,'2017 Table 10 CWTs exp'!$A20)</f>
        <v>0</v>
      </c>
      <c r="O20" s="38">
        <f>SUMIFS('[10]inland_taf_hatchgrp_tableraw&amp;yy'!O$3:O$38,'[10]inland_taf_hatchgrp_tableraw&amp;yy'!$AC$3:$AC$38,'2017 Table 10 CWTs exp'!$A20)</f>
        <v>0</v>
      </c>
      <c r="P20" s="38">
        <f>SUMIFS('[10]inland_taf_hatchgrp_tableraw&amp;yy'!P$3:P$38,'[10]inland_taf_hatchgrp_tableraw&amp;yy'!$AC$3:$AC$38,'2017 Table 10 CWTs exp'!$A20)</f>
        <v>0</v>
      </c>
      <c r="Q20" s="40">
        <f>SUMIFS('[10]inland_taf_hatchgrp_tableraw&amp;yy'!Q$3:Q$38,'[10]inland_taf_hatchgrp_tableraw&amp;yy'!$AC$3:$AC$38,'2017 Table 10 CWTs exp'!$A20)</f>
        <v>0</v>
      </c>
      <c r="R20" s="38">
        <f>SUMIFS('[10]inland_taf_hatchgrp_tableraw&amp;yy'!R$3:R$38,'[10]inland_taf_hatchgrp_tableraw&amp;yy'!$AC$3:$AC$38,'2017 Table 10 CWTs exp'!$A20)</f>
        <v>0</v>
      </c>
      <c r="S20" s="40">
        <f>SUMIFS('[10]inland_taf_hatchgrp_tableraw&amp;yy'!S$3:S$38,'[10]inland_taf_hatchgrp_tableraw&amp;yy'!$AC$3:$AC$38,'2017 Table 10 CWTs exp'!$A20)</f>
        <v>0</v>
      </c>
      <c r="T20" s="38">
        <f>SUMIFS('[10]inland_taf_hatchgrp_tableraw&amp;yy'!T$3:T$38,'[10]inland_taf_hatchgrp_tableraw&amp;yy'!$AC$3:$AC$38,'2017 Table 10 CWTs exp'!$A20)</f>
        <v>0</v>
      </c>
      <c r="U20" s="38">
        <f>SUMIFS('[10]inland_taf_hatchgrp_tableraw&amp;yy'!U$3:U$38,'[10]inland_taf_hatchgrp_tableraw&amp;yy'!$AC$3:$AC$38,'2017 Table 10 CWTs exp'!$A20)</f>
        <v>0</v>
      </c>
      <c r="V20" s="38">
        <f>SUMIFS('[10]inland_taf_hatchgrp_tableraw&amp;yy'!V$3:V$38,'[10]inland_taf_hatchgrp_tableraw&amp;yy'!$AC$3:$AC$38,'2017 Table 10 CWTs exp'!$A20)</f>
        <v>0</v>
      </c>
      <c r="W20" s="40">
        <f>SUMIFS('[10]inland_taf_hatchgrp_tableraw&amp;yy'!W$3:W$38,'[10]inland_taf_hatchgrp_tableraw&amp;yy'!$AC$3:$AC$38,'2017 Table 10 CWTs exp'!$A20)</f>
        <v>0</v>
      </c>
      <c r="X20" s="38">
        <f>SUMIFS('[10]inland_taf_hatchgrp_tableraw&amp;yy'!X$3:X$38,'[10]inland_taf_hatchgrp_tableraw&amp;yy'!$AC$3:$AC$38,'2017 Table 10 CWTs exp'!$A20)</f>
        <v>0</v>
      </c>
      <c r="Y20" s="41">
        <f>SUM(G20:X20)</f>
        <v>0</v>
      </c>
      <c r="Z20" s="85">
        <f>SUMIFS('[10]inland_taf_hatchgrp_tableraw&amp;yy'!Z$3:Z$38,'[10]inland_taf_hatchgrp_tableraw&amp;yy'!$AC$3:$AC$38,'2017 Table 10 CWTs exp'!$A20)</f>
        <v>515</v>
      </c>
      <c r="AA20" s="44">
        <f>SUMIFS('[10]inland_taf_hatchgrp_tableraw&amp;yy'!AA$3:AA$38,'[10]inland_taf_hatchgrp_tableraw&amp;yy'!$AC$3:$AC$38,'2017 Table 10 CWTs exp'!$A20)</f>
        <v>515</v>
      </c>
      <c r="AB20" s="636"/>
      <c r="AC20" s="636"/>
      <c r="AD20" s="567">
        <v>0</v>
      </c>
      <c r="AE20" s="604" t="str">
        <f t="shared" si="9"/>
        <v>BUTT541</v>
      </c>
      <c r="AF20" s="442"/>
      <c r="AG20" s="622">
        <f t="shared" si="10"/>
        <v>0</v>
      </c>
      <c r="AH20" s="623">
        <f t="shared" si="11"/>
        <v>1</v>
      </c>
      <c r="AI20" s="597"/>
      <c r="AJ20" s="599"/>
      <c r="AK20" s="451"/>
      <c r="AL20" s="451"/>
      <c r="AM20" s="442"/>
      <c r="AN20" s="442"/>
      <c r="AO20" s="442"/>
      <c r="AP20" s="442"/>
      <c r="AQ20" s="442"/>
      <c r="AR20" s="442"/>
      <c r="AS20" s="442"/>
      <c r="AT20" s="442"/>
      <c r="AU20" s="442"/>
      <c r="AV20" s="442"/>
      <c r="AW20" s="442"/>
      <c r="AX20" s="442"/>
      <c r="AY20" s="442"/>
      <c r="AZ20" s="442"/>
      <c r="BA20" s="442"/>
      <c r="BB20" s="442"/>
      <c r="BC20" s="442"/>
      <c r="BD20" s="442"/>
      <c r="BE20" s="442"/>
      <c r="BF20" s="442"/>
      <c r="BG20" s="442"/>
      <c r="BH20" s="442"/>
      <c r="BI20" s="442"/>
      <c r="BJ20" s="442"/>
    </row>
    <row r="21" spans="1:62" ht="14.5" customHeight="1" x14ac:dyDescent="0.25">
      <c r="A21" s="50" t="str">
        <f t="shared" si="8"/>
        <v>USAC543</v>
      </c>
      <c r="B21" s="13" t="s">
        <v>64</v>
      </c>
      <c r="C21" s="13">
        <v>54</v>
      </c>
      <c r="D21" s="13">
        <v>3</v>
      </c>
      <c r="E21" s="3" t="s">
        <v>65</v>
      </c>
      <c r="F21" s="43" t="str">
        <f>LOOKUP(D21,$AL$7:$AL$10,$AM$7:$AM$10)</f>
        <v>Fall</v>
      </c>
      <c r="G21" s="44">
        <f>SUMIFS('[10]inland_taf_hatchgrp_tableraw&amp;yy'!G$3:G$38,'[10]inland_taf_hatchgrp_tableraw&amp;yy'!$AC$3:$AC$38,'2017 Table 10 CWTs exp'!$A21)</f>
        <v>0</v>
      </c>
      <c r="H21" s="45">
        <f>SUMIFS('[10]inland_taf_hatchgrp_tableraw&amp;yy'!H$3:H$38,'[10]inland_taf_hatchgrp_tableraw&amp;yy'!$AC$3:$AC$38,'2017 Table 10 CWTs exp'!$A21)</f>
        <v>0</v>
      </c>
      <c r="I21" s="44">
        <f>SUMIFS('[10]inland_taf_hatchgrp_tableraw&amp;yy'!I$3:I$38,'[10]inland_taf_hatchgrp_tableraw&amp;yy'!$AC$3:$AC$38,'2017 Table 10 CWTs exp'!$A21)</f>
        <v>127</v>
      </c>
      <c r="J21" s="46">
        <f>SUMIFS('[10]inland_taf_hatchgrp_tableraw&amp;yy'!J$3:J$38,'[10]inland_taf_hatchgrp_tableraw&amp;yy'!$AC$3:$AC$38,'2017 Table 10 CWTs exp'!$A21)</f>
        <v>128</v>
      </c>
      <c r="K21" s="44">
        <f>SUMIFS('[10]inland_taf_hatchgrp_tableraw&amp;yy'!K$3:K$38,'[10]inland_taf_hatchgrp_tableraw&amp;yy'!$AC$3:$AC$38,'2017 Table 10 CWTs exp'!$A21)</f>
        <v>0</v>
      </c>
      <c r="L21" s="44">
        <f>SUMIFS('[10]inland_taf_hatchgrp_tableraw&amp;yy'!L$3:L$38,'[10]inland_taf_hatchgrp_tableraw&amp;yy'!$AC$3:$AC$38,'2017 Table 10 CWTs exp'!$A21)</f>
        <v>0</v>
      </c>
      <c r="M21" s="44">
        <f>SUMIFS('[10]inland_taf_hatchgrp_tableraw&amp;yy'!M$3:M$38,'[10]inland_taf_hatchgrp_tableraw&amp;yy'!$AC$3:$AC$38,'2017 Table 10 CWTs exp'!$A21)</f>
        <v>0</v>
      </c>
      <c r="N21" s="44">
        <f>SUMIFS('[10]inland_taf_hatchgrp_tableraw&amp;yy'!N$3:N$38,'[10]inland_taf_hatchgrp_tableraw&amp;yy'!$AC$3:$AC$38,'2017 Table 10 CWTs exp'!$A21)</f>
        <v>64</v>
      </c>
      <c r="O21" s="44">
        <f>SUMIFS('[10]inland_taf_hatchgrp_tableraw&amp;yy'!O$3:O$38,'[10]inland_taf_hatchgrp_tableraw&amp;yy'!$AC$3:$AC$38,'2017 Table 10 CWTs exp'!$A21)</f>
        <v>16</v>
      </c>
      <c r="P21" s="44">
        <f>SUMIFS('[10]inland_taf_hatchgrp_tableraw&amp;yy'!P$3:P$38,'[10]inland_taf_hatchgrp_tableraw&amp;yy'!$AC$3:$AC$38,'2017 Table 10 CWTs exp'!$A21)</f>
        <v>0</v>
      </c>
      <c r="Q21" s="46">
        <f>SUMIFS('[10]inland_taf_hatchgrp_tableraw&amp;yy'!Q$3:Q$38,'[10]inland_taf_hatchgrp_tableraw&amp;yy'!$AC$3:$AC$38,'2017 Table 10 CWTs exp'!$A21)</f>
        <v>0</v>
      </c>
      <c r="R21" s="44">
        <f>SUMIFS('[10]inland_taf_hatchgrp_tableraw&amp;yy'!R$3:R$38,'[10]inland_taf_hatchgrp_tableraw&amp;yy'!$AC$3:$AC$38,'2017 Table 10 CWTs exp'!$A21)</f>
        <v>0</v>
      </c>
      <c r="S21" s="46">
        <f>SUMIFS('[10]inland_taf_hatchgrp_tableraw&amp;yy'!S$3:S$38,'[10]inland_taf_hatchgrp_tableraw&amp;yy'!$AC$3:$AC$38,'2017 Table 10 CWTs exp'!$A21)</f>
        <v>0</v>
      </c>
      <c r="T21" s="44">
        <f>SUMIFS('[10]inland_taf_hatchgrp_tableraw&amp;yy'!T$3:T$38,'[10]inland_taf_hatchgrp_tableraw&amp;yy'!$AC$3:$AC$38,'2017 Table 10 CWTs exp'!$A21)</f>
        <v>0</v>
      </c>
      <c r="U21" s="44">
        <f>SUMIFS('[10]inland_taf_hatchgrp_tableraw&amp;yy'!U$3:U$38,'[10]inland_taf_hatchgrp_tableraw&amp;yy'!$AC$3:$AC$38,'2017 Table 10 CWTs exp'!$A21)</f>
        <v>0</v>
      </c>
      <c r="V21" s="44">
        <f>SUMIFS('[10]inland_taf_hatchgrp_tableraw&amp;yy'!V$3:V$38,'[10]inland_taf_hatchgrp_tableraw&amp;yy'!$AC$3:$AC$38,'2017 Table 10 CWTs exp'!$A21)</f>
        <v>24</v>
      </c>
      <c r="W21" s="46">
        <f>SUMIFS('[10]inland_taf_hatchgrp_tableraw&amp;yy'!W$3:W$38,'[10]inland_taf_hatchgrp_tableraw&amp;yy'!$AC$3:$AC$38,'2017 Table 10 CWTs exp'!$A21)</f>
        <v>0</v>
      </c>
      <c r="X21" s="44">
        <f>SUMIFS('[10]inland_taf_hatchgrp_tableraw&amp;yy'!X$3:X$38,'[10]inland_taf_hatchgrp_tableraw&amp;yy'!$AC$3:$AC$38,'2017 Table 10 CWTs exp'!$A21)</f>
        <v>15</v>
      </c>
      <c r="Y21" s="84">
        <f>SUMIFS('[10]inland_taf_hatchgrp_tableraw&amp;yy'!Y$3:Y$38,'[10]inland_taf_hatchgrp_tableraw&amp;yy'!$AC$3:$AC$38,'2017 Table 10 CWTs exp'!$A21)</f>
        <v>374</v>
      </c>
      <c r="Z21" s="85">
        <f>SUMIFS('[10]inland_taf_hatchgrp_tableraw&amp;yy'!Z$3:Z$38,'[10]inland_taf_hatchgrp_tableraw&amp;yy'!$AC$3:$AC$38,'2017 Table 10 CWTs exp'!$A21)</f>
        <v>1378</v>
      </c>
      <c r="AA21" s="44">
        <f>SUMIFS('[10]inland_taf_hatchgrp_tableraw&amp;yy'!AA$3:AA$38,'[10]inland_taf_hatchgrp_tableraw&amp;yy'!$AC$3:$AC$38,'2017 Table 10 CWTs exp'!$A21)</f>
        <v>1752</v>
      </c>
      <c r="AB21" s="636"/>
      <c r="AC21" s="636"/>
      <c r="AD21" s="567">
        <f>SUMIFS('[10]inland_taf_hatchgrp_tableraw&amp;yy'!AB$3:AB$38,'[10]inland_taf_hatchgrp_tableraw&amp;yy'!$AC$3:$AC$38,'2017 Table 10 CWTs exp'!$A21)</f>
        <v>0.21299999999999999</v>
      </c>
      <c r="AE21" s="604" t="str">
        <f t="shared" si="9"/>
        <v>USAC543</v>
      </c>
      <c r="AF21" s="442"/>
      <c r="AG21" s="622">
        <f t="shared" si="10"/>
        <v>0.2134703196347032</v>
      </c>
      <c r="AH21" s="623">
        <f t="shared" si="11"/>
        <v>0.7865296803652968</v>
      </c>
      <c r="AI21" s="605">
        <f>1-AD21</f>
        <v>0.78700000000000003</v>
      </c>
      <c r="AJ21" s="447">
        <f t="shared" ref="AJ21:AJ37" si="12">Z21</f>
        <v>1378</v>
      </c>
      <c r="AK21" s="448">
        <f>AJ21/AA21</f>
        <v>0.7865296803652968</v>
      </c>
      <c r="AL21" s="451"/>
      <c r="AM21" s="442"/>
      <c r="AN21" s="442"/>
      <c r="AO21" s="442"/>
      <c r="AP21" s="442"/>
      <c r="AQ21" s="442"/>
      <c r="AR21" s="442"/>
      <c r="AS21" s="442"/>
      <c r="AT21" s="442"/>
      <c r="AU21" s="442"/>
      <c r="AV21" s="442"/>
      <c r="AW21" s="442"/>
      <c r="AX21" s="442"/>
      <c r="AY21" s="442"/>
      <c r="AZ21" s="442"/>
      <c r="BA21" s="442"/>
      <c r="BB21" s="442"/>
      <c r="BC21" s="442"/>
      <c r="BD21" s="442"/>
      <c r="BE21" s="442"/>
      <c r="BF21" s="442"/>
      <c r="BG21" s="442"/>
      <c r="BH21" s="442"/>
      <c r="BI21" s="442"/>
      <c r="BJ21" s="442"/>
    </row>
    <row r="22" spans="1:62" ht="12.75" hidden="1" customHeight="1" x14ac:dyDescent="0.25">
      <c r="A22" s="50" t="str">
        <f t="shared" si="8"/>
        <v>CLR543</v>
      </c>
      <c r="B22" s="13" t="s">
        <v>70</v>
      </c>
      <c r="C22" s="13">
        <v>54</v>
      </c>
      <c r="D22" s="13">
        <v>3</v>
      </c>
      <c r="E22" s="3" t="s">
        <v>71</v>
      </c>
      <c r="F22" s="43" t="str">
        <f>LOOKUP(D22,$AL$7:$AL$10,$AM$7:$AM$10)</f>
        <v>Fall</v>
      </c>
      <c r="G22" s="44">
        <f>SUMIFS('[10]inland_taf_hatchgrp_tableraw&amp;yy'!G$3:G$38,'[10]inland_taf_hatchgrp_tableraw&amp;yy'!$AC$3:$AC$38,'2017 Table 10 CWTs exp'!$A22)</f>
        <v>0</v>
      </c>
      <c r="H22" s="45">
        <f>SUMIFS('[10]inland_taf_hatchgrp_tableraw&amp;yy'!H$3:H$38,'[10]inland_taf_hatchgrp_tableraw&amp;yy'!$AC$3:$AC$38,'2017 Table 10 CWTs exp'!$A22)</f>
        <v>0</v>
      </c>
      <c r="I22" s="44">
        <f>SUMIFS('[10]inland_taf_hatchgrp_tableraw&amp;yy'!I$3:I$38,'[10]inland_taf_hatchgrp_tableraw&amp;yy'!$AC$3:$AC$38,'2017 Table 10 CWTs exp'!$A22)</f>
        <v>0</v>
      </c>
      <c r="J22" s="46">
        <f>SUMIFS('[10]inland_taf_hatchgrp_tableraw&amp;yy'!J$3:J$38,'[10]inland_taf_hatchgrp_tableraw&amp;yy'!$AC$3:$AC$38,'2017 Table 10 CWTs exp'!$A22)</f>
        <v>0</v>
      </c>
      <c r="K22" s="44">
        <f>SUMIFS('[10]inland_taf_hatchgrp_tableraw&amp;yy'!K$3:K$38,'[10]inland_taf_hatchgrp_tableraw&amp;yy'!$AC$3:$AC$38,'2017 Table 10 CWTs exp'!$A22)</f>
        <v>0</v>
      </c>
      <c r="L22" s="44">
        <f>SUMIFS('[10]inland_taf_hatchgrp_tableraw&amp;yy'!L$3:L$38,'[10]inland_taf_hatchgrp_tableraw&amp;yy'!$AC$3:$AC$38,'2017 Table 10 CWTs exp'!$A22)</f>
        <v>0</v>
      </c>
      <c r="M22" s="44">
        <f>SUMIFS('[10]inland_taf_hatchgrp_tableraw&amp;yy'!M$3:M$38,'[10]inland_taf_hatchgrp_tableraw&amp;yy'!$AC$3:$AC$38,'2017 Table 10 CWTs exp'!$A22)</f>
        <v>0</v>
      </c>
      <c r="N22" s="44">
        <f>SUMIFS('[10]inland_taf_hatchgrp_tableraw&amp;yy'!N$3:N$38,'[10]inland_taf_hatchgrp_tableraw&amp;yy'!$AC$3:$AC$38,'2017 Table 10 CWTs exp'!$A22)</f>
        <v>0</v>
      </c>
      <c r="O22" s="44">
        <f>SUMIFS('[10]inland_taf_hatchgrp_tableraw&amp;yy'!O$3:O$38,'[10]inland_taf_hatchgrp_tableraw&amp;yy'!$AC$3:$AC$38,'2017 Table 10 CWTs exp'!$A22)</f>
        <v>0</v>
      </c>
      <c r="P22" s="44">
        <f>SUMIFS('[10]inland_taf_hatchgrp_tableraw&amp;yy'!P$3:P$38,'[10]inland_taf_hatchgrp_tableraw&amp;yy'!$AC$3:$AC$38,'2017 Table 10 CWTs exp'!$A22)</f>
        <v>0</v>
      </c>
      <c r="Q22" s="46">
        <f>SUMIFS('[10]inland_taf_hatchgrp_tableraw&amp;yy'!Q$3:Q$38,'[10]inland_taf_hatchgrp_tableraw&amp;yy'!$AC$3:$AC$38,'2017 Table 10 CWTs exp'!$A22)</f>
        <v>0</v>
      </c>
      <c r="R22" s="44">
        <f>SUMIFS('[10]inland_taf_hatchgrp_tableraw&amp;yy'!R$3:R$38,'[10]inland_taf_hatchgrp_tableraw&amp;yy'!$AC$3:$AC$38,'2017 Table 10 CWTs exp'!$A22)</f>
        <v>0</v>
      </c>
      <c r="S22" s="46">
        <f>SUMIFS('[10]inland_taf_hatchgrp_tableraw&amp;yy'!S$3:S$38,'[10]inland_taf_hatchgrp_tableraw&amp;yy'!$AC$3:$AC$38,'2017 Table 10 CWTs exp'!$A22)</f>
        <v>0</v>
      </c>
      <c r="T22" s="44">
        <f>SUMIFS('[10]inland_taf_hatchgrp_tableraw&amp;yy'!T$3:T$38,'[10]inland_taf_hatchgrp_tableraw&amp;yy'!$AC$3:$AC$38,'2017 Table 10 CWTs exp'!$A22)</f>
        <v>0</v>
      </c>
      <c r="U22" s="44">
        <f>SUMIFS('[10]inland_taf_hatchgrp_tableraw&amp;yy'!U$3:U$38,'[10]inland_taf_hatchgrp_tableraw&amp;yy'!$AC$3:$AC$38,'2017 Table 10 CWTs exp'!$A22)</f>
        <v>0</v>
      </c>
      <c r="V22" s="44">
        <f>SUMIFS('[10]inland_taf_hatchgrp_tableraw&amp;yy'!V$3:V$38,'[10]inland_taf_hatchgrp_tableraw&amp;yy'!$AC$3:$AC$38,'2017 Table 10 CWTs exp'!$A22)</f>
        <v>0</v>
      </c>
      <c r="W22" s="46">
        <f>SUMIFS('[10]inland_taf_hatchgrp_tableraw&amp;yy'!W$3:W$38,'[10]inland_taf_hatchgrp_tableraw&amp;yy'!$AC$3:$AC$38,'2017 Table 10 CWTs exp'!$A22)</f>
        <v>0</v>
      </c>
      <c r="X22" s="44">
        <f>SUMIFS('[10]inland_taf_hatchgrp_tableraw&amp;yy'!X$3:X$38,'[10]inland_taf_hatchgrp_tableraw&amp;yy'!$AC$3:$AC$38,'2017 Table 10 CWTs exp'!$A22)</f>
        <v>0</v>
      </c>
      <c r="Y22" s="84">
        <f>SUMIFS('[10]inland_taf_hatchgrp_tableraw&amp;yy'!Y$3:Y$38,'[10]inland_taf_hatchgrp_tableraw&amp;yy'!$AC$3:$AC$38,'2017 Table 10 CWTs exp'!$A22)</f>
        <v>0</v>
      </c>
      <c r="Z22" s="85">
        <f>SUMIFS('[10]inland_taf_hatchgrp_tableraw&amp;yy'!Z$3:Z$38,'[10]inland_taf_hatchgrp_tableraw&amp;yy'!$AC$3:$AC$38,'2017 Table 10 CWTs exp'!$A22)</f>
        <v>0</v>
      </c>
      <c r="AA22" s="44">
        <f>SUMIFS('[10]inland_taf_hatchgrp_tableraw&amp;yy'!AA$3:AA$38,'[10]inland_taf_hatchgrp_tableraw&amp;yy'!$AC$3:$AC$38,'2017 Table 10 CWTs exp'!$A22)</f>
        <v>0</v>
      </c>
      <c r="AB22" s="636"/>
      <c r="AC22" s="636"/>
      <c r="AD22" s="567">
        <f>SUMIFS('[10]inland_taf_hatchgrp_tableraw&amp;yy'!AB$3:AB$38,'[10]inland_taf_hatchgrp_tableraw&amp;yy'!$AC$3:$AC$38,'2017 Table 10 CWTs exp'!$A22)</f>
        <v>0</v>
      </c>
      <c r="AE22" s="604" t="str">
        <f t="shared" si="9"/>
        <v>CLR543</v>
      </c>
      <c r="AF22" s="613"/>
      <c r="AG22" s="622" t="e">
        <f t="shared" si="10"/>
        <v>#DIV/0!</v>
      </c>
      <c r="AH22" s="623" t="e">
        <f t="shared" si="11"/>
        <v>#DIV/0!</v>
      </c>
      <c r="AI22" s="605">
        <f t="shared" ref="AI22:AI38" si="13">1-AD22</f>
        <v>1</v>
      </c>
      <c r="AJ22" s="447">
        <f t="shared" si="12"/>
        <v>0</v>
      </c>
      <c r="AK22" s="448" t="e">
        <f t="shared" ref="AK22:AK38" si="14">AJ22/AA22</f>
        <v>#DIV/0!</v>
      </c>
      <c r="AL22" s="451"/>
      <c r="AM22" s="442"/>
      <c r="AN22" s="442"/>
      <c r="AO22" s="442"/>
      <c r="AP22" s="442"/>
      <c r="AQ22" s="442"/>
      <c r="AR22" s="442"/>
      <c r="AS22" s="442"/>
      <c r="AT22" s="442"/>
      <c r="AU22" s="442"/>
      <c r="AV22" s="442"/>
      <c r="AW22" s="442"/>
      <c r="AX22" s="442"/>
      <c r="AY22" s="442"/>
      <c r="AZ22" s="442"/>
      <c r="BA22" s="442"/>
      <c r="BB22" s="442"/>
      <c r="BC22" s="442"/>
      <c r="BD22" s="442"/>
      <c r="BE22" s="442"/>
      <c r="BF22" s="442"/>
      <c r="BG22" s="442"/>
      <c r="BH22" s="442"/>
      <c r="BI22" s="442"/>
      <c r="BJ22" s="442"/>
    </row>
    <row r="23" spans="1:62" ht="14.5" x14ac:dyDescent="0.25">
      <c r="A23" s="50" t="str">
        <f t="shared" si="8"/>
        <v>BATT543</v>
      </c>
      <c r="B23" s="13" t="s">
        <v>72</v>
      </c>
      <c r="C23" s="13">
        <v>54</v>
      </c>
      <c r="D23" s="13">
        <v>3</v>
      </c>
      <c r="E23" s="75" t="s">
        <v>73</v>
      </c>
      <c r="F23" s="43" t="s">
        <v>48</v>
      </c>
      <c r="G23" s="44">
        <f>SUMIFS('[10]inland_taf_hatchgrp_tableraw&amp;yy'!G$3:G$38,'[10]inland_taf_hatchgrp_tableraw&amp;yy'!$AC$3:$AC$38,'2017 Table 10 CWTs exp'!$A23)</f>
        <v>0</v>
      </c>
      <c r="H23" s="45">
        <f>SUMIFS('[10]inland_taf_hatchgrp_tableraw&amp;yy'!H$3:H$38,'[10]inland_taf_hatchgrp_tableraw&amp;yy'!$AC$3:$AC$38,'2017 Table 10 CWTs exp'!$A23)</f>
        <v>0</v>
      </c>
      <c r="I23" s="44">
        <f>SUMIFS('[10]inland_taf_hatchgrp_tableraw&amp;yy'!I$3:I$38,'[10]inland_taf_hatchgrp_tableraw&amp;yy'!$AC$3:$AC$38,'2017 Table 10 CWTs exp'!$A23)</f>
        <v>300</v>
      </c>
      <c r="J23" s="46">
        <f>SUMIFS('[10]inland_taf_hatchgrp_tableraw&amp;yy'!J$3:J$38,'[10]inland_taf_hatchgrp_tableraw&amp;yy'!$AC$3:$AC$38,'2017 Table 10 CWTs exp'!$A23)</f>
        <v>2</v>
      </c>
      <c r="K23" s="44">
        <f>SUMIFS('[10]inland_taf_hatchgrp_tableraw&amp;yy'!K$3:K$38,'[10]inland_taf_hatchgrp_tableraw&amp;yy'!$AC$3:$AC$38,'2017 Table 10 CWTs exp'!$A23)</f>
        <v>0</v>
      </c>
      <c r="L23" s="44">
        <f>SUMIFS('[10]inland_taf_hatchgrp_tableraw&amp;yy'!L$3:L$38,'[10]inland_taf_hatchgrp_tableraw&amp;yy'!$AC$3:$AC$38,'2017 Table 10 CWTs exp'!$A23)</f>
        <v>0</v>
      </c>
      <c r="M23" s="44">
        <f>SUMIFS('[10]inland_taf_hatchgrp_tableraw&amp;yy'!M$3:M$38,'[10]inland_taf_hatchgrp_tableraw&amp;yy'!$AC$3:$AC$38,'2017 Table 10 CWTs exp'!$A23)</f>
        <v>0</v>
      </c>
      <c r="N23" s="44">
        <f>SUMIFS('[10]inland_taf_hatchgrp_tableraw&amp;yy'!N$3:N$38,'[10]inland_taf_hatchgrp_tableraw&amp;yy'!$AC$3:$AC$38,'2017 Table 10 CWTs exp'!$A23)</f>
        <v>0</v>
      </c>
      <c r="O23" s="44">
        <f>SUMIFS('[10]inland_taf_hatchgrp_tableraw&amp;yy'!O$3:O$38,'[10]inland_taf_hatchgrp_tableraw&amp;yy'!$AC$3:$AC$38,'2017 Table 10 CWTs exp'!$A23)</f>
        <v>0</v>
      </c>
      <c r="P23" s="44">
        <f>SUMIFS('[10]inland_taf_hatchgrp_tableraw&amp;yy'!P$3:P$38,'[10]inland_taf_hatchgrp_tableraw&amp;yy'!$AC$3:$AC$38,'2017 Table 10 CWTs exp'!$A23)</f>
        <v>0</v>
      </c>
      <c r="Q23" s="46">
        <f>SUMIFS('[10]inland_taf_hatchgrp_tableraw&amp;yy'!Q$3:Q$38,'[10]inland_taf_hatchgrp_tableraw&amp;yy'!$AC$3:$AC$38,'2017 Table 10 CWTs exp'!$A23)</f>
        <v>0</v>
      </c>
      <c r="R23" s="44">
        <f>SUMIFS('[10]inland_taf_hatchgrp_tableraw&amp;yy'!R$3:R$38,'[10]inland_taf_hatchgrp_tableraw&amp;yy'!$AC$3:$AC$38,'2017 Table 10 CWTs exp'!$A23)</f>
        <v>0</v>
      </c>
      <c r="S23" s="46">
        <f>SUMIFS('[10]inland_taf_hatchgrp_tableraw&amp;yy'!S$3:S$38,'[10]inland_taf_hatchgrp_tableraw&amp;yy'!$AC$3:$AC$38,'2017 Table 10 CWTs exp'!$A23)</f>
        <v>0</v>
      </c>
      <c r="T23" s="44">
        <f>SUMIFS('[10]inland_taf_hatchgrp_tableraw&amp;yy'!T$3:T$38,'[10]inland_taf_hatchgrp_tableraw&amp;yy'!$AC$3:$AC$38,'2017 Table 10 CWTs exp'!$A23)</f>
        <v>0</v>
      </c>
      <c r="U23" s="44">
        <f>SUMIFS('[10]inland_taf_hatchgrp_tableraw&amp;yy'!U$3:U$38,'[10]inland_taf_hatchgrp_tableraw&amp;yy'!$AC$3:$AC$38,'2017 Table 10 CWTs exp'!$A23)</f>
        <v>2</v>
      </c>
      <c r="V23" s="44">
        <f>SUMIFS('[10]inland_taf_hatchgrp_tableraw&amp;yy'!V$3:V$38,'[10]inland_taf_hatchgrp_tableraw&amp;yy'!$AC$3:$AC$38,'2017 Table 10 CWTs exp'!$A23)</f>
        <v>0</v>
      </c>
      <c r="W23" s="46">
        <f>SUMIFS('[10]inland_taf_hatchgrp_tableraw&amp;yy'!W$3:W$38,'[10]inland_taf_hatchgrp_tableraw&amp;yy'!$AC$3:$AC$38,'2017 Table 10 CWTs exp'!$A23)</f>
        <v>0</v>
      </c>
      <c r="X23" s="44">
        <f>SUMIFS('[10]inland_taf_hatchgrp_tableraw&amp;yy'!X$3:X$38,'[10]inland_taf_hatchgrp_tableraw&amp;yy'!$AC$3:$AC$38,'2017 Table 10 CWTs exp'!$A23)</f>
        <v>0</v>
      </c>
      <c r="Y23" s="84">
        <f>SUMIFS('[10]inland_taf_hatchgrp_tableraw&amp;yy'!Y$3:Y$38,'[10]inland_taf_hatchgrp_tableraw&amp;yy'!$AC$3:$AC$38,'2017 Table 10 CWTs exp'!$A23)</f>
        <v>304</v>
      </c>
      <c r="Z23" s="85">
        <f>SUMIFS('[10]inland_taf_hatchgrp_tableraw&amp;yy'!Z$3:Z$38,'[10]inland_taf_hatchgrp_tableraw&amp;yy'!$AC$3:$AC$38,'2017 Table 10 CWTs exp'!$A23)</f>
        <v>49</v>
      </c>
      <c r="AA23" s="44">
        <f>SUMIFS('[10]inland_taf_hatchgrp_tableraw&amp;yy'!AA$3:AA$38,'[10]inland_taf_hatchgrp_tableraw&amp;yy'!$AC$3:$AC$38,'2017 Table 10 CWTs exp'!$A23)</f>
        <v>353</v>
      </c>
      <c r="AB23" s="636"/>
      <c r="AC23" s="636"/>
      <c r="AD23" s="567">
        <f>Y23/AA23</f>
        <v>0.86118980169971671</v>
      </c>
      <c r="AE23" s="604" t="str">
        <f t="shared" si="9"/>
        <v>BATT543</v>
      </c>
      <c r="AF23" s="442"/>
      <c r="AG23" s="622">
        <f t="shared" si="10"/>
        <v>0.86118980169971671</v>
      </c>
      <c r="AH23" s="623">
        <f t="shared" si="11"/>
        <v>0.13881019830028329</v>
      </c>
      <c r="AI23" s="605">
        <f t="shared" si="13"/>
        <v>0.13881019830028329</v>
      </c>
      <c r="AJ23" s="447">
        <f t="shared" si="12"/>
        <v>49</v>
      </c>
      <c r="AK23" s="448">
        <f t="shared" si="14"/>
        <v>0.13881019830028329</v>
      </c>
      <c r="AL23" s="451"/>
      <c r="AM23" s="442"/>
      <c r="AN23" s="442"/>
      <c r="AO23" s="442"/>
      <c r="AP23" s="442"/>
      <c r="AQ23" s="442"/>
      <c r="AR23" s="442"/>
      <c r="AS23" s="442"/>
      <c r="AT23" s="442"/>
      <c r="AU23" s="442"/>
      <c r="AV23" s="442"/>
      <c r="AW23" s="442"/>
      <c r="AX23" s="442"/>
      <c r="AY23" s="442"/>
      <c r="AZ23" s="442"/>
      <c r="BA23" s="442"/>
      <c r="BB23" s="442"/>
      <c r="BC23" s="442"/>
      <c r="BD23" s="442"/>
      <c r="BE23" s="442"/>
      <c r="BF23" s="442"/>
      <c r="BG23" s="442"/>
      <c r="BH23" s="442"/>
      <c r="BI23" s="442"/>
      <c r="BJ23" s="442"/>
    </row>
    <row r="24" spans="1:62" hidden="1" x14ac:dyDescent="0.25">
      <c r="A24" s="50" t="str">
        <f t="shared" si="8"/>
        <v>COT543</v>
      </c>
      <c r="B24" s="13" t="s">
        <v>74</v>
      </c>
      <c r="C24" s="13">
        <v>54</v>
      </c>
      <c r="D24" s="13">
        <v>3</v>
      </c>
      <c r="E24" s="3" t="s">
        <v>162</v>
      </c>
      <c r="F24" s="43" t="str">
        <f t="shared" ref="F24:F38" si="15">LOOKUP(D24,$AL$7:$AL$10,$AM$7:$AM$10)</f>
        <v>Fall</v>
      </c>
      <c r="G24" s="44">
        <f>SUMIFS('[10]inland_taf_hatchgrp_tableraw&amp;yy'!G$3:G$38,'[10]inland_taf_hatchgrp_tableraw&amp;yy'!$AC$3:$AC$38,'2017 Table 10 CWTs exp'!$A24)</f>
        <v>0</v>
      </c>
      <c r="H24" s="45">
        <f>SUMIFS('[10]inland_taf_hatchgrp_tableraw&amp;yy'!H$3:H$38,'[10]inland_taf_hatchgrp_tableraw&amp;yy'!$AC$3:$AC$38,'2017 Table 10 CWTs exp'!$A24)</f>
        <v>0</v>
      </c>
      <c r="I24" s="44">
        <f>SUMIFS('[10]inland_taf_hatchgrp_tableraw&amp;yy'!I$3:I$38,'[10]inland_taf_hatchgrp_tableraw&amp;yy'!$AC$3:$AC$38,'2017 Table 10 CWTs exp'!$A24)</f>
        <v>0</v>
      </c>
      <c r="J24" s="46">
        <f>SUMIFS('[10]inland_taf_hatchgrp_tableraw&amp;yy'!J$3:J$38,'[10]inland_taf_hatchgrp_tableraw&amp;yy'!$AC$3:$AC$38,'2017 Table 10 CWTs exp'!$A24)</f>
        <v>0</v>
      </c>
      <c r="K24" s="44">
        <f>SUMIFS('[10]inland_taf_hatchgrp_tableraw&amp;yy'!K$3:K$38,'[10]inland_taf_hatchgrp_tableraw&amp;yy'!$AC$3:$AC$38,'2017 Table 10 CWTs exp'!$A24)</f>
        <v>0</v>
      </c>
      <c r="L24" s="44">
        <f>SUMIFS('[10]inland_taf_hatchgrp_tableraw&amp;yy'!L$3:L$38,'[10]inland_taf_hatchgrp_tableraw&amp;yy'!$AC$3:$AC$38,'2017 Table 10 CWTs exp'!$A24)</f>
        <v>0</v>
      </c>
      <c r="M24" s="44">
        <f>SUMIFS('[10]inland_taf_hatchgrp_tableraw&amp;yy'!M$3:M$38,'[10]inland_taf_hatchgrp_tableraw&amp;yy'!$AC$3:$AC$38,'2017 Table 10 CWTs exp'!$A24)</f>
        <v>0</v>
      </c>
      <c r="N24" s="44">
        <f>SUMIFS('[10]inland_taf_hatchgrp_tableraw&amp;yy'!N$3:N$38,'[10]inland_taf_hatchgrp_tableraw&amp;yy'!$AC$3:$AC$38,'2017 Table 10 CWTs exp'!$A24)</f>
        <v>0</v>
      </c>
      <c r="O24" s="44">
        <f>SUMIFS('[10]inland_taf_hatchgrp_tableraw&amp;yy'!O$3:O$38,'[10]inland_taf_hatchgrp_tableraw&amp;yy'!$AC$3:$AC$38,'2017 Table 10 CWTs exp'!$A24)</f>
        <v>0</v>
      </c>
      <c r="P24" s="44">
        <f>SUMIFS('[10]inland_taf_hatchgrp_tableraw&amp;yy'!P$3:P$38,'[10]inland_taf_hatchgrp_tableraw&amp;yy'!$AC$3:$AC$38,'2017 Table 10 CWTs exp'!$A24)</f>
        <v>0</v>
      </c>
      <c r="Q24" s="46">
        <f>SUMIFS('[10]inland_taf_hatchgrp_tableraw&amp;yy'!Q$3:Q$38,'[10]inland_taf_hatchgrp_tableraw&amp;yy'!$AC$3:$AC$38,'2017 Table 10 CWTs exp'!$A24)</f>
        <v>0</v>
      </c>
      <c r="R24" s="44">
        <f>SUMIFS('[10]inland_taf_hatchgrp_tableraw&amp;yy'!R$3:R$38,'[10]inland_taf_hatchgrp_tableraw&amp;yy'!$AC$3:$AC$38,'2017 Table 10 CWTs exp'!$A24)</f>
        <v>0</v>
      </c>
      <c r="S24" s="46">
        <f>SUMIFS('[10]inland_taf_hatchgrp_tableraw&amp;yy'!S$3:S$38,'[10]inland_taf_hatchgrp_tableraw&amp;yy'!$AC$3:$AC$38,'2017 Table 10 CWTs exp'!$A24)</f>
        <v>0</v>
      </c>
      <c r="T24" s="44">
        <f>SUMIFS('[10]inland_taf_hatchgrp_tableraw&amp;yy'!T$3:T$38,'[10]inland_taf_hatchgrp_tableraw&amp;yy'!$AC$3:$AC$38,'2017 Table 10 CWTs exp'!$A24)</f>
        <v>0</v>
      </c>
      <c r="U24" s="44">
        <f>SUMIFS('[10]inland_taf_hatchgrp_tableraw&amp;yy'!U$3:U$38,'[10]inland_taf_hatchgrp_tableraw&amp;yy'!$AC$3:$AC$38,'2017 Table 10 CWTs exp'!$A24)</f>
        <v>0</v>
      </c>
      <c r="V24" s="44">
        <f>SUMIFS('[10]inland_taf_hatchgrp_tableraw&amp;yy'!V$3:V$38,'[10]inland_taf_hatchgrp_tableraw&amp;yy'!$AC$3:$AC$38,'2017 Table 10 CWTs exp'!$A24)</f>
        <v>0</v>
      </c>
      <c r="W24" s="46">
        <f>SUMIFS('[10]inland_taf_hatchgrp_tableraw&amp;yy'!W$3:W$38,'[10]inland_taf_hatchgrp_tableraw&amp;yy'!$AC$3:$AC$38,'2017 Table 10 CWTs exp'!$A24)</f>
        <v>0</v>
      </c>
      <c r="X24" s="44">
        <f>SUMIFS('[10]inland_taf_hatchgrp_tableraw&amp;yy'!X$3:X$38,'[10]inland_taf_hatchgrp_tableraw&amp;yy'!$AC$3:$AC$38,'2017 Table 10 CWTs exp'!$A24)</f>
        <v>0</v>
      </c>
      <c r="Y24" s="84">
        <f>SUMIFS('[10]inland_taf_hatchgrp_tableraw&amp;yy'!Y$3:Y$38,'[10]inland_taf_hatchgrp_tableraw&amp;yy'!$AC$3:$AC$38,'2017 Table 10 CWTs exp'!$A24)</f>
        <v>0</v>
      </c>
      <c r="Z24" s="85">
        <f>SUMIFS('[10]inland_taf_hatchgrp_tableraw&amp;yy'!Z$3:Z$38,'[10]inland_taf_hatchgrp_tableraw&amp;yy'!$AC$3:$AC$38,'2017 Table 10 CWTs exp'!$A24)</f>
        <v>0</v>
      </c>
      <c r="AA24" s="44">
        <f>SUMIFS('[10]inland_taf_hatchgrp_tableraw&amp;yy'!AA$3:AA$38,'[10]inland_taf_hatchgrp_tableraw&amp;yy'!$AC$3:$AC$38,'2017 Table 10 CWTs exp'!$A24)</f>
        <v>0</v>
      </c>
      <c r="AB24" s="636"/>
      <c r="AC24" s="636"/>
      <c r="AD24" s="641">
        <f>SUMIFS('[10]inland_taf_hatchgrp_tableraw&amp;yy'!AB$3:AB$38,'[10]inland_taf_hatchgrp_tableraw&amp;yy'!$AC$3:$AC$38,'2017 Table 10 CWTs exp'!$A24)</f>
        <v>0</v>
      </c>
      <c r="AE24" s="637" t="str">
        <f t="shared" si="9"/>
        <v>COT543</v>
      </c>
      <c r="AF24" s="442"/>
      <c r="AG24" s="622" t="e">
        <f t="shared" si="10"/>
        <v>#DIV/0!</v>
      </c>
      <c r="AH24" s="623" t="e">
        <f t="shared" si="11"/>
        <v>#DIV/0!</v>
      </c>
      <c r="AI24" s="605">
        <f t="shared" si="13"/>
        <v>1</v>
      </c>
      <c r="AJ24" s="447">
        <f t="shared" si="12"/>
        <v>0</v>
      </c>
      <c r="AK24" s="448" t="e">
        <f t="shared" si="14"/>
        <v>#DIV/0!</v>
      </c>
      <c r="AL24" s="451"/>
      <c r="AM24" s="442"/>
      <c r="AN24" s="442"/>
      <c r="AO24" s="442"/>
      <c r="AP24" s="442"/>
      <c r="AQ24" s="442"/>
      <c r="AR24" s="442"/>
      <c r="AS24" s="442"/>
      <c r="AT24" s="442"/>
      <c r="AU24" s="442"/>
      <c r="AV24" s="442"/>
      <c r="AW24" s="442"/>
      <c r="AX24" s="442"/>
      <c r="AY24" s="442"/>
      <c r="AZ24" s="442"/>
      <c r="BA24" s="442"/>
      <c r="BB24" s="442"/>
      <c r="BC24" s="442"/>
      <c r="BD24" s="442"/>
      <c r="BE24" s="442"/>
      <c r="BF24" s="442"/>
      <c r="BG24" s="442"/>
      <c r="BH24" s="442"/>
      <c r="BI24" s="442"/>
      <c r="BJ24" s="442"/>
    </row>
    <row r="25" spans="1:62" hidden="1" x14ac:dyDescent="0.25">
      <c r="A25" s="50" t="str">
        <f t="shared" si="8"/>
        <v>COW543</v>
      </c>
      <c r="B25" s="13" t="s">
        <v>76</v>
      </c>
      <c r="C25" s="13">
        <v>54</v>
      </c>
      <c r="D25" s="13">
        <v>3</v>
      </c>
      <c r="E25" s="3" t="s">
        <v>163</v>
      </c>
      <c r="F25" s="43" t="str">
        <f t="shared" si="15"/>
        <v>Fall</v>
      </c>
      <c r="G25" s="44">
        <f>SUMIFS('[10]inland_taf_hatchgrp_tableraw&amp;yy'!G$3:G$38,'[10]inland_taf_hatchgrp_tableraw&amp;yy'!$AC$3:$AC$38,'2017 Table 10 CWTs exp'!$A25)</f>
        <v>0</v>
      </c>
      <c r="H25" s="45">
        <f>SUMIFS('[10]inland_taf_hatchgrp_tableraw&amp;yy'!H$3:H$38,'[10]inland_taf_hatchgrp_tableraw&amp;yy'!$AC$3:$AC$38,'2017 Table 10 CWTs exp'!$A25)</f>
        <v>0</v>
      </c>
      <c r="I25" s="44">
        <f>SUMIFS('[10]inland_taf_hatchgrp_tableraw&amp;yy'!I$3:I$38,'[10]inland_taf_hatchgrp_tableraw&amp;yy'!$AC$3:$AC$38,'2017 Table 10 CWTs exp'!$A25)</f>
        <v>0</v>
      </c>
      <c r="J25" s="46">
        <f>SUMIFS('[10]inland_taf_hatchgrp_tableraw&amp;yy'!J$3:J$38,'[10]inland_taf_hatchgrp_tableraw&amp;yy'!$AC$3:$AC$38,'2017 Table 10 CWTs exp'!$A25)</f>
        <v>0</v>
      </c>
      <c r="K25" s="44">
        <f>SUMIFS('[10]inland_taf_hatchgrp_tableraw&amp;yy'!K$3:K$38,'[10]inland_taf_hatchgrp_tableraw&amp;yy'!$AC$3:$AC$38,'2017 Table 10 CWTs exp'!$A25)</f>
        <v>0</v>
      </c>
      <c r="L25" s="44">
        <f>SUMIFS('[10]inland_taf_hatchgrp_tableraw&amp;yy'!L$3:L$38,'[10]inland_taf_hatchgrp_tableraw&amp;yy'!$AC$3:$AC$38,'2017 Table 10 CWTs exp'!$A25)</f>
        <v>0</v>
      </c>
      <c r="M25" s="44">
        <f>SUMIFS('[10]inland_taf_hatchgrp_tableraw&amp;yy'!M$3:M$38,'[10]inland_taf_hatchgrp_tableraw&amp;yy'!$AC$3:$AC$38,'2017 Table 10 CWTs exp'!$A25)</f>
        <v>0</v>
      </c>
      <c r="N25" s="44">
        <f>SUMIFS('[10]inland_taf_hatchgrp_tableraw&amp;yy'!N$3:N$38,'[10]inland_taf_hatchgrp_tableraw&amp;yy'!$AC$3:$AC$38,'2017 Table 10 CWTs exp'!$A25)</f>
        <v>0</v>
      </c>
      <c r="O25" s="44">
        <f>SUMIFS('[10]inland_taf_hatchgrp_tableraw&amp;yy'!O$3:O$38,'[10]inland_taf_hatchgrp_tableraw&amp;yy'!$AC$3:$AC$38,'2017 Table 10 CWTs exp'!$A25)</f>
        <v>0</v>
      </c>
      <c r="P25" s="44">
        <f>SUMIFS('[10]inland_taf_hatchgrp_tableraw&amp;yy'!P$3:P$38,'[10]inland_taf_hatchgrp_tableraw&amp;yy'!$AC$3:$AC$38,'2017 Table 10 CWTs exp'!$A25)</f>
        <v>0</v>
      </c>
      <c r="Q25" s="46">
        <f>SUMIFS('[10]inland_taf_hatchgrp_tableraw&amp;yy'!Q$3:Q$38,'[10]inland_taf_hatchgrp_tableraw&amp;yy'!$AC$3:$AC$38,'2017 Table 10 CWTs exp'!$A25)</f>
        <v>0</v>
      </c>
      <c r="R25" s="44">
        <f>SUMIFS('[10]inland_taf_hatchgrp_tableraw&amp;yy'!R$3:R$38,'[10]inland_taf_hatchgrp_tableraw&amp;yy'!$AC$3:$AC$38,'2017 Table 10 CWTs exp'!$A25)</f>
        <v>0</v>
      </c>
      <c r="S25" s="46">
        <f>SUMIFS('[10]inland_taf_hatchgrp_tableraw&amp;yy'!S$3:S$38,'[10]inland_taf_hatchgrp_tableraw&amp;yy'!$AC$3:$AC$38,'2017 Table 10 CWTs exp'!$A25)</f>
        <v>0</v>
      </c>
      <c r="T25" s="44">
        <f>SUMIFS('[10]inland_taf_hatchgrp_tableraw&amp;yy'!T$3:T$38,'[10]inland_taf_hatchgrp_tableraw&amp;yy'!$AC$3:$AC$38,'2017 Table 10 CWTs exp'!$A25)</f>
        <v>0</v>
      </c>
      <c r="U25" s="44">
        <f>SUMIFS('[10]inland_taf_hatchgrp_tableraw&amp;yy'!U$3:U$38,'[10]inland_taf_hatchgrp_tableraw&amp;yy'!$AC$3:$AC$38,'2017 Table 10 CWTs exp'!$A25)</f>
        <v>0</v>
      </c>
      <c r="V25" s="44">
        <f>SUMIFS('[10]inland_taf_hatchgrp_tableraw&amp;yy'!V$3:V$38,'[10]inland_taf_hatchgrp_tableraw&amp;yy'!$AC$3:$AC$38,'2017 Table 10 CWTs exp'!$A25)</f>
        <v>0</v>
      </c>
      <c r="W25" s="46">
        <f>SUMIFS('[10]inland_taf_hatchgrp_tableraw&amp;yy'!W$3:W$38,'[10]inland_taf_hatchgrp_tableraw&amp;yy'!$AC$3:$AC$38,'2017 Table 10 CWTs exp'!$A25)</f>
        <v>0</v>
      </c>
      <c r="X25" s="44">
        <f>SUMIFS('[10]inland_taf_hatchgrp_tableraw&amp;yy'!X$3:X$38,'[10]inland_taf_hatchgrp_tableraw&amp;yy'!$AC$3:$AC$38,'2017 Table 10 CWTs exp'!$A25)</f>
        <v>0</v>
      </c>
      <c r="Y25" s="84">
        <f>SUMIFS('[10]inland_taf_hatchgrp_tableraw&amp;yy'!Y$3:Y$38,'[10]inland_taf_hatchgrp_tableraw&amp;yy'!$AC$3:$AC$38,'2017 Table 10 CWTs exp'!$A25)</f>
        <v>0</v>
      </c>
      <c r="Z25" s="85">
        <f>SUMIFS('[10]inland_taf_hatchgrp_tableraw&amp;yy'!Z$3:Z$38,'[10]inland_taf_hatchgrp_tableraw&amp;yy'!$AC$3:$AC$38,'2017 Table 10 CWTs exp'!$A25)</f>
        <v>0</v>
      </c>
      <c r="AA25" s="44">
        <f>SUMIFS('[10]inland_taf_hatchgrp_tableraw&amp;yy'!AA$3:AA$38,'[10]inland_taf_hatchgrp_tableraw&amp;yy'!$AC$3:$AC$38,'2017 Table 10 CWTs exp'!$A25)</f>
        <v>0</v>
      </c>
      <c r="AB25" s="636"/>
      <c r="AC25" s="636"/>
      <c r="AD25" s="641">
        <f>SUMIFS('[10]inland_taf_hatchgrp_tableraw&amp;yy'!AB$3:AB$38,'[10]inland_taf_hatchgrp_tableraw&amp;yy'!$AC$3:$AC$38,'2017 Table 10 CWTs exp'!$A25)</f>
        <v>0</v>
      </c>
      <c r="AE25" s="637" t="str">
        <f t="shared" si="9"/>
        <v>COW543</v>
      </c>
      <c r="AF25" s="442"/>
      <c r="AG25" s="622" t="e">
        <f t="shared" si="10"/>
        <v>#DIV/0!</v>
      </c>
      <c r="AH25" s="623" t="e">
        <f t="shared" si="11"/>
        <v>#DIV/0!</v>
      </c>
      <c r="AI25" s="605">
        <f t="shared" si="13"/>
        <v>1</v>
      </c>
      <c r="AJ25" s="447">
        <f t="shared" si="12"/>
        <v>0</v>
      </c>
      <c r="AK25" s="448" t="e">
        <f t="shared" si="14"/>
        <v>#DIV/0!</v>
      </c>
      <c r="AL25" s="451"/>
      <c r="AM25" s="442"/>
      <c r="AN25" s="442"/>
      <c r="AO25" s="442"/>
      <c r="AP25" s="442"/>
      <c r="AQ25" s="442"/>
      <c r="AR25" s="442"/>
      <c r="AS25" s="442"/>
      <c r="AT25" s="442"/>
      <c r="AU25" s="442"/>
      <c r="AV25" s="442"/>
      <c r="AW25" s="442"/>
      <c r="AX25" s="442"/>
      <c r="AY25" s="442"/>
      <c r="AZ25" s="442"/>
      <c r="BA25" s="442"/>
      <c r="BB25" s="442"/>
      <c r="BC25" s="442"/>
      <c r="BD25" s="442"/>
      <c r="BE25" s="442"/>
      <c r="BF25" s="442"/>
      <c r="BG25" s="442"/>
      <c r="BH25" s="442"/>
      <c r="BI25" s="442"/>
      <c r="BJ25" s="442"/>
    </row>
    <row r="26" spans="1:62" hidden="1" x14ac:dyDescent="0.25">
      <c r="A26" s="50" t="str">
        <f t="shared" si="8"/>
        <v>MLC543</v>
      </c>
      <c r="B26" s="13" t="s">
        <v>78</v>
      </c>
      <c r="C26" s="13">
        <v>54</v>
      </c>
      <c r="D26" s="13">
        <v>3</v>
      </c>
      <c r="E26" s="3" t="s">
        <v>164</v>
      </c>
      <c r="F26" s="43" t="str">
        <f t="shared" si="15"/>
        <v>Fall</v>
      </c>
      <c r="G26" s="44">
        <f>SUMIFS('[10]inland_taf_hatchgrp_tableraw&amp;yy'!G$3:G$38,'[10]inland_taf_hatchgrp_tableraw&amp;yy'!$AC$3:$AC$38,'2017 Table 10 CWTs exp'!$A26)</f>
        <v>0</v>
      </c>
      <c r="H26" s="45">
        <f>SUMIFS('[10]inland_taf_hatchgrp_tableraw&amp;yy'!H$3:H$38,'[10]inland_taf_hatchgrp_tableraw&amp;yy'!$AC$3:$AC$38,'2017 Table 10 CWTs exp'!$A26)</f>
        <v>0</v>
      </c>
      <c r="I26" s="44">
        <f>SUMIFS('[10]inland_taf_hatchgrp_tableraw&amp;yy'!I$3:I$38,'[10]inland_taf_hatchgrp_tableraw&amp;yy'!$AC$3:$AC$38,'2017 Table 10 CWTs exp'!$A26)</f>
        <v>0</v>
      </c>
      <c r="J26" s="46">
        <f>SUMIFS('[10]inland_taf_hatchgrp_tableraw&amp;yy'!J$3:J$38,'[10]inland_taf_hatchgrp_tableraw&amp;yy'!$AC$3:$AC$38,'2017 Table 10 CWTs exp'!$A26)</f>
        <v>0</v>
      </c>
      <c r="K26" s="44">
        <f>SUMIFS('[10]inland_taf_hatchgrp_tableraw&amp;yy'!K$3:K$38,'[10]inland_taf_hatchgrp_tableraw&amp;yy'!$AC$3:$AC$38,'2017 Table 10 CWTs exp'!$A26)</f>
        <v>0</v>
      </c>
      <c r="L26" s="44">
        <f>SUMIFS('[10]inland_taf_hatchgrp_tableraw&amp;yy'!L$3:L$38,'[10]inland_taf_hatchgrp_tableraw&amp;yy'!$AC$3:$AC$38,'2017 Table 10 CWTs exp'!$A26)</f>
        <v>0</v>
      </c>
      <c r="M26" s="44">
        <f>SUMIFS('[10]inland_taf_hatchgrp_tableraw&amp;yy'!M$3:M$38,'[10]inland_taf_hatchgrp_tableraw&amp;yy'!$AC$3:$AC$38,'2017 Table 10 CWTs exp'!$A26)</f>
        <v>0</v>
      </c>
      <c r="N26" s="44">
        <f>SUMIFS('[10]inland_taf_hatchgrp_tableraw&amp;yy'!N$3:N$38,'[10]inland_taf_hatchgrp_tableraw&amp;yy'!$AC$3:$AC$38,'2017 Table 10 CWTs exp'!$A26)</f>
        <v>0</v>
      </c>
      <c r="O26" s="44">
        <f>SUMIFS('[10]inland_taf_hatchgrp_tableraw&amp;yy'!O$3:O$38,'[10]inland_taf_hatchgrp_tableraw&amp;yy'!$AC$3:$AC$38,'2017 Table 10 CWTs exp'!$A26)</f>
        <v>0</v>
      </c>
      <c r="P26" s="44">
        <f>SUMIFS('[10]inland_taf_hatchgrp_tableraw&amp;yy'!P$3:P$38,'[10]inland_taf_hatchgrp_tableraw&amp;yy'!$AC$3:$AC$38,'2017 Table 10 CWTs exp'!$A26)</f>
        <v>0</v>
      </c>
      <c r="Q26" s="46">
        <f>SUMIFS('[10]inland_taf_hatchgrp_tableraw&amp;yy'!Q$3:Q$38,'[10]inland_taf_hatchgrp_tableraw&amp;yy'!$AC$3:$AC$38,'2017 Table 10 CWTs exp'!$A26)</f>
        <v>0</v>
      </c>
      <c r="R26" s="44">
        <f>SUMIFS('[10]inland_taf_hatchgrp_tableraw&amp;yy'!R$3:R$38,'[10]inland_taf_hatchgrp_tableraw&amp;yy'!$AC$3:$AC$38,'2017 Table 10 CWTs exp'!$A26)</f>
        <v>0</v>
      </c>
      <c r="S26" s="46">
        <f>SUMIFS('[10]inland_taf_hatchgrp_tableraw&amp;yy'!S$3:S$38,'[10]inland_taf_hatchgrp_tableraw&amp;yy'!$AC$3:$AC$38,'2017 Table 10 CWTs exp'!$A26)</f>
        <v>0</v>
      </c>
      <c r="T26" s="44">
        <f>SUMIFS('[10]inland_taf_hatchgrp_tableraw&amp;yy'!T$3:T$38,'[10]inland_taf_hatchgrp_tableraw&amp;yy'!$AC$3:$AC$38,'2017 Table 10 CWTs exp'!$A26)</f>
        <v>0</v>
      </c>
      <c r="U26" s="44">
        <f>SUMIFS('[10]inland_taf_hatchgrp_tableraw&amp;yy'!U$3:U$38,'[10]inland_taf_hatchgrp_tableraw&amp;yy'!$AC$3:$AC$38,'2017 Table 10 CWTs exp'!$A26)</f>
        <v>0</v>
      </c>
      <c r="V26" s="44">
        <f>SUMIFS('[10]inland_taf_hatchgrp_tableraw&amp;yy'!V$3:V$38,'[10]inland_taf_hatchgrp_tableraw&amp;yy'!$AC$3:$AC$38,'2017 Table 10 CWTs exp'!$A26)</f>
        <v>0</v>
      </c>
      <c r="W26" s="46">
        <f>SUMIFS('[10]inland_taf_hatchgrp_tableraw&amp;yy'!W$3:W$38,'[10]inland_taf_hatchgrp_tableraw&amp;yy'!$AC$3:$AC$38,'2017 Table 10 CWTs exp'!$A26)</f>
        <v>0</v>
      </c>
      <c r="X26" s="44">
        <f>SUMIFS('[10]inland_taf_hatchgrp_tableraw&amp;yy'!X$3:X$38,'[10]inland_taf_hatchgrp_tableraw&amp;yy'!$AC$3:$AC$38,'2017 Table 10 CWTs exp'!$A26)</f>
        <v>0</v>
      </c>
      <c r="Y26" s="84">
        <f>SUMIFS('[10]inland_taf_hatchgrp_tableraw&amp;yy'!Y$3:Y$38,'[10]inland_taf_hatchgrp_tableraw&amp;yy'!$AC$3:$AC$38,'2017 Table 10 CWTs exp'!$A26)</f>
        <v>0</v>
      </c>
      <c r="Z26" s="85">
        <f>SUMIFS('[10]inland_taf_hatchgrp_tableraw&amp;yy'!Z$3:Z$38,'[10]inland_taf_hatchgrp_tableraw&amp;yy'!$AC$3:$AC$38,'2017 Table 10 CWTs exp'!$A26)</f>
        <v>0</v>
      </c>
      <c r="AA26" s="44">
        <f>SUMIFS('[10]inland_taf_hatchgrp_tableraw&amp;yy'!AA$3:AA$38,'[10]inland_taf_hatchgrp_tableraw&amp;yy'!$AC$3:$AC$38,'2017 Table 10 CWTs exp'!$A26)</f>
        <v>0</v>
      </c>
      <c r="AB26" s="636"/>
      <c r="AC26" s="636"/>
      <c r="AD26" s="641">
        <f>SUMIFS('[10]inland_taf_hatchgrp_tableraw&amp;yy'!AB$3:AB$38,'[10]inland_taf_hatchgrp_tableraw&amp;yy'!$AC$3:$AC$38,'2017 Table 10 CWTs exp'!$A26)</f>
        <v>0</v>
      </c>
      <c r="AE26" s="637" t="str">
        <f t="shared" si="9"/>
        <v>MLC543</v>
      </c>
      <c r="AF26" s="442"/>
      <c r="AG26" s="622" t="e">
        <f t="shared" si="10"/>
        <v>#DIV/0!</v>
      </c>
      <c r="AH26" s="623" t="e">
        <f t="shared" si="11"/>
        <v>#DIV/0!</v>
      </c>
      <c r="AI26" s="605">
        <f t="shared" si="13"/>
        <v>1</v>
      </c>
      <c r="AJ26" s="447">
        <f t="shared" si="12"/>
        <v>0</v>
      </c>
      <c r="AK26" s="448" t="e">
        <f t="shared" si="14"/>
        <v>#DIV/0!</v>
      </c>
      <c r="AL26" s="451"/>
      <c r="AM26" s="442"/>
      <c r="AN26" s="442"/>
      <c r="AO26" s="442"/>
      <c r="AP26" s="442"/>
      <c r="AQ26" s="442"/>
      <c r="AR26" s="442"/>
      <c r="AS26" s="442"/>
      <c r="AT26" s="442"/>
      <c r="AU26" s="442"/>
      <c r="AV26" s="442"/>
      <c r="AW26" s="442"/>
      <c r="AX26" s="442"/>
      <c r="AY26" s="442"/>
      <c r="AZ26" s="442"/>
      <c r="BA26" s="442"/>
      <c r="BB26" s="442"/>
      <c r="BC26" s="442"/>
      <c r="BD26" s="442"/>
      <c r="BE26" s="442"/>
      <c r="BF26" s="442"/>
      <c r="BG26" s="442"/>
      <c r="BH26" s="442"/>
      <c r="BI26" s="442"/>
      <c r="BJ26" s="442"/>
    </row>
    <row r="27" spans="1:62" ht="14.25" customHeight="1" x14ac:dyDescent="0.25">
      <c r="A27" s="50" t="str">
        <f t="shared" si="8"/>
        <v>BUTT543</v>
      </c>
      <c r="B27" s="13" t="s">
        <v>66</v>
      </c>
      <c r="C27" s="13">
        <v>54</v>
      </c>
      <c r="D27" s="13">
        <v>3</v>
      </c>
      <c r="E27" s="3" t="s">
        <v>67</v>
      </c>
      <c r="F27" s="43" t="str">
        <f t="shared" si="15"/>
        <v>Fall</v>
      </c>
      <c r="G27" s="44">
        <f>SUMIFS('[10]inland_taf_hatchgrp_tableraw&amp;yy'!G$3:G$38,'[10]inland_taf_hatchgrp_tableraw&amp;yy'!$AC$3:$AC$38,'2017 Table 10 CWTs exp'!$A27)</f>
        <v>0</v>
      </c>
      <c r="H27" s="45">
        <f>SUMIFS('[10]inland_taf_hatchgrp_tableraw&amp;yy'!H$3:H$38,'[10]inland_taf_hatchgrp_tableraw&amp;yy'!$AC$3:$AC$38,'2017 Table 10 CWTs exp'!$A27)</f>
        <v>0</v>
      </c>
      <c r="I27" s="44">
        <f>SUMIFS('[10]inland_taf_hatchgrp_tableraw&amp;yy'!I$3:I$38,'[10]inland_taf_hatchgrp_tableraw&amp;yy'!$AC$3:$AC$38,'2017 Table 10 CWTs exp'!$A27)</f>
        <v>0</v>
      </c>
      <c r="J27" s="46">
        <f>SUMIFS('[10]inland_taf_hatchgrp_tableraw&amp;yy'!J$3:J$38,'[10]inland_taf_hatchgrp_tableraw&amp;yy'!$AC$3:$AC$38,'2017 Table 10 CWTs exp'!$A27)</f>
        <v>0</v>
      </c>
      <c r="K27" s="44">
        <f>SUMIFS('[10]inland_taf_hatchgrp_tableraw&amp;yy'!K$3:K$38,'[10]inland_taf_hatchgrp_tableraw&amp;yy'!$AC$3:$AC$38,'2017 Table 10 CWTs exp'!$A27)</f>
        <v>0</v>
      </c>
      <c r="L27" s="44">
        <f>SUMIFS('[10]inland_taf_hatchgrp_tableraw&amp;yy'!L$3:L$38,'[10]inland_taf_hatchgrp_tableraw&amp;yy'!$AC$3:$AC$38,'2017 Table 10 CWTs exp'!$A27)</f>
        <v>0</v>
      </c>
      <c r="M27" s="44">
        <f>SUMIFS('[10]inland_taf_hatchgrp_tableraw&amp;yy'!M$3:M$38,'[10]inland_taf_hatchgrp_tableraw&amp;yy'!$AC$3:$AC$38,'2017 Table 10 CWTs exp'!$A27)</f>
        <v>0</v>
      </c>
      <c r="N27" s="44">
        <f>SUMIFS('[10]inland_taf_hatchgrp_tableraw&amp;yy'!N$3:N$38,'[10]inland_taf_hatchgrp_tableraw&amp;yy'!$AC$3:$AC$38,'2017 Table 10 CWTs exp'!$A27)</f>
        <v>0</v>
      </c>
      <c r="O27" s="44">
        <f>SUMIFS('[10]inland_taf_hatchgrp_tableraw&amp;yy'!O$3:O$38,'[10]inland_taf_hatchgrp_tableraw&amp;yy'!$AC$3:$AC$38,'2017 Table 10 CWTs exp'!$A27)</f>
        <v>0</v>
      </c>
      <c r="P27" s="44">
        <f>SUMIFS('[10]inland_taf_hatchgrp_tableraw&amp;yy'!P$3:P$38,'[10]inland_taf_hatchgrp_tableraw&amp;yy'!$AC$3:$AC$38,'2017 Table 10 CWTs exp'!$A27)</f>
        <v>0</v>
      </c>
      <c r="Q27" s="46">
        <f>SUMIFS('[10]inland_taf_hatchgrp_tableraw&amp;yy'!Q$3:Q$38,'[10]inland_taf_hatchgrp_tableraw&amp;yy'!$AC$3:$AC$38,'2017 Table 10 CWTs exp'!$A27)</f>
        <v>0</v>
      </c>
      <c r="R27" s="44">
        <f>SUMIFS('[10]inland_taf_hatchgrp_tableraw&amp;yy'!R$3:R$38,'[10]inland_taf_hatchgrp_tableraw&amp;yy'!$AC$3:$AC$38,'2017 Table 10 CWTs exp'!$A27)</f>
        <v>0</v>
      </c>
      <c r="S27" s="46">
        <f>SUMIFS('[10]inland_taf_hatchgrp_tableraw&amp;yy'!S$3:S$38,'[10]inland_taf_hatchgrp_tableraw&amp;yy'!$AC$3:$AC$38,'2017 Table 10 CWTs exp'!$A27)</f>
        <v>0</v>
      </c>
      <c r="T27" s="44">
        <f>SUMIFS('[10]inland_taf_hatchgrp_tableraw&amp;yy'!T$3:T$38,'[10]inland_taf_hatchgrp_tableraw&amp;yy'!$AC$3:$AC$38,'2017 Table 10 CWTs exp'!$A27)</f>
        <v>0</v>
      </c>
      <c r="U27" s="44">
        <f>SUMIFS('[10]inland_taf_hatchgrp_tableraw&amp;yy'!U$3:U$38,'[10]inland_taf_hatchgrp_tableraw&amp;yy'!$AC$3:$AC$38,'2017 Table 10 CWTs exp'!$A27)</f>
        <v>0</v>
      </c>
      <c r="V27" s="44">
        <f>SUMIFS('[10]inland_taf_hatchgrp_tableraw&amp;yy'!V$3:V$38,'[10]inland_taf_hatchgrp_tableraw&amp;yy'!$AC$3:$AC$38,'2017 Table 10 CWTs exp'!$A27)</f>
        <v>0</v>
      </c>
      <c r="W27" s="46">
        <f>SUMIFS('[10]inland_taf_hatchgrp_tableraw&amp;yy'!W$3:W$38,'[10]inland_taf_hatchgrp_tableraw&amp;yy'!$AC$3:$AC$38,'2017 Table 10 CWTs exp'!$A27)</f>
        <v>0</v>
      </c>
      <c r="X27" s="44">
        <f>SUMIFS('[10]inland_taf_hatchgrp_tableraw&amp;yy'!X$3:X$38,'[10]inland_taf_hatchgrp_tableraw&amp;yy'!$AC$3:$AC$38,'2017 Table 10 CWTs exp'!$A27)</f>
        <v>0</v>
      </c>
      <c r="Y27" s="84">
        <f>SUMIFS('[10]inland_taf_hatchgrp_tableraw&amp;yy'!Y$3:Y$38,'[10]inland_taf_hatchgrp_tableraw&amp;yy'!$AC$3:$AC$38,'2017 Table 10 CWTs exp'!$A27)</f>
        <v>0</v>
      </c>
      <c r="Z27" s="85">
        <f>SUMIFS('[10]inland_taf_hatchgrp_tableraw&amp;yy'!Z$3:Z$38,'[10]inland_taf_hatchgrp_tableraw&amp;yy'!$AC$3:$AC$38,'2017 Table 10 CWTs exp'!$A27)</f>
        <v>105</v>
      </c>
      <c r="AA27" s="44">
        <f>SUMIFS('[10]inland_taf_hatchgrp_tableraw&amp;yy'!AA$3:AA$38,'[10]inland_taf_hatchgrp_tableraw&amp;yy'!$AC$3:$AC$38,'2017 Table 10 CWTs exp'!$A27)</f>
        <v>105</v>
      </c>
      <c r="AB27" s="636"/>
      <c r="AC27" s="636"/>
      <c r="AD27" s="566">
        <f>SUMIFS('[10]inland_taf_hatchgrp_tableraw&amp;yy'!AB$3:AB$38,'[10]inland_taf_hatchgrp_tableraw&amp;yy'!$AC$3:$AC$38,'2017 Table 10 CWTs exp'!$A27)</f>
        <v>0</v>
      </c>
      <c r="AE27" s="604" t="str">
        <f t="shared" si="9"/>
        <v>BUTT543</v>
      </c>
      <c r="AF27" s="442"/>
      <c r="AG27" s="622">
        <f t="shared" si="10"/>
        <v>0</v>
      </c>
      <c r="AH27" s="623">
        <f t="shared" si="11"/>
        <v>1</v>
      </c>
      <c r="AI27" s="605">
        <f t="shared" si="13"/>
        <v>1</v>
      </c>
      <c r="AJ27" s="447">
        <f t="shared" si="12"/>
        <v>105</v>
      </c>
      <c r="AK27" s="448">
        <f t="shared" si="14"/>
        <v>1</v>
      </c>
      <c r="AL27" s="451"/>
      <c r="AM27" s="442"/>
      <c r="AN27" s="442"/>
      <c r="AO27" s="442"/>
      <c r="AP27" s="442"/>
      <c r="AQ27" s="442"/>
      <c r="AR27" s="442"/>
      <c r="AS27" s="442"/>
      <c r="AT27" s="442"/>
      <c r="AU27" s="442"/>
      <c r="AV27" s="442"/>
      <c r="AW27" s="442"/>
      <c r="AX27" s="442"/>
      <c r="AY27" s="442"/>
      <c r="AZ27" s="442"/>
      <c r="BA27" s="442"/>
      <c r="BB27" s="442"/>
      <c r="BC27" s="442"/>
      <c r="BD27" s="442"/>
      <c r="BE27" s="442"/>
      <c r="BF27" s="442"/>
      <c r="BG27" s="442"/>
      <c r="BH27" s="442"/>
      <c r="BI27" s="442"/>
      <c r="BJ27" s="442"/>
    </row>
    <row r="28" spans="1:62" ht="14.5" customHeight="1" x14ac:dyDescent="0.25">
      <c r="A28" s="50" t="str">
        <f t="shared" si="8"/>
        <v>FEA543</v>
      </c>
      <c r="B28" s="13" t="s">
        <v>80</v>
      </c>
      <c r="C28" s="13">
        <v>54</v>
      </c>
      <c r="D28" s="13">
        <v>3</v>
      </c>
      <c r="E28" s="3" t="s">
        <v>81</v>
      </c>
      <c r="F28" s="43" t="str">
        <f t="shared" si="15"/>
        <v>Fall</v>
      </c>
      <c r="G28" s="44">
        <f>SUMIFS('[10]inland_taf_hatchgrp_tableraw&amp;yy'!G$3:G$38,'[10]inland_taf_hatchgrp_tableraw&amp;yy'!$AC$3:$AC$38,'2017 Table 10 CWTs exp'!$A28)</f>
        <v>0</v>
      </c>
      <c r="H28" s="45">
        <f>SUMIFS('[10]inland_taf_hatchgrp_tableraw&amp;yy'!H$3:H$38,'[10]inland_taf_hatchgrp_tableraw&amp;yy'!$AC$3:$AC$38,'2017 Table 10 CWTs exp'!$A28)</f>
        <v>0</v>
      </c>
      <c r="I28" s="44">
        <f>SUMIFS('[10]inland_taf_hatchgrp_tableraw&amp;yy'!I$3:I$38,'[10]inland_taf_hatchgrp_tableraw&amp;yy'!$AC$3:$AC$38,'2017 Table 10 CWTs exp'!$A28)</f>
        <v>0</v>
      </c>
      <c r="J28" s="46">
        <f>SUMIFS('[10]inland_taf_hatchgrp_tableraw&amp;yy'!J$3:J$38,'[10]inland_taf_hatchgrp_tableraw&amp;yy'!$AC$3:$AC$38,'2017 Table 10 CWTs exp'!$A28)</f>
        <v>533</v>
      </c>
      <c r="K28" s="44">
        <f>SUMIFS('[10]inland_taf_hatchgrp_tableraw&amp;yy'!K$3:K$38,'[10]inland_taf_hatchgrp_tableraw&amp;yy'!$AC$3:$AC$38,'2017 Table 10 CWTs exp'!$A28)</f>
        <v>34</v>
      </c>
      <c r="L28" s="44">
        <f>SUMIFS('[10]inland_taf_hatchgrp_tableraw&amp;yy'!L$3:L$38,'[10]inland_taf_hatchgrp_tableraw&amp;yy'!$AC$3:$AC$38,'2017 Table 10 CWTs exp'!$A28)</f>
        <v>34</v>
      </c>
      <c r="M28" s="44">
        <f>SUMIFS('[10]inland_taf_hatchgrp_tableraw&amp;yy'!M$3:M$38,'[10]inland_taf_hatchgrp_tableraw&amp;yy'!$AC$3:$AC$38,'2017 Table 10 CWTs exp'!$A28)</f>
        <v>0</v>
      </c>
      <c r="N28" s="44">
        <f>SUMIFS('[10]inland_taf_hatchgrp_tableraw&amp;yy'!N$3:N$38,'[10]inland_taf_hatchgrp_tableraw&amp;yy'!$AC$3:$AC$38,'2017 Table 10 CWTs exp'!$A28)</f>
        <v>7668</v>
      </c>
      <c r="O28" s="44">
        <f>SUMIFS('[10]inland_taf_hatchgrp_tableraw&amp;yy'!O$3:O$38,'[10]inland_taf_hatchgrp_tableraw&amp;yy'!$AC$3:$AC$38,'2017 Table 10 CWTs exp'!$A28)</f>
        <v>1046</v>
      </c>
      <c r="P28" s="44">
        <f>SUMIFS('[10]inland_taf_hatchgrp_tableraw&amp;yy'!P$3:P$38,'[10]inland_taf_hatchgrp_tableraw&amp;yy'!$AC$3:$AC$38,'2017 Table 10 CWTs exp'!$A28)</f>
        <v>22</v>
      </c>
      <c r="Q28" s="46">
        <f>SUMIFS('[10]inland_taf_hatchgrp_tableraw&amp;yy'!Q$3:Q$38,'[10]inland_taf_hatchgrp_tableraw&amp;yy'!$AC$3:$AC$38,'2017 Table 10 CWTs exp'!$A28)</f>
        <v>11</v>
      </c>
      <c r="R28" s="44">
        <f>SUMIFS('[10]inland_taf_hatchgrp_tableraw&amp;yy'!R$3:R$38,'[10]inland_taf_hatchgrp_tableraw&amp;yy'!$AC$3:$AC$38,'2017 Table 10 CWTs exp'!$A28)</f>
        <v>0</v>
      </c>
      <c r="S28" s="46">
        <f>SUMIFS('[10]inland_taf_hatchgrp_tableraw&amp;yy'!S$3:S$38,'[10]inland_taf_hatchgrp_tableraw&amp;yy'!$AC$3:$AC$38,'2017 Table 10 CWTs exp'!$A28)</f>
        <v>88</v>
      </c>
      <c r="T28" s="44">
        <f>SUMIFS('[10]inland_taf_hatchgrp_tableraw&amp;yy'!T$3:T$38,'[10]inland_taf_hatchgrp_tableraw&amp;yy'!$AC$3:$AC$38,'2017 Table 10 CWTs exp'!$A28)</f>
        <v>0</v>
      </c>
      <c r="U28" s="44">
        <f>SUMIFS('[10]inland_taf_hatchgrp_tableraw&amp;yy'!U$3:U$38,'[10]inland_taf_hatchgrp_tableraw&amp;yy'!$AC$3:$AC$38,'2017 Table 10 CWTs exp'!$A28)</f>
        <v>89</v>
      </c>
      <c r="V28" s="44">
        <f>SUMIFS('[10]inland_taf_hatchgrp_tableraw&amp;yy'!V$3:V$38,'[10]inland_taf_hatchgrp_tableraw&amp;yy'!$AC$3:$AC$38,'2017 Table 10 CWTs exp'!$A28)</f>
        <v>66</v>
      </c>
      <c r="W28" s="46">
        <f>SUMIFS('[10]inland_taf_hatchgrp_tableraw&amp;yy'!W$3:W$38,'[10]inland_taf_hatchgrp_tableraw&amp;yy'!$AC$3:$AC$38,'2017 Table 10 CWTs exp'!$A28)</f>
        <v>0</v>
      </c>
      <c r="X28" s="44">
        <f>SUMIFS('[10]inland_taf_hatchgrp_tableraw&amp;yy'!X$3:X$38,'[10]inland_taf_hatchgrp_tableraw&amp;yy'!$AC$3:$AC$38,'2017 Table 10 CWTs exp'!$A28)</f>
        <v>107</v>
      </c>
      <c r="Y28" s="84">
        <f>SUMIFS('[10]inland_taf_hatchgrp_tableraw&amp;yy'!Y$3:Y$38,'[10]inland_taf_hatchgrp_tableraw&amp;yy'!$AC$3:$AC$38,'2017 Table 10 CWTs exp'!$A28)</f>
        <v>9698</v>
      </c>
      <c r="Z28" s="85">
        <f>SUMIFS('[10]inland_taf_hatchgrp_tableraw&amp;yy'!Z$3:Z$38,'[10]inland_taf_hatchgrp_tableraw&amp;yy'!$AC$3:$AC$38,'2017 Table 10 CWTs exp'!$A28)</f>
        <v>836</v>
      </c>
      <c r="AA28" s="44">
        <f>SUMIFS('[10]inland_taf_hatchgrp_tableraw&amp;yy'!AA$3:AA$38,'[10]inland_taf_hatchgrp_tableraw&amp;yy'!$AC$3:$AC$38,'2017 Table 10 CWTs exp'!$A28)</f>
        <v>10534</v>
      </c>
      <c r="AB28" s="636"/>
      <c r="AC28" s="636"/>
      <c r="AD28" s="566">
        <f>SUMIFS('[10]inland_taf_hatchgrp_tableraw&amp;yy'!AB$3:AB$38,'[10]inland_taf_hatchgrp_tableraw&amp;yy'!$AC$3:$AC$38,'2017 Table 10 CWTs exp'!$A28)</f>
        <v>0.92100000000000004</v>
      </c>
      <c r="AE28" s="604" t="str">
        <f t="shared" si="9"/>
        <v>FEA543</v>
      </c>
      <c r="AF28" s="442"/>
      <c r="AG28" s="622">
        <f t="shared" si="10"/>
        <v>0.92063793430795515</v>
      </c>
      <c r="AH28" s="623">
        <f t="shared" si="11"/>
        <v>7.9362065692044806E-2</v>
      </c>
      <c r="AI28" s="605">
        <f t="shared" si="13"/>
        <v>7.8999999999999959E-2</v>
      </c>
      <c r="AJ28" s="447">
        <f t="shared" si="12"/>
        <v>836</v>
      </c>
      <c r="AK28" s="448">
        <f t="shared" si="14"/>
        <v>7.9362065692044806E-2</v>
      </c>
      <c r="AL28" s="451"/>
      <c r="AM28" s="442"/>
      <c r="AN28" s="442"/>
      <c r="AO28" s="442"/>
      <c r="AP28" s="442"/>
      <c r="AQ28" s="442"/>
      <c r="AR28" s="442"/>
      <c r="AS28" s="442"/>
      <c r="AT28" s="442"/>
      <c r="AU28" s="442"/>
      <c r="AV28" s="442"/>
      <c r="AW28" s="442"/>
      <c r="AX28" s="442"/>
      <c r="AY28" s="442"/>
      <c r="AZ28" s="442"/>
      <c r="BA28" s="442"/>
      <c r="BB28" s="442"/>
      <c r="BC28" s="442"/>
      <c r="BD28" s="442"/>
      <c r="BE28" s="442"/>
      <c r="BF28" s="442"/>
      <c r="BG28" s="442"/>
      <c r="BH28" s="442"/>
      <c r="BI28" s="442"/>
      <c r="BJ28" s="442"/>
    </row>
    <row r="29" spans="1:62" ht="14.5" customHeight="1" x14ac:dyDescent="0.25">
      <c r="A29" s="50" t="str">
        <f t="shared" si="8"/>
        <v>YUBA543</v>
      </c>
      <c r="B29" s="13" t="s">
        <v>82</v>
      </c>
      <c r="C29" s="13">
        <v>54</v>
      </c>
      <c r="D29" s="13">
        <v>3</v>
      </c>
      <c r="E29" s="79" t="s">
        <v>165</v>
      </c>
      <c r="F29" s="43" t="str">
        <f t="shared" si="15"/>
        <v>Fall</v>
      </c>
      <c r="G29" s="44">
        <f>SUMIFS('[10]inland_taf_hatchgrp_tableraw&amp;yy'!G$3:G$38,'[10]inland_taf_hatchgrp_tableraw&amp;yy'!$AC$3:$AC$38,'2017 Table 10 CWTs exp'!$A29)</f>
        <v>0</v>
      </c>
      <c r="H29" s="45">
        <f>SUMIFS('[10]inland_taf_hatchgrp_tableraw&amp;yy'!H$3:H$38,'[10]inland_taf_hatchgrp_tableraw&amp;yy'!$AC$3:$AC$38,'2017 Table 10 CWTs exp'!$A29)</f>
        <v>0</v>
      </c>
      <c r="I29" s="44">
        <f>SUMIFS('[10]inland_taf_hatchgrp_tableraw&amp;yy'!I$3:I$38,'[10]inland_taf_hatchgrp_tableraw&amp;yy'!$AC$3:$AC$38,'2017 Table 10 CWTs exp'!$A29)</f>
        <v>0</v>
      </c>
      <c r="J29" s="46">
        <f>SUMIFS('[10]inland_taf_hatchgrp_tableraw&amp;yy'!J$3:J$38,'[10]inland_taf_hatchgrp_tableraw&amp;yy'!$AC$3:$AC$38,'2017 Table 10 CWTs exp'!$A29)</f>
        <v>939</v>
      </c>
      <c r="K29" s="44">
        <f>SUMIFS('[10]inland_taf_hatchgrp_tableraw&amp;yy'!K$3:K$38,'[10]inland_taf_hatchgrp_tableraw&amp;yy'!$AC$3:$AC$38,'2017 Table 10 CWTs exp'!$A29)</f>
        <v>20</v>
      </c>
      <c r="L29" s="44">
        <f>SUMIFS('[10]inland_taf_hatchgrp_tableraw&amp;yy'!L$3:L$38,'[10]inland_taf_hatchgrp_tableraw&amp;yy'!$AC$3:$AC$38,'2017 Table 10 CWTs exp'!$A29)</f>
        <v>0</v>
      </c>
      <c r="M29" s="44">
        <f>SUMIFS('[10]inland_taf_hatchgrp_tableraw&amp;yy'!M$3:M$38,'[10]inland_taf_hatchgrp_tableraw&amp;yy'!$AC$3:$AC$38,'2017 Table 10 CWTs exp'!$A29)</f>
        <v>0</v>
      </c>
      <c r="N29" s="44">
        <f>SUMIFS('[10]inland_taf_hatchgrp_tableraw&amp;yy'!N$3:N$38,'[10]inland_taf_hatchgrp_tableraw&amp;yy'!$AC$3:$AC$38,'2017 Table 10 CWTs exp'!$A29)</f>
        <v>157</v>
      </c>
      <c r="O29" s="44">
        <f>SUMIFS('[10]inland_taf_hatchgrp_tableraw&amp;yy'!O$3:O$38,'[10]inland_taf_hatchgrp_tableraw&amp;yy'!$AC$3:$AC$38,'2017 Table 10 CWTs exp'!$A29)</f>
        <v>20</v>
      </c>
      <c r="P29" s="44">
        <f>SUMIFS('[10]inland_taf_hatchgrp_tableraw&amp;yy'!P$3:P$38,'[10]inland_taf_hatchgrp_tableraw&amp;yy'!$AC$3:$AC$38,'2017 Table 10 CWTs exp'!$A29)</f>
        <v>0</v>
      </c>
      <c r="Q29" s="46">
        <f>SUMIFS('[10]inland_taf_hatchgrp_tableraw&amp;yy'!Q$3:Q$38,'[10]inland_taf_hatchgrp_tableraw&amp;yy'!$AC$3:$AC$38,'2017 Table 10 CWTs exp'!$A29)</f>
        <v>0</v>
      </c>
      <c r="R29" s="44">
        <f>SUMIFS('[10]inland_taf_hatchgrp_tableraw&amp;yy'!R$3:R$38,'[10]inland_taf_hatchgrp_tableraw&amp;yy'!$AC$3:$AC$38,'2017 Table 10 CWTs exp'!$A29)</f>
        <v>0</v>
      </c>
      <c r="S29" s="46">
        <f>SUMIFS('[10]inland_taf_hatchgrp_tableraw&amp;yy'!S$3:S$38,'[10]inland_taf_hatchgrp_tableraw&amp;yy'!$AC$3:$AC$38,'2017 Table 10 CWTs exp'!$A29)</f>
        <v>156</v>
      </c>
      <c r="T29" s="44">
        <f>SUMIFS('[10]inland_taf_hatchgrp_tableraw&amp;yy'!T$3:T$38,'[10]inland_taf_hatchgrp_tableraw&amp;yy'!$AC$3:$AC$38,'2017 Table 10 CWTs exp'!$A29)</f>
        <v>0</v>
      </c>
      <c r="U29" s="44">
        <f>SUMIFS('[10]inland_taf_hatchgrp_tableraw&amp;yy'!U$3:U$38,'[10]inland_taf_hatchgrp_tableraw&amp;yy'!$AC$3:$AC$38,'2017 Table 10 CWTs exp'!$A29)</f>
        <v>78</v>
      </c>
      <c r="V29" s="44">
        <f>SUMIFS('[10]inland_taf_hatchgrp_tableraw&amp;yy'!V$3:V$38,'[10]inland_taf_hatchgrp_tableraw&amp;yy'!$AC$3:$AC$38,'2017 Table 10 CWTs exp'!$A29)</f>
        <v>20</v>
      </c>
      <c r="W29" s="46">
        <f>SUMIFS('[10]inland_taf_hatchgrp_tableraw&amp;yy'!W$3:W$38,'[10]inland_taf_hatchgrp_tableraw&amp;yy'!$AC$3:$AC$38,'2017 Table 10 CWTs exp'!$A29)</f>
        <v>39</v>
      </c>
      <c r="X29" s="44">
        <f>SUMIFS('[10]inland_taf_hatchgrp_tableraw&amp;yy'!X$3:X$38,'[10]inland_taf_hatchgrp_tableraw&amp;yy'!$AC$3:$AC$38,'2017 Table 10 CWTs exp'!$A29)</f>
        <v>0</v>
      </c>
      <c r="Y29" s="84">
        <f>SUMIFS('[10]inland_taf_hatchgrp_tableraw&amp;yy'!Y$3:Y$38,'[10]inland_taf_hatchgrp_tableraw&amp;yy'!$AC$3:$AC$38,'2017 Table 10 CWTs exp'!$A29)</f>
        <v>1429</v>
      </c>
      <c r="Z29" s="85">
        <f>SUMIFS('[10]inland_taf_hatchgrp_tableraw&amp;yy'!Z$3:Z$38,'[10]inland_taf_hatchgrp_tableraw&amp;yy'!$AC$3:$AC$38,'2017 Table 10 CWTs exp'!$A29)</f>
        <v>219</v>
      </c>
      <c r="AA29" s="44">
        <f>SUMIFS('[10]inland_taf_hatchgrp_tableraw&amp;yy'!AA$3:AA$38,'[10]inland_taf_hatchgrp_tableraw&amp;yy'!$AC$3:$AC$38,'2017 Table 10 CWTs exp'!$A29)</f>
        <v>1648</v>
      </c>
      <c r="AB29" s="636"/>
      <c r="AC29" s="636"/>
      <c r="AD29" s="566">
        <f>SUMIFS('[10]inland_taf_hatchgrp_tableraw&amp;yy'!AB$3:AB$38,'[10]inland_taf_hatchgrp_tableraw&amp;yy'!$AC$3:$AC$38,'2017 Table 10 CWTs exp'!$A29)</f>
        <v>0.86699999999999999</v>
      </c>
      <c r="AE29" s="604" t="str">
        <f t="shared" si="9"/>
        <v>YUBA543</v>
      </c>
      <c r="AF29" s="442"/>
      <c r="AG29" s="622">
        <f t="shared" si="10"/>
        <v>0.86711165048543692</v>
      </c>
      <c r="AH29" s="623">
        <f t="shared" si="11"/>
        <v>0.1328883495145631</v>
      </c>
      <c r="AI29" s="605">
        <f t="shared" si="13"/>
        <v>0.13300000000000001</v>
      </c>
      <c r="AJ29" s="447">
        <f t="shared" si="12"/>
        <v>219</v>
      </c>
      <c r="AK29" s="448">
        <f t="shared" si="14"/>
        <v>0.1328883495145631</v>
      </c>
      <c r="AL29" s="451"/>
      <c r="AM29" s="442"/>
      <c r="AN29" s="442"/>
      <c r="AO29" s="442"/>
      <c r="AP29" s="442"/>
      <c r="AQ29" s="442"/>
      <c r="AR29" s="442"/>
      <c r="AS29" s="442"/>
      <c r="AT29" s="442"/>
      <c r="AU29" s="442"/>
      <c r="AV29" s="442"/>
      <c r="AW29" s="442"/>
      <c r="AX29" s="442"/>
      <c r="AY29" s="442"/>
      <c r="AZ29" s="442"/>
      <c r="BA29" s="442"/>
      <c r="BB29" s="442"/>
      <c r="BC29" s="442"/>
      <c r="BD29" s="442"/>
      <c r="BE29" s="442"/>
      <c r="BF29" s="442"/>
      <c r="BG29" s="442"/>
      <c r="BH29" s="442"/>
      <c r="BI29" s="442"/>
      <c r="BJ29" s="442"/>
    </row>
    <row r="30" spans="1:62" ht="12.75" hidden="1" customHeight="1" x14ac:dyDescent="0.25">
      <c r="A30" s="50" t="str">
        <f t="shared" si="8"/>
        <v>YUBB543</v>
      </c>
      <c r="B30" s="13" t="s">
        <v>84</v>
      </c>
      <c r="C30" s="13">
        <v>54</v>
      </c>
      <c r="D30" s="13">
        <v>3</v>
      </c>
      <c r="E30" s="79" t="s">
        <v>85</v>
      </c>
      <c r="F30" s="43" t="str">
        <f t="shared" si="15"/>
        <v>Fall</v>
      </c>
      <c r="G30" s="44">
        <f>SUMIFS('[10]inland_taf_hatchgrp_tableraw&amp;yy'!G$3:G$38,'[10]inland_taf_hatchgrp_tableraw&amp;yy'!$AC$3:$AC$38,'2017 Table 10 CWTs exp'!$A30)</f>
        <v>0</v>
      </c>
      <c r="H30" s="45">
        <f>SUMIFS('[10]inland_taf_hatchgrp_tableraw&amp;yy'!H$3:H$38,'[10]inland_taf_hatchgrp_tableraw&amp;yy'!$AC$3:$AC$38,'2017 Table 10 CWTs exp'!$A30)</f>
        <v>0</v>
      </c>
      <c r="I30" s="44">
        <f>SUMIFS('[10]inland_taf_hatchgrp_tableraw&amp;yy'!I$3:I$38,'[10]inland_taf_hatchgrp_tableraw&amp;yy'!$AC$3:$AC$38,'2017 Table 10 CWTs exp'!$A30)</f>
        <v>0</v>
      </c>
      <c r="J30" s="46">
        <f>SUMIFS('[10]inland_taf_hatchgrp_tableraw&amp;yy'!J$3:J$38,'[10]inland_taf_hatchgrp_tableraw&amp;yy'!$AC$3:$AC$38,'2017 Table 10 CWTs exp'!$A30)</f>
        <v>0</v>
      </c>
      <c r="K30" s="44">
        <f>SUMIFS('[10]inland_taf_hatchgrp_tableraw&amp;yy'!K$3:K$38,'[10]inland_taf_hatchgrp_tableraw&amp;yy'!$AC$3:$AC$38,'2017 Table 10 CWTs exp'!$A30)</f>
        <v>0</v>
      </c>
      <c r="L30" s="44">
        <f>SUMIFS('[10]inland_taf_hatchgrp_tableraw&amp;yy'!L$3:L$38,'[10]inland_taf_hatchgrp_tableraw&amp;yy'!$AC$3:$AC$38,'2017 Table 10 CWTs exp'!$A30)</f>
        <v>0</v>
      </c>
      <c r="M30" s="44">
        <f>SUMIFS('[10]inland_taf_hatchgrp_tableraw&amp;yy'!M$3:M$38,'[10]inland_taf_hatchgrp_tableraw&amp;yy'!$AC$3:$AC$38,'2017 Table 10 CWTs exp'!$A30)</f>
        <v>0</v>
      </c>
      <c r="N30" s="44">
        <f>SUMIFS('[10]inland_taf_hatchgrp_tableraw&amp;yy'!N$3:N$38,'[10]inland_taf_hatchgrp_tableraw&amp;yy'!$AC$3:$AC$38,'2017 Table 10 CWTs exp'!$A30)</f>
        <v>0</v>
      </c>
      <c r="O30" s="44">
        <f>SUMIFS('[10]inland_taf_hatchgrp_tableraw&amp;yy'!O$3:O$38,'[10]inland_taf_hatchgrp_tableraw&amp;yy'!$AC$3:$AC$38,'2017 Table 10 CWTs exp'!$A30)</f>
        <v>0</v>
      </c>
      <c r="P30" s="44">
        <f>SUMIFS('[10]inland_taf_hatchgrp_tableraw&amp;yy'!P$3:P$38,'[10]inland_taf_hatchgrp_tableraw&amp;yy'!$AC$3:$AC$38,'2017 Table 10 CWTs exp'!$A30)</f>
        <v>0</v>
      </c>
      <c r="Q30" s="46">
        <f>SUMIFS('[10]inland_taf_hatchgrp_tableraw&amp;yy'!Q$3:Q$38,'[10]inland_taf_hatchgrp_tableraw&amp;yy'!$AC$3:$AC$38,'2017 Table 10 CWTs exp'!$A30)</f>
        <v>0</v>
      </c>
      <c r="R30" s="44">
        <f>SUMIFS('[10]inland_taf_hatchgrp_tableraw&amp;yy'!R$3:R$38,'[10]inland_taf_hatchgrp_tableraw&amp;yy'!$AC$3:$AC$38,'2017 Table 10 CWTs exp'!$A30)</f>
        <v>0</v>
      </c>
      <c r="S30" s="46">
        <f>SUMIFS('[10]inland_taf_hatchgrp_tableraw&amp;yy'!S$3:S$38,'[10]inland_taf_hatchgrp_tableraw&amp;yy'!$AC$3:$AC$38,'2017 Table 10 CWTs exp'!$A30)</f>
        <v>0</v>
      </c>
      <c r="T30" s="44">
        <f>SUMIFS('[10]inland_taf_hatchgrp_tableraw&amp;yy'!T$3:T$38,'[10]inland_taf_hatchgrp_tableraw&amp;yy'!$AC$3:$AC$38,'2017 Table 10 CWTs exp'!$A30)</f>
        <v>0</v>
      </c>
      <c r="U30" s="44">
        <f>SUMIFS('[10]inland_taf_hatchgrp_tableraw&amp;yy'!U$3:U$38,'[10]inland_taf_hatchgrp_tableraw&amp;yy'!$AC$3:$AC$38,'2017 Table 10 CWTs exp'!$A30)</f>
        <v>0</v>
      </c>
      <c r="V30" s="44">
        <f>SUMIFS('[10]inland_taf_hatchgrp_tableraw&amp;yy'!V$3:V$38,'[10]inland_taf_hatchgrp_tableraw&amp;yy'!$AC$3:$AC$38,'2017 Table 10 CWTs exp'!$A30)</f>
        <v>0</v>
      </c>
      <c r="W30" s="46">
        <f>SUMIFS('[10]inland_taf_hatchgrp_tableraw&amp;yy'!W$3:W$38,'[10]inland_taf_hatchgrp_tableraw&amp;yy'!$AC$3:$AC$38,'2017 Table 10 CWTs exp'!$A30)</f>
        <v>0</v>
      </c>
      <c r="X30" s="44">
        <f>SUMIFS('[10]inland_taf_hatchgrp_tableraw&amp;yy'!X$3:X$38,'[10]inland_taf_hatchgrp_tableraw&amp;yy'!$AC$3:$AC$38,'2017 Table 10 CWTs exp'!$A30)</f>
        <v>0</v>
      </c>
      <c r="Y30" s="84">
        <f>SUMIFS('[10]inland_taf_hatchgrp_tableraw&amp;yy'!Y$3:Y$38,'[10]inland_taf_hatchgrp_tableraw&amp;yy'!$AC$3:$AC$38,'2017 Table 10 CWTs exp'!$A30)</f>
        <v>0</v>
      </c>
      <c r="Z30" s="85">
        <f>SUMIFS('[10]inland_taf_hatchgrp_tableraw&amp;yy'!Z$3:Z$38,'[10]inland_taf_hatchgrp_tableraw&amp;yy'!$AC$3:$AC$38,'2017 Table 10 CWTs exp'!$A30)</f>
        <v>0</v>
      </c>
      <c r="AA30" s="44">
        <f>SUMIFS('[10]inland_taf_hatchgrp_tableraw&amp;yy'!AA$3:AA$38,'[10]inland_taf_hatchgrp_tableraw&amp;yy'!$AC$3:$AC$38,'2017 Table 10 CWTs exp'!$A30)</f>
        <v>0</v>
      </c>
      <c r="AB30" s="636"/>
      <c r="AC30" s="636"/>
      <c r="AD30" s="566">
        <f>SUMIFS('[10]inland_taf_hatchgrp_tableraw&amp;yy'!AB$3:AB$38,'[10]inland_taf_hatchgrp_tableraw&amp;yy'!$AC$3:$AC$38,'2017 Table 10 CWTs exp'!$A30)</f>
        <v>0</v>
      </c>
      <c r="AE30" s="604" t="str">
        <f t="shared" si="9"/>
        <v>YUBB543</v>
      </c>
      <c r="AF30" s="442"/>
      <c r="AG30" s="622" t="e">
        <f t="shared" si="10"/>
        <v>#DIV/0!</v>
      </c>
      <c r="AH30" s="623" t="e">
        <f t="shared" si="11"/>
        <v>#DIV/0!</v>
      </c>
      <c r="AI30" s="605">
        <f t="shared" si="13"/>
        <v>1</v>
      </c>
      <c r="AJ30" s="447">
        <f t="shared" si="12"/>
        <v>0</v>
      </c>
      <c r="AK30" s="448" t="e">
        <f t="shared" si="14"/>
        <v>#DIV/0!</v>
      </c>
      <c r="AL30" s="451"/>
      <c r="AM30" s="442"/>
      <c r="AN30" s="442"/>
      <c r="AO30" s="442"/>
      <c r="AP30" s="442"/>
      <c r="AQ30" s="442"/>
      <c r="AR30" s="442"/>
      <c r="AS30" s="442"/>
      <c r="AT30" s="442"/>
      <c r="AU30" s="442"/>
      <c r="AV30" s="442"/>
      <c r="AW30" s="442"/>
      <c r="AX30" s="442"/>
      <c r="AY30" s="442"/>
      <c r="AZ30" s="442"/>
      <c r="BA30" s="442"/>
      <c r="BB30" s="442"/>
      <c r="BC30" s="442"/>
      <c r="BD30" s="442"/>
      <c r="BE30" s="442"/>
      <c r="BF30" s="442"/>
      <c r="BG30" s="442"/>
      <c r="BH30" s="442"/>
      <c r="BI30" s="442"/>
      <c r="BJ30" s="442"/>
    </row>
    <row r="31" spans="1:62" ht="14.5" customHeight="1" x14ac:dyDescent="0.25">
      <c r="A31" s="50" t="str">
        <f t="shared" si="8"/>
        <v>LARC543</v>
      </c>
      <c r="B31" s="13" t="s">
        <v>86</v>
      </c>
      <c r="C31" s="13">
        <v>54</v>
      </c>
      <c r="D31" s="13">
        <v>3</v>
      </c>
      <c r="E31" s="3" t="s">
        <v>87</v>
      </c>
      <c r="F31" s="43" t="str">
        <f t="shared" si="15"/>
        <v>Fall</v>
      </c>
      <c r="G31" s="44">
        <f>SUMIFS('[10]inland_taf_hatchgrp_tableraw&amp;yy'!G$3:G$38,'[10]inland_taf_hatchgrp_tableraw&amp;yy'!$AC$3:$AC$38,'2017 Table 10 CWTs exp'!$A31)</f>
        <v>0</v>
      </c>
      <c r="H31" s="45">
        <f>SUMIFS('[10]inland_taf_hatchgrp_tableraw&amp;yy'!H$3:H$38,'[10]inland_taf_hatchgrp_tableraw&amp;yy'!$AC$3:$AC$38,'2017 Table 10 CWTs exp'!$A31)</f>
        <v>0</v>
      </c>
      <c r="I31" s="44">
        <f>SUMIFS('[10]inland_taf_hatchgrp_tableraw&amp;yy'!I$3:I$38,'[10]inland_taf_hatchgrp_tableraw&amp;yy'!$AC$3:$AC$38,'2017 Table 10 CWTs exp'!$A31)</f>
        <v>0</v>
      </c>
      <c r="J31" s="46">
        <f>SUMIFS('[10]inland_taf_hatchgrp_tableraw&amp;yy'!J$3:J$38,'[10]inland_taf_hatchgrp_tableraw&amp;yy'!$AC$3:$AC$38,'2017 Table 10 CWTs exp'!$A31)</f>
        <v>2603</v>
      </c>
      <c r="K31" s="44">
        <f>SUMIFS('[10]inland_taf_hatchgrp_tableraw&amp;yy'!K$3:K$38,'[10]inland_taf_hatchgrp_tableraw&amp;yy'!$AC$3:$AC$38,'2017 Table 10 CWTs exp'!$A31)</f>
        <v>0</v>
      </c>
      <c r="L31" s="44">
        <f>SUMIFS('[10]inland_taf_hatchgrp_tableraw&amp;yy'!L$3:L$38,'[10]inland_taf_hatchgrp_tableraw&amp;yy'!$AC$3:$AC$38,'2017 Table 10 CWTs exp'!$A31)</f>
        <v>0</v>
      </c>
      <c r="M31" s="44">
        <f>SUMIFS('[10]inland_taf_hatchgrp_tableraw&amp;yy'!M$3:M$38,'[10]inland_taf_hatchgrp_tableraw&amp;yy'!$AC$3:$AC$38,'2017 Table 10 CWTs exp'!$A31)</f>
        <v>0</v>
      </c>
      <c r="N31" s="44">
        <f>SUMIFS('[10]inland_taf_hatchgrp_tableraw&amp;yy'!N$3:N$38,'[10]inland_taf_hatchgrp_tableraw&amp;yy'!$AC$3:$AC$38,'2017 Table 10 CWTs exp'!$A31)</f>
        <v>179</v>
      </c>
      <c r="O31" s="44">
        <f>SUMIFS('[10]inland_taf_hatchgrp_tableraw&amp;yy'!O$3:O$38,'[10]inland_taf_hatchgrp_tableraw&amp;yy'!$AC$3:$AC$38,'2017 Table 10 CWTs exp'!$A31)</f>
        <v>30</v>
      </c>
      <c r="P31" s="44">
        <f>SUMIFS('[10]inland_taf_hatchgrp_tableraw&amp;yy'!P$3:P$38,'[10]inland_taf_hatchgrp_tableraw&amp;yy'!$AC$3:$AC$38,'2017 Table 10 CWTs exp'!$A31)</f>
        <v>0</v>
      </c>
      <c r="Q31" s="46">
        <f>SUMIFS('[10]inland_taf_hatchgrp_tableraw&amp;yy'!Q$3:Q$38,'[10]inland_taf_hatchgrp_tableraw&amp;yy'!$AC$3:$AC$38,'2017 Table 10 CWTs exp'!$A31)</f>
        <v>0</v>
      </c>
      <c r="R31" s="44">
        <f>SUMIFS('[10]inland_taf_hatchgrp_tableraw&amp;yy'!R$3:R$38,'[10]inland_taf_hatchgrp_tableraw&amp;yy'!$AC$3:$AC$38,'2017 Table 10 CWTs exp'!$A31)</f>
        <v>197</v>
      </c>
      <c r="S31" s="46">
        <f>SUMIFS('[10]inland_taf_hatchgrp_tableraw&amp;yy'!S$3:S$38,'[10]inland_taf_hatchgrp_tableraw&amp;yy'!$AC$3:$AC$38,'2017 Table 10 CWTs exp'!$A31)</f>
        <v>1649</v>
      </c>
      <c r="T31" s="44">
        <f>SUMIFS('[10]inland_taf_hatchgrp_tableraw&amp;yy'!T$3:T$38,'[10]inland_taf_hatchgrp_tableraw&amp;yy'!$AC$3:$AC$38,'2017 Table 10 CWTs exp'!$A31)</f>
        <v>3</v>
      </c>
      <c r="U31" s="44">
        <f>SUMIFS('[10]inland_taf_hatchgrp_tableraw&amp;yy'!U$3:U$38,'[10]inland_taf_hatchgrp_tableraw&amp;yy'!$AC$3:$AC$38,'2017 Table 10 CWTs exp'!$A31)</f>
        <v>646</v>
      </c>
      <c r="V31" s="44">
        <f>SUMIFS('[10]inland_taf_hatchgrp_tableraw&amp;yy'!V$3:V$38,'[10]inland_taf_hatchgrp_tableraw&amp;yy'!$AC$3:$AC$38,'2017 Table 10 CWTs exp'!$A31)</f>
        <v>125</v>
      </c>
      <c r="W31" s="46">
        <f>SUMIFS('[10]inland_taf_hatchgrp_tableraw&amp;yy'!W$3:W$38,'[10]inland_taf_hatchgrp_tableraw&amp;yy'!$AC$3:$AC$38,'2017 Table 10 CWTs exp'!$A31)</f>
        <v>76</v>
      </c>
      <c r="X31" s="44">
        <f>SUMIFS('[10]inland_taf_hatchgrp_tableraw&amp;yy'!X$3:X$38,'[10]inland_taf_hatchgrp_tableraw&amp;yy'!$AC$3:$AC$38,'2017 Table 10 CWTs exp'!$A31)</f>
        <v>66</v>
      </c>
      <c r="Y31" s="84">
        <f>SUMIFS('[10]inland_taf_hatchgrp_tableraw&amp;yy'!Y$3:Y$38,'[10]inland_taf_hatchgrp_tableraw&amp;yy'!$AC$3:$AC$38,'2017 Table 10 CWTs exp'!$A31)</f>
        <v>5574</v>
      </c>
      <c r="Z31" s="85">
        <f>SUMIFS('[10]inland_taf_hatchgrp_tableraw&amp;yy'!Z$3:Z$38,'[10]inland_taf_hatchgrp_tableraw&amp;yy'!$AC$3:$AC$38,'2017 Table 10 CWTs exp'!$A31)</f>
        <v>1660</v>
      </c>
      <c r="AA31" s="44">
        <f>SUMIFS('[10]inland_taf_hatchgrp_tableraw&amp;yy'!AA$3:AA$38,'[10]inland_taf_hatchgrp_tableraw&amp;yy'!$AC$3:$AC$38,'2017 Table 10 CWTs exp'!$A31)</f>
        <v>7234</v>
      </c>
      <c r="AB31" s="636"/>
      <c r="AC31" s="636"/>
      <c r="AD31" s="566">
        <f>SUMIFS('[10]inland_taf_hatchgrp_tableraw&amp;yy'!AB$3:AB$38,'[10]inland_taf_hatchgrp_tableraw&amp;yy'!$AC$3:$AC$38,'2017 Table 10 CWTs exp'!$A31)</f>
        <v>0.77100000000000002</v>
      </c>
      <c r="AE31" s="604" t="str">
        <f t="shared" si="9"/>
        <v>LARC543</v>
      </c>
      <c r="AF31" s="442"/>
      <c r="AG31" s="622">
        <f t="shared" si="10"/>
        <v>0.77052806192977608</v>
      </c>
      <c r="AH31" s="623">
        <f t="shared" si="11"/>
        <v>0.22947193807022395</v>
      </c>
      <c r="AI31" s="605">
        <f t="shared" si="13"/>
        <v>0.22899999999999998</v>
      </c>
      <c r="AJ31" s="447">
        <f t="shared" si="12"/>
        <v>1660</v>
      </c>
      <c r="AK31" s="448">
        <f t="shared" si="14"/>
        <v>0.22947193807022395</v>
      </c>
      <c r="AL31" s="451"/>
      <c r="AM31" s="442"/>
      <c r="AN31" s="442"/>
      <c r="AO31" s="442"/>
      <c r="AP31" s="442"/>
      <c r="AQ31" s="442"/>
      <c r="AR31" s="442"/>
      <c r="AS31" s="442"/>
      <c r="AT31" s="442"/>
      <c r="AU31" s="442"/>
      <c r="AV31" s="442"/>
      <c r="AW31" s="442"/>
      <c r="AX31" s="442"/>
      <c r="AY31" s="442"/>
      <c r="AZ31" s="442"/>
      <c r="BA31" s="442"/>
      <c r="BB31" s="442"/>
      <c r="BC31" s="442"/>
      <c r="BD31" s="442"/>
      <c r="BE31" s="442"/>
      <c r="BF31" s="442"/>
      <c r="BG31" s="442"/>
      <c r="BH31" s="442"/>
      <c r="BI31" s="442"/>
      <c r="BJ31" s="442"/>
    </row>
    <row r="32" spans="1:62" ht="14.5" customHeight="1" x14ac:dyDescent="0.25">
      <c r="A32" s="36" t="str">
        <f t="shared" si="8"/>
        <v>NIMW593</v>
      </c>
      <c r="B32" s="35" t="s">
        <v>88</v>
      </c>
      <c r="C32" s="35">
        <v>59</v>
      </c>
      <c r="D32" s="35">
        <v>3</v>
      </c>
      <c r="E32" s="3" t="s">
        <v>89</v>
      </c>
      <c r="F32" s="43" t="str">
        <f t="shared" si="15"/>
        <v>Fall</v>
      </c>
      <c r="G32" s="44">
        <f>SUMIFS('[10]inland_taf_hatchgrp_tableraw&amp;yy'!G$3:G$38,'[10]inland_taf_hatchgrp_tableraw&amp;yy'!$AC$3:$AC$38,'2017 Table 10 CWTs exp'!$A32)</f>
        <v>0</v>
      </c>
      <c r="H32" s="45">
        <f>SUMIFS('[10]inland_taf_hatchgrp_tableraw&amp;yy'!H$3:H$38,'[10]inland_taf_hatchgrp_tableraw&amp;yy'!$AC$3:$AC$38,'2017 Table 10 CWTs exp'!$A32)</f>
        <v>0</v>
      </c>
      <c r="I32" s="44">
        <f>SUMIFS('[10]inland_taf_hatchgrp_tableraw&amp;yy'!I$3:I$38,'[10]inland_taf_hatchgrp_tableraw&amp;yy'!$AC$3:$AC$38,'2017 Table 10 CWTs exp'!$A32)</f>
        <v>0</v>
      </c>
      <c r="J32" s="46">
        <f>SUMIFS('[10]inland_taf_hatchgrp_tableraw&amp;yy'!J$3:J$38,'[10]inland_taf_hatchgrp_tableraw&amp;yy'!$AC$3:$AC$38,'2017 Table 10 CWTs exp'!$A32)</f>
        <v>352</v>
      </c>
      <c r="K32" s="44">
        <f>SUMIFS('[10]inland_taf_hatchgrp_tableraw&amp;yy'!K$3:K$38,'[10]inland_taf_hatchgrp_tableraw&amp;yy'!$AC$3:$AC$38,'2017 Table 10 CWTs exp'!$A32)</f>
        <v>0</v>
      </c>
      <c r="L32" s="44">
        <f>SUMIFS('[10]inland_taf_hatchgrp_tableraw&amp;yy'!L$3:L$38,'[10]inland_taf_hatchgrp_tableraw&amp;yy'!$AC$3:$AC$38,'2017 Table 10 CWTs exp'!$A32)</f>
        <v>0</v>
      </c>
      <c r="M32" s="44">
        <f>SUMIFS('[10]inland_taf_hatchgrp_tableraw&amp;yy'!M$3:M$38,'[10]inland_taf_hatchgrp_tableraw&amp;yy'!$AC$3:$AC$38,'2017 Table 10 CWTs exp'!$A32)</f>
        <v>0</v>
      </c>
      <c r="N32" s="44">
        <f>SUMIFS('[10]inland_taf_hatchgrp_tableraw&amp;yy'!N$3:N$38,'[10]inland_taf_hatchgrp_tableraw&amp;yy'!$AC$3:$AC$38,'2017 Table 10 CWTs exp'!$A32)</f>
        <v>171</v>
      </c>
      <c r="O32" s="44">
        <f>SUMIFS('[10]inland_taf_hatchgrp_tableraw&amp;yy'!O$3:O$38,'[10]inland_taf_hatchgrp_tableraw&amp;yy'!$AC$3:$AC$38,'2017 Table 10 CWTs exp'!$A32)</f>
        <v>9</v>
      </c>
      <c r="P32" s="44">
        <f>SUMIFS('[10]inland_taf_hatchgrp_tableraw&amp;yy'!P$3:P$38,'[10]inland_taf_hatchgrp_tableraw&amp;yy'!$AC$3:$AC$38,'2017 Table 10 CWTs exp'!$A32)</f>
        <v>0</v>
      </c>
      <c r="Q32" s="46">
        <f>SUMIFS('[10]inland_taf_hatchgrp_tableraw&amp;yy'!Q$3:Q$38,'[10]inland_taf_hatchgrp_tableraw&amp;yy'!$AC$3:$AC$38,'2017 Table 10 CWTs exp'!$A32)</f>
        <v>0</v>
      </c>
      <c r="R32" s="44">
        <f>SUMIFS('[10]inland_taf_hatchgrp_tableraw&amp;yy'!R$3:R$38,'[10]inland_taf_hatchgrp_tableraw&amp;yy'!$AC$3:$AC$38,'2017 Table 10 CWTs exp'!$A32)</f>
        <v>40</v>
      </c>
      <c r="S32" s="46">
        <f>SUMIFS('[10]inland_taf_hatchgrp_tableraw&amp;yy'!S$3:S$38,'[10]inland_taf_hatchgrp_tableraw&amp;yy'!$AC$3:$AC$38,'2017 Table 10 CWTs exp'!$A32)</f>
        <v>154</v>
      </c>
      <c r="T32" s="44">
        <f>SUMIFS('[10]inland_taf_hatchgrp_tableraw&amp;yy'!T$3:T$38,'[10]inland_taf_hatchgrp_tableraw&amp;yy'!$AC$3:$AC$38,'2017 Table 10 CWTs exp'!$A32)</f>
        <v>3</v>
      </c>
      <c r="U32" s="44">
        <f>SUMIFS('[10]inland_taf_hatchgrp_tableraw&amp;yy'!U$3:U$38,'[10]inland_taf_hatchgrp_tableraw&amp;yy'!$AC$3:$AC$38,'2017 Table 10 CWTs exp'!$A32)</f>
        <v>130</v>
      </c>
      <c r="V32" s="44">
        <f>SUMIFS('[10]inland_taf_hatchgrp_tableraw&amp;yy'!V$3:V$38,'[10]inland_taf_hatchgrp_tableraw&amp;yy'!$AC$3:$AC$38,'2017 Table 10 CWTs exp'!$A32)</f>
        <v>56</v>
      </c>
      <c r="W32" s="46">
        <f>SUMIFS('[10]inland_taf_hatchgrp_tableraw&amp;yy'!W$3:W$38,'[10]inland_taf_hatchgrp_tableraw&amp;yy'!$AC$3:$AC$38,'2017 Table 10 CWTs exp'!$A32)</f>
        <v>41</v>
      </c>
      <c r="X32" s="44">
        <f>SUMIFS('[10]inland_taf_hatchgrp_tableraw&amp;yy'!X$3:X$38,'[10]inland_taf_hatchgrp_tableraw&amp;yy'!$AC$3:$AC$38,'2017 Table 10 CWTs exp'!$A32)</f>
        <v>20</v>
      </c>
      <c r="Y32" s="84">
        <f>SUMIFS('[10]inland_taf_hatchgrp_tableraw&amp;yy'!Y$3:Y$38,'[10]inland_taf_hatchgrp_tableraw&amp;yy'!$AC$3:$AC$38,'2017 Table 10 CWTs exp'!$A32)</f>
        <v>976</v>
      </c>
      <c r="Z32" s="85">
        <f>SUMIFS('[10]inland_taf_hatchgrp_tableraw&amp;yy'!Z$3:Z$38,'[10]inland_taf_hatchgrp_tableraw&amp;yy'!$AC$3:$AC$38,'2017 Table 10 CWTs exp'!$A32)</f>
        <v>1453</v>
      </c>
      <c r="AA32" s="44">
        <f>SUMIFS('[10]inland_taf_hatchgrp_tableraw&amp;yy'!AA$3:AA$38,'[10]inland_taf_hatchgrp_tableraw&amp;yy'!$AC$3:$AC$38,'2017 Table 10 CWTs exp'!$A32)</f>
        <v>2429</v>
      </c>
      <c r="AB32" s="636"/>
      <c r="AC32" s="636"/>
      <c r="AD32" s="603">
        <f>SUMIFS('[10]inland_taf_hatchgrp_tableraw&amp;yy'!AB$3:AB$38,'[10]inland_taf_hatchgrp_tableraw&amp;yy'!$AC$3:$AC$38,'2017 Table 10 CWTs exp'!$A32)</f>
        <v>0.40200000000000002</v>
      </c>
      <c r="AE32" s="604" t="str">
        <f t="shared" si="9"/>
        <v>NIMW593</v>
      </c>
      <c r="AF32" s="603"/>
      <c r="AG32" s="622">
        <f t="shared" si="10"/>
        <v>0.40181144503911076</v>
      </c>
      <c r="AH32" s="623">
        <f t="shared" si="11"/>
        <v>0.5981885549608893</v>
      </c>
      <c r="AI32" s="605">
        <f t="shared" si="13"/>
        <v>0.59799999999999998</v>
      </c>
      <c r="AJ32" s="447">
        <f t="shared" si="12"/>
        <v>1453</v>
      </c>
      <c r="AK32" s="448">
        <f t="shared" si="14"/>
        <v>0.5981885549608893</v>
      </c>
      <c r="AL32" s="451"/>
      <c r="AM32" s="442"/>
      <c r="AN32" s="442"/>
      <c r="AO32" s="442"/>
      <c r="AP32" s="442"/>
      <c r="AQ32" s="442"/>
      <c r="AR32" s="442"/>
      <c r="AS32" s="442"/>
      <c r="AT32" s="442"/>
      <c r="AU32" s="442"/>
      <c r="AV32" s="442"/>
      <c r="AW32" s="442"/>
      <c r="AX32" s="442"/>
      <c r="AY32" s="442"/>
      <c r="AZ32" s="442"/>
      <c r="BA32" s="442"/>
      <c r="BB32" s="442"/>
      <c r="BC32" s="442"/>
      <c r="BD32" s="442"/>
      <c r="BE32" s="442"/>
      <c r="BF32" s="442"/>
      <c r="BG32" s="442"/>
      <c r="BH32" s="442"/>
      <c r="BI32" s="442"/>
      <c r="BJ32" s="442"/>
    </row>
    <row r="33" spans="1:62" ht="14.5" customHeight="1" x14ac:dyDescent="0.25">
      <c r="A33" s="50" t="str">
        <f t="shared" si="8"/>
        <v>MOKE543</v>
      </c>
      <c r="B33" s="13" t="s">
        <v>90</v>
      </c>
      <c r="C33" s="13">
        <v>54</v>
      </c>
      <c r="D33" s="13">
        <v>3</v>
      </c>
      <c r="E33" s="3" t="s">
        <v>91</v>
      </c>
      <c r="F33" s="43" t="str">
        <f t="shared" si="15"/>
        <v>Fall</v>
      </c>
      <c r="G33" s="44">
        <f>SUMIFS('[10]inland_taf_hatchgrp_tableraw&amp;yy'!G$3:G$38,'[10]inland_taf_hatchgrp_tableraw&amp;yy'!$AC$3:$AC$38,'2017 Table 10 CWTs exp'!$A33)</f>
        <v>0</v>
      </c>
      <c r="H33" s="45">
        <f>SUMIFS('[10]inland_taf_hatchgrp_tableraw&amp;yy'!H$3:H$38,'[10]inland_taf_hatchgrp_tableraw&amp;yy'!$AC$3:$AC$38,'2017 Table 10 CWTs exp'!$A33)</f>
        <v>0</v>
      </c>
      <c r="I33" s="44">
        <f>SUMIFS('[10]inland_taf_hatchgrp_tableraw&amp;yy'!I$3:I$38,'[10]inland_taf_hatchgrp_tableraw&amp;yy'!$AC$3:$AC$38,'2017 Table 10 CWTs exp'!$A33)</f>
        <v>0</v>
      </c>
      <c r="J33" s="46">
        <f>SUMIFS('[10]inland_taf_hatchgrp_tableraw&amp;yy'!J$3:J$38,'[10]inland_taf_hatchgrp_tableraw&amp;yy'!$AC$3:$AC$38,'2017 Table 10 CWTs exp'!$A33)</f>
        <v>547</v>
      </c>
      <c r="K33" s="44">
        <f>SUMIFS('[10]inland_taf_hatchgrp_tableraw&amp;yy'!K$3:K$38,'[10]inland_taf_hatchgrp_tableraw&amp;yy'!$AC$3:$AC$38,'2017 Table 10 CWTs exp'!$A33)</f>
        <v>0</v>
      </c>
      <c r="L33" s="44">
        <f>SUMIFS('[10]inland_taf_hatchgrp_tableraw&amp;yy'!L$3:L$38,'[10]inland_taf_hatchgrp_tableraw&amp;yy'!$AC$3:$AC$38,'2017 Table 10 CWTs exp'!$A33)</f>
        <v>0</v>
      </c>
      <c r="M33" s="44">
        <f>SUMIFS('[10]inland_taf_hatchgrp_tableraw&amp;yy'!M$3:M$38,'[10]inland_taf_hatchgrp_tableraw&amp;yy'!$AC$3:$AC$38,'2017 Table 10 CWTs exp'!$A33)</f>
        <v>0</v>
      </c>
      <c r="N33" s="44">
        <f>SUMIFS('[10]inland_taf_hatchgrp_tableraw&amp;yy'!N$3:N$38,'[10]inland_taf_hatchgrp_tableraw&amp;yy'!$AC$3:$AC$38,'2017 Table 10 CWTs exp'!$A33)</f>
        <v>121</v>
      </c>
      <c r="O33" s="44">
        <f>SUMIFS('[10]inland_taf_hatchgrp_tableraw&amp;yy'!O$3:O$38,'[10]inland_taf_hatchgrp_tableraw&amp;yy'!$AC$3:$AC$38,'2017 Table 10 CWTs exp'!$A33)</f>
        <v>31</v>
      </c>
      <c r="P33" s="44">
        <f>SUMIFS('[10]inland_taf_hatchgrp_tableraw&amp;yy'!P$3:P$38,'[10]inland_taf_hatchgrp_tableraw&amp;yy'!$AC$3:$AC$38,'2017 Table 10 CWTs exp'!$A33)</f>
        <v>0</v>
      </c>
      <c r="Q33" s="46">
        <f>SUMIFS('[10]inland_taf_hatchgrp_tableraw&amp;yy'!Q$3:Q$38,'[10]inland_taf_hatchgrp_tableraw&amp;yy'!$AC$3:$AC$38,'2017 Table 10 CWTs exp'!$A33)</f>
        <v>0</v>
      </c>
      <c r="R33" s="44">
        <f>SUMIFS('[10]inland_taf_hatchgrp_tableraw&amp;yy'!R$3:R$38,'[10]inland_taf_hatchgrp_tableraw&amp;yy'!$AC$3:$AC$38,'2017 Table 10 CWTs exp'!$A33)</f>
        <v>0</v>
      </c>
      <c r="S33" s="46">
        <f>SUMIFS('[10]inland_taf_hatchgrp_tableraw&amp;yy'!S$3:S$38,'[10]inland_taf_hatchgrp_tableraw&amp;yy'!$AC$3:$AC$38,'2017 Table 10 CWTs exp'!$A33)</f>
        <v>1328</v>
      </c>
      <c r="T33" s="44">
        <f>SUMIFS('[10]inland_taf_hatchgrp_tableraw&amp;yy'!T$3:T$38,'[10]inland_taf_hatchgrp_tableraw&amp;yy'!$AC$3:$AC$38,'2017 Table 10 CWTs exp'!$A33)</f>
        <v>59</v>
      </c>
      <c r="U33" s="44">
        <f>SUMIFS('[10]inland_taf_hatchgrp_tableraw&amp;yy'!U$3:U$38,'[10]inland_taf_hatchgrp_tableraw&amp;yy'!$AC$3:$AC$38,'2017 Table 10 CWTs exp'!$A33)</f>
        <v>2115</v>
      </c>
      <c r="V33" s="44">
        <f>SUMIFS('[10]inland_taf_hatchgrp_tableraw&amp;yy'!V$3:V$38,'[10]inland_taf_hatchgrp_tableraw&amp;yy'!$AC$3:$AC$38,'2017 Table 10 CWTs exp'!$A33)</f>
        <v>408</v>
      </c>
      <c r="W33" s="46">
        <f>SUMIFS('[10]inland_taf_hatchgrp_tableraw&amp;yy'!W$3:W$38,'[10]inland_taf_hatchgrp_tableraw&amp;yy'!$AC$3:$AC$38,'2017 Table 10 CWTs exp'!$A33)</f>
        <v>105</v>
      </c>
      <c r="X33" s="44">
        <f>SUMIFS('[10]inland_taf_hatchgrp_tableraw&amp;yy'!X$3:X$38,'[10]inland_taf_hatchgrp_tableraw&amp;yy'!$AC$3:$AC$38,'2017 Table 10 CWTs exp'!$A33)</f>
        <v>117</v>
      </c>
      <c r="Y33" s="84">
        <f>SUMIFS('[10]inland_taf_hatchgrp_tableraw&amp;yy'!Y$3:Y$38,'[10]inland_taf_hatchgrp_tableraw&amp;yy'!$AC$3:$AC$38,'2017 Table 10 CWTs exp'!$A33)</f>
        <v>4831</v>
      </c>
      <c r="Z33" s="85">
        <f>SUMIFS('[10]inland_taf_hatchgrp_tableraw&amp;yy'!Z$3:Z$38,'[10]inland_taf_hatchgrp_tableraw&amp;yy'!$AC$3:$AC$38,'2017 Table 10 CWTs exp'!$A33)</f>
        <v>813</v>
      </c>
      <c r="AA33" s="44">
        <f>SUMIFS('[10]inland_taf_hatchgrp_tableraw&amp;yy'!AA$3:AA$38,'[10]inland_taf_hatchgrp_tableraw&amp;yy'!$AC$3:$AC$38,'2017 Table 10 CWTs exp'!$A33)</f>
        <v>5644</v>
      </c>
      <c r="AB33" s="636"/>
      <c r="AC33" s="636"/>
      <c r="AD33" s="566">
        <f>SUMIFS('[10]inland_taf_hatchgrp_tableraw&amp;yy'!AB$3:AB$38,'[10]inland_taf_hatchgrp_tableraw&amp;yy'!$AC$3:$AC$38,'2017 Table 10 CWTs exp'!$A33)</f>
        <v>0.85599999999999998</v>
      </c>
      <c r="AE33" s="604" t="str">
        <f t="shared" si="9"/>
        <v>MOKE543</v>
      </c>
      <c r="AF33" s="442"/>
      <c r="AG33" s="622">
        <f t="shared" si="10"/>
        <v>0.85595322466335932</v>
      </c>
      <c r="AH33" s="623">
        <f t="shared" si="11"/>
        <v>0.14404677533664068</v>
      </c>
      <c r="AI33" s="605">
        <f t="shared" si="13"/>
        <v>0.14400000000000002</v>
      </c>
      <c r="AJ33" s="447">
        <f t="shared" si="12"/>
        <v>813</v>
      </c>
      <c r="AK33" s="448">
        <f t="shared" si="14"/>
        <v>0.14404677533664068</v>
      </c>
      <c r="AL33" s="451"/>
      <c r="AM33" s="442"/>
      <c r="AN33" s="442"/>
      <c r="AO33" s="442"/>
      <c r="AP33" s="442"/>
      <c r="AQ33" s="442"/>
      <c r="AR33" s="442"/>
      <c r="AS33" s="442"/>
      <c r="AT33" s="442"/>
      <c r="AU33" s="442"/>
      <c r="AV33" s="442"/>
      <c r="AW33" s="442"/>
      <c r="AX33" s="442"/>
      <c r="AY33" s="442"/>
      <c r="AZ33" s="442"/>
      <c r="BA33" s="442"/>
      <c r="BB33" s="442"/>
      <c r="BC33" s="442"/>
      <c r="BD33" s="442"/>
      <c r="BE33" s="442"/>
      <c r="BF33" s="442"/>
      <c r="BG33" s="442"/>
      <c r="BH33" s="442"/>
      <c r="BI33" s="442"/>
      <c r="BJ33" s="442"/>
    </row>
    <row r="34" spans="1:62" hidden="1" x14ac:dyDescent="0.25">
      <c r="A34" s="50" t="str">
        <f t="shared" si="8"/>
        <v>COSU543</v>
      </c>
      <c r="B34" s="13" t="s">
        <v>92</v>
      </c>
      <c r="C34" s="13">
        <v>54</v>
      </c>
      <c r="D34" s="13">
        <v>3</v>
      </c>
      <c r="E34" s="3" t="s">
        <v>93</v>
      </c>
      <c r="F34" s="43" t="str">
        <f t="shared" si="15"/>
        <v>Fall</v>
      </c>
      <c r="G34" s="44">
        <f>SUMIFS('[10]inland_taf_hatchgrp_tableraw&amp;yy'!G$3:G$38,'[10]inland_taf_hatchgrp_tableraw&amp;yy'!$AC$3:$AC$38,'2017 Table 10 CWTs exp'!$A34)</f>
        <v>0</v>
      </c>
      <c r="H34" s="45">
        <f>SUMIFS('[10]inland_taf_hatchgrp_tableraw&amp;yy'!H$3:H$38,'[10]inland_taf_hatchgrp_tableraw&amp;yy'!$AC$3:$AC$38,'2017 Table 10 CWTs exp'!$A34)</f>
        <v>0</v>
      </c>
      <c r="I34" s="44">
        <f>SUMIFS('[10]inland_taf_hatchgrp_tableraw&amp;yy'!I$3:I$38,'[10]inland_taf_hatchgrp_tableraw&amp;yy'!$AC$3:$AC$38,'2017 Table 10 CWTs exp'!$A34)</f>
        <v>0</v>
      </c>
      <c r="J34" s="46">
        <f>SUMIFS('[10]inland_taf_hatchgrp_tableraw&amp;yy'!J$3:J$38,'[10]inland_taf_hatchgrp_tableraw&amp;yy'!$AC$3:$AC$38,'2017 Table 10 CWTs exp'!$A34)</f>
        <v>0</v>
      </c>
      <c r="K34" s="44">
        <f>SUMIFS('[10]inland_taf_hatchgrp_tableraw&amp;yy'!K$3:K$38,'[10]inland_taf_hatchgrp_tableraw&amp;yy'!$AC$3:$AC$38,'2017 Table 10 CWTs exp'!$A34)</f>
        <v>0</v>
      </c>
      <c r="L34" s="44">
        <f>SUMIFS('[10]inland_taf_hatchgrp_tableraw&amp;yy'!L$3:L$38,'[10]inland_taf_hatchgrp_tableraw&amp;yy'!$AC$3:$AC$38,'2017 Table 10 CWTs exp'!$A34)</f>
        <v>0</v>
      </c>
      <c r="M34" s="44">
        <f>SUMIFS('[10]inland_taf_hatchgrp_tableraw&amp;yy'!M$3:M$38,'[10]inland_taf_hatchgrp_tableraw&amp;yy'!$AC$3:$AC$38,'2017 Table 10 CWTs exp'!$A34)</f>
        <v>0</v>
      </c>
      <c r="N34" s="44">
        <f>SUMIFS('[10]inland_taf_hatchgrp_tableraw&amp;yy'!N$3:N$38,'[10]inland_taf_hatchgrp_tableraw&amp;yy'!$AC$3:$AC$38,'2017 Table 10 CWTs exp'!$A34)</f>
        <v>0</v>
      </c>
      <c r="O34" s="44">
        <f>SUMIFS('[10]inland_taf_hatchgrp_tableraw&amp;yy'!O$3:O$38,'[10]inland_taf_hatchgrp_tableraw&amp;yy'!$AC$3:$AC$38,'2017 Table 10 CWTs exp'!$A34)</f>
        <v>0</v>
      </c>
      <c r="P34" s="44">
        <f>SUMIFS('[10]inland_taf_hatchgrp_tableraw&amp;yy'!P$3:P$38,'[10]inland_taf_hatchgrp_tableraw&amp;yy'!$AC$3:$AC$38,'2017 Table 10 CWTs exp'!$A34)</f>
        <v>0</v>
      </c>
      <c r="Q34" s="46">
        <f>SUMIFS('[10]inland_taf_hatchgrp_tableraw&amp;yy'!Q$3:Q$38,'[10]inland_taf_hatchgrp_tableraw&amp;yy'!$AC$3:$AC$38,'2017 Table 10 CWTs exp'!$A34)</f>
        <v>0</v>
      </c>
      <c r="R34" s="44">
        <f>SUMIFS('[10]inland_taf_hatchgrp_tableraw&amp;yy'!R$3:R$38,'[10]inland_taf_hatchgrp_tableraw&amp;yy'!$AC$3:$AC$38,'2017 Table 10 CWTs exp'!$A34)</f>
        <v>0</v>
      </c>
      <c r="S34" s="46">
        <f>SUMIFS('[10]inland_taf_hatchgrp_tableraw&amp;yy'!S$3:S$38,'[10]inland_taf_hatchgrp_tableraw&amp;yy'!$AC$3:$AC$38,'2017 Table 10 CWTs exp'!$A34)</f>
        <v>0</v>
      </c>
      <c r="T34" s="44">
        <f>SUMIFS('[10]inland_taf_hatchgrp_tableraw&amp;yy'!T$3:T$38,'[10]inland_taf_hatchgrp_tableraw&amp;yy'!$AC$3:$AC$38,'2017 Table 10 CWTs exp'!$A34)</f>
        <v>0</v>
      </c>
      <c r="U34" s="44">
        <f>SUMIFS('[10]inland_taf_hatchgrp_tableraw&amp;yy'!U$3:U$38,'[10]inland_taf_hatchgrp_tableraw&amp;yy'!$AC$3:$AC$38,'2017 Table 10 CWTs exp'!$A34)</f>
        <v>0</v>
      </c>
      <c r="V34" s="44">
        <f>SUMIFS('[10]inland_taf_hatchgrp_tableraw&amp;yy'!V$3:V$38,'[10]inland_taf_hatchgrp_tableraw&amp;yy'!$AC$3:$AC$38,'2017 Table 10 CWTs exp'!$A34)</f>
        <v>0</v>
      </c>
      <c r="W34" s="46">
        <f>SUMIFS('[10]inland_taf_hatchgrp_tableraw&amp;yy'!W$3:W$38,'[10]inland_taf_hatchgrp_tableraw&amp;yy'!$AC$3:$AC$38,'2017 Table 10 CWTs exp'!$A34)</f>
        <v>0</v>
      </c>
      <c r="X34" s="44">
        <f>SUMIFS('[10]inland_taf_hatchgrp_tableraw&amp;yy'!X$3:X$38,'[10]inland_taf_hatchgrp_tableraw&amp;yy'!$AC$3:$AC$38,'2017 Table 10 CWTs exp'!$A34)</f>
        <v>0</v>
      </c>
      <c r="Y34" s="84">
        <f>SUMIFS('[10]inland_taf_hatchgrp_tableraw&amp;yy'!Y$3:Y$38,'[10]inland_taf_hatchgrp_tableraw&amp;yy'!$AC$3:$AC$38,'2017 Table 10 CWTs exp'!$A34)</f>
        <v>0</v>
      </c>
      <c r="Z34" s="85">
        <f>SUMIFS('[10]inland_taf_hatchgrp_tableraw&amp;yy'!Z$3:Z$38,'[10]inland_taf_hatchgrp_tableraw&amp;yy'!$AC$3:$AC$38,'2017 Table 10 CWTs exp'!$A34)</f>
        <v>0</v>
      </c>
      <c r="AA34" s="44">
        <f>SUMIFS('[10]inland_taf_hatchgrp_tableraw&amp;yy'!AA$3:AA$38,'[10]inland_taf_hatchgrp_tableraw&amp;yy'!$AC$3:$AC$38,'2017 Table 10 CWTs exp'!$A34)</f>
        <v>0</v>
      </c>
      <c r="AB34" s="636"/>
      <c r="AC34" s="636"/>
      <c r="AD34" s="641">
        <f>SUMIFS('[10]inland_taf_hatchgrp_tableraw&amp;yy'!AB$3:AB$38,'[10]inland_taf_hatchgrp_tableraw&amp;yy'!$AC$3:$AC$38,'2017 Table 10 CWTs exp'!$A34)</f>
        <v>0</v>
      </c>
      <c r="AE34" s="637" t="str">
        <f t="shared" si="9"/>
        <v>COSU543</v>
      </c>
      <c r="AF34" s="442"/>
      <c r="AG34" s="622" t="e">
        <f t="shared" si="10"/>
        <v>#DIV/0!</v>
      </c>
      <c r="AH34" s="623" t="e">
        <f t="shared" si="11"/>
        <v>#DIV/0!</v>
      </c>
      <c r="AI34" s="605">
        <f t="shared" si="13"/>
        <v>1</v>
      </c>
      <c r="AJ34" s="447">
        <f t="shared" si="12"/>
        <v>0</v>
      </c>
      <c r="AK34" s="448" t="e">
        <f t="shared" si="14"/>
        <v>#DIV/0!</v>
      </c>
      <c r="AL34" s="451"/>
      <c r="AM34" s="442"/>
      <c r="AN34" s="442"/>
      <c r="AO34" s="442"/>
      <c r="AP34" s="442"/>
      <c r="AQ34" s="442"/>
      <c r="AR34" s="442"/>
      <c r="AS34" s="442"/>
      <c r="AT34" s="442"/>
      <c r="AU34" s="442"/>
      <c r="AV34" s="442"/>
      <c r="AW34" s="442"/>
      <c r="AX34" s="442"/>
      <c r="AY34" s="442"/>
      <c r="AZ34" s="442"/>
      <c r="BA34" s="442"/>
      <c r="BB34" s="442"/>
      <c r="BC34" s="442"/>
      <c r="BD34" s="442"/>
      <c r="BE34" s="442"/>
      <c r="BF34" s="442"/>
      <c r="BG34" s="442"/>
      <c r="BH34" s="442"/>
      <c r="BI34" s="442"/>
      <c r="BJ34" s="442"/>
    </row>
    <row r="35" spans="1:62" hidden="1" x14ac:dyDescent="0.25">
      <c r="A35" s="50" t="str">
        <f t="shared" si="8"/>
        <v>CAL543</v>
      </c>
      <c r="B35" s="13" t="s">
        <v>94</v>
      </c>
      <c r="C35" s="13">
        <v>54</v>
      </c>
      <c r="D35" s="13">
        <v>3</v>
      </c>
      <c r="E35" s="3" t="s">
        <v>166</v>
      </c>
      <c r="F35" s="43" t="str">
        <f t="shared" si="15"/>
        <v>Fall</v>
      </c>
      <c r="G35" s="44">
        <f>SUMIFS('[10]inland_taf_hatchgrp_tableraw&amp;yy'!G$3:G$38,'[10]inland_taf_hatchgrp_tableraw&amp;yy'!$AC$3:$AC$38,'2017 Table 10 CWTs exp'!$A35)</f>
        <v>0</v>
      </c>
      <c r="H35" s="45">
        <f>SUMIFS('[10]inland_taf_hatchgrp_tableraw&amp;yy'!H$3:H$38,'[10]inland_taf_hatchgrp_tableraw&amp;yy'!$AC$3:$AC$38,'2017 Table 10 CWTs exp'!$A35)</f>
        <v>0</v>
      </c>
      <c r="I35" s="44">
        <f>SUMIFS('[10]inland_taf_hatchgrp_tableraw&amp;yy'!I$3:I$38,'[10]inland_taf_hatchgrp_tableraw&amp;yy'!$AC$3:$AC$38,'2017 Table 10 CWTs exp'!$A35)</f>
        <v>0</v>
      </c>
      <c r="J35" s="46">
        <f>SUMIFS('[10]inland_taf_hatchgrp_tableraw&amp;yy'!J$3:J$38,'[10]inland_taf_hatchgrp_tableraw&amp;yy'!$AC$3:$AC$38,'2017 Table 10 CWTs exp'!$A35)</f>
        <v>0</v>
      </c>
      <c r="K35" s="44">
        <f>SUMIFS('[10]inland_taf_hatchgrp_tableraw&amp;yy'!K$3:K$38,'[10]inland_taf_hatchgrp_tableraw&amp;yy'!$AC$3:$AC$38,'2017 Table 10 CWTs exp'!$A35)</f>
        <v>0</v>
      </c>
      <c r="L35" s="44">
        <f>SUMIFS('[10]inland_taf_hatchgrp_tableraw&amp;yy'!L$3:L$38,'[10]inland_taf_hatchgrp_tableraw&amp;yy'!$AC$3:$AC$38,'2017 Table 10 CWTs exp'!$A35)</f>
        <v>0</v>
      </c>
      <c r="M35" s="44">
        <f>SUMIFS('[10]inland_taf_hatchgrp_tableraw&amp;yy'!M$3:M$38,'[10]inland_taf_hatchgrp_tableraw&amp;yy'!$AC$3:$AC$38,'2017 Table 10 CWTs exp'!$A35)</f>
        <v>0</v>
      </c>
      <c r="N35" s="44">
        <f>SUMIFS('[10]inland_taf_hatchgrp_tableraw&amp;yy'!N$3:N$38,'[10]inland_taf_hatchgrp_tableraw&amp;yy'!$AC$3:$AC$38,'2017 Table 10 CWTs exp'!$A35)</f>
        <v>0</v>
      </c>
      <c r="O35" s="44">
        <f>SUMIFS('[10]inland_taf_hatchgrp_tableraw&amp;yy'!O$3:O$38,'[10]inland_taf_hatchgrp_tableraw&amp;yy'!$AC$3:$AC$38,'2017 Table 10 CWTs exp'!$A35)</f>
        <v>0</v>
      </c>
      <c r="P35" s="44">
        <f>SUMIFS('[10]inland_taf_hatchgrp_tableraw&amp;yy'!P$3:P$38,'[10]inland_taf_hatchgrp_tableraw&amp;yy'!$AC$3:$AC$38,'2017 Table 10 CWTs exp'!$A35)</f>
        <v>0</v>
      </c>
      <c r="Q35" s="46">
        <f>SUMIFS('[10]inland_taf_hatchgrp_tableraw&amp;yy'!Q$3:Q$38,'[10]inland_taf_hatchgrp_tableraw&amp;yy'!$AC$3:$AC$38,'2017 Table 10 CWTs exp'!$A35)</f>
        <v>0</v>
      </c>
      <c r="R35" s="44">
        <f>SUMIFS('[10]inland_taf_hatchgrp_tableraw&amp;yy'!R$3:R$38,'[10]inland_taf_hatchgrp_tableraw&amp;yy'!$AC$3:$AC$38,'2017 Table 10 CWTs exp'!$A35)</f>
        <v>0</v>
      </c>
      <c r="S35" s="46">
        <f>SUMIFS('[10]inland_taf_hatchgrp_tableraw&amp;yy'!S$3:S$38,'[10]inland_taf_hatchgrp_tableraw&amp;yy'!$AC$3:$AC$38,'2017 Table 10 CWTs exp'!$A35)</f>
        <v>0</v>
      </c>
      <c r="T35" s="44">
        <f>SUMIFS('[10]inland_taf_hatchgrp_tableraw&amp;yy'!T$3:T$38,'[10]inland_taf_hatchgrp_tableraw&amp;yy'!$AC$3:$AC$38,'2017 Table 10 CWTs exp'!$A35)</f>
        <v>0</v>
      </c>
      <c r="U35" s="44">
        <f>SUMIFS('[10]inland_taf_hatchgrp_tableraw&amp;yy'!U$3:U$38,'[10]inland_taf_hatchgrp_tableraw&amp;yy'!$AC$3:$AC$38,'2017 Table 10 CWTs exp'!$A35)</f>
        <v>0</v>
      </c>
      <c r="V35" s="44">
        <f>SUMIFS('[10]inland_taf_hatchgrp_tableraw&amp;yy'!V$3:V$38,'[10]inland_taf_hatchgrp_tableraw&amp;yy'!$AC$3:$AC$38,'2017 Table 10 CWTs exp'!$A35)</f>
        <v>0</v>
      </c>
      <c r="W35" s="46">
        <f>SUMIFS('[10]inland_taf_hatchgrp_tableraw&amp;yy'!W$3:W$38,'[10]inland_taf_hatchgrp_tableraw&amp;yy'!$AC$3:$AC$38,'2017 Table 10 CWTs exp'!$A35)</f>
        <v>0</v>
      </c>
      <c r="X35" s="44">
        <f>SUMIFS('[10]inland_taf_hatchgrp_tableraw&amp;yy'!X$3:X$38,'[10]inland_taf_hatchgrp_tableraw&amp;yy'!$AC$3:$AC$38,'2017 Table 10 CWTs exp'!$A35)</f>
        <v>0</v>
      </c>
      <c r="Y35" s="84">
        <f>SUMIFS('[10]inland_taf_hatchgrp_tableraw&amp;yy'!Y$3:Y$38,'[10]inland_taf_hatchgrp_tableraw&amp;yy'!$AC$3:$AC$38,'2017 Table 10 CWTs exp'!$A35)</f>
        <v>0</v>
      </c>
      <c r="Z35" s="85">
        <f>SUMIFS('[10]inland_taf_hatchgrp_tableraw&amp;yy'!Z$3:Z$38,'[10]inland_taf_hatchgrp_tableraw&amp;yy'!$AC$3:$AC$38,'2017 Table 10 CWTs exp'!$A35)</f>
        <v>0</v>
      </c>
      <c r="AA35" s="44">
        <f>SUMIFS('[10]inland_taf_hatchgrp_tableraw&amp;yy'!AA$3:AA$38,'[10]inland_taf_hatchgrp_tableraw&amp;yy'!$AC$3:$AC$38,'2017 Table 10 CWTs exp'!$A35)</f>
        <v>0</v>
      </c>
      <c r="AB35" s="636"/>
      <c r="AC35" s="636"/>
      <c r="AD35" s="567">
        <f>SUMIFS('[10]inland_taf_hatchgrp_tableraw&amp;yy'!AB$3:AB$38,'[10]inland_taf_hatchgrp_tableraw&amp;yy'!$AC$3:$AC$38,'2017 Table 10 CWTs exp'!$A35)</f>
        <v>0</v>
      </c>
      <c r="AE35" s="604" t="str">
        <f t="shared" si="9"/>
        <v>CAL543</v>
      </c>
      <c r="AF35" s="442"/>
      <c r="AG35" s="622" t="e">
        <f t="shared" si="10"/>
        <v>#DIV/0!</v>
      </c>
      <c r="AH35" s="623" t="e">
        <f t="shared" si="11"/>
        <v>#DIV/0!</v>
      </c>
      <c r="AI35" s="605">
        <f t="shared" si="13"/>
        <v>1</v>
      </c>
      <c r="AJ35" s="447">
        <f t="shared" si="12"/>
        <v>0</v>
      </c>
      <c r="AK35" s="448" t="e">
        <f t="shared" si="14"/>
        <v>#DIV/0!</v>
      </c>
      <c r="AL35" s="451"/>
      <c r="AM35" s="442"/>
      <c r="AN35" s="442"/>
      <c r="AO35" s="442"/>
      <c r="AP35" s="442"/>
      <c r="AQ35" s="442"/>
      <c r="AR35" s="442"/>
      <c r="AS35" s="442"/>
      <c r="AT35" s="442"/>
      <c r="AU35" s="442"/>
      <c r="AV35" s="442"/>
      <c r="AW35" s="442"/>
      <c r="AX35" s="442"/>
      <c r="AY35" s="442"/>
      <c r="AZ35" s="442"/>
      <c r="BA35" s="442"/>
      <c r="BB35" s="442"/>
      <c r="BC35" s="442"/>
      <c r="BD35" s="442"/>
      <c r="BE35" s="442"/>
      <c r="BF35" s="442"/>
      <c r="BG35" s="442"/>
      <c r="BH35" s="442"/>
      <c r="BI35" s="442"/>
      <c r="BJ35" s="442"/>
    </row>
    <row r="36" spans="1:62" ht="14.5" customHeight="1" x14ac:dyDescent="0.25">
      <c r="A36" s="50" t="str">
        <f t="shared" si="8"/>
        <v>STA543</v>
      </c>
      <c r="B36" s="13" t="s">
        <v>96</v>
      </c>
      <c r="C36" s="13">
        <v>54</v>
      </c>
      <c r="D36" s="13">
        <v>3</v>
      </c>
      <c r="E36" s="3" t="s">
        <v>97</v>
      </c>
      <c r="F36" s="43" t="str">
        <f t="shared" si="15"/>
        <v>Fall</v>
      </c>
      <c r="G36" s="44">
        <f>SUMIFS('[10]inland_taf_hatchgrp_tableraw&amp;yy'!G$3:G$38,'[10]inland_taf_hatchgrp_tableraw&amp;yy'!$AC$3:$AC$38,'2017 Table 10 CWTs exp'!$A36)</f>
        <v>0</v>
      </c>
      <c r="H36" s="45">
        <f>SUMIFS('[10]inland_taf_hatchgrp_tableraw&amp;yy'!H$3:H$38,'[10]inland_taf_hatchgrp_tableraw&amp;yy'!$AC$3:$AC$38,'2017 Table 10 CWTs exp'!$A36)</f>
        <v>8</v>
      </c>
      <c r="I36" s="44">
        <f>SUMIFS('[10]inland_taf_hatchgrp_tableraw&amp;yy'!I$3:I$38,'[10]inland_taf_hatchgrp_tableraw&amp;yy'!$AC$3:$AC$38,'2017 Table 10 CWTs exp'!$A36)</f>
        <v>0</v>
      </c>
      <c r="J36" s="46">
        <f>SUMIFS('[10]inland_taf_hatchgrp_tableraw&amp;yy'!J$3:J$38,'[10]inland_taf_hatchgrp_tableraw&amp;yy'!$AC$3:$AC$38,'2017 Table 10 CWTs exp'!$A36)</f>
        <v>366</v>
      </c>
      <c r="K36" s="44">
        <f>SUMIFS('[10]inland_taf_hatchgrp_tableraw&amp;yy'!K$3:K$38,'[10]inland_taf_hatchgrp_tableraw&amp;yy'!$AC$3:$AC$38,'2017 Table 10 CWTs exp'!$A36)</f>
        <v>0</v>
      </c>
      <c r="L36" s="44">
        <f>SUMIFS('[10]inland_taf_hatchgrp_tableraw&amp;yy'!L$3:L$38,'[10]inland_taf_hatchgrp_tableraw&amp;yy'!$AC$3:$AC$38,'2017 Table 10 CWTs exp'!$A36)</f>
        <v>0</v>
      </c>
      <c r="M36" s="44">
        <f>SUMIFS('[10]inland_taf_hatchgrp_tableraw&amp;yy'!M$3:M$38,'[10]inland_taf_hatchgrp_tableraw&amp;yy'!$AC$3:$AC$38,'2017 Table 10 CWTs exp'!$A36)</f>
        <v>0</v>
      </c>
      <c r="N36" s="44">
        <f>SUMIFS('[10]inland_taf_hatchgrp_tableraw&amp;yy'!N$3:N$38,'[10]inland_taf_hatchgrp_tableraw&amp;yy'!$AC$3:$AC$38,'2017 Table 10 CWTs exp'!$A36)</f>
        <v>151</v>
      </c>
      <c r="O36" s="44">
        <f>SUMIFS('[10]inland_taf_hatchgrp_tableraw&amp;yy'!O$3:O$38,'[10]inland_taf_hatchgrp_tableraw&amp;yy'!$AC$3:$AC$38,'2017 Table 10 CWTs exp'!$A36)</f>
        <v>0</v>
      </c>
      <c r="P36" s="44">
        <f>SUMIFS('[10]inland_taf_hatchgrp_tableraw&amp;yy'!P$3:P$38,'[10]inland_taf_hatchgrp_tableraw&amp;yy'!$AC$3:$AC$38,'2017 Table 10 CWTs exp'!$A36)</f>
        <v>0</v>
      </c>
      <c r="Q36" s="46">
        <f>SUMIFS('[10]inland_taf_hatchgrp_tableraw&amp;yy'!Q$3:Q$38,'[10]inland_taf_hatchgrp_tableraw&amp;yy'!$AC$3:$AC$38,'2017 Table 10 CWTs exp'!$A36)</f>
        <v>0</v>
      </c>
      <c r="R36" s="44">
        <f>SUMIFS('[10]inland_taf_hatchgrp_tableraw&amp;yy'!R$3:R$38,'[10]inland_taf_hatchgrp_tableraw&amp;yy'!$AC$3:$AC$38,'2017 Table 10 CWTs exp'!$A36)</f>
        <v>0</v>
      </c>
      <c r="S36" s="46">
        <f>SUMIFS('[10]inland_taf_hatchgrp_tableraw&amp;yy'!S$3:S$38,'[10]inland_taf_hatchgrp_tableraw&amp;yy'!$AC$3:$AC$38,'2017 Table 10 CWTs exp'!$A36)</f>
        <v>364</v>
      </c>
      <c r="T36" s="44">
        <f>SUMIFS('[10]inland_taf_hatchgrp_tableraw&amp;yy'!T$3:T$38,'[10]inland_taf_hatchgrp_tableraw&amp;yy'!$AC$3:$AC$38,'2017 Table 10 CWTs exp'!$A36)</f>
        <v>0</v>
      </c>
      <c r="U36" s="44">
        <f>SUMIFS('[10]inland_taf_hatchgrp_tableraw&amp;yy'!U$3:U$38,'[10]inland_taf_hatchgrp_tableraw&amp;yy'!$AC$3:$AC$38,'2017 Table 10 CWTs exp'!$A36)</f>
        <v>2128</v>
      </c>
      <c r="V36" s="44">
        <f>SUMIFS('[10]inland_taf_hatchgrp_tableraw&amp;yy'!V$3:V$38,'[10]inland_taf_hatchgrp_tableraw&amp;yy'!$AC$3:$AC$38,'2017 Table 10 CWTs exp'!$A36)</f>
        <v>84</v>
      </c>
      <c r="W36" s="46">
        <f>SUMIFS('[10]inland_taf_hatchgrp_tableraw&amp;yy'!W$3:W$38,'[10]inland_taf_hatchgrp_tableraw&amp;yy'!$AC$3:$AC$38,'2017 Table 10 CWTs exp'!$A36)</f>
        <v>76</v>
      </c>
      <c r="X36" s="44">
        <f>SUMIFS('[10]inland_taf_hatchgrp_tableraw&amp;yy'!X$3:X$38,'[10]inland_taf_hatchgrp_tableraw&amp;yy'!$AC$3:$AC$38,'2017 Table 10 CWTs exp'!$A36)</f>
        <v>254</v>
      </c>
      <c r="Y36" s="84">
        <f>SUMIFS('[10]inland_taf_hatchgrp_tableraw&amp;yy'!Y$3:Y$38,'[10]inland_taf_hatchgrp_tableraw&amp;yy'!$AC$3:$AC$38,'2017 Table 10 CWTs exp'!$A36)</f>
        <v>3431</v>
      </c>
      <c r="Z36" s="85">
        <f>SUMIFS('[10]inland_taf_hatchgrp_tableraw&amp;yy'!Z$3:Z$38,'[10]inland_taf_hatchgrp_tableraw&amp;yy'!$AC$3:$AC$38,'2017 Table 10 CWTs exp'!$A36)</f>
        <v>68</v>
      </c>
      <c r="AA36" s="44">
        <f>SUMIFS('[10]inland_taf_hatchgrp_tableraw&amp;yy'!AA$3:AA$38,'[10]inland_taf_hatchgrp_tableraw&amp;yy'!$AC$3:$AC$38,'2017 Table 10 CWTs exp'!$A36)</f>
        <v>3499</v>
      </c>
      <c r="AB36" s="636"/>
      <c r="AC36" s="636"/>
      <c r="AD36" s="566">
        <f>SUMIFS('[10]inland_taf_hatchgrp_tableraw&amp;yy'!AB$3:AB$38,'[10]inland_taf_hatchgrp_tableraw&amp;yy'!$AC$3:$AC$38,'2017 Table 10 CWTs exp'!$A36)</f>
        <v>0.98099999999999998</v>
      </c>
      <c r="AE36" s="604" t="str">
        <f t="shared" si="9"/>
        <v>STA543</v>
      </c>
      <c r="AF36" s="442"/>
      <c r="AG36" s="622">
        <f t="shared" si="10"/>
        <v>0.98056587596456135</v>
      </c>
      <c r="AH36" s="623">
        <f t="shared" si="11"/>
        <v>1.9434124035438698E-2</v>
      </c>
      <c r="AI36" s="605">
        <f t="shared" si="13"/>
        <v>1.9000000000000017E-2</v>
      </c>
      <c r="AJ36" s="447">
        <f t="shared" si="12"/>
        <v>68</v>
      </c>
      <c r="AK36" s="448">
        <f t="shared" si="14"/>
        <v>1.9434124035438698E-2</v>
      </c>
      <c r="AL36" s="451"/>
      <c r="AM36" s="442"/>
      <c r="AN36" s="442"/>
      <c r="AO36" s="442"/>
      <c r="AP36" s="442"/>
      <c r="AQ36" s="442"/>
      <c r="AR36" s="442"/>
      <c r="AS36" s="442"/>
      <c r="AT36" s="442"/>
      <c r="AU36" s="442"/>
      <c r="AV36" s="442"/>
      <c r="AW36" s="442"/>
      <c r="AX36" s="442"/>
      <c r="AY36" s="442"/>
      <c r="AZ36" s="442"/>
      <c r="BA36" s="442"/>
      <c r="BB36" s="442"/>
      <c r="BC36" s="442"/>
      <c r="BD36" s="442"/>
      <c r="BE36" s="442"/>
      <c r="BF36" s="442"/>
      <c r="BG36" s="442"/>
      <c r="BH36" s="442"/>
      <c r="BI36" s="442"/>
      <c r="BJ36" s="442"/>
    </row>
    <row r="37" spans="1:62" ht="14.5" customHeight="1" x14ac:dyDescent="0.25">
      <c r="A37" s="50" t="str">
        <f t="shared" si="8"/>
        <v>TUO543</v>
      </c>
      <c r="B37" s="13" t="s">
        <v>98</v>
      </c>
      <c r="C37" s="13">
        <v>54</v>
      </c>
      <c r="D37" s="13">
        <v>3</v>
      </c>
      <c r="E37" s="3" t="s">
        <v>99</v>
      </c>
      <c r="F37" s="43" t="str">
        <f t="shared" si="15"/>
        <v>Fall</v>
      </c>
      <c r="G37" s="44">
        <f>SUMIFS('[10]inland_taf_hatchgrp_tableraw&amp;yy'!G$3:G$38,'[10]inland_taf_hatchgrp_tableraw&amp;yy'!$AC$3:$AC$38,'2017 Table 10 CWTs exp'!$A37)</f>
        <v>0</v>
      </c>
      <c r="H37" s="45">
        <f>SUMIFS('[10]inland_taf_hatchgrp_tableraw&amp;yy'!H$3:H$38,'[10]inland_taf_hatchgrp_tableraw&amp;yy'!$AC$3:$AC$38,'2017 Table 10 CWTs exp'!$A37)</f>
        <v>0</v>
      </c>
      <c r="I37" s="44">
        <f>SUMIFS('[10]inland_taf_hatchgrp_tableraw&amp;yy'!I$3:I$38,'[10]inland_taf_hatchgrp_tableraw&amp;yy'!$AC$3:$AC$38,'2017 Table 10 CWTs exp'!$A37)</f>
        <v>0</v>
      </c>
      <c r="J37" s="46">
        <f>SUMIFS('[10]inland_taf_hatchgrp_tableraw&amp;yy'!J$3:J$38,'[10]inland_taf_hatchgrp_tableraw&amp;yy'!$AC$3:$AC$38,'2017 Table 10 CWTs exp'!$A37)</f>
        <v>147</v>
      </c>
      <c r="K37" s="44">
        <f>SUMIFS('[10]inland_taf_hatchgrp_tableraw&amp;yy'!K$3:K$38,'[10]inland_taf_hatchgrp_tableraw&amp;yy'!$AC$3:$AC$38,'2017 Table 10 CWTs exp'!$A37)</f>
        <v>0</v>
      </c>
      <c r="L37" s="44">
        <f>SUMIFS('[10]inland_taf_hatchgrp_tableraw&amp;yy'!L$3:L$38,'[10]inland_taf_hatchgrp_tableraw&amp;yy'!$AC$3:$AC$38,'2017 Table 10 CWTs exp'!$A37)</f>
        <v>0</v>
      </c>
      <c r="M37" s="44">
        <f>SUMIFS('[10]inland_taf_hatchgrp_tableraw&amp;yy'!M$3:M$38,'[10]inland_taf_hatchgrp_tableraw&amp;yy'!$AC$3:$AC$38,'2017 Table 10 CWTs exp'!$A37)</f>
        <v>0</v>
      </c>
      <c r="N37" s="44">
        <f>SUMIFS('[10]inland_taf_hatchgrp_tableraw&amp;yy'!N$3:N$38,'[10]inland_taf_hatchgrp_tableraw&amp;yy'!$AC$3:$AC$38,'2017 Table 10 CWTs exp'!$A37)</f>
        <v>64</v>
      </c>
      <c r="O37" s="44">
        <f>SUMIFS('[10]inland_taf_hatchgrp_tableraw&amp;yy'!O$3:O$38,'[10]inland_taf_hatchgrp_tableraw&amp;yy'!$AC$3:$AC$38,'2017 Table 10 CWTs exp'!$A37)</f>
        <v>7</v>
      </c>
      <c r="P37" s="44">
        <f>SUMIFS('[10]inland_taf_hatchgrp_tableraw&amp;yy'!P$3:P$38,'[10]inland_taf_hatchgrp_tableraw&amp;yy'!$AC$3:$AC$38,'2017 Table 10 CWTs exp'!$A37)</f>
        <v>0</v>
      </c>
      <c r="Q37" s="46">
        <f>SUMIFS('[10]inland_taf_hatchgrp_tableraw&amp;yy'!Q$3:Q$38,'[10]inland_taf_hatchgrp_tableraw&amp;yy'!$AC$3:$AC$38,'2017 Table 10 CWTs exp'!$A37)</f>
        <v>0</v>
      </c>
      <c r="R37" s="44">
        <f>SUMIFS('[10]inland_taf_hatchgrp_tableraw&amp;yy'!R$3:R$38,'[10]inland_taf_hatchgrp_tableraw&amp;yy'!$AC$3:$AC$38,'2017 Table 10 CWTs exp'!$A37)</f>
        <v>0</v>
      </c>
      <c r="S37" s="46">
        <f>SUMIFS('[10]inland_taf_hatchgrp_tableraw&amp;yy'!S$3:S$38,'[10]inland_taf_hatchgrp_tableraw&amp;yy'!$AC$3:$AC$38,'2017 Table 10 CWTs exp'!$A37)</f>
        <v>28</v>
      </c>
      <c r="T37" s="44">
        <f>SUMIFS('[10]inland_taf_hatchgrp_tableraw&amp;yy'!T$3:T$38,'[10]inland_taf_hatchgrp_tableraw&amp;yy'!$AC$3:$AC$38,'2017 Table 10 CWTs exp'!$A37)</f>
        <v>16</v>
      </c>
      <c r="U37" s="44">
        <f>SUMIFS('[10]inland_taf_hatchgrp_tableraw&amp;yy'!U$3:U$38,'[10]inland_taf_hatchgrp_tableraw&amp;yy'!$AC$3:$AC$38,'2017 Table 10 CWTs exp'!$A37)</f>
        <v>606</v>
      </c>
      <c r="V37" s="44">
        <f>SUMIFS('[10]inland_taf_hatchgrp_tableraw&amp;yy'!V$3:V$38,'[10]inland_taf_hatchgrp_tableraw&amp;yy'!$AC$3:$AC$38,'2017 Table 10 CWTs exp'!$A37)</f>
        <v>23</v>
      </c>
      <c r="W37" s="46">
        <f>SUMIFS('[10]inland_taf_hatchgrp_tableraw&amp;yy'!W$3:W$38,'[10]inland_taf_hatchgrp_tableraw&amp;yy'!$AC$3:$AC$38,'2017 Table 10 CWTs exp'!$A37)</f>
        <v>9</v>
      </c>
      <c r="X37" s="44">
        <f>SUMIFS('[10]inland_taf_hatchgrp_tableraw&amp;yy'!X$3:X$38,'[10]inland_taf_hatchgrp_tableraw&amp;yy'!$AC$3:$AC$38,'2017 Table 10 CWTs exp'!$A37)</f>
        <v>73</v>
      </c>
      <c r="Y37" s="84">
        <f>SUMIFS('[10]inland_taf_hatchgrp_tableraw&amp;yy'!Y$3:Y$38,'[10]inland_taf_hatchgrp_tableraw&amp;yy'!$AC$3:$AC$38,'2017 Table 10 CWTs exp'!$A37)</f>
        <v>973</v>
      </c>
      <c r="Z37" s="85">
        <f>SUMIFS('[10]inland_taf_hatchgrp_tableraw&amp;yy'!Z$3:Z$38,'[10]inland_taf_hatchgrp_tableraw&amp;yy'!$AC$3:$AC$38,'2017 Table 10 CWTs exp'!$A37)</f>
        <v>145</v>
      </c>
      <c r="AA37" s="44">
        <f>SUMIFS('[10]inland_taf_hatchgrp_tableraw&amp;yy'!AA$3:AA$38,'[10]inland_taf_hatchgrp_tableraw&amp;yy'!$AC$3:$AC$38,'2017 Table 10 CWTs exp'!$A37)</f>
        <v>1118</v>
      </c>
      <c r="AB37" s="636"/>
      <c r="AC37" s="636"/>
      <c r="AD37" s="566">
        <f>SUMIFS('[10]inland_taf_hatchgrp_tableraw&amp;yy'!AB$3:AB$38,'[10]inland_taf_hatchgrp_tableraw&amp;yy'!$AC$3:$AC$38,'2017 Table 10 CWTs exp'!$A37)</f>
        <v>0.87</v>
      </c>
      <c r="AE37" s="604" t="str">
        <f t="shared" si="9"/>
        <v>TUO543</v>
      </c>
      <c r="AF37" s="442"/>
      <c r="AG37" s="622">
        <f>Y37/AA37</f>
        <v>0.87030411449016098</v>
      </c>
      <c r="AH37" s="623">
        <f t="shared" si="11"/>
        <v>0.12969588550983899</v>
      </c>
      <c r="AI37" s="605">
        <f t="shared" si="13"/>
        <v>0.13</v>
      </c>
      <c r="AJ37" s="447">
        <f t="shared" si="12"/>
        <v>145</v>
      </c>
      <c r="AK37" s="448">
        <f t="shared" si="14"/>
        <v>0.12969588550983899</v>
      </c>
      <c r="AL37" s="451"/>
      <c r="AM37" s="442"/>
      <c r="AN37" s="442"/>
      <c r="AO37" s="442"/>
      <c r="AP37" s="442"/>
      <c r="AQ37" s="442"/>
      <c r="AR37" s="442"/>
      <c r="AS37" s="442"/>
      <c r="AT37" s="442"/>
      <c r="AU37" s="442"/>
      <c r="AV37" s="442"/>
      <c r="AW37" s="442"/>
      <c r="AX37" s="442"/>
      <c r="AY37" s="442"/>
      <c r="AZ37" s="442"/>
      <c r="BA37" s="442"/>
      <c r="BB37" s="442"/>
      <c r="BC37" s="442"/>
      <c r="BD37" s="442"/>
      <c r="BE37" s="442"/>
      <c r="BF37" s="442"/>
      <c r="BG37" s="442"/>
      <c r="BH37" s="442"/>
      <c r="BI37" s="442"/>
      <c r="BJ37" s="442"/>
    </row>
    <row r="38" spans="1:62" ht="14.5" customHeight="1" x14ac:dyDescent="0.25">
      <c r="A38" s="50" t="str">
        <f t="shared" si="8"/>
        <v>MER543</v>
      </c>
      <c r="B38" s="13" t="s">
        <v>5</v>
      </c>
      <c r="C38" s="13">
        <v>54</v>
      </c>
      <c r="D38" s="13">
        <v>3</v>
      </c>
      <c r="E38" s="3" t="s">
        <v>100</v>
      </c>
      <c r="F38" s="43" t="str">
        <f t="shared" si="15"/>
        <v>Fall</v>
      </c>
      <c r="G38" s="38">
        <f>SUMIFS('[10]inland_taf_hatchgrp_tableraw&amp;yy'!G$3:G$38,'[10]inland_taf_hatchgrp_tableraw&amp;yy'!$AC$3:$AC$38,'2017 Table 10 CWTs exp'!$A38)</f>
        <v>0</v>
      </c>
      <c r="H38" s="39">
        <f>SUMIFS('[10]inland_taf_hatchgrp_tableraw&amp;yy'!H$3:H$38,'[10]inland_taf_hatchgrp_tableraw&amp;yy'!$AC$3:$AC$38,'2017 Table 10 CWTs exp'!$A38)</f>
        <v>0</v>
      </c>
      <c r="I38" s="38">
        <f>SUMIFS('[10]inland_taf_hatchgrp_tableraw&amp;yy'!I$3:I$38,'[10]inland_taf_hatchgrp_tableraw&amp;yy'!$AC$3:$AC$38,'2017 Table 10 CWTs exp'!$A38)</f>
        <v>0</v>
      </c>
      <c r="J38" s="40">
        <f>SUMIFS('[10]inland_taf_hatchgrp_tableraw&amp;yy'!J$3:J$38,'[10]inland_taf_hatchgrp_tableraw&amp;yy'!$AC$3:$AC$38,'2017 Table 10 CWTs exp'!$A38)</f>
        <v>858</v>
      </c>
      <c r="K38" s="38">
        <f>SUMIFS('[10]inland_taf_hatchgrp_tableraw&amp;yy'!K$3:K$38,'[10]inland_taf_hatchgrp_tableraw&amp;yy'!$AC$3:$AC$38,'2017 Table 10 CWTs exp'!$A38)</f>
        <v>0</v>
      </c>
      <c r="L38" s="38">
        <f>SUMIFS('[10]inland_taf_hatchgrp_tableraw&amp;yy'!L$3:L$38,'[10]inland_taf_hatchgrp_tableraw&amp;yy'!$AC$3:$AC$38,'2017 Table 10 CWTs exp'!$A38)</f>
        <v>0</v>
      </c>
      <c r="M38" s="38">
        <f>SUMIFS('[10]inland_taf_hatchgrp_tableraw&amp;yy'!M$3:M$38,'[10]inland_taf_hatchgrp_tableraw&amp;yy'!$AC$3:$AC$38,'2017 Table 10 CWTs exp'!$A38)</f>
        <v>0</v>
      </c>
      <c r="N38" s="38">
        <f>SUMIFS('[10]inland_taf_hatchgrp_tableraw&amp;yy'!N$3:N$38,'[10]inland_taf_hatchgrp_tableraw&amp;yy'!$AC$3:$AC$38,'2017 Table 10 CWTs exp'!$A38)</f>
        <v>185</v>
      </c>
      <c r="O38" s="38">
        <f>SUMIFS('[10]inland_taf_hatchgrp_tableraw&amp;yy'!O$3:O$38,'[10]inland_taf_hatchgrp_tableraw&amp;yy'!$AC$3:$AC$38,'2017 Table 10 CWTs exp'!$A38)</f>
        <v>30</v>
      </c>
      <c r="P38" s="38">
        <f>SUMIFS('[10]inland_taf_hatchgrp_tableraw&amp;yy'!P$3:P$38,'[10]inland_taf_hatchgrp_tableraw&amp;yy'!$AC$3:$AC$38,'2017 Table 10 CWTs exp'!$A38)</f>
        <v>0</v>
      </c>
      <c r="Q38" s="40">
        <f>SUMIFS('[10]inland_taf_hatchgrp_tableraw&amp;yy'!Q$3:Q$38,'[10]inland_taf_hatchgrp_tableraw&amp;yy'!$AC$3:$AC$38,'2017 Table 10 CWTs exp'!$A38)</f>
        <v>0</v>
      </c>
      <c r="R38" s="38">
        <f>SUMIFS('[10]inland_taf_hatchgrp_tableraw&amp;yy'!R$3:R$38,'[10]inland_taf_hatchgrp_tableraw&amp;yy'!$AC$3:$AC$38,'2017 Table 10 CWTs exp'!$A38)</f>
        <v>0</v>
      </c>
      <c r="S38" s="40">
        <f>SUMIFS('[10]inland_taf_hatchgrp_tableraw&amp;yy'!S$3:S$38,'[10]inland_taf_hatchgrp_tableraw&amp;yy'!$AC$3:$AC$38,'2017 Table 10 CWTs exp'!$A38)</f>
        <v>295</v>
      </c>
      <c r="T38" s="38">
        <f>SUMIFS('[10]inland_taf_hatchgrp_tableraw&amp;yy'!T$3:T$38,'[10]inland_taf_hatchgrp_tableraw&amp;yy'!$AC$3:$AC$38,'2017 Table 10 CWTs exp'!$A38)</f>
        <v>23</v>
      </c>
      <c r="U38" s="38">
        <f>SUMIFS('[10]inland_taf_hatchgrp_tableraw&amp;yy'!U$3:U$38,'[10]inland_taf_hatchgrp_tableraw&amp;yy'!$AC$3:$AC$38,'2017 Table 10 CWTs exp'!$A38)</f>
        <v>1064</v>
      </c>
      <c r="V38" s="38">
        <f>SUMIFS('[10]inland_taf_hatchgrp_tableraw&amp;yy'!V$3:V$38,'[10]inland_taf_hatchgrp_tableraw&amp;yy'!$AC$3:$AC$38,'2017 Table 10 CWTs exp'!$A38)</f>
        <v>66</v>
      </c>
      <c r="W38" s="40">
        <f>SUMIFS('[10]inland_taf_hatchgrp_tableraw&amp;yy'!W$3:W$38,'[10]inland_taf_hatchgrp_tableraw&amp;yy'!$AC$3:$AC$38,'2017 Table 10 CWTs exp'!$A38)</f>
        <v>29</v>
      </c>
      <c r="X38" s="38">
        <f>SUMIFS('[10]inland_taf_hatchgrp_tableraw&amp;yy'!X$3:X$38,'[10]inland_taf_hatchgrp_tableraw&amp;yy'!$AC$3:$AC$38,'2017 Table 10 CWTs exp'!$A38)</f>
        <v>210</v>
      </c>
      <c r="Y38" s="41">
        <f>SUMIFS('[10]inland_taf_hatchgrp_tableraw&amp;yy'!Y$3:Y$38,'[10]inland_taf_hatchgrp_tableraw&amp;yy'!$AC$3:$AC$38,'2017 Table 10 CWTs exp'!$A38)</f>
        <v>2760</v>
      </c>
      <c r="Z38" s="42">
        <f>SUMIFS('[10]inland_taf_hatchgrp_tableraw&amp;yy'!Z$3:Z$38,'[10]inland_taf_hatchgrp_tableraw&amp;yy'!$AC$3:$AC$38,'2017 Table 10 CWTs exp'!$A38)</f>
        <v>421</v>
      </c>
      <c r="AA38" s="38">
        <f>SUMIFS('[10]inland_taf_hatchgrp_tableraw&amp;yy'!AA$3:AA$38,'[10]inland_taf_hatchgrp_tableraw&amp;yy'!$AC$3:$AC$38,'2017 Table 10 CWTs exp'!$A38)</f>
        <v>3181</v>
      </c>
      <c r="AB38" s="636"/>
      <c r="AC38" s="636"/>
      <c r="AD38" s="566">
        <f>SUMIFS('[10]inland_taf_hatchgrp_tableraw&amp;yy'!AB$3:AB$38,'[10]inland_taf_hatchgrp_tableraw&amp;yy'!$AC$3:$AC$38,'2017 Table 10 CWTs exp'!$A38)</f>
        <v>0.86799999999999999</v>
      </c>
      <c r="AE38" s="604" t="str">
        <f t="shared" si="9"/>
        <v>MER543</v>
      </c>
      <c r="AF38" s="442"/>
      <c r="AG38" s="622">
        <f t="shared" si="10"/>
        <v>0.86765168186105002</v>
      </c>
      <c r="AH38" s="623">
        <f>Z38/AA38</f>
        <v>0.13234831813895001</v>
      </c>
      <c r="AI38" s="605">
        <f t="shared" si="13"/>
        <v>0.13200000000000001</v>
      </c>
      <c r="AJ38" s="447">
        <f>Z38</f>
        <v>421</v>
      </c>
      <c r="AK38" s="448">
        <f t="shared" si="14"/>
        <v>0.13234831813895001</v>
      </c>
      <c r="AL38" s="451"/>
      <c r="AM38" s="442"/>
      <c r="AN38" s="442"/>
      <c r="AO38" s="442"/>
      <c r="AP38" s="442"/>
      <c r="AQ38" s="442"/>
      <c r="AR38" s="442"/>
      <c r="AS38" s="442"/>
      <c r="AT38" s="442"/>
      <c r="AU38" s="442"/>
      <c r="AV38" s="442"/>
      <c r="AW38" s="442"/>
      <c r="AX38" s="442"/>
      <c r="AY38" s="442"/>
      <c r="AZ38" s="442"/>
      <c r="BA38" s="442"/>
      <c r="BB38" s="442"/>
      <c r="BC38" s="442"/>
      <c r="BD38" s="442"/>
      <c r="BE38" s="442"/>
      <c r="BF38" s="442"/>
      <c r="BG38" s="442"/>
      <c r="BH38" s="442"/>
      <c r="BI38" s="442"/>
      <c r="BJ38" s="442"/>
    </row>
    <row r="39" spans="1:62" ht="14.5" customHeight="1" x14ac:dyDescent="0.25">
      <c r="A39" s="50" t="str">
        <f t="shared" si="8"/>
        <v>USAC547</v>
      </c>
      <c r="B39" s="13" t="s">
        <v>64</v>
      </c>
      <c r="C39" s="13">
        <v>54</v>
      </c>
      <c r="D39" s="13">
        <v>7</v>
      </c>
      <c r="E39" s="3" t="s">
        <v>65</v>
      </c>
      <c r="F39" s="37" t="s">
        <v>57</v>
      </c>
      <c r="G39" s="44">
        <f>SUMIFS('[10]inland_taf_hatchgrp_tableraw&amp;yy'!G$3:G$38,'[10]inland_taf_hatchgrp_tableraw&amp;yy'!$AC$3:$AC$38,'2017 Table 10 CWTs exp'!$A39)</f>
        <v>14</v>
      </c>
      <c r="H39" s="45">
        <f>SUMIFS('[10]inland_taf_hatchgrp_tableraw&amp;yy'!H$3:H$38,'[10]inland_taf_hatchgrp_tableraw&amp;yy'!$AC$3:$AC$38,'2017 Table 10 CWTs exp'!$A39)</f>
        <v>103</v>
      </c>
      <c r="I39" s="44">
        <f>SUMIFS('[10]inland_taf_hatchgrp_tableraw&amp;yy'!I$3:I$38,'[10]inland_taf_hatchgrp_tableraw&amp;yy'!$AC$3:$AC$38,'2017 Table 10 CWTs exp'!$A39)</f>
        <v>0</v>
      </c>
      <c r="J39" s="46">
        <f>SUMIFS('[10]inland_taf_hatchgrp_tableraw&amp;yy'!J$3:J$38,'[10]inland_taf_hatchgrp_tableraw&amp;yy'!$AC$3:$AC$38,'2017 Table 10 CWTs exp'!$A39)</f>
        <v>0</v>
      </c>
      <c r="K39" s="44">
        <f>SUMIFS('[10]inland_taf_hatchgrp_tableraw&amp;yy'!K$3:K$38,'[10]inland_taf_hatchgrp_tableraw&amp;yy'!$AC$3:$AC$38,'2017 Table 10 CWTs exp'!$A39)</f>
        <v>0</v>
      </c>
      <c r="L39" s="44">
        <f>SUMIFS('[10]inland_taf_hatchgrp_tableraw&amp;yy'!L$3:L$38,'[10]inland_taf_hatchgrp_tableraw&amp;yy'!$AC$3:$AC$38,'2017 Table 10 CWTs exp'!$A39)</f>
        <v>0</v>
      </c>
      <c r="M39" s="44">
        <f>SUMIFS('[10]inland_taf_hatchgrp_tableraw&amp;yy'!M$3:M$38,'[10]inland_taf_hatchgrp_tableraw&amp;yy'!$AC$3:$AC$38,'2017 Table 10 CWTs exp'!$A39)</f>
        <v>0</v>
      </c>
      <c r="N39" s="44">
        <f>SUMIFS('[10]inland_taf_hatchgrp_tableraw&amp;yy'!N$3:N$38,'[10]inland_taf_hatchgrp_tableraw&amp;yy'!$AC$3:$AC$38,'2017 Table 10 CWTs exp'!$A39)</f>
        <v>0</v>
      </c>
      <c r="O39" s="44">
        <f>SUMIFS('[10]inland_taf_hatchgrp_tableraw&amp;yy'!O$3:O$38,'[10]inland_taf_hatchgrp_tableraw&amp;yy'!$AC$3:$AC$38,'2017 Table 10 CWTs exp'!$A39)</f>
        <v>0</v>
      </c>
      <c r="P39" s="44">
        <f>SUMIFS('[10]inland_taf_hatchgrp_tableraw&amp;yy'!P$3:P$38,'[10]inland_taf_hatchgrp_tableraw&amp;yy'!$AC$3:$AC$38,'2017 Table 10 CWTs exp'!$A39)</f>
        <v>0</v>
      </c>
      <c r="Q39" s="46">
        <f>SUMIFS('[10]inland_taf_hatchgrp_tableraw&amp;yy'!Q$3:Q$38,'[10]inland_taf_hatchgrp_tableraw&amp;yy'!$AC$3:$AC$38,'2017 Table 10 CWTs exp'!$A39)</f>
        <v>0</v>
      </c>
      <c r="R39" s="44">
        <f>SUMIFS('[10]inland_taf_hatchgrp_tableraw&amp;yy'!R$3:R$38,'[10]inland_taf_hatchgrp_tableraw&amp;yy'!$AC$3:$AC$38,'2017 Table 10 CWTs exp'!$A39)</f>
        <v>0</v>
      </c>
      <c r="S39" s="46">
        <f>SUMIFS('[10]inland_taf_hatchgrp_tableraw&amp;yy'!S$3:S$38,'[10]inland_taf_hatchgrp_tableraw&amp;yy'!$AC$3:$AC$38,'2017 Table 10 CWTs exp'!$A39)</f>
        <v>14</v>
      </c>
      <c r="T39" s="44">
        <f>SUMIFS('[10]inland_taf_hatchgrp_tableraw&amp;yy'!T$3:T$38,'[10]inland_taf_hatchgrp_tableraw&amp;yy'!$AC$3:$AC$38,'2017 Table 10 CWTs exp'!$A39)</f>
        <v>0</v>
      </c>
      <c r="U39" s="44">
        <f>SUMIFS('[10]inland_taf_hatchgrp_tableraw&amp;yy'!U$3:U$38,'[10]inland_taf_hatchgrp_tableraw&amp;yy'!$AC$3:$AC$38,'2017 Table 10 CWTs exp'!$A39)</f>
        <v>14</v>
      </c>
      <c r="V39" s="44">
        <f>SUMIFS('[10]inland_taf_hatchgrp_tableraw&amp;yy'!V$3:V$38,'[10]inland_taf_hatchgrp_tableraw&amp;yy'!$AC$3:$AC$38,'2017 Table 10 CWTs exp'!$A39)</f>
        <v>0</v>
      </c>
      <c r="W39" s="46">
        <f>SUMIFS('[10]inland_taf_hatchgrp_tableraw&amp;yy'!W$3:W$38,'[10]inland_taf_hatchgrp_tableraw&amp;yy'!$AC$3:$AC$38,'2017 Table 10 CWTs exp'!$A39)</f>
        <v>0</v>
      </c>
      <c r="X39" s="44">
        <f>SUMIFS('[10]inland_taf_hatchgrp_tableraw&amp;yy'!X$3:X$38,'[10]inland_taf_hatchgrp_tableraw&amp;yy'!$AC$3:$AC$38,'2017 Table 10 CWTs exp'!$A39)</f>
        <v>0</v>
      </c>
      <c r="Y39" s="84">
        <f>SUMIFS('[10]inland_taf_hatchgrp_tableraw&amp;yy'!Y$3:Y$38,'[10]inland_taf_hatchgrp_tableraw&amp;yy'!$AC$3:$AC$38,'2017 Table 10 CWTs exp'!$A39)</f>
        <v>145</v>
      </c>
      <c r="Z39" s="85">
        <f>SUMIFS('[10]inland_taf_hatchgrp_tableraw&amp;yy'!Z$3:Z$38,'[10]inland_taf_hatchgrp_tableraw&amp;yy'!$AC$3:$AC$38,'2017 Table 10 CWTs exp'!$A39)</f>
        <v>1030</v>
      </c>
      <c r="AA39" s="44">
        <f>SUMIFS('[10]inland_taf_hatchgrp_tableraw&amp;yy'!AA$3:AA$38,'[10]inland_taf_hatchgrp_tableraw&amp;yy'!$AC$3:$AC$38,'2017 Table 10 CWTs exp'!$A39)</f>
        <v>1175</v>
      </c>
      <c r="AB39" s="636"/>
      <c r="AC39" s="636"/>
      <c r="AD39" s="567">
        <f>Y39/AA39</f>
        <v>0.12340425531914893</v>
      </c>
      <c r="AE39" s="604" t="str">
        <f t="shared" si="9"/>
        <v>USAC547</v>
      </c>
      <c r="AF39" s="444"/>
      <c r="AG39" s="622">
        <f t="shared" si="10"/>
        <v>0.12340425531914893</v>
      </c>
      <c r="AH39" s="606"/>
      <c r="AI39" s="592">
        <f>AVERAGE(AI21:AI38)</f>
        <v>0.57721167768334913</v>
      </c>
      <c r="AJ39" s="447">
        <f>SUM(AJ21:AJ38)</f>
        <v>7147</v>
      </c>
      <c r="AK39" s="448">
        <f>AJ39/AA40</f>
        <v>0.19060191481985225</v>
      </c>
      <c r="AL39" s="451"/>
      <c r="AM39" s="442"/>
      <c r="AN39" s="442"/>
      <c r="AO39" s="442"/>
      <c r="AP39" s="442"/>
      <c r="AQ39" s="442"/>
      <c r="AR39" s="442"/>
      <c r="AS39" s="442"/>
      <c r="AT39" s="442"/>
      <c r="AU39" s="442"/>
      <c r="AV39" s="442"/>
      <c r="AW39" s="442"/>
      <c r="AX39" s="442"/>
      <c r="AY39" s="442"/>
      <c r="AZ39" s="442"/>
      <c r="BA39" s="442"/>
      <c r="BB39" s="442"/>
      <c r="BC39" s="442"/>
      <c r="BD39" s="442"/>
      <c r="BE39" s="442"/>
      <c r="BF39" s="442"/>
      <c r="BG39" s="442"/>
      <c r="BH39" s="442"/>
      <c r="BI39" s="442"/>
      <c r="BJ39" s="442"/>
    </row>
    <row r="40" spans="1:62" ht="14.15" customHeight="1" x14ac:dyDescent="0.25">
      <c r="A40" s="50"/>
      <c r="B40" s="13"/>
      <c r="C40" s="13"/>
      <c r="D40" s="13"/>
      <c r="E40" s="723" t="s">
        <v>101</v>
      </c>
      <c r="F40" s="723"/>
      <c r="G40" s="59">
        <f t="shared" ref="G40:Y40" si="16">SUM(G21:G38)</f>
        <v>0</v>
      </c>
      <c r="H40" s="58">
        <f t="shared" si="16"/>
        <v>8</v>
      </c>
      <c r="I40" s="59">
        <f t="shared" si="16"/>
        <v>427</v>
      </c>
      <c r="J40" s="60">
        <f t="shared" si="16"/>
        <v>6475</v>
      </c>
      <c r="K40" s="59">
        <f t="shared" si="16"/>
        <v>54</v>
      </c>
      <c r="L40" s="59">
        <f t="shared" si="16"/>
        <v>34</v>
      </c>
      <c r="M40" s="59">
        <f t="shared" si="16"/>
        <v>0</v>
      </c>
      <c r="N40" s="59">
        <f t="shared" si="16"/>
        <v>8760</v>
      </c>
      <c r="O40" s="59">
        <f t="shared" si="16"/>
        <v>1189</v>
      </c>
      <c r="P40" s="59">
        <f t="shared" si="16"/>
        <v>22</v>
      </c>
      <c r="Q40" s="60">
        <f t="shared" si="16"/>
        <v>11</v>
      </c>
      <c r="R40" s="59">
        <f t="shared" si="16"/>
        <v>237</v>
      </c>
      <c r="S40" s="60">
        <f t="shared" si="16"/>
        <v>4062</v>
      </c>
      <c r="T40" s="59">
        <f t="shared" si="16"/>
        <v>104</v>
      </c>
      <c r="U40" s="59">
        <f t="shared" si="16"/>
        <v>6858</v>
      </c>
      <c r="V40" s="59">
        <f t="shared" si="16"/>
        <v>872</v>
      </c>
      <c r="W40" s="60">
        <f t="shared" si="16"/>
        <v>375</v>
      </c>
      <c r="X40" s="59">
        <f>SUM(X21:X38)</f>
        <v>862</v>
      </c>
      <c r="Y40" s="188">
        <f t="shared" si="16"/>
        <v>30350</v>
      </c>
      <c r="Z40" s="189">
        <f>SUM(Z21:Z38)</f>
        <v>7147</v>
      </c>
      <c r="AA40" s="59">
        <f>SUM(AA21:AA38)</f>
        <v>37497</v>
      </c>
      <c r="AB40" s="630"/>
      <c r="AC40" s="630"/>
      <c r="AD40" s="445">
        <f>Y40/(Y40+Z40)</f>
        <v>0.80939808518014777</v>
      </c>
      <c r="AE40" s="445"/>
      <c r="AF40" s="607"/>
      <c r="AG40" s="608"/>
      <c r="AH40" s="608"/>
      <c r="AI40" s="606">
        <f>AA40-AA23</f>
        <v>37144</v>
      </c>
      <c r="AJ40" s="447">
        <f>AJ39-AJ23</f>
        <v>7098</v>
      </c>
      <c r="AK40" s="448">
        <f>AJ40/AI40</f>
        <v>0.19109412018091751</v>
      </c>
      <c r="AL40" s="443" t="s">
        <v>102</v>
      </c>
      <c r="AM40" s="442"/>
      <c r="AN40" s="442"/>
      <c r="AO40" s="442"/>
      <c r="AP40" s="442"/>
      <c r="AQ40" s="442"/>
      <c r="AR40" s="442"/>
      <c r="AS40" s="442"/>
      <c r="AT40" s="442"/>
      <c r="AU40" s="442"/>
      <c r="AV40" s="442"/>
      <c r="AW40" s="442"/>
      <c r="AX40" s="442"/>
      <c r="AY40" s="442"/>
      <c r="AZ40" s="442"/>
      <c r="BA40" s="442"/>
      <c r="BB40" s="442"/>
      <c r="BC40" s="442"/>
      <c r="BD40" s="442"/>
      <c r="BE40" s="442"/>
      <c r="BF40" s="442"/>
      <c r="BG40" s="442"/>
      <c r="BH40" s="442"/>
      <c r="BI40" s="442"/>
      <c r="BJ40" s="442"/>
    </row>
    <row r="41" spans="1:62" ht="3.75" customHeight="1" x14ac:dyDescent="0.3">
      <c r="A41" s="50"/>
      <c r="B41" s="13"/>
      <c r="C41" s="13"/>
      <c r="D41" s="13"/>
      <c r="E41" s="83"/>
      <c r="G41" s="44"/>
      <c r="H41" s="45"/>
      <c r="I41" s="44"/>
      <c r="J41" s="46"/>
      <c r="K41" s="44"/>
      <c r="L41" s="44"/>
      <c r="M41" s="44"/>
      <c r="N41" s="44"/>
      <c r="O41" s="44"/>
      <c r="P41" s="44"/>
      <c r="Q41" s="46"/>
      <c r="R41" s="44"/>
      <c r="S41" s="46"/>
      <c r="T41" s="44"/>
      <c r="U41" s="44"/>
      <c r="V41" s="44"/>
      <c r="W41" s="46"/>
      <c r="X41" s="44"/>
      <c r="Y41" s="84"/>
      <c r="Z41" s="85"/>
      <c r="AA41" s="44"/>
      <c r="AB41" s="630"/>
      <c r="AC41" s="630"/>
      <c r="AD41" s="445"/>
      <c r="AE41" s="445"/>
      <c r="AF41" s="607"/>
      <c r="AG41" s="608"/>
      <c r="AH41" s="608"/>
      <c r="AI41" s="606"/>
      <c r="AJ41" s="447"/>
      <c r="AK41" s="448"/>
      <c r="AL41" s="451"/>
      <c r="AM41" s="442"/>
      <c r="AN41" s="442"/>
      <c r="AO41" s="442"/>
      <c r="AP41" s="442"/>
      <c r="AQ41" s="442"/>
      <c r="AR41" s="442"/>
      <c r="AS41" s="442"/>
      <c r="AT41" s="442"/>
      <c r="AU41" s="442"/>
      <c r="AV41" s="442"/>
      <c r="AW41" s="442"/>
      <c r="AX41" s="442"/>
      <c r="AY41" s="442"/>
      <c r="AZ41" s="442"/>
      <c r="BA41" s="442"/>
      <c r="BB41" s="442"/>
      <c r="BC41" s="442"/>
      <c r="BD41" s="442"/>
      <c r="BE41" s="442"/>
      <c r="BF41" s="442"/>
      <c r="BG41" s="442"/>
      <c r="BH41" s="442"/>
      <c r="BI41" s="442"/>
      <c r="BJ41" s="442"/>
    </row>
    <row r="42" spans="1:62" ht="14.9" customHeight="1" x14ac:dyDescent="0.25">
      <c r="A42" s="50"/>
      <c r="B42" s="13"/>
      <c r="C42" s="13"/>
      <c r="D42" s="13"/>
      <c r="E42" s="27" t="s">
        <v>103</v>
      </c>
      <c r="F42" s="37" t="s">
        <v>104</v>
      </c>
      <c r="G42" s="68">
        <f>G19+G6+G8+G16+G21+G39</f>
        <v>834</v>
      </c>
      <c r="H42" s="69">
        <f>H9+H15+H14+H21+H23+H39+H16+H8+H6+H19</f>
        <v>4011</v>
      </c>
      <c r="I42" s="68">
        <f t="shared" ref="I42:J42" si="17">I9+I15+I14+I21+I23+I39+I16+I8+I6+I19</f>
        <v>5919</v>
      </c>
      <c r="J42" s="70">
        <f t="shared" si="17"/>
        <v>158</v>
      </c>
      <c r="K42" s="68">
        <f>K7+K10+K28+K29+K30</f>
        <v>1045</v>
      </c>
      <c r="L42" s="68">
        <f t="shared" ref="L42:O42" si="18">L7+L10+L28+L29+L30</f>
        <v>175</v>
      </c>
      <c r="M42" s="68">
        <f t="shared" si="18"/>
        <v>44</v>
      </c>
      <c r="N42" s="68">
        <f t="shared" si="18"/>
        <v>29191</v>
      </c>
      <c r="O42" s="68">
        <f t="shared" si="18"/>
        <v>2485</v>
      </c>
      <c r="P42" s="68">
        <f>P7+P10+P28+P29+P30</f>
        <v>62</v>
      </c>
      <c r="Q42" s="70">
        <f>Q7+Q10+Q28+Q29+Q30</f>
        <v>21</v>
      </c>
      <c r="R42" s="68">
        <f>R11+R32+R31</f>
        <v>369</v>
      </c>
      <c r="S42" s="70">
        <f>S11+S32+S31</f>
        <v>6205</v>
      </c>
      <c r="T42" s="68">
        <f>T12+T33</f>
        <v>173</v>
      </c>
      <c r="U42" s="68">
        <f>U12+U33</f>
        <v>9324</v>
      </c>
      <c r="V42" s="68">
        <f>V12+V33</f>
        <v>1928</v>
      </c>
      <c r="W42" s="70">
        <f>W12+W33</f>
        <v>901</v>
      </c>
      <c r="X42" s="68">
        <f>X13+X38</f>
        <v>448</v>
      </c>
      <c r="Y42" s="86">
        <f>SUM(G42:X42)</f>
        <v>63293</v>
      </c>
      <c r="Z42" s="87">
        <f>Z44</f>
        <v>12452</v>
      </c>
      <c r="AA42" s="44">
        <f>Z42+Y42</f>
        <v>75745</v>
      </c>
      <c r="AB42" s="630"/>
      <c r="AC42" s="630"/>
      <c r="AD42" s="567">
        <f>Y42/AA42</f>
        <v>0.83560631064756752</v>
      </c>
      <c r="AE42" s="445"/>
      <c r="AF42" s="607"/>
      <c r="AG42" s="608"/>
      <c r="AH42" s="608"/>
      <c r="AI42" s="606"/>
      <c r="AJ42" s="447"/>
      <c r="AK42" s="448"/>
      <c r="AL42" s="451"/>
      <c r="AM42" s="442"/>
      <c r="AN42" s="442"/>
      <c r="AO42" s="442"/>
      <c r="AP42" s="442"/>
      <c r="AQ42" s="442"/>
      <c r="AR42" s="442"/>
      <c r="AS42" s="442"/>
      <c r="AT42" s="442"/>
      <c r="AU42" s="442"/>
      <c r="AV42" s="442"/>
      <c r="AW42" s="442"/>
      <c r="AX42" s="442"/>
      <c r="AY42" s="442"/>
      <c r="AZ42" s="442"/>
      <c r="BA42" s="442"/>
      <c r="BB42" s="442"/>
      <c r="BC42" s="442"/>
      <c r="BD42" s="442"/>
      <c r="BE42" s="442"/>
      <c r="BF42" s="442"/>
      <c r="BG42" s="442"/>
      <c r="BH42" s="442"/>
      <c r="BI42" s="442"/>
      <c r="BJ42" s="442"/>
    </row>
    <row r="43" spans="1:62" ht="14.9" customHeight="1" x14ac:dyDescent="0.25">
      <c r="A43" s="50"/>
      <c r="B43" s="13"/>
      <c r="C43" s="13"/>
      <c r="D43" s="13"/>
      <c r="E43" s="27" t="s">
        <v>105</v>
      </c>
      <c r="F43" s="37" t="s">
        <v>104</v>
      </c>
      <c r="G43" s="70">
        <f t="shared" ref="G43:Y43" si="19">G44-G42</f>
        <v>0</v>
      </c>
      <c r="H43" s="69">
        <f t="shared" si="19"/>
        <v>20</v>
      </c>
      <c r="I43" s="68">
        <f t="shared" si="19"/>
        <v>4</v>
      </c>
      <c r="J43" s="70">
        <f t="shared" si="19"/>
        <v>9726</v>
      </c>
      <c r="K43" s="69">
        <f t="shared" si="19"/>
        <v>1</v>
      </c>
      <c r="L43" s="68">
        <f t="shared" si="19"/>
        <v>0</v>
      </c>
      <c r="M43" s="68">
        <f t="shared" si="19"/>
        <v>0</v>
      </c>
      <c r="N43" s="68">
        <f t="shared" si="19"/>
        <v>2717</v>
      </c>
      <c r="O43" s="68">
        <f t="shared" si="19"/>
        <v>399</v>
      </c>
      <c r="P43" s="68">
        <f t="shared" si="19"/>
        <v>3</v>
      </c>
      <c r="Q43" s="70">
        <f t="shared" si="19"/>
        <v>0</v>
      </c>
      <c r="R43" s="68">
        <f t="shared" si="19"/>
        <v>4</v>
      </c>
      <c r="S43" s="70">
        <f t="shared" si="19"/>
        <v>4669</v>
      </c>
      <c r="T43" s="68">
        <f t="shared" si="19"/>
        <v>73</v>
      </c>
      <c r="U43" s="68">
        <f t="shared" si="19"/>
        <v>6938</v>
      </c>
      <c r="V43" s="68">
        <f t="shared" si="19"/>
        <v>915</v>
      </c>
      <c r="W43" s="70">
        <f t="shared" si="19"/>
        <v>398</v>
      </c>
      <c r="X43" s="68">
        <f>X44-X42</f>
        <v>1206</v>
      </c>
      <c r="Y43" s="86">
        <f t="shared" si="19"/>
        <v>27073</v>
      </c>
      <c r="Z43" s="87"/>
      <c r="AA43" s="44">
        <f>Z43+Y43</f>
        <v>27073</v>
      </c>
      <c r="AB43" s="630">
        <f>SUM(G43:X43)</f>
        <v>27073</v>
      </c>
      <c r="AC43" s="630"/>
      <c r="AD43" s="567">
        <f>Y43/AA43</f>
        <v>1</v>
      </c>
      <c r="AE43" s="625" t="s">
        <v>106</v>
      </c>
      <c r="AF43" s="626" t="s">
        <v>107</v>
      </c>
      <c r="AG43" s="600" t="s">
        <v>108</v>
      </c>
      <c r="AH43" s="608"/>
      <c r="AI43" s="606"/>
      <c r="AJ43" s="447"/>
      <c r="AK43" s="448"/>
      <c r="AL43" s="451"/>
      <c r="AM43" s="442"/>
      <c r="AN43" s="442"/>
      <c r="AO43" s="442"/>
      <c r="AP43" s="442"/>
      <c r="AQ43" s="442"/>
      <c r="AR43" s="442"/>
      <c r="AS43" s="442"/>
      <c r="AT43" s="442"/>
      <c r="AU43" s="442"/>
      <c r="AV43" s="442"/>
      <c r="AW43" s="442"/>
      <c r="AX43" s="442"/>
      <c r="AY43" s="442"/>
      <c r="AZ43" s="442"/>
      <c r="BA43" s="442"/>
      <c r="BB43" s="442"/>
      <c r="BC43" s="442"/>
      <c r="BD43" s="442"/>
      <c r="BE43" s="442"/>
      <c r="BF43" s="442"/>
      <c r="BG43" s="442"/>
      <c r="BH43" s="442"/>
      <c r="BI43" s="442"/>
      <c r="BJ43" s="442"/>
    </row>
    <row r="44" spans="1:62" ht="14.9" customHeight="1" x14ac:dyDescent="0.3">
      <c r="A44" s="50"/>
      <c r="B44" s="13"/>
      <c r="C44" s="13"/>
      <c r="D44" s="13"/>
      <c r="E44" s="27"/>
      <c r="F44" s="88" t="s">
        <v>109</v>
      </c>
      <c r="G44" s="89">
        <f>SUM(G19:G39,G6:G16)</f>
        <v>834</v>
      </c>
      <c r="H44" s="90">
        <f>SUM(H19:H39,H6:H16)</f>
        <v>4031</v>
      </c>
      <c r="I44" s="89">
        <f>SUM(I19:I39,I6:I16)</f>
        <v>5923</v>
      </c>
      <c r="J44" s="91">
        <f t="shared" ref="J44:Z44" si="20">SUM(J19:J39,J6:J16)</f>
        <v>9884</v>
      </c>
      <c r="K44" s="89">
        <f t="shared" si="20"/>
        <v>1046</v>
      </c>
      <c r="L44" s="89">
        <f t="shared" si="20"/>
        <v>175</v>
      </c>
      <c r="M44" s="89">
        <f t="shared" si="20"/>
        <v>44</v>
      </c>
      <c r="N44" s="89">
        <f t="shared" si="20"/>
        <v>31908</v>
      </c>
      <c r="O44" s="89">
        <f t="shared" si="20"/>
        <v>2884</v>
      </c>
      <c r="P44" s="89">
        <f>SUM(P19:P39,P6:P16)</f>
        <v>65</v>
      </c>
      <c r="Q44" s="91">
        <f t="shared" si="20"/>
        <v>21</v>
      </c>
      <c r="R44" s="89">
        <f t="shared" si="20"/>
        <v>373</v>
      </c>
      <c r="S44" s="91">
        <f t="shared" si="20"/>
        <v>10874</v>
      </c>
      <c r="T44" s="89">
        <f t="shared" si="20"/>
        <v>246</v>
      </c>
      <c r="U44" s="89">
        <f t="shared" si="20"/>
        <v>16262</v>
      </c>
      <c r="V44" s="89">
        <f t="shared" si="20"/>
        <v>2843</v>
      </c>
      <c r="W44" s="91">
        <f t="shared" si="20"/>
        <v>1299</v>
      </c>
      <c r="X44" s="89">
        <f t="shared" si="20"/>
        <v>1654</v>
      </c>
      <c r="Y44" s="92">
        <f t="shared" si="20"/>
        <v>90366</v>
      </c>
      <c r="Z44" s="93">
        <f t="shared" si="20"/>
        <v>12452</v>
      </c>
      <c r="AA44" s="94">
        <f>Z44+Y44</f>
        <v>102818</v>
      </c>
      <c r="AB44" s="14"/>
      <c r="AC44" s="444"/>
      <c r="AD44" s="445">
        <f>Y44/AA44</f>
        <v>0.87889280087144273</v>
      </c>
      <c r="AE44" s="627" t="s">
        <v>106</v>
      </c>
      <c r="AF44" s="628" t="s">
        <v>110</v>
      </c>
      <c r="AG44" s="614">
        <f>SUM(G44:X44)</f>
        <v>90366</v>
      </c>
      <c r="AH44" s="608"/>
      <c r="AI44" s="606"/>
      <c r="AJ44" s="447"/>
      <c r="AK44" s="448"/>
      <c r="AL44" s="451"/>
      <c r="AM44" s="442"/>
      <c r="AN44" s="442"/>
      <c r="AO44" s="442"/>
      <c r="AP44" s="442"/>
      <c r="AQ44" s="442"/>
      <c r="AR44" s="442"/>
      <c r="AS44" s="442"/>
      <c r="AT44" s="442"/>
      <c r="AU44" s="442"/>
      <c r="AV44" s="442"/>
      <c r="AW44" s="442"/>
      <c r="AX44" s="442"/>
      <c r="AY44" s="442"/>
      <c r="AZ44" s="442"/>
      <c r="BA44" s="442"/>
      <c r="BB44" s="442"/>
      <c r="BC44" s="442"/>
      <c r="BD44" s="442"/>
      <c r="BE44" s="442"/>
      <c r="BF44" s="442"/>
      <c r="BG44" s="442"/>
      <c r="BH44" s="442"/>
      <c r="BI44" s="442"/>
      <c r="BJ44" s="442"/>
    </row>
    <row r="45" spans="1:62" ht="13.5" customHeight="1" x14ac:dyDescent="0.25">
      <c r="A45" s="50"/>
      <c r="B45" s="13"/>
      <c r="C45" s="13"/>
      <c r="D45" s="13"/>
      <c r="E45" s="27"/>
      <c r="F45" s="95" t="s">
        <v>168</v>
      </c>
      <c r="G45" s="96">
        <f>G43/G44</f>
        <v>0</v>
      </c>
      <c r="H45" s="97">
        <f>H43/H44</f>
        <v>4.9615480029769291E-3</v>
      </c>
      <c r="I45" s="100">
        <f t="shared" ref="I45:X45" si="21">I43/I44</f>
        <v>6.7533344588890769E-4</v>
      </c>
      <c r="J45" s="99">
        <f t="shared" si="21"/>
        <v>0.98401456900040474</v>
      </c>
      <c r="K45" s="100">
        <f t="shared" si="21"/>
        <v>9.5602294455066918E-4</v>
      </c>
      <c r="L45" s="98">
        <f t="shared" si="21"/>
        <v>0</v>
      </c>
      <c r="M45" s="98">
        <f t="shared" si="21"/>
        <v>0</v>
      </c>
      <c r="N45" s="98">
        <f t="shared" si="21"/>
        <v>8.5151059295474493E-2</v>
      </c>
      <c r="O45" s="98">
        <f t="shared" si="21"/>
        <v>0.13834951456310679</v>
      </c>
      <c r="P45" s="98">
        <f>P43/P44</f>
        <v>4.6153846153846156E-2</v>
      </c>
      <c r="Q45" s="99">
        <f t="shared" si="21"/>
        <v>0</v>
      </c>
      <c r="R45" s="98">
        <f t="shared" si="21"/>
        <v>1.0723860589812333E-2</v>
      </c>
      <c r="S45" s="99">
        <f t="shared" si="21"/>
        <v>0.42937281589111642</v>
      </c>
      <c r="T45" s="98">
        <f t="shared" si="21"/>
        <v>0.2967479674796748</v>
      </c>
      <c r="U45" s="98">
        <f t="shared" si="21"/>
        <v>0.42663878981675069</v>
      </c>
      <c r="V45" s="98">
        <f t="shared" si="21"/>
        <v>0.32184312346113259</v>
      </c>
      <c r="W45" s="99">
        <f t="shared" si="21"/>
        <v>0.30638953040800615</v>
      </c>
      <c r="X45" s="98">
        <f t="shared" si="21"/>
        <v>0.72914147521160821</v>
      </c>
      <c r="Y45" s="101">
        <f>Y43/Y44</f>
        <v>0.2995927671912002</v>
      </c>
      <c r="Z45" s="102"/>
      <c r="AA45" s="98">
        <f t="shared" ref="AA45" si="22">AA43/AA44</f>
        <v>0.26330992627750005</v>
      </c>
      <c r="AB45" s="64"/>
      <c r="AC45" s="630"/>
      <c r="AD45" s="445"/>
      <c r="AE45" s="445"/>
      <c r="AF45" s="607"/>
      <c r="AG45" s="608"/>
      <c r="AH45" s="608"/>
      <c r="AI45" s="606"/>
      <c r="AJ45" s="447"/>
      <c r="AK45" s="448"/>
      <c r="AL45" s="451"/>
      <c r="AM45" s="442"/>
      <c r="AN45" s="442"/>
      <c r="AO45" s="442"/>
      <c r="AP45" s="442"/>
      <c r="AQ45" s="442"/>
      <c r="AR45" s="442"/>
      <c r="AS45" s="442"/>
      <c r="AT45" s="442"/>
      <c r="AU45" s="442"/>
      <c r="AV45" s="442"/>
      <c r="AW45" s="442"/>
      <c r="AX45" s="442"/>
      <c r="AY45" s="442"/>
      <c r="AZ45" s="442"/>
      <c r="BA45" s="442"/>
      <c r="BB45" s="442"/>
      <c r="BC45" s="442"/>
      <c r="BD45" s="442"/>
      <c r="BE45" s="442"/>
      <c r="BF45" s="442"/>
      <c r="BG45" s="442"/>
      <c r="BH45" s="442"/>
      <c r="BI45" s="442"/>
      <c r="BJ45" s="442"/>
    </row>
    <row r="46" spans="1:62" ht="15" customHeight="1" x14ac:dyDescent="0.25">
      <c r="A46" s="5" t="s">
        <v>112</v>
      </c>
      <c r="B46" s="13"/>
      <c r="C46" s="13"/>
      <c r="D46" s="13"/>
      <c r="E46" s="103" t="s">
        <v>113</v>
      </c>
      <c r="F46" s="47"/>
      <c r="G46" s="68"/>
      <c r="H46" s="69"/>
      <c r="I46" s="68"/>
      <c r="J46" s="70"/>
      <c r="K46" s="68"/>
      <c r="L46" s="68"/>
      <c r="M46" s="68"/>
      <c r="N46" s="68"/>
      <c r="O46" s="68"/>
      <c r="P46" s="68"/>
      <c r="Q46" s="70"/>
      <c r="R46" s="68"/>
      <c r="S46" s="70"/>
      <c r="T46" s="68"/>
      <c r="U46" s="68"/>
      <c r="V46" s="68"/>
      <c r="W46" s="70"/>
      <c r="X46" s="68"/>
      <c r="Y46" s="86"/>
      <c r="Z46" s="87"/>
      <c r="AA46" s="68"/>
      <c r="AB46" s="68"/>
      <c r="AC46" s="611"/>
      <c r="AD46" s="566"/>
      <c r="AE46" s="566"/>
      <c r="AF46" s="442"/>
      <c r="AG46" s="597"/>
      <c r="AH46" s="597"/>
      <c r="AI46" s="597"/>
      <c r="AJ46" s="599"/>
      <c r="AK46" s="451"/>
      <c r="AL46" s="451"/>
      <c r="AM46" s="442"/>
      <c r="AN46" s="442"/>
      <c r="AO46" s="442"/>
      <c r="AP46" s="442"/>
      <c r="AQ46" s="442"/>
      <c r="AR46" s="442"/>
      <c r="AS46" s="442"/>
      <c r="AT46" s="442"/>
      <c r="AU46" s="442"/>
      <c r="AV46" s="442"/>
      <c r="AW46" s="442"/>
      <c r="AX46" s="442"/>
      <c r="AY46" s="442"/>
      <c r="AZ46" s="442"/>
      <c r="BA46" s="442"/>
      <c r="BB46" s="442"/>
      <c r="BC46" s="442"/>
      <c r="BD46" s="442"/>
      <c r="BE46" s="442"/>
      <c r="BF46" s="442"/>
      <c r="BG46" s="442"/>
      <c r="BH46" s="442"/>
      <c r="BI46" s="442"/>
      <c r="BJ46" s="442"/>
    </row>
    <row r="47" spans="1:62" ht="14.5" customHeight="1" x14ac:dyDescent="0.25">
      <c r="A47" s="50" t="str">
        <f t="shared" ref="A47:A52" si="23">CONCATENATE(B47,C47,D47)</f>
        <v>USAC463</v>
      </c>
      <c r="B47" s="13" t="s">
        <v>64</v>
      </c>
      <c r="C47" s="13">
        <v>46</v>
      </c>
      <c r="D47" s="13">
        <v>3</v>
      </c>
      <c r="E47" s="27" t="s">
        <v>114</v>
      </c>
      <c r="F47" s="28" t="str">
        <f>LOOKUP(D47,$AL$7:$AL$10,$AM$7:$AM$10)</f>
        <v>Fall</v>
      </c>
      <c r="G47" s="44">
        <f>SUMIFS('[10]inland_taf_hatchgrp_tableraw&amp;yy'!G$3:G$38,'[10]inland_taf_hatchgrp_tableraw&amp;yy'!$AC$3:$AC$38,'2017 Table 10 CWTs exp'!$A47)</f>
        <v>0</v>
      </c>
      <c r="H47" s="45">
        <f>SUMIFS('[10]inland_taf_hatchgrp_tableraw&amp;yy'!H$3:H$38,'[10]inland_taf_hatchgrp_tableraw&amp;yy'!$AC$3:$AC$38,'2017 Table 10 CWTs exp'!$A47)</f>
        <v>33</v>
      </c>
      <c r="I47" s="44">
        <f>SUMIFS('[10]inland_taf_hatchgrp_tableraw&amp;yy'!I$3:I$38,'[10]inland_taf_hatchgrp_tableraw&amp;yy'!$AC$3:$AC$38,'2017 Table 10 CWTs exp'!$A47)</f>
        <v>2058</v>
      </c>
      <c r="J47" s="46">
        <f>SUMIFS('[10]inland_taf_hatchgrp_tableraw&amp;yy'!J$3:J$38,'[10]inland_taf_hatchgrp_tableraw&amp;yy'!$AC$3:$AC$38,'2017 Table 10 CWTs exp'!$A47)</f>
        <v>0</v>
      </c>
      <c r="K47" s="44">
        <f>SUMIFS('[10]inland_taf_hatchgrp_tableraw&amp;yy'!K$3:K$38,'[10]inland_taf_hatchgrp_tableraw&amp;yy'!$AC$3:$AC$38,'2017 Table 10 CWTs exp'!$A47)</f>
        <v>0</v>
      </c>
      <c r="L47" s="44">
        <f>SUMIFS('[10]inland_taf_hatchgrp_tableraw&amp;yy'!L$3:L$38,'[10]inland_taf_hatchgrp_tableraw&amp;yy'!$AC$3:$AC$38,'2017 Table 10 CWTs exp'!$A47)</f>
        <v>0</v>
      </c>
      <c r="M47" s="44">
        <f>SUMIFS('[10]inland_taf_hatchgrp_tableraw&amp;yy'!M$3:M$38,'[10]inland_taf_hatchgrp_tableraw&amp;yy'!$AC$3:$AC$38,'2017 Table 10 CWTs exp'!$A47)</f>
        <v>0</v>
      </c>
      <c r="N47" s="44">
        <f>SUMIFS('[10]inland_taf_hatchgrp_tableraw&amp;yy'!N$3:N$38,'[10]inland_taf_hatchgrp_tableraw&amp;yy'!$AC$3:$AC$38,'2017 Table 10 CWTs exp'!$A47)</f>
        <v>43</v>
      </c>
      <c r="O47" s="44">
        <f>SUMIFS('[10]inland_taf_hatchgrp_tableraw&amp;yy'!O$3:O$38,'[10]inland_taf_hatchgrp_tableraw&amp;yy'!$AC$3:$AC$38,'2017 Table 10 CWTs exp'!$A47)</f>
        <v>11</v>
      </c>
      <c r="P47" s="44">
        <f>SUMIFS('[10]inland_taf_hatchgrp_tableraw&amp;yy'!P$3:P$38,'[10]inland_taf_hatchgrp_tableraw&amp;yy'!$AC$3:$AC$38,'2017 Table 10 CWTs exp'!$A47)</f>
        <v>0</v>
      </c>
      <c r="Q47" s="46">
        <f>SUMIFS('[10]inland_taf_hatchgrp_tableraw&amp;yy'!Q$3:Q$38,'[10]inland_taf_hatchgrp_tableraw&amp;yy'!$AC$3:$AC$38,'2017 Table 10 CWTs exp'!$A47)</f>
        <v>0</v>
      </c>
      <c r="R47" s="44">
        <f>SUMIFS('[10]inland_taf_hatchgrp_tableraw&amp;yy'!R$3:R$38,'[10]inland_taf_hatchgrp_tableraw&amp;yy'!$AC$3:$AC$38,'2017 Table 10 CWTs exp'!$A47)</f>
        <v>0</v>
      </c>
      <c r="S47" s="46">
        <f>SUMIFS('[10]inland_taf_hatchgrp_tableraw&amp;yy'!S$3:S$38,'[10]inland_taf_hatchgrp_tableraw&amp;yy'!$AC$3:$AC$38,'2017 Table 10 CWTs exp'!$A47)</f>
        <v>0</v>
      </c>
      <c r="T47" s="44">
        <f>SUMIFS('[10]inland_taf_hatchgrp_tableraw&amp;yy'!T$3:T$38,'[10]inland_taf_hatchgrp_tableraw&amp;yy'!$AC$3:$AC$38,'2017 Table 10 CWTs exp'!$A47)</f>
        <v>0</v>
      </c>
      <c r="U47" s="44">
        <f>SUMIFS('[10]inland_taf_hatchgrp_tableraw&amp;yy'!U$3:U$38,'[10]inland_taf_hatchgrp_tableraw&amp;yy'!$AC$3:$AC$38,'2017 Table 10 CWTs exp'!$A47)</f>
        <v>0</v>
      </c>
      <c r="V47" s="44">
        <f>SUMIFS('[10]inland_taf_hatchgrp_tableraw&amp;yy'!V$3:V$38,'[10]inland_taf_hatchgrp_tableraw&amp;yy'!$AC$3:$AC$38,'2017 Table 10 CWTs exp'!$A47)</f>
        <v>0</v>
      </c>
      <c r="W47" s="46">
        <f>SUMIFS('[10]inland_taf_hatchgrp_tableraw&amp;yy'!W$3:W$38,'[10]inland_taf_hatchgrp_tableraw&amp;yy'!$AC$3:$AC$38,'2017 Table 10 CWTs exp'!$A47)</f>
        <v>0</v>
      </c>
      <c r="X47" s="44">
        <f>SUMIFS('[10]inland_taf_hatchgrp_tableraw&amp;yy'!X$3:X$38,'[10]inland_taf_hatchgrp_tableraw&amp;yy'!$AC$3:$AC$38,'2017 Table 10 CWTs exp'!$A47)</f>
        <v>0</v>
      </c>
      <c r="Y47" s="84">
        <f>SUMIFS('[10]inland_taf_hatchgrp_tableraw&amp;yy'!Y$3:Y$38,'[10]inland_taf_hatchgrp_tableraw&amp;yy'!$AC$3:$AC$38,'2017 Table 10 CWTs exp'!$A47)</f>
        <v>2145</v>
      </c>
      <c r="Z47" s="85">
        <f>SUMIFS('[10]inland_taf_hatchgrp_tableraw&amp;yy'!Z$3:Z$38,'[10]inland_taf_hatchgrp_tableraw&amp;yy'!$AC$3:$AC$38,'2017 Table 10 CWTs exp'!$A47)</f>
        <v>688</v>
      </c>
      <c r="AA47" s="44">
        <f>SUMIFS('[10]inland_taf_hatchgrp_tableraw&amp;yy'!AA$3:AA$38,'[10]inland_taf_hatchgrp_tableraw&amp;yy'!$AC$3:$AC$38,'2017 Table 10 CWTs exp'!$A47)</f>
        <v>2833</v>
      </c>
      <c r="AB47" s="44"/>
      <c r="AC47" s="636"/>
      <c r="AD47" s="566">
        <f>SUMIFS('[10]inland_taf_hatchgrp_tableraw&amp;yy'!AB$3:AB$38,'[10]inland_taf_hatchgrp_tableraw&amp;yy'!$AC$3:$AC$38,'2017 Table 10 CWTs exp'!$A47)</f>
        <v>0.75700000000000001</v>
      </c>
      <c r="AE47" s="604" t="str">
        <f t="shared" ref="AE47:AE53" si="24">A47</f>
        <v>USAC463</v>
      </c>
      <c r="AF47" s="442"/>
      <c r="AG47" s="622">
        <f>Y47/AA47</f>
        <v>0.75714789975291208</v>
      </c>
      <c r="AH47" s="597"/>
      <c r="AI47" s="597"/>
      <c r="AJ47" s="599"/>
      <c r="AK47" s="451"/>
      <c r="AL47" s="451"/>
      <c r="AM47" s="442"/>
      <c r="AN47" s="442"/>
      <c r="AO47" s="442"/>
      <c r="AP47" s="442"/>
      <c r="AQ47" s="442"/>
      <c r="AR47" s="442"/>
      <c r="AS47" s="442"/>
      <c r="AT47" s="442"/>
      <c r="AU47" s="442"/>
      <c r="AV47" s="442"/>
      <c r="AW47" s="442"/>
      <c r="AX47" s="442"/>
      <c r="AY47" s="442"/>
      <c r="AZ47" s="442"/>
      <c r="BA47" s="442"/>
      <c r="BB47" s="442"/>
      <c r="BC47" s="442"/>
      <c r="BD47" s="442"/>
      <c r="BE47" s="442"/>
      <c r="BF47" s="442"/>
      <c r="BG47" s="442"/>
      <c r="BH47" s="442"/>
      <c r="BI47" s="442"/>
      <c r="BJ47" s="442"/>
    </row>
    <row r="48" spans="1:62" ht="14.5" customHeight="1" x14ac:dyDescent="0.25">
      <c r="A48" s="50" t="str">
        <f t="shared" si="23"/>
        <v>LSAC463</v>
      </c>
      <c r="B48" s="13" t="s">
        <v>115</v>
      </c>
      <c r="C48" s="13">
        <v>46</v>
      </c>
      <c r="D48" s="13">
        <v>3</v>
      </c>
      <c r="E48" s="27" t="s">
        <v>116</v>
      </c>
      <c r="F48" s="28" t="str">
        <f>LOOKUP(D48,$AL$7:$AL$10,$AM$7:$AM$10)</f>
        <v>Fall</v>
      </c>
      <c r="G48" s="44">
        <f>SUMIFS('[10]inland_taf_hatchgrp_tableraw&amp;yy'!G$3:G$38,'[10]inland_taf_hatchgrp_tableraw&amp;yy'!$AC$3:$AC$38,'2017 Table 10 CWTs exp'!$A48)</f>
        <v>0</v>
      </c>
      <c r="H48" s="45">
        <f>SUMIFS('[10]inland_taf_hatchgrp_tableraw&amp;yy'!H$3:H$38,'[10]inland_taf_hatchgrp_tableraw&amp;yy'!$AC$3:$AC$38,'2017 Table 10 CWTs exp'!$A48)</f>
        <v>363</v>
      </c>
      <c r="I48" s="44">
        <f>SUMIFS('[10]inland_taf_hatchgrp_tableraw&amp;yy'!I$3:I$38,'[10]inland_taf_hatchgrp_tableraw&amp;yy'!$AC$3:$AC$38,'2017 Table 10 CWTs exp'!$A48)</f>
        <v>275</v>
      </c>
      <c r="J48" s="46">
        <f>SUMIFS('[10]inland_taf_hatchgrp_tableraw&amp;yy'!J$3:J$38,'[10]inland_taf_hatchgrp_tableraw&amp;yy'!$AC$3:$AC$38,'2017 Table 10 CWTs exp'!$A48)</f>
        <v>971</v>
      </c>
      <c r="K48" s="44">
        <f>SUMIFS('[10]inland_taf_hatchgrp_tableraw&amp;yy'!K$3:K$38,'[10]inland_taf_hatchgrp_tableraw&amp;yy'!$AC$3:$AC$38,'2017 Table 10 CWTs exp'!$A48)</f>
        <v>0</v>
      </c>
      <c r="L48" s="44">
        <f>SUMIFS('[10]inland_taf_hatchgrp_tableraw&amp;yy'!L$3:L$38,'[10]inland_taf_hatchgrp_tableraw&amp;yy'!$AC$3:$AC$38,'2017 Table 10 CWTs exp'!$A48)</f>
        <v>0</v>
      </c>
      <c r="M48" s="44">
        <f>SUMIFS('[10]inland_taf_hatchgrp_tableraw&amp;yy'!M$3:M$38,'[10]inland_taf_hatchgrp_tableraw&amp;yy'!$AC$3:$AC$38,'2017 Table 10 CWTs exp'!$A48)</f>
        <v>0</v>
      </c>
      <c r="N48" s="44">
        <f>SUMIFS('[10]inland_taf_hatchgrp_tableraw&amp;yy'!N$3:N$38,'[10]inland_taf_hatchgrp_tableraw&amp;yy'!$AC$3:$AC$38,'2017 Table 10 CWTs exp'!$A48)</f>
        <v>1968</v>
      </c>
      <c r="O48" s="44">
        <f>SUMIFS('[10]inland_taf_hatchgrp_tableraw&amp;yy'!O$3:O$38,'[10]inland_taf_hatchgrp_tableraw&amp;yy'!$AC$3:$AC$38,'2017 Table 10 CWTs exp'!$A48)</f>
        <v>177</v>
      </c>
      <c r="P48" s="44">
        <f>SUMIFS('[10]inland_taf_hatchgrp_tableraw&amp;yy'!P$3:P$38,'[10]inland_taf_hatchgrp_tableraw&amp;yy'!$AC$3:$AC$38,'2017 Table 10 CWTs exp'!$A48)</f>
        <v>0</v>
      </c>
      <c r="Q48" s="46">
        <f>SUMIFS('[10]inland_taf_hatchgrp_tableraw&amp;yy'!Q$3:Q$38,'[10]inland_taf_hatchgrp_tableraw&amp;yy'!$AC$3:$AC$38,'2017 Table 10 CWTs exp'!$A48)</f>
        <v>0</v>
      </c>
      <c r="R48" s="44">
        <f>SUMIFS('[10]inland_taf_hatchgrp_tableraw&amp;yy'!R$3:R$38,'[10]inland_taf_hatchgrp_tableraw&amp;yy'!$AC$3:$AC$38,'2017 Table 10 CWTs exp'!$A48)</f>
        <v>138</v>
      </c>
      <c r="S48" s="46">
        <f>SUMIFS('[10]inland_taf_hatchgrp_tableraw&amp;yy'!S$3:S$38,'[10]inland_taf_hatchgrp_tableraw&amp;yy'!$AC$3:$AC$38,'2017 Table 10 CWTs exp'!$A48)</f>
        <v>1104</v>
      </c>
      <c r="T48" s="44">
        <f>SUMIFS('[10]inland_taf_hatchgrp_tableraw&amp;yy'!T$3:T$38,'[10]inland_taf_hatchgrp_tableraw&amp;yy'!$AC$3:$AC$38,'2017 Table 10 CWTs exp'!$A48)</f>
        <v>107</v>
      </c>
      <c r="U48" s="44">
        <f>SUMIFS('[10]inland_taf_hatchgrp_tableraw&amp;yy'!U$3:U$38,'[10]inland_taf_hatchgrp_tableraw&amp;yy'!$AC$3:$AC$38,'2017 Table 10 CWTs exp'!$A48)</f>
        <v>828</v>
      </c>
      <c r="V48" s="44">
        <f>SUMIFS('[10]inland_taf_hatchgrp_tableraw&amp;yy'!V$3:V$38,'[10]inland_taf_hatchgrp_tableraw&amp;yy'!$AC$3:$AC$38,'2017 Table 10 CWTs exp'!$A48)</f>
        <v>138</v>
      </c>
      <c r="W48" s="46">
        <f>SUMIFS('[10]inland_taf_hatchgrp_tableraw&amp;yy'!W$3:W$38,'[10]inland_taf_hatchgrp_tableraw&amp;yy'!$AC$3:$AC$38,'2017 Table 10 CWTs exp'!$A48)</f>
        <v>103</v>
      </c>
      <c r="X48" s="44">
        <f>SUMIFS('[10]inland_taf_hatchgrp_tableraw&amp;yy'!X$3:X$38,'[10]inland_taf_hatchgrp_tableraw&amp;yy'!$AC$3:$AC$38,'2017 Table 10 CWTs exp'!$A48)</f>
        <v>297</v>
      </c>
      <c r="Y48" s="84">
        <f>SUMIFS('[10]inland_taf_hatchgrp_tableraw&amp;yy'!Y$3:Y$38,'[10]inland_taf_hatchgrp_tableraw&amp;yy'!$AC$3:$AC$38,'2017 Table 10 CWTs exp'!$A48)</f>
        <v>6469</v>
      </c>
      <c r="Z48" s="85">
        <f>SUMIFS('[10]inland_taf_hatchgrp_tableraw&amp;yy'!Z$3:Z$38,'[10]inland_taf_hatchgrp_tableraw&amp;yy'!$AC$3:$AC$38,'2017 Table 10 CWTs exp'!$A48)</f>
        <v>3383</v>
      </c>
      <c r="AA48" s="44">
        <f>SUMIFS('[10]inland_taf_hatchgrp_tableraw&amp;yy'!AA$3:AA$38,'[10]inland_taf_hatchgrp_tableraw&amp;yy'!$AC$3:$AC$38,'2017 Table 10 CWTs exp'!$A48)</f>
        <v>9852</v>
      </c>
      <c r="AB48" s="44"/>
      <c r="AC48" s="636"/>
      <c r="AD48" s="566">
        <f>SUMIFS('[10]inland_taf_hatchgrp_tableraw&amp;yy'!AB$3:AB$38,'[10]inland_taf_hatchgrp_tableraw&amp;yy'!$AC$3:$AC$38,'2017 Table 10 CWTs exp'!$A48)</f>
        <v>0.65700000000000003</v>
      </c>
      <c r="AE48" s="604" t="str">
        <f t="shared" si="24"/>
        <v>LSAC463</v>
      </c>
      <c r="AF48" s="442"/>
      <c r="AG48" s="622">
        <f t="shared" ref="AG48:AG52" si="25">Y48/AA48</f>
        <v>0.65661794559480313</v>
      </c>
      <c r="AH48" s="597"/>
      <c r="AI48" s="597"/>
      <c r="AJ48" s="599"/>
      <c r="AK48" s="451"/>
      <c r="AL48" s="451"/>
      <c r="AM48" s="442"/>
      <c r="AN48" s="442"/>
      <c r="AO48" s="442"/>
      <c r="AP48" s="442"/>
      <c r="AQ48" s="442"/>
      <c r="AR48" s="442"/>
      <c r="AS48" s="442"/>
      <c r="AT48" s="442"/>
      <c r="AU48" s="442"/>
      <c r="AV48" s="442"/>
      <c r="AW48" s="442"/>
      <c r="AX48" s="442"/>
      <c r="AY48" s="442"/>
      <c r="AZ48" s="442"/>
      <c r="BA48" s="442"/>
      <c r="BB48" s="442"/>
      <c r="BC48" s="442"/>
      <c r="BD48" s="442"/>
      <c r="BE48" s="442"/>
      <c r="BF48" s="442"/>
      <c r="BG48" s="442"/>
      <c r="BH48" s="442"/>
      <c r="BI48" s="442"/>
      <c r="BJ48" s="442"/>
    </row>
    <row r="49" spans="1:62" ht="14.5" customHeight="1" x14ac:dyDescent="0.25">
      <c r="A49" s="50" t="str">
        <f t="shared" si="23"/>
        <v>FEA463</v>
      </c>
      <c r="B49" s="13" t="s">
        <v>80</v>
      </c>
      <c r="C49" s="13">
        <v>46</v>
      </c>
      <c r="D49" s="13">
        <v>3</v>
      </c>
      <c r="E49" s="27" t="s">
        <v>117</v>
      </c>
      <c r="F49" s="28" t="str">
        <f>LOOKUP(D49,$AL$7:$AL$10,$AM$7:$AM$10)</f>
        <v>Fall</v>
      </c>
      <c r="G49" s="44">
        <f>SUMIFS('[10]inland_taf_hatchgrp_tableraw&amp;yy'!G$3:G$38,'[10]inland_taf_hatchgrp_tableraw&amp;yy'!$AC$3:$AC$38,'2017 Table 10 CWTs exp'!$A49)</f>
        <v>0</v>
      </c>
      <c r="H49" s="45">
        <f>SUMIFS('[10]inland_taf_hatchgrp_tableraw&amp;yy'!H$3:H$38,'[10]inland_taf_hatchgrp_tableraw&amp;yy'!$AC$3:$AC$38,'2017 Table 10 CWTs exp'!$A49)</f>
        <v>0</v>
      </c>
      <c r="I49" s="44">
        <f>SUMIFS('[10]inland_taf_hatchgrp_tableraw&amp;yy'!I$3:I$38,'[10]inland_taf_hatchgrp_tableraw&amp;yy'!$AC$3:$AC$38,'2017 Table 10 CWTs exp'!$A49)</f>
        <v>0</v>
      </c>
      <c r="J49" s="46">
        <f>SUMIFS('[10]inland_taf_hatchgrp_tableraw&amp;yy'!J$3:J$38,'[10]inland_taf_hatchgrp_tableraw&amp;yy'!$AC$3:$AC$38,'2017 Table 10 CWTs exp'!$A49)</f>
        <v>93</v>
      </c>
      <c r="K49" s="44">
        <f>SUMIFS('[10]inland_taf_hatchgrp_tableraw&amp;yy'!K$3:K$38,'[10]inland_taf_hatchgrp_tableraw&amp;yy'!$AC$3:$AC$38,'2017 Table 10 CWTs exp'!$A49)</f>
        <v>70</v>
      </c>
      <c r="L49" s="44">
        <f>SUMIFS('[10]inland_taf_hatchgrp_tableraw&amp;yy'!L$3:L$38,'[10]inland_taf_hatchgrp_tableraw&amp;yy'!$AC$3:$AC$38,'2017 Table 10 CWTs exp'!$A49)</f>
        <v>0</v>
      </c>
      <c r="M49" s="44">
        <f>SUMIFS('[10]inland_taf_hatchgrp_tableraw&amp;yy'!M$3:M$38,'[10]inland_taf_hatchgrp_tableraw&amp;yy'!$AC$3:$AC$38,'2017 Table 10 CWTs exp'!$A49)</f>
        <v>93</v>
      </c>
      <c r="N49" s="44">
        <f>SUMIFS('[10]inland_taf_hatchgrp_tableraw&amp;yy'!N$3:N$38,'[10]inland_taf_hatchgrp_tableraw&amp;yy'!$AC$3:$AC$38,'2017 Table 10 CWTs exp'!$A49)</f>
        <v>9749</v>
      </c>
      <c r="O49" s="44">
        <f>SUMIFS('[10]inland_taf_hatchgrp_tableraw&amp;yy'!O$3:O$38,'[10]inland_taf_hatchgrp_tableraw&amp;yy'!$AC$3:$AC$38,'2017 Table 10 CWTs exp'!$A49)</f>
        <v>583</v>
      </c>
      <c r="P49" s="44">
        <f>SUMIFS('[10]inland_taf_hatchgrp_tableraw&amp;yy'!P$3:P$38,'[10]inland_taf_hatchgrp_tableraw&amp;yy'!$AC$3:$AC$38,'2017 Table 10 CWTs exp'!$A49)</f>
        <v>12</v>
      </c>
      <c r="Q49" s="46">
        <f>SUMIFS('[10]inland_taf_hatchgrp_tableraw&amp;yy'!Q$3:Q$38,'[10]inland_taf_hatchgrp_tableraw&amp;yy'!$AC$3:$AC$38,'2017 Table 10 CWTs exp'!$A49)</f>
        <v>0</v>
      </c>
      <c r="R49" s="44">
        <f>SUMIFS('[10]inland_taf_hatchgrp_tableraw&amp;yy'!R$3:R$38,'[10]inland_taf_hatchgrp_tableraw&amp;yy'!$AC$3:$AC$38,'2017 Table 10 CWTs exp'!$A49)</f>
        <v>0</v>
      </c>
      <c r="S49" s="46">
        <f>SUMIFS('[10]inland_taf_hatchgrp_tableraw&amp;yy'!S$3:S$38,'[10]inland_taf_hatchgrp_tableraw&amp;yy'!$AC$3:$AC$38,'2017 Table 10 CWTs exp'!$A49)</f>
        <v>0</v>
      </c>
      <c r="T49" s="44">
        <f>SUMIFS('[10]inland_taf_hatchgrp_tableraw&amp;yy'!T$3:T$38,'[10]inland_taf_hatchgrp_tableraw&amp;yy'!$AC$3:$AC$38,'2017 Table 10 CWTs exp'!$A49)</f>
        <v>0</v>
      </c>
      <c r="U49" s="44">
        <f>SUMIFS('[10]inland_taf_hatchgrp_tableraw&amp;yy'!U$3:U$38,'[10]inland_taf_hatchgrp_tableraw&amp;yy'!$AC$3:$AC$38,'2017 Table 10 CWTs exp'!$A49)</f>
        <v>0</v>
      </c>
      <c r="V49" s="44">
        <f>SUMIFS('[10]inland_taf_hatchgrp_tableraw&amp;yy'!V$3:V$38,'[10]inland_taf_hatchgrp_tableraw&amp;yy'!$AC$3:$AC$38,'2017 Table 10 CWTs exp'!$A49)</f>
        <v>12</v>
      </c>
      <c r="W49" s="46">
        <f>SUMIFS('[10]inland_taf_hatchgrp_tableraw&amp;yy'!W$3:W$38,'[10]inland_taf_hatchgrp_tableraw&amp;yy'!$AC$3:$AC$38,'2017 Table 10 CWTs exp'!$A49)</f>
        <v>0</v>
      </c>
      <c r="X49" s="44">
        <f>SUMIFS('[10]inland_taf_hatchgrp_tableraw&amp;yy'!X$3:X$38,'[10]inland_taf_hatchgrp_tableraw&amp;yy'!$AC$3:$AC$38,'2017 Table 10 CWTs exp'!$A49)</f>
        <v>0</v>
      </c>
      <c r="Y49" s="84">
        <f>SUMIFS('[10]inland_taf_hatchgrp_tableraw&amp;yy'!Y$3:Y$38,'[10]inland_taf_hatchgrp_tableraw&amp;yy'!$AC$3:$AC$38,'2017 Table 10 CWTs exp'!$A49)</f>
        <v>10612</v>
      </c>
      <c r="Z49" s="85">
        <f>SUMIFS('[10]inland_taf_hatchgrp_tableraw&amp;yy'!Z$3:Z$38,'[10]inland_taf_hatchgrp_tableraw&amp;yy'!$AC$3:$AC$38,'2017 Table 10 CWTs exp'!$A49)</f>
        <v>1419</v>
      </c>
      <c r="AA49" s="44">
        <f>SUMIFS('[10]inland_taf_hatchgrp_tableraw&amp;yy'!AA$3:AA$38,'[10]inland_taf_hatchgrp_tableraw&amp;yy'!$AC$3:$AC$38,'2017 Table 10 CWTs exp'!$A49)</f>
        <v>12031</v>
      </c>
      <c r="AB49" s="44"/>
      <c r="AC49" s="636"/>
      <c r="AD49" s="566">
        <f>SUMIFS('[10]inland_taf_hatchgrp_tableraw&amp;yy'!AB$3:AB$38,'[10]inland_taf_hatchgrp_tableraw&amp;yy'!$AC$3:$AC$38,'2017 Table 10 CWTs exp'!$A49)</f>
        <v>0.88200000000000001</v>
      </c>
      <c r="AE49" s="604" t="str">
        <f t="shared" si="24"/>
        <v>FEA463</v>
      </c>
      <c r="AF49" s="442"/>
      <c r="AG49" s="622">
        <f t="shared" si="25"/>
        <v>0.88205469204554898</v>
      </c>
      <c r="AH49" s="597"/>
      <c r="AI49" s="597"/>
      <c r="AJ49" s="599"/>
      <c r="AK49" s="451"/>
      <c r="AL49" s="451"/>
      <c r="AM49" s="442"/>
      <c r="AN49" s="442"/>
      <c r="AO49" s="442"/>
      <c r="AP49" s="442"/>
      <c r="AQ49" s="442"/>
      <c r="AR49" s="442"/>
      <c r="AS49" s="442"/>
      <c r="AT49" s="442"/>
      <c r="AU49" s="442"/>
      <c r="AV49" s="442"/>
      <c r="AW49" s="442"/>
      <c r="AX49" s="442"/>
      <c r="AY49" s="442"/>
      <c r="AZ49" s="442"/>
      <c r="BA49" s="442"/>
      <c r="BB49" s="442"/>
      <c r="BC49" s="442"/>
      <c r="BD49" s="442"/>
      <c r="BE49" s="442"/>
      <c r="BF49" s="442"/>
      <c r="BG49" s="442"/>
      <c r="BH49" s="442"/>
      <c r="BI49" s="442"/>
      <c r="BJ49" s="442"/>
    </row>
    <row r="50" spans="1:62" ht="14.5" customHeight="1" x14ac:dyDescent="0.25">
      <c r="A50" s="50" t="str">
        <f t="shared" si="23"/>
        <v>AMN463</v>
      </c>
      <c r="B50" s="13" t="s">
        <v>118</v>
      </c>
      <c r="C50" s="13">
        <v>46</v>
      </c>
      <c r="D50" s="13">
        <v>3</v>
      </c>
      <c r="E50" s="27" t="s">
        <v>119</v>
      </c>
      <c r="F50" s="28" t="str">
        <f>LOOKUP(D50,$AL$7:$AL$10,$AM$7:$AM$10)</f>
        <v>Fall</v>
      </c>
      <c r="G50" s="44">
        <f>SUMIFS('[10]inland_taf_hatchgrp_tableraw&amp;yy'!G$3:G$38,'[10]inland_taf_hatchgrp_tableraw&amp;yy'!$AC$3:$AC$38,'2017 Table 10 CWTs exp'!$A50)</f>
        <v>0</v>
      </c>
      <c r="H50" s="45">
        <f>SUMIFS('[10]inland_taf_hatchgrp_tableraw&amp;yy'!H$3:H$38,'[10]inland_taf_hatchgrp_tableraw&amp;yy'!$AC$3:$AC$38,'2017 Table 10 CWTs exp'!$A50)</f>
        <v>0</v>
      </c>
      <c r="I50" s="44">
        <f>SUMIFS('[10]inland_taf_hatchgrp_tableraw&amp;yy'!I$3:I$38,'[10]inland_taf_hatchgrp_tableraw&amp;yy'!$AC$3:$AC$38,'2017 Table 10 CWTs exp'!$A50)</f>
        <v>0</v>
      </c>
      <c r="J50" s="46">
        <f>SUMIFS('[10]inland_taf_hatchgrp_tableraw&amp;yy'!J$3:J$38,'[10]inland_taf_hatchgrp_tableraw&amp;yy'!$AC$3:$AC$38,'2017 Table 10 CWTs exp'!$A50)</f>
        <v>4890</v>
      </c>
      <c r="K50" s="44">
        <f>SUMIFS('[10]inland_taf_hatchgrp_tableraw&amp;yy'!K$3:K$38,'[10]inland_taf_hatchgrp_tableraw&amp;yy'!$AC$3:$AC$38,'2017 Table 10 CWTs exp'!$A50)</f>
        <v>0</v>
      </c>
      <c r="L50" s="44">
        <f>SUMIFS('[10]inland_taf_hatchgrp_tableraw&amp;yy'!L$3:L$38,'[10]inland_taf_hatchgrp_tableraw&amp;yy'!$AC$3:$AC$38,'2017 Table 10 CWTs exp'!$A50)</f>
        <v>0</v>
      </c>
      <c r="M50" s="44">
        <f>SUMIFS('[10]inland_taf_hatchgrp_tableraw&amp;yy'!M$3:M$38,'[10]inland_taf_hatchgrp_tableraw&amp;yy'!$AC$3:$AC$38,'2017 Table 10 CWTs exp'!$A50)</f>
        <v>0</v>
      </c>
      <c r="N50" s="44">
        <f>SUMIFS('[10]inland_taf_hatchgrp_tableraw&amp;yy'!N$3:N$38,'[10]inland_taf_hatchgrp_tableraw&amp;yy'!$AC$3:$AC$38,'2017 Table 10 CWTs exp'!$A50)</f>
        <v>1725</v>
      </c>
      <c r="O50" s="44">
        <f>SUMIFS('[10]inland_taf_hatchgrp_tableraw&amp;yy'!O$3:O$38,'[10]inland_taf_hatchgrp_tableraw&amp;yy'!$AC$3:$AC$38,'2017 Table 10 CWTs exp'!$A50)</f>
        <v>74</v>
      </c>
      <c r="P50" s="44">
        <f>SUMIFS('[10]inland_taf_hatchgrp_tableraw&amp;yy'!P$3:P$38,'[10]inland_taf_hatchgrp_tableraw&amp;yy'!$AC$3:$AC$38,'2017 Table 10 CWTs exp'!$A50)</f>
        <v>0</v>
      </c>
      <c r="Q50" s="46">
        <f>SUMIFS('[10]inland_taf_hatchgrp_tableraw&amp;yy'!Q$3:Q$38,'[10]inland_taf_hatchgrp_tableraw&amp;yy'!$AC$3:$AC$38,'2017 Table 10 CWTs exp'!$A50)</f>
        <v>0</v>
      </c>
      <c r="R50" s="44">
        <f>SUMIFS('[10]inland_taf_hatchgrp_tableraw&amp;yy'!R$3:R$38,'[10]inland_taf_hatchgrp_tableraw&amp;yy'!$AC$3:$AC$38,'2017 Table 10 CWTs exp'!$A50)</f>
        <v>382</v>
      </c>
      <c r="S50" s="46">
        <f>SUMIFS('[10]inland_taf_hatchgrp_tableraw&amp;yy'!S$3:S$38,'[10]inland_taf_hatchgrp_tableraw&amp;yy'!$AC$3:$AC$38,'2017 Table 10 CWTs exp'!$A50)</f>
        <v>2966</v>
      </c>
      <c r="T50" s="44">
        <f>SUMIFS('[10]inland_taf_hatchgrp_tableraw&amp;yy'!T$3:T$38,'[10]inland_taf_hatchgrp_tableraw&amp;yy'!$AC$3:$AC$38,'2017 Table 10 CWTs exp'!$A50)</f>
        <v>24</v>
      </c>
      <c r="U50" s="44">
        <f>SUMIFS('[10]inland_taf_hatchgrp_tableraw&amp;yy'!U$3:U$38,'[10]inland_taf_hatchgrp_tableraw&amp;yy'!$AC$3:$AC$38,'2017 Table 10 CWTs exp'!$A50)</f>
        <v>1533</v>
      </c>
      <c r="V50" s="44">
        <f>SUMIFS('[10]inland_taf_hatchgrp_tableraw&amp;yy'!V$3:V$38,'[10]inland_taf_hatchgrp_tableraw&amp;yy'!$AC$3:$AC$38,'2017 Table 10 CWTs exp'!$A50)</f>
        <v>598</v>
      </c>
      <c r="W50" s="46">
        <f>SUMIFS('[10]inland_taf_hatchgrp_tableraw&amp;yy'!W$3:W$38,'[10]inland_taf_hatchgrp_tableraw&amp;yy'!$AC$3:$AC$38,'2017 Table 10 CWTs exp'!$A50)</f>
        <v>96</v>
      </c>
      <c r="X50" s="44">
        <f>SUMIFS('[10]inland_taf_hatchgrp_tableraw&amp;yy'!X$3:X$38,'[10]inland_taf_hatchgrp_tableraw&amp;yy'!$AC$3:$AC$38,'2017 Table 10 CWTs exp'!$A50)</f>
        <v>139</v>
      </c>
      <c r="Y50" s="84">
        <f>SUMIFS('[10]inland_taf_hatchgrp_tableraw&amp;yy'!Y$3:Y$38,'[10]inland_taf_hatchgrp_tableraw&amp;yy'!$AC$3:$AC$38,'2017 Table 10 CWTs exp'!$A50)</f>
        <v>12427</v>
      </c>
      <c r="Z50" s="85">
        <f>SUMIFS('[10]inland_taf_hatchgrp_tableraw&amp;yy'!Z$3:Z$38,'[10]inland_taf_hatchgrp_tableraw&amp;yy'!$AC$3:$AC$38,'2017 Table 10 CWTs exp'!$A50)</f>
        <v>2094</v>
      </c>
      <c r="AA50" s="44">
        <f>SUMIFS('[10]inland_taf_hatchgrp_tableraw&amp;yy'!AA$3:AA$38,'[10]inland_taf_hatchgrp_tableraw&amp;yy'!$AC$3:$AC$38,'2017 Table 10 CWTs exp'!$A50)</f>
        <v>14521</v>
      </c>
      <c r="AB50" s="44"/>
      <c r="AC50" s="636"/>
      <c r="AD50" s="566">
        <f>SUMIFS('[10]inland_taf_hatchgrp_tableraw&amp;yy'!AB$3:AB$38,'[10]inland_taf_hatchgrp_tableraw&amp;yy'!$AC$3:$AC$38,'2017 Table 10 CWTs exp'!$A50)</f>
        <v>0.85599999999999998</v>
      </c>
      <c r="AE50" s="604" t="str">
        <f t="shared" si="24"/>
        <v>AMN463</v>
      </c>
      <c r="AF50" s="442"/>
      <c r="AG50" s="622">
        <f t="shared" si="25"/>
        <v>0.85579505543695333</v>
      </c>
      <c r="AH50" s="597"/>
      <c r="AI50" s="442"/>
      <c r="AJ50" s="451"/>
      <c r="AK50" s="451"/>
      <c r="AL50" s="451"/>
      <c r="AM50" s="442"/>
      <c r="AN50" s="442"/>
      <c r="AO50" s="442"/>
      <c r="AP50" s="442"/>
      <c r="AQ50" s="442"/>
      <c r="AR50" s="442"/>
      <c r="AS50" s="442"/>
      <c r="AT50" s="442"/>
      <c r="AU50" s="442"/>
      <c r="AV50" s="442"/>
      <c r="AW50" s="442"/>
      <c r="AX50" s="442"/>
      <c r="AY50" s="442"/>
      <c r="AZ50" s="442"/>
      <c r="BA50" s="442"/>
      <c r="BB50" s="442"/>
      <c r="BC50" s="442"/>
      <c r="BD50" s="442"/>
      <c r="BE50" s="442"/>
      <c r="BF50" s="442"/>
      <c r="BG50" s="442"/>
      <c r="BH50" s="442"/>
      <c r="BI50" s="442"/>
      <c r="BJ50" s="442"/>
    </row>
    <row r="51" spans="1:62" ht="14.5" customHeight="1" x14ac:dyDescent="0.25">
      <c r="A51" s="50" t="str">
        <f t="shared" si="23"/>
        <v>MOKE463</v>
      </c>
      <c r="B51" s="13" t="s">
        <v>90</v>
      </c>
      <c r="C51" s="13">
        <v>46</v>
      </c>
      <c r="D51" s="13">
        <v>3</v>
      </c>
      <c r="E51" s="27" t="s">
        <v>91</v>
      </c>
      <c r="F51" s="28" t="str">
        <f>LOOKUP(D51,$AL$7:$AL$10,$AM$7:$AM$10)</f>
        <v>Fall</v>
      </c>
      <c r="G51" s="44">
        <f>SUMIFS('[10]inland_taf_hatchgrp_tableraw&amp;yy'!G$3:G$38,'[10]inland_taf_hatchgrp_tableraw&amp;yy'!$AC$3:$AC$38,'2017 Table 10 CWTs exp'!$A51)</f>
        <v>0</v>
      </c>
      <c r="H51" s="45">
        <f>SUMIFS('[10]inland_taf_hatchgrp_tableraw&amp;yy'!H$3:H$38,'[10]inland_taf_hatchgrp_tableraw&amp;yy'!$AC$3:$AC$38,'2017 Table 10 CWTs exp'!$A51)</f>
        <v>15</v>
      </c>
      <c r="I51" s="44">
        <f>SUMIFS('[10]inland_taf_hatchgrp_tableraw&amp;yy'!I$3:I$38,'[10]inland_taf_hatchgrp_tableraw&amp;yy'!$AC$3:$AC$38,'2017 Table 10 CWTs exp'!$A51)</f>
        <v>0</v>
      </c>
      <c r="J51" s="46">
        <f>SUMIFS('[10]inland_taf_hatchgrp_tableraw&amp;yy'!J$3:J$38,'[10]inland_taf_hatchgrp_tableraw&amp;yy'!$AC$3:$AC$38,'2017 Table 10 CWTs exp'!$A51)</f>
        <v>58</v>
      </c>
      <c r="K51" s="44">
        <f>SUMIFS('[10]inland_taf_hatchgrp_tableraw&amp;yy'!K$3:K$38,'[10]inland_taf_hatchgrp_tableraw&amp;yy'!$AC$3:$AC$38,'2017 Table 10 CWTs exp'!$A51)</f>
        <v>0</v>
      </c>
      <c r="L51" s="44">
        <f>SUMIFS('[10]inland_taf_hatchgrp_tableraw&amp;yy'!L$3:L$38,'[10]inland_taf_hatchgrp_tableraw&amp;yy'!$AC$3:$AC$38,'2017 Table 10 CWTs exp'!$A51)</f>
        <v>0</v>
      </c>
      <c r="M51" s="44">
        <f>SUMIFS('[10]inland_taf_hatchgrp_tableraw&amp;yy'!M$3:M$38,'[10]inland_taf_hatchgrp_tableraw&amp;yy'!$AC$3:$AC$38,'2017 Table 10 CWTs exp'!$A51)</f>
        <v>0</v>
      </c>
      <c r="N51" s="44">
        <f>SUMIFS('[10]inland_taf_hatchgrp_tableraw&amp;yy'!N$3:N$38,'[10]inland_taf_hatchgrp_tableraw&amp;yy'!$AC$3:$AC$38,'2017 Table 10 CWTs exp'!$A51)</f>
        <v>15</v>
      </c>
      <c r="O51" s="44">
        <f>SUMIFS('[10]inland_taf_hatchgrp_tableraw&amp;yy'!O$3:O$38,'[10]inland_taf_hatchgrp_tableraw&amp;yy'!$AC$3:$AC$38,'2017 Table 10 CWTs exp'!$A51)</f>
        <v>0</v>
      </c>
      <c r="P51" s="44">
        <f>SUMIFS('[10]inland_taf_hatchgrp_tableraw&amp;yy'!P$3:P$38,'[10]inland_taf_hatchgrp_tableraw&amp;yy'!$AC$3:$AC$38,'2017 Table 10 CWTs exp'!$A51)</f>
        <v>0</v>
      </c>
      <c r="Q51" s="46">
        <f>SUMIFS('[10]inland_taf_hatchgrp_tableraw&amp;yy'!Q$3:Q$38,'[10]inland_taf_hatchgrp_tableraw&amp;yy'!$AC$3:$AC$38,'2017 Table 10 CWTs exp'!$A51)</f>
        <v>0</v>
      </c>
      <c r="R51" s="44">
        <f>SUMIFS('[10]inland_taf_hatchgrp_tableraw&amp;yy'!R$3:R$38,'[10]inland_taf_hatchgrp_tableraw&amp;yy'!$AC$3:$AC$38,'2017 Table 10 CWTs exp'!$A51)</f>
        <v>0</v>
      </c>
      <c r="S51" s="46">
        <f>SUMIFS('[10]inland_taf_hatchgrp_tableraw&amp;yy'!S$3:S$38,'[10]inland_taf_hatchgrp_tableraw&amp;yy'!$AC$3:$AC$38,'2017 Table 10 CWTs exp'!$A51)</f>
        <v>349</v>
      </c>
      <c r="T51" s="44">
        <f>SUMIFS('[10]inland_taf_hatchgrp_tableraw&amp;yy'!T$3:T$38,'[10]inland_taf_hatchgrp_tableraw&amp;yy'!$AC$3:$AC$38,'2017 Table 10 CWTs exp'!$A51)</f>
        <v>0</v>
      </c>
      <c r="U51" s="44">
        <f>SUMIFS('[10]inland_taf_hatchgrp_tableraw&amp;yy'!U$3:U$38,'[10]inland_taf_hatchgrp_tableraw&amp;yy'!$AC$3:$AC$38,'2017 Table 10 CWTs exp'!$A51)</f>
        <v>813</v>
      </c>
      <c r="V51" s="44">
        <f>SUMIFS('[10]inland_taf_hatchgrp_tableraw&amp;yy'!V$3:V$38,'[10]inland_taf_hatchgrp_tableraw&amp;yy'!$AC$3:$AC$38,'2017 Table 10 CWTs exp'!$A51)</f>
        <v>15</v>
      </c>
      <c r="W51" s="46">
        <f>SUMIFS('[10]inland_taf_hatchgrp_tableraw&amp;yy'!W$3:W$38,'[10]inland_taf_hatchgrp_tableraw&amp;yy'!$AC$3:$AC$38,'2017 Table 10 CWTs exp'!$A51)</f>
        <v>44</v>
      </c>
      <c r="X51" s="44">
        <f>SUMIFS('[10]inland_taf_hatchgrp_tableraw&amp;yy'!X$3:X$38,'[10]inland_taf_hatchgrp_tableraw&amp;yy'!$AC$3:$AC$38,'2017 Table 10 CWTs exp'!$A51)</f>
        <v>28</v>
      </c>
      <c r="Y51" s="84">
        <f>SUMIFS('[10]inland_taf_hatchgrp_tableraw&amp;yy'!Y$3:Y$38,'[10]inland_taf_hatchgrp_tableraw&amp;yy'!$AC$3:$AC$38,'2017 Table 10 CWTs exp'!$A51)</f>
        <v>1337</v>
      </c>
      <c r="Z51" s="85">
        <f>SUMIFS('[10]inland_taf_hatchgrp_tableraw&amp;yy'!Z$3:Z$38,'[10]inland_taf_hatchgrp_tableraw&amp;yy'!$AC$3:$AC$38,'2017 Table 10 CWTs exp'!$A51)</f>
        <v>288</v>
      </c>
      <c r="AA51" s="44">
        <f>SUMIFS('[10]inland_taf_hatchgrp_tableraw&amp;yy'!AA$3:AA$38,'[10]inland_taf_hatchgrp_tableraw&amp;yy'!$AC$3:$AC$38,'2017 Table 10 CWTs exp'!$A51)</f>
        <v>1625</v>
      </c>
      <c r="AB51" s="44"/>
      <c r="AC51" s="636"/>
      <c r="AD51" s="566">
        <f>SUMIFS('[10]inland_taf_hatchgrp_tableraw&amp;yy'!AB$3:AB$38,'[10]inland_taf_hatchgrp_tableraw&amp;yy'!$AC$3:$AC$38,'2017 Table 10 CWTs exp'!$A51)</f>
        <v>0.82299999999999995</v>
      </c>
      <c r="AE51" s="604" t="str">
        <f t="shared" si="24"/>
        <v>MOKE463</v>
      </c>
      <c r="AF51" s="442"/>
      <c r="AG51" s="622">
        <f t="shared" si="25"/>
        <v>0.82276923076923081</v>
      </c>
      <c r="AH51" s="597"/>
      <c r="AI51" s="442"/>
      <c r="AJ51" s="451"/>
      <c r="AK51" s="451"/>
      <c r="AL51" s="451"/>
      <c r="AM51" s="442"/>
      <c r="AN51" s="442"/>
      <c r="AO51" s="442"/>
      <c r="AP51" s="442"/>
      <c r="AQ51" s="442"/>
      <c r="AR51" s="442"/>
      <c r="AS51" s="442"/>
      <c r="AT51" s="442"/>
      <c r="AU51" s="442"/>
      <c r="AV51" s="442"/>
      <c r="AW51" s="442"/>
      <c r="AX51" s="442"/>
      <c r="AY51" s="442"/>
      <c r="AZ51" s="442"/>
      <c r="BA51" s="442"/>
      <c r="BB51" s="442"/>
      <c r="BC51" s="442"/>
      <c r="BD51" s="442"/>
      <c r="BE51" s="442"/>
      <c r="BF51" s="442"/>
      <c r="BG51" s="442"/>
      <c r="BH51" s="442"/>
      <c r="BI51" s="442"/>
      <c r="BJ51" s="442"/>
    </row>
    <row r="52" spans="1:62" ht="14.5" customHeight="1" x14ac:dyDescent="0.25">
      <c r="A52" s="50" t="str">
        <f t="shared" si="23"/>
        <v>USAC467</v>
      </c>
      <c r="B52" s="13" t="s">
        <v>64</v>
      </c>
      <c r="C52" s="13">
        <v>46</v>
      </c>
      <c r="D52" s="13">
        <v>7</v>
      </c>
      <c r="E52" s="27" t="s">
        <v>114</v>
      </c>
      <c r="F52" s="37" t="s">
        <v>57</v>
      </c>
      <c r="G52" s="44">
        <f>SUMIFS('[10]inland_taf_hatchgrp_tableraw&amp;yy'!G$3:G$38,'[10]inland_taf_hatchgrp_tableraw&amp;yy'!$AC$3:$AC$38,'2017 Table 10 CWTs exp'!$A52)</f>
        <v>0</v>
      </c>
      <c r="H52" s="45">
        <f>SUMIFS('[10]inland_taf_hatchgrp_tableraw&amp;yy'!H$3:H$38,'[10]inland_taf_hatchgrp_tableraw&amp;yy'!$AC$3:$AC$38,'2017 Table 10 CWTs exp'!$A52)</f>
        <v>474</v>
      </c>
      <c r="I52" s="44">
        <f>SUMIFS('[10]inland_taf_hatchgrp_tableraw&amp;yy'!I$3:I$38,'[10]inland_taf_hatchgrp_tableraw&amp;yy'!$AC$3:$AC$38,'2017 Table 10 CWTs exp'!$A52)</f>
        <v>0</v>
      </c>
      <c r="J52" s="46">
        <f>SUMIFS('[10]inland_taf_hatchgrp_tableraw&amp;yy'!J$3:J$38,'[10]inland_taf_hatchgrp_tableraw&amp;yy'!$AC$3:$AC$38,'2017 Table 10 CWTs exp'!$A52)</f>
        <v>0</v>
      </c>
      <c r="K52" s="44">
        <f>SUMIFS('[10]inland_taf_hatchgrp_tableraw&amp;yy'!K$3:K$38,'[10]inland_taf_hatchgrp_tableraw&amp;yy'!$AC$3:$AC$38,'2017 Table 10 CWTs exp'!$A52)</f>
        <v>0</v>
      </c>
      <c r="L52" s="44">
        <f>SUMIFS('[10]inland_taf_hatchgrp_tableraw&amp;yy'!L$3:L$38,'[10]inland_taf_hatchgrp_tableraw&amp;yy'!$AC$3:$AC$38,'2017 Table 10 CWTs exp'!$A52)</f>
        <v>0</v>
      </c>
      <c r="M52" s="44">
        <f>SUMIFS('[10]inland_taf_hatchgrp_tableraw&amp;yy'!M$3:M$38,'[10]inland_taf_hatchgrp_tableraw&amp;yy'!$AC$3:$AC$38,'2017 Table 10 CWTs exp'!$A52)</f>
        <v>0</v>
      </c>
      <c r="N52" s="44">
        <f>SUMIFS('[10]inland_taf_hatchgrp_tableraw&amp;yy'!N$3:N$38,'[10]inland_taf_hatchgrp_tableraw&amp;yy'!$AC$3:$AC$38,'2017 Table 10 CWTs exp'!$A52)</f>
        <v>34</v>
      </c>
      <c r="O52" s="44">
        <f>SUMIFS('[10]inland_taf_hatchgrp_tableraw&amp;yy'!O$3:O$38,'[10]inland_taf_hatchgrp_tableraw&amp;yy'!$AC$3:$AC$38,'2017 Table 10 CWTs exp'!$A52)</f>
        <v>0</v>
      </c>
      <c r="P52" s="44">
        <f>SUMIFS('[10]inland_taf_hatchgrp_tableraw&amp;yy'!P$3:P$38,'[10]inland_taf_hatchgrp_tableraw&amp;yy'!$AC$3:$AC$38,'2017 Table 10 CWTs exp'!$A52)</f>
        <v>0</v>
      </c>
      <c r="Q52" s="46">
        <f>SUMIFS('[10]inland_taf_hatchgrp_tableraw&amp;yy'!Q$3:Q$38,'[10]inland_taf_hatchgrp_tableraw&amp;yy'!$AC$3:$AC$38,'2017 Table 10 CWTs exp'!$A52)</f>
        <v>0</v>
      </c>
      <c r="R52" s="44">
        <f>SUMIFS('[10]inland_taf_hatchgrp_tableraw&amp;yy'!R$3:R$38,'[10]inland_taf_hatchgrp_tableraw&amp;yy'!$AC$3:$AC$38,'2017 Table 10 CWTs exp'!$A52)</f>
        <v>0</v>
      </c>
      <c r="S52" s="46">
        <f>SUMIFS('[10]inland_taf_hatchgrp_tableraw&amp;yy'!S$3:S$38,'[10]inland_taf_hatchgrp_tableraw&amp;yy'!$AC$3:$AC$38,'2017 Table 10 CWTs exp'!$A52)</f>
        <v>0</v>
      </c>
      <c r="T52" s="44">
        <f>SUMIFS('[10]inland_taf_hatchgrp_tableraw&amp;yy'!T$3:T$38,'[10]inland_taf_hatchgrp_tableraw&amp;yy'!$AC$3:$AC$38,'2017 Table 10 CWTs exp'!$A52)</f>
        <v>0</v>
      </c>
      <c r="U52" s="44">
        <f>SUMIFS('[10]inland_taf_hatchgrp_tableraw&amp;yy'!U$3:U$38,'[10]inland_taf_hatchgrp_tableraw&amp;yy'!$AC$3:$AC$38,'2017 Table 10 CWTs exp'!$A52)</f>
        <v>0</v>
      </c>
      <c r="V52" s="44">
        <f>SUMIFS('[10]inland_taf_hatchgrp_tableraw&amp;yy'!V$3:V$38,'[10]inland_taf_hatchgrp_tableraw&amp;yy'!$AC$3:$AC$38,'2017 Table 10 CWTs exp'!$A52)</f>
        <v>0</v>
      </c>
      <c r="W52" s="46">
        <f>SUMIFS('[10]inland_taf_hatchgrp_tableraw&amp;yy'!W$3:W$38,'[10]inland_taf_hatchgrp_tableraw&amp;yy'!$AC$3:$AC$38,'2017 Table 10 CWTs exp'!$A52)</f>
        <v>0</v>
      </c>
      <c r="X52" s="44">
        <f>SUMIFS('[10]inland_taf_hatchgrp_tableraw&amp;yy'!X$3:X$38,'[10]inland_taf_hatchgrp_tableraw&amp;yy'!$AC$3:$AC$38,'2017 Table 10 CWTs exp'!$A52)</f>
        <v>0</v>
      </c>
      <c r="Y52" s="84">
        <f>SUMIFS('[10]inland_taf_hatchgrp_tableraw&amp;yy'!Y$3:Y$38,'[10]inland_taf_hatchgrp_tableraw&amp;yy'!$AC$3:$AC$38,'2017 Table 10 CWTs exp'!$A52)</f>
        <v>508</v>
      </c>
      <c r="Z52" s="85">
        <f>SUMIFS('[10]inland_taf_hatchgrp_tableraw&amp;yy'!Z$3:Z$38,'[10]inland_taf_hatchgrp_tableraw&amp;yy'!$AC$3:$AC$38,'2017 Table 10 CWTs exp'!$A52)</f>
        <v>201</v>
      </c>
      <c r="AA52" s="44">
        <f>SUMIFS('[10]inland_taf_hatchgrp_tableraw&amp;yy'!AA$3:AA$38,'[10]inland_taf_hatchgrp_tableraw&amp;yy'!$AC$3:$AC$38,'2017 Table 10 CWTs exp'!$A52)</f>
        <v>709</v>
      </c>
      <c r="AB52" s="44"/>
      <c r="AC52" s="636"/>
      <c r="AD52" s="566">
        <f>SUMIFS('[10]inland_taf_hatchgrp_tableraw&amp;yy'!AB$3:AB$38,'[10]inland_taf_hatchgrp_tableraw&amp;yy'!$AC$3:$AC$38,'2017 Table 10 CWTs exp'!$A52)</f>
        <v>0.71699999999999997</v>
      </c>
      <c r="AE52" s="604" t="str">
        <f t="shared" si="24"/>
        <v>USAC467</v>
      </c>
      <c r="AF52" s="444"/>
      <c r="AG52" s="622">
        <f t="shared" si="25"/>
        <v>0.71650211565585331</v>
      </c>
      <c r="AH52" s="606"/>
      <c r="AI52" s="442"/>
      <c r="AJ52" s="451"/>
      <c r="AK52" s="451"/>
      <c r="AL52" s="451"/>
      <c r="AM52" s="442"/>
      <c r="AN52" s="442"/>
      <c r="AO52" s="442"/>
      <c r="AP52" s="442"/>
      <c r="AQ52" s="442"/>
      <c r="AR52" s="442"/>
      <c r="AS52" s="442"/>
      <c r="AT52" s="442"/>
      <c r="AU52" s="442"/>
      <c r="AV52" s="442"/>
      <c r="AW52" s="442"/>
      <c r="AX52" s="442"/>
      <c r="AY52" s="442"/>
      <c r="AZ52" s="442"/>
      <c r="BA52" s="442"/>
      <c r="BB52" s="442"/>
      <c r="BC52" s="442"/>
      <c r="BD52" s="442"/>
      <c r="BE52" s="442"/>
      <c r="BF52" s="442"/>
      <c r="BG52" s="442"/>
      <c r="BH52" s="442"/>
      <c r="BI52" s="442"/>
      <c r="BJ52" s="442"/>
    </row>
    <row r="53" spans="1:62" ht="14.15" customHeight="1" x14ac:dyDescent="0.3">
      <c r="A53" s="50"/>
      <c r="B53" s="13"/>
      <c r="C53" s="13"/>
      <c r="D53" s="13"/>
      <c r="E53" s="3"/>
      <c r="F53" s="192" t="s">
        <v>120</v>
      </c>
      <c r="G53" s="104"/>
      <c r="H53" s="105">
        <f t="shared" ref="H53" si="26">SUM(H47:H52)</f>
        <v>885</v>
      </c>
      <c r="I53" s="94">
        <f t="shared" ref="I53:AA53" si="27">SUM(I47:I52)</f>
        <v>2333</v>
      </c>
      <c r="J53" s="106">
        <f t="shared" si="27"/>
        <v>6012</v>
      </c>
      <c r="K53" s="94">
        <f t="shared" si="27"/>
        <v>70</v>
      </c>
      <c r="L53" s="94">
        <f t="shared" si="27"/>
        <v>0</v>
      </c>
      <c r="M53" s="94">
        <f t="shared" si="27"/>
        <v>93</v>
      </c>
      <c r="N53" s="94">
        <f t="shared" si="27"/>
        <v>13534</v>
      </c>
      <c r="O53" s="94">
        <f t="shared" si="27"/>
        <v>845</v>
      </c>
      <c r="P53" s="94">
        <f t="shared" si="27"/>
        <v>12</v>
      </c>
      <c r="Q53" s="106">
        <f t="shared" si="27"/>
        <v>0</v>
      </c>
      <c r="R53" s="94">
        <f t="shared" si="27"/>
        <v>520</v>
      </c>
      <c r="S53" s="106">
        <f t="shared" si="27"/>
        <v>4419</v>
      </c>
      <c r="T53" s="94">
        <f t="shared" si="27"/>
        <v>131</v>
      </c>
      <c r="U53" s="94">
        <f t="shared" si="27"/>
        <v>3174</v>
      </c>
      <c r="V53" s="94">
        <f t="shared" si="27"/>
        <v>763</v>
      </c>
      <c r="W53" s="106">
        <f t="shared" si="27"/>
        <v>243</v>
      </c>
      <c r="X53" s="94">
        <f t="shared" si="27"/>
        <v>464</v>
      </c>
      <c r="Y53" s="193">
        <f t="shared" si="27"/>
        <v>33498</v>
      </c>
      <c r="Z53" s="93">
        <f t="shared" si="27"/>
        <v>8073</v>
      </c>
      <c r="AA53" s="94">
        <f t="shared" si="27"/>
        <v>41571</v>
      </c>
      <c r="AB53" s="44"/>
      <c r="AC53" s="636"/>
      <c r="AD53" s="562">
        <f>Y53/AA53</f>
        <v>0.80580212167135745</v>
      </c>
      <c r="AE53" s="642">
        <f t="shared" si="24"/>
        <v>0</v>
      </c>
      <c r="AF53" s="643">
        <f>SUM(Y47:Y52)</f>
        <v>33498</v>
      </c>
      <c r="AG53" s="644">
        <f>SUM(Z47:Z52)</f>
        <v>8073</v>
      </c>
      <c r="AH53" s="644">
        <f>SUM(AA47:AA52)</f>
        <v>41571</v>
      </c>
      <c r="AI53" s="645"/>
      <c r="AJ53" s="451"/>
      <c r="AK53" s="451"/>
      <c r="AL53" s="451"/>
      <c r="AM53" s="442"/>
      <c r="AN53" s="442"/>
      <c r="AO53" s="442"/>
      <c r="AP53" s="442"/>
      <c r="AQ53" s="442"/>
      <c r="AR53" s="442"/>
      <c r="AS53" s="442"/>
      <c r="AT53" s="442"/>
      <c r="AU53" s="442"/>
      <c r="AV53" s="442"/>
      <c r="AW53" s="442"/>
      <c r="AX53" s="442"/>
      <c r="AY53" s="442"/>
      <c r="AZ53" s="442"/>
      <c r="BA53" s="442"/>
      <c r="BB53" s="442"/>
      <c r="BC53" s="442"/>
      <c r="BD53" s="442"/>
      <c r="BE53" s="442"/>
      <c r="BF53" s="442"/>
      <c r="BG53" s="442"/>
      <c r="BH53" s="442"/>
      <c r="BI53" s="442"/>
      <c r="BJ53" s="442"/>
    </row>
    <row r="54" spans="1:62" ht="2.9" customHeight="1" x14ac:dyDescent="0.3">
      <c r="A54" s="50"/>
      <c r="B54" s="11"/>
      <c r="C54" s="11"/>
      <c r="D54" s="11"/>
      <c r="E54" s="110"/>
      <c r="F54" s="110"/>
      <c r="G54" s="111"/>
      <c r="H54" s="112"/>
      <c r="I54" s="111"/>
      <c r="J54" s="113"/>
      <c r="K54" s="111"/>
      <c r="L54" s="111"/>
      <c r="M54" s="111"/>
      <c r="N54" s="111"/>
      <c r="O54" s="111"/>
      <c r="P54" s="111"/>
      <c r="Q54" s="113"/>
      <c r="R54" s="111"/>
      <c r="S54" s="113"/>
      <c r="T54" s="111"/>
      <c r="U54" s="111"/>
      <c r="V54" s="111"/>
      <c r="W54" s="113"/>
      <c r="X54" s="111"/>
      <c r="Y54" s="114"/>
      <c r="Z54" s="115"/>
      <c r="AA54" s="111"/>
      <c r="AB54" s="1"/>
      <c r="AC54" s="451"/>
      <c r="AD54" s="451"/>
      <c r="AE54" s="451"/>
      <c r="AF54" s="442"/>
      <c r="AG54" s="597"/>
      <c r="AH54" s="597"/>
      <c r="AI54" s="442"/>
      <c r="AJ54" s="451"/>
      <c r="AK54" s="451"/>
      <c r="AL54" s="451"/>
      <c r="AM54" s="442"/>
      <c r="AN54" s="442"/>
      <c r="AO54" s="442"/>
      <c r="AP54" s="442"/>
      <c r="AQ54" s="442"/>
      <c r="AR54" s="442"/>
      <c r="AS54" s="442"/>
      <c r="AT54" s="442"/>
      <c r="AU54" s="442"/>
      <c r="AV54" s="442"/>
      <c r="AW54" s="442"/>
      <c r="AX54" s="442"/>
      <c r="AY54" s="442"/>
      <c r="AZ54" s="442"/>
      <c r="BA54" s="442"/>
      <c r="BB54" s="442"/>
      <c r="BC54" s="442"/>
      <c r="BD54" s="442"/>
      <c r="BE54" s="442"/>
      <c r="BF54" s="442"/>
      <c r="BG54" s="442"/>
      <c r="BH54" s="442"/>
      <c r="BI54" s="442"/>
      <c r="BJ54" s="442"/>
    </row>
    <row r="55" spans="1:62" s="47" customFormat="1" ht="14.25" customHeight="1" x14ac:dyDescent="0.25">
      <c r="A55" s="36"/>
      <c r="B55" s="48"/>
      <c r="C55" s="48"/>
      <c r="D55" s="48"/>
      <c r="E55" s="186" t="s">
        <v>189</v>
      </c>
      <c r="F55" s="186"/>
      <c r="G55" s="201"/>
      <c r="H55" s="186"/>
      <c r="I55" s="186"/>
      <c r="J55" s="186"/>
      <c r="K55" s="186"/>
      <c r="L55" s="186"/>
      <c r="M55" s="186"/>
      <c r="N55" s="186"/>
      <c r="O55" s="186"/>
      <c r="P55" s="186"/>
      <c r="Q55" s="159"/>
      <c r="R55" s="159"/>
      <c r="S55" s="202"/>
      <c r="T55" s="202"/>
      <c r="U55" s="202"/>
      <c r="V55" s="159"/>
      <c r="W55" s="202"/>
      <c r="X55" s="202"/>
      <c r="Y55" s="202"/>
      <c r="Z55" s="202"/>
      <c r="AA55" s="202"/>
      <c r="AB55" s="159"/>
      <c r="AC55" s="595"/>
      <c r="AD55" s="615"/>
      <c r="AE55" s="615"/>
      <c r="AF55" s="594"/>
      <c r="AG55" s="616"/>
      <c r="AH55" s="616"/>
      <c r="AI55" s="594"/>
      <c r="AJ55" s="601"/>
      <c r="AK55" s="601"/>
      <c r="AL55" s="601"/>
      <c r="AM55" s="594"/>
      <c r="AN55" s="594"/>
      <c r="AO55" s="594"/>
      <c r="AP55" s="594"/>
      <c r="AQ55" s="594"/>
      <c r="AR55" s="594"/>
      <c r="AS55" s="594"/>
      <c r="AT55" s="594"/>
      <c r="AU55" s="594"/>
      <c r="AV55" s="594"/>
      <c r="AW55" s="594"/>
      <c r="AX55" s="594"/>
      <c r="AY55" s="594"/>
      <c r="AZ55" s="594"/>
      <c r="BA55" s="594"/>
      <c r="BB55" s="594"/>
      <c r="BC55" s="594"/>
      <c r="BD55" s="594"/>
      <c r="BE55" s="594"/>
      <c r="BF55" s="594"/>
      <c r="BG55" s="594"/>
      <c r="BH55" s="594"/>
      <c r="BI55" s="594"/>
      <c r="BJ55" s="594"/>
    </row>
    <row r="56" spans="1:62" s="47" customFormat="1" ht="14.25" customHeight="1" x14ac:dyDescent="0.25">
      <c r="A56" s="116"/>
      <c r="B56" s="117"/>
      <c r="C56" s="48"/>
      <c r="D56" s="48"/>
      <c r="E56" s="726" t="s">
        <v>190</v>
      </c>
      <c r="F56" s="726"/>
      <c r="G56" s="726"/>
      <c r="H56" s="726"/>
      <c r="I56" s="726"/>
      <c r="J56" s="726"/>
      <c r="K56" s="726"/>
      <c r="L56" s="726"/>
      <c r="M56" s="726"/>
      <c r="N56" s="726"/>
      <c r="O56" s="726"/>
      <c r="P56" s="726"/>
      <c r="Q56" s="27"/>
      <c r="R56" s="27"/>
      <c r="S56" s="27"/>
      <c r="T56" s="27"/>
      <c r="U56" s="27"/>
      <c r="V56" s="27"/>
      <c r="W56" s="27"/>
      <c r="X56" s="27"/>
      <c r="Y56" s="118"/>
      <c r="Z56" s="27"/>
      <c r="AA56" s="27"/>
      <c r="AB56" s="27"/>
      <c r="AC56" s="594"/>
      <c r="AD56" s="646">
        <f>SUM(Y47:Y51)</f>
        <v>32990</v>
      </c>
      <c r="AE56" s="646">
        <f>SUM(AA47:AA51)</f>
        <v>40862</v>
      </c>
      <c r="AF56" s="647" t="s">
        <v>123</v>
      </c>
      <c r="AG56" s="618"/>
      <c r="AH56" s="618"/>
      <c r="AI56" s="594"/>
      <c r="AJ56" s="601"/>
      <c r="AK56" s="601"/>
      <c r="AL56" s="601"/>
      <c r="AM56" s="594"/>
      <c r="AN56" s="594"/>
      <c r="AO56" s="594"/>
      <c r="AP56" s="594"/>
      <c r="AQ56" s="594"/>
      <c r="AR56" s="594"/>
      <c r="AS56" s="594"/>
      <c r="AT56" s="594"/>
      <c r="AU56" s="594"/>
      <c r="AV56" s="594"/>
      <c r="AW56" s="594"/>
      <c r="AX56" s="594"/>
      <c r="AY56" s="594"/>
      <c r="AZ56" s="594"/>
      <c r="BA56" s="594"/>
      <c r="BB56" s="594"/>
      <c r="BC56" s="594"/>
      <c r="BD56" s="594"/>
      <c r="BE56" s="594"/>
      <c r="BF56" s="594"/>
      <c r="BG56" s="594"/>
      <c r="BH56" s="594"/>
      <c r="BI56" s="594"/>
      <c r="BJ56" s="594"/>
    </row>
    <row r="57" spans="1:62" s="47" customFormat="1" ht="14.25" customHeight="1" x14ac:dyDescent="0.25">
      <c r="A57" s="116"/>
      <c r="B57" s="48"/>
      <c r="C57" s="48"/>
      <c r="D57" s="48"/>
      <c r="E57" s="27" t="s">
        <v>191</v>
      </c>
      <c r="F57" s="27"/>
      <c r="G57" s="27"/>
      <c r="H57" s="27"/>
      <c r="I57" s="27"/>
      <c r="J57" s="27"/>
      <c r="K57" s="27"/>
      <c r="L57" s="27"/>
      <c r="M57" s="27"/>
      <c r="N57" s="27"/>
      <c r="O57" s="27"/>
      <c r="P57" s="27"/>
      <c r="Q57" s="27"/>
      <c r="R57" s="27"/>
      <c r="S57" s="27"/>
      <c r="T57" s="27"/>
      <c r="U57" s="27"/>
      <c r="V57" s="27"/>
      <c r="W57" s="27"/>
      <c r="X57" s="27"/>
      <c r="Y57" s="27"/>
      <c r="Z57" s="27"/>
      <c r="AA57" s="27"/>
      <c r="AB57" s="27"/>
      <c r="AC57" s="594"/>
      <c r="AD57" s="594"/>
      <c r="AE57" s="594"/>
      <c r="AF57" s="594"/>
      <c r="AG57" s="594"/>
      <c r="AH57" s="594"/>
      <c r="AI57" s="594"/>
      <c r="AJ57" s="601"/>
      <c r="AK57" s="601"/>
      <c r="AL57" s="601"/>
      <c r="AM57" s="594"/>
      <c r="AN57" s="594"/>
      <c r="AO57" s="594"/>
      <c r="AP57" s="594"/>
      <c r="AQ57" s="594"/>
      <c r="AR57" s="594"/>
      <c r="AS57" s="594"/>
      <c r="AT57" s="594"/>
      <c r="AU57" s="594"/>
      <c r="AV57" s="594"/>
      <c r="AW57" s="594"/>
      <c r="AX57" s="594"/>
      <c r="AY57" s="594"/>
      <c r="AZ57" s="594"/>
      <c r="BA57" s="594"/>
      <c r="BB57" s="594"/>
      <c r="BC57" s="594"/>
      <c r="BD57" s="594"/>
      <c r="BE57" s="594"/>
      <c r="BF57" s="594"/>
      <c r="BG57" s="594"/>
      <c r="BH57" s="594"/>
      <c r="BI57" s="594"/>
      <c r="BJ57" s="594"/>
    </row>
    <row r="58" spans="1:62" s="47" customFormat="1" ht="14.25" customHeight="1" x14ac:dyDescent="0.25">
      <c r="A58" s="116"/>
      <c r="B58" s="48"/>
      <c r="C58" s="48"/>
      <c r="D58" s="48"/>
      <c r="F58" s="34"/>
      <c r="G58" s="34"/>
      <c r="H58" s="27"/>
      <c r="I58" s="27"/>
      <c r="J58" s="27"/>
      <c r="K58" s="27"/>
      <c r="L58" s="27"/>
      <c r="M58" s="27"/>
      <c r="N58" s="27"/>
      <c r="O58" s="27"/>
      <c r="P58" s="27"/>
      <c r="Q58" s="27"/>
      <c r="R58" s="27"/>
      <c r="S58" s="27"/>
      <c r="T58" s="27"/>
      <c r="U58" s="27"/>
      <c r="V58" s="27"/>
      <c r="W58" s="27"/>
      <c r="X58" s="27"/>
      <c r="Y58" s="27"/>
      <c r="Z58" s="27"/>
      <c r="AA58" s="27"/>
      <c r="AB58" s="27"/>
      <c r="AC58" s="594"/>
      <c r="AD58" s="617"/>
      <c r="AE58" s="617"/>
      <c r="AF58" s="617"/>
      <c r="AG58" s="617"/>
      <c r="AH58" s="617"/>
      <c r="AI58" s="594"/>
      <c r="AJ58" s="601"/>
      <c r="AK58" s="601"/>
      <c r="AL58" s="601"/>
      <c r="AM58" s="594"/>
      <c r="AN58" s="594"/>
      <c r="AO58" s="594"/>
      <c r="AP58" s="594"/>
      <c r="AQ58" s="594"/>
      <c r="AR58" s="594"/>
      <c r="AS58" s="594"/>
      <c r="AT58" s="594"/>
      <c r="AU58" s="594"/>
      <c r="AV58" s="594"/>
      <c r="AW58" s="594"/>
      <c r="AX58" s="594"/>
      <c r="AY58" s="594"/>
      <c r="AZ58" s="594"/>
      <c r="BA58" s="594"/>
      <c r="BB58" s="594"/>
      <c r="BC58" s="594"/>
      <c r="BD58" s="594"/>
      <c r="BE58" s="594"/>
      <c r="BF58" s="594"/>
      <c r="BG58" s="594"/>
      <c r="BH58" s="594"/>
      <c r="BI58" s="594"/>
      <c r="BJ58" s="594"/>
    </row>
    <row r="59" spans="1:62" x14ac:dyDescent="0.25">
      <c r="A59" s="15"/>
      <c r="AC59" s="442"/>
      <c r="AD59" s="442"/>
      <c r="AE59" s="442"/>
      <c r="AF59" s="442"/>
      <c r="AG59" s="442"/>
      <c r="AH59" s="442"/>
      <c r="AI59" s="442"/>
      <c r="AJ59" s="451"/>
      <c r="AK59" s="451"/>
      <c r="AL59" s="451"/>
      <c r="AM59" s="442"/>
      <c r="AN59" s="442"/>
      <c r="AO59" s="442"/>
      <c r="AP59" s="442"/>
      <c r="AQ59" s="442"/>
      <c r="AR59" s="442"/>
      <c r="AS59" s="442"/>
      <c r="AT59" s="442"/>
      <c r="AU59" s="442"/>
      <c r="AV59" s="442"/>
      <c r="AW59" s="442"/>
      <c r="AX59" s="442"/>
      <c r="AY59" s="442"/>
      <c r="AZ59" s="442"/>
      <c r="BA59" s="442"/>
      <c r="BB59" s="442"/>
      <c r="BC59" s="442"/>
      <c r="BD59" s="442"/>
      <c r="BE59" s="442"/>
      <c r="BF59" s="442"/>
      <c r="BG59" s="442"/>
      <c r="BH59" s="442"/>
      <c r="BI59" s="442"/>
      <c r="BJ59" s="442"/>
    </row>
    <row r="60" spans="1:62" x14ac:dyDescent="0.25">
      <c r="A60" s="15"/>
      <c r="AC60" s="442"/>
      <c r="AD60" s="442"/>
      <c r="AE60" s="442"/>
      <c r="AF60" s="442"/>
      <c r="AG60" s="442"/>
      <c r="AH60" s="442"/>
      <c r="AI60" s="442"/>
      <c r="AJ60" s="451"/>
      <c r="AK60" s="451"/>
      <c r="AL60" s="451"/>
      <c r="AM60" s="442"/>
      <c r="AN60" s="442"/>
      <c r="AO60" s="442"/>
      <c r="AP60" s="442" t="s">
        <v>126</v>
      </c>
      <c r="AQ60" s="442"/>
      <c r="AR60" s="442"/>
      <c r="AS60" s="442" t="s">
        <v>127</v>
      </c>
      <c r="AT60" s="442"/>
      <c r="AU60" s="442"/>
      <c r="AV60" s="442"/>
      <c r="AW60" s="442"/>
      <c r="AX60" s="442"/>
      <c r="AY60" s="442"/>
      <c r="AZ60" s="442"/>
      <c r="BA60" s="442"/>
      <c r="BB60" s="442"/>
      <c r="BC60" s="442"/>
      <c r="BD60" s="442"/>
      <c r="BE60" s="442"/>
      <c r="BF60" s="442"/>
      <c r="BG60" s="442"/>
      <c r="BH60" s="442"/>
      <c r="BI60" s="442"/>
      <c r="BJ60" s="442"/>
    </row>
    <row r="61" spans="1:62" x14ac:dyDescent="0.25">
      <c r="A61" s="15"/>
      <c r="Y61" s="14"/>
      <c r="AA61" s="14"/>
      <c r="AC61" s="442"/>
      <c r="AD61" s="445"/>
      <c r="AE61" s="445"/>
      <c r="AF61" s="445"/>
      <c r="AG61" s="442"/>
      <c r="AH61" s="442"/>
      <c r="AI61" s="442"/>
      <c r="AJ61" s="451"/>
      <c r="AK61" s="451"/>
      <c r="AL61" s="451"/>
      <c r="AM61" s="442"/>
      <c r="AN61" s="442"/>
      <c r="AO61" s="442"/>
      <c r="AP61" s="442"/>
      <c r="AQ61" s="442"/>
      <c r="AR61" s="442"/>
      <c r="AS61" s="442"/>
      <c r="AT61" s="442"/>
      <c r="AU61" s="442"/>
      <c r="AV61" s="442"/>
      <c r="AW61" s="442"/>
      <c r="AX61" s="442"/>
      <c r="AY61" s="442"/>
      <c r="AZ61" s="442"/>
      <c r="BA61" s="442"/>
      <c r="BB61" s="442"/>
      <c r="BC61" s="442"/>
      <c r="BD61" s="442"/>
      <c r="BE61" s="442"/>
      <c r="BF61" s="442"/>
      <c r="BG61" s="442"/>
      <c r="BH61" s="442"/>
      <c r="BI61" s="442"/>
      <c r="BJ61" s="442"/>
    </row>
    <row r="62" spans="1:62" ht="4.5" customHeight="1" x14ac:dyDescent="0.3">
      <c r="A62" s="15"/>
      <c r="F62" s="119"/>
      <c r="G62" s="120"/>
      <c r="H62" s="741"/>
      <c r="I62" s="741"/>
      <c r="J62" s="741"/>
      <c r="K62" s="741"/>
      <c r="L62" s="744"/>
      <c r="M62" s="744"/>
      <c r="N62" s="744"/>
      <c r="O62" s="744"/>
      <c r="P62" s="744"/>
      <c r="Q62" s="741"/>
      <c r="R62" s="741"/>
      <c r="S62" s="122"/>
      <c r="T62" s="123"/>
      <c r="U62" s="122"/>
      <c r="V62" s="741"/>
      <c r="W62" s="741"/>
      <c r="X62" s="124"/>
      <c r="Y62" s="742"/>
      <c r="Z62" s="742"/>
      <c r="AA62" s="126"/>
      <c r="AC62" s="442"/>
      <c r="AD62" s="442"/>
      <c r="AE62" s="442"/>
      <c r="AF62" s="442"/>
      <c r="AG62" s="442"/>
      <c r="AH62" s="442"/>
      <c r="AI62" s="442"/>
      <c r="AJ62" s="451"/>
      <c r="AK62" s="451"/>
      <c r="AL62" s="451"/>
      <c r="AM62" s="442"/>
      <c r="AN62" s="442"/>
      <c r="AO62" s="442"/>
      <c r="AP62" s="442"/>
      <c r="AQ62" s="442"/>
      <c r="AR62" s="442"/>
      <c r="AS62" s="442"/>
      <c r="AT62" s="442"/>
      <c r="AU62" s="442"/>
      <c r="AV62" s="442"/>
      <c r="AW62" s="442"/>
      <c r="AX62" s="442"/>
      <c r="AY62" s="442"/>
      <c r="AZ62" s="442"/>
      <c r="BA62" s="442"/>
      <c r="BB62" s="442"/>
      <c r="BC62" s="442"/>
      <c r="BD62" s="442"/>
      <c r="BE62" s="442"/>
      <c r="BF62" s="442"/>
      <c r="BG62" s="442"/>
      <c r="BH62" s="442"/>
      <c r="BI62" s="442"/>
      <c r="BJ62" s="442"/>
    </row>
    <row r="63" spans="1:62" ht="17.5" customHeight="1" x14ac:dyDescent="0.3">
      <c r="A63" s="15"/>
      <c r="F63" s="119"/>
      <c r="G63" s="120"/>
      <c r="H63" s="120"/>
      <c r="I63" s="120"/>
      <c r="J63" s="120"/>
      <c r="K63" s="120"/>
      <c r="L63" s="121"/>
      <c r="M63" s="121"/>
      <c r="N63" s="121"/>
      <c r="O63" s="121"/>
      <c r="P63" s="121"/>
      <c r="Q63" s="120"/>
      <c r="R63" s="120"/>
      <c r="S63" s="122"/>
      <c r="T63" s="123"/>
      <c r="U63" s="122"/>
      <c r="V63" s="120"/>
      <c r="W63" s="120"/>
      <c r="X63" s="124"/>
      <c r="Y63" s="125"/>
      <c r="Z63" s="125"/>
      <c r="AA63" s="126"/>
      <c r="AC63" s="442"/>
      <c r="AD63" s="442"/>
      <c r="AE63" s="442"/>
      <c r="AF63" s="442"/>
      <c r="AG63" s="442"/>
      <c r="AH63" s="442"/>
      <c r="AI63" s="442"/>
      <c r="AJ63" s="451"/>
      <c r="AK63" s="451"/>
      <c r="AL63" s="451"/>
      <c r="AM63" s="442"/>
      <c r="AN63" s="442"/>
      <c r="AO63" s="442"/>
      <c r="AP63" s="442"/>
      <c r="AQ63" s="442"/>
      <c r="AR63" s="442"/>
      <c r="AS63" s="442"/>
      <c r="AT63" s="442"/>
      <c r="AU63" s="442"/>
      <c r="AV63" s="442"/>
      <c r="AW63" s="442"/>
      <c r="AX63" s="442"/>
      <c r="AY63" s="442"/>
      <c r="AZ63" s="613"/>
      <c r="BA63" s="442"/>
      <c r="BB63" s="442"/>
      <c r="BC63" s="442"/>
      <c r="BD63" s="442"/>
      <c r="BE63" s="442"/>
      <c r="BF63" s="442"/>
      <c r="BG63" s="442"/>
      <c r="BH63" s="442"/>
      <c r="BI63" s="442"/>
      <c r="BJ63" s="442"/>
    </row>
    <row r="64" spans="1:62" x14ac:dyDescent="0.25">
      <c r="A64" s="15"/>
      <c r="E64" s="128" t="s">
        <v>128</v>
      </c>
      <c r="F64" s="129"/>
      <c r="G64" s="130"/>
      <c r="H64" s="131"/>
      <c r="I64" s="131"/>
      <c r="J64" s="131"/>
      <c r="K64" s="131"/>
      <c r="L64" s="131"/>
      <c r="M64" s="132"/>
      <c r="N64" s="132"/>
      <c r="O64" s="132"/>
      <c r="P64" s="132"/>
      <c r="Q64" s="132"/>
      <c r="R64" s="132"/>
      <c r="S64" s="132"/>
      <c r="T64" s="132"/>
      <c r="U64" s="132"/>
      <c r="V64" s="132"/>
      <c r="W64" s="132"/>
      <c r="X64" s="133"/>
      <c r="Y64" s="132"/>
      <c r="Z64" s="132"/>
      <c r="AC64" s="442"/>
      <c r="AD64" s="442"/>
      <c r="AE64" s="442"/>
      <c r="AF64" s="442"/>
      <c r="AG64" s="442"/>
      <c r="AH64" s="442"/>
      <c r="AI64" s="442"/>
      <c r="AJ64" s="451"/>
      <c r="AK64" s="451"/>
      <c r="AL64" s="451"/>
      <c r="AM64" s="442"/>
      <c r="AN64" s="442"/>
      <c r="AO64" s="442"/>
      <c r="AP64" s="442"/>
      <c r="AQ64" s="442"/>
      <c r="AR64" s="442"/>
      <c r="AS64" s="442"/>
      <c r="AT64" s="442"/>
      <c r="AU64" s="442"/>
      <c r="AV64" s="442"/>
      <c r="AW64" s="442"/>
      <c r="AX64" s="442"/>
      <c r="AY64" s="442"/>
      <c r="AZ64" s="442"/>
      <c r="BA64" s="442"/>
      <c r="BB64" s="442"/>
      <c r="BC64" s="442"/>
      <c r="BD64" s="442"/>
      <c r="BE64" s="442"/>
      <c r="BF64" s="442"/>
      <c r="BG64" s="442"/>
      <c r="BH64" s="442"/>
      <c r="BI64" s="442"/>
      <c r="BJ64" s="442"/>
    </row>
    <row r="65" spans="1:62" x14ac:dyDescent="0.25">
      <c r="A65" s="15"/>
      <c r="H65" s="134"/>
      <c r="I65" s="134"/>
      <c r="J65" s="134"/>
      <c r="AC65" s="442"/>
      <c r="AD65" s="442"/>
      <c r="AE65" s="442"/>
      <c r="AF65" s="442"/>
      <c r="AG65" s="442"/>
      <c r="AH65" s="442"/>
      <c r="AI65" s="442"/>
      <c r="AJ65" s="451"/>
      <c r="AK65" s="451"/>
      <c r="AL65" s="451"/>
      <c r="AM65" s="442"/>
      <c r="AN65" s="442"/>
      <c r="AO65" s="442"/>
      <c r="AP65" s="442"/>
      <c r="AQ65" s="442"/>
      <c r="AR65" s="442"/>
      <c r="AS65" s="442"/>
      <c r="AT65" s="442"/>
      <c r="AU65" s="442"/>
      <c r="AV65" s="442"/>
      <c r="AW65" s="442"/>
      <c r="AX65" s="442"/>
      <c r="AY65" s="442"/>
      <c r="AZ65" s="442"/>
      <c r="BA65" s="442"/>
      <c r="BB65" s="442"/>
      <c r="BC65" s="442"/>
      <c r="BD65" s="442"/>
      <c r="BE65" s="442"/>
      <c r="BF65" s="442"/>
      <c r="BG65" s="442"/>
      <c r="BH65" s="442"/>
      <c r="BI65" s="442"/>
      <c r="BJ65" s="442"/>
    </row>
    <row r="66" spans="1:62" ht="20.9" customHeight="1" x14ac:dyDescent="0.25">
      <c r="A66" s="15"/>
      <c r="AB66" s="77"/>
      <c r="AC66" s="77"/>
      <c r="AD66" s="14"/>
      <c r="AE66" s="14"/>
    </row>
    <row r="67" spans="1:62" x14ac:dyDescent="0.25">
      <c r="A67" s="15"/>
      <c r="AB67" s="78"/>
      <c r="AC67" s="78"/>
    </row>
    <row r="68" spans="1:62" x14ac:dyDescent="0.25">
      <c r="A68" s="15"/>
    </row>
    <row r="69" spans="1:62" x14ac:dyDescent="0.25">
      <c r="A69" s="15"/>
    </row>
    <row r="70" spans="1:62" ht="20.9" customHeight="1" x14ac:dyDescent="0.25">
      <c r="A70" s="15"/>
      <c r="F70" s="135"/>
      <c r="G70" s="136"/>
      <c r="H70" s="136"/>
      <c r="I70" s="137"/>
      <c r="J70" s="136"/>
      <c r="K70" s="136"/>
      <c r="L70" s="136"/>
      <c r="M70" s="136"/>
      <c r="N70" s="136"/>
      <c r="O70" s="136"/>
      <c r="P70" s="136"/>
      <c r="Q70" s="136"/>
      <c r="R70" s="136"/>
      <c r="S70" s="136"/>
      <c r="T70" s="136"/>
      <c r="U70" s="136"/>
      <c r="V70" s="136"/>
      <c r="W70" s="136"/>
      <c r="X70" s="136"/>
      <c r="Y70" s="136"/>
      <c r="Z70" s="136"/>
      <c r="AA70" s="136"/>
    </row>
    <row r="71" spans="1:62" x14ac:dyDescent="0.25">
      <c r="A71" s="15"/>
      <c r="F71" s="135"/>
      <c r="G71" s="138"/>
      <c r="H71" s="138"/>
      <c r="I71" s="138"/>
      <c r="J71" s="138"/>
      <c r="K71" s="138"/>
      <c r="L71" s="138"/>
      <c r="M71" s="138"/>
      <c r="N71" s="138"/>
      <c r="O71" s="138"/>
      <c r="P71" s="138"/>
      <c r="Q71" s="138"/>
      <c r="R71" s="138"/>
      <c r="S71" s="138"/>
      <c r="T71" s="138"/>
      <c r="U71" s="138"/>
      <c r="V71" s="138"/>
      <c r="W71" s="138"/>
      <c r="X71" s="138"/>
      <c r="Y71" s="138"/>
    </row>
    <row r="72" spans="1:62" ht="20.9" customHeight="1" x14ac:dyDescent="0.25">
      <c r="A72" s="15"/>
    </row>
    <row r="75" spans="1:62" ht="20.9" customHeight="1" x14ac:dyDescent="0.25"/>
    <row r="77" spans="1:62" ht="20.9" customHeight="1" x14ac:dyDescent="0.25"/>
    <row r="79" spans="1:62" ht="20.9" customHeight="1" x14ac:dyDescent="0.25"/>
    <row r="80" spans="1:62" ht="15" customHeight="1" x14ac:dyDescent="0.25"/>
    <row r="81" spans="6:39" ht="21" customHeight="1" x14ac:dyDescent="0.25"/>
    <row r="82" spans="6:39" ht="21" customHeight="1" x14ac:dyDescent="0.25"/>
    <row r="83" spans="6:39" x14ac:dyDescent="0.25">
      <c r="AC83" s="442"/>
      <c r="AD83" s="442"/>
      <c r="AE83" s="442"/>
      <c r="AF83" s="442"/>
      <c r="AG83" s="442"/>
    </row>
    <row r="84" spans="6:39" x14ac:dyDescent="0.25">
      <c r="AC84" s="442"/>
      <c r="AD84" s="442" t="s">
        <v>129</v>
      </c>
      <c r="AE84" s="442"/>
      <c r="AF84" s="442" t="s">
        <v>38</v>
      </c>
      <c r="AG84" s="442"/>
    </row>
    <row r="85" spans="6:39" x14ac:dyDescent="0.25">
      <c r="F85" s="4"/>
      <c r="H85" s="4"/>
      <c r="I85" s="4"/>
      <c r="AC85" s="442"/>
      <c r="AD85" s="442"/>
      <c r="AE85" s="442"/>
      <c r="AF85" s="442" t="s">
        <v>130</v>
      </c>
      <c r="AG85" s="442"/>
    </row>
    <row r="86" spans="6:39" x14ac:dyDescent="0.25">
      <c r="G86"/>
      <c r="AC86" s="442"/>
      <c r="AD86" s="442"/>
      <c r="AE86" s="442"/>
      <c r="AF86" s="442" t="s">
        <v>9</v>
      </c>
      <c r="AG86" s="442"/>
    </row>
    <row r="87" spans="6:39" x14ac:dyDescent="0.25">
      <c r="G87"/>
      <c r="AC87" s="442"/>
      <c r="AD87" s="442"/>
      <c r="AE87" s="442"/>
      <c r="AF87" s="442"/>
      <c r="AG87" s="442"/>
      <c r="AK87"/>
      <c r="AM87" s="1"/>
    </row>
    <row r="88" spans="6:39" x14ac:dyDescent="0.25">
      <c r="G88"/>
    </row>
    <row r="89" spans="6:39" x14ac:dyDescent="0.25">
      <c r="G89"/>
    </row>
    <row r="90" spans="6:39" x14ac:dyDescent="0.25">
      <c r="G90"/>
    </row>
    <row r="91" spans="6:39" x14ac:dyDescent="0.25">
      <c r="G91"/>
    </row>
    <row r="92" spans="6:39" ht="21" customHeight="1" x14ac:dyDescent="0.25">
      <c r="G92"/>
    </row>
    <row r="93" spans="6:39" x14ac:dyDescent="0.25">
      <c r="G93"/>
    </row>
    <row r="94" spans="6:39" x14ac:dyDescent="0.25">
      <c r="G94"/>
    </row>
    <row r="95" spans="6:39" x14ac:dyDescent="0.25">
      <c r="G95"/>
    </row>
    <row r="96" spans="6:39" ht="20.9" customHeight="1" x14ac:dyDescent="0.25">
      <c r="G96"/>
    </row>
    <row r="97" spans="7:32" x14ac:dyDescent="0.25">
      <c r="G97"/>
    </row>
    <row r="98" spans="7:32" ht="21" customHeight="1" x14ac:dyDescent="0.25">
      <c r="G98"/>
    </row>
    <row r="99" spans="7:32" x14ac:dyDescent="0.25">
      <c r="G99"/>
    </row>
    <row r="100" spans="7:32" x14ac:dyDescent="0.25">
      <c r="G100"/>
    </row>
    <row r="101" spans="7:32" ht="21" customHeight="1" x14ac:dyDescent="0.25">
      <c r="G101"/>
    </row>
    <row r="103" spans="7:32" ht="21" customHeight="1" x14ac:dyDescent="0.25"/>
    <row r="105" spans="7:32" ht="21" customHeight="1" x14ac:dyDescent="0.25"/>
    <row r="108" spans="7:32" x14ac:dyDescent="0.25">
      <c r="AF108" s="3"/>
    </row>
    <row r="109" spans="7:32" x14ac:dyDescent="0.25">
      <c r="AF109" s="3"/>
    </row>
    <row r="110" spans="7:32" x14ac:dyDescent="0.25">
      <c r="AF110" s="3" t="s">
        <v>9</v>
      </c>
    </row>
  </sheetData>
  <mergeCells count="13">
    <mergeCell ref="Y3:Z3"/>
    <mergeCell ref="Y62:Z62"/>
    <mergeCell ref="E40:F40"/>
    <mergeCell ref="E56:P56"/>
    <mergeCell ref="H62:J62"/>
    <mergeCell ref="K62:P62"/>
    <mergeCell ref="Q62:R62"/>
    <mergeCell ref="V62:W62"/>
    <mergeCell ref="E17:F17"/>
    <mergeCell ref="H3:J3"/>
    <mergeCell ref="K3:Q3"/>
    <mergeCell ref="R3:S3"/>
    <mergeCell ref="T3:W3"/>
  </mergeCells>
  <pageMargins left="0.5" right="0.25" top="0.5" bottom="0.25" header="0.3" footer="0.3"/>
  <pageSetup scale="29" fitToHeight="0"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354DB-02E3-4291-B503-A5499293DF4F}">
  <sheetPr>
    <pageSetUpPr fitToPage="1"/>
  </sheetPr>
  <dimension ref="A1:AK68"/>
  <sheetViews>
    <sheetView showGridLines="0" zoomScaleNormal="100" zoomScaleSheetLayoutView="90" workbookViewId="0">
      <selection activeCell="A10" sqref="A9:XFD13"/>
    </sheetView>
  </sheetViews>
  <sheetFormatPr defaultRowHeight="12.5" x14ac:dyDescent="0.25"/>
  <cols>
    <col min="1" max="1" width="10.54296875" customWidth="1"/>
    <col min="2" max="4" width="0.453125" customWidth="1"/>
    <col min="5" max="5" width="28.7265625" customWidth="1"/>
    <col min="6" max="6" width="7.54296875" style="1" customWidth="1"/>
    <col min="7" max="7" width="7.1796875" style="1" customWidth="1"/>
    <col min="8" max="18" width="7.1796875" customWidth="1"/>
    <col min="19" max="20" width="7.54296875" customWidth="1"/>
    <col min="21" max="23" width="7.1796875" customWidth="1"/>
    <col min="24" max="24" width="6.26953125" customWidth="1"/>
    <col min="25" max="26" width="9" customWidth="1"/>
    <col min="27" max="27" width="10.81640625" customWidth="1"/>
    <col min="28" max="28" width="1.453125" customWidth="1"/>
  </cols>
  <sheetData>
    <row r="1" spans="1:37" x14ac:dyDescent="0.25">
      <c r="AC1" s="442"/>
      <c r="AD1" s="442"/>
      <c r="AE1" s="442"/>
      <c r="AF1" s="442"/>
      <c r="AG1" s="442"/>
      <c r="AH1" s="442"/>
      <c r="AI1" s="442"/>
      <c r="AJ1" s="442"/>
      <c r="AK1" s="442"/>
    </row>
    <row r="2" spans="1:37" ht="21.75" customHeight="1" x14ac:dyDescent="0.25">
      <c r="E2" s="2" t="s">
        <v>173</v>
      </c>
      <c r="AC2" s="442"/>
      <c r="AD2" s="442"/>
      <c r="AE2" s="442"/>
      <c r="AF2" s="442"/>
      <c r="AG2" s="442"/>
      <c r="AH2" s="442"/>
      <c r="AI2" s="442"/>
      <c r="AJ2" s="442"/>
      <c r="AK2" s="442"/>
    </row>
    <row r="3" spans="1:37" ht="17.899999999999999" customHeight="1" x14ac:dyDescent="0.3">
      <c r="E3" s="6"/>
      <c r="F3" s="7"/>
      <c r="G3" s="8"/>
      <c r="H3" s="727" t="str">
        <f>'[11]Table 10 CWTs exp'!H3:J3</f>
        <v>CFH</v>
      </c>
      <c r="I3" s="727"/>
      <c r="J3" s="727"/>
      <c r="K3" s="727" t="str">
        <f>'[11]Table 10 CWTs exp'!K3:P3</f>
        <v>FRH</v>
      </c>
      <c r="L3" s="727"/>
      <c r="M3" s="727"/>
      <c r="N3" s="727"/>
      <c r="O3" s="727" t="str">
        <f>'[11]Table 10 CWTs exp'!O3:P3</f>
        <v>NIM</v>
      </c>
      <c r="P3" s="727"/>
      <c r="Q3" s="727" t="str">
        <f>'[11]Table 10 CWTs exp'!Q3:R3</f>
        <v>MOK</v>
      </c>
      <c r="R3" s="727"/>
      <c r="S3" s="727"/>
      <c r="T3" s="727"/>
      <c r="U3" s="727" t="str">
        <f>'[11]Table 10 CWTs exp'!U3:V3</f>
        <v>MER</v>
      </c>
      <c r="V3" s="727"/>
      <c r="W3" s="9" t="str">
        <f>'[11]Table 10 CWTs exp'!W3</f>
        <v>SJO</v>
      </c>
      <c r="X3" s="747" t="str">
        <f>'[11]Table 10 CWTs exp'!X3</f>
        <v>Non-CV</v>
      </c>
      <c r="Y3" s="729" t="s">
        <v>132</v>
      </c>
      <c r="Z3" s="730"/>
      <c r="AA3" s="10" t="s">
        <v>9</v>
      </c>
      <c r="AC3" s="442" t="s">
        <v>374</v>
      </c>
      <c r="AD3" s="442"/>
      <c r="AE3" s="442"/>
      <c r="AF3" s="442"/>
      <c r="AG3" s="442"/>
      <c r="AH3" s="442"/>
      <c r="AI3" s="442"/>
      <c r="AJ3" s="442"/>
      <c r="AK3" s="442"/>
    </row>
    <row r="4" spans="1:37" ht="15.75" customHeight="1" x14ac:dyDescent="0.3">
      <c r="E4" s="17" t="s">
        <v>17</v>
      </c>
      <c r="F4" s="18" t="s">
        <v>18</v>
      </c>
      <c r="G4" s="19" t="str">
        <f>'[11]Table 10 CWTs exp'!G4</f>
        <v>SacW</v>
      </c>
      <c r="H4" s="20" t="str">
        <f>'[11]Table 10 CWTs exp'!H4</f>
        <v>CFHLh</v>
      </c>
      <c r="I4" s="19" t="str">
        <f>'[11]Table 10 CWTs exp'!I4</f>
        <v>CFHFh</v>
      </c>
      <c r="J4" s="21" t="str">
        <f>'[11]Table 10 CWTs exp'!J4</f>
        <v>CFHFn</v>
      </c>
      <c r="K4" s="19" t="str">
        <f>'[11]Table 10 CWTs exp'!K4</f>
        <v>FRHS</v>
      </c>
      <c r="L4" s="19" t="str">
        <f>'[11]Table 10 CWTs exp'!L4</f>
        <v>FRHF</v>
      </c>
      <c r="M4" s="19" t="str">
        <f>'[11]Table 10 CWTs exp'!M4</f>
        <v>FRHFn</v>
      </c>
      <c r="N4" s="21" t="str">
        <f>'[11]Table 10 CWTs exp'!N4</f>
        <v>FRHFgg</v>
      </c>
      <c r="O4" s="19" t="str">
        <f>'[11]Table 10 CWTs exp'!O4</f>
        <v>NIMF</v>
      </c>
      <c r="P4" s="21" t="str">
        <f>'[11]Table 10 CWTs exp'!P4</f>
        <v>NIMFn</v>
      </c>
      <c r="Q4" s="19" t="str">
        <f>'[11]Table 10 CWTs exp'!Q4</f>
        <v>MOKF</v>
      </c>
      <c r="R4" s="19" t="str">
        <f>'[11]Table 10 CWTs exp'!R4</f>
        <v>MOKFn</v>
      </c>
      <c r="S4" s="19" t="str">
        <f>'[11]Table 10 CWTs exp'!S4</f>
        <v>MOKFnc</v>
      </c>
      <c r="T4" s="21" t="str">
        <f>'[11]Table 10 CWTs exp'!T4</f>
        <v>MOKFgg</v>
      </c>
      <c r="U4" s="19" t="str">
        <f>'[11]Table 10 CWTs exp'!U4</f>
        <v>MERF</v>
      </c>
      <c r="V4" s="21" t="str">
        <f>'[11]Table 10 CWTs exp'!V4</f>
        <v>MERFn</v>
      </c>
      <c r="W4" s="21" t="s">
        <v>174</v>
      </c>
      <c r="X4" s="748"/>
      <c r="Y4" s="22" t="s">
        <v>36</v>
      </c>
      <c r="Z4" s="23" t="s">
        <v>37</v>
      </c>
      <c r="AA4" s="24" t="s">
        <v>18</v>
      </c>
      <c r="AC4" s="442"/>
      <c r="AD4" s="442"/>
      <c r="AE4" s="442"/>
      <c r="AF4" s="442"/>
      <c r="AG4" s="442"/>
      <c r="AH4" s="442"/>
      <c r="AI4" s="442"/>
      <c r="AJ4" s="442"/>
      <c r="AK4" s="442"/>
    </row>
    <row r="5" spans="1:37" ht="14.15" customHeight="1" x14ac:dyDescent="0.3">
      <c r="E5" s="26" t="s">
        <v>39</v>
      </c>
      <c r="F5" s="11"/>
      <c r="G5" s="4"/>
      <c r="H5" s="139"/>
      <c r="J5" s="140"/>
      <c r="N5" s="140"/>
      <c r="P5" s="140"/>
      <c r="T5" s="140"/>
      <c r="V5" s="140"/>
      <c r="W5" s="140"/>
      <c r="X5" s="11"/>
      <c r="Y5" s="141"/>
      <c r="Z5" s="142"/>
      <c r="AA5" s="88"/>
      <c r="AC5" s="442"/>
      <c r="AD5" s="442"/>
      <c r="AE5" s="442"/>
      <c r="AF5" s="442"/>
      <c r="AG5" s="442"/>
      <c r="AH5" s="442"/>
      <c r="AI5" s="442"/>
      <c r="AJ5" s="442"/>
      <c r="AK5" s="442"/>
    </row>
    <row r="6" spans="1:37" ht="14.25" customHeight="1" x14ac:dyDescent="0.25">
      <c r="A6" s="54" t="str">
        <f>'[11]Table 10 CWTs exp'!A6</f>
        <v>KESW504</v>
      </c>
      <c r="E6" s="3" t="str">
        <f>'[11]Table 10 CWTs exp'!E6</f>
        <v>Keswick Dam Fish Trap</v>
      </c>
      <c r="F6" s="143" t="str">
        <f>'[11]Table 10 CWTs exp'!F6</f>
        <v>Winter</v>
      </c>
      <c r="G6" s="144">
        <f>IF('[11]Table 10 CWTs exp'!G6/'[11]Table 10 CWTs exp'!$AA6&gt;0,'[11]Table 10 CWTs exp'!G6/'[11]Table 10 CWTs exp'!$AA6," ")</f>
        <v>0.83888888888888891</v>
      </c>
      <c r="H6" s="145" t="str">
        <f>IF('[11]Table 10 CWTs exp'!H6/'[11]Table 10 CWTs exp'!$AA6&gt;0,'[11]Table 10 CWTs exp'!H6/'[11]Table 10 CWTs exp'!$AA6," ")</f>
        <v xml:space="preserve"> </v>
      </c>
      <c r="I6" s="144" t="str">
        <f>IF('[11]Table 10 CWTs exp'!I6/'[11]Table 10 CWTs exp'!$AA6&gt;0,'[11]Table 10 CWTs exp'!I6/'[11]Table 10 CWTs exp'!$AA6," ")</f>
        <v xml:space="preserve"> </v>
      </c>
      <c r="J6" s="146" t="str">
        <f>IF('[11]Table 10 CWTs exp'!J6/'[11]Table 10 CWTs exp'!$AA6&gt;0,'[11]Table 10 CWTs exp'!J6/'[11]Table 10 CWTs exp'!$AA6," ")</f>
        <v xml:space="preserve"> </v>
      </c>
      <c r="K6" s="144" t="str">
        <f>IF('[11]Table 10 CWTs exp'!K6/'[11]Table 10 CWTs exp'!$AA6&gt;0,'[11]Table 10 CWTs exp'!K6/'[11]Table 10 CWTs exp'!$AA6," ")</f>
        <v xml:space="preserve"> </v>
      </c>
      <c r="L6" s="144" t="str">
        <f>IF('[11]Table 10 CWTs exp'!L6/'[11]Table 10 CWTs exp'!$AA6&gt;0,'[11]Table 10 CWTs exp'!L6/'[11]Table 10 CWTs exp'!$AA6," ")</f>
        <v xml:space="preserve"> </v>
      </c>
      <c r="M6" s="144" t="str">
        <f>IF('[11]Table 10 CWTs exp'!M6/'[11]Table 10 CWTs exp'!$AA6&gt;0,'[11]Table 10 CWTs exp'!M6/'[11]Table 10 CWTs exp'!$AA6," ")</f>
        <v xml:space="preserve"> </v>
      </c>
      <c r="N6" s="146" t="str">
        <f>IF('[11]Table 10 CWTs exp'!N6/'[11]Table 10 CWTs exp'!$AA6&gt;0,'[11]Table 10 CWTs exp'!N6/'[11]Table 10 CWTs exp'!$AA6," ")</f>
        <v xml:space="preserve"> </v>
      </c>
      <c r="O6" s="144" t="str">
        <f>IF('[11]Table 10 CWTs exp'!O6/'[11]Table 10 CWTs exp'!$AA6&gt;0,'[11]Table 10 CWTs exp'!O6/'[11]Table 10 CWTs exp'!$AA6," ")</f>
        <v xml:space="preserve"> </v>
      </c>
      <c r="P6" s="146" t="str">
        <f>IF('[11]Table 10 CWTs exp'!P6/'[11]Table 10 CWTs exp'!$AA6&gt;0,'[11]Table 10 CWTs exp'!P6/'[11]Table 10 CWTs exp'!$AA6," ")</f>
        <v xml:space="preserve"> </v>
      </c>
      <c r="Q6" s="144" t="str">
        <f>IF('[11]Table 10 CWTs exp'!Q6/'[11]Table 10 CWTs exp'!$AA6&gt;0,'[11]Table 10 CWTs exp'!Q6/'[11]Table 10 CWTs exp'!$AA6," ")</f>
        <v xml:space="preserve"> </v>
      </c>
      <c r="R6" s="144" t="str">
        <f>IF('[11]Table 10 CWTs exp'!R6/'[11]Table 10 CWTs exp'!$AA6&gt;0,'[11]Table 10 CWTs exp'!R6/'[11]Table 10 CWTs exp'!$AA6," ")</f>
        <v xml:space="preserve"> </v>
      </c>
      <c r="S6" s="144" t="str">
        <f>IF('[11]Table 10 CWTs exp'!S6/'[11]Table 10 CWTs exp'!$AA6&gt;0,'[11]Table 10 CWTs exp'!S6/'[11]Table 10 CWTs exp'!$AA6," ")</f>
        <v xml:space="preserve"> </v>
      </c>
      <c r="T6" s="146" t="str">
        <f>IF('[11]Table 10 CWTs exp'!T6/'[11]Table 10 CWTs exp'!$AA6&gt;0,'[11]Table 10 CWTs exp'!T6/'[11]Table 10 CWTs exp'!$AA6," ")</f>
        <v xml:space="preserve"> </v>
      </c>
      <c r="U6" s="144" t="str">
        <f>IF('[11]Table 10 CWTs exp'!U6/'[11]Table 10 CWTs exp'!$AA6&gt;0,'[11]Table 10 CWTs exp'!U6/'[11]Table 10 CWTs exp'!$AA6," ")</f>
        <v xml:space="preserve"> </v>
      </c>
      <c r="V6" s="146" t="str">
        <f>IF('[11]Table 10 CWTs exp'!V6/'[11]Table 10 CWTs exp'!$AA6&gt;0,'[11]Table 10 CWTs exp'!V6/'[11]Table 10 CWTs exp'!$AA6," ")</f>
        <v xml:space="preserve"> </v>
      </c>
      <c r="W6" s="146" t="str">
        <f>IF('[11]Table 10 CWTs exp'!W6/'[11]Table 10 CWTs exp'!$AA6&gt;0,'[11]Table 10 CWTs exp'!W6/'[11]Table 10 CWTs exp'!$AA6," ")</f>
        <v xml:space="preserve"> </v>
      </c>
      <c r="X6" s="144" t="str">
        <f>IF('[11]Table 10 CWTs exp'!X6/'[11]Table 10 CWTs exp'!$AA6&gt;0,'[11]Table 10 CWTs exp'!X6/'[11]Table 10 CWTs exp'!$AA6," ")</f>
        <v xml:space="preserve"> </v>
      </c>
      <c r="Y6" s="147">
        <f>SUM(G6:X6)</f>
        <v>0.83888888888888891</v>
      </c>
      <c r="Z6" s="148">
        <f>1-Y6</f>
        <v>0.16111111111111109</v>
      </c>
      <c r="AA6" s="38">
        <f>'[11]Table 10 CWTs exp'!AA6</f>
        <v>180</v>
      </c>
      <c r="AC6" s="592">
        <f>'[11]Table 10 CWTs exp'!AD6</f>
        <v>0.83899999999999997</v>
      </c>
      <c r="AD6" s="592">
        <f>Y6-AC6</f>
        <v>-1.1111111111106187E-4</v>
      </c>
      <c r="AE6" s="593" t="str">
        <f>A6</f>
        <v>KESW504</v>
      </c>
      <c r="AF6" s="442"/>
      <c r="AG6" s="442"/>
      <c r="AH6" s="648"/>
      <c r="AI6" s="454"/>
      <c r="AJ6" s="442"/>
      <c r="AK6" s="442"/>
    </row>
    <row r="7" spans="1:37" ht="14.5" customHeight="1" x14ac:dyDescent="0.25">
      <c r="A7" s="54" t="str">
        <f>'[11]Table 10 CWTs exp'!A7</f>
        <v>FRFH501</v>
      </c>
      <c r="B7" s="75" t="str">
        <f>'[11]Table 10 CWTs exp'!B7</f>
        <v>FRFH</v>
      </c>
      <c r="C7" s="75">
        <f>'[11]Table 10 CWTs exp'!C7</f>
        <v>50</v>
      </c>
      <c r="D7" s="75">
        <f>'[11]Table 10 CWTs exp'!D7</f>
        <v>1</v>
      </c>
      <c r="E7" s="3" t="str">
        <f>'[11]Table 10 CWTs exp'!E7</f>
        <v>Feather River Hatchery</v>
      </c>
      <c r="F7" s="143" t="str">
        <f>'[11]Table 10 CWTs exp'!F7</f>
        <v>Spring</v>
      </c>
      <c r="G7" s="151" t="str">
        <f>IF('[11]Table 10 CWTs exp'!G7/'[11]Table 10 CWTs exp'!$AA7&gt;0,'[11]Table 10 CWTs exp'!G7/'[11]Table 10 CWTs exp'!$AA7," ")</f>
        <v xml:space="preserve"> </v>
      </c>
      <c r="H7" s="145" t="str">
        <f>IF('[11]Table 10 CWTs exp'!H7/'[11]Table 10 CWTs exp'!$AA7&gt;0,'[11]Table 10 CWTs exp'!H7/'[11]Table 10 CWTs exp'!$AA7," ")</f>
        <v xml:space="preserve"> </v>
      </c>
      <c r="I7" s="144" t="str">
        <f>IF('[11]Table 10 CWTs exp'!I7/'[11]Table 10 CWTs exp'!$AA7&gt;0,'[11]Table 10 CWTs exp'!I7/'[11]Table 10 CWTs exp'!$AA7," ")</f>
        <v xml:space="preserve"> </v>
      </c>
      <c r="J7" s="146" t="str">
        <f>IF('[11]Table 10 CWTs exp'!J7/'[11]Table 10 CWTs exp'!$AA7&gt;0,'[11]Table 10 CWTs exp'!J7/'[11]Table 10 CWTs exp'!$AA7," ")</f>
        <v xml:space="preserve"> </v>
      </c>
      <c r="K7" s="144">
        <f>IF('[11]Table 10 CWTs exp'!K7/'[11]Table 10 CWTs exp'!$AA7&gt;0,'[11]Table 10 CWTs exp'!K7/'[11]Table 10 CWTs exp'!$AA7," ")</f>
        <v>0.86113744075829379</v>
      </c>
      <c r="L7" s="144" t="str">
        <f>IF('[11]Table 10 CWTs exp'!L7/'[11]Table 10 CWTs exp'!$AA7&gt;0,'[11]Table 10 CWTs exp'!L7/'[11]Table 10 CWTs exp'!$AA7," ")</f>
        <v xml:space="preserve"> </v>
      </c>
      <c r="M7" s="144">
        <f>IF('[11]Table 10 CWTs exp'!M7/'[11]Table 10 CWTs exp'!$AA7&gt;0,'[11]Table 10 CWTs exp'!M7/'[11]Table 10 CWTs exp'!$AA7," ")</f>
        <v>8.0094786729857814E-2</v>
      </c>
      <c r="N7" s="146" t="str">
        <f>IF('[11]Table 10 CWTs exp'!N7/'[11]Table 10 CWTs exp'!$AA7&gt;0,'[11]Table 10 CWTs exp'!N7/'[11]Table 10 CWTs exp'!$AA7," ")</f>
        <v xml:space="preserve"> </v>
      </c>
      <c r="O7" s="144" t="str">
        <f>IF('[11]Table 10 CWTs exp'!O7/'[11]Table 10 CWTs exp'!$AA7&gt;0,'[11]Table 10 CWTs exp'!O7/'[11]Table 10 CWTs exp'!$AA7," ")</f>
        <v xml:space="preserve"> </v>
      </c>
      <c r="P7" s="146" t="str">
        <f>IF('[11]Table 10 CWTs exp'!P7/'[11]Table 10 CWTs exp'!$AA7&gt;0,'[11]Table 10 CWTs exp'!P7/'[11]Table 10 CWTs exp'!$AA7," ")</f>
        <v xml:space="preserve"> </v>
      </c>
      <c r="Q7" s="144" t="str">
        <f>IF('[11]Table 10 CWTs exp'!Q7/'[11]Table 10 CWTs exp'!$AA7&gt;0,'[11]Table 10 CWTs exp'!Q7/'[11]Table 10 CWTs exp'!$AA7," ")</f>
        <v xml:space="preserve"> </v>
      </c>
      <c r="R7" s="144" t="str">
        <f>IF('[11]Table 10 CWTs exp'!R7/'[11]Table 10 CWTs exp'!$AA7&gt;0,'[11]Table 10 CWTs exp'!R7/'[11]Table 10 CWTs exp'!$AA7," ")</f>
        <v xml:space="preserve"> </v>
      </c>
      <c r="S7" s="144" t="str">
        <f>IF('[11]Table 10 CWTs exp'!S7/'[11]Table 10 CWTs exp'!$AA7&gt;0,'[11]Table 10 CWTs exp'!S7/'[11]Table 10 CWTs exp'!$AA7," ")</f>
        <v xml:space="preserve"> </v>
      </c>
      <c r="T7" s="146" t="str">
        <f>IF('[11]Table 10 CWTs exp'!T7/'[11]Table 10 CWTs exp'!$AA7&gt;0,'[11]Table 10 CWTs exp'!T7/'[11]Table 10 CWTs exp'!$AA7," ")</f>
        <v xml:space="preserve"> </v>
      </c>
      <c r="U7" s="144" t="str">
        <f>IF('[11]Table 10 CWTs exp'!U7/'[11]Table 10 CWTs exp'!$AA7&gt;0,'[11]Table 10 CWTs exp'!U7/'[11]Table 10 CWTs exp'!$AA7," ")</f>
        <v xml:space="preserve"> </v>
      </c>
      <c r="V7" s="146" t="str">
        <f>IF('[11]Table 10 CWTs exp'!V7/'[11]Table 10 CWTs exp'!$AA7&gt;0,'[11]Table 10 CWTs exp'!V7/'[11]Table 10 CWTs exp'!$AA7," ")</f>
        <v xml:space="preserve"> </v>
      </c>
      <c r="W7" s="146">
        <f>IF('[11]Table 10 CWTs exp'!W7/'[11]Table 10 CWTs exp'!$AA7&gt;0,'[11]Table 10 CWTs exp'!W7/'[11]Table 10 CWTs exp'!$AA7," ")</f>
        <v>9.4786729857819908E-4</v>
      </c>
      <c r="X7" s="144" t="str">
        <f>IF('[11]Table 10 CWTs exp'!X7/'[11]Table 10 CWTs exp'!$AA7&gt;0,'[11]Table 10 CWTs exp'!X7/'[11]Table 10 CWTs exp'!$AA7," ")</f>
        <v xml:space="preserve"> </v>
      </c>
      <c r="Y7" s="147">
        <f>SUM(G7:X7)</f>
        <v>0.94218009478672982</v>
      </c>
      <c r="Z7" s="148">
        <f>1-Y7</f>
        <v>5.7819905213270184E-2</v>
      </c>
      <c r="AA7" s="38">
        <f>'[11]Table 10 CWTs exp'!AA7</f>
        <v>2110</v>
      </c>
      <c r="AC7" s="592">
        <f>'[11]Table 10 CWTs exp'!AD7</f>
        <v>0.94199999999999995</v>
      </c>
      <c r="AD7" s="592">
        <f>Y7-AC7</f>
        <v>1.8009478672986745E-4</v>
      </c>
      <c r="AE7" s="593" t="str">
        <f>A7</f>
        <v>FRFH501</v>
      </c>
      <c r="AF7" s="442"/>
      <c r="AG7" s="442"/>
      <c r="AH7" s="648"/>
      <c r="AI7" s="454"/>
      <c r="AJ7" s="442"/>
      <c r="AK7" s="442"/>
    </row>
    <row r="8" spans="1:37" ht="12.75" hidden="1" customHeight="1" x14ac:dyDescent="0.25">
      <c r="A8" s="54" t="str">
        <f>'[11]Table 10 CWTs exp'!A8</f>
        <v>KESW503</v>
      </c>
      <c r="B8" s="75" t="str">
        <f>'[11]Table 10 CWTs exp'!B8</f>
        <v>KESW</v>
      </c>
      <c r="C8" s="75">
        <f>'[11]Table 10 CWTs exp'!C8</f>
        <v>50</v>
      </c>
      <c r="D8" s="75">
        <f>'[11]Table 10 CWTs exp'!D8</f>
        <v>3</v>
      </c>
      <c r="E8" s="3" t="str">
        <f>'[11]Table 10 CWTs exp'!E8</f>
        <v>Keswick Dam Fish Trap</v>
      </c>
      <c r="F8" s="143" t="str">
        <f>'[11]Table 10 CWTs exp'!F8</f>
        <v>Fall</v>
      </c>
      <c r="G8" s="151" t="e">
        <f>IF('[11]Table 10 CWTs exp'!G8/'[11]Table 10 CWTs exp'!$AA8&gt;0,'[11]Table 10 CWTs exp'!G8/'[11]Table 10 CWTs exp'!$AA8," ")</f>
        <v>#DIV/0!</v>
      </c>
      <c r="H8" s="145" t="e">
        <f>IF('[11]Table 10 CWTs exp'!H8/'[11]Table 10 CWTs exp'!$AA8&gt;0,'[11]Table 10 CWTs exp'!H8/'[11]Table 10 CWTs exp'!$AA8," ")</f>
        <v>#DIV/0!</v>
      </c>
      <c r="I8" s="144" t="e">
        <f>IF('[11]Table 10 CWTs exp'!I8/'[11]Table 10 CWTs exp'!$AA8&gt;0,'[11]Table 10 CWTs exp'!I8/'[11]Table 10 CWTs exp'!$AA8," ")</f>
        <v>#DIV/0!</v>
      </c>
      <c r="J8" s="146" t="e">
        <f>IF('[11]Table 10 CWTs exp'!J8/'[11]Table 10 CWTs exp'!$AA8&gt;0,'[11]Table 10 CWTs exp'!J8/'[11]Table 10 CWTs exp'!$AA8," ")</f>
        <v>#DIV/0!</v>
      </c>
      <c r="K8" s="144" t="e">
        <f>IF('[11]Table 10 CWTs exp'!K8/'[11]Table 10 CWTs exp'!$AA8&gt;0,'[11]Table 10 CWTs exp'!K8/'[11]Table 10 CWTs exp'!$AA8," ")</f>
        <v>#DIV/0!</v>
      </c>
      <c r="L8" s="144" t="e">
        <f>IF('[11]Table 10 CWTs exp'!L8/'[11]Table 10 CWTs exp'!$AA8&gt;0,'[11]Table 10 CWTs exp'!L8/'[11]Table 10 CWTs exp'!$AA8," ")</f>
        <v>#DIV/0!</v>
      </c>
      <c r="M8" s="144" t="e">
        <f>IF('[11]Table 10 CWTs exp'!M8/'[11]Table 10 CWTs exp'!$AA8&gt;0,'[11]Table 10 CWTs exp'!M8/'[11]Table 10 CWTs exp'!$AA8," ")</f>
        <v>#DIV/0!</v>
      </c>
      <c r="N8" s="146" t="e">
        <f>IF('[11]Table 10 CWTs exp'!N8/'[11]Table 10 CWTs exp'!$AA8&gt;0,'[11]Table 10 CWTs exp'!N8/'[11]Table 10 CWTs exp'!$AA8," ")</f>
        <v>#DIV/0!</v>
      </c>
      <c r="O8" s="144" t="e">
        <f>IF('[11]Table 10 CWTs exp'!O8/'[11]Table 10 CWTs exp'!$AA8&gt;0,'[11]Table 10 CWTs exp'!O8/'[11]Table 10 CWTs exp'!$AA8," ")</f>
        <v>#DIV/0!</v>
      </c>
      <c r="P8" s="146" t="e">
        <f>IF('[11]Table 10 CWTs exp'!P8/'[11]Table 10 CWTs exp'!$AA8&gt;0,'[11]Table 10 CWTs exp'!P8/'[11]Table 10 CWTs exp'!$AA8," ")</f>
        <v>#DIV/0!</v>
      </c>
      <c r="Q8" s="144" t="e">
        <f>IF('[11]Table 10 CWTs exp'!Q8/'[11]Table 10 CWTs exp'!$AA8&gt;0,'[11]Table 10 CWTs exp'!Q8/'[11]Table 10 CWTs exp'!$AA8," ")</f>
        <v>#DIV/0!</v>
      </c>
      <c r="R8" s="144" t="e">
        <f>IF('[11]Table 10 CWTs exp'!R8/'[11]Table 10 CWTs exp'!$AA8&gt;0,'[11]Table 10 CWTs exp'!R8/'[11]Table 10 CWTs exp'!$AA8," ")</f>
        <v>#DIV/0!</v>
      </c>
      <c r="S8" s="144" t="e">
        <f>IF('[11]Table 10 CWTs exp'!S8/'[11]Table 10 CWTs exp'!$AA8&gt;0,'[11]Table 10 CWTs exp'!S8/'[11]Table 10 CWTs exp'!$AA8," ")</f>
        <v>#DIV/0!</v>
      </c>
      <c r="T8" s="146" t="e">
        <f>IF('[11]Table 10 CWTs exp'!T8/'[11]Table 10 CWTs exp'!$AA8&gt;0,'[11]Table 10 CWTs exp'!T8/'[11]Table 10 CWTs exp'!$AA8," ")</f>
        <v>#DIV/0!</v>
      </c>
      <c r="U8" s="144" t="e">
        <f>IF('[11]Table 10 CWTs exp'!U8/'[11]Table 10 CWTs exp'!$AA8&gt;0,'[11]Table 10 CWTs exp'!U8/'[11]Table 10 CWTs exp'!$AA8," ")</f>
        <v>#DIV/0!</v>
      </c>
      <c r="V8" s="146" t="e">
        <f>IF('[11]Table 10 CWTs exp'!V8/'[11]Table 10 CWTs exp'!$AA8&gt;0,'[11]Table 10 CWTs exp'!V8/'[11]Table 10 CWTs exp'!$AA8," ")</f>
        <v>#DIV/0!</v>
      </c>
      <c r="W8" s="146" t="e">
        <f>IF('[11]Table 10 CWTs exp'!W8/'[11]Table 10 CWTs exp'!$AA8&gt;0,'[11]Table 10 CWTs exp'!W8/'[11]Table 10 CWTs exp'!$AA8," ")</f>
        <v>#DIV/0!</v>
      </c>
      <c r="X8" s="144" t="e">
        <f>IF('[11]Table 10 CWTs exp'!X8/'[11]Table 10 CWTs exp'!$AA8&gt;0,'[11]Table 10 CWTs exp'!X8/'[11]Table 10 CWTs exp'!$AA8," ")</f>
        <v>#DIV/0!</v>
      </c>
      <c r="Y8" s="147" t="e">
        <f t="shared" ref="Y8:Y40" si="0">SUM(G8:X8)</f>
        <v>#DIV/0!</v>
      </c>
      <c r="Z8" s="148" t="e">
        <f t="shared" ref="Z8:Z16" si="1">1-Y8</f>
        <v>#DIV/0!</v>
      </c>
      <c r="AA8" s="38">
        <f>'[11]Table 10 CWTs exp'!AA8</f>
        <v>0</v>
      </c>
      <c r="AC8" s="592">
        <f>'[11]Table 10 CWTs exp'!AD8</f>
        <v>0</v>
      </c>
      <c r="AD8" s="592" t="e">
        <f t="shared" ref="AD8:AD53" si="2">Y8-AC8</f>
        <v>#DIV/0!</v>
      </c>
      <c r="AE8" s="593" t="str">
        <f t="shared" ref="AE8:AE39" si="3">A8</f>
        <v>KESW503</v>
      </c>
      <c r="AF8" s="442"/>
      <c r="AG8" s="442"/>
      <c r="AH8" s="648"/>
      <c r="AI8" s="454"/>
      <c r="AJ8" s="442"/>
      <c r="AK8" s="442"/>
    </row>
    <row r="9" spans="1:37" ht="14.5" customHeight="1" x14ac:dyDescent="0.25">
      <c r="A9" s="54" t="str">
        <f>'[11]Table 10 CWTs exp'!A9</f>
        <v>CNFH503</v>
      </c>
      <c r="B9" s="75" t="str">
        <f>'[11]Table 10 CWTs exp'!B9</f>
        <v>CNFH</v>
      </c>
      <c r="C9" s="75">
        <f>'[11]Table 10 CWTs exp'!C9</f>
        <v>50</v>
      </c>
      <c r="D9" s="75">
        <f>'[11]Table 10 CWTs exp'!D9</f>
        <v>3</v>
      </c>
      <c r="E9" s="3" t="str">
        <f>'[11]Table 10 CWTs exp'!E9</f>
        <v>Coleman National Fish Hatchery</v>
      </c>
      <c r="F9" s="143" t="str">
        <f>'[11]Table 10 CWTs exp'!F9</f>
        <v>Fall</v>
      </c>
      <c r="G9" s="151" t="str">
        <f>IF('[11]Table 10 CWTs exp'!G9/'[11]Table 10 CWTs exp'!$AA9&gt;0,'[11]Table 10 CWTs exp'!G9/'[11]Table 10 CWTs exp'!$AA9," ")</f>
        <v xml:space="preserve"> </v>
      </c>
      <c r="H9" s="145" t="str">
        <f>IF('[11]Table 10 CWTs exp'!H9/'[11]Table 10 CWTs exp'!$AA9&gt;0,'[11]Table 10 CWTs exp'!H9/'[11]Table 10 CWTs exp'!$AA9," ")</f>
        <v xml:space="preserve"> </v>
      </c>
      <c r="I9" s="144">
        <f>IF('[11]Table 10 CWTs exp'!I9/'[11]Table 10 CWTs exp'!$AA9&gt;0,'[11]Table 10 CWTs exp'!I9/'[11]Table 10 CWTs exp'!$AA9," ")</f>
        <v>0.86160022538385683</v>
      </c>
      <c r="J9" s="146" t="str">
        <f>IF('[11]Table 10 CWTs exp'!J9/'[11]Table 10 CWTs exp'!$AA9&gt;0,'[11]Table 10 CWTs exp'!J9/'[11]Table 10 CWTs exp'!$AA9," ")</f>
        <v xml:space="preserve"> </v>
      </c>
      <c r="K9" s="144" t="str">
        <f>IF('[11]Table 10 CWTs exp'!K9/'[11]Table 10 CWTs exp'!$AA9&gt;0,'[11]Table 10 CWTs exp'!K9/'[11]Table 10 CWTs exp'!$AA9," ")</f>
        <v xml:space="preserve"> </v>
      </c>
      <c r="L9" s="144">
        <f>IF('[11]Table 10 CWTs exp'!L9/'[11]Table 10 CWTs exp'!$AA9&gt;0,'[11]Table 10 CWTs exp'!L9/'[11]Table 10 CWTs exp'!$AA9," ")</f>
        <v>2.1129736582617271E-4</v>
      </c>
      <c r="M9" s="144">
        <f>IF('[11]Table 10 CWTs exp'!M9/'[11]Table 10 CWTs exp'!$AA9&gt;0,'[11]Table 10 CWTs exp'!M9/'[11]Table 10 CWTs exp'!$AA9," ")</f>
        <v>8.4518946330469082E-4</v>
      </c>
      <c r="N9" s="146">
        <f>IF('[11]Table 10 CWTs exp'!N9/'[11]Table 10 CWTs exp'!$AA9&gt;0,'[11]Table 10 CWTs exp'!N9/'[11]Table 10 CWTs exp'!$AA9," ")</f>
        <v>2.8172982110156363E-4</v>
      </c>
      <c r="O9" s="144" t="str">
        <f>IF('[11]Table 10 CWTs exp'!O9/'[11]Table 10 CWTs exp'!$AA9&gt;0,'[11]Table 10 CWTs exp'!O9/'[11]Table 10 CWTs exp'!$AA9," ")</f>
        <v xml:space="preserve"> </v>
      </c>
      <c r="P9" s="146">
        <f>IF('[11]Table 10 CWTs exp'!P9/'[11]Table 10 CWTs exp'!$AA9&gt;0,'[11]Table 10 CWTs exp'!P9/'[11]Table 10 CWTs exp'!$AA9," ")</f>
        <v>2.8172982110156363E-4</v>
      </c>
      <c r="Q9" s="144" t="str">
        <f>IF('[11]Table 10 CWTs exp'!Q9/'[11]Table 10 CWTs exp'!$AA9&gt;0,'[11]Table 10 CWTs exp'!Q9/'[11]Table 10 CWTs exp'!$AA9," ")</f>
        <v xml:space="preserve"> </v>
      </c>
      <c r="R9" s="144">
        <f>IF('[11]Table 10 CWTs exp'!R9/'[11]Table 10 CWTs exp'!$AA9&gt;0,'[11]Table 10 CWTs exp'!R9/'[11]Table 10 CWTs exp'!$AA9," ")</f>
        <v>5.6345964220312725E-4</v>
      </c>
      <c r="S9" s="144">
        <f>IF('[11]Table 10 CWTs exp'!S9/'[11]Table 10 CWTs exp'!$AA9&gt;0,'[11]Table 10 CWTs exp'!S9/'[11]Table 10 CWTs exp'!$AA9," ")</f>
        <v>2.8172982110156363E-4</v>
      </c>
      <c r="T9" s="146">
        <f>IF('[11]Table 10 CWTs exp'!T9/'[11]Table 10 CWTs exp'!$AA9&gt;0,'[11]Table 10 CWTs exp'!T9/'[11]Table 10 CWTs exp'!$AA9," ")</f>
        <v>9.1562191858008172E-4</v>
      </c>
      <c r="U9" s="144" t="str">
        <f>IF('[11]Table 10 CWTs exp'!U9/'[11]Table 10 CWTs exp'!$AA9&gt;0,'[11]Table 10 CWTs exp'!U9/'[11]Table 10 CWTs exp'!$AA9," ")</f>
        <v xml:space="preserve"> </v>
      </c>
      <c r="V9" s="146">
        <f>IF('[11]Table 10 CWTs exp'!V9/'[11]Table 10 CWTs exp'!$AA9&gt;0,'[11]Table 10 CWTs exp'!V9/'[11]Table 10 CWTs exp'!$AA9," ")</f>
        <v>7.0432455275390907E-5</v>
      </c>
      <c r="W9" s="146" t="str">
        <f>IF('[11]Table 10 CWTs exp'!W9/'[11]Table 10 CWTs exp'!$AA9&gt;0,'[11]Table 10 CWTs exp'!W9/'[11]Table 10 CWTs exp'!$AA9," ")</f>
        <v xml:space="preserve"> </v>
      </c>
      <c r="X9" s="144" t="str">
        <f>IF('[11]Table 10 CWTs exp'!X9/'[11]Table 10 CWTs exp'!$AA9&gt;0,'[11]Table 10 CWTs exp'!X9/'[11]Table 10 CWTs exp'!$AA9," ")</f>
        <v xml:space="preserve"> </v>
      </c>
      <c r="Y9" s="147">
        <f t="shared" si="0"/>
        <v>0.86505141569235089</v>
      </c>
      <c r="Z9" s="148">
        <f t="shared" si="1"/>
        <v>0.13494858430764911</v>
      </c>
      <c r="AA9" s="38">
        <f>'[11]Table 10 CWTs exp'!AA9</f>
        <v>14198</v>
      </c>
      <c r="AC9" s="592">
        <f>'[11]Table 10 CWTs exp'!AD9</f>
        <v>0.86499999999999999</v>
      </c>
      <c r="AD9" s="592">
        <f t="shared" si="2"/>
        <v>5.1415692350897935E-5</v>
      </c>
      <c r="AE9" s="593" t="str">
        <f t="shared" si="3"/>
        <v>CNFH503</v>
      </c>
      <c r="AF9" s="442"/>
      <c r="AG9" s="442"/>
      <c r="AH9" s="648"/>
      <c r="AI9" s="454"/>
      <c r="AJ9" s="442"/>
      <c r="AK9" s="442"/>
    </row>
    <row r="10" spans="1:37" ht="14.5" customHeight="1" x14ac:dyDescent="0.25">
      <c r="A10" s="54" t="str">
        <f>'[11]Table 10 CWTs exp'!A10</f>
        <v>FRFH503</v>
      </c>
      <c r="B10" s="75" t="str">
        <f>'[11]Table 10 CWTs exp'!B10</f>
        <v>FRFH</v>
      </c>
      <c r="C10" s="75">
        <f>'[11]Table 10 CWTs exp'!C10</f>
        <v>50</v>
      </c>
      <c r="D10" s="75">
        <f>'[11]Table 10 CWTs exp'!D10</f>
        <v>3</v>
      </c>
      <c r="E10" s="3" t="str">
        <f>'[11]Table 10 CWTs exp'!E10</f>
        <v>Feather River Hatchery</v>
      </c>
      <c r="F10" s="143" t="str">
        <f>'[11]Table 10 CWTs exp'!F10</f>
        <v>Fall</v>
      </c>
      <c r="G10" s="151" t="str">
        <f>IF('[11]Table 10 CWTs exp'!G10/'[11]Table 10 CWTs exp'!$AA10&gt;0,'[11]Table 10 CWTs exp'!G10/'[11]Table 10 CWTs exp'!$AA10," ")</f>
        <v xml:space="preserve"> </v>
      </c>
      <c r="H10" s="145">
        <f>IF('[11]Table 10 CWTs exp'!H10/'[11]Table 10 CWTs exp'!$AA10&gt;0,'[11]Table 10 CWTs exp'!H10/'[11]Table 10 CWTs exp'!$AA10," ")</f>
        <v>3.5265904923120326E-5</v>
      </c>
      <c r="I10" s="144">
        <f>IF('[11]Table 10 CWTs exp'!I10/'[11]Table 10 CWTs exp'!$AA10&gt;0,'[11]Table 10 CWTs exp'!I10/'[11]Table 10 CWTs exp'!$AA10," ")</f>
        <v>4.2319085907744394E-4</v>
      </c>
      <c r="J10" s="146" t="str">
        <f>IF('[11]Table 10 CWTs exp'!J10/'[11]Table 10 CWTs exp'!$AA10&gt;0,'[11]Table 10 CWTs exp'!J10/'[11]Table 10 CWTs exp'!$AA10," ")</f>
        <v xml:space="preserve"> </v>
      </c>
      <c r="K10" s="144">
        <f>IF('[11]Table 10 CWTs exp'!K10/'[11]Table 10 CWTs exp'!$AA10&gt;0,'[11]Table 10 CWTs exp'!K10/'[11]Table 10 CWTs exp'!$AA10," ")</f>
        <v>5.2440400620679929E-2</v>
      </c>
      <c r="L10" s="144">
        <f>IF('[11]Table 10 CWTs exp'!L10/'[11]Table 10 CWTs exp'!$AA10&gt;0,'[11]Table 10 CWTs exp'!L10/'[11]Table 10 CWTs exp'!$AA10," ")</f>
        <v>2.9693891945267316E-2</v>
      </c>
      <c r="M10" s="144">
        <f>IF('[11]Table 10 CWTs exp'!M10/'[11]Table 10 CWTs exp'!$AA10&gt;0,'[11]Table 10 CWTs exp'!M10/'[11]Table 10 CWTs exp'!$AA10," ")</f>
        <v>0.6823599943574552</v>
      </c>
      <c r="N10" s="146">
        <f>IF('[11]Table 10 CWTs exp'!N10/'[11]Table 10 CWTs exp'!$AA10&gt;0,'[11]Table 10 CWTs exp'!N10/'[11]Table 10 CWTs exp'!$AA10," ")</f>
        <v>7.5610100155169988E-2</v>
      </c>
      <c r="O10" s="144">
        <f>IF('[11]Table 10 CWTs exp'!O10/'[11]Table 10 CWTs exp'!$AA10&gt;0,'[11]Table 10 CWTs exp'!O10/'[11]Table 10 CWTs exp'!$AA10," ")</f>
        <v>1.410636196924813E-4</v>
      </c>
      <c r="P10" s="146">
        <f>IF('[11]Table 10 CWTs exp'!P10/'[11]Table 10 CWTs exp'!$AA10&gt;0,'[11]Table 10 CWTs exp'!P10/'[11]Table 10 CWTs exp'!$AA10," ")</f>
        <v>9.8744533784736921E-4</v>
      </c>
      <c r="Q10" s="144">
        <f>IF('[11]Table 10 CWTs exp'!Q10/'[11]Table 10 CWTs exp'!$AA10&gt;0,'[11]Table 10 CWTs exp'!Q10/'[11]Table 10 CWTs exp'!$AA10," ")</f>
        <v>1.0579771476936098E-4</v>
      </c>
      <c r="R10" s="144">
        <f>IF('[11]Table 10 CWTs exp'!R10/'[11]Table 10 CWTs exp'!$AA10&gt;0,'[11]Table 10 CWTs exp'!R10/'[11]Table 10 CWTs exp'!$AA10," ")</f>
        <v>7.0531809846240655E-3</v>
      </c>
      <c r="S10" s="144">
        <f>IF('[11]Table 10 CWTs exp'!S10/'[11]Table 10 CWTs exp'!$AA10&gt;0,'[11]Table 10 CWTs exp'!S10/'[11]Table 10 CWTs exp'!$AA10," ")</f>
        <v>2.8565382987727466E-3</v>
      </c>
      <c r="T10" s="146">
        <f>IF('[11]Table 10 CWTs exp'!T10/'[11]Table 10 CWTs exp'!$AA10&gt;0,'[11]Table 10 CWTs exp'!T10/'[11]Table 10 CWTs exp'!$AA10," ")</f>
        <v>1.3753702920016927E-3</v>
      </c>
      <c r="U10" s="144" t="str">
        <f>IF('[11]Table 10 CWTs exp'!U10/'[11]Table 10 CWTs exp'!$AA10&gt;0,'[11]Table 10 CWTs exp'!U10/'[11]Table 10 CWTs exp'!$AA10," ")</f>
        <v xml:space="preserve"> </v>
      </c>
      <c r="V10" s="146">
        <f>IF('[11]Table 10 CWTs exp'!V10/'[11]Table 10 CWTs exp'!$AA10&gt;0,'[11]Table 10 CWTs exp'!V10/'[11]Table 10 CWTs exp'!$AA10," ")</f>
        <v>8.4638171815488788E-4</v>
      </c>
      <c r="W10" s="146">
        <f>IF('[11]Table 10 CWTs exp'!W10/'[11]Table 10 CWTs exp'!$AA10&gt;0,'[11]Table 10 CWTs exp'!W10/'[11]Table 10 CWTs exp'!$AA10," ")</f>
        <v>9.8744533784736921E-4</v>
      </c>
      <c r="X10" s="144" t="str">
        <f>IF('[11]Table 10 CWTs exp'!X10/'[11]Table 10 CWTs exp'!$AA10&gt;0,'[11]Table 10 CWTs exp'!X10/'[11]Table 10 CWTs exp'!$AA10," ")</f>
        <v xml:space="preserve"> </v>
      </c>
      <c r="Y10" s="147">
        <f t="shared" si="0"/>
        <v>0.85491606714628299</v>
      </c>
      <c r="Z10" s="148">
        <f t="shared" si="1"/>
        <v>0.14508393285371701</v>
      </c>
      <c r="AA10" s="38">
        <f>'[11]Table 10 CWTs exp'!AA10</f>
        <v>28356</v>
      </c>
      <c r="AC10" s="592">
        <f>'[11]Table 10 CWTs exp'!AD10</f>
        <v>0.85499999999999998</v>
      </c>
      <c r="AD10" s="592">
        <f t="shared" si="2"/>
        <v>-8.3932853716994771E-5</v>
      </c>
      <c r="AE10" s="593" t="str">
        <f t="shared" si="3"/>
        <v>FRFH503</v>
      </c>
      <c r="AF10" s="442"/>
      <c r="AG10" s="442"/>
      <c r="AH10" s="648"/>
      <c r="AI10" s="454"/>
      <c r="AJ10" s="442"/>
      <c r="AK10" s="442"/>
    </row>
    <row r="11" spans="1:37" ht="14.5" customHeight="1" x14ac:dyDescent="0.25">
      <c r="A11" s="54" t="str">
        <f>'[11]Table 10 CWTs exp'!A11</f>
        <v>NBFH503</v>
      </c>
      <c r="B11" s="75" t="str">
        <f>'[11]Table 10 CWTs exp'!B11</f>
        <v>NBFH</v>
      </c>
      <c r="C11" s="75">
        <f>'[11]Table 10 CWTs exp'!C11</f>
        <v>50</v>
      </c>
      <c r="D11" s="75">
        <f>'[11]Table 10 CWTs exp'!D11</f>
        <v>3</v>
      </c>
      <c r="E11" s="3" t="str">
        <f>'[11]Table 10 CWTs exp'!E11</f>
        <v>Nimbus Fish Hatchery</v>
      </c>
      <c r="F11" s="143" t="str">
        <f>'[11]Table 10 CWTs exp'!F11</f>
        <v>Fall</v>
      </c>
      <c r="G11" s="151" t="str">
        <f>IF('[11]Table 10 CWTs exp'!G11/'[11]Table 10 CWTs exp'!$AA11&gt;0,'[11]Table 10 CWTs exp'!G11/'[11]Table 10 CWTs exp'!$AA11," ")</f>
        <v xml:space="preserve"> </v>
      </c>
      <c r="H11" s="145">
        <f>IF('[11]Table 10 CWTs exp'!H11/'[11]Table 10 CWTs exp'!$AA11&gt;0,'[11]Table 10 CWTs exp'!H11/'[11]Table 10 CWTs exp'!$AA11," ")</f>
        <v>3.219575016097875E-4</v>
      </c>
      <c r="I11" s="144" t="str">
        <f>IF('[11]Table 10 CWTs exp'!I11/'[11]Table 10 CWTs exp'!$AA11&gt;0,'[11]Table 10 CWTs exp'!I11/'[11]Table 10 CWTs exp'!$AA11," ")</f>
        <v xml:space="preserve"> </v>
      </c>
      <c r="J11" s="146">
        <f>IF('[11]Table 10 CWTs exp'!J11/'[11]Table 10 CWTs exp'!$AA11&gt;0,'[11]Table 10 CWTs exp'!J11/'[11]Table 10 CWTs exp'!$AA11," ")</f>
        <v>1.28783000643915E-3</v>
      </c>
      <c r="K11" s="144" t="str">
        <f>IF('[11]Table 10 CWTs exp'!K11/'[11]Table 10 CWTs exp'!$AA11&gt;0,'[11]Table 10 CWTs exp'!K11/'[11]Table 10 CWTs exp'!$AA11," ")</f>
        <v xml:space="preserve"> </v>
      </c>
      <c r="L11" s="144" t="str">
        <f>IF('[11]Table 10 CWTs exp'!L11/'[11]Table 10 CWTs exp'!$AA11&gt;0,'[11]Table 10 CWTs exp'!L11/'[11]Table 10 CWTs exp'!$AA11," ")</f>
        <v xml:space="preserve"> </v>
      </c>
      <c r="M11" s="144">
        <f>IF('[11]Table 10 CWTs exp'!M11/'[11]Table 10 CWTs exp'!$AA11&gt;0,'[11]Table 10 CWTs exp'!M11/'[11]Table 10 CWTs exp'!$AA11," ")</f>
        <v>1.1107533805537669E-2</v>
      </c>
      <c r="N11" s="146">
        <f>IF('[11]Table 10 CWTs exp'!N11/'[11]Table 10 CWTs exp'!$AA11&gt;0,'[11]Table 10 CWTs exp'!N11/'[11]Table 10 CWTs exp'!$AA11," ")</f>
        <v>1.2717321313586607E-2</v>
      </c>
      <c r="O11" s="144">
        <f>IF('[11]Table 10 CWTs exp'!O11/'[11]Table 10 CWTs exp'!$AA11&gt;0,'[11]Table 10 CWTs exp'!O11/'[11]Table 10 CWTs exp'!$AA11," ")</f>
        <v>0.14117836445589182</v>
      </c>
      <c r="P11" s="146">
        <f>IF('[11]Table 10 CWTs exp'!P11/'[11]Table 10 CWTs exp'!$AA11&gt;0,'[11]Table 10 CWTs exp'!P11/'[11]Table 10 CWTs exp'!$AA11," ")</f>
        <v>0.37652929813264652</v>
      </c>
      <c r="Q11" s="144">
        <f>IF('[11]Table 10 CWTs exp'!Q11/'[11]Table 10 CWTs exp'!$AA11&gt;0,'[11]Table 10 CWTs exp'!Q11/'[11]Table 10 CWTs exp'!$AA11," ")</f>
        <v>1.9317450096587251E-3</v>
      </c>
      <c r="R11" s="144">
        <f>IF('[11]Table 10 CWTs exp'!R11/'[11]Table 10 CWTs exp'!$AA11&gt;0,'[11]Table 10 CWTs exp'!R11/'[11]Table 10 CWTs exp'!$AA11," ")</f>
        <v>0.24130714745653573</v>
      </c>
      <c r="S11" s="144">
        <f>IF('[11]Table 10 CWTs exp'!S11/'[11]Table 10 CWTs exp'!$AA11&gt;0,'[11]Table 10 CWTs exp'!S11/'[11]Table 10 CWTs exp'!$AA11," ")</f>
        <v>4.7488731487443654E-2</v>
      </c>
      <c r="T11" s="146">
        <f>IF('[11]Table 10 CWTs exp'!T11/'[11]Table 10 CWTs exp'!$AA11&gt;0,'[11]Table 10 CWTs exp'!T11/'[11]Table 10 CWTs exp'!$AA11," ")</f>
        <v>3.2839665164198326E-2</v>
      </c>
      <c r="U11" s="144">
        <f>IF('[11]Table 10 CWTs exp'!U11/'[11]Table 10 CWTs exp'!$AA11&gt;0,'[11]Table 10 CWTs exp'!U11/'[11]Table 10 CWTs exp'!$AA11," ")</f>
        <v>9.6587250482936256E-4</v>
      </c>
      <c r="V11" s="146">
        <f>IF('[11]Table 10 CWTs exp'!V11/'[11]Table 10 CWTs exp'!$AA11&gt;0,'[11]Table 10 CWTs exp'!V11/'[11]Table 10 CWTs exp'!$AA11," ")</f>
        <v>1.3844172569220863E-2</v>
      </c>
      <c r="W11" s="146" t="str">
        <f>IF('[11]Table 10 CWTs exp'!W11/'[11]Table 10 CWTs exp'!$AA11&gt;0,'[11]Table 10 CWTs exp'!W11/'[11]Table 10 CWTs exp'!$AA11," ")</f>
        <v xml:space="preserve"> </v>
      </c>
      <c r="X11" s="144" t="str">
        <f>IF('[11]Table 10 CWTs exp'!X11/'[11]Table 10 CWTs exp'!$AA11&gt;0,'[11]Table 10 CWTs exp'!X11/'[11]Table 10 CWTs exp'!$AA11," ")</f>
        <v xml:space="preserve"> </v>
      </c>
      <c r="Y11" s="147">
        <f t="shared" si="0"/>
        <v>0.88151963940759837</v>
      </c>
      <c r="Z11" s="148">
        <f t="shared" si="1"/>
        <v>0.11848036059240163</v>
      </c>
      <c r="AA11" s="38">
        <f>'[11]Table 10 CWTs exp'!AA11</f>
        <v>6212</v>
      </c>
      <c r="AC11" s="592">
        <f>'[11]Table 10 CWTs exp'!AD11</f>
        <v>0.88200000000000001</v>
      </c>
      <c r="AD11" s="592">
        <f t="shared" si="2"/>
        <v>-4.8036059240164075E-4</v>
      </c>
      <c r="AE11" s="593" t="str">
        <f t="shared" si="3"/>
        <v>NBFH503</v>
      </c>
      <c r="AF11" s="442"/>
      <c r="AG11" s="442"/>
      <c r="AH11" s="648"/>
      <c r="AI11" s="454"/>
      <c r="AJ11" s="442"/>
      <c r="AK11" s="442"/>
    </row>
    <row r="12" spans="1:37" ht="14.5" customHeight="1" x14ac:dyDescent="0.25">
      <c r="A12" s="54" t="str">
        <f>'[11]Table 10 CWTs exp'!A12</f>
        <v>MRFI503</v>
      </c>
      <c r="B12" s="75" t="str">
        <f>'[11]Table 10 CWTs exp'!B12</f>
        <v>MRFI</v>
      </c>
      <c r="C12" s="75">
        <f>'[11]Table 10 CWTs exp'!C12</f>
        <v>50</v>
      </c>
      <c r="D12" s="75">
        <f>'[11]Table 10 CWTs exp'!D12</f>
        <v>3</v>
      </c>
      <c r="E12" s="3" t="str">
        <f>'[11]Table 10 CWTs exp'!E12</f>
        <v>Mokelumne River Hatchery</v>
      </c>
      <c r="F12" s="143" t="str">
        <f>'[11]Table 10 CWTs exp'!F12</f>
        <v>Fall</v>
      </c>
      <c r="G12" s="151" t="str">
        <f>IF('[11]Table 10 CWTs exp'!G12/'[11]Table 10 CWTs exp'!$AA12&gt;0,'[11]Table 10 CWTs exp'!G12/'[11]Table 10 CWTs exp'!$AA12," ")</f>
        <v xml:space="preserve"> </v>
      </c>
      <c r="H12" s="145">
        <f>IF('[11]Table 10 CWTs exp'!H12/'[11]Table 10 CWTs exp'!$AA12&gt;0,'[11]Table 10 CWTs exp'!H12/'[11]Table 10 CWTs exp'!$AA12," ")</f>
        <v>2.5606469002695418E-3</v>
      </c>
      <c r="I12" s="144" t="str">
        <f>IF('[11]Table 10 CWTs exp'!I12/'[11]Table 10 CWTs exp'!$AA12&gt;0,'[11]Table 10 CWTs exp'!I12/'[11]Table 10 CWTs exp'!$AA12," ")</f>
        <v xml:space="preserve"> </v>
      </c>
      <c r="J12" s="146" t="str">
        <f>IF('[11]Table 10 CWTs exp'!J12/'[11]Table 10 CWTs exp'!$AA12&gt;0,'[11]Table 10 CWTs exp'!J12/'[11]Table 10 CWTs exp'!$AA12," ")</f>
        <v xml:space="preserve"> </v>
      </c>
      <c r="K12" s="144" t="str">
        <f>IF('[11]Table 10 CWTs exp'!K12/'[11]Table 10 CWTs exp'!$AA12&gt;0,'[11]Table 10 CWTs exp'!K12/'[11]Table 10 CWTs exp'!$AA12," ")</f>
        <v xml:space="preserve"> </v>
      </c>
      <c r="L12" s="144">
        <f>IF('[11]Table 10 CWTs exp'!L12/'[11]Table 10 CWTs exp'!$AA12&gt;0,'[11]Table 10 CWTs exp'!L12/'[11]Table 10 CWTs exp'!$AA12," ")</f>
        <v>1.3477088948787063E-4</v>
      </c>
      <c r="M12" s="144">
        <f>IF('[11]Table 10 CWTs exp'!M12/'[11]Table 10 CWTs exp'!$AA12&gt;0,'[11]Table 10 CWTs exp'!M12/'[11]Table 10 CWTs exp'!$AA12," ")</f>
        <v>1.0242587601078167E-2</v>
      </c>
      <c r="N12" s="146">
        <f>IF('[11]Table 10 CWTs exp'!N12/'[11]Table 10 CWTs exp'!$AA12&gt;0,'[11]Table 10 CWTs exp'!N12/'[11]Table 10 CWTs exp'!$AA12," ")</f>
        <v>7.5471698113207548E-3</v>
      </c>
      <c r="O12" s="144" t="str">
        <f>IF('[11]Table 10 CWTs exp'!O12/'[11]Table 10 CWTs exp'!$AA12&gt;0,'[11]Table 10 CWTs exp'!O12/'[11]Table 10 CWTs exp'!$AA12," ")</f>
        <v xml:space="preserve"> </v>
      </c>
      <c r="P12" s="146">
        <f>IF('[11]Table 10 CWTs exp'!P12/'[11]Table 10 CWTs exp'!$AA12&gt;0,'[11]Table 10 CWTs exp'!P12/'[11]Table 10 CWTs exp'!$AA12," ")</f>
        <v>2.6415094339622643E-2</v>
      </c>
      <c r="Q12" s="144">
        <f>IF('[11]Table 10 CWTs exp'!Q12/'[11]Table 10 CWTs exp'!$AA12&gt;0,'[11]Table 10 CWTs exp'!Q12/'[11]Table 10 CWTs exp'!$AA12," ")</f>
        <v>1.6981132075471698E-2</v>
      </c>
      <c r="R12" s="144">
        <f>IF('[11]Table 10 CWTs exp'!R12/'[11]Table 10 CWTs exp'!$AA12&gt;0,'[11]Table 10 CWTs exp'!R12/'[11]Table 10 CWTs exp'!$AA12," ")</f>
        <v>0.82911051212938003</v>
      </c>
      <c r="S12" s="144">
        <f>IF('[11]Table 10 CWTs exp'!S12/'[11]Table 10 CWTs exp'!$AA12&gt;0,'[11]Table 10 CWTs exp'!S12/'[11]Table 10 CWTs exp'!$AA12," ")</f>
        <v>3.9487870619946089E-2</v>
      </c>
      <c r="T12" s="146">
        <f>IF('[11]Table 10 CWTs exp'!T12/'[11]Table 10 CWTs exp'!$AA12&gt;0,'[11]Table 10 CWTs exp'!T12/'[11]Table 10 CWTs exp'!$AA12," ")</f>
        <v>4.4743935309973046E-2</v>
      </c>
      <c r="U12" s="144" t="str">
        <f>IF('[11]Table 10 CWTs exp'!U12/'[11]Table 10 CWTs exp'!$AA12&gt;0,'[11]Table 10 CWTs exp'!U12/'[11]Table 10 CWTs exp'!$AA12," ")</f>
        <v xml:space="preserve"> </v>
      </c>
      <c r="V12" s="146">
        <f>IF('[11]Table 10 CWTs exp'!V12/'[11]Table 10 CWTs exp'!$AA12&gt;0,'[11]Table 10 CWTs exp'!V12/'[11]Table 10 CWTs exp'!$AA12," ")</f>
        <v>1.0242587601078167E-2</v>
      </c>
      <c r="W12" s="146">
        <f>IF('[11]Table 10 CWTs exp'!W12/'[11]Table 10 CWTs exp'!$AA12&gt;0,'[11]Table 10 CWTs exp'!W12/'[11]Table 10 CWTs exp'!$AA12," ")</f>
        <v>1.3477088948787063E-4</v>
      </c>
      <c r="X12" s="144">
        <f>IF('[11]Table 10 CWTs exp'!X12/'[11]Table 10 CWTs exp'!$AA12&gt;0,'[11]Table 10 CWTs exp'!X12/'[11]Table 10 CWTs exp'!$AA12," ")</f>
        <v>1.0781671159029651E-3</v>
      </c>
      <c r="Y12" s="147">
        <f t="shared" si="0"/>
        <v>0.98867924528301876</v>
      </c>
      <c r="Z12" s="148">
        <f t="shared" si="1"/>
        <v>1.1320754716981241E-2</v>
      </c>
      <c r="AA12" s="38">
        <f>'[11]Table 10 CWTs exp'!AA12</f>
        <v>7420</v>
      </c>
      <c r="AC12" s="592">
        <f>'[11]Table 10 CWTs exp'!AD12</f>
        <v>0.98899999999999999</v>
      </c>
      <c r="AD12" s="592">
        <f t="shared" si="2"/>
        <v>-3.2075471698123081E-4</v>
      </c>
      <c r="AE12" s="593" t="str">
        <f t="shared" si="3"/>
        <v>MRFI503</v>
      </c>
      <c r="AF12" s="442"/>
      <c r="AG12" s="442"/>
      <c r="AH12" s="648"/>
      <c r="AI12" s="454"/>
      <c r="AJ12" s="442"/>
      <c r="AK12" s="442"/>
    </row>
    <row r="13" spans="1:37" ht="14.5" customHeight="1" x14ac:dyDescent="0.25">
      <c r="A13" s="54" t="str">
        <f>'[11]Table 10 CWTs exp'!A13</f>
        <v>MRFF503</v>
      </c>
      <c r="B13" s="75" t="str">
        <f>'[11]Table 10 CWTs exp'!B13</f>
        <v>MRFF</v>
      </c>
      <c r="C13" s="75">
        <f>'[11]Table 10 CWTs exp'!C13</f>
        <v>50</v>
      </c>
      <c r="D13" s="75">
        <f>'[11]Table 10 CWTs exp'!D13</f>
        <v>3</v>
      </c>
      <c r="E13" s="3" t="str">
        <f>'[11]Table 10 CWTs exp'!E13</f>
        <v>Merced River Hatchery</v>
      </c>
      <c r="F13" s="143" t="str">
        <f>'[11]Table 10 CWTs exp'!F13</f>
        <v>Fall</v>
      </c>
      <c r="G13" s="151" t="str">
        <f>IF('[11]Table 10 CWTs exp'!G13/'[11]Table 10 CWTs exp'!$AA13&gt;0,'[11]Table 10 CWTs exp'!G13/'[11]Table 10 CWTs exp'!$AA13," ")</f>
        <v xml:space="preserve"> </v>
      </c>
      <c r="H13" s="145">
        <f>IF('[11]Table 10 CWTs exp'!H13/'[11]Table 10 CWTs exp'!$AA13&gt;0,'[11]Table 10 CWTs exp'!H13/'[11]Table 10 CWTs exp'!$AA13," ")</f>
        <v>4.4296788482834993E-3</v>
      </c>
      <c r="I13" s="144" t="str">
        <f>IF('[11]Table 10 CWTs exp'!I13/'[11]Table 10 CWTs exp'!$AA13&gt;0,'[11]Table 10 CWTs exp'!I13/'[11]Table 10 CWTs exp'!$AA13," ")</f>
        <v xml:space="preserve"> </v>
      </c>
      <c r="J13" s="146" t="str">
        <f>IF('[11]Table 10 CWTs exp'!J13/'[11]Table 10 CWTs exp'!$AA13&gt;0,'[11]Table 10 CWTs exp'!J13/'[11]Table 10 CWTs exp'!$AA13," ")</f>
        <v xml:space="preserve"> </v>
      </c>
      <c r="K13" s="144" t="str">
        <f>IF('[11]Table 10 CWTs exp'!K13/'[11]Table 10 CWTs exp'!$AA13&gt;0,'[11]Table 10 CWTs exp'!K13/'[11]Table 10 CWTs exp'!$AA13," ")</f>
        <v xml:space="preserve"> </v>
      </c>
      <c r="L13" s="144" t="str">
        <f>IF('[11]Table 10 CWTs exp'!L13/'[11]Table 10 CWTs exp'!$AA13&gt;0,'[11]Table 10 CWTs exp'!L13/'[11]Table 10 CWTs exp'!$AA13," ")</f>
        <v xml:space="preserve"> </v>
      </c>
      <c r="M13" s="144">
        <f>IF('[11]Table 10 CWTs exp'!M13/'[11]Table 10 CWTs exp'!$AA13&gt;0,'[11]Table 10 CWTs exp'!M13/'[11]Table 10 CWTs exp'!$AA13," ")</f>
        <v>3.5437430786267994E-2</v>
      </c>
      <c r="N13" s="146">
        <f>IF('[11]Table 10 CWTs exp'!N13/'[11]Table 10 CWTs exp'!$AA13&gt;0,'[11]Table 10 CWTs exp'!N13/'[11]Table 10 CWTs exp'!$AA13," ")</f>
        <v>8.8593576965669985E-3</v>
      </c>
      <c r="O13" s="144" t="str">
        <f>IF('[11]Table 10 CWTs exp'!O13/'[11]Table 10 CWTs exp'!$AA13&gt;0,'[11]Table 10 CWTs exp'!O13/'[11]Table 10 CWTs exp'!$AA13," ")</f>
        <v xml:space="preserve"> </v>
      </c>
      <c r="P13" s="146">
        <f>IF('[11]Table 10 CWTs exp'!P13/'[11]Table 10 CWTs exp'!$AA13&gt;0,'[11]Table 10 CWTs exp'!P13/'[11]Table 10 CWTs exp'!$AA13," ")</f>
        <v>2.6578073089700997E-2</v>
      </c>
      <c r="Q13" s="144" t="str">
        <f>IF('[11]Table 10 CWTs exp'!Q13/'[11]Table 10 CWTs exp'!$AA13&gt;0,'[11]Table 10 CWTs exp'!Q13/'[11]Table 10 CWTs exp'!$AA13," ")</f>
        <v xml:space="preserve"> </v>
      </c>
      <c r="R13" s="144">
        <f>IF('[11]Table 10 CWTs exp'!R13/'[11]Table 10 CWTs exp'!$AA13&gt;0,'[11]Table 10 CWTs exp'!R13/'[11]Table 10 CWTs exp'!$AA13," ")</f>
        <v>0.22591362126245848</v>
      </c>
      <c r="S13" s="144">
        <f>IF('[11]Table 10 CWTs exp'!S13/'[11]Table 10 CWTs exp'!$AA13&gt;0,'[11]Table 10 CWTs exp'!S13/'[11]Table 10 CWTs exp'!$AA13," ")</f>
        <v>5.5370985603543747E-3</v>
      </c>
      <c r="T13" s="146">
        <f>IF('[11]Table 10 CWTs exp'!T13/'[11]Table 10 CWTs exp'!$AA13&gt;0,'[11]Table 10 CWTs exp'!T13/'[11]Table 10 CWTs exp'!$AA13," ")</f>
        <v>9.9667774086378731E-3</v>
      </c>
      <c r="U13" s="144">
        <f>IF('[11]Table 10 CWTs exp'!U13/'[11]Table 10 CWTs exp'!$AA13&gt;0,'[11]Table 10 CWTs exp'!U13/'[11]Table 10 CWTs exp'!$AA13," ")</f>
        <v>0.23145071982281284</v>
      </c>
      <c r="V13" s="146">
        <f>IF('[11]Table 10 CWTs exp'!V13/'[11]Table 10 CWTs exp'!$AA13&gt;0,'[11]Table 10 CWTs exp'!V13/'[11]Table 10 CWTs exp'!$AA13," ")</f>
        <v>3.3222591362126248E-2</v>
      </c>
      <c r="W13" s="146" t="str">
        <f>IF('[11]Table 10 CWTs exp'!W13/'[11]Table 10 CWTs exp'!$AA13&gt;0,'[11]Table 10 CWTs exp'!W13/'[11]Table 10 CWTs exp'!$AA13," ")</f>
        <v xml:space="preserve"> </v>
      </c>
      <c r="X13" s="144" t="str">
        <f>IF('[11]Table 10 CWTs exp'!X13/'[11]Table 10 CWTs exp'!$AA13&gt;0,'[11]Table 10 CWTs exp'!X13/'[11]Table 10 CWTs exp'!$AA13," ")</f>
        <v xml:space="preserve"> </v>
      </c>
      <c r="Y13" s="147">
        <f t="shared" si="0"/>
        <v>0.58139534883720934</v>
      </c>
      <c r="Z13" s="148">
        <f t="shared" si="1"/>
        <v>0.41860465116279066</v>
      </c>
      <c r="AA13" s="38">
        <f>'[11]Table 10 CWTs exp'!AA13</f>
        <v>903</v>
      </c>
      <c r="AC13" s="592">
        <f>'[11]Table 10 CWTs exp'!AD13</f>
        <v>0.58099999999999996</v>
      </c>
      <c r="AD13" s="592">
        <f t="shared" si="2"/>
        <v>3.9534883720937497E-4</v>
      </c>
      <c r="AE13" s="593" t="str">
        <f t="shared" si="3"/>
        <v>MRFF503</v>
      </c>
      <c r="AF13" s="442"/>
      <c r="AG13" s="442"/>
      <c r="AH13" s="648"/>
      <c r="AI13" s="454"/>
      <c r="AJ13" s="442"/>
      <c r="AK13" s="442"/>
    </row>
    <row r="14" spans="1:37" ht="14.5" customHeight="1" x14ac:dyDescent="0.25">
      <c r="A14" s="54" t="str">
        <f>'[11]Table 10 CWTs exp'!A14</f>
        <v>CNFH507</v>
      </c>
      <c r="B14" s="75" t="str">
        <f>'[11]Table 10 CWTs exp'!B14</f>
        <v>CNFH</v>
      </c>
      <c r="C14" s="75">
        <f>'[11]Table 10 CWTs exp'!C14</f>
        <v>50</v>
      </c>
      <c r="D14" s="75">
        <f>'[11]Table 10 CWTs exp'!D14</f>
        <v>7</v>
      </c>
      <c r="E14" s="3" t="str">
        <f>'[11]Table 10 CWTs exp'!E14</f>
        <v xml:space="preserve">Coleman National Fish Hatchery </v>
      </c>
      <c r="F14" s="37" t="s">
        <v>175</v>
      </c>
      <c r="G14" s="151" t="str">
        <f>IF('[11]Table 10 CWTs exp'!G14/'[11]Table 10 CWTs exp'!$AA14&gt;0,'[11]Table 10 CWTs exp'!G14/'[11]Table 10 CWTs exp'!$AA14," ")</f>
        <v xml:space="preserve"> </v>
      </c>
      <c r="H14" s="145">
        <f>IF('[11]Table 10 CWTs exp'!H14/'[11]Table 10 CWTs exp'!$AA14&gt;0,'[11]Table 10 CWTs exp'!H14/'[11]Table 10 CWTs exp'!$AA14," ")</f>
        <v>0.98505065480602916</v>
      </c>
      <c r="I14" s="144" t="str">
        <f>IF('[11]Table 10 CWTs exp'!I14/'[11]Table 10 CWTs exp'!$AA14&gt;0,'[11]Table 10 CWTs exp'!I14/'[11]Table 10 CWTs exp'!$AA14," ")</f>
        <v xml:space="preserve"> </v>
      </c>
      <c r="J14" s="146" t="str">
        <f>IF('[11]Table 10 CWTs exp'!J14/'[11]Table 10 CWTs exp'!$AA14&gt;0,'[11]Table 10 CWTs exp'!J14/'[11]Table 10 CWTs exp'!$AA14," ")</f>
        <v xml:space="preserve"> </v>
      </c>
      <c r="K14" s="144" t="str">
        <f>IF('[11]Table 10 CWTs exp'!K14/'[11]Table 10 CWTs exp'!$AA14&gt;0,'[11]Table 10 CWTs exp'!K14/'[11]Table 10 CWTs exp'!$AA14," ")</f>
        <v xml:space="preserve"> </v>
      </c>
      <c r="L14" s="144" t="str">
        <f>IF('[11]Table 10 CWTs exp'!L14/'[11]Table 10 CWTs exp'!$AA14&gt;0,'[11]Table 10 CWTs exp'!L14/'[11]Table 10 CWTs exp'!$AA14," ")</f>
        <v xml:space="preserve"> </v>
      </c>
      <c r="M14" s="144" t="str">
        <f>IF('[11]Table 10 CWTs exp'!M14/'[11]Table 10 CWTs exp'!$AA14&gt;0,'[11]Table 10 CWTs exp'!M14/'[11]Table 10 CWTs exp'!$AA14," ")</f>
        <v xml:space="preserve"> </v>
      </c>
      <c r="N14" s="146" t="str">
        <f>IF('[11]Table 10 CWTs exp'!N14/'[11]Table 10 CWTs exp'!$AA14&gt;0,'[11]Table 10 CWTs exp'!N14/'[11]Table 10 CWTs exp'!$AA14," ")</f>
        <v xml:space="preserve"> </v>
      </c>
      <c r="O14" s="144" t="str">
        <f>IF('[11]Table 10 CWTs exp'!O14/'[11]Table 10 CWTs exp'!$AA14&gt;0,'[11]Table 10 CWTs exp'!O14/'[11]Table 10 CWTs exp'!$AA14," ")</f>
        <v xml:space="preserve"> </v>
      </c>
      <c r="P14" s="146" t="str">
        <f>IF('[11]Table 10 CWTs exp'!P14/'[11]Table 10 CWTs exp'!$AA14&gt;0,'[11]Table 10 CWTs exp'!P14/'[11]Table 10 CWTs exp'!$AA14," ")</f>
        <v xml:space="preserve"> </v>
      </c>
      <c r="Q14" s="144" t="str">
        <f>IF('[11]Table 10 CWTs exp'!Q14/'[11]Table 10 CWTs exp'!$AA14&gt;0,'[11]Table 10 CWTs exp'!Q14/'[11]Table 10 CWTs exp'!$AA14," ")</f>
        <v xml:space="preserve"> </v>
      </c>
      <c r="R14" s="144" t="str">
        <f>IF('[11]Table 10 CWTs exp'!R14/'[11]Table 10 CWTs exp'!$AA14&gt;0,'[11]Table 10 CWTs exp'!R14/'[11]Table 10 CWTs exp'!$AA14," ")</f>
        <v xml:space="preserve"> </v>
      </c>
      <c r="S14" s="144" t="str">
        <f>IF('[11]Table 10 CWTs exp'!S14/'[11]Table 10 CWTs exp'!$AA14&gt;0,'[11]Table 10 CWTs exp'!S14/'[11]Table 10 CWTs exp'!$AA14," ")</f>
        <v xml:space="preserve"> </v>
      </c>
      <c r="T14" s="146" t="str">
        <f>IF('[11]Table 10 CWTs exp'!T14/'[11]Table 10 CWTs exp'!$AA14&gt;0,'[11]Table 10 CWTs exp'!T14/'[11]Table 10 CWTs exp'!$AA14," ")</f>
        <v xml:space="preserve"> </v>
      </c>
      <c r="U14" s="144" t="str">
        <f>IF('[11]Table 10 CWTs exp'!U14/'[11]Table 10 CWTs exp'!$AA14&gt;0,'[11]Table 10 CWTs exp'!U14/'[11]Table 10 CWTs exp'!$AA14," ")</f>
        <v xml:space="preserve"> </v>
      </c>
      <c r="V14" s="146" t="str">
        <f>IF('[11]Table 10 CWTs exp'!V14/'[11]Table 10 CWTs exp'!$AA14&gt;0,'[11]Table 10 CWTs exp'!V14/'[11]Table 10 CWTs exp'!$AA14," ")</f>
        <v xml:space="preserve"> </v>
      </c>
      <c r="W14" s="146" t="str">
        <f>IF('[11]Table 10 CWTs exp'!W14/'[11]Table 10 CWTs exp'!$AA14&gt;0,'[11]Table 10 CWTs exp'!W14/'[11]Table 10 CWTs exp'!$AA14," ")</f>
        <v xml:space="preserve"> </v>
      </c>
      <c r="X14" s="144" t="str">
        <f>IF('[11]Table 10 CWTs exp'!X14/'[11]Table 10 CWTs exp'!$AA14&gt;0,'[11]Table 10 CWTs exp'!X14/'[11]Table 10 CWTs exp'!$AA14," ")</f>
        <v xml:space="preserve"> </v>
      </c>
      <c r="Y14" s="147">
        <f t="shared" si="0"/>
        <v>0.98505065480602916</v>
      </c>
      <c r="Z14" s="148">
        <f t="shared" si="1"/>
        <v>1.4949345193970842E-2</v>
      </c>
      <c r="AA14" s="38">
        <f>'[11]Table 10 CWTs exp'!AA14</f>
        <v>8094</v>
      </c>
      <c r="AC14" s="592">
        <f>'[11]Table 10 CWTs exp'!AD14</f>
        <v>0.98499999999999999</v>
      </c>
      <c r="AD14" s="592">
        <f t="shared" si="2"/>
        <v>5.0654806029171162E-5</v>
      </c>
      <c r="AE14" s="593" t="str">
        <f t="shared" si="3"/>
        <v>CNFH507</v>
      </c>
      <c r="AF14" s="442"/>
      <c r="AG14" s="442"/>
      <c r="AH14" s="648"/>
      <c r="AI14" s="454"/>
      <c r="AJ14" s="442"/>
      <c r="AK14" s="442"/>
    </row>
    <row r="15" spans="1:37" ht="14.5" customHeight="1" x14ac:dyDescent="0.25">
      <c r="A15" s="54" t="str">
        <f>'[11]Table 10 CWTs exp'!A15</f>
        <v>CNFW527</v>
      </c>
      <c r="B15" s="75" t="str">
        <f>'[11]Table 10 CWTs exp'!B15</f>
        <v>CNFW</v>
      </c>
      <c r="C15" s="75">
        <f>'[11]Table 10 CWTs exp'!C15</f>
        <v>52</v>
      </c>
      <c r="D15" s="75">
        <f>'[11]Table 10 CWTs exp'!D15</f>
        <v>7</v>
      </c>
      <c r="E15" s="3" t="str">
        <f>'[11]Table 10 CWTs exp'!E15</f>
        <v>Coleman Hatchery Fish Trap</v>
      </c>
      <c r="F15" s="37" t="s">
        <v>175</v>
      </c>
      <c r="G15" s="151" t="str">
        <f>IF('[11]Table 10 CWTs exp'!G15/'[11]Table 10 CWTs exp'!$AA15&gt;0,'[11]Table 10 CWTs exp'!G15/'[11]Table 10 CWTs exp'!$AA15," ")</f>
        <v xml:space="preserve"> </v>
      </c>
      <c r="H15" s="145">
        <f>IF('[11]Table 10 CWTs exp'!H15/'[11]Table 10 CWTs exp'!$AA15&gt;0,'[11]Table 10 CWTs exp'!H15/'[11]Table 10 CWTs exp'!$AA15," ")</f>
        <v>1</v>
      </c>
      <c r="I15" s="144" t="str">
        <f>IF('[11]Table 10 CWTs exp'!I15/'[11]Table 10 CWTs exp'!$AA15&gt;0,'[11]Table 10 CWTs exp'!I15/'[11]Table 10 CWTs exp'!$AA15," ")</f>
        <v xml:space="preserve"> </v>
      </c>
      <c r="J15" s="146" t="str">
        <f>IF('[11]Table 10 CWTs exp'!J15/'[11]Table 10 CWTs exp'!$AA15&gt;0,'[11]Table 10 CWTs exp'!J15/'[11]Table 10 CWTs exp'!$AA15," ")</f>
        <v xml:space="preserve"> </v>
      </c>
      <c r="K15" s="144" t="str">
        <f>IF('[11]Table 10 CWTs exp'!K15/'[11]Table 10 CWTs exp'!$AA15&gt;0,'[11]Table 10 CWTs exp'!K15/'[11]Table 10 CWTs exp'!$AA15," ")</f>
        <v xml:space="preserve"> </v>
      </c>
      <c r="L15" s="144" t="str">
        <f>IF('[11]Table 10 CWTs exp'!L15/'[11]Table 10 CWTs exp'!$AA15&gt;0,'[11]Table 10 CWTs exp'!L15/'[11]Table 10 CWTs exp'!$AA15," ")</f>
        <v xml:space="preserve"> </v>
      </c>
      <c r="M15" s="144" t="str">
        <f>IF('[11]Table 10 CWTs exp'!M15/'[11]Table 10 CWTs exp'!$AA15&gt;0,'[11]Table 10 CWTs exp'!M15/'[11]Table 10 CWTs exp'!$AA15," ")</f>
        <v xml:space="preserve"> </v>
      </c>
      <c r="N15" s="146" t="str">
        <f>IF('[11]Table 10 CWTs exp'!N15/'[11]Table 10 CWTs exp'!$AA15&gt;0,'[11]Table 10 CWTs exp'!N15/'[11]Table 10 CWTs exp'!$AA15," ")</f>
        <v xml:space="preserve"> </v>
      </c>
      <c r="O15" s="144" t="str">
        <f>IF('[11]Table 10 CWTs exp'!O15/'[11]Table 10 CWTs exp'!$AA15&gt;0,'[11]Table 10 CWTs exp'!O15/'[11]Table 10 CWTs exp'!$AA15," ")</f>
        <v xml:space="preserve"> </v>
      </c>
      <c r="P15" s="146" t="str">
        <f>IF('[11]Table 10 CWTs exp'!P15/'[11]Table 10 CWTs exp'!$AA15&gt;0,'[11]Table 10 CWTs exp'!P15/'[11]Table 10 CWTs exp'!$AA15," ")</f>
        <v xml:space="preserve"> </v>
      </c>
      <c r="Q15" s="144" t="str">
        <f>IF('[11]Table 10 CWTs exp'!Q15/'[11]Table 10 CWTs exp'!$AA15&gt;0,'[11]Table 10 CWTs exp'!Q15/'[11]Table 10 CWTs exp'!$AA15," ")</f>
        <v xml:space="preserve"> </v>
      </c>
      <c r="R15" s="144" t="str">
        <f>IF('[11]Table 10 CWTs exp'!R15/'[11]Table 10 CWTs exp'!$AA15&gt;0,'[11]Table 10 CWTs exp'!R15/'[11]Table 10 CWTs exp'!$AA15," ")</f>
        <v xml:space="preserve"> </v>
      </c>
      <c r="S15" s="144" t="str">
        <f>IF('[11]Table 10 CWTs exp'!S15/'[11]Table 10 CWTs exp'!$AA15&gt;0,'[11]Table 10 CWTs exp'!S15/'[11]Table 10 CWTs exp'!$AA15," ")</f>
        <v xml:space="preserve"> </v>
      </c>
      <c r="T15" s="146" t="str">
        <f>IF('[11]Table 10 CWTs exp'!T15/'[11]Table 10 CWTs exp'!$AA15&gt;0,'[11]Table 10 CWTs exp'!T15/'[11]Table 10 CWTs exp'!$AA15," ")</f>
        <v xml:space="preserve"> </v>
      </c>
      <c r="U15" s="144" t="str">
        <f>IF('[11]Table 10 CWTs exp'!U15/'[11]Table 10 CWTs exp'!$AA15&gt;0,'[11]Table 10 CWTs exp'!U15/'[11]Table 10 CWTs exp'!$AA15," ")</f>
        <v xml:space="preserve"> </v>
      </c>
      <c r="V15" s="146" t="str">
        <f>IF('[11]Table 10 CWTs exp'!V15/'[11]Table 10 CWTs exp'!$AA15&gt;0,'[11]Table 10 CWTs exp'!V15/'[11]Table 10 CWTs exp'!$AA15," ")</f>
        <v xml:space="preserve"> </v>
      </c>
      <c r="W15" s="146" t="str">
        <f>IF('[11]Table 10 CWTs exp'!W15/'[11]Table 10 CWTs exp'!$AA15&gt;0,'[11]Table 10 CWTs exp'!W15/'[11]Table 10 CWTs exp'!$AA15," ")</f>
        <v xml:space="preserve"> </v>
      </c>
      <c r="X15" s="144" t="str">
        <f>IF('[11]Table 10 CWTs exp'!X15/'[11]Table 10 CWTs exp'!$AA15&gt;0,'[11]Table 10 CWTs exp'!X15/'[11]Table 10 CWTs exp'!$AA15," ")</f>
        <v xml:space="preserve"> </v>
      </c>
      <c r="Y15" s="147">
        <f t="shared" si="0"/>
        <v>1</v>
      </c>
      <c r="Z15" s="148">
        <f t="shared" si="1"/>
        <v>0</v>
      </c>
      <c r="AA15" s="38">
        <f>'[11]Table 10 CWTs exp'!AA15</f>
        <v>83</v>
      </c>
      <c r="AC15" s="592">
        <f>'[11]Table 10 CWTs exp'!AD15</f>
        <v>1</v>
      </c>
      <c r="AD15" s="592">
        <f t="shared" si="2"/>
        <v>0</v>
      </c>
      <c r="AE15" s="593" t="str">
        <f t="shared" si="3"/>
        <v>CNFW527</v>
      </c>
      <c r="AF15" s="442"/>
      <c r="AG15" s="442"/>
      <c r="AH15" s="648"/>
      <c r="AI15" s="454"/>
      <c r="AJ15" s="442"/>
      <c r="AK15" s="442"/>
    </row>
    <row r="16" spans="1:37" ht="14.5" customHeight="1" x14ac:dyDescent="0.25">
      <c r="A16" s="50" t="s">
        <v>134</v>
      </c>
      <c r="B16" s="75" t="str">
        <f>'[11]Table 10 CWTs exp'!B16</f>
        <v>KESW</v>
      </c>
      <c r="C16" s="75">
        <f>'[11]Table 10 CWTs exp'!C16</f>
        <v>50</v>
      </c>
      <c r="D16" s="75">
        <f>'[11]Table 10 CWTs exp'!D16</f>
        <v>7</v>
      </c>
      <c r="E16" s="3" t="str">
        <f>'[11]Table 10 CWTs exp'!E16</f>
        <v>Keswick Dam Fish Trap</v>
      </c>
      <c r="F16" s="37" t="s">
        <v>175</v>
      </c>
      <c r="G16" s="151" t="str">
        <f>IF('[11]Table 10 CWTs exp'!G16/'[11]Table 10 CWTs exp'!$AA16&gt;0,'[11]Table 10 CWTs exp'!G16/'[11]Table 10 CWTs exp'!$AA16," ")</f>
        <v xml:space="preserve"> </v>
      </c>
      <c r="H16" s="145">
        <f>IF('[11]Table 10 CWTs exp'!H16/'[11]Table 10 CWTs exp'!$AA16&gt;0,'[11]Table 10 CWTs exp'!H16/'[11]Table 10 CWTs exp'!$AA16," ")</f>
        <v>0.15384615384615385</v>
      </c>
      <c r="I16" s="144" t="str">
        <f>IF('[11]Table 10 CWTs exp'!I16/'[11]Table 10 CWTs exp'!$AA16&gt;0,'[11]Table 10 CWTs exp'!I16/'[11]Table 10 CWTs exp'!$AA16," ")</f>
        <v xml:space="preserve"> </v>
      </c>
      <c r="J16" s="146" t="str">
        <f>IF('[11]Table 10 CWTs exp'!J16/'[11]Table 10 CWTs exp'!$AA16&gt;0,'[11]Table 10 CWTs exp'!J16/'[11]Table 10 CWTs exp'!$AA16," ")</f>
        <v xml:space="preserve"> </v>
      </c>
      <c r="K16" s="144" t="str">
        <f>IF('[11]Table 10 CWTs exp'!K16/'[11]Table 10 CWTs exp'!$AA16&gt;0,'[11]Table 10 CWTs exp'!K16/'[11]Table 10 CWTs exp'!$AA16," ")</f>
        <v xml:space="preserve"> </v>
      </c>
      <c r="L16" s="144" t="str">
        <f>IF('[11]Table 10 CWTs exp'!L16/'[11]Table 10 CWTs exp'!$AA16&gt;0,'[11]Table 10 CWTs exp'!L16/'[11]Table 10 CWTs exp'!$AA16," ")</f>
        <v xml:space="preserve"> </v>
      </c>
      <c r="M16" s="144" t="str">
        <f>IF('[11]Table 10 CWTs exp'!M16/'[11]Table 10 CWTs exp'!$AA16&gt;0,'[11]Table 10 CWTs exp'!M16/'[11]Table 10 CWTs exp'!$AA16," ")</f>
        <v xml:space="preserve"> </v>
      </c>
      <c r="N16" s="146" t="str">
        <f>IF('[11]Table 10 CWTs exp'!N16/'[11]Table 10 CWTs exp'!$AA16&gt;0,'[11]Table 10 CWTs exp'!N16/'[11]Table 10 CWTs exp'!$AA16," ")</f>
        <v xml:space="preserve"> </v>
      </c>
      <c r="O16" s="144" t="str">
        <f>IF('[11]Table 10 CWTs exp'!O16/'[11]Table 10 CWTs exp'!$AA16&gt;0,'[11]Table 10 CWTs exp'!O16/'[11]Table 10 CWTs exp'!$AA16," ")</f>
        <v xml:space="preserve"> </v>
      </c>
      <c r="P16" s="146" t="str">
        <f>IF('[11]Table 10 CWTs exp'!P16/'[11]Table 10 CWTs exp'!$AA16&gt;0,'[11]Table 10 CWTs exp'!P16/'[11]Table 10 CWTs exp'!$AA16," ")</f>
        <v xml:space="preserve"> </v>
      </c>
      <c r="Q16" s="144" t="str">
        <f>IF('[11]Table 10 CWTs exp'!Q16/'[11]Table 10 CWTs exp'!$AA16&gt;0,'[11]Table 10 CWTs exp'!Q16/'[11]Table 10 CWTs exp'!$AA16," ")</f>
        <v xml:space="preserve"> </v>
      </c>
      <c r="R16" s="144" t="str">
        <f>IF('[11]Table 10 CWTs exp'!R16/'[11]Table 10 CWTs exp'!$AA16&gt;0,'[11]Table 10 CWTs exp'!R16/'[11]Table 10 CWTs exp'!$AA16," ")</f>
        <v xml:space="preserve"> </v>
      </c>
      <c r="S16" s="144" t="str">
        <f>IF('[11]Table 10 CWTs exp'!S16/'[11]Table 10 CWTs exp'!$AA16&gt;0,'[11]Table 10 CWTs exp'!S16/'[11]Table 10 CWTs exp'!$AA16," ")</f>
        <v xml:space="preserve"> </v>
      </c>
      <c r="T16" s="146" t="str">
        <f>IF('[11]Table 10 CWTs exp'!T16/'[11]Table 10 CWTs exp'!$AA16&gt;0,'[11]Table 10 CWTs exp'!T16/'[11]Table 10 CWTs exp'!$AA16," ")</f>
        <v xml:space="preserve"> </v>
      </c>
      <c r="U16" s="144" t="str">
        <f>IF('[11]Table 10 CWTs exp'!U16/'[11]Table 10 CWTs exp'!$AA16&gt;0,'[11]Table 10 CWTs exp'!U16/'[11]Table 10 CWTs exp'!$AA16," ")</f>
        <v xml:space="preserve"> </v>
      </c>
      <c r="V16" s="146" t="str">
        <f>IF('[11]Table 10 CWTs exp'!V16/'[11]Table 10 CWTs exp'!$AA16&gt;0,'[11]Table 10 CWTs exp'!V16/'[11]Table 10 CWTs exp'!$AA16," ")</f>
        <v xml:space="preserve"> </v>
      </c>
      <c r="W16" s="146" t="str">
        <f>IF('[11]Table 10 CWTs exp'!W16/'[11]Table 10 CWTs exp'!$AA16&gt;0,'[11]Table 10 CWTs exp'!W16/'[11]Table 10 CWTs exp'!$AA16," ")</f>
        <v xml:space="preserve"> </v>
      </c>
      <c r="X16" s="144" t="str">
        <f>IF('[11]Table 10 CWTs exp'!X16/'[11]Table 10 CWTs exp'!$AA16&gt;0,'[11]Table 10 CWTs exp'!X16/'[11]Table 10 CWTs exp'!$AA16," ")</f>
        <v xml:space="preserve"> </v>
      </c>
      <c r="Y16" s="147">
        <f t="shared" si="0"/>
        <v>0.15384615384615385</v>
      </c>
      <c r="Z16" s="148">
        <f t="shared" si="1"/>
        <v>0.84615384615384615</v>
      </c>
      <c r="AA16" s="38">
        <f>'[11]Table 10 CWTs exp'!AA16</f>
        <v>13</v>
      </c>
      <c r="AC16" s="592"/>
      <c r="AD16" s="592"/>
      <c r="AE16" s="593"/>
      <c r="AF16" s="442"/>
      <c r="AG16" s="442"/>
      <c r="AH16" s="648"/>
      <c r="AI16" s="454"/>
      <c r="AJ16" s="442"/>
      <c r="AK16" s="442"/>
    </row>
    <row r="17" spans="1:37" ht="14.15" customHeight="1" x14ac:dyDescent="0.25">
      <c r="A17" s="5"/>
      <c r="E17" s="723" t="s">
        <v>135</v>
      </c>
      <c r="F17" s="723"/>
      <c r="G17" s="195" t="str">
        <f>IF('[11]Table 10 CWTs exp'!G17/'[11]Table 10 CWTs exp'!$AA17&gt;0,'[11]Table 10 CWTs exp'!G17/'[11]Table 10 CWTs exp'!$AA17," ")</f>
        <v xml:space="preserve"> </v>
      </c>
      <c r="H17" s="196">
        <f>IF('[11]Table 10 CWTs exp'!H17/'[11]Table 10 CWTs exp'!$AA17&gt;0,'[11]Table 10 CWTs exp'!H17/'[11]Table 10 CWTs exp'!$AA17," ")</f>
        <v>4.5542924206064218E-4</v>
      </c>
      <c r="I17" s="195">
        <f>IF('[11]Table 10 CWTs exp'!I17/'[11]Table 10 CWTs exp'!$AA17&gt;0,'[11]Table 10 CWTs exp'!I17/'[11]Table 10 CWTs exp'!$AA17," ")</f>
        <v>0.21448965650125243</v>
      </c>
      <c r="J17" s="197">
        <f>IF('[11]Table 10 CWTs exp'!J17/'[11]Table 10 CWTs exp'!$AA17&gt;0,'[11]Table 10 CWTs exp'!J17/'[11]Table 10 CWTs exp'!$AA17," ")</f>
        <v>1.401320744801976E-4</v>
      </c>
      <c r="K17" s="195">
        <f>IF('[11]Table 10 CWTs exp'!K17/'[11]Table 10 CWTs exp'!$AA17&gt;0,'[11]Table 10 CWTs exp'!K17/'[11]Table 10 CWTs exp'!$AA17," ")</f>
        <v>2.6047049344006725E-2</v>
      </c>
      <c r="L17" s="195">
        <f>IF('[11]Table 10 CWTs exp'!L17/'[11]Table 10 CWTs exp'!$AA17&gt;0,'[11]Table 10 CWTs exp'!L17/'[11]Table 10 CWTs exp'!$AA17," ")</f>
        <v>1.4818966876280894E-2</v>
      </c>
      <c r="M17" s="195">
        <f>IF('[11]Table 10 CWTs exp'!M17/'[11]Table 10 CWTs exp'!$AA17&gt;0,'[11]Table 10 CWTs exp'!M17/'[11]Table 10 CWTs exp'!$AA17," ")</f>
        <v>0.34223755889926255</v>
      </c>
      <c r="N17" s="197">
        <f>IF('[11]Table 10 CWTs exp'!N17/'[11]Table 10 CWTs exp'!$AA17&gt;0,'[11]Table 10 CWTs exp'!N17/'[11]Table 10 CWTs exp'!$AA17," ")</f>
        <v>4.0130322829266582E-2</v>
      </c>
      <c r="O17" s="195">
        <f>IF('[11]Table 10 CWTs exp'!O17/'[11]Table 10 CWTs exp'!$AA17&gt;0,'[11]Table 10 CWTs exp'!O17/'[11]Table 10 CWTs exp'!$AA17," ")</f>
        <v>1.543204470213176E-2</v>
      </c>
      <c r="P17" s="197">
        <f>IF('[11]Table 10 CWTs exp'!P17/'[11]Table 10 CWTs exp'!$AA17&gt;0,'[11]Table 10 CWTs exp'!P17/'[11]Table 10 CWTs exp'!$AA17," ")</f>
        <v>4.5385275622273992E-2</v>
      </c>
      <c r="Q17" s="195">
        <f>IF('[11]Table 10 CWTs exp'!Q17/'[11]Table 10 CWTs exp'!$AA17&gt;0,'[11]Table 10 CWTs exp'!Q17/'[11]Table 10 CWTs exp'!$AA17," ")</f>
        <v>2.4698278127134824E-3</v>
      </c>
      <c r="R17" s="195">
        <f>IF('[11]Table 10 CWTs exp'!R17/'[11]Table 10 CWTs exp'!$AA17&gt;0,'[11]Table 10 CWTs exp'!R17/'[11]Table 10 CWTs exp'!$AA17," ")</f>
        <v>0.14123561456672915</v>
      </c>
      <c r="S17" s="195">
        <f>IF('[11]Table 10 CWTs exp'!S17/'[11]Table 10 CWTs exp'!$AA17&gt;0,'[11]Table 10 CWTs exp'!S17/'[11]Table 10 CWTs exp'!$AA17," ")</f>
        <v>1.1876193312196746E-2</v>
      </c>
      <c r="T17" s="197">
        <f>IF('[11]Table 10 CWTs exp'!T17/'[11]Table 10 CWTs exp'!$AA17&gt;0,'[11]Table 10 CWTs exp'!T17/'[11]Table 10 CWTs exp'!$AA17," ")</f>
        <v>1.0457356058084745E-2</v>
      </c>
      <c r="U17" s="195">
        <f>IF('[11]Table 10 CWTs exp'!U17/'[11]Table 10 CWTs exp'!$AA17&gt;0,'[11]Table 10 CWTs exp'!U17/'[11]Table 10 CWTs exp'!$AA17," ")</f>
        <v>3.7660495016553102E-3</v>
      </c>
      <c r="V17" s="197">
        <f>IF('[11]Table 10 CWTs exp'!V17/'[11]Table 10 CWTs exp'!$AA17&gt;0,'[11]Table 10 CWTs exp'!V17/'[11]Table 10 CWTs exp'!$AA17," ")</f>
        <v>3.8010825202753596E-3</v>
      </c>
      <c r="W17" s="197">
        <f>IF('[11]Table 10 CWTs exp'!W17/'[11]Table 10 CWTs exp'!$AA17&gt;0,'[11]Table 10 CWTs exp'!W17/'[11]Table 10 CWTs exp'!$AA17," ")</f>
        <v>5.0797876999071623E-4</v>
      </c>
      <c r="X17" s="195">
        <f>IF('[11]Table 10 CWTs exp'!X17/'[11]Table 10 CWTs exp'!$AA17&gt;0,'[11]Table 10 CWTs exp'!X17/'[11]Table 10 CWTs exp'!$AA17," ")</f>
        <v>1.401320744801976E-4</v>
      </c>
      <c r="Y17" s="198">
        <f t="shared" si="0"/>
        <v>0.87339067070714127</v>
      </c>
      <c r="Z17" s="199">
        <f>IF('[11]Table 10 CWTs exp'!Z17&gt;0,'[11]Table 10 CWTs exp'!Z17/'[11]Table 10 CWTs exp'!$AA17," ")</f>
        <v>0.12660932929285851</v>
      </c>
      <c r="AA17" s="59">
        <f>'[11]Table 10 CWTs exp'!AA17</f>
        <v>57089</v>
      </c>
      <c r="AB17" s="47"/>
      <c r="AC17" s="592">
        <f>'[11]Table 10 CWTs exp'!AD17</f>
        <v>0.87339067070714149</v>
      </c>
      <c r="AD17" s="592">
        <f t="shared" si="2"/>
        <v>0</v>
      </c>
      <c r="AE17" s="593"/>
      <c r="AF17" s="594"/>
      <c r="AG17" s="442"/>
      <c r="AH17" s="648"/>
      <c r="AI17" s="454"/>
      <c r="AJ17" s="442"/>
      <c r="AK17" s="442"/>
    </row>
    <row r="18" spans="1:37" ht="14.15" customHeight="1" x14ac:dyDescent="0.3">
      <c r="A18" s="5"/>
      <c r="E18" s="26" t="s">
        <v>63</v>
      </c>
      <c r="F18"/>
      <c r="G18" s="151"/>
      <c r="H18" s="157"/>
      <c r="I18" s="151"/>
      <c r="J18" s="158"/>
      <c r="K18" s="151"/>
      <c r="L18" s="151"/>
      <c r="M18" s="151"/>
      <c r="N18" s="158"/>
      <c r="O18" s="151"/>
      <c r="P18" s="158"/>
      <c r="Q18" s="151"/>
      <c r="R18" s="151"/>
      <c r="S18" s="151"/>
      <c r="T18" s="158"/>
      <c r="U18" s="151"/>
      <c r="V18" s="158"/>
      <c r="W18" s="158"/>
      <c r="X18" s="144"/>
      <c r="Y18" s="147"/>
      <c r="Z18" s="148"/>
      <c r="AA18" s="38"/>
      <c r="AC18" s="592"/>
      <c r="AD18" s="592"/>
      <c r="AE18" s="593"/>
      <c r="AF18" s="442"/>
      <c r="AG18" s="442"/>
      <c r="AH18" s="648"/>
      <c r="AI18" s="454"/>
      <c r="AJ18" s="442"/>
      <c r="AK18" s="442"/>
    </row>
    <row r="19" spans="1:37" ht="14.5" customHeight="1" x14ac:dyDescent="0.25">
      <c r="A19" s="54" t="str">
        <f>'[11]Table 10 CWTs exp'!A19</f>
        <v>USAC544</v>
      </c>
      <c r="B19" s="75" t="str">
        <f>'[11]Table 10 CWTs exp'!B19</f>
        <v>USAC</v>
      </c>
      <c r="C19" s="75">
        <f>'[11]Table 10 CWTs exp'!C19</f>
        <v>54</v>
      </c>
      <c r="D19" s="75">
        <f>'[11]Table 10 CWTs exp'!D19</f>
        <v>4</v>
      </c>
      <c r="E19" t="str">
        <f>'[11]Table 10 CWTs exp'!E19</f>
        <v>Upper Sacramento River</v>
      </c>
      <c r="F19" s="37" t="str">
        <f>'[11]Table 10 CWTs exp'!F19</f>
        <v>Winter</v>
      </c>
      <c r="G19" s="144">
        <f>IF('[11]Table 10 CWTs exp'!G19/'[11]Table 10 CWTs exp'!$AA19&gt;0,'[11]Table 10 CWTs exp'!G19/'[11]Table 10 CWTs exp'!$AA19," ")</f>
        <v>0.81611065907241664</v>
      </c>
      <c r="H19" s="145" t="str">
        <f>IF('[11]Table 10 CWTs exp'!H19/'[11]Table 10 CWTs exp'!$AA19&gt;0,'[11]Table 10 CWTs exp'!H19/'[11]Table 10 CWTs exp'!$AA19," ")</f>
        <v xml:space="preserve"> </v>
      </c>
      <c r="I19" s="144" t="str">
        <f>IF('[11]Table 10 CWTs exp'!I19/'[11]Table 10 CWTs exp'!$AA19&gt;0,'[11]Table 10 CWTs exp'!I19/'[11]Table 10 CWTs exp'!$AA19," ")</f>
        <v xml:space="preserve"> </v>
      </c>
      <c r="J19" s="146" t="str">
        <f>IF('[11]Table 10 CWTs exp'!J19/'[11]Table 10 CWTs exp'!$AA19&gt;0,'[11]Table 10 CWTs exp'!J19/'[11]Table 10 CWTs exp'!$AA19," ")</f>
        <v xml:space="preserve"> </v>
      </c>
      <c r="K19" s="144" t="str">
        <f>IF('[11]Table 10 CWTs exp'!K19/'[11]Table 10 CWTs exp'!$AA19&gt;0,'[11]Table 10 CWTs exp'!K19/'[11]Table 10 CWTs exp'!$AA19," ")</f>
        <v xml:space="preserve"> </v>
      </c>
      <c r="L19" s="144" t="str">
        <f>IF('[11]Table 10 CWTs exp'!L19/'[11]Table 10 CWTs exp'!$AA19&gt;0,'[11]Table 10 CWTs exp'!L19/'[11]Table 10 CWTs exp'!$AA19," ")</f>
        <v xml:space="preserve"> </v>
      </c>
      <c r="M19" s="144" t="str">
        <f>IF('[11]Table 10 CWTs exp'!M19/'[11]Table 10 CWTs exp'!$AA19&gt;0,'[11]Table 10 CWTs exp'!M19/'[11]Table 10 CWTs exp'!$AA19," ")</f>
        <v xml:space="preserve"> </v>
      </c>
      <c r="N19" s="146" t="str">
        <f>IF('[11]Table 10 CWTs exp'!N19/'[11]Table 10 CWTs exp'!$AA19&gt;0,'[11]Table 10 CWTs exp'!N19/'[11]Table 10 CWTs exp'!$AA19," ")</f>
        <v xml:space="preserve"> </v>
      </c>
      <c r="O19" s="144" t="str">
        <f>IF('[11]Table 10 CWTs exp'!O19/'[11]Table 10 CWTs exp'!$AA19&gt;0,'[11]Table 10 CWTs exp'!O19/'[11]Table 10 CWTs exp'!$AA19," ")</f>
        <v xml:space="preserve"> </v>
      </c>
      <c r="P19" s="146" t="str">
        <f>IF('[11]Table 10 CWTs exp'!P19/'[11]Table 10 CWTs exp'!$AA19&gt;0,'[11]Table 10 CWTs exp'!P19/'[11]Table 10 CWTs exp'!$AA19," ")</f>
        <v xml:space="preserve"> </v>
      </c>
      <c r="Q19" s="144" t="str">
        <f>IF('[11]Table 10 CWTs exp'!Q19/'[11]Table 10 CWTs exp'!$AA19&gt;0,'[11]Table 10 CWTs exp'!Q19/'[11]Table 10 CWTs exp'!$AA19," ")</f>
        <v xml:space="preserve"> </v>
      </c>
      <c r="R19" s="144" t="str">
        <f>IF('[11]Table 10 CWTs exp'!R19/'[11]Table 10 CWTs exp'!$AA19&gt;0,'[11]Table 10 CWTs exp'!R19/'[11]Table 10 CWTs exp'!$AA19," ")</f>
        <v xml:space="preserve"> </v>
      </c>
      <c r="S19" s="144" t="str">
        <f>IF('[11]Table 10 CWTs exp'!S19/'[11]Table 10 CWTs exp'!$AA19&gt;0,'[11]Table 10 CWTs exp'!S19/'[11]Table 10 CWTs exp'!$AA19," ")</f>
        <v xml:space="preserve"> </v>
      </c>
      <c r="T19" s="146" t="str">
        <f>IF('[11]Table 10 CWTs exp'!T19/'[11]Table 10 CWTs exp'!$AA19&gt;0,'[11]Table 10 CWTs exp'!T19/'[11]Table 10 CWTs exp'!$AA19," ")</f>
        <v xml:space="preserve"> </v>
      </c>
      <c r="U19" s="144" t="str">
        <f>IF('[11]Table 10 CWTs exp'!U19/'[11]Table 10 CWTs exp'!$AA19&gt;0,'[11]Table 10 CWTs exp'!U19/'[11]Table 10 CWTs exp'!$AA19," ")</f>
        <v xml:space="preserve"> </v>
      </c>
      <c r="V19" s="146" t="str">
        <f>IF('[11]Table 10 CWTs exp'!V19/'[11]Table 10 CWTs exp'!$AA19&gt;0,'[11]Table 10 CWTs exp'!V19/'[11]Table 10 CWTs exp'!$AA19," ")</f>
        <v xml:space="preserve"> </v>
      </c>
      <c r="W19" s="146" t="str">
        <f>IF('[11]Table 10 CWTs exp'!W19/'[11]Table 10 CWTs exp'!$AA19&gt;0,'[11]Table 10 CWTs exp'!W19/'[11]Table 10 CWTs exp'!$AA19," ")</f>
        <v xml:space="preserve"> </v>
      </c>
      <c r="X19" s="144" t="str">
        <f>IF('[11]Table 10 CWTs exp'!X19/'[11]Table 10 CWTs exp'!$AA19&gt;0,'[11]Table 10 CWTs exp'!X19/'[11]Table 10 CWTs exp'!$AA19," ")</f>
        <v xml:space="preserve"> </v>
      </c>
      <c r="Y19" s="147">
        <f t="shared" si="0"/>
        <v>0.81611065907241664</v>
      </c>
      <c r="Z19" s="148">
        <f t="shared" ref="Z19:Z39" si="4">1-Y19</f>
        <v>0.18388934092758336</v>
      </c>
      <c r="AA19" s="38">
        <f>'[11]Table 10 CWTs exp'!AA19</f>
        <v>2458</v>
      </c>
      <c r="AC19" s="592">
        <f>'[11]Table 10 CWTs exp'!AD19</f>
        <v>0.81599999999999995</v>
      </c>
      <c r="AD19" s="592">
        <f t="shared" si="2"/>
        <v>1.106590724166967E-4</v>
      </c>
      <c r="AE19" s="593" t="str">
        <f t="shared" si="3"/>
        <v>USAC544</v>
      </c>
      <c r="AF19" s="442"/>
      <c r="AG19" s="442"/>
      <c r="AH19" s="648"/>
      <c r="AI19" s="454"/>
      <c r="AJ19" s="442"/>
      <c r="AK19" s="442"/>
    </row>
    <row r="20" spans="1:37" ht="14.25" customHeight="1" x14ac:dyDescent="0.25">
      <c r="A20" s="54" t="str">
        <f>'[11]Table 10 CWTs exp'!A20</f>
        <v>BUTT541</v>
      </c>
      <c r="B20" s="75" t="str">
        <f>'[11]Table 10 CWTs exp'!B20</f>
        <v>BUTT</v>
      </c>
      <c r="C20" s="75">
        <f>'[11]Table 10 CWTs exp'!C20</f>
        <v>54</v>
      </c>
      <c r="D20" s="75">
        <f>'[11]Table 10 CWTs exp'!D20</f>
        <v>1</v>
      </c>
      <c r="E20" t="str">
        <f>'[11]Table 10 CWTs exp'!E20</f>
        <v>Butte Creek</v>
      </c>
      <c r="F20" s="37" t="str">
        <f>'[11]Table 10 CWTs exp'!F20</f>
        <v>Spring</v>
      </c>
      <c r="G20" s="144" t="str">
        <f>IF('[11]Table 10 CWTs exp'!G20/'[11]Table 10 CWTs exp'!$AA20&gt;0,'[11]Table 10 CWTs exp'!G20/'[11]Table 10 CWTs exp'!$AA20," ")</f>
        <v xml:space="preserve"> </v>
      </c>
      <c r="H20" s="145" t="str">
        <f>IF('[11]Table 10 CWTs exp'!H20/'[11]Table 10 CWTs exp'!$AA20&gt;0,'[11]Table 10 CWTs exp'!H20/'[11]Table 10 CWTs exp'!$AA20," ")</f>
        <v xml:space="preserve"> </v>
      </c>
      <c r="I20" s="144" t="str">
        <f>IF('[11]Table 10 CWTs exp'!I20/'[11]Table 10 CWTs exp'!$AA20&gt;0,'[11]Table 10 CWTs exp'!I20/'[11]Table 10 CWTs exp'!$AA20," ")</f>
        <v xml:space="preserve"> </v>
      </c>
      <c r="J20" s="146" t="str">
        <f>IF('[11]Table 10 CWTs exp'!J20/'[11]Table 10 CWTs exp'!$AA20&gt;0,'[11]Table 10 CWTs exp'!J20/'[11]Table 10 CWTs exp'!$AA20," ")</f>
        <v xml:space="preserve"> </v>
      </c>
      <c r="K20" s="144" t="str">
        <f>IF('[11]Table 10 CWTs exp'!K20/'[11]Table 10 CWTs exp'!$AA20&gt;0,'[11]Table 10 CWTs exp'!K20/'[11]Table 10 CWTs exp'!$AA20," ")</f>
        <v xml:space="preserve"> </v>
      </c>
      <c r="L20" s="144" t="str">
        <f>IF('[11]Table 10 CWTs exp'!L20/'[11]Table 10 CWTs exp'!$AA20&gt;0,'[11]Table 10 CWTs exp'!L20/'[11]Table 10 CWTs exp'!$AA20," ")</f>
        <v xml:space="preserve"> </v>
      </c>
      <c r="M20" s="144" t="str">
        <f>IF('[11]Table 10 CWTs exp'!M20/'[11]Table 10 CWTs exp'!$AA20&gt;0,'[11]Table 10 CWTs exp'!M20/'[11]Table 10 CWTs exp'!$AA20," ")</f>
        <v xml:space="preserve"> </v>
      </c>
      <c r="N20" s="146" t="str">
        <f>IF('[11]Table 10 CWTs exp'!N20/'[11]Table 10 CWTs exp'!$AA20&gt;0,'[11]Table 10 CWTs exp'!N20/'[11]Table 10 CWTs exp'!$AA20," ")</f>
        <v xml:space="preserve"> </v>
      </c>
      <c r="O20" s="144" t="str">
        <f>IF('[11]Table 10 CWTs exp'!O20/'[11]Table 10 CWTs exp'!$AA20&gt;0,'[11]Table 10 CWTs exp'!O20/'[11]Table 10 CWTs exp'!$AA20," ")</f>
        <v xml:space="preserve"> </v>
      </c>
      <c r="P20" s="146" t="str">
        <f>IF('[11]Table 10 CWTs exp'!P20/'[11]Table 10 CWTs exp'!$AA20&gt;0,'[11]Table 10 CWTs exp'!P20/'[11]Table 10 CWTs exp'!$AA20," ")</f>
        <v xml:space="preserve"> </v>
      </c>
      <c r="Q20" s="144" t="str">
        <f>IF('[11]Table 10 CWTs exp'!Q20/'[11]Table 10 CWTs exp'!$AA20&gt;0,'[11]Table 10 CWTs exp'!Q20/'[11]Table 10 CWTs exp'!$AA20," ")</f>
        <v xml:space="preserve"> </v>
      </c>
      <c r="R20" s="144" t="str">
        <f>IF('[11]Table 10 CWTs exp'!R20/'[11]Table 10 CWTs exp'!$AA20&gt;0,'[11]Table 10 CWTs exp'!R20/'[11]Table 10 CWTs exp'!$AA20," ")</f>
        <v xml:space="preserve"> </v>
      </c>
      <c r="S20" s="144" t="str">
        <f>IF('[11]Table 10 CWTs exp'!S20/'[11]Table 10 CWTs exp'!$AA20&gt;0,'[11]Table 10 CWTs exp'!S20/'[11]Table 10 CWTs exp'!$AA20," ")</f>
        <v xml:space="preserve"> </v>
      </c>
      <c r="T20" s="146" t="str">
        <f>IF('[11]Table 10 CWTs exp'!T20/'[11]Table 10 CWTs exp'!$AA20&gt;0,'[11]Table 10 CWTs exp'!T20/'[11]Table 10 CWTs exp'!$AA20," ")</f>
        <v xml:space="preserve"> </v>
      </c>
      <c r="U20" s="144" t="str">
        <f>IF('[11]Table 10 CWTs exp'!U20/'[11]Table 10 CWTs exp'!$AA20&gt;0,'[11]Table 10 CWTs exp'!U20/'[11]Table 10 CWTs exp'!$AA20," ")</f>
        <v xml:space="preserve"> </v>
      </c>
      <c r="V20" s="146" t="str">
        <f>IF('[11]Table 10 CWTs exp'!V20/'[11]Table 10 CWTs exp'!$AA20&gt;0,'[11]Table 10 CWTs exp'!V20/'[11]Table 10 CWTs exp'!$AA20," ")</f>
        <v xml:space="preserve"> </v>
      </c>
      <c r="W20" s="146" t="str">
        <f>IF('[11]Table 10 CWTs exp'!W20/'[11]Table 10 CWTs exp'!$AA20&gt;0,'[11]Table 10 CWTs exp'!W20/'[11]Table 10 CWTs exp'!$AA20," ")</f>
        <v xml:space="preserve"> </v>
      </c>
      <c r="X20" s="144" t="str">
        <f>IF('[11]Table 10 CWTs exp'!X20/'[11]Table 10 CWTs exp'!$AA20&gt;0,'[11]Table 10 CWTs exp'!X20/'[11]Table 10 CWTs exp'!$AA20," ")</f>
        <v xml:space="preserve"> </v>
      </c>
      <c r="Y20" s="147">
        <f t="shared" si="0"/>
        <v>0</v>
      </c>
      <c r="Z20" s="148">
        <f t="shared" si="4"/>
        <v>1</v>
      </c>
      <c r="AA20" s="38">
        <f>'[11]Table 10 CWTs exp'!AA20</f>
        <v>2362</v>
      </c>
      <c r="AC20" s="592">
        <f>'[11]Table 10 CWTs exp'!AD20</f>
        <v>0</v>
      </c>
      <c r="AD20" s="592">
        <f t="shared" si="2"/>
        <v>0</v>
      </c>
      <c r="AE20" s="593" t="str">
        <f t="shared" si="3"/>
        <v>BUTT541</v>
      </c>
      <c r="AF20" s="442"/>
      <c r="AG20" s="442"/>
      <c r="AH20" s="648"/>
      <c r="AI20" s="454"/>
      <c r="AJ20" s="442"/>
      <c r="AK20" s="442"/>
    </row>
    <row r="21" spans="1:37" ht="14.5" customHeight="1" x14ac:dyDescent="0.25">
      <c r="A21" s="54" t="str">
        <f>'[11]Table 10 CWTs exp'!A21</f>
        <v>USAC543</v>
      </c>
      <c r="B21" s="75" t="str">
        <f>'[11]Table 10 CWTs exp'!B21</f>
        <v>USAC</v>
      </c>
      <c r="C21" s="75">
        <f>'[11]Table 10 CWTs exp'!C21</f>
        <v>54</v>
      </c>
      <c r="D21" s="75">
        <f>'[11]Table 10 CWTs exp'!D21</f>
        <v>3</v>
      </c>
      <c r="E21" t="str">
        <f>'[11]Table 10 CWTs exp'!E21</f>
        <v>Upper Sacramento River</v>
      </c>
      <c r="F21" s="37" t="str">
        <f>'[11]Table 10 CWTs exp'!F21</f>
        <v>Fall</v>
      </c>
      <c r="G21" s="144" t="str">
        <f>IF('[11]Table 10 CWTs exp'!G21/'[11]Table 10 CWTs exp'!$AA21&gt;0,'[11]Table 10 CWTs exp'!G21/'[11]Table 10 CWTs exp'!$AA21," ")</f>
        <v xml:space="preserve"> </v>
      </c>
      <c r="H21" s="145">
        <f>IF('[11]Table 10 CWTs exp'!H21/'[11]Table 10 CWTs exp'!$AA21&gt;0,'[11]Table 10 CWTs exp'!H21/'[11]Table 10 CWTs exp'!$AA21," ")</f>
        <v>1.271725307333616E-3</v>
      </c>
      <c r="I21" s="144">
        <f>IF('[11]Table 10 CWTs exp'!I21/'[11]Table 10 CWTs exp'!$AA21&gt;0,'[11]Table 10 CWTs exp'!I21/'[11]Table 10 CWTs exp'!$AA21," ")</f>
        <v>0.20178041543026706</v>
      </c>
      <c r="J21" s="146" t="str">
        <f>IF('[11]Table 10 CWTs exp'!J21/'[11]Table 10 CWTs exp'!$AA21&gt;0,'[11]Table 10 CWTs exp'!J21/'[11]Table 10 CWTs exp'!$AA21," ")</f>
        <v xml:space="preserve"> </v>
      </c>
      <c r="K21" s="144" t="str">
        <f>IF('[11]Table 10 CWTs exp'!K21/'[11]Table 10 CWTs exp'!$AA21&gt;0,'[11]Table 10 CWTs exp'!K21/'[11]Table 10 CWTs exp'!$AA21," ")</f>
        <v xml:space="preserve"> </v>
      </c>
      <c r="L21" s="144">
        <f>IF('[11]Table 10 CWTs exp'!L21/'[11]Table 10 CWTs exp'!$AA21&gt;0,'[11]Table 10 CWTs exp'!L21/'[11]Table 10 CWTs exp'!$AA21," ")</f>
        <v>1.1657481983891479E-3</v>
      </c>
      <c r="M21" s="144">
        <f>IF('[11]Table 10 CWTs exp'!M21/'[11]Table 10 CWTs exp'!$AA21&gt;0,'[11]Table 10 CWTs exp'!M21/'[11]Table 10 CWTs exp'!$AA21," ")</f>
        <v>9.3259855871131829E-3</v>
      </c>
      <c r="N21" s="146">
        <f>IF('[11]Table 10 CWTs exp'!N21/'[11]Table 10 CWTs exp'!$AA21&gt;0,'[11]Table 10 CWTs exp'!N21/'[11]Table 10 CWTs exp'!$AA21," ")</f>
        <v>6.3586265366680802E-4</v>
      </c>
      <c r="O21" s="144" t="str">
        <f>IF('[11]Table 10 CWTs exp'!O21/'[11]Table 10 CWTs exp'!$AA21&gt;0,'[11]Table 10 CWTs exp'!O21/'[11]Table 10 CWTs exp'!$AA21," ")</f>
        <v xml:space="preserve"> </v>
      </c>
      <c r="P21" s="146" t="str">
        <f>IF('[11]Table 10 CWTs exp'!P21/'[11]Table 10 CWTs exp'!$AA21&gt;0,'[11]Table 10 CWTs exp'!P21/'[11]Table 10 CWTs exp'!$AA21," ")</f>
        <v xml:space="preserve"> </v>
      </c>
      <c r="Q21" s="144" t="str">
        <f>IF('[11]Table 10 CWTs exp'!Q21/'[11]Table 10 CWTs exp'!$AA21&gt;0,'[11]Table 10 CWTs exp'!Q21/'[11]Table 10 CWTs exp'!$AA21," ")</f>
        <v xml:space="preserve"> </v>
      </c>
      <c r="R21" s="144">
        <f>IF('[11]Table 10 CWTs exp'!R21/'[11]Table 10 CWTs exp'!$AA21&gt;0,'[11]Table 10 CWTs exp'!R21/'[11]Table 10 CWTs exp'!$AA21," ")</f>
        <v>4.7689699025010596E-3</v>
      </c>
      <c r="S21" s="144">
        <f>IF('[11]Table 10 CWTs exp'!S21/'[11]Table 10 CWTs exp'!$AA21&gt;0,'[11]Table 10 CWTs exp'!S21/'[11]Table 10 CWTs exp'!$AA21," ")</f>
        <v>4.1331072488342514E-3</v>
      </c>
      <c r="T21" s="146">
        <f>IF('[11]Table 10 CWTs exp'!T21/'[11]Table 10 CWTs exp'!$AA21&gt;0,'[11]Table 10 CWTs exp'!T21/'[11]Table 10 CWTs exp'!$AA21," ")</f>
        <v>6.3586265366680802E-4</v>
      </c>
      <c r="U21" s="144" t="str">
        <f>IF('[11]Table 10 CWTs exp'!U21/'[11]Table 10 CWTs exp'!$AA21&gt;0,'[11]Table 10 CWTs exp'!U21/'[11]Table 10 CWTs exp'!$AA21," ")</f>
        <v xml:space="preserve"> </v>
      </c>
      <c r="V21" s="146" t="str">
        <f>IF('[11]Table 10 CWTs exp'!V21/'[11]Table 10 CWTs exp'!$AA21&gt;0,'[11]Table 10 CWTs exp'!V21/'[11]Table 10 CWTs exp'!$AA21," ")</f>
        <v xml:space="preserve"> </v>
      </c>
      <c r="W21" s="146" t="str">
        <f>IF('[11]Table 10 CWTs exp'!W21/'[11]Table 10 CWTs exp'!$AA21&gt;0,'[11]Table 10 CWTs exp'!W21/'[11]Table 10 CWTs exp'!$AA21," ")</f>
        <v xml:space="preserve"> </v>
      </c>
      <c r="X21" s="144" t="str">
        <f>IF('[11]Table 10 CWTs exp'!X21/'[11]Table 10 CWTs exp'!$AA21&gt;0,'[11]Table 10 CWTs exp'!X21/'[11]Table 10 CWTs exp'!$AA21," ")</f>
        <v xml:space="preserve"> </v>
      </c>
      <c r="Y21" s="147">
        <f t="shared" si="0"/>
        <v>0.22371767698177192</v>
      </c>
      <c r="Z21" s="148">
        <f t="shared" si="4"/>
        <v>0.77628232301822808</v>
      </c>
      <c r="AA21" s="38">
        <f>'[11]Table 10 CWTs exp'!AA21</f>
        <v>9436</v>
      </c>
      <c r="AC21" s="592">
        <f>'[11]Table 10 CWTs exp'!AD21</f>
        <v>0.224</v>
      </c>
      <c r="AD21" s="592">
        <f t="shared" si="2"/>
        <v>-2.823230182280867E-4</v>
      </c>
      <c r="AE21" s="593" t="str">
        <f t="shared" si="3"/>
        <v>USAC543</v>
      </c>
      <c r="AF21" s="442"/>
      <c r="AG21" s="442"/>
      <c r="AH21" s="648"/>
      <c r="AI21" s="454"/>
      <c r="AJ21" s="442"/>
      <c r="AK21" s="442"/>
    </row>
    <row r="22" spans="1:37" ht="14.25" customHeight="1" x14ac:dyDescent="0.25">
      <c r="A22" s="54" t="str">
        <f>'[11]Table 10 CWTs exp'!A22</f>
        <v>CLR543</v>
      </c>
      <c r="B22" s="75" t="str">
        <f>'[11]Table 10 CWTs exp'!B22</f>
        <v>CLR</v>
      </c>
      <c r="C22" s="75">
        <f>'[11]Table 10 CWTs exp'!C22</f>
        <v>54</v>
      </c>
      <c r="D22" s="75">
        <f>'[11]Table 10 CWTs exp'!D22</f>
        <v>3</v>
      </c>
      <c r="E22" t="str">
        <f>'[11]Table 10 CWTs exp'!E22</f>
        <v>Clear Creek</v>
      </c>
      <c r="F22" s="37" t="str">
        <f>'[11]Table 10 CWTs exp'!F22</f>
        <v>Fall</v>
      </c>
      <c r="G22" s="144" t="str">
        <f>IF('[11]Table 10 CWTs exp'!G22/'[11]Table 10 CWTs exp'!$AA22&gt;0,'[11]Table 10 CWTs exp'!G22/'[11]Table 10 CWTs exp'!$AA22," ")</f>
        <v xml:space="preserve"> </v>
      </c>
      <c r="H22" s="145" t="str">
        <f>IF('[11]Table 10 CWTs exp'!H22/'[11]Table 10 CWTs exp'!$AA22&gt;0,'[11]Table 10 CWTs exp'!H22/'[11]Table 10 CWTs exp'!$AA22," ")</f>
        <v xml:space="preserve"> </v>
      </c>
      <c r="I22" s="144">
        <f>IF('[11]Table 10 CWTs exp'!I22/'[11]Table 10 CWTs exp'!$AA22&gt;0,'[11]Table 10 CWTs exp'!I22/'[11]Table 10 CWTs exp'!$AA22," ")</f>
        <v>0.1678951678951679</v>
      </c>
      <c r="J22" s="146" t="str">
        <f>IF('[11]Table 10 CWTs exp'!J22/'[11]Table 10 CWTs exp'!$AA22&gt;0,'[11]Table 10 CWTs exp'!J22/'[11]Table 10 CWTs exp'!$AA22," ")</f>
        <v xml:space="preserve"> </v>
      </c>
      <c r="K22" s="144" t="str">
        <f>IF('[11]Table 10 CWTs exp'!K22/'[11]Table 10 CWTs exp'!$AA22&gt;0,'[11]Table 10 CWTs exp'!K22/'[11]Table 10 CWTs exp'!$AA22," ")</f>
        <v xml:space="preserve"> </v>
      </c>
      <c r="L22" s="144" t="str">
        <f>IF('[11]Table 10 CWTs exp'!L22/'[11]Table 10 CWTs exp'!$AA22&gt;0,'[11]Table 10 CWTs exp'!L22/'[11]Table 10 CWTs exp'!$AA22," ")</f>
        <v xml:space="preserve"> </v>
      </c>
      <c r="M22" s="144">
        <f>IF('[11]Table 10 CWTs exp'!M22/'[11]Table 10 CWTs exp'!$AA22&gt;0,'[11]Table 10 CWTs exp'!M22/'[11]Table 10 CWTs exp'!$AA22," ")</f>
        <v>4.4109044109044107E-2</v>
      </c>
      <c r="N22" s="146" t="str">
        <f>IF('[11]Table 10 CWTs exp'!N22/'[11]Table 10 CWTs exp'!$AA22&gt;0,'[11]Table 10 CWTs exp'!N22/'[11]Table 10 CWTs exp'!$AA22," ")</f>
        <v xml:space="preserve"> </v>
      </c>
      <c r="O22" s="144" t="str">
        <f>IF('[11]Table 10 CWTs exp'!O22/'[11]Table 10 CWTs exp'!$AA22&gt;0,'[11]Table 10 CWTs exp'!O22/'[11]Table 10 CWTs exp'!$AA22," ")</f>
        <v xml:space="preserve"> </v>
      </c>
      <c r="P22" s="146" t="str">
        <f>IF('[11]Table 10 CWTs exp'!P22/'[11]Table 10 CWTs exp'!$AA22&gt;0,'[11]Table 10 CWTs exp'!P22/'[11]Table 10 CWTs exp'!$AA22," ")</f>
        <v xml:space="preserve"> </v>
      </c>
      <c r="Q22" s="144" t="str">
        <f>IF('[11]Table 10 CWTs exp'!Q22/'[11]Table 10 CWTs exp'!$AA22&gt;0,'[11]Table 10 CWTs exp'!Q22/'[11]Table 10 CWTs exp'!$AA22," ")</f>
        <v xml:space="preserve"> </v>
      </c>
      <c r="R22" s="144" t="str">
        <f>IF('[11]Table 10 CWTs exp'!R22/'[11]Table 10 CWTs exp'!$AA22&gt;0,'[11]Table 10 CWTs exp'!R22/'[11]Table 10 CWTs exp'!$AA22," ")</f>
        <v xml:space="preserve"> </v>
      </c>
      <c r="S22" s="144">
        <f>IF('[11]Table 10 CWTs exp'!S22/'[11]Table 10 CWTs exp'!$AA22&gt;0,'[11]Table 10 CWTs exp'!S22/'[11]Table 10 CWTs exp'!$AA22," ")</f>
        <v>3.7440037440037441E-3</v>
      </c>
      <c r="T22" s="146" t="str">
        <f>IF('[11]Table 10 CWTs exp'!T22/'[11]Table 10 CWTs exp'!$AA22&gt;0,'[11]Table 10 CWTs exp'!T22/'[11]Table 10 CWTs exp'!$AA22," ")</f>
        <v xml:space="preserve"> </v>
      </c>
      <c r="U22" s="144" t="str">
        <f>IF('[11]Table 10 CWTs exp'!U22/'[11]Table 10 CWTs exp'!$AA22&gt;0,'[11]Table 10 CWTs exp'!U22/'[11]Table 10 CWTs exp'!$AA22," ")</f>
        <v xml:space="preserve"> </v>
      </c>
      <c r="V22" s="146" t="str">
        <f>IF('[11]Table 10 CWTs exp'!V22/'[11]Table 10 CWTs exp'!$AA22&gt;0,'[11]Table 10 CWTs exp'!V22/'[11]Table 10 CWTs exp'!$AA22," ")</f>
        <v xml:space="preserve"> </v>
      </c>
      <c r="W22" s="146" t="str">
        <f>IF('[11]Table 10 CWTs exp'!W22/'[11]Table 10 CWTs exp'!$AA22&gt;0,'[11]Table 10 CWTs exp'!W22/'[11]Table 10 CWTs exp'!$AA22," ")</f>
        <v xml:space="preserve"> </v>
      </c>
      <c r="X22" s="144" t="str">
        <f>IF('[11]Table 10 CWTs exp'!X22/'[11]Table 10 CWTs exp'!$AA22&gt;0,'[11]Table 10 CWTs exp'!X22/'[11]Table 10 CWTs exp'!$AA22," ")</f>
        <v xml:space="preserve"> </v>
      </c>
      <c r="Y22" s="147">
        <f t="shared" si="0"/>
        <v>0.21574821574821573</v>
      </c>
      <c r="Z22" s="148">
        <f t="shared" si="4"/>
        <v>0.78425178425178421</v>
      </c>
      <c r="AA22" s="38">
        <f>'[11]Table 10 CWTs exp'!AA22</f>
        <v>8547</v>
      </c>
      <c r="AC22" s="592">
        <f>'[11]Table 10 CWTs exp'!AD22</f>
        <v>0.216</v>
      </c>
      <c r="AD22" s="592">
        <f t="shared" si="2"/>
        <v>-2.51784251784265E-4</v>
      </c>
      <c r="AE22" s="593" t="str">
        <f t="shared" si="3"/>
        <v>CLR543</v>
      </c>
      <c r="AF22" s="442"/>
      <c r="AG22" s="442"/>
      <c r="AH22" s="648"/>
      <c r="AI22" s="454"/>
      <c r="AJ22" s="442"/>
      <c r="AK22" s="442"/>
    </row>
    <row r="23" spans="1:37" ht="14.5" customHeight="1" x14ac:dyDescent="0.25">
      <c r="A23" s="54" t="str">
        <f>'[11]Table 10 CWTs exp'!A23</f>
        <v>BATT543</v>
      </c>
      <c r="B23" s="75" t="str">
        <f>'[11]Table 10 CWTs exp'!B23</f>
        <v>BATT</v>
      </c>
      <c r="C23" s="75">
        <f>'[11]Table 10 CWTs exp'!C23</f>
        <v>54</v>
      </c>
      <c r="D23" s="75">
        <f>'[11]Table 10 CWTs exp'!D23</f>
        <v>3</v>
      </c>
      <c r="E23" s="75" t="s">
        <v>176</v>
      </c>
      <c r="F23" s="37" t="str">
        <f>'[11]Table 10 CWTs exp'!F23</f>
        <v>Fall</v>
      </c>
      <c r="G23" s="144" t="str">
        <f>IF('[11]Table 10 CWTs exp'!G23/'[11]Table 10 CWTs exp'!$AA23&gt;0,'[11]Table 10 CWTs exp'!G23/'[11]Table 10 CWTs exp'!$AA23," ")</f>
        <v xml:space="preserve"> </v>
      </c>
      <c r="H23" s="145" t="str">
        <f>IF('[11]Table 10 CWTs exp'!H23/'[11]Table 10 CWTs exp'!$AA23&gt;0,'[11]Table 10 CWTs exp'!H23/'[11]Table 10 CWTs exp'!$AA23," ")</f>
        <v xml:space="preserve"> </v>
      </c>
      <c r="I23" s="144">
        <f>IF('[11]Table 10 CWTs exp'!I23/'[11]Table 10 CWTs exp'!$AA23&gt;0,'[11]Table 10 CWTs exp'!I23/'[11]Table 10 CWTs exp'!$AA23," ")</f>
        <v>0.86104118417077835</v>
      </c>
      <c r="J23" s="146" t="str">
        <f>IF('[11]Table 10 CWTs exp'!J23/'[11]Table 10 CWTs exp'!$AA23&gt;0,'[11]Table 10 CWTs exp'!J23/'[11]Table 10 CWTs exp'!$AA23," ")</f>
        <v xml:space="preserve"> </v>
      </c>
      <c r="K23" s="144" t="str">
        <f>IF('[11]Table 10 CWTs exp'!K23/'[11]Table 10 CWTs exp'!$AA23&gt;0,'[11]Table 10 CWTs exp'!K23/'[11]Table 10 CWTs exp'!$AA23," ")</f>
        <v xml:space="preserve"> </v>
      </c>
      <c r="L23" s="144">
        <f>IF('[11]Table 10 CWTs exp'!L23/'[11]Table 10 CWTs exp'!$AA23&gt;0,'[11]Table 10 CWTs exp'!L23/'[11]Table 10 CWTs exp'!$AA23," ")</f>
        <v>2.013895881582922E-4</v>
      </c>
      <c r="M23" s="144">
        <f>IF('[11]Table 10 CWTs exp'!M23/'[11]Table 10 CWTs exp'!$AA23&gt;0,'[11]Table 10 CWTs exp'!M23/'[11]Table 10 CWTs exp'!$AA23," ")</f>
        <v>8.0555835263316881E-4</v>
      </c>
      <c r="N23" s="146">
        <f>IF('[11]Table 10 CWTs exp'!N23/'[11]Table 10 CWTs exp'!$AA23&gt;0,'[11]Table 10 CWTs exp'!N23/'[11]Table 10 CWTs exp'!$AA23," ")</f>
        <v>3.0208438223743831E-4</v>
      </c>
      <c r="O23" s="144" t="str">
        <f>IF('[11]Table 10 CWTs exp'!O23/'[11]Table 10 CWTs exp'!$AA23&gt;0,'[11]Table 10 CWTs exp'!O23/'[11]Table 10 CWTs exp'!$AA23," ")</f>
        <v xml:space="preserve"> </v>
      </c>
      <c r="P23" s="146">
        <f>IF('[11]Table 10 CWTs exp'!P23/'[11]Table 10 CWTs exp'!$AA23&gt;0,'[11]Table 10 CWTs exp'!P23/'[11]Table 10 CWTs exp'!$AA23," ")</f>
        <v>3.0208438223743831E-4</v>
      </c>
      <c r="Q23" s="144" t="str">
        <f>IF('[11]Table 10 CWTs exp'!Q23/'[11]Table 10 CWTs exp'!$AA23&gt;0,'[11]Table 10 CWTs exp'!Q23/'[11]Table 10 CWTs exp'!$AA23," ")</f>
        <v xml:space="preserve"> </v>
      </c>
      <c r="R23" s="144">
        <f>IF('[11]Table 10 CWTs exp'!R23/'[11]Table 10 CWTs exp'!$AA23&gt;0,'[11]Table 10 CWTs exp'!R23/'[11]Table 10 CWTs exp'!$AA23," ")</f>
        <v>6.0416876447487661E-4</v>
      </c>
      <c r="S23" s="144">
        <f>IF('[11]Table 10 CWTs exp'!S23/'[11]Table 10 CWTs exp'!$AA23&gt;0,'[11]Table 10 CWTs exp'!S23/'[11]Table 10 CWTs exp'!$AA23," ")</f>
        <v>3.0208438223743831E-4</v>
      </c>
      <c r="T23" s="146">
        <f>IF('[11]Table 10 CWTs exp'!T23/'[11]Table 10 CWTs exp'!$AA23&gt;0,'[11]Table 10 CWTs exp'!T23/'[11]Table 10 CWTs exp'!$AA23," ")</f>
        <v>9.0625314671231502E-4</v>
      </c>
      <c r="U23" s="144" t="str">
        <f>IF('[11]Table 10 CWTs exp'!U23/'[11]Table 10 CWTs exp'!$AA23&gt;0,'[11]Table 10 CWTs exp'!U23/'[11]Table 10 CWTs exp'!$AA23," ")</f>
        <v xml:space="preserve"> </v>
      </c>
      <c r="V23" s="146">
        <f>IF('[11]Table 10 CWTs exp'!V23/'[11]Table 10 CWTs exp'!$AA23&gt;0,'[11]Table 10 CWTs exp'!V23/'[11]Table 10 CWTs exp'!$AA23," ")</f>
        <v>1.006947940791461E-4</v>
      </c>
      <c r="W23" s="146" t="str">
        <f>IF('[11]Table 10 CWTs exp'!W23/'[11]Table 10 CWTs exp'!$AA23&gt;0,'[11]Table 10 CWTs exp'!W23/'[11]Table 10 CWTs exp'!$AA23," ")</f>
        <v xml:space="preserve"> </v>
      </c>
      <c r="X23" s="144" t="str">
        <f>IF('[11]Table 10 CWTs exp'!X23/'[11]Table 10 CWTs exp'!$AA23&gt;0,'[11]Table 10 CWTs exp'!X23/'[11]Table 10 CWTs exp'!$AA23," ")</f>
        <v xml:space="preserve"> </v>
      </c>
      <c r="Y23" s="147">
        <f t="shared" si="0"/>
        <v>0.86456550196354853</v>
      </c>
      <c r="Z23" s="148">
        <f t="shared" si="4"/>
        <v>0.13543449803645147</v>
      </c>
      <c r="AA23" s="38">
        <f>'[11]Table 10 CWTs exp'!AA23</f>
        <v>9931</v>
      </c>
      <c r="AC23" s="592">
        <f>'[11]Table 10 CWTs exp'!AD23</f>
        <v>0.86456550196354853</v>
      </c>
      <c r="AD23" s="592">
        <f t="shared" si="2"/>
        <v>0</v>
      </c>
      <c r="AE23" s="593" t="str">
        <f t="shared" si="3"/>
        <v>BATT543</v>
      </c>
      <c r="AF23" s="442"/>
      <c r="AG23" s="442"/>
      <c r="AH23" s="648"/>
      <c r="AI23" s="454"/>
      <c r="AJ23" s="442"/>
      <c r="AK23" s="442"/>
    </row>
    <row r="24" spans="1:37" ht="12.75" hidden="1" customHeight="1" x14ac:dyDescent="0.25">
      <c r="A24" s="54" t="str">
        <f>'[11]Table 10 CWTs exp'!A24</f>
        <v>COT543</v>
      </c>
      <c r="B24" s="75" t="str">
        <f>'[11]Table 10 CWTs exp'!B24</f>
        <v>COT</v>
      </c>
      <c r="C24" s="75">
        <f>'[11]Table 10 CWTs exp'!C24</f>
        <v>54</v>
      </c>
      <c r="D24" s="75">
        <f>'[11]Table 10 CWTs exp'!D24</f>
        <v>3</v>
      </c>
      <c r="E24" t="str">
        <f>'[11]Table 10 CWTs exp'!E24</f>
        <v>Cottonwood Creek*</v>
      </c>
      <c r="F24" s="37" t="str">
        <f>'[11]Table 10 CWTs exp'!F24</f>
        <v>Fall</v>
      </c>
      <c r="G24" s="144" t="e">
        <f>IF('[11]Table 10 CWTs exp'!G24/'[11]Table 10 CWTs exp'!$AA24&gt;0,'[11]Table 10 CWTs exp'!G24/'[11]Table 10 CWTs exp'!$AA24," ")</f>
        <v>#DIV/0!</v>
      </c>
      <c r="H24" s="145" t="e">
        <f>IF('[11]Table 10 CWTs exp'!H24/'[11]Table 10 CWTs exp'!$AA24&gt;0,'[11]Table 10 CWTs exp'!H24/'[11]Table 10 CWTs exp'!$AA24," ")</f>
        <v>#DIV/0!</v>
      </c>
      <c r="I24" s="144" t="e">
        <f>IF('[11]Table 10 CWTs exp'!I24/'[11]Table 10 CWTs exp'!$AA24&gt;0,'[11]Table 10 CWTs exp'!I24/'[11]Table 10 CWTs exp'!$AA24," ")</f>
        <v>#DIV/0!</v>
      </c>
      <c r="J24" s="146" t="e">
        <f>IF('[11]Table 10 CWTs exp'!J24/'[11]Table 10 CWTs exp'!$AA24&gt;0,'[11]Table 10 CWTs exp'!J24/'[11]Table 10 CWTs exp'!$AA24," ")</f>
        <v>#DIV/0!</v>
      </c>
      <c r="K24" s="144" t="e">
        <f>IF('[11]Table 10 CWTs exp'!K24/'[11]Table 10 CWTs exp'!$AA24&gt;0,'[11]Table 10 CWTs exp'!K24/'[11]Table 10 CWTs exp'!$AA24," ")</f>
        <v>#DIV/0!</v>
      </c>
      <c r="L24" s="144" t="e">
        <f>IF('[11]Table 10 CWTs exp'!L24/'[11]Table 10 CWTs exp'!$AA24&gt;0,'[11]Table 10 CWTs exp'!L24/'[11]Table 10 CWTs exp'!$AA24," ")</f>
        <v>#DIV/0!</v>
      </c>
      <c r="M24" s="144" t="e">
        <f>IF('[11]Table 10 CWTs exp'!M24/'[11]Table 10 CWTs exp'!$AA24&gt;0,'[11]Table 10 CWTs exp'!M24/'[11]Table 10 CWTs exp'!$AA24," ")</f>
        <v>#DIV/0!</v>
      </c>
      <c r="N24" s="146" t="e">
        <f>IF('[11]Table 10 CWTs exp'!N24/'[11]Table 10 CWTs exp'!$AA24&gt;0,'[11]Table 10 CWTs exp'!N24/'[11]Table 10 CWTs exp'!$AA24," ")</f>
        <v>#DIV/0!</v>
      </c>
      <c r="O24" s="144" t="e">
        <f>IF('[11]Table 10 CWTs exp'!O24/'[11]Table 10 CWTs exp'!$AA24&gt;0,'[11]Table 10 CWTs exp'!O24/'[11]Table 10 CWTs exp'!$AA24," ")</f>
        <v>#DIV/0!</v>
      </c>
      <c r="P24" s="146" t="e">
        <f>IF('[11]Table 10 CWTs exp'!P24/'[11]Table 10 CWTs exp'!$AA24&gt;0,'[11]Table 10 CWTs exp'!P24/'[11]Table 10 CWTs exp'!$AA24," ")</f>
        <v>#DIV/0!</v>
      </c>
      <c r="Q24" s="144" t="e">
        <f>IF('[11]Table 10 CWTs exp'!Q24/'[11]Table 10 CWTs exp'!$AA24&gt;0,'[11]Table 10 CWTs exp'!Q24/'[11]Table 10 CWTs exp'!$AA24," ")</f>
        <v>#DIV/0!</v>
      </c>
      <c r="R24" s="144" t="e">
        <f>IF('[11]Table 10 CWTs exp'!R24/'[11]Table 10 CWTs exp'!$AA24&gt;0,'[11]Table 10 CWTs exp'!R24/'[11]Table 10 CWTs exp'!$AA24," ")</f>
        <v>#DIV/0!</v>
      </c>
      <c r="S24" s="144" t="e">
        <f>IF('[11]Table 10 CWTs exp'!S24/'[11]Table 10 CWTs exp'!$AA24&gt;0,'[11]Table 10 CWTs exp'!S24/'[11]Table 10 CWTs exp'!$AA24," ")</f>
        <v>#DIV/0!</v>
      </c>
      <c r="T24" s="146" t="e">
        <f>IF('[11]Table 10 CWTs exp'!T24/'[11]Table 10 CWTs exp'!$AA24&gt;0,'[11]Table 10 CWTs exp'!T24/'[11]Table 10 CWTs exp'!$AA24," ")</f>
        <v>#DIV/0!</v>
      </c>
      <c r="U24" s="144" t="e">
        <f>IF('[11]Table 10 CWTs exp'!U24/'[11]Table 10 CWTs exp'!$AA24&gt;0,'[11]Table 10 CWTs exp'!U24/'[11]Table 10 CWTs exp'!$AA24," ")</f>
        <v>#DIV/0!</v>
      </c>
      <c r="V24" s="146" t="e">
        <f>IF('[11]Table 10 CWTs exp'!V24/'[11]Table 10 CWTs exp'!$AA24&gt;0,'[11]Table 10 CWTs exp'!V24/'[11]Table 10 CWTs exp'!$AA24," ")</f>
        <v>#DIV/0!</v>
      </c>
      <c r="W24" s="146" t="e">
        <f>IF('[11]Table 10 CWTs exp'!W24/'[11]Table 10 CWTs exp'!$AA24&gt;0,'[11]Table 10 CWTs exp'!W24/'[11]Table 10 CWTs exp'!$AA24," ")</f>
        <v>#DIV/0!</v>
      </c>
      <c r="X24" s="144" t="e">
        <f>IF('[11]Table 10 CWTs exp'!X24/'[11]Table 10 CWTs exp'!$AA24&gt;0,'[11]Table 10 CWTs exp'!X24/'[11]Table 10 CWTs exp'!$AA24," ")</f>
        <v>#DIV/0!</v>
      </c>
      <c r="Y24" s="147" t="e">
        <f t="shared" si="0"/>
        <v>#DIV/0!</v>
      </c>
      <c r="Z24" s="148" t="e">
        <f t="shared" si="4"/>
        <v>#DIV/0!</v>
      </c>
      <c r="AA24" s="38">
        <f>'[11]Table 10 CWTs exp'!AA24</f>
        <v>0</v>
      </c>
      <c r="AC24" s="592">
        <f>'[11]Table 10 CWTs exp'!AD24</f>
        <v>0</v>
      </c>
      <c r="AD24" s="592" t="e">
        <f t="shared" si="2"/>
        <v>#DIV/0!</v>
      </c>
      <c r="AE24" s="593" t="str">
        <f t="shared" si="3"/>
        <v>COT543</v>
      </c>
      <c r="AF24" s="442"/>
      <c r="AG24" s="442"/>
      <c r="AH24" s="648"/>
      <c r="AI24" s="454"/>
      <c r="AJ24" s="442"/>
      <c r="AK24" s="442"/>
    </row>
    <row r="25" spans="1:37" ht="12.75" hidden="1" customHeight="1" x14ac:dyDescent="0.25">
      <c r="A25" s="54" t="str">
        <f>'[11]Table 10 CWTs exp'!A25</f>
        <v>COW543</v>
      </c>
      <c r="B25" s="75" t="str">
        <f>'[11]Table 10 CWTs exp'!B25</f>
        <v>COW</v>
      </c>
      <c r="C25" s="75">
        <f>'[11]Table 10 CWTs exp'!C25</f>
        <v>54</v>
      </c>
      <c r="D25" s="75">
        <f>'[11]Table 10 CWTs exp'!D25</f>
        <v>3</v>
      </c>
      <c r="E25" t="str">
        <f>'[11]Table 10 CWTs exp'!E25</f>
        <v>Cow Creek*</v>
      </c>
      <c r="F25" s="37" t="str">
        <f>'[11]Table 10 CWTs exp'!F25</f>
        <v>Fall</v>
      </c>
      <c r="G25" s="144" t="e">
        <f>IF('[11]Table 10 CWTs exp'!G25/'[11]Table 10 CWTs exp'!$AA25&gt;0,'[11]Table 10 CWTs exp'!G25/'[11]Table 10 CWTs exp'!$AA25," ")</f>
        <v>#DIV/0!</v>
      </c>
      <c r="H25" s="145" t="e">
        <f>IF('[11]Table 10 CWTs exp'!H25/'[11]Table 10 CWTs exp'!$AA25&gt;0,'[11]Table 10 CWTs exp'!H25/'[11]Table 10 CWTs exp'!$AA25," ")</f>
        <v>#DIV/0!</v>
      </c>
      <c r="I25" s="144" t="e">
        <f>IF('[11]Table 10 CWTs exp'!I25/'[11]Table 10 CWTs exp'!$AA25&gt;0,'[11]Table 10 CWTs exp'!I25/'[11]Table 10 CWTs exp'!$AA25," ")</f>
        <v>#DIV/0!</v>
      </c>
      <c r="J25" s="146" t="e">
        <f>IF('[11]Table 10 CWTs exp'!J25/'[11]Table 10 CWTs exp'!$AA25&gt;0,'[11]Table 10 CWTs exp'!J25/'[11]Table 10 CWTs exp'!$AA25," ")</f>
        <v>#DIV/0!</v>
      </c>
      <c r="K25" s="144" t="e">
        <f>IF('[11]Table 10 CWTs exp'!K25/'[11]Table 10 CWTs exp'!$AA25&gt;0,'[11]Table 10 CWTs exp'!K25/'[11]Table 10 CWTs exp'!$AA25," ")</f>
        <v>#DIV/0!</v>
      </c>
      <c r="L25" s="144" t="e">
        <f>IF('[11]Table 10 CWTs exp'!L25/'[11]Table 10 CWTs exp'!$AA25&gt;0,'[11]Table 10 CWTs exp'!L25/'[11]Table 10 CWTs exp'!$AA25," ")</f>
        <v>#DIV/0!</v>
      </c>
      <c r="M25" s="144" t="e">
        <f>IF('[11]Table 10 CWTs exp'!M25/'[11]Table 10 CWTs exp'!$AA25&gt;0,'[11]Table 10 CWTs exp'!M25/'[11]Table 10 CWTs exp'!$AA25," ")</f>
        <v>#DIV/0!</v>
      </c>
      <c r="N25" s="146" t="e">
        <f>IF('[11]Table 10 CWTs exp'!N25/'[11]Table 10 CWTs exp'!$AA25&gt;0,'[11]Table 10 CWTs exp'!N25/'[11]Table 10 CWTs exp'!$AA25," ")</f>
        <v>#DIV/0!</v>
      </c>
      <c r="O25" s="144" t="e">
        <f>IF('[11]Table 10 CWTs exp'!O25/'[11]Table 10 CWTs exp'!$AA25&gt;0,'[11]Table 10 CWTs exp'!O25/'[11]Table 10 CWTs exp'!$AA25," ")</f>
        <v>#DIV/0!</v>
      </c>
      <c r="P25" s="146" t="e">
        <f>IF('[11]Table 10 CWTs exp'!P25/'[11]Table 10 CWTs exp'!$AA25&gt;0,'[11]Table 10 CWTs exp'!P25/'[11]Table 10 CWTs exp'!$AA25," ")</f>
        <v>#DIV/0!</v>
      </c>
      <c r="Q25" s="144" t="e">
        <f>IF('[11]Table 10 CWTs exp'!Q25/'[11]Table 10 CWTs exp'!$AA25&gt;0,'[11]Table 10 CWTs exp'!Q25/'[11]Table 10 CWTs exp'!$AA25," ")</f>
        <v>#DIV/0!</v>
      </c>
      <c r="R25" s="144" t="e">
        <f>IF('[11]Table 10 CWTs exp'!R25/'[11]Table 10 CWTs exp'!$AA25&gt;0,'[11]Table 10 CWTs exp'!R25/'[11]Table 10 CWTs exp'!$AA25," ")</f>
        <v>#DIV/0!</v>
      </c>
      <c r="S25" s="144" t="e">
        <f>IF('[11]Table 10 CWTs exp'!S25/'[11]Table 10 CWTs exp'!$AA25&gt;0,'[11]Table 10 CWTs exp'!S25/'[11]Table 10 CWTs exp'!$AA25," ")</f>
        <v>#DIV/0!</v>
      </c>
      <c r="T25" s="146" t="e">
        <f>IF('[11]Table 10 CWTs exp'!T25/'[11]Table 10 CWTs exp'!$AA25&gt;0,'[11]Table 10 CWTs exp'!T25/'[11]Table 10 CWTs exp'!$AA25," ")</f>
        <v>#DIV/0!</v>
      </c>
      <c r="U25" s="144" t="e">
        <f>IF('[11]Table 10 CWTs exp'!U25/'[11]Table 10 CWTs exp'!$AA25&gt;0,'[11]Table 10 CWTs exp'!U25/'[11]Table 10 CWTs exp'!$AA25," ")</f>
        <v>#DIV/0!</v>
      </c>
      <c r="V25" s="146" t="e">
        <f>IF('[11]Table 10 CWTs exp'!V25/'[11]Table 10 CWTs exp'!$AA25&gt;0,'[11]Table 10 CWTs exp'!V25/'[11]Table 10 CWTs exp'!$AA25," ")</f>
        <v>#DIV/0!</v>
      </c>
      <c r="W25" s="146" t="e">
        <f>IF('[11]Table 10 CWTs exp'!W25/'[11]Table 10 CWTs exp'!$AA25&gt;0,'[11]Table 10 CWTs exp'!W25/'[11]Table 10 CWTs exp'!$AA25," ")</f>
        <v>#DIV/0!</v>
      </c>
      <c r="X25" s="144" t="e">
        <f>IF('[11]Table 10 CWTs exp'!X25/'[11]Table 10 CWTs exp'!$AA25&gt;0,'[11]Table 10 CWTs exp'!X25/'[11]Table 10 CWTs exp'!$AA25," ")</f>
        <v>#DIV/0!</v>
      </c>
      <c r="Y25" s="147" t="e">
        <f t="shared" si="0"/>
        <v>#DIV/0!</v>
      </c>
      <c r="Z25" s="148"/>
      <c r="AA25" s="38">
        <f>'[11]Table 10 CWTs exp'!AA25</f>
        <v>0</v>
      </c>
      <c r="AC25" s="592">
        <f>'[11]Table 10 CWTs exp'!AD25</f>
        <v>0</v>
      </c>
      <c r="AD25" s="592" t="e">
        <f t="shared" si="2"/>
        <v>#DIV/0!</v>
      </c>
      <c r="AE25" s="593" t="str">
        <f t="shared" si="3"/>
        <v>COW543</v>
      </c>
      <c r="AF25" s="442"/>
      <c r="AG25" s="442"/>
      <c r="AH25" s="648"/>
      <c r="AI25" s="454"/>
      <c r="AJ25" s="442"/>
      <c r="AK25" s="442"/>
    </row>
    <row r="26" spans="1:37" ht="12.75" hidden="1" customHeight="1" x14ac:dyDescent="0.25">
      <c r="A26" s="54" t="str">
        <f>'[11]Table 10 CWTs exp'!A26</f>
        <v>MLC543</v>
      </c>
      <c r="B26" s="75" t="str">
        <f>'[11]Table 10 CWTs exp'!B26</f>
        <v>MLC</v>
      </c>
      <c r="C26" s="75">
        <f>'[11]Table 10 CWTs exp'!C26</f>
        <v>54</v>
      </c>
      <c r="D26" s="75">
        <f>'[11]Table 10 CWTs exp'!D26</f>
        <v>3</v>
      </c>
      <c r="E26" t="str">
        <f>'[11]Table 10 CWTs exp'!E26</f>
        <v>Mill Creek*</v>
      </c>
      <c r="F26" s="37" t="str">
        <f>'[11]Table 10 CWTs exp'!F26</f>
        <v>Fall</v>
      </c>
      <c r="G26" s="144" t="e">
        <f>IF('[11]Table 10 CWTs exp'!G26/'[11]Table 10 CWTs exp'!$AA26&gt;0,'[11]Table 10 CWTs exp'!G26/'[11]Table 10 CWTs exp'!$AA26," ")</f>
        <v>#DIV/0!</v>
      </c>
      <c r="H26" s="145" t="e">
        <f>IF('[11]Table 10 CWTs exp'!H26/'[11]Table 10 CWTs exp'!$AA26&gt;0,'[11]Table 10 CWTs exp'!H26/'[11]Table 10 CWTs exp'!$AA26," ")</f>
        <v>#DIV/0!</v>
      </c>
      <c r="I26" s="144" t="e">
        <f>IF('[11]Table 10 CWTs exp'!I26/'[11]Table 10 CWTs exp'!$AA26&gt;0,'[11]Table 10 CWTs exp'!I26/'[11]Table 10 CWTs exp'!$AA26," ")</f>
        <v>#DIV/0!</v>
      </c>
      <c r="J26" s="146" t="e">
        <f>IF('[11]Table 10 CWTs exp'!J26/'[11]Table 10 CWTs exp'!$AA26&gt;0,'[11]Table 10 CWTs exp'!J26/'[11]Table 10 CWTs exp'!$AA26," ")</f>
        <v>#DIV/0!</v>
      </c>
      <c r="K26" s="144" t="e">
        <f>IF('[11]Table 10 CWTs exp'!K26/'[11]Table 10 CWTs exp'!$AA26&gt;0,'[11]Table 10 CWTs exp'!K26/'[11]Table 10 CWTs exp'!$AA26," ")</f>
        <v>#DIV/0!</v>
      </c>
      <c r="L26" s="144" t="e">
        <f>IF('[11]Table 10 CWTs exp'!L26/'[11]Table 10 CWTs exp'!$AA26&gt;0,'[11]Table 10 CWTs exp'!L26/'[11]Table 10 CWTs exp'!$AA26," ")</f>
        <v>#DIV/0!</v>
      </c>
      <c r="M26" s="144" t="e">
        <f>IF('[11]Table 10 CWTs exp'!M26/'[11]Table 10 CWTs exp'!$AA26&gt;0,'[11]Table 10 CWTs exp'!M26/'[11]Table 10 CWTs exp'!$AA26," ")</f>
        <v>#DIV/0!</v>
      </c>
      <c r="N26" s="146" t="e">
        <f>IF('[11]Table 10 CWTs exp'!N26/'[11]Table 10 CWTs exp'!$AA26&gt;0,'[11]Table 10 CWTs exp'!N26/'[11]Table 10 CWTs exp'!$AA26," ")</f>
        <v>#DIV/0!</v>
      </c>
      <c r="O26" s="144" t="e">
        <f>IF('[11]Table 10 CWTs exp'!O26/'[11]Table 10 CWTs exp'!$AA26&gt;0,'[11]Table 10 CWTs exp'!O26/'[11]Table 10 CWTs exp'!$AA26," ")</f>
        <v>#DIV/0!</v>
      </c>
      <c r="P26" s="146" t="e">
        <f>IF('[11]Table 10 CWTs exp'!P26/'[11]Table 10 CWTs exp'!$AA26&gt;0,'[11]Table 10 CWTs exp'!P26/'[11]Table 10 CWTs exp'!$AA26," ")</f>
        <v>#DIV/0!</v>
      </c>
      <c r="Q26" s="144" t="e">
        <f>IF('[11]Table 10 CWTs exp'!Q26/'[11]Table 10 CWTs exp'!$AA26&gt;0,'[11]Table 10 CWTs exp'!Q26/'[11]Table 10 CWTs exp'!$AA26," ")</f>
        <v>#DIV/0!</v>
      </c>
      <c r="R26" s="144" t="e">
        <f>IF('[11]Table 10 CWTs exp'!R26/'[11]Table 10 CWTs exp'!$AA26&gt;0,'[11]Table 10 CWTs exp'!R26/'[11]Table 10 CWTs exp'!$AA26," ")</f>
        <v>#DIV/0!</v>
      </c>
      <c r="S26" s="144" t="e">
        <f>IF('[11]Table 10 CWTs exp'!S26/'[11]Table 10 CWTs exp'!$AA26&gt;0,'[11]Table 10 CWTs exp'!S26/'[11]Table 10 CWTs exp'!$AA26," ")</f>
        <v>#DIV/0!</v>
      </c>
      <c r="T26" s="146" t="e">
        <f>IF('[11]Table 10 CWTs exp'!T26/'[11]Table 10 CWTs exp'!$AA26&gt;0,'[11]Table 10 CWTs exp'!T26/'[11]Table 10 CWTs exp'!$AA26," ")</f>
        <v>#DIV/0!</v>
      </c>
      <c r="U26" s="144" t="e">
        <f>IF('[11]Table 10 CWTs exp'!U26/'[11]Table 10 CWTs exp'!$AA26&gt;0,'[11]Table 10 CWTs exp'!U26/'[11]Table 10 CWTs exp'!$AA26," ")</f>
        <v>#DIV/0!</v>
      </c>
      <c r="V26" s="146" t="e">
        <f>IF('[11]Table 10 CWTs exp'!V26/'[11]Table 10 CWTs exp'!$AA26&gt;0,'[11]Table 10 CWTs exp'!V26/'[11]Table 10 CWTs exp'!$AA26," ")</f>
        <v>#DIV/0!</v>
      </c>
      <c r="W26" s="146" t="e">
        <f>IF('[11]Table 10 CWTs exp'!W26/'[11]Table 10 CWTs exp'!$AA26&gt;0,'[11]Table 10 CWTs exp'!W26/'[11]Table 10 CWTs exp'!$AA26," ")</f>
        <v>#DIV/0!</v>
      </c>
      <c r="X26" s="144" t="e">
        <f>IF('[11]Table 10 CWTs exp'!X26/'[11]Table 10 CWTs exp'!$AA26&gt;0,'[11]Table 10 CWTs exp'!X26/'[11]Table 10 CWTs exp'!$AA26," ")</f>
        <v>#DIV/0!</v>
      </c>
      <c r="Y26" s="147" t="e">
        <f t="shared" si="0"/>
        <v>#DIV/0!</v>
      </c>
      <c r="Z26" s="148" t="e">
        <f t="shared" ref="Z26:Z27" si="5">1-Y26</f>
        <v>#DIV/0!</v>
      </c>
      <c r="AA26" s="38">
        <f>'[11]Table 10 CWTs exp'!AA26</f>
        <v>0</v>
      </c>
      <c r="AC26" s="592">
        <f>'[11]Table 10 CWTs exp'!AD26</f>
        <v>0</v>
      </c>
      <c r="AD26" s="592" t="e">
        <f t="shared" si="2"/>
        <v>#DIV/0!</v>
      </c>
      <c r="AE26" s="593" t="str">
        <f t="shared" si="3"/>
        <v>MLC543</v>
      </c>
      <c r="AF26" s="442"/>
      <c r="AG26" s="442"/>
      <c r="AH26" s="648"/>
      <c r="AI26" s="454"/>
      <c r="AJ26" s="442"/>
      <c r="AK26" s="442"/>
    </row>
    <row r="27" spans="1:37" ht="14.25" customHeight="1" x14ac:dyDescent="0.25">
      <c r="A27" s="54" t="str">
        <f>'[11]Table 10 CWTs exp'!A27</f>
        <v>BUTT543</v>
      </c>
      <c r="B27" s="75" t="str">
        <f>'[11]Table 10 CWTs exp'!B27</f>
        <v>BUTT</v>
      </c>
      <c r="C27" s="75">
        <f>'[11]Table 10 CWTs exp'!C27</f>
        <v>54</v>
      </c>
      <c r="D27" s="75">
        <f>'[11]Table 10 CWTs exp'!D27</f>
        <v>3</v>
      </c>
      <c r="E27" t="str">
        <f>'[11]Table 10 CWTs exp'!E27</f>
        <v>Butte Creek</v>
      </c>
      <c r="F27" s="37" t="str">
        <f>'[11]Table 10 CWTs exp'!F27</f>
        <v>Fall</v>
      </c>
      <c r="G27" s="144">
        <f>IF('[11]Table 10 CWTs exp'!G27/'[11]Table 10 CWTs exp'!$AA27&gt;0,'[11]Table 10 CWTs exp'!G27/'[11]Table 10 CWTs exp'!$AA27," ")</f>
        <v>7.1428571428571425E-2</v>
      </c>
      <c r="H27" s="145" t="str">
        <f>IF('[11]Table 10 CWTs exp'!H27/'[11]Table 10 CWTs exp'!$AA27&gt;0,'[11]Table 10 CWTs exp'!H27/'[11]Table 10 CWTs exp'!$AA27," ")</f>
        <v xml:space="preserve"> </v>
      </c>
      <c r="I27" s="144" t="str">
        <f>IF('[11]Table 10 CWTs exp'!I27/'[11]Table 10 CWTs exp'!$AA27&gt;0,'[11]Table 10 CWTs exp'!I27/'[11]Table 10 CWTs exp'!$AA27," ")</f>
        <v xml:space="preserve"> </v>
      </c>
      <c r="J27" s="146" t="str">
        <f>IF('[11]Table 10 CWTs exp'!J27/'[11]Table 10 CWTs exp'!$AA27&gt;0,'[11]Table 10 CWTs exp'!J27/'[11]Table 10 CWTs exp'!$AA27," ")</f>
        <v xml:space="preserve"> </v>
      </c>
      <c r="K27" s="144" t="str">
        <f>IF('[11]Table 10 CWTs exp'!K27/'[11]Table 10 CWTs exp'!$AA27&gt;0,'[11]Table 10 CWTs exp'!K27/'[11]Table 10 CWTs exp'!$AA27," ")</f>
        <v xml:space="preserve"> </v>
      </c>
      <c r="L27" s="144" t="str">
        <f>IF('[11]Table 10 CWTs exp'!L27/'[11]Table 10 CWTs exp'!$AA27&gt;0,'[11]Table 10 CWTs exp'!L27/'[11]Table 10 CWTs exp'!$AA27," ")</f>
        <v xml:space="preserve"> </v>
      </c>
      <c r="M27" s="144" t="str">
        <f>IF('[11]Table 10 CWTs exp'!M27/'[11]Table 10 CWTs exp'!$AA27&gt;0,'[11]Table 10 CWTs exp'!M27/'[11]Table 10 CWTs exp'!$AA27," ")</f>
        <v xml:space="preserve"> </v>
      </c>
      <c r="N27" s="146" t="str">
        <f>IF('[11]Table 10 CWTs exp'!N27/'[11]Table 10 CWTs exp'!$AA27&gt;0,'[11]Table 10 CWTs exp'!N27/'[11]Table 10 CWTs exp'!$AA27," ")</f>
        <v xml:space="preserve"> </v>
      </c>
      <c r="O27" s="144" t="str">
        <f>IF('[11]Table 10 CWTs exp'!O27/'[11]Table 10 CWTs exp'!$AA27&gt;0,'[11]Table 10 CWTs exp'!O27/'[11]Table 10 CWTs exp'!$AA27," ")</f>
        <v xml:space="preserve"> </v>
      </c>
      <c r="P27" s="146" t="str">
        <f>IF('[11]Table 10 CWTs exp'!P27/'[11]Table 10 CWTs exp'!$AA27&gt;0,'[11]Table 10 CWTs exp'!P27/'[11]Table 10 CWTs exp'!$AA27," ")</f>
        <v xml:space="preserve"> </v>
      </c>
      <c r="Q27" s="144" t="str">
        <f>IF('[11]Table 10 CWTs exp'!Q27/'[11]Table 10 CWTs exp'!$AA27&gt;0,'[11]Table 10 CWTs exp'!Q27/'[11]Table 10 CWTs exp'!$AA27," ")</f>
        <v xml:space="preserve"> </v>
      </c>
      <c r="R27" s="144" t="str">
        <f>IF('[11]Table 10 CWTs exp'!R27/'[11]Table 10 CWTs exp'!$AA27&gt;0,'[11]Table 10 CWTs exp'!R27/'[11]Table 10 CWTs exp'!$AA27," ")</f>
        <v xml:space="preserve"> </v>
      </c>
      <c r="S27" s="144" t="str">
        <f>IF('[11]Table 10 CWTs exp'!S27/'[11]Table 10 CWTs exp'!$AA27&gt;0,'[11]Table 10 CWTs exp'!S27/'[11]Table 10 CWTs exp'!$AA27," ")</f>
        <v xml:space="preserve"> </v>
      </c>
      <c r="T27" s="146" t="str">
        <f>IF('[11]Table 10 CWTs exp'!T27/'[11]Table 10 CWTs exp'!$AA27&gt;0,'[11]Table 10 CWTs exp'!T27/'[11]Table 10 CWTs exp'!$AA27," ")</f>
        <v xml:space="preserve"> </v>
      </c>
      <c r="U27" s="144" t="str">
        <f>IF('[11]Table 10 CWTs exp'!U27/'[11]Table 10 CWTs exp'!$AA27&gt;0,'[11]Table 10 CWTs exp'!U27/'[11]Table 10 CWTs exp'!$AA27," ")</f>
        <v xml:space="preserve"> </v>
      </c>
      <c r="V27" s="146" t="str">
        <f>IF('[11]Table 10 CWTs exp'!V27/'[11]Table 10 CWTs exp'!$AA27&gt;0,'[11]Table 10 CWTs exp'!V27/'[11]Table 10 CWTs exp'!$AA27," ")</f>
        <v xml:space="preserve"> </v>
      </c>
      <c r="W27" s="146" t="str">
        <f>IF('[11]Table 10 CWTs exp'!W27/'[11]Table 10 CWTs exp'!$AA27&gt;0,'[11]Table 10 CWTs exp'!W27/'[11]Table 10 CWTs exp'!$AA27," ")</f>
        <v xml:space="preserve"> </v>
      </c>
      <c r="X27" s="144" t="str">
        <f>IF('[11]Table 10 CWTs exp'!X27/'[11]Table 10 CWTs exp'!$AA27&gt;0,'[11]Table 10 CWTs exp'!X27/'[11]Table 10 CWTs exp'!$AA27," ")</f>
        <v xml:space="preserve"> </v>
      </c>
      <c r="Y27" s="147">
        <f t="shared" si="0"/>
        <v>7.1428571428571425E-2</v>
      </c>
      <c r="Z27" s="148">
        <f t="shared" si="5"/>
        <v>0.9285714285714286</v>
      </c>
      <c r="AA27" s="38">
        <f>'[11]Table 10 CWTs exp'!AA27</f>
        <v>14</v>
      </c>
      <c r="AC27" s="592">
        <f>'[11]Table 10 CWTs exp'!AD27</f>
        <v>7.0999999999999994E-2</v>
      </c>
      <c r="AD27" s="592">
        <f t="shared" si="2"/>
        <v>4.2857142857143093E-4</v>
      </c>
      <c r="AE27" s="593" t="str">
        <f t="shared" si="3"/>
        <v>BUTT543</v>
      </c>
      <c r="AF27" s="442"/>
      <c r="AG27" s="442"/>
      <c r="AH27" s="648"/>
      <c r="AI27" s="454"/>
      <c r="AJ27" s="442"/>
      <c r="AK27" s="442"/>
    </row>
    <row r="28" spans="1:37" ht="14.5" customHeight="1" x14ac:dyDescent="0.25">
      <c r="A28" s="54" t="str">
        <f>'[11]Table 10 CWTs exp'!A28</f>
        <v>FEA543</v>
      </c>
      <c r="B28" s="75" t="str">
        <f>'[11]Table 10 CWTs exp'!B28</f>
        <v>FEA</v>
      </c>
      <c r="C28" s="75">
        <f>'[11]Table 10 CWTs exp'!C28</f>
        <v>54</v>
      </c>
      <c r="D28" s="75">
        <f>'[11]Table 10 CWTs exp'!D28</f>
        <v>3</v>
      </c>
      <c r="E28" t="str">
        <f>'[11]Table 10 CWTs exp'!E28</f>
        <v>Feather River</v>
      </c>
      <c r="F28" s="37" t="str">
        <f>'[11]Table 10 CWTs exp'!F28</f>
        <v>Fall</v>
      </c>
      <c r="G28" s="144" t="str">
        <f>IF('[11]Table 10 CWTs exp'!G28/'[11]Table 10 CWTs exp'!$AA28&gt;0,'[11]Table 10 CWTs exp'!G28/'[11]Table 10 CWTs exp'!$AA28," ")</f>
        <v xml:space="preserve"> </v>
      </c>
      <c r="H28" s="145" t="str">
        <f>IF('[11]Table 10 CWTs exp'!H28/'[11]Table 10 CWTs exp'!$AA28&gt;0,'[11]Table 10 CWTs exp'!H28/'[11]Table 10 CWTs exp'!$AA28," ")</f>
        <v xml:space="preserve"> </v>
      </c>
      <c r="I28" s="144" t="str">
        <f>IF('[11]Table 10 CWTs exp'!I28/'[11]Table 10 CWTs exp'!$AA28&gt;0,'[11]Table 10 CWTs exp'!I28/'[11]Table 10 CWTs exp'!$AA28," ")</f>
        <v xml:space="preserve"> </v>
      </c>
      <c r="J28" s="146" t="str">
        <f>IF('[11]Table 10 CWTs exp'!J28/'[11]Table 10 CWTs exp'!$AA28&gt;0,'[11]Table 10 CWTs exp'!J28/'[11]Table 10 CWTs exp'!$AA28," ")</f>
        <v xml:space="preserve"> </v>
      </c>
      <c r="K28" s="144">
        <f>IF('[11]Table 10 CWTs exp'!K28/'[11]Table 10 CWTs exp'!$AA28&gt;0,'[11]Table 10 CWTs exp'!K28/'[11]Table 10 CWTs exp'!$AA28," ")</f>
        <v>3.0157552481124252E-2</v>
      </c>
      <c r="L28" s="144">
        <f>IF('[11]Table 10 CWTs exp'!L28/'[11]Table 10 CWTs exp'!$AA28&gt;0,'[11]Table 10 CWTs exp'!L28/'[11]Table 10 CWTs exp'!$AA28," ")</f>
        <v>9.2742111465107142E-3</v>
      </c>
      <c r="M28" s="144">
        <f>IF('[11]Table 10 CWTs exp'!M28/'[11]Table 10 CWTs exp'!$AA28&gt;0,'[11]Table 10 CWTs exp'!M28/'[11]Table 10 CWTs exp'!$AA28," ")</f>
        <v>0.73857635403482735</v>
      </c>
      <c r="N28" s="146">
        <f>IF('[11]Table 10 CWTs exp'!N28/'[11]Table 10 CWTs exp'!$AA28&gt;0,'[11]Table 10 CWTs exp'!N28/'[11]Table 10 CWTs exp'!$AA28," ")</f>
        <v>8.1831274822153355E-3</v>
      </c>
      <c r="O28" s="144" t="str">
        <f>IF('[11]Table 10 CWTs exp'!O28/'[11]Table 10 CWTs exp'!$AA28&gt;0,'[11]Table 10 CWTs exp'!O28/'[11]Table 10 CWTs exp'!$AA28," ")</f>
        <v xml:space="preserve"> </v>
      </c>
      <c r="P28" s="146">
        <f>IF('[11]Table 10 CWTs exp'!P28/'[11]Table 10 CWTs exp'!$AA28&gt;0,'[11]Table 10 CWTs exp'!P28/'[11]Table 10 CWTs exp'!$AA28," ")</f>
        <v>1.4838737834417144E-3</v>
      </c>
      <c r="Q28" s="144" t="str">
        <f>IF('[11]Table 10 CWTs exp'!Q28/'[11]Table 10 CWTs exp'!$AA28&gt;0,'[11]Table 10 CWTs exp'!Q28/'[11]Table 10 CWTs exp'!$AA28," ")</f>
        <v xml:space="preserve"> </v>
      </c>
      <c r="R28" s="144">
        <f>IF('[11]Table 10 CWTs exp'!R28/'[11]Table 10 CWTs exp'!$AA28&gt;0,'[11]Table 10 CWTs exp'!R28/'[11]Table 10 CWTs exp'!$AA28," ")</f>
        <v>7.3757255706367562E-3</v>
      </c>
      <c r="S28" s="144">
        <f>IF('[11]Table 10 CWTs exp'!S28/'[11]Table 10 CWTs exp'!$AA28&gt;0,'[11]Table 10 CWTs exp'!S28/'[11]Table 10 CWTs exp'!$AA28," ")</f>
        <v>2.5749574477370923E-3</v>
      </c>
      <c r="T28" s="146">
        <f>IF('[11]Table 10 CWTs exp'!T28/'[11]Table 10 CWTs exp'!$AA28&gt;0,'[11]Table 10 CWTs exp'!T28/'[11]Table 10 CWTs exp'!$AA28," ")</f>
        <v>3.709684458604286E-4</v>
      </c>
      <c r="U28" s="144" t="str">
        <f>IF('[11]Table 10 CWTs exp'!U28/'[11]Table 10 CWTs exp'!$AA28&gt;0,'[11]Table 10 CWTs exp'!U28/'[11]Table 10 CWTs exp'!$AA28," ")</f>
        <v xml:space="preserve"> </v>
      </c>
      <c r="V28" s="146" t="str">
        <f>IF('[11]Table 10 CWTs exp'!V28/'[11]Table 10 CWTs exp'!$AA28&gt;0,'[11]Table 10 CWTs exp'!V28/'[11]Table 10 CWTs exp'!$AA28," ")</f>
        <v xml:space="preserve"> </v>
      </c>
      <c r="W28" s="146" t="str">
        <f>IF('[11]Table 10 CWTs exp'!W28/'[11]Table 10 CWTs exp'!$AA28&gt;0,'[11]Table 10 CWTs exp'!W28/'[11]Table 10 CWTs exp'!$AA28," ")</f>
        <v xml:space="preserve"> </v>
      </c>
      <c r="X28" s="144" t="str">
        <f>IF('[11]Table 10 CWTs exp'!X28/'[11]Table 10 CWTs exp'!$AA28&gt;0,'[11]Table 10 CWTs exp'!X28/'[11]Table 10 CWTs exp'!$AA28," ")</f>
        <v xml:space="preserve"> </v>
      </c>
      <c r="Y28" s="147">
        <f t="shared" si="0"/>
        <v>0.79799677039235362</v>
      </c>
      <c r="Z28" s="148">
        <f t="shared" si="4"/>
        <v>0.20200322960764638</v>
      </c>
      <c r="AA28" s="38">
        <f>'[11]Table 10 CWTs exp'!AA28</f>
        <v>45826</v>
      </c>
      <c r="AC28" s="592">
        <f>'[11]Table 10 CWTs exp'!AD28</f>
        <v>0.79800000000000004</v>
      </c>
      <c r="AD28" s="592">
        <f t="shared" si="2"/>
        <v>-3.2296076464266577E-6</v>
      </c>
      <c r="AE28" s="593" t="str">
        <f t="shared" si="3"/>
        <v>FEA543</v>
      </c>
      <c r="AF28" s="442"/>
      <c r="AG28" s="442"/>
      <c r="AH28" s="648"/>
      <c r="AI28" s="454"/>
      <c r="AJ28" s="442"/>
      <c r="AK28" s="442"/>
    </row>
    <row r="29" spans="1:37" ht="14.5" customHeight="1" x14ac:dyDescent="0.25">
      <c r="A29" s="54" t="str">
        <f>'[11]Table 10 CWTs exp'!A29</f>
        <v>YUBA543</v>
      </c>
      <c r="B29" s="75" t="str">
        <f>'[11]Table 10 CWTs exp'!B29</f>
        <v>YUBA</v>
      </c>
      <c r="C29" s="75">
        <f>'[11]Table 10 CWTs exp'!C29</f>
        <v>54</v>
      </c>
      <c r="D29" s="75">
        <f>'[11]Table 10 CWTs exp'!D29</f>
        <v>3</v>
      </c>
      <c r="E29" t="str">
        <f>'[11]Table 10 CWTs exp'!E29</f>
        <v>Yuba River</v>
      </c>
      <c r="F29" s="37" t="str">
        <f>'[11]Table 10 CWTs exp'!F29</f>
        <v>Fall</v>
      </c>
      <c r="G29" s="144" t="str">
        <f>IF('[11]Table 10 CWTs exp'!G29/'[11]Table 10 CWTs exp'!$AA29&gt;0,'[11]Table 10 CWTs exp'!G29/'[11]Table 10 CWTs exp'!$AA29," ")</f>
        <v xml:space="preserve"> </v>
      </c>
      <c r="H29" s="145" t="str">
        <f>IF('[11]Table 10 CWTs exp'!H29/'[11]Table 10 CWTs exp'!$AA29&gt;0,'[11]Table 10 CWTs exp'!H29/'[11]Table 10 CWTs exp'!$AA29," ")</f>
        <v xml:space="preserve"> </v>
      </c>
      <c r="I29" s="144" t="str">
        <f>IF('[11]Table 10 CWTs exp'!I29/'[11]Table 10 CWTs exp'!$AA29&gt;0,'[11]Table 10 CWTs exp'!I29/'[11]Table 10 CWTs exp'!$AA29," ")</f>
        <v xml:space="preserve"> </v>
      </c>
      <c r="J29" s="146" t="str">
        <f>IF('[11]Table 10 CWTs exp'!J29/'[11]Table 10 CWTs exp'!$AA29&gt;0,'[11]Table 10 CWTs exp'!J29/'[11]Table 10 CWTs exp'!$AA29," ")</f>
        <v xml:space="preserve"> </v>
      </c>
      <c r="K29" s="144">
        <f>IF('[11]Table 10 CWTs exp'!K29/'[11]Table 10 CWTs exp'!$AA29&gt;0,'[11]Table 10 CWTs exp'!K29/'[11]Table 10 CWTs exp'!$AA29," ")</f>
        <v>0.15912788805727301</v>
      </c>
      <c r="L29" s="144">
        <f>IF('[11]Table 10 CWTs exp'!L29/'[11]Table 10 CWTs exp'!$AA29&gt;0,'[11]Table 10 CWTs exp'!L29/'[11]Table 10 CWTs exp'!$AA29," ")</f>
        <v>1.5945330296127564E-2</v>
      </c>
      <c r="M29" s="144">
        <f>IF('[11]Table 10 CWTs exp'!M29/'[11]Table 10 CWTs exp'!$AA29&gt;0,'[11]Table 10 CWTs exp'!M29/'[11]Table 10 CWTs exp'!$AA29," ")</f>
        <v>0.32606573381060855</v>
      </c>
      <c r="N29" s="146" t="str">
        <f>IF('[11]Table 10 CWTs exp'!N29/'[11]Table 10 CWTs exp'!$AA29&gt;0,'[11]Table 10 CWTs exp'!N29/'[11]Table 10 CWTs exp'!$AA29," ")</f>
        <v xml:space="preserve"> </v>
      </c>
      <c r="O29" s="144">
        <f>IF('[11]Table 10 CWTs exp'!O29/'[11]Table 10 CWTs exp'!$AA29&gt;0,'[11]Table 10 CWTs exp'!O29/'[11]Table 10 CWTs exp'!$AA29," ")</f>
        <v>3.1565245688252523E-2</v>
      </c>
      <c r="P29" s="146">
        <f>IF('[11]Table 10 CWTs exp'!P29/'[11]Table 10 CWTs exp'!$AA29&gt;0,'[11]Table 10 CWTs exp'!P29/'[11]Table 10 CWTs exp'!$AA29," ")</f>
        <v>3.1565245688252523E-2</v>
      </c>
      <c r="Q29" s="144" t="str">
        <f>IF('[11]Table 10 CWTs exp'!Q29/'[11]Table 10 CWTs exp'!$AA29&gt;0,'[11]Table 10 CWTs exp'!Q29/'[11]Table 10 CWTs exp'!$AA29," ")</f>
        <v xml:space="preserve"> </v>
      </c>
      <c r="R29" s="144">
        <f>IF('[11]Table 10 CWTs exp'!R29/'[11]Table 10 CWTs exp'!$AA29&gt;0,'[11]Table 10 CWTs exp'!R29/'[11]Table 10 CWTs exp'!$AA29," ")</f>
        <v>0.25219655060201757</v>
      </c>
      <c r="S29" s="144">
        <f>IF('[11]Table 10 CWTs exp'!S29/'[11]Table 10 CWTs exp'!$AA29&gt;0,'[11]Table 10 CWTs exp'!S29/'[11]Table 10 CWTs exp'!$AA29," ")</f>
        <v>7.0940449072567524E-2</v>
      </c>
      <c r="T29" s="146">
        <f>IF('[11]Table 10 CWTs exp'!T29/'[11]Table 10 CWTs exp'!$AA29&gt;0,'[11]Table 10 CWTs exp'!T29/'[11]Table 10 CWTs exp'!$AA29," ")</f>
        <v>3.9375203384315001E-2</v>
      </c>
      <c r="U29" s="144" t="str">
        <f>IF('[11]Table 10 CWTs exp'!U29/'[11]Table 10 CWTs exp'!$AA29&gt;0,'[11]Table 10 CWTs exp'!U29/'[11]Table 10 CWTs exp'!$AA29," ")</f>
        <v xml:space="preserve"> </v>
      </c>
      <c r="V29" s="146" t="str">
        <f>IF('[11]Table 10 CWTs exp'!V29/'[11]Table 10 CWTs exp'!$AA29&gt;0,'[11]Table 10 CWTs exp'!V29/'[11]Table 10 CWTs exp'!$AA29," ")</f>
        <v xml:space="preserve"> </v>
      </c>
      <c r="W29" s="146" t="str">
        <f>IF('[11]Table 10 CWTs exp'!W29/'[11]Table 10 CWTs exp'!$AA29&gt;0,'[11]Table 10 CWTs exp'!W29/'[11]Table 10 CWTs exp'!$AA29," ")</f>
        <v xml:space="preserve"> </v>
      </c>
      <c r="X29" s="144" t="str">
        <f>IF('[11]Table 10 CWTs exp'!X29/'[11]Table 10 CWTs exp'!$AA29&gt;0,'[11]Table 10 CWTs exp'!X29/'[11]Table 10 CWTs exp'!$AA29," ")</f>
        <v xml:space="preserve"> </v>
      </c>
      <c r="Y29" s="147">
        <f t="shared" si="0"/>
        <v>0.9267816465994142</v>
      </c>
      <c r="Z29" s="148">
        <f t="shared" si="4"/>
        <v>7.3218353400585801E-2</v>
      </c>
      <c r="AA29" s="38">
        <f>'[11]Table 10 CWTs exp'!AA29</f>
        <v>3073</v>
      </c>
      <c r="AC29" s="592">
        <f>'[11]Table 10 CWTs exp'!AD29</f>
        <v>0.92700000000000005</v>
      </c>
      <c r="AD29" s="592">
        <f t="shared" si="2"/>
        <v>-2.1835340058584674E-4</v>
      </c>
      <c r="AE29" s="593" t="str">
        <f t="shared" si="3"/>
        <v>YUBA543</v>
      </c>
      <c r="AF29" s="442"/>
      <c r="AG29" s="442"/>
      <c r="AH29" s="648"/>
      <c r="AI29" s="454"/>
      <c r="AJ29" s="442"/>
      <c r="AK29" s="442"/>
    </row>
    <row r="30" spans="1:37" ht="12.75" hidden="1" customHeight="1" x14ac:dyDescent="0.25">
      <c r="A30" s="54" t="str">
        <f>'[11]Table 10 CWTs exp'!A30</f>
        <v>YUBB543</v>
      </c>
      <c r="B30" s="75" t="str">
        <f>'[11]Table 10 CWTs exp'!B30</f>
        <v>YUBB</v>
      </c>
      <c r="C30" s="75">
        <f>'[11]Table 10 CWTs exp'!C30</f>
        <v>54</v>
      </c>
      <c r="D30" s="75">
        <f>'[11]Table 10 CWTs exp'!D30</f>
        <v>3</v>
      </c>
      <c r="E30" t="str">
        <f>'[11]Table 10 CWTs exp'!E30</f>
        <v>Yuba River below DPD</v>
      </c>
      <c r="F30" s="37" t="str">
        <f>'[11]Table 10 CWTs exp'!F30</f>
        <v>Fall</v>
      </c>
      <c r="G30" s="144" t="e">
        <f>IF('[11]Table 10 CWTs exp'!G30/'[11]Table 10 CWTs exp'!$AA30&gt;0,'[11]Table 10 CWTs exp'!G30/'[11]Table 10 CWTs exp'!$AA30," ")</f>
        <v>#DIV/0!</v>
      </c>
      <c r="H30" s="145" t="e">
        <f>IF('[11]Table 10 CWTs exp'!H30/'[11]Table 10 CWTs exp'!$AA30&gt;0,'[11]Table 10 CWTs exp'!H30/'[11]Table 10 CWTs exp'!$AA30," ")</f>
        <v>#DIV/0!</v>
      </c>
      <c r="I30" s="144" t="e">
        <f>IF('[11]Table 10 CWTs exp'!I30/'[11]Table 10 CWTs exp'!$AA30&gt;0,'[11]Table 10 CWTs exp'!I30/'[11]Table 10 CWTs exp'!$AA30," ")</f>
        <v>#DIV/0!</v>
      </c>
      <c r="J30" s="146" t="e">
        <f>IF('[11]Table 10 CWTs exp'!J30/'[11]Table 10 CWTs exp'!$AA30&gt;0,'[11]Table 10 CWTs exp'!J30/'[11]Table 10 CWTs exp'!$AA30," ")</f>
        <v>#DIV/0!</v>
      </c>
      <c r="K30" s="144" t="e">
        <f>IF('[11]Table 10 CWTs exp'!K30/'[11]Table 10 CWTs exp'!$AA30&gt;0,'[11]Table 10 CWTs exp'!K30/'[11]Table 10 CWTs exp'!$AA30," ")</f>
        <v>#DIV/0!</v>
      </c>
      <c r="L30" s="144" t="e">
        <f>IF('[11]Table 10 CWTs exp'!L30/'[11]Table 10 CWTs exp'!$AA30&gt;0,'[11]Table 10 CWTs exp'!L30/'[11]Table 10 CWTs exp'!$AA30," ")</f>
        <v>#DIV/0!</v>
      </c>
      <c r="M30" s="144" t="e">
        <f>IF('[11]Table 10 CWTs exp'!M30/'[11]Table 10 CWTs exp'!$AA30&gt;0,'[11]Table 10 CWTs exp'!M30/'[11]Table 10 CWTs exp'!$AA30," ")</f>
        <v>#DIV/0!</v>
      </c>
      <c r="N30" s="146" t="e">
        <f>IF('[11]Table 10 CWTs exp'!N30/'[11]Table 10 CWTs exp'!$AA30&gt;0,'[11]Table 10 CWTs exp'!N30/'[11]Table 10 CWTs exp'!$AA30," ")</f>
        <v>#DIV/0!</v>
      </c>
      <c r="O30" s="144" t="e">
        <f>IF('[11]Table 10 CWTs exp'!O30/'[11]Table 10 CWTs exp'!$AA30&gt;0,'[11]Table 10 CWTs exp'!O30/'[11]Table 10 CWTs exp'!$AA30," ")</f>
        <v>#DIV/0!</v>
      </c>
      <c r="P30" s="146" t="e">
        <f>IF('[11]Table 10 CWTs exp'!P30/'[11]Table 10 CWTs exp'!$AA30&gt;0,'[11]Table 10 CWTs exp'!P30/'[11]Table 10 CWTs exp'!$AA30," ")</f>
        <v>#DIV/0!</v>
      </c>
      <c r="Q30" s="144" t="e">
        <f>IF('[11]Table 10 CWTs exp'!Q30/'[11]Table 10 CWTs exp'!$AA30&gt;0,'[11]Table 10 CWTs exp'!Q30/'[11]Table 10 CWTs exp'!$AA30," ")</f>
        <v>#DIV/0!</v>
      </c>
      <c r="R30" s="144" t="e">
        <f>IF('[11]Table 10 CWTs exp'!R30/'[11]Table 10 CWTs exp'!$AA30&gt;0,'[11]Table 10 CWTs exp'!R30/'[11]Table 10 CWTs exp'!$AA30," ")</f>
        <v>#DIV/0!</v>
      </c>
      <c r="S30" s="144" t="e">
        <f>IF('[11]Table 10 CWTs exp'!S30/'[11]Table 10 CWTs exp'!$AA30&gt;0,'[11]Table 10 CWTs exp'!S30/'[11]Table 10 CWTs exp'!$AA30," ")</f>
        <v>#DIV/0!</v>
      </c>
      <c r="T30" s="146" t="e">
        <f>IF('[11]Table 10 CWTs exp'!T30/'[11]Table 10 CWTs exp'!$AA30&gt;0,'[11]Table 10 CWTs exp'!T30/'[11]Table 10 CWTs exp'!$AA30," ")</f>
        <v>#DIV/0!</v>
      </c>
      <c r="U30" s="144" t="e">
        <f>IF('[11]Table 10 CWTs exp'!U30/'[11]Table 10 CWTs exp'!$AA30&gt;0,'[11]Table 10 CWTs exp'!U30/'[11]Table 10 CWTs exp'!$AA30," ")</f>
        <v>#DIV/0!</v>
      </c>
      <c r="V30" s="146" t="e">
        <f>IF('[11]Table 10 CWTs exp'!V30/'[11]Table 10 CWTs exp'!$AA30&gt;0,'[11]Table 10 CWTs exp'!V30/'[11]Table 10 CWTs exp'!$AA30," ")</f>
        <v>#DIV/0!</v>
      </c>
      <c r="W30" s="146" t="e">
        <f>IF('[11]Table 10 CWTs exp'!W30/'[11]Table 10 CWTs exp'!$AA30&gt;0,'[11]Table 10 CWTs exp'!W30/'[11]Table 10 CWTs exp'!$AA30," ")</f>
        <v>#DIV/0!</v>
      </c>
      <c r="X30" s="144" t="e">
        <f>IF('[11]Table 10 CWTs exp'!X30/'[11]Table 10 CWTs exp'!$AA30&gt;0,'[11]Table 10 CWTs exp'!X30/'[11]Table 10 CWTs exp'!$AA30," ")</f>
        <v>#DIV/0!</v>
      </c>
      <c r="Y30" s="147" t="e">
        <f t="shared" si="0"/>
        <v>#DIV/0!</v>
      </c>
      <c r="Z30" s="148" t="e">
        <f t="shared" si="4"/>
        <v>#DIV/0!</v>
      </c>
      <c r="AA30" s="38">
        <f>'[11]Table 10 CWTs exp'!AA30</f>
        <v>0</v>
      </c>
      <c r="AC30" s="592">
        <f>'[11]Table 10 CWTs exp'!AD30</f>
        <v>0</v>
      </c>
      <c r="AD30" s="592" t="e">
        <f t="shared" si="2"/>
        <v>#DIV/0!</v>
      </c>
      <c r="AE30" s="593" t="str">
        <f t="shared" si="3"/>
        <v>YUBB543</v>
      </c>
      <c r="AF30" s="442"/>
      <c r="AG30" s="442"/>
      <c r="AH30" s="648"/>
      <c r="AI30" s="454"/>
      <c r="AJ30" s="442"/>
      <c r="AK30" s="442"/>
    </row>
    <row r="31" spans="1:37" ht="14.5" customHeight="1" x14ac:dyDescent="0.25">
      <c r="A31" s="54" t="str">
        <f>'[11]Table 10 CWTs exp'!A31</f>
        <v>LARC543</v>
      </c>
      <c r="B31" s="75" t="str">
        <f>'[11]Table 10 CWTs exp'!B31</f>
        <v>LARC</v>
      </c>
      <c r="C31" s="75">
        <f>'[11]Table 10 CWTs exp'!C31</f>
        <v>54</v>
      </c>
      <c r="D31" s="75">
        <f>'[11]Table 10 CWTs exp'!D31</f>
        <v>3</v>
      </c>
      <c r="E31" t="str">
        <f>'[11]Table 10 CWTs exp'!E31</f>
        <v>American River</v>
      </c>
      <c r="F31" s="37" t="str">
        <f>'[11]Table 10 CWTs exp'!F31</f>
        <v>Fall</v>
      </c>
      <c r="G31" s="144" t="str">
        <f>IF('[11]Table 10 CWTs exp'!G31/'[11]Table 10 CWTs exp'!$AA31&gt;0,'[11]Table 10 CWTs exp'!G31/'[11]Table 10 CWTs exp'!$AA31," ")</f>
        <v xml:space="preserve"> </v>
      </c>
      <c r="H31" s="145" t="str">
        <f>IF('[11]Table 10 CWTs exp'!H31/'[11]Table 10 CWTs exp'!$AA31&gt;0,'[11]Table 10 CWTs exp'!H31/'[11]Table 10 CWTs exp'!$AA31," ")</f>
        <v xml:space="preserve"> </v>
      </c>
      <c r="I31" s="144" t="str">
        <f>IF('[11]Table 10 CWTs exp'!I31/'[11]Table 10 CWTs exp'!$AA31&gt;0,'[11]Table 10 CWTs exp'!I31/'[11]Table 10 CWTs exp'!$AA31," ")</f>
        <v xml:space="preserve"> </v>
      </c>
      <c r="J31" s="146">
        <f>IF('[11]Table 10 CWTs exp'!J31/'[11]Table 10 CWTs exp'!$AA31&gt;0,'[11]Table 10 CWTs exp'!J31/'[11]Table 10 CWTs exp'!$AA31," ")</f>
        <v>4.9307794424426326E-3</v>
      </c>
      <c r="K31" s="144">
        <f>IF('[11]Table 10 CWTs exp'!K31/'[11]Table 10 CWTs exp'!$AA31&gt;0,'[11]Table 10 CWTs exp'!K31/'[11]Table 10 CWTs exp'!$AA31," ")</f>
        <v>9.4822681585435235E-5</v>
      </c>
      <c r="L31" s="144">
        <f>IF('[11]Table 10 CWTs exp'!L31/'[11]Table 10 CWTs exp'!$AA31&gt;0,'[11]Table 10 CWTs exp'!L31/'[11]Table 10 CWTs exp'!$AA31," ")</f>
        <v>1.4223402237815286E-4</v>
      </c>
      <c r="M31" s="144">
        <f>IF('[11]Table 10 CWTs exp'!M31/'[11]Table 10 CWTs exp'!$AA31&gt;0,'[11]Table 10 CWTs exp'!M31/'[11]Table 10 CWTs exp'!$AA31," ")</f>
        <v>4.3997724255641947E-2</v>
      </c>
      <c r="N31" s="146">
        <f>IF('[11]Table 10 CWTs exp'!N31/'[11]Table 10 CWTs exp'!$AA31&gt;0,'[11]Table 10 CWTs exp'!N31/'[11]Table 10 CWTs exp'!$AA31," ")</f>
        <v>1.194765787976484E-2</v>
      </c>
      <c r="O31" s="144">
        <f>IF('[11]Table 10 CWTs exp'!O31/'[11]Table 10 CWTs exp'!$AA31&gt;0,'[11]Table 10 CWTs exp'!O31/'[11]Table 10 CWTs exp'!$AA31," ")</f>
        <v>0.16366394841646123</v>
      </c>
      <c r="P31" s="146">
        <f>IF('[11]Table 10 CWTs exp'!P31/'[11]Table 10 CWTs exp'!$AA31&gt;0,'[11]Table 10 CWTs exp'!P31/'[11]Table 10 CWTs exp'!$AA31," ")</f>
        <v>0.18656362601934381</v>
      </c>
      <c r="Q31" s="144">
        <f>IF('[11]Table 10 CWTs exp'!Q31/'[11]Table 10 CWTs exp'!$AA31&gt;0,'[11]Table 10 CWTs exp'!Q31/'[11]Table 10 CWTs exp'!$AA31," ")</f>
        <v>9.9563815664706996E-4</v>
      </c>
      <c r="R31" s="144">
        <f>IF('[11]Table 10 CWTs exp'!R31/'[11]Table 10 CWTs exp'!$AA31&gt;0,'[11]Table 10 CWTs exp'!R31/'[11]Table 10 CWTs exp'!$AA31," ")</f>
        <v>0.23283709463303623</v>
      </c>
      <c r="S31" s="144">
        <f>IF('[11]Table 10 CWTs exp'!S31/'[11]Table 10 CWTs exp'!$AA31&gt;0,'[11]Table 10 CWTs exp'!S31/'[11]Table 10 CWTs exp'!$AA31," ")</f>
        <v>5.8790062582969843E-2</v>
      </c>
      <c r="T31" s="146">
        <f>IF('[11]Table 10 CWTs exp'!T31/'[11]Table 10 CWTs exp'!$AA31&gt;0,'[11]Table 10 CWTs exp'!T31/'[11]Table 10 CWTs exp'!$AA31," ")</f>
        <v>4.1153043808078896E-2</v>
      </c>
      <c r="U31" s="144" t="str">
        <f>IF('[11]Table 10 CWTs exp'!U31/'[11]Table 10 CWTs exp'!$AA31&gt;0,'[11]Table 10 CWTs exp'!U31/'[11]Table 10 CWTs exp'!$AA31," ")</f>
        <v xml:space="preserve"> </v>
      </c>
      <c r="V31" s="146">
        <f>IF('[11]Table 10 CWTs exp'!V31/'[11]Table 10 CWTs exp'!$AA31&gt;0,'[11]Table 10 CWTs exp'!V31/'[11]Table 10 CWTs exp'!$AA31," ")</f>
        <v>1.3607054807509957E-2</v>
      </c>
      <c r="W31" s="146">
        <f>IF('[11]Table 10 CWTs exp'!W31/'[11]Table 10 CWTs exp'!$AA31&gt;0,'[11]Table 10 CWTs exp'!W31/'[11]Table 10 CWTs exp'!$AA31," ")</f>
        <v>2.3705670396358808E-4</v>
      </c>
      <c r="X31" s="144" t="str">
        <f>IF('[11]Table 10 CWTs exp'!X31/'[11]Table 10 CWTs exp'!$AA31&gt;0,'[11]Table 10 CWTs exp'!X31/'[11]Table 10 CWTs exp'!$AA31," ")</f>
        <v xml:space="preserve"> </v>
      </c>
      <c r="Y31" s="147">
        <f t="shared" si="0"/>
        <v>0.75896074340982367</v>
      </c>
      <c r="Z31" s="148">
        <f t="shared" si="4"/>
        <v>0.24103925659017633</v>
      </c>
      <c r="AA31" s="38">
        <f>'[11]Table 10 CWTs exp'!AA31</f>
        <v>21092</v>
      </c>
      <c r="AC31" s="592">
        <f>'[11]Table 10 CWTs exp'!AD31</f>
        <v>0.75900000000000001</v>
      </c>
      <c r="AD31" s="592">
        <f t="shared" si="2"/>
        <v>-3.9256590176339756E-5</v>
      </c>
      <c r="AE31" s="593" t="str">
        <f t="shared" si="3"/>
        <v>LARC543</v>
      </c>
      <c r="AF31" s="442"/>
      <c r="AG31" s="442"/>
      <c r="AH31" s="648"/>
      <c r="AI31" s="454"/>
      <c r="AJ31" s="442"/>
      <c r="AK31" s="442"/>
    </row>
    <row r="32" spans="1:37" ht="12.75" hidden="1" customHeight="1" x14ac:dyDescent="0.25">
      <c r="A32" s="54" t="str">
        <f>'[11]Table 10 CWTs exp'!A32</f>
        <v>NIMW593</v>
      </c>
      <c r="B32" s="75" t="str">
        <f>'[11]Table 10 CWTs exp'!B32</f>
        <v>NIMW</v>
      </c>
      <c r="C32" s="75">
        <f>'[11]Table 10 CWTs exp'!C32</f>
        <v>59</v>
      </c>
      <c r="D32" s="75">
        <f>'[11]Table 10 CWTs exp'!D32</f>
        <v>3</v>
      </c>
      <c r="E32" t="str">
        <f>'[11]Table 10 CWTs exp'!E32</f>
        <v>Nimbus Fish Hatchery Weir</v>
      </c>
      <c r="F32" s="37" t="str">
        <f>'[11]Table 10 CWTs exp'!F32</f>
        <v>Fall</v>
      </c>
      <c r="G32" s="144" t="e">
        <f>IF('[11]Table 10 CWTs exp'!G32/'[11]Table 10 CWTs exp'!$AA32&gt;0,'[11]Table 10 CWTs exp'!G32/'[11]Table 10 CWTs exp'!$AA32," ")</f>
        <v>#DIV/0!</v>
      </c>
      <c r="H32" s="145" t="e">
        <f>IF('[11]Table 10 CWTs exp'!H32/'[11]Table 10 CWTs exp'!$AA32&gt;0,'[11]Table 10 CWTs exp'!H32/'[11]Table 10 CWTs exp'!$AA32," ")</f>
        <v>#DIV/0!</v>
      </c>
      <c r="I32" s="144" t="e">
        <f>IF('[11]Table 10 CWTs exp'!I32/'[11]Table 10 CWTs exp'!$AA32&gt;0,'[11]Table 10 CWTs exp'!I32/'[11]Table 10 CWTs exp'!$AA32," ")</f>
        <v>#DIV/0!</v>
      </c>
      <c r="J32" s="146" t="e">
        <f>IF('[11]Table 10 CWTs exp'!J32/'[11]Table 10 CWTs exp'!$AA32&gt;0,'[11]Table 10 CWTs exp'!J32/'[11]Table 10 CWTs exp'!$AA32," ")</f>
        <v>#DIV/0!</v>
      </c>
      <c r="K32" s="144" t="e">
        <f>IF('[11]Table 10 CWTs exp'!K32/'[11]Table 10 CWTs exp'!$AA32&gt;0,'[11]Table 10 CWTs exp'!K32/'[11]Table 10 CWTs exp'!$AA32," ")</f>
        <v>#DIV/0!</v>
      </c>
      <c r="L32" s="144" t="e">
        <f>IF('[11]Table 10 CWTs exp'!L32/'[11]Table 10 CWTs exp'!$AA32&gt;0,'[11]Table 10 CWTs exp'!L32/'[11]Table 10 CWTs exp'!$AA32," ")</f>
        <v>#DIV/0!</v>
      </c>
      <c r="M32" s="144" t="e">
        <f>IF('[11]Table 10 CWTs exp'!M32/'[11]Table 10 CWTs exp'!$AA32&gt;0,'[11]Table 10 CWTs exp'!M32/'[11]Table 10 CWTs exp'!$AA32," ")</f>
        <v>#DIV/0!</v>
      </c>
      <c r="N32" s="146" t="e">
        <f>IF('[11]Table 10 CWTs exp'!N32/'[11]Table 10 CWTs exp'!$AA32&gt;0,'[11]Table 10 CWTs exp'!N32/'[11]Table 10 CWTs exp'!$AA32," ")</f>
        <v>#DIV/0!</v>
      </c>
      <c r="O32" s="144" t="e">
        <f>IF('[11]Table 10 CWTs exp'!O32/'[11]Table 10 CWTs exp'!$AA32&gt;0,'[11]Table 10 CWTs exp'!O32/'[11]Table 10 CWTs exp'!$AA32," ")</f>
        <v>#DIV/0!</v>
      </c>
      <c r="P32" s="146" t="e">
        <f>IF('[11]Table 10 CWTs exp'!P32/'[11]Table 10 CWTs exp'!$AA32&gt;0,'[11]Table 10 CWTs exp'!P32/'[11]Table 10 CWTs exp'!$AA32," ")</f>
        <v>#DIV/0!</v>
      </c>
      <c r="Q32" s="144" t="e">
        <f>IF('[11]Table 10 CWTs exp'!Q32/'[11]Table 10 CWTs exp'!$AA32&gt;0,'[11]Table 10 CWTs exp'!Q32/'[11]Table 10 CWTs exp'!$AA32," ")</f>
        <v>#DIV/0!</v>
      </c>
      <c r="R32" s="144" t="e">
        <f>IF('[11]Table 10 CWTs exp'!R32/'[11]Table 10 CWTs exp'!$AA32&gt;0,'[11]Table 10 CWTs exp'!R32/'[11]Table 10 CWTs exp'!$AA32," ")</f>
        <v>#DIV/0!</v>
      </c>
      <c r="S32" s="144" t="e">
        <f>IF('[11]Table 10 CWTs exp'!S32/'[11]Table 10 CWTs exp'!$AA32&gt;0,'[11]Table 10 CWTs exp'!S32/'[11]Table 10 CWTs exp'!$AA32," ")</f>
        <v>#DIV/0!</v>
      </c>
      <c r="T32" s="146" t="e">
        <f>IF('[11]Table 10 CWTs exp'!T32/'[11]Table 10 CWTs exp'!$AA32&gt;0,'[11]Table 10 CWTs exp'!T32/'[11]Table 10 CWTs exp'!$AA32," ")</f>
        <v>#DIV/0!</v>
      </c>
      <c r="U32" s="144" t="e">
        <f>IF('[11]Table 10 CWTs exp'!U32/'[11]Table 10 CWTs exp'!$AA32&gt;0,'[11]Table 10 CWTs exp'!U32/'[11]Table 10 CWTs exp'!$AA32," ")</f>
        <v>#DIV/0!</v>
      </c>
      <c r="V32" s="146" t="e">
        <f>IF('[11]Table 10 CWTs exp'!V32/'[11]Table 10 CWTs exp'!$AA32&gt;0,'[11]Table 10 CWTs exp'!V32/'[11]Table 10 CWTs exp'!$AA32," ")</f>
        <v>#DIV/0!</v>
      </c>
      <c r="W32" s="146" t="e">
        <f>IF('[11]Table 10 CWTs exp'!W32/'[11]Table 10 CWTs exp'!$AA32&gt;0,'[11]Table 10 CWTs exp'!W32/'[11]Table 10 CWTs exp'!$AA32," ")</f>
        <v>#DIV/0!</v>
      </c>
      <c r="X32" s="144" t="e">
        <f>IF('[11]Table 10 CWTs exp'!X32/'[11]Table 10 CWTs exp'!$AA32&gt;0,'[11]Table 10 CWTs exp'!X32/'[11]Table 10 CWTs exp'!$AA32," ")</f>
        <v>#DIV/0!</v>
      </c>
      <c r="Y32" s="147" t="e">
        <f t="shared" si="0"/>
        <v>#DIV/0!</v>
      </c>
      <c r="Z32" s="148" t="e">
        <f t="shared" si="4"/>
        <v>#DIV/0!</v>
      </c>
      <c r="AA32" s="38">
        <f>'[11]Table 10 CWTs exp'!AA32</f>
        <v>0</v>
      </c>
      <c r="AC32" s="592">
        <f>'[11]Table 10 CWTs exp'!AD32</f>
        <v>0</v>
      </c>
      <c r="AD32" s="592" t="e">
        <f t="shared" si="2"/>
        <v>#DIV/0!</v>
      </c>
      <c r="AE32" s="593" t="str">
        <f t="shared" si="3"/>
        <v>NIMW593</v>
      </c>
      <c r="AF32" s="442"/>
      <c r="AG32" s="442"/>
      <c r="AH32" s="648"/>
      <c r="AI32" s="454"/>
      <c r="AJ32" s="442"/>
      <c r="AK32" s="442"/>
    </row>
    <row r="33" spans="1:37" ht="14.5" customHeight="1" x14ac:dyDescent="0.25">
      <c r="A33" s="54" t="str">
        <f>'[11]Table 10 CWTs exp'!A33</f>
        <v>MOKE543</v>
      </c>
      <c r="B33" s="75" t="str">
        <f>'[11]Table 10 CWTs exp'!B33</f>
        <v>MOKE</v>
      </c>
      <c r="C33" s="75">
        <f>'[11]Table 10 CWTs exp'!C33</f>
        <v>54</v>
      </c>
      <c r="D33" s="75">
        <f>'[11]Table 10 CWTs exp'!D33</f>
        <v>3</v>
      </c>
      <c r="E33" t="str">
        <f>'[11]Table 10 CWTs exp'!E33</f>
        <v>Mokelumne River</v>
      </c>
      <c r="F33" s="37" t="str">
        <f>'[11]Table 10 CWTs exp'!F33</f>
        <v>Fall</v>
      </c>
      <c r="G33" s="144" t="str">
        <f>IF('[11]Table 10 CWTs exp'!G33/'[11]Table 10 CWTs exp'!$AA33&gt;0,'[11]Table 10 CWTs exp'!G33/'[11]Table 10 CWTs exp'!$AA33," ")</f>
        <v xml:space="preserve"> </v>
      </c>
      <c r="H33" s="145" t="str">
        <f>IF('[11]Table 10 CWTs exp'!H33/'[11]Table 10 CWTs exp'!$AA33&gt;0,'[11]Table 10 CWTs exp'!H33/'[11]Table 10 CWTs exp'!$AA33," ")</f>
        <v xml:space="preserve"> </v>
      </c>
      <c r="I33" s="144" t="str">
        <f>IF('[11]Table 10 CWTs exp'!I33/'[11]Table 10 CWTs exp'!$AA33&gt;0,'[11]Table 10 CWTs exp'!I33/'[11]Table 10 CWTs exp'!$AA33," ")</f>
        <v xml:space="preserve"> </v>
      </c>
      <c r="J33" s="146" t="str">
        <f>IF('[11]Table 10 CWTs exp'!J33/'[11]Table 10 CWTs exp'!$AA33&gt;0,'[11]Table 10 CWTs exp'!J33/'[11]Table 10 CWTs exp'!$AA33," ")</f>
        <v xml:space="preserve"> </v>
      </c>
      <c r="K33" s="144" t="str">
        <f>IF('[11]Table 10 CWTs exp'!K33/'[11]Table 10 CWTs exp'!$AA33&gt;0,'[11]Table 10 CWTs exp'!K33/'[11]Table 10 CWTs exp'!$AA33," ")</f>
        <v xml:space="preserve"> </v>
      </c>
      <c r="L33" s="144" t="str">
        <f>IF('[11]Table 10 CWTs exp'!L33/'[11]Table 10 CWTs exp'!$AA33&gt;0,'[11]Table 10 CWTs exp'!L33/'[11]Table 10 CWTs exp'!$AA33," ")</f>
        <v xml:space="preserve"> </v>
      </c>
      <c r="M33" s="144">
        <f>IF('[11]Table 10 CWTs exp'!M33/'[11]Table 10 CWTs exp'!$AA33&gt;0,'[11]Table 10 CWTs exp'!M33/'[11]Table 10 CWTs exp'!$AA33," ")</f>
        <v>7.7573346593734459E-3</v>
      </c>
      <c r="N33" s="146">
        <f>IF('[11]Table 10 CWTs exp'!N33/'[11]Table 10 CWTs exp'!$AA33&gt;0,'[11]Table 10 CWTs exp'!N33/'[11]Table 10 CWTs exp'!$AA33," ")</f>
        <v>3.0830432620586774E-3</v>
      </c>
      <c r="O33" s="144" t="str">
        <f>IF('[11]Table 10 CWTs exp'!O33/'[11]Table 10 CWTs exp'!$AA33&gt;0,'[11]Table 10 CWTs exp'!O33/'[11]Table 10 CWTs exp'!$AA33," ")</f>
        <v xml:space="preserve"> </v>
      </c>
      <c r="P33" s="146">
        <f>IF('[11]Table 10 CWTs exp'!P33/'[11]Table 10 CWTs exp'!$AA33&gt;0,'[11]Table 10 CWTs exp'!P33/'[11]Table 10 CWTs exp'!$AA33," ")</f>
        <v>4.6146195922426657E-2</v>
      </c>
      <c r="Q33" s="144">
        <f>IF('[11]Table 10 CWTs exp'!Q33/'[11]Table 10 CWTs exp'!$AA33&gt;0,'[11]Table 10 CWTs exp'!Q33/'[11]Table 10 CWTs exp'!$AA33," ")</f>
        <v>1.233217304823471E-2</v>
      </c>
      <c r="R33" s="144">
        <f>IF('[11]Table 10 CWTs exp'!R33/'[11]Table 10 CWTs exp'!$AA33&gt;0,'[11]Table 10 CWTs exp'!R33/'[11]Table 10 CWTs exp'!$AA33," ")</f>
        <v>0.69656887120835409</v>
      </c>
      <c r="S33" s="144">
        <f>IF('[11]Table 10 CWTs exp'!S33/'[11]Table 10 CWTs exp'!$AA33&gt;0,'[11]Table 10 CWTs exp'!S33/'[11]Table 10 CWTs exp'!$AA33," ")</f>
        <v>4.2665340626553951E-2</v>
      </c>
      <c r="T33" s="146">
        <f>IF('[11]Table 10 CWTs exp'!T33/'[11]Table 10 CWTs exp'!$AA33&gt;0,'[11]Table 10 CWTs exp'!T33/'[11]Table 10 CWTs exp'!$AA33," ")</f>
        <v>4.6544007956240675E-2</v>
      </c>
      <c r="U33" s="144">
        <f>IF('[11]Table 10 CWTs exp'!U33/'[11]Table 10 CWTs exp'!$AA33&gt;0,'[11]Table 10 CWTs exp'!U33/'[11]Table 10 CWTs exp'!$AA33," ")</f>
        <v>4.375932371954252E-3</v>
      </c>
      <c r="V33" s="146">
        <f>IF('[11]Table 10 CWTs exp'!V33/'[11]Table 10 CWTs exp'!$AA33&gt;0,'[11]Table 10 CWTs exp'!V33/'[11]Table 10 CWTs exp'!$AA33," ")</f>
        <v>1.4917951268025857E-2</v>
      </c>
      <c r="W33" s="146" t="str">
        <f>IF('[11]Table 10 CWTs exp'!W33/'[11]Table 10 CWTs exp'!$AA33&gt;0,'[11]Table 10 CWTs exp'!W33/'[11]Table 10 CWTs exp'!$AA33," ")</f>
        <v xml:space="preserve"> </v>
      </c>
      <c r="X33" s="144" t="str">
        <f>IF('[11]Table 10 CWTs exp'!X33/'[11]Table 10 CWTs exp'!$AA33&gt;0,'[11]Table 10 CWTs exp'!X33/'[11]Table 10 CWTs exp'!$AA33," ")</f>
        <v xml:space="preserve"> </v>
      </c>
      <c r="Y33" s="147">
        <f t="shared" si="0"/>
        <v>0.87439085032322228</v>
      </c>
      <c r="Z33" s="148">
        <f t="shared" si="4"/>
        <v>0.12560914967677772</v>
      </c>
      <c r="AA33" s="38">
        <f>'[11]Table 10 CWTs exp'!AA33</f>
        <v>10055</v>
      </c>
      <c r="AC33" s="592">
        <f>'[11]Table 10 CWTs exp'!AD33</f>
        <v>0.874</v>
      </c>
      <c r="AD33" s="592">
        <f t="shared" si="2"/>
        <v>3.9085032322228042E-4</v>
      </c>
      <c r="AE33" s="593" t="str">
        <f t="shared" si="3"/>
        <v>MOKE543</v>
      </c>
      <c r="AF33" s="442"/>
      <c r="AG33" s="442"/>
      <c r="AH33" s="648"/>
      <c r="AI33" s="454"/>
      <c r="AJ33" s="442"/>
      <c r="AK33" s="442"/>
    </row>
    <row r="34" spans="1:37" ht="12.75" hidden="1" customHeight="1" x14ac:dyDescent="0.25">
      <c r="A34" s="54" t="str">
        <f>'[11]Table 10 CWTs exp'!A34</f>
        <v>COSU543</v>
      </c>
      <c r="B34" s="75" t="str">
        <f>'[11]Table 10 CWTs exp'!B34</f>
        <v>COSU</v>
      </c>
      <c r="C34" s="75">
        <f>'[11]Table 10 CWTs exp'!C34</f>
        <v>54</v>
      </c>
      <c r="D34" s="75">
        <f>'[11]Table 10 CWTs exp'!D34</f>
        <v>3</v>
      </c>
      <c r="E34" t="str">
        <f>'[11]Table 10 CWTs exp'!E34</f>
        <v>Cosumnes River</v>
      </c>
      <c r="F34" s="37" t="str">
        <f>'[11]Table 10 CWTs exp'!F34</f>
        <v>Fall</v>
      </c>
      <c r="G34" s="144" t="e">
        <f>IF('[11]Table 10 CWTs exp'!G34/'[11]Table 10 CWTs exp'!$AA34&gt;0,'[11]Table 10 CWTs exp'!G34/'[11]Table 10 CWTs exp'!$AA34," ")</f>
        <v>#DIV/0!</v>
      </c>
      <c r="H34" s="145" t="e">
        <f>IF('[11]Table 10 CWTs exp'!H34/'[11]Table 10 CWTs exp'!$AA34&gt;0,'[11]Table 10 CWTs exp'!H34/'[11]Table 10 CWTs exp'!$AA34," ")</f>
        <v>#DIV/0!</v>
      </c>
      <c r="I34" s="144" t="e">
        <f>IF('[11]Table 10 CWTs exp'!I34/'[11]Table 10 CWTs exp'!$AA34&gt;0,'[11]Table 10 CWTs exp'!I34/'[11]Table 10 CWTs exp'!$AA34," ")</f>
        <v>#DIV/0!</v>
      </c>
      <c r="J34" s="146" t="e">
        <f>IF('[11]Table 10 CWTs exp'!J34/'[11]Table 10 CWTs exp'!$AA34&gt;0,'[11]Table 10 CWTs exp'!J34/'[11]Table 10 CWTs exp'!$AA34," ")</f>
        <v>#DIV/0!</v>
      </c>
      <c r="K34" s="144" t="e">
        <f>IF('[11]Table 10 CWTs exp'!K34/'[11]Table 10 CWTs exp'!$AA34&gt;0,'[11]Table 10 CWTs exp'!K34/'[11]Table 10 CWTs exp'!$AA34," ")</f>
        <v>#DIV/0!</v>
      </c>
      <c r="L34" s="144" t="e">
        <f>IF('[11]Table 10 CWTs exp'!L34/'[11]Table 10 CWTs exp'!$AA34&gt;0,'[11]Table 10 CWTs exp'!L34/'[11]Table 10 CWTs exp'!$AA34," ")</f>
        <v>#DIV/0!</v>
      </c>
      <c r="M34" s="144" t="e">
        <f>IF('[11]Table 10 CWTs exp'!M34/'[11]Table 10 CWTs exp'!$AA34&gt;0,'[11]Table 10 CWTs exp'!M34/'[11]Table 10 CWTs exp'!$AA34," ")</f>
        <v>#DIV/0!</v>
      </c>
      <c r="N34" s="146" t="e">
        <f>IF('[11]Table 10 CWTs exp'!N34/'[11]Table 10 CWTs exp'!$AA34&gt;0,'[11]Table 10 CWTs exp'!N34/'[11]Table 10 CWTs exp'!$AA34," ")</f>
        <v>#DIV/0!</v>
      </c>
      <c r="O34" s="144" t="e">
        <f>IF('[11]Table 10 CWTs exp'!O34/'[11]Table 10 CWTs exp'!$AA34&gt;0,'[11]Table 10 CWTs exp'!O34/'[11]Table 10 CWTs exp'!$AA34," ")</f>
        <v>#DIV/0!</v>
      </c>
      <c r="P34" s="146" t="e">
        <f>IF('[11]Table 10 CWTs exp'!P34/'[11]Table 10 CWTs exp'!$AA34&gt;0,'[11]Table 10 CWTs exp'!P34/'[11]Table 10 CWTs exp'!$AA34," ")</f>
        <v>#DIV/0!</v>
      </c>
      <c r="Q34" s="144" t="e">
        <f>IF('[11]Table 10 CWTs exp'!Q34/'[11]Table 10 CWTs exp'!$AA34&gt;0,'[11]Table 10 CWTs exp'!Q34/'[11]Table 10 CWTs exp'!$AA34," ")</f>
        <v>#DIV/0!</v>
      </c>
      <c r="R34" s="144" t="e">
        <f>IF('[11]Table 10 CWTs exp'!R34/'[11]Table 10 CWTs exp'!$AA34&gt;0,'[11]Table 10 CWTs exp'!R34/'[11]Table 10 CWTs exp'!$AA34," ")</f>
        <v>#DIV/0!</v>
      </c>
      <c r="S34" s="144" t="e">
        <f>IF('[11]Table 10 CWTs exp'!S34/'[11]Table 10 CWTs exp'!$AA34&gt;0,'[11]Table 10 CWTs exp'!S34/'[11]Table 10 CWTs exp'!$AA34," ")</f>
        <v>#DIV/0!</v>
      </c>
      <c r="T34" s="146" t="e">
        <f>IF('[11]Table 10 CWTs exp'!T34/'[11]Table 10 CWTs exp'!$AA34&gt;0,'[11]Table 10 CWTs exp'!T34/'[11]Table 10 CWTs exp'!$AA34," ")</f>
        <v>#DIV/0!</v>
      </c>
      <c r="U34" s="144" t="e">
        <f>IF('[11]Table 10 CWTs exp'!U34/'[11]Table 10 CWTs exp'!$AA34&gt;0,'[11]Table 10 CWTs exp'!U34/'[11]Table 10 CWTs exp'!$AA34," ")</f>
        <v>#DIV/0!</v>
      </c>
      <c r="V34" s="146" t="e">
        <f>IF('[11]Table 10 CWTs exp'!V34/'[11]Table 10 CWTs exp'!$AA34&gt;0,'[11]Table 10 CWTs exp'!V34/'[11]Table 10 CWTs exp'!$AA34," ")</f>
        <v>#DIV/0!</v>
      </c>
      <c r="W34" s="146" t="e">
        <f>IF('[11]Table 10 CWTs exp'!W34/'[11]Table 10 CWTs exp'!$AA34&gt;0,'[11]Table 10 CWTs exp'!W34/'[11]Table 10 CWTs exp'!$AA34," ")</f>
        <v>#DIV/0!</v>
      </c>
      <c r="X34" s="144" t="e">
        <f>IF('[11]Table 10 CWTs exp'!X34/'[11]Table 10 CWTs exp'!$AA34&gt;0,'[11]Table 10 CWTs exp'!X34/'[11]Table 10 CWTs exp'!$AA34," ")</f>
        <v>#DIV/0!</v>
      </c>
      <c r="Y34" s="147" t="e">
        <f t="shared" si="0"/>
        <v>#DIV/0!</v>
      </c>
      <c r="Z34" s="148" t="e">
        <f t="shared" si="4"/>
        <v>#DIV/0!</v>
      </c>
      <c r="AA34" s="38">
        <f>'[11]Table 10 CWTs exp'!AA34</f>
        <v>0</v>
      </c>
      <c r="AC34" s="592">
        <f>'[11]Table 10 CWTs exp'!AD34</f>
        <v>0</v>
      </c>
      <c r="AD34" s="592" t="e">
        <f t="shared" si="2"/>
        <v>#DIV/0!</v>
      </c>
      <c r="AE34" s="593" t="str">
        <f t="shared" si="3"/>
        <v>COSU543</v>
      </c>
      <c r="AF34" s="442"/>
      <c r="AG34" s="442"/>
      <c r="AH34" s="648"/>
      <c r="AI34" s="454"/>
      <c r="AJ34" s="442"/>
      <c r="AK34" s="442"/>
    </row>
    <row r="35" spans="1:37" ht="12.75" hidden="1" customHeight="1" x14ac:dyDescent="0.25">
      <c r="A35" s="54" t="str">
        <f>'[11]Table 10 CWTs exp'!A35</f>
        <v>CAL543</v>
      </c>
      <c r="B35" s="75" t="str">
        <f>'[11]Table 10 CWTs exp'!B35</f>
        <v>CAL</v>
      </c>
      <c r="C35" s="75">
        <f>'[11]Table 10 CWTs exp'!C35</f>
        <v>54</v>
      </c>
      <c r="D35" s="75">
        <f>'[11]Table 10 CWTs exp'!D35</f>
        <v>3</v>
      </c>
      <c r="E35" t="str">
        <f>'[11]Table 10 CWTs exp'!E35</f>
        <v>Calaveras River*</v>
      </c>
      <c r="F35" s="37" t="str">
        <f>'[11]Table 10 CWTs exp'!F35</f>
        <v>Fall</v>
      </c>
      <c r="G35" s="144" t="e">
        <f>IF('[11]Table 10 CWTs exp'!G35/'[11]Table 10 CWTs exp'!$AA35&gt;0,'[11]Table 10 CWTs exp'!G35/'[11]Table 10 CWTs exp'!$AA35," ")</f>
        <v>#DIV/0!</v>
      </c>
      <c r="H35" s="145" t="e">
        <f>IF('[11]Table 10 CWTs exp'!H35/'[11]Table 10 CWTs exp'!$AA35&gt;0,'[11]Table 10 CWTs exp'!H35/'[11]Table 10 CWTs exp'!$AA35," ")</f>
        <v>#DIV/0!</v>
      </c>
      <c r="I35" s="144" t="e">
        <f>IF('[11]Table 10 CWTs exp'!I35/'[11]Table 10 CWTs exp'!$AA35&gt;0,'[11]Table 10 CWTs exp'!I35/'[11]Table 10 CWTs exp'!$AA35," ")</f>
        <v>#DIV/0!</v>
      </c>
      <c r="J35" s="146" t="e">
        <f>IF('[11]Table 10 CWTs exp'!J35/'[11]Table 10 CWTs exp'!$AA35&gt;0,'[11]Table 10 CWTs exp'!J35/'[11]Table 10 CWTs exp'!$AA35," ")</f>
        <v>#DIV/0!</v>
      </c>
      <c r="K35" s="144" t="e">
        <f>IF('[11]Table 10 CWTs exp'!K35/'[11]Table 10 CWTs exp'!$AA35&gt;0,'[11]Table 10 CWTs exp'!K35/'[11]Table 10 CWTs exp'!$AA35," ")</f>
        <v>#DIV/0!</v>
      </c>
      <c r="L35" s="144" t="e">
        <f>IF('[11]Table 10 CWTs exp'!L35/'[11]Table 10 CWTs exp'!$AA35&gt;0,'[11]Table 10 CWTs exp'!L35/'[11]Table 10 CWTs exp'!$AA35," ")</f>
        <v>#DIV/0!</v>
      </c>
      <c r="M35" s="144" t="e">
        <f>IF('[11]Table 10 CWTs exp'!M35/'[11]Table 10 CWTs exp'!$AA35&gt;0,'[11]Table 10 CWTs exp'!M35/'[11]Table 10 CWTs exp'!$AA35," ")</f>
        <v>#DIV/0!</v>
      </c>
      <c r="N35" s="146" t="e">
        <f>IF('[11]Table 10 CWTs exp'!N35/'[11]Table 10 CWTs exp'!$AA35&gt;0,'[11]Table 10 CWTs exp'!N35/'[11]Table 10 CWTs exp'!$AA35," ")</f>
        <v>#DIV/0!</v>
      </c>
      <c r="O35" s="144" t="e">
        <f>IF('[11]Table 10 CWTs exp'!O35/'[11]Table 10 CWTs exp'!$AA35&gt;0,'[11]Table 10 CWTs exp'!O35/'[11]Table 10 CWTs exp'!$AA35," ")</f>
        <v>#DIV/0!</v>
      </c>
      <c r="P35" s="146" t="e">
        <f>IF('[11]Table 10 CWTs exp'!P35/'[11]Table 10 CWTs exp'!$AA35&gt;0,'[11]Table 10 CWTs exp'!P35/'[11]Table 10 CWTs exp'!$AA35," ")</f>
        <v>#DIV/0!</v>
      </c>
      <c r="Q35" s="144" t="e">
        <f>IF('[11]Table 10 CWTs exp'!Q35/'[11]Table 10 CWTs exp'!$AA35&gt;0,'[11]Table 10 CWTs exp'!Q35/'[11]Table 10 CWTs exp'!$AA35," ")</f>
        <v>#DIV/0!</v>
      </c>
      <c r="R35" s="144" t="e">
        <f>IF('[11]Table 10 CWTs exp'!R35/'[11]Table 10 CWTs exp'!$AA35&gt;0,'[11]Table 10 CWTs exp'!R35/'[11]Table 10 CWTs exp'!$AA35," ")</f>
        <v>#DIV/0!</v>
      </c>
      <c r="S35" s="144" t="e">
        <f>IF('[11]Table 10 CWTs exp'!S35/'[11]Table 10 CWTs exp'!$AA35&gt;0,'[11]Table 10 CWTs exp'!S35/'[11]Table 10 CWTs exp'!$AA35," ")</f>
        <v>#DIV/0!</v>
      </c>
      <c r="T35" s="146" t="e">
        <f>IF('[11]Table 10 CWTs exp'!T35/'[11]Table 10 CWTs exp'!$AA35&gt;0,'[11]Table 10 CWTs exp'!T35/'[11]Table 10 CWTs exp'!$AA35," ")</f>
        <v>#DIV/0!</v>
      </c>
      <c r="U35" s="144" t="e">
        <f>IF('[11]Table 10 CWTs exp'!U35/'[11]Table 10 CWTs exp'!$AA35&gt;0,'[11]Table 10 CWTs exp'!U35/'[11]Table 10 CWTs exp'!$AA35," ")</f>
        <v>#DIV/0!</v>
      </c>
      <c r="V35" s="146" t="e">
        <f>IF('[11]Table 10 CWTs exp'!V35/'[11]Table 10 CWTs exp'!$AA35&gt;0,'[11]Table 10 CWTs exp'!V35/'[11]Table 10 CWTs exp'!$AA35," ")</f>
        <v>#DIV/0!</v>
      </c>
      <c r="W35" s="146" t="e">
        <f>IF('[11]Table 10 CWTs exp'!W35/'[11]Table 10 CWTs exp'!$AA35&gt;0,'[11]Table 10 CWTs exp'!W35/'[11]Table 10 CWTs exp'!$AA35," ")</f>
        <v>#DIV/0!</v>
      </c>
      <c r="X35" s="144" t="e">
        <f>IF('[11]Table 10 CWTs exp'!X35/'[11]Table 10 CWTs exp'!$AA35&gt;0,'[11]Table 10 CWTs exp'!X35/'[11]Table 10 CWTs exp'!$AA35," ")</f>
        <v>#DIV/0!</v>
      </c>
      <c r="Y35" s="147" t="e">
        <f t="shared" si="0"/>
        <v>#DIV/0!</v>
      </c>
      <c r="Z35" s="148" t="e">
        <f t="shared" si="4"/>
        <v>#DIV/0!</v>
      </c>
      <c r="AA35" s="38">
        <f>'[11]Table 10 CWTs exp'!AA35</f>
        <v>0</v>
      </c>
      <c r="AC35" s="592">
        <f>'[11]Table 10 CWTs exp'!AD35</f>
        <v>0</v>
      </c>
      <c r="AD35" s="592" t="e">
        <f t="shared" si="2"/>
        <v>#DIV/0!</v>
      </c>
      <c r="AE35" s="593" t="str">
        <f t="shared" si="3"/>
        <v>CAL543</v>
      </c>
      <c r="AF35" s="442"/>
      <c r="AG35" s="442"/>
      <c r="AH35" s="648"/>
      <c r="AI35" s="454"/>
      <c r="AJ35" s="442"/>
      <c r="AK35" s="442"/>
    </row>
    <row r="36" spans="1:37" ht="14.5" customHeight="1" x14ac:dyDescent="0.25">
      <c r="A36" s="54" t="str">
        <f>'[11]Table 10 CWTs exp'!A36</f>
        <v>STA543</v>
      </c>
      <c r="B36" s="75" t="str">
        <f>'[11]Table 10 CWTs exp'!B36</f>
        <v>STA</v>
      </c>
      <c r="C36" s="75">
        <f>'[11]Table 10 CWTs exp'!C36</f>
        <v>54</v>
      </c>
      <c r="D36" s="75">
        <f>'[11]Table 10 CWTs exp'!D36</f>
        <v>3</v>
      </c>
      <c r="E36" t="str">
        <f>'[11]Table 10 CWTs exp'!E36</f>
        <v>Stanislaus River</v>
      </c>
      <c r="F36" s="37" t="str">
        <f>'[11]Table 10 CWTs exp'!F36</f>
        <v>Fall</v>
      </c>
      <c r="G36" s="144" t="str">
        <f>IF('[11]Table 10 CWTs exp'!G36/'[11]Table 10 CWTs exp'!$AA36&gt;0,'[11]Table 10 CWTs exp'!G36/'[11]Table 10 CWTs exp'!$AA36," ")</f>
        <v xml:space="preserve"> </v>
      </c>
      <c r="H36" s="145" t="str">
        <f>IF('[11]Table 10 CWTs exp'!H36/'[11]Table 10 CWTs exp'!$AA36&gt;0,'[11]Table 10 CWTs exp'!H36/'[11]Table 10 CWTs exp'!$AA36," ")</f>
        <v xml:space="preserve"> </v>
      </c>
      <c r="I36" s="144" t="str">
        <f>IF('[11]Table 10 CWTs exp'!I36/'[11]Table 10 CWTs exp'!$AA36&gt;0,'[11]Table 10 CWTs exp'!I36/'[11]Table 10 CWTs exp'!$AA36," ")</f>
        <v xml:space="preserve"> </v>
      </c>
      <c r="J36" s="146" t="str">
        <f>IF('[11]Table 10 CWTs exp'!J36/'[11]Table 10 CWTs exp'!$AA36&gt;0,'[11]Table 10 CWTs exp'!J36/'[11]Table 10 CWTs exp'!$AA36," ")</f>
        <v xml:space="preserve"> </v>
      </c>
      <c r="K36" s="144" t="str">
        <f>IF('[11]Table 10 CWTs exp'!K36/'[11]Table 10 CWTs exp'!$AA36&gt;0,'[11]Table 10 CWTs exp'!K36/'[11]Table 10 CWTs exp'!$AA36," ")</f>
        <v xml:space="preserve"> </v>
      </c>
      <c r="L36" s="144" t="str">
        <f>IF('[11]Table 10 CWTs exp'!L36/'[11]Table 10 CWTs exp'!$AA36&gt;0,'[11]Table 10 CWTs exp'!L36/'[11]Table 10 CWTs exp'!$AA36," ")</f>
        <v xml:space="preserve"> </v>
      </c>
      <c r="M36" s="144">
        <f>IF('[11]Table 10 CWTs exp'!M36/'[11]Table 10 CWTs exp'!$AA36&gt;0,'[11]Table 10 CWTs exp'!M36/'[11]Table 10 CWTs exp'!$AA36," ")</f>
        <v>7.1518721076987797E-3</v>
      </c>
      <c r="N36" s="146" t="str">
        <f>IF('[11]Table 10 CWTs exp'!N36/'[11]Table 10 CWTs exp'!$AA36&gt;0,'[11]Table 10 CWTs exp'!N36/'[11]Table 10 CWTs exp'!$AA36," ")</f>
        <v xml:space="preserve"> </v>
      </c>
      <c r="O36" s="144" t="str">
        <f>IF('[11]Table 10 CWTs exp'!O36/'[11]Table 10 CWTs exp'!$AA36&gt;0,'[11]Table 10 CWTs exp'!O36/'[11]Table 10 CWTs exp'!$AA36," ")</f>
        <v xml:space="preserve"> </v>
      </c>
      <c r="P36" s="146">
        <f>IF('[11]Table 10 CWTs exp'!P36/'[11]Table 10 CWTs exp'!$AA36&gt;0,'[11]Table 10 CWTs exp'!P36/'[11]Table 10 CWTs exp'!$AA36," ")</f>
        <v>1.3883045856121162E-2</v>
      </c>
      <c r="Q36" s="144">
        <f>IF('[11]Table 10 CWTs exp'!Q36/'[11]Table 10 CWTs exp'!$AA36&gt;0,'[11]Table 10 CWTs exp'!Q36/'[11]Table 10 CWTs exp'!$AA36," ")</f>
        <v>1.6827934371055953E-3</v>
      </c>
      <c r="R36" s="144">
        <f>IF('[11]Table 10 CWTs exp'!R36/'[11]Table 10 CWTs exp'!$AA36&gt;0,'[11]Table 10 CWTs exp'!R36/'[11]Table 10 CWTs exp'!$AA36," ")</f>
        <v>0.64745477492637782</v>
      </c>
      <c r="S36" s="144">
        <f>IF('[11]Table 10 CWTs exp'!S36/'[11]Table 10 CWTs exp'!$AA36&gt;0,'[11]Table 10 CWTs exp'!S36/'[11]Table 10 CWTs exp'!$AA36," ")</f>
        <v>1.9352124526714348E-2</v>
      </c>
      <c r="T36" s="146">
        <f>IF('[11]Table 10 CWTs exp'!T36/'[11]Table 10 CWTs exp'!$AA36&gt;0,'[11]Table 10 CWTs exp'!T36/'[11]Table 10 CWTs exp'!$AA36," ")</f>
        <v>1.9352124526714348E-2</v>
      </c>
      <c r="U36" s="144" t="str">
        <f>IF('[11]Table 10 CWTs exp'!U36/'[11]Table 10 CWTs exp'!$AA36&gt;0,'[11]Table 10 CWTs exp'!U36/'[11]Table 10 CWTs exp'!$AA36," ")</f>
        <v xml:space="preserve"> </v>
      </c>
      <c r="V36" s="146">
        <f>IF('[11]Table 10 CWTs exp'!V36/'[11]Table 10 CWTs exp'!$AA36&gt;0,'[11]Table 10 CWTs exp'!V36/'[11]Table 10 CWTs exp'!$AA36," ")</f>
        <v>4.2911232646192683E-2</v>
      </c>
      <c r="W36" s="146" t="str">
        <f>IF('[11]Table 10 CWTs exp'!W36/'[11]Table 10 CWTs exp'!$AA36&gt;0,'[11]Table 10 CWTs exp'!W36/'[11]Table 10 CWTs exp'!$AA36," ")</f>
        <v xml:space="preserve"> </v>
      </c>
      <c r="X36" s="144" t="str">
        <f>IF('[11]Table 10 CWTs exp'!X36/'[11]Table 10 CWTs exp'!$AA36&gt;0,'[11]Table 10 CWTs exp'!X36/'[11]Table 10 CWTs exp'!$AA36," ")</f>
        <v xml:space="preserve"> </v>
      </c>
      <c r="Y36" s="147">
        <f t="shared" si="0"/>
        <v>0.7517879680269246</v>
      </c>
      <c r="Z36" s="148">
        <f t="shared" si="4"/>
        <v>0.2482120319730754</v>
      </c>
      <c r="AA36" s="38">
        <f>'[11]Table 10 CWTs exp'!AA36</f>
        <v>2377</v>
      </c>
      <c r="AC36" s="592">
        <f>'[11]Table 10 CWTs exp'!AD36</f>
        <v>0.752</v>
      </c>
      <c r="AD36" s="592">
        <f t="shared" si="2"/>
        <v>-2.1203197307539945E-4</v>
      </c>
      <c r="AE36" s="593" t="str">
        <f t="shared" si="3"/>
        <v>STA543</v>
      </c>
      <c r="AF36" s="442"/>
      <c r="AG36" s="442"/>
      <c r="AH36" s="648"/>
      <c r="AI36" s="454"/>
      <c r="AJ36" s="442"/>
      <c r="AK36" s="442"/>
    </row>
    <row r="37" spans="1:37" ht="14.5" customHeight="1" x14ac:dyDescent="0.25">
      <c r="A37" s="54" t="str">
        <f>'[11]Table 10 CWTs exp'!A37</f>
        <v>TUO543</v>
      </c>
      <c r="B37" s="75" t="str">
        <f>'[11]Table 10 CWTs exp'!B37</f>
        <v>TUO</v>
      </c>
      <c r="C37" s="75">
        <f>'[11]Table 10 CWTs exp'!C37</f>
        <v>54</v>
      </c>
      <c r="D37" s="75">
        <f>'[11]Table 10 CWTs exp'!D37</f>
        <v>3</v>
      </c>
      <c r="E37" t="str">
        <f>'[11]Table 10 CWTs exp'!E37</f>
        <v>Tuolumne River</v>
      </c>
      <c r="F37" s="37" t="str">
        <f>'[11]Table 10 CWTs exp'!F37</f>
        <v>Fall</v>
      </c>
      <c r="G37" s="144" t="str">
        <f>IF('[11]Table 10 CWTs exp'!G37/'[11]Table 10 CWTs exp'!$AA37&gt;0,'[11]Table 10 CWTs exp'!G37/'[11]Table 10 CWTs exp'!$AA37," ")</f>
        <v xml:space="preserve"> </v>
      </c>
      <c r="H37" s="145" t="str">
        <f>IF('[11]Table 10 CWTs exp'!H37/'[11]Table 10 CWTs exp'!$AA37&gt;0,'[11]Table 10 CWTs exp'!H37/'[11]Table 10 CWTs exp'!$AA37," ")</f>
        <v xml:space="preserve"> </v>
      </c>
      <c r="I37" s="144" t="str">
        <f>IF('[11]Table 10 CWTs exp'!I37/'[11]Table 10 CWTs exp'!$AA37&gt;0,'[11]Table 10 CWTs exp'!I37/'[11]Table 10 CWTs exp'!$AA37," ")</f>
        <v xml:space="preserve"> </v>
      </c>
      <c r="J37" s="146" t="str">
        <f>IF('[11]Table 10 CWTs exp'!J37/'[11]Table 10 CWTs exp'!$AA37&gt;0,'[11]Table 10 CWTs exp'!J37/'[11]Table 10 CWTs exp'!$AA37," ")</f>
        <v xml:space="preserve"> </v>
      </c>
      <c r="K37" s="144" t="str">
        <f>IF('[11]Table 10 CWTs exp'!K37/'[11]Table 10 CWTs exp'!$AA37&gt;0,'[11]Table 10 CWTs exp'!K37/'[11]Table 10 CWTs exp'!$AA37," ")</f>
        <v xml:space="preserve"> </v>
      </c>
      <c r="L37" s="144" t="str">
        <f>IF('[11]Table 10 CWTs exp'!L37/'[11]Table 10 CWTs exp'!$AA37&gt;0,'[11]Table 10 CWTs exp'!L37/'[11]Table 10 CWTs exp'!$AA37," ")</f>
        <v xml:space="preserve"> </v>
      </c>
      <c r="M37" s="144">
        <f>IF('[11]Table 10 CWTs exp'!M37/'[11]Table 10 CWTs exp'!$AA37&gt;0,'[11]Table 10 CWTs exp'!M37/'[11]Table 10 CWTs exp'!$AA37," ")</f>
        <v>1.5784586815227482E-2</v>
      </c>
      <c r="N37" s="146">
        <f>IF('[11]Table 10 CWTs exp'!N37/'[11]Table 10 CWTs exp'!$AA37&gt;0,'[11]Table 10 CWTs exp'!N37/'[11]Table 10 CWTs exp'!$AA37," ")</f>
        <v>1.5784586815227482E-2</v>
      </c>
      <c r="O37" s="144" t="str">
        <f>IF('[11]Table 10 CWTs exp'!O37/'[11]Table 10 CWTs exp'!$AA37&gt;0,'[11]Table 10 CWTs exp'!O37/'[11]Table 10 CWTs exp'!$AA37," ")</f>
        <v xml:space="preserve"> </v>
      </c>
      <c r="P37" s="146">
        <f>IF('[11]Table 10 CWTs exp'!P37/'[11]Table 10 CWTs exp'!$AA37&gt;0,'[11]Table 10 CWTs exp'!P37/'[11]Table 10 CWTs exp'!$AA37," ")</f>
        <v>2.3212627669452181E-2</v>
      </c>
      <c r="Q37" s="144" t="str">
        <f>IF('[11]Table 10 CWTs exp'!Q37/'[11]Table 10 CWTs exp'!$AA37&gt;0,'[11]Table 10 CWTs exp'!Q37/'[11]Table 10 CWTs exp'!$AA37," ")</f>
        <v xml:space="preserve"> </v>
      </c>
      <c r="R37" s="144">
        <f>IF('[11]Table 10 CWTs exp'!R37/'[11]Table 10 CWTs exp'!$AA37&gt;0,'[11]Table 10 CWTs exp'!R37/'[11]Table 10 CWTs exp'!$AA37," ")</f>
        <v>0.39647168059424326</v>
      </c>
      <c r="S37" s="144">
        <f>IF('[11]Table 10 CWTs exp'!S37/'[11]Table 10 CWTs exp'!$AA37&gt;0,'[11]Table 10 CWTs exp'!S37/'[11]Table 10 CWTs exp'!$AA37," ")</f>
        <v>3.7140204271123491E-3</v>
      </c>
      <c r="T37" s="146">
        <f>IF('[11]Table 10 CWTs exp'!T37/'[11]Table 10 CWTs exp'!$AA37&gt;0,'[11]Table 10 CWTs exp'!T37/'[11]Table 10 CWTs exp'!$AA37," ")</f>
        <v>7.4280408542246983E-3</v>
      </c>
      <c r="U37" s="144" t="str">
        <f>IF('[11]Table 10 CWTs exp'!U37/'[11]Table 10 CWTs exp'!$AA37&gt;0,'[11]Table 10 CWTs exp'!U37/'[11]Table 10 CWTs exp'!$AA37," ")</f>
        <v xml:space="preserve"> </v>
      </c>
      <c r="V37" s="146">
        <f>IF('[11]Table 10 CWTs exp'!V37/'[11]Table 10 CWTs exp'!$AA37&gt;0,'[11]Table 10 CWTs exp'!V37/'[11]Table 10 CWTs exp'!$AA37," ")</f>
        <v>0.11234911792014857</v>
      </c>
      <c r="W37" s="146" t="str">
        <f>IF('[11]Table 10 CWTs exp'!W37/'[11]Table 10 CWTs exp'!$AA37&gt;0,'[11]Table 10 CWTs exp'!W37/'[11]Table 10 CWTs exp'!$AA37," ")</f>
        <v xml:space="preserve"> </v>
      </c>
      <c r="X37" s="144" t="str">
        <f>IF('[11]Table 10 CWTs exp'!X37/'[11]Table 10 CWTs exp'!$AA37&gt;0,'[11]Table 10 CWTs exp'!X37/'[11]Table 10 CWTs exp'!$AA37," ")</f>
        <v xml:space="preserve"> </v>
      </c>
      <c r="Y37" s="147">
        <f t="shared" si="0"/>
        <v>0.57474466109563593</v>
      </c>
      <c r="Z37" s="148">
        <f t="shared" si="4"/>
        <v>0.42525533890436407</v>
      </c>
      <c r="AA37" s="38">
        <f>'[11]Table 10 CWTs exp'!AA37</f>
        <v>1077</v>
      </c>
      <c r="AC37" s="592">
        <f>'[11]Table 10 CWTs exp'!AD37</f>
        <v>0.57499999999999996</v>
      </c>
      <c r="AD37" s="592">
        <f t="shared" si="2"/>
        <v>-2.5533890436402196E-4</v>
      </c>
      <c r="AE37" s="593" t="str">
        <f t="shared" si="3"/>
        <v>TUO543</v>
      </c>
      <c r="AF37" s="442"/>
      <c r="AG37" s="442"/>
      <c r="AH37" s="648"/>
      <c r="AI37" s="454"/>
      <c r="AJ37" s="442"/>
      <c r="AK37" s="442"/>
    </row>
    <row r="38" spans="1:37" ht="14.5" customHeight="1" x14ac:dyDescent="0.25">
      <c r="A38" s="54" t="str">
        <f>'[11]Table 10 CWTs exp'!A38</f>
        <v>MER543</v>
      </c>
      <c r="B38" s="75" t="str">
        <f>'[11]Table 10 CWTs exp'!B38</f>
        <v>MER</v>
      </c>
      <c r="C38" s="75">
        <f>'[11]Table 10 CWTs exp'!C38</f>
        <v>54</v>
      </c>
      <c r="D38" s="75">
        <f>'[11]Table 10 CWTs exp'!D38</f>
        <v>3</v>
      </c>
      <c r="E38" t="str">
        <f>'[11]Table 10 CWTs exp'!E38</f>
        <v>Merced River</v>
      </c>
      <c r="F38" s="37" t="str">
        <f>'[11]Table 10 CWTs exp'!F38</f>
        <v>Fall</v>
      </c>
      <c r="G38" s="144" t="str">
        <f>IF('[11]Table 10 CWTs exp'!G38/'[11]Table 10 CWTs exp'!$AA38&gt;0,'[11]Table 10 CWTs exp'!G38/'[11]Table 10 CWTs exp'!$AA38," ")</f>
        <v xml:space="preserve"> </v>
      </c>
      <c r="H38" s="145" t="str">
        <f>IF('[11]Table 10 CWTs exp'!H38/'[11]Table 10 CWTs exp'!$AA38&gt;0,'[11]Table 10 CWTs exp'!H38/'[11]Table 10 CWTs exp'!$AA38," ")</f>
        <v xml:space="preserve"> </v>
      </c>
      <c r="I38" s="144" t="str">
        <f>IF('[11]Table 10 CWTs exp'!I38/'[11]Table 10 CWTs exp'!$AA38&gt;0,'[11]Table 10 CWTs exp'!I38/'[11]Table 10 CWTs exp'!$AA38," ")</f>
        <v xml:space="preserve"> </v>
      </c>
      <c r="J38" s="146" t="str">
        <f>IF('[11]Table 10 CWTs exp'!J38/'[11]Table 10 CWTs exp'!$AA38&gt;0,'[11]Table 10 CWTs exp'!J38/'[11]Table 10 CWTs exp'!$AA38," ")</f>
        <v xml:space="preserve"> </v>
      </c>
      <c r="K38" s="144" t="str">
        <f>IF('[11]Table 10 CWTs exp'!K38/'[11]Table 10 CWTs exp'!$AA38&gt;0,'[11]Table 10 CWTs exp'!K38/'[11]Table 10 CWTs exp'!$AA38," ")</f>
        <v xml:space="preserve"> </v>
      </c>
      <c r="L38" s="144" t="str">
        <f>IF('[11]Table 10 CWTs exp'!L38/'[11]Table 10 CWTs exp'!$AA38&gt;0,'[11]Table 10 CWTs exp'!L38/'[11]Table 10 CWTs exp'!$AA38," ")</f>
        <v xml:space="preserve"> </v>
      </c>
      <c r="M38" s="144" t="str">
        <f>IF('[11]Table 10 CWTs exp'!M38/'[11]Table 10 CWTs exp'!$AA38&gt;0,'[11]Table 10 CWTs exp'!M38/'[11]Table 10 CWTs exp'!$AA38," ")</f>
        <v xml:space="preserve"> </v>
      </c>
      <c r="N38" s="146" t="str">
        <f>IF('[11]Table 10 CWTs exp'!N38/'[11]Table 10 CWTs exp'!$AA38&gt;0,'[11]Table 10 CWTs exp'!N38/'[11]Table 10 CWTs exp'!$AA38," ")</f>
        <v xml:space="preserve"> </v>
      </c>
      <c r="O38" s="144" t="str">
        <f>IF('[11]Table 10 CWTs exp'!O38/'[11]Table 10 CWTs exp'!$AA38&gt;0,'[11]Table 10 CWTs exp'!O38/'[11]Table 10 CWTs exp'!$AA38," ")</f>
        <v xml:space="preserve"> </v>
      </c>
      <c r="P38" s="146" t="str">
        <f>IF('[11]Table 10 CWTs exp'!P38/'[11]Table 10 CWTs exp'!$AA38&gt;0,'[11]Table 10 CWTs exp'!P38/'[11]Table 10 CWTs exp'!$AA38," ")</f>
        <v xml:space="preserve"> </v>
      </c>
      <c r="Q38" s="144" t="str">
        <f>IF('[11]Table 10 CWTs exp'!Q38/'[11]Table 10 CWTs exp'!$AA38&gt;0,'[11]Table 10 CWTs exp'!Q38/'[11]Table 10 CWTs exp'!$AA38," ")</f>
        <v xml:space="preserve"> </v>
      </c>
      <c r="R38" s="144">
        <f>IF('[11]Table 10 CWTs exp'!R38/'[11]Table 10 CWTs exp'!$AA38&gt;0,'[11]Table 10 CWTs exp'!R38/'[11]Table 10 CWTs exp'!$AA38," ")</f>
        <v>0.26537585421412302</v>
      </c>
      <c r="S38" s="144" t="str">
        <f>IF('[11]Table 10 CWTs exp'!S38/'[11]Table 10 CWTs exp'!$AA38&gt;0,'[11]Table 10 CWTs exp'!S38/'[11]Table 10 CWTs exp'!$AA38," ")</f>
        <v xml:space="preserve"> </v>
      </c>
      <c r="T38" s="146" t="str">
        <f>IF('[11]Table 10 CWTs exp'!T38/'[11]Table 10 CWTs exp'!$AA38&gt;0,'[11]Table 10 CWTs exp'!T38/'[11]Table 10 CWTs exp'!$AA38," ")</f>
        <v xml:space="preserve"> </v>
      </c>
      <c r="U38" s="144">
        <f>IF('[11]Table 10 CWTs exp'!U38/'[11]Table 10 CWTs exp'!$AA38&gt;0,'[11]Table 10 CWTs exp'!U38/'[11]Table 10 CWTs exp'!$AA38," ")</f>
        <v>3.8724373576309798E-2</v>
      </c>
      <c r="V38" s="146">
        <f>IF('[11]Table 10 CWTs exp'!V38/'[11]Table 10 CWTs exp'!$AA38&gt;0,'[11]Table 10 CWTs exp'!V38/'[11]Table 10 CWTs exp'!$AA38," ")</f>
        <v>3.530751708428246E-2</v>
      </c>
      <c r="W38" s="146" t="str">
        <f>IF('[11]Table 10 CWTs exp'!W38/'[11]Table 10 CWTs exp'!$AA38&gt;0,'[11]Table 10 CWTs exp'!W38/'[11]Table 10 CWTs exp'!$AA38," ")</f>
        <v xml:space="preserve"> </v>
      </c>
      <c r="X38" s="144" t="str">
        <f>IF('[11]Table 10 CWTs exp'!X38/'[11]Table 10 CWTs exp'!$AA38&gt;0,'[11]Table 10 CWTs exp'!X38/'[11]Table 10 CWTs exp'!$AA38," ")</f>
        <v xml:space="preserve"> </v>
      </c>
      <c r="Y38" s="147">
        <f t="shared" si="0"/>
        <v>0.33940774487471531</v>
      </c>
      <c r="Z38" s="148">
        <f t="shared" si="4"/>
        <v>0.66059225512528474</v>
      </c>
      <c r="AA38" s="38">
        <f>'[11]Table 10 CWTs exp'!AA38</f>
        <v>878</v>
      </c>
      <c r="AC38" s="592">
        <f>'[11]Table 10 CWTs exp'!AD38</f>
        <v>0.33900000000000002</v>
      </c>
      <c r="AD38" s="592">
        <f t="shared" si="2"/>
        <v>4.0774487471528786E-4</v>
      </c>
      <c r="AE38" s="593" t="str">
        <f t="shared" si="3"/>
        <v>MER543</v>
      </c>
      <c r="AF38" s="442"/>
      <c r="AG38" s="442"/>
      <c r="AH38" s="648"/>
      <c r="AI38" s="454"/>
      <c r="AJ38" s="442"/>
      <c r="AK38" s="442"/>
    </row>
    <row r="39" spans="1:37" ht="14.5" customHeight="1" x14ac:dyDescent="0.25">
      <c r="A39" s="54" t="str">
        <f>'[11]Table 10 CWTs exp'!A39</f>
        <v>USAC547</v>
      </c>
      <c r="B39" s="75" t="str">
        <f>'[11]Table 10 CWTs exp'!B39</f>
        <v>USAC</v>
      </c>
      <c r="C39" s="75">
        <f>'[11]Table 10 CWTs exp'!C39</f>
        <v>54</v>
      </c>
      <c r="D39" s="75">
        <f>'[11]Table 10 CWTs exp'!D39</f>
        <v>7</v>
      </c>
      <c r="E39" t="str">
        <f>'[11]Table 10 CWTs exp'!E39</f>
        <v>Upper Sacramento River</v>
      </c>
      <c r="F39" s="37" t="s">
        <v>175</v>
      </c>
      <c r="G39" s="144" t="str">
        <f>IF('[11]Table 10 CWTs exp'!G39/'[11]Table 10 CWTs exp'!$AA39&gt;0,'[11]Table 10 CWTs exp'!G39/'[11]Table 10 CWTs exp'!$AA39," ")</f>
        <v xml:space="preserve"> </v>
      </c>
      <c r="H39" s="145">
        <f>IF('[11]Table 10 CWTs exp'!H39/'[11]Table 10 CWTs exp'!$AA39&gt;0,'[11]Table 10 CWTs exp'!H39/'[11]Table 10 CWTs exp'!$AA39," ")</f>
        <v>0.31792294807370186</v>
      </c>
      <c r="I39" s="144" t="str">
        <f>IF('[11]Table 10 CWTs exp'!I39/'[11]Table 10 CWTs exp'!$AA39&gt;0,'[11]Table 10 CWTs exp'!I39/'[11]Table 10 CWTs exp'!$AA39," ")</f>
        <v xml:space="preserve"> </v>
      </c>
      <c r="J39" s="146" t="str">
        <f>IF('[11]Table 10 CWTs exp'!J39/'[11]Table 10 CWTs exp'!$AA39&gt;0,'[11]Table 10 CWTs exp'!J39/'[11]Table 10 CWTs exp'!$AA39," ")</f>
        <v xml:space="preserve"> </v>
      </c>
      <c r="K39" s="144" t="str">
        <f>IF('[11]Table 10 CWTs exp'!K39/'[11]Table 10 CWTs exp'!$AA39&gt;0,'[11]Table 10 CWTs exp'!K39/'[11]Table 10 CWTs exp'!$AA39," ")</f>
        <v xml:space="preserve"> </v>
      </c>
      <c r="L39" s="144" t="str">
        <f>IF('[11]Table 10 CWTs exp'!L39/'[11]Table 10 CWTs exp'!$AA39&gt;0,'[11]Table 10 CWTs exp'!L39/'[11]Table 10 CWTs exp'!$AA39," ")</f>
        <v xml:space="preserve"> </v>
      </c>
      <c r="M39" s="144" t="str">
        <f>IF('[11]Table 10 CWTs exp'!M39/'[11]Table 10 CWTs exp'!$AA39&gt;0,'[11]Table 10 CWTs exp'!M39/'[11]Table 10 CWTs exp'!$AA39," ")</f>
        <v xml:space="preserve"> </v>
      </c>
      <c r="N39" s="146" t="str">
        <f>IF('[11]Table 10 CWTs exp'!N39/'[11]Table 10 CWTs exp'!$AA39&gt;0,'[11]Table 10 CWTs exp'!N39/'[11]Table 10 CWTs exp'!$AA39," ")</f>
        <v xml:space="preserve"> </v>
      </c>
      <c r="O39" s="144" t="str">
        <f>IF('[11]Table 10 CWTs exp'!O39/'[11]Table 10 CWTs exp'!$AA39&gt;0,'[11]Table 10 CWTs exp'!O39/'[11]Table 10 CWTs exp'!$AA39," ")</f>
        <v xml:space="preserve"> </v>
      </c>
      <c r="P39" s="146" t="str">
        <f>IF('[11]Table 10 CWTs exp'!P39/'[11]Table 10 CWTs exp'!$AA39&gt;0,'[11]Table 10 CWTs exp'!P39/'[11]Table 10 CWTs exp'!$AA39," ")</f>
        <v xml:space="preserve"> </v>
      </c>
      <c r="Q39" s="144" t="str">
        <f>IF('[11]Table 10 CWTs exp'!Q39/'[11]Table 10 CWTs exp'!$AA39&gt;0,'[11]Table 10 CWTs exp'!Q39/'[11]Table 10 CWTs exp'!$AA39," ")</f>
        <v xml:space="preserve"> </v>
      </c>
      <c r="R39" s="144">
        <f>IF('[11]Table 10 CWTs exp'!R39/'[11]Table 10 CWTs exp'!$AA39&gt;0,'[11]Table 10 CWTs exp'!R39/'[11]Table 10 CWTs exp'!$AA39," ")</f>
        <v>1.2060301507537688E-2</v>
      </c>
      <c r="S39" s="144" t="str">
        <f>IF('[11]Table 10 CWTs exp'!S39/'[11]Table 10 CWTs exp'!$AA39&gt;0,'[11]Table 10 CWTs exp'!S39/'[11]Table 10 CWTs exp'!$AA39," ")</f>
        <v xml:space="preserve"> </v>
      </c>
      <c r="T39" s="146">
        <f>IF('[11]Table 10 CWTs exp'!T39/'[11]Table 10 CWTs exp'!$AA39&gt;0,'[11]Table 10 CWTs exp'!T39/'[11]Table 10 CWTs exp'!$AA39," ")</f>
        <v>3.015075376884422E-3</v>
      </c>
      <c r="U39" s="144" t="str">
        <f>IF('[11]Table 10 CWTs exp'!U39/'[11]Table 10 CWTs exp'!$AA39&gt;0,'[11]Table 10 CWTs exp'!U39/'[11]Table 10 CWTs exp'!$AA39," ")</f>
        <v xml:space="preserve"> </v>
      </c>
      <c r="V39" s="146" t="str">
        <f>IF('[11]Table 10 CWTs exp'!V39/'[11]Table 10 CWTs exp'!$AA39&gt;0,'[11]Table 10 CWTs exp'!V39/'[11]Table 10 CWTs exp'!$AA39," ")</f>
        <v xml:space="preserve"> </v>
      </c>
      <c r="W39" s="146" t="str">
        <f>IF('[11]Table 10 CWTs exp'!W39/'[11]Table 10 CWTs exp'!$AA39&gt;0,'[11]Table 10 CWTs exp'!W39/'[11]Table 10 CWTs exp'!$AA39," ")</f>
        <v xml:space="preserve"> </v>
      </c>
      <c r="X39" s="144" t="str">
        <f>IF('[11]Table 10 CWTs exp'!X39/'[11]Table 10 CWTs exp'!$AA39&gt;0,'[11]Table 10 CWTs exp'!X39/'[11]Table 10 CWTs exp'!$AA39," ")</f>
        <v xml:space="preserve"> </v>
      </c>
      <c r="Y39" s="147">
        <f t="shared" si="0"/>
        <v>0.33299832495812398</v>
      </c>
      <c r="Z39" s="148">
        <f t="shared" si="4"/>
        <v>0.66700167504187602</v>
      </c>
      <c r="AA39" s="38">
        <f>'[11]Table 10 CWTs exp'!AA39</f>
        <v>2985</v>
      </c>
      <c r="AC39" s="592">
        <f>'[11]Table 10 CWTs exp'!AD39</f>
        <v>0.33299832495812393</v>
      </c>
      <c r="AD39" s="592">
        <f t="shared" si="2"/>
        <v>0</v>
      </c>
      <c r="AE39" s="593" t="str">
        <f t="shared" si="3"/>
        <v>USAC547</v>
      </c>
      <c r="AF39" s="442"/>
      <c r="AG39" s="442"/>
      <c r="AH39" s="648"/>
      <c r="AI39" s="454"/>
      <c r="AJ39" s="442"/>
      <c r="AK39" s="442"/>
    </row>
    <row r="40" spans="1:37" ht="14.15" customHeight="1" x14ac:dyDescent="0.25">
      <c r="E40" s="723" t="s">
        <v>101</v>
      </c>
      <c r="F40" s="723"/>
      <c r="G40" s="195">
        <f>IF('[11]Table 10 CWTs exp'!G40/'[11]Table 10 CWTs exp'!$AA40&gt;0,'[11]Table 10 CWTs exp'!G40/'[11]Table 10 CWTs exp'!$AA40," ")</f>
        <v>8.9042437625772449E-6</v>
      </c>
      <c r="H40" s="196">
        <f>IF('[11]Table 10 CWTs exp'!H40/'[11]Table 10 CWTs exp'!$AA40&gt;0,'[11]Table 10 CWTs exp'!H40/'[11]Table 10 CWTs exp'!$AA40," ")</f>
        <v>1.0685092515092693E-4</v>
      </c>
      <c r="I40" s="195">
        <f>IF('[11]Table 10 CWTs exp'!I40/'[11]Table 10 CWTs exp'!$AA40&gt;0,'[11]Table 10 CWTs exp'!I40/'[11]Table 10 CWTs exp'!$AA40," ")</f>
        <v>0.10587145833704344</v>
      </c>
      <c r="J40" s="197">
        <f>IF('[11]Table 10 CWTs exp'!J40/'[11]Table 10 CWTs exp'!$AA40&gt;0,'[11]Table 10 CWTs exp'!J40/'[11]Table 10 CWTs exp'!$AA40," ")</f>
        <v>9.260413513080334E-4</v>
      </c>
      <c r="K40" s="195">
        <f>IF('[11]Table 10 CWTs exp'!K40/'[11]Table 10 CWTs exp'!$AA40&gt;0,'[11]Table 10 CWTs exp'!K40/'[11]Table 10 CWTs exp'!$AA40," ")</f>
        <v>1.667764856730718E-2</v>
      </c>
      <c r="L40" s="195">
        <f>IF('[11]Table 10 CWTs exp'!L40/'[11]Table 10 CWTs exp'!$AA40&gt;0,'[11]Table 10 CWTs exp'!L40/'[11]Table 10 CWTs exp'!$AA40," ")</f>
        <v>4.3630794436628501E-3</v>
      </c>
      <c r="M40" s="195">
        <f>IF('[11]Table 10 CWTs exp'!M40/'[11]Table 10 CWTs exp'!$AA40&gt;0,'[11]Table 10 CWTs exp'!M40/'[11]Table 10 CWTs exp'!$AA40," ")</f>
        <v>0.32376720745107118</v>
      </c>
      <c r="N40" s="197">
        <f>IF('[11]Table 10 CWTs exp'!N40/'[11]Table 10 CWTs exp'!$AA40&gt;0,'[11]Table 10 CWTs exp'!N40/'[11]Table 10 CWTs exp'!$AA40," ")</f>
        <v>6.090502733602835E-3</v>
      </c>
      <c r="O40" s="195">
        <f>IF('[11]Table 10 CWTs exp'!O40/'[11]Table 10 CWTs exp'!$AA40&gt;0,'[11]Table 10 CWTs exp'!O40/'[11]Table 10 CWTs exp'!$AA40," ")</f>
        <v>3.1601161113386643E-2</v>
      </c>
      <c r="P40" s="197">
        <f>IF('[11]Table 10 CWTs exp'!P40/'[11]Table 10 CWTs exp'!$AA40&gt;0,'[11]Table 10 CWTs exp'!P40/'[11]Table 10 CWTs exp'!$AA40," ")</f>
        <v>4.1182127401919753E-2</v>
      </c>
      <c r="Q40" s="195">
        <f>IF('[11]Table 10 CWTs exp'!Q40/'[11]Table 10 CWTs exp'!$AA40&gt;0,'[11]Table 10 CWTs exp'!Q40/'[11]Table 10 CWTs exp'!$AA40," ")</f>
        <v>1.3267323206240095E-3</v>
      </c>
      <c r="R40" s="195">
        <f>IF('[11]Table 10 CWTs exp'!R40/'[11]Table 10 CWTs exp'!$AA40&gt;0,'[11]Table 10 CWTs exp'!R40/'[11]Table 10 CWTs exp'!$AA40," ")</f>
        <v>0.13603903620465513</v>
      </c>
      <c r="S40" s="195">
        <f>IF('[11]Table 10 CWTs exp'!S40/'[11]Table 10 CWTs exp'!$AA40&gt;0,'[11]Table 10 CWTs exp'!S40/'[11]Table 10 CWTs exp'!$AA40," ")</f>
        <v>1.8957134970526954E-2</v>
      </c>
      <c r="T40" s="197">
        <f>IF('[11]Table 10 CWTs exp'!T40/'[11]Table 10 CWTs exp'!$AA40&gt;0,'[11]Table 10 CWTs exp'!T40/'[11]Table 10 CWTs exp'!$AA40," ")</f>
        <v>1.3739248125656687E-2</v>
      </c>
      <c r="U40" s="195">
        <f>IF('[11]Table 10 CWTs exp'!U40/'[11]Table 10 CWTs exp'!$AA40&gt;0,'[11]Table 10 CWTs exp'!U40/'[11]Table 10 CWTs exp'!$AA40," ")</f>
        <v>6.9453101348102507E-4</v>
      </c>
      <c r="V40" s="197">
        <f>IF('[11]Table 10 CWTs exp'!V40/'[11]Table 10 CWTs exp'!$AA40&gt;0,'[11]Table 10 CWTs exp'!V40/'[11]Table 10 CWTs exp'!$AA40," ")</f>
        <v>6.1617366837034534E-3</v>
      </c>
      <c r="W40" s="197">
        <f>IF('[11]Table 10 CWTs exp'!W40/'[11]Table 10 CWTs exp'!$AA40&gt;0,'[11]Table 10 CWTs exp'!W40/'[11]Table 10 CWTs exp'!$AA40," ")</f>
        <v>4.4521218812886223E-5</v>
      </c>
      <c r="X40" s="195" t="str">
        <f>IF('[11]Table 10 CWTs exp'!X40/'[11]Table 10 CWTs exp'!$AA40&gt;0,'[11]Table 10 CWTs exp'!X40/'[11]Table 10 CWTs exp'!$AA40," ")</f>
        <v xml:space="preserve"> </v>
      </c>
      <c r="Y40" s="198">
        <f t="shared" si="0"/>
        <v>0.70755792210567559</v>
      </c>
      <c r="Z40" s="199">
        <f>1-Y40</f>
        <v>0.29244207789432441</v>
      </c>
      <c r="AA40" s="59">
        <f>'[11]Table 10 CWTs exp'!AA40</f>
        <v>112306</v>
      </c>
      <c r="AB40" s="159"/>
      <c r="AC40" s="592">
        <f>'[11]Table 10 CWTs exp'!AD40</f>
        <v>0.70755792210567559</v>
      </c>
      <c r="AD40" s="592">
        <f t="shared" si="2"/>
        <v>0</v>
      </c>
      <c r="AE40" s="595"/>
      <c r="AF40" s="596"/>
      <c r="AG40" s="596"/>
      <c r="AH40" s="649"/>
      <c r="AI40" s="454"/>
      <c r="AJ40" s="442"/>
      <c r="AK40" s="442"/>
    </row>
    <row r="41" spans="1:37" ht="4.5" customHeight="1" x14ac:dyDescent="0.3">
      <c r="E41" s="83"/>
      <c r="F41"/>
      <c r="G41" s="161"/>
      <c r="H41" s="162"/>
      <c r="I41" s="161"/>
      <c r="J41" s="163"/>
      <c r="K41" s="161"/>
      <c r="L41" s="161"/>
      <c r="M41" s="161"/>
      <c r="N41" s="163"/>
      <c r="O41" s="161"/>
      <c r="P41" s="163"/>
      <c r="Q41" s="161"/>
      <c r="R41" s="161"/>
      <c r="S41" s="161"/>
      <c r="T41" s="163"/>
      <c r="U41" s="161"/>
      <c r="V41" s="163"/>
      <c r="W41" s="163"/>
      <c r="X41" s="161"/>
      <c r="Y41" s="164"/>
      <c r="Z41" s="165"/>
      <c r="AA41" s="64"/>
      <c r="AB41" s="159"/>
      <c r="AC41" s="453"/>
      <c r="AD41" s="453"/>
      <c r="AE41" s="595"/>
      <c r="AF41" s="596"/>
      <c r="AG41" s="596"/>
      <c r="AH41" s="649"/>
      <c r="AI41" s="454"/>
      <c r="AJ41" s="442"/>
      <c r="AK41" s="442"/>
    </row>
    <row r="42" spans="1:37" ht="14.9" customHeight="1" x14ac:dyDescent="0.25">
      <c r="E42" s="27" t="s">
        <v>103</v>
      </c>
      <c r="F42" s="37" t="s">
        <v>104</v>
      </c>
      <c r="G42" s="151">
        <f>IF('[11]Table 10 CWTs exp'!G42/'[11]Table 10 CWTs exp'!$AA42&gt;0,'[11]Table 10 CWTs exp'!G42/'[11]Table 10 CWTs exp'!$AA42," ")</f>
        <v>1.2821427297692499E-2</v>
      </c>
      <c r="H42" s="157">
        <f>IF('[11]Table 10 CWTs exp'!H42/'[11]Table 10 CWTs exp'!$AA42&gt;0,'[11]Table 10 CWTs exp'!H42/'[11]Table 10 CWTs exp'!$AA42," ")</f>
        <v>5.3609852942924738E-2</v>
      </c>
      <c r="I42" s="151">
        <f>IF('[11]Table 10 CWTs exp'!I42/'[11]Table 10 CWTs exp'!$AA42&gt;0,'[11]Table 10 CWTs exp'!I42/'[11]Table 10 CWTs exp'!$AA42," ")</f>
        <v>0.13485977864165388</v>
      </c>
      <c r="J42" s="158" t="str">
        <f>IF('[11]Table 10 CWTs exp'!J42/'[11]Table 10 CWTs exp'!$AA42&gt;0,'[11]Table 10 CWTs exp'!J42/'[11]Table 10 CWTs exp'!$AA42," ")</f>
        <v xml:space="preserve"> </v>
      </c>
      <c r="K42" s="151">
        <f>IF('[11]Table 10 CWTs exp'!K42/'[11]Table 10 CWTs exp'!$AA42&gt;0,'[11]Table 10 CWTs exp'!K42/'[11]Table 10 CWTs exp'!$AA42," ")</f>
        <v>3.0760726131459751E-2</v>
      </c>
      <c r="L42" s="151">
        <f>IF('[11]Table 10 CWTs exp'!L42/'[11]Table 10 CWTs exp'!$AA42&gt;0,'[11]Table 10 CWTs exp'!L42/'[11]Table 10 CWTs exp'!$AA42," ")</f>
        <v>7.8224377949760449E-3</v>
      </c>
      <c r="M42" s="151">
        <f>IF('[11]Table 10 CWTs exp'!M42/'[11]Table 10 CWTs exp'!$AA42&gt;0,'[11]Table 10 CWTs exp'!M42/'[11]Table 10 CWTs exp'!$AA42," ")</f>
        <v>0.32315703127786299</v>
      </c>
      <c r="N42" s="158">
        <f>IF('[11]Table 10 CWTs exp'!N42/'[11]Table 10 CWTs exp'!$AA42&gt;0,'[11]Table 10 CWTs exp'!N42/'[11]Table 10 CWTs exp'!$AA42," ")</f>
        <v>1.4973192101477704E-2</v>
      </c>
      <c r="O42" s="151">
        <f>IF('[11]Table 10 CWTs exp'!O42/'[11]Table 10 CWTs exp'!$AA42&gt;0,'[11]Table 10 CWTs exp'!O42/'[11]Table 10 CWTs exp'!$AA42," ")</f>
        <v>2.5732016120403725E-2</v>
      </c>
      <c r="P42" s="158">
        <f>IF('[11]Table 10 CWTs exp'!P42/'[11]Table 10 CWTs exp'!$AA42&gt;0,'[11]Table 10 CWTs exp'!P42/'[11]Table 10 CWTs exp'!$AA42," ")</f>
        <v>3.7293293864498256E-2</v>
      </c>
      <c r="Q42" s="151">
        <f>IF('[11]Table 10 CWTs exp'!Q42/'[11]Table 10 CWTs exp'!$AA42&gt;0,'[11]Table 10 CWTs exp'!Q42/'[11]Table 10 CWTs exp'!$AA42," ")</f>
        <v>1.4860254169787319E-3</v>
      </c>
      <c r="R42" s="151">
        <f>IF('[11]Table 10 CWTs exp'!R42/'[11]Table 10 CWTs exp'!$AA42&gt;0,'[11]Table 10 CWTs exp'!R42/'[11]Table 10 CWTs exp'!$AA42," ")</f>
        <v>7.8200601543088791E-2</v>
      </c>
      <c r="S42" s="151">
        <f>IF('[11]Table 10 CWTs exp'!S42/'[11]Table 10 CWTs exp'!$AA42&gt;0,'[11]Table 10 CWTs exp'!S42/'[11]Table 10 CWTs exp'!$AA42," ")</f>
        <v>4.2916414042345778E-3</v>
      </c>
      <c r="T42" s="158">
        <f>IF('[11]Table 10 CWTs exp'!T42/'[11]Table 10 CWTs exp'!$AA42&gt;0,'[11]Table 10 CWTs exp'!T42/'[11]Table 10 CWTs exp'!$AA42," ")</f>
        <v>4.7552813343319424E-3</v>
      </c>
      <c r="U42" s="151">
        <f>IF('[11]Table 10 CWTs exp'!U42/'[11]Table 10 CWTs exp'!$AA42&gt;0,'[11]Table 10 CWTs exp'!U42/'[11]Table 10 CWTs exp'!$AA42," ")</f>
        <v>1.4444167053033275E-3</v>
      </c>
      <c r="V42" s="158">
        <f>IF('[11]Table 10 CWTs exp'!V42/'[11]Table 10 CWTs exp'!$AA42&gt;0,'[11]Table 10 CWTs exp'!V42/'[11]Table 10 CWTs exp'!$AA42," ")</f>
        <v>3.6259020174281059E-4</v>
      </c>
      <c r="W42" s="158" t="s">
        <v>167</v>
      </c>
      <c r="X42" s="151" t="str">
        <f>IF('[11]Table 10 CWTs exp'!X42/'[11]Table 10 CWTs exp'!$AA42&gt;0,'[11]Table 10 CWTs exp'!X42/'[11]Table 10 CWTs exp'!$AA42," ")</f>
        <v xml:space="preserve"> </v>
      </c>
      <c r="Y42" s="166">
        <f t="shared" ref="Y42:Y44" si="6">SUM(G42:X42)</f>
        <v>0.73157031277862983</v>
      </c>
      <c r="Z42" s="167">
        <f t="shared" ref="Z42:Z44" si="7">1-Y42</f>
        <v>0.26842968722137017</v>
      </c>
      <c r="AA42" s="38">
        <f>'[11]Table 10 CWTs exp'!AA42</f>
        <v>168234</v>
      </c>
      <c r="AB42" s="159"/>
      <c r="AC42" s="453">
        <f>'[11]Table 10 CWTs exp'!AD42</f>
        <v>0.73157031277862972</v>
      </c>
      <c r="AD42" s="453">
        <f>Y42-AC42</f>
        <v>0</v>
      </c>
      <c r="AE42" s="595"/>
      <c r="AF42" s="596"/>
      <c r="AG42" s="596"/>
      <c r="AH42" s="649"/>
      <c r="AI42" s="454"/>
      <c r="AJ42" s="442"/>
      <c r="AK42" s="442"/>
    </row>
    <row r="43" spans="1:37" ht="14.9" customHeight="1" x14ac:dyDescent="0.25">
      <c r="E43" s="27" t="s">
        <v>105</v>
      </c>
      <c r="F43" s="37" t="s">
        <v>104</v>
      </c>
      <c r="G43" s="151">
        <f>IF('[11]Table 10 CWTs exp'!G43/'[11]Table 10 CWTs exp'!$AA43&gt;0,'[11]Table 10 CWTs exp'!G43/'[11]Table 10 CWTs exp'!$AA43," ")</f>
        <v>5.1424457471973668E-5</v>
      </c>
      <c r="H43" s="157">
        <f>IF('[11]Table 10 CWTs exp'!H43/'[11]Table 10 CWTs exp'!$AA43&gt;0,'[11]Table 10 CWTs exp'!H43/'[11]Table 10 CWTs exp'!$AA43," ")</f>
        <v>1.3370358942713155E-3</v>
      </c>
      <c r="I43" s="151">
        <f>IF('[11]Table 10 CWTs exp'!I43/'[11]Table 10 CWTs exp'!$AA43&gt;0,'[11]Table 10 CWTs exp'!I43/'[11]Table 10 CWTs exp'!$AA43," ")</f>
        <v>7.4411189961945901E-2</v>
      </c>
      <c r="J43" s="158">
        <f>IF('[11]Table 10 CWTs exp'!J43/'[11]Table 10 CWTs exp'!$AA43&gt;0,'[11]Table 10 CWTs exp'!J43/'[11]Table 10 CWTs exp'!$AA43," ")</f>
        <v>5.7595392368610509E-3</v>
      </c>
      <c r="K43" s="151">
        <f>IF('[11]Table 10 CWTs exp'!K43/'[11]Table 10 CWTs exp'!$AA43&gt;0,'[11]Table 10 CWTs exp'!K43/'[11]Table 10 CWTs exp'!$AA43," ")</f>
        <v>1.0284891494394734E-4</v>
      </c>
      <c r="L43" s="151">
        <f>IF('[11]Table 10 CWTs exp'!L43/'[11]Table 10 CWTs exp'!$AA43&gt;0,'[11]Table 10 CWTs exp'!L43/'[11]Table 10 CWTs exp'!$AA43," ")</f>
        <v>1.0284891494394734E-3</v>
      </c>
      <c r="M43" s="151">
        <f>IF('[11]Table 10 CWTs exp'!M43/'[11]Table 10 CWTs exp'!$AA43&gt;0,'[11]Table 10 CWTs exp'!M43/'[11]Table 10 CWTs exp'!$AA43," ")</f>
        <v>8.7524426617299186E-2</v>
      </c>
      <c r="N43" s="158">
        <f>IF('[11]Table 10 CWTs exp'!N43/'[11]Table 10 CWTs exp'!$AA43&gt;0,'[11]Table 10 CWTs exp'!N43/'[11]Table 10 CWTs exp'!$AA43," ")</f>
        <v>2.3449552607219995E-2</v>
      </c>
      <c r="O43" s="151">
        <f>IF('[11]Table 10 CWTs exp'!O43/'[11]Table 10 CWTs exp'!$AA43&gt;0,'[11]Table 10 CWTs exp'!O43/'[11]Table 10 CWTs exp'!$AA43," ")</f>
        <v>5.1938702046693411E-3</v>
      </c>
      <c r="P43" s="158">
        <f>IF('[11]Table 10 CWTs exp'!P43/'[11]Table 10 CWTs exp'!$AA43&gt;0,'[11]Table 10 CWTs exp'!P43/'[11]Table 10 CWTs exp'!$AA43," ")</f>
        <v>4.8441838938599199E-2</v>
      </c>
      <c r="Q43" s="151">
        <f>IF('[11]Table 10 CWTs exp'!Q43/'[11]Table 10 CWTs exp'!$AA43&gt;0,'[11]Table 10 CWTs exp'!Q43/'[11]Table 10 CWTs exp'!$AA43," ")</f>
        <v>2.0569782988789469E-3</v>
      </c>
      <c r="R43" s="151">
        <f>IF('[11]Table 10 CWTs exp'!R43/'[11]Table 10 CWTs exp'!$AA43&gt;0,'[11]Table 10 CWTs exp'!R43/'[11]Table 10 CWTs exp'!$AA43," ")</f>
        <v>0.52560937982104283</v>
      </c>
      <c r="S43" s="151">
        <f>IF('[11]Table 10 CWTs exp'!S43/'[11]Table 10 CWTs exp'!$AA43&gt;0,'[11]Table 10 CWTs exp'!S43/'[11]Table 10 CWTs exp'!$AA43," ")</f>
        <v>0.10721999382906511</v>
      </c>
      <c r="T43" s="158">
        <f>IF('[11]Table 10 CWTs exp'!T43/'[11]Table 10 CWTs exp'!$AA43&gt;0,'[11]Table 10 CWTs exp'!T43/'[11]Table 10 CWTs exp'!$AA43," ")</f>
        <v>6.9371593129692488E-2</v>
      </c>
      <c r="U43" s="151">
        <f>IF('[11]Table 10 CWTs exp'!U43/'[11]Table 10 CWTs exp'!$AA43&gt;0,'[11]Table 10 CWTs exp'!U43/'[11]Table 10 CWTs exp'!$AA43," ")</f>
        <v>2.5712228735986836E-3</v>
      </c>
      <c r="V43" s="158">
        <f>IF('[11]Table 10 CWTs exp'!V43/'[11]Table 10 CWTs exp'!$AA43&gt;0,'[11]Table 10 CWTs exp'!V43/'[11]Table 10 CWTs exp'!$AA43," ")</f>
        <v>4.3607939936233672E-2</v>
      </c>
      <c r="W43" s="158">
        <f>IF('[11]Table 10 CWTs exp'!W43/'[11]Table 10 CWTs exp'!$AA43&gt;0,'[11]Table 10 CWTs exp'!W43/'[11]Table 10 CWTs exp'!$AA43," ")</f>
        <v>1.8512804689910522E-3</v>
      </c>
      <c r="X43" s="151">
        <f>IF('[11]Table 10 CWTs exp'!X43/'[11]Table 10 CWTs exp'!$AA43&gt;0,'[11]Table 10 CWTs exp'!X43/'[11]Table 10 CWTs exp'!$AA43," ")</f>
        <v>4.1139565977578934E-4</v>
      </c>
      <c r="Y43" s="166">
        <f>SUM(G43:X43)</f>
        <v>1</v>
      </c>
      <c r="Z43" s="167"/>
      <c r="AA43" s="38">
        <f>'[11]Table 10 CWTs exp'!AA43</f>
        <v>19446</v>
      </c>
      <c r="AB43" s="159"/>
      <c r="AC43" s="453">
        <f>'[11]Table 10 CWTs exp'!AD43</f>
        <v>1</v>
      </c>
      <c r="AD43" s="453">
        <f t="shared" si="2"/>
        <v>0</v>
      </c>
      <c r="AE43" s="595"/>
      <c r="AF43" s="596"/>
      <c r="AG43" s="596"/>
      <c r="AH43" s="649"/>
      <c r="AI43" s="454"/>
      <c r="AJ43" s="442"/>
      <c r="AK43" s="442"/>
    </row>
    <row r="44" spans="1:37" ht="18" customHeight="1" x14ac:dyDescent="0.3">
      <c r="E44" s="27"/>
      <c r="F44" s="88" t="s">
        <v>109</v>
      </c>
      <c r="G44" s="168">
        <f>IF('[11]Table 10 CWTs exp'!G44/'[11]Table 10 CWTs exp'!$AA44&gt;0,'[11]Table 10 CWTs exp'!G44/'[11]Table 10 CWTs exp'!$AA44," ")</f>
        <v>1.1498294970161978E-2</v>
      </c>
      <c r="H44" s="169">
        <f>IF('[11]Table 10 CWTs exp'!H44/'[11]Table 10 CWTs exp'!$AA44&gt;0,'[11]Table 10 CWTs exp'!H44/'[11]Table 10 CWTs exp'!$AA44," ")</f>
        <v>4.8193734015345269E-2</v>
      </c>
      <c r="I44" s="168">
        <f>IF('[11]Table 10 CWTs exp'!I44/'[11]Table 10 CWTs exp'!$AA44&gt;0,'[11]Table 10 CWTs exp'!I44/'[11]Table 10 CWTs exp'!$AA44," ")</f>
        <v>0.12859654731457801</v>
      </c>
      <c r="J44" s="170">
        <f>IF('[11]Table 10 CWTs exp'!J44/'[11]Table 10 CWTs exp'!$AA44&gt;0,'[11]Table 10 CWTs exp'!J44/'[11]Table 10 CWTs exp'!$AA44," ")</f>
        <v>5.9676044330775791E-4</v>
      </c>
      <c r="K44" s="168">
        <f>IF('[11]Table 10 CWTs exp'!K44/'[11]Table 10 CWTs exp'!$AA44&gt;0,'[11]Table 10 CWTs exp'!K44/'[11]Table 10 CWTs exp'!$AA44," ")</f>
        <v>2.7584185848252344E-2</v>
      </c>
      <c r="L44" s="168">
        <f>IF('[11]Table 10 CWTs exp'!L44/'[11]Table 10 CWTs exp'!$AA44&gt;0,'[11]Table 10 CWTs exp'!L44/'[11]Table 10 CWTs exp'!$AA44," ")</f>
        <v>7.1184995737425408E-3</v>
      </c>
      <c r="M44" s="168">
        <f>IF('[11]Table 10 CWTs exp'!M44/'[11]Table 10 CWTs exp'!$AA44&gt;0,'[11]Table 10 CWTs exp'!M44/'[11]Table 10 CWTs exp'!$AA44," ")</f>
        <v>0.29874254049445864</v>
      </c>
      <c r="N44" s="170">
        <f>IF('[11]Table 10 CWTs exp'!N44/'[11]Table 10 CWTs exp'!$AA44&gt;0,'[11]Table 10 CWTs exp'!N44/'[11]Table 10 CWTs exp'!$AA44," ")</f>
        <v>1.585144927536232E-2</v>
      </c>
      <c r="O44" s="168">
        <f>IF('[11]Table 10 CWTs exp'!O44/'[11]Table 10 CWTs exp'!$AA44&gt;0,'[11]Table 10 CWTs exp'!O44/'[11]Table 10 CWTs exp'!$AA44," ")</f>
        <v>2.3604006820119351E-2</v>
      </c>
      <c r="P44" s="170">
        <f>IF('[11]Table 10 CWTs exp'!P44/'[11]Table 10 CWTs exp'!$AA44&gt;0,'[11]Table 10 CWTs exp'!P44/'[11]Table 10 CWTs exp'!$AA44," ")</f>
        <v>3.8448422847399827E-2</v>
      </c>
      <c r="Q44" s="168">
        <f>IF('[11]Table 10 CWTs exp'!Q44/'[11]Table 10 CWTs exp'!$AA44&gt;0,'[11]Table 10 CWTs exp'!Q44/'[11]Table 10 CWTs exp'!$AA44," ")</f>
        <v>1.5451832907075874E-3</v>
      </c>
      <c r="R44" s="168">
        <f>IF('[11]Table 10 CWTs exp'!R44/'[11]Table 10 CWTs exp'!$AA44&gt;0,'[11]Table 10 CWTs exp'!R44/'[11]Table 10 CWTs exp'!$AA44," ")</f>
        <v>0.124557757885763</v>
      </c>
      <c r="S44" s="168">
        <f>IF('[11]Table 10 CWTs exp'!S44/'[11]Table 10 CWTs exp'!$AA44&gt;0,'[11]Table 10 CWTs exp'!S44/'[11]Table 10 CWTs exp'!$AA44," ")</f>
        <v>1.4956308610400683E-2</v>
      </c>
      <c r="T44" s="170">
        <f>IF('[11]Table 10 CWTs exp'!T44/'[11]Table 10 CWTs exp'!$AA44&gt;0,'[11]Table 10 CWTs exp'!T44/'[11]Table 10 CWTs exp'!$AA44," ")</f>
        <v>1.1450341005967604E-2</v>
      </c>
      <c r="U44" s="168">
        <f>IF('[11]Table 10 CWTs exp'!U44/'[11]Table 10 CWTs exp'!$AA44&gt;0,'[11]Table 10 CWTs exp'!U44/'[11]Table 10 CWTs exp'!$AA44," ")</f>
        <v>1.5611679454390452E-3</v>
      </c>
      <c r="V44" s="170">
        <f>IF('[11]Table 10 CWTs exp'!V44/'[11]Table 10 CWTs exp'!$AA44&gt;0,'[11]Table 10 CWTs exp'!V44/'[11]Table 10 CWTs exp'!$AA44," ")</f>
        <v>4.8433503836317138E-3</v>
      </c>
      <c r="W44" s="170">
        <f>IF('[11]Table 10 CWTs exp'!W44/'[11]Table 10 CWTs exp'!$AA44&gt;0,'[11]Table 10 CWTs exp'!W44/'[11]Table 10 CWTs exp'!$AA44," ")</f>
        <v>1.9181585677749362E-4</v>
      </c>
      <c r="X44" s="168">
        <f>IF('[11]Table 10 CWTs exp'!X44/'[11]Table 10 CWTs exp'!$AA44&gt;0,'[11]Table 10 CWTs exp'!X44/'[11]Table 10 CWTs exp'!$AA44," ")</f>
        <v>4.2625745950554133E-5</v>
      </c>
      <c r="Y44" s="171">
        <f t="shared" si="6"/>
        <v>0.75938299232736572</v>
      </c>
      <c r="Z44" s="172">
        <f t="shared" si="7"/>
        <v>0.24061700767263428</v>
      </c>
      <c r="AA44" s="89">
        <f>'[11]Table 10 CWTs exp'!AA44</f>
        <v>187680</v>
      </c>
      <c r="AB44" s="159"/>
      <c r="AC44" s="453">
        <f>'[11]Table 10 CWTs exp'!AD44</f>
        <v>0.75938299232736572</v>
      </c>
      <c r="AD44" s="453">
        <f t="shared" si="2"/>
        <v>0</v>
      </c>
      <c r="AE44" s="595"/>
      <c r="AF44" s="596"/>
      <c r="AG44" s="596"/>
      <c r="AH44" s="649"/>
      <c r="AI44" s="454"/>
      <c r="AJ44" s="442"/>
      <c r="AK44" s="442"/>
    </row>
    <row r="45" spans="1:37" ht="3.75" customHeight="1" x14ac:dyDescent="0.25">
      <c r="E45" s="173"/>
      <c r="F45" s="173"/>
      <c r="G45" s="161"/>
      <c r="H45" s="162"/>
      <c r="I45" s="161"/>
      <c r="J45" s="163"/>
      <c r="K45" s="161"/>
      <c r="L45" s="161"/>
      <c r="M45" s="161"/>
      <c r="N45" s="163"/>
      <c r="O45" s="161"/>
      <c r="P45" s="163"/>
      <c r="Q45" s="161"/>
      <c r="R45" s="161"/>
      <c r="S45" s="161"/>
      <c r="T45" s="163"/>
      <c r="U45" s="161"/>
      <c r="V45" s="163"/>
      <c r="W45" s="163"/>
      <c r="X45" s="161"/>
      <c r="Y45" s="164"/>
      <c r="Z45" s="165"/>
      <c r="AA45" s="64"/>
      <c r="AB45" s="159"/>
      <c r="AC45" s="453"/>
      <c r="AD45" s="453"/>
      <c r="AE45" s="595"/>
      <c r="AF45" s="596"/>
      <c r="AG45" s="596"/>
      <c r="AH45" s="649"/>
      <c r="AI45" s="454"/>
      <c r="AJ45" s="442"/>
      <c r="AK45" s="442"/>
    </row>
    <row r="46" spans="1:37" ht="14.25" customHeight="1" x14ac:dyDescent="0.3">
      <c r="E46" s="26" t="s">
        <v>113</v>
      </c>
      <c r="F46"/>
      <c r="G46" s="144"/>
      <c r="H46" s="145"/>
      <c r="I46" s="144"/>
      <c r="J46" s="146"/>
      <c r="K46" s="144"/>
      <c r="L46" s="144"/>
      <c r="M46" s="144"/>
      <c r="N46" s="146"/>
      <c r="O46" s="144"/>
      <c r="P46" s="146"/>
      <c r="Q46" s="144"/>
      <c r="R46" s="144"/>
      <c r="S46" s="144"/>
      <c r="T46" s="146"/>
      <c r="U46" s="144"/>
      <c r="V46" s="146"/>
      <c r="W46" s="146"/>
      <c r="X46" s="144"/>
      <c r="Y46" s="147"/>
      <c r="Z46" s="148"/>
      <c r="AA46" s="38"/>
      <c r="AC46" s="453"/>
      <c r="AD46" s="453"/>
      <c r="AE46" s="442"/>
      <c r="AF46" s="442"/>
      <c r="AG46" s="442"/>
      <c r="AH46" s="648"/>
      <c r="AI46" s="454"/>
      <c r="AJ46" s="442"/>
      <c r="AK46" s="442"/>
    </row>
    <row r="47" spans="1:37" ht="14.25" customHeight="1" x14ac:dyDescent="0.25">
      <c r="A47" t="str">
        <f>'[11]Table 10 CWTs exp'!A47</f>
        <v>USAC463</v>
      </c>
      <c r="B47" s="4" t="str">
        <f>'[11]Table 10 CWTs exp'!B47</f>
        <v>USAC</v>
      </c>
      <c r="C47" s="4">
        <f>'[11]Table 10 CWTs exp'!C47</f>
        <v>46</v>
      </c>
      <c r="D47" s="4">
        <f>'[11]Table 10 CWTs exp'!D47</f>
        <v>3</v>
      </c>
      <c r="E47" t="str">
        <f>'[11]Table 10 CWTs exp'!E47</f>
        <v xml:space="preserve">Upper Sacramento River </v>
      </c>
      <c r="F47" s="37" t="str">
        <f>'[11]Table 10 CWTs exp'!F47</f>
        <v>Fall</v>
      </c>
      <c r="G47" s="144" t="str">
        <f>IF('[11]Table 10 CWTs exp'!G47/'[11]Table 10 CWTs exp'!$AA47&gt;0,'[11]Table 10 CWTs exp'!G47/'[11]Table 10 CWTs exp'!$AA47," ")</f>
        <v xml:space="preserve"> </v>
      </c>
      <c r="H47" s="145">
        <f>IF('[11]Table 10 CWTs exp'!H47/'[11]Table 10 CWTs exp'!$AA47&gt;0,'[11]Table 10 CWTs exp'!H47/'[11]Table 10 CWTs exp'!$AA47," ")</f>
        <v>2.9154518950437317E-3</v>
      </c>
      <c r="I47" s="144">
        <f>IF('[11]Table 10 CWTs exp'!I47/'[11]Table 10 CWTs exp'!$AA47&gt;0,'[11]Table 10 CWTs exp'!I47/'[11]Table 10 CWTs exp'!$AA47," ")</f>
        <v>0.75357489934749411</v>
      </c>
      <c r="J47" s="146" t="str">
        <f>IF('[11]Table 10 CWTs exp'!J47/'[11]Table 10 CWTs exp'!$AA47&gt;0,'[11]Table 10 CWTs exp'!J47/'[11]Table 10 CWTs exp'!$AA47," ")</f>
        <v xml:space="preserve"> </v>
      </c>
      <c r="K47" s="144" t="str">
        <f>IF('[11]Table 10 CWTs exp'!K47/'[11]Table 10 CWTs exp'!$AA47&gt;0,'[11]Table 10 CWTs exp'!K47/'[11]Table 10 CWTs exp'!$AA47," ")</f>
        <v xml:space="preserve"> </v>
      </c>
      <c r="L47" s="144" t="str">
        <f>IF('[11]Table 10 CWTs exp'!L47/'[11]Table 10 CWTs exp'!$AA47&gt;0,'[11]Table 10 CWTs exp'!L47/'[11]Table 10 CWTs exp'!$AA47," ")</f>
        <v xml:space="preserve"> </v>
      </c>
      <c r="M47" s="144">
        <f>IF('[11]Table 10 CWTs exp'!M47/'[11]Table 10 CWTs exp'!$AA47&gt;0,'[11]Table 10 CWTs exp'!M47/'[11]Table 10 CWTs exp'!$AA47," ")</f>
        <v>2.3323615160349854E-2</v>
      </c>
      <c r="N47" s="146" t="str">
        <f>IF('[11]Table 10 CWTs exp'!N47/'[11]Table 10 CWTs exp'!$AA47&gt;0,'[11]Table 10 CWTs exp'!N47/'[11]Table 10 CWTs exp'!$AA47," ")</f>
        <v xml:space="preserve"> </v>
      </c>
      <c r="O47" s="144" t="str">
        <f>IF('[11]Table 10 CWTs exp'!O47/'[11]Table 10 CWTs exp'!$AA47&gt;0,'[11]Table 10 CWTs exp'!O47/'[11]Table 10 CWTs exp'!$AA47," ")</f>
        <v xml:space="preserve"> </v>
      </c>
      <c r="P47" s="146" t="str">
        <f>IF('[11]Table 10 CWTs exp'!P47/'[11]Table 10 CWTs exp'!$AA47&gt;0,'[11]Table 10 CWTs exp'!P47/'[11]Table 10 CWTs exp'!$AA47," ")</f>
        <v xml:space="preserve"> </v>
      </c>
      <c r="Q47" s="144" t="str">
        <f>IF('[11]Table 10 CWTs exp'!Q47/'[11]Table 10 CWTs exp'!$AA47&gt;0,'[11]Table 10 CWTs exp'!Q47/'[11]Table 10 CWTs exp'!$AA47," ")</f>
        <v xml:space="preserve"> </v>
      </c>
      <c r="R47" s="144" t="str">
        <f>IF('[11]Table 10 CWTs exp'!R47/'[11]Table 10 CWTs exp'!$AA47&gt;0,'[11]Table 10 CWTs exp'!R47/'[11]Table 10 CWTs exp'!$AA47," ")</f>
        <v xml:space="preserve"> </v>
      </c>
      <c r="S47" s="144" t="str">
        <f>IF('[11]Table 10 CWTs exp'!S47/'[11]Table 10 CWTs exp'!$AA47&gt;0,'[11]Table 10 CWTs exp'!S47/'[11]Table 10 CWTs exp'!$AA47," ")</f>
        <v xml:space="preserve"> </v>
      </c>
      <c r="T47" s="146" t="str">
        <f>IF('[11]Table 10 CWTs exp'!T47/'[11]Table 10 CWTs exp'!$AA47&gt;0,'[11]Table 10 CWTs exp'!T47/'[11]Table 10 CWTs exp'!$AA47," ")</f>
        <v xml:space="preserve"> </v>
      </c>
      <c r="U47" s="144" t="str">
        <f>IF('[11]Table 10 CWTs exp'!U47/'[11]Table 10 CWTs exp'!$AA47&gt;0,'[11]Table 10 CWTs exp'!U47/'[11]Table 10 CWTs exp'!$AA47," ")</f>
        <v xml:space="preserve"> </v>
      </c>
      <c r="V47" s="146" t="str">
        <f>IF('[11]Table 10 CWTs exp'!V47/'[11]Table 10 CWTs exp'!$AA47&gt;0,'[11]Table 10 CWTs exp'!V47/'[11]Table 10 CWTs exp'!$AA47," ")</f>
        <v xml:space="preserve"> </v>
      </c>
      <c r="W47" s="146" t="str">
        <f>IF('[11]Table 10 CWTs exp'!W47/'[11]Table 10 CWTs exp'!$AA47&gt;0,'[11]Table 10 CWTs exp'!W47/'[11]Table 10 CWTs exp'!$AA47," ")</f>
        <v xml:space="preserve"> </v>
      </c>
      <c r="X47" s="144" t="str">
        <f>IF('[11]Table 10 CWTs exp'!X47/'[11]Table 10 CWTs exp'!$AA47&gt;0,'[11]Table 10 CWTs exp'!X47/'[11]Table 10 CWTs exp'!$AA47," ")</f>
        <v xml:space="preserve"> </v>
      </c>
      <c r="Y47" s="147">
        <f>AC47</f>
        <v>0.78</v>
      </c>
      <c r="Z47" s="148">
        <f>1-ROUND(Y47,2)</f>
        <v>0.21999999999999997</v>
      </c>
      <c r="AA47" s="38">
        <f>'[11]Table 10 CWTs exp'!AA47</f>
        <v>7203</v>
      </c>
      <c r="AC47" s="453">
        <f>'[11]Table 10 CWTs exp'!AD47</f>
        <v>0.78</v>
      </c>
      <c r="AD47" s="453">
        <f t="shared" si="2"/>
        <v>0</v>
      </c>
      <c r="AE47" s="593" t="str">
        <f t="shared" ref="AE47:AE52" si="8">A47</f>
        <v>USAC463</v>
      </c>
      <c r="AF47" s="442"/>
      <c r="AG47" s="442"/>
      <c r="AH47" s="648"/>
      <c r="AI47" s="454"/>
      <c r="AJ47" s="442"/>
      <c r="AK47" s="442"/>
    </row>
    <row r="48" spans="1:37" ht="14.25" customHeight="1" x14ac:dyDescent="0.25">
      <c r="A48" t="str">
        <f>'[11]Table 10 CWTs exp'!A48</f>
        <v>LSAC463</v>
      </c>
      <c r="B48" s="4" t="str">
        <f>'[11]Table 10 CWTs exp'!B48</f>
        <v>LSAC</v>
      </c>
      <c r="C48" s="4">
        <f>'[11]Table 10 CWTs exp'!C48</f>
        <v>46</v>
      </c>
      <c r="D48" s="4">
        <f>'[11]Table 10 CWTs exp'!D48</f>
        <v>3</v>
      </c>
      <c r="E48" t="str">
        <f>'[11]Table 10 CWTs exp'!E48</f>
        <v xml:space="preserve">Lower Sacramento River </v>
      </c>
      <c r="F48" s="37" t="str">
        <f>'[11]Table 10 CWTs exp'!F48</f>
        <v>Fall</v>
      </c>
      <c r="G48" s="144" t="str">
        <f>IF('[11]Table 10 CWTs exp'!G48/'[11]Table 10 CWTs exp'!$AA48&gt;0,'[11]Table 10 CWTs exp'!G48/'[11]Table 10 CWTs exp'!$AA48," ")</f>
        <v xml:space="preserve"> </v>
      </c>
      <c r="H48" s="145">
        <f>IF('[11]Table 10 CWTs exp'!H48/'[11]Table 10 CWTs exp'!$AA48&gt;0,'[11]Table 10 CWTs exp'!H48/'[11]Table 10 CWTs exp'!$AA48," ")</f>
        <v>5.0437372045412245E-2</v>
      </c>
      <c r="I48" s="144">
        <f>IF('[11]Table 10 CWTs exp'!I48/'[11]Table 10 CWTs exp'!$AA48&gt;0,'[11]Table 10 CWTs exp'!I48/'[11]Table 10 CWTs exp'!$AA48," ")</f>
        <v>1.7867113344500279E-2</v>
      </c>
      <c r="J48" s="146" t="str">
        <f>IF('[11]Table 10 CWTs exp'!J48/'[11]Table 10 CWTs exp'!$AA48&gt;0,'[11]Table 10 CWTs exp'!J48/'[11]Table 10 CWTs exp'!$AA48," ")</f>
        <v xml:space="preserve"> </v>
      </c>
      <c r="K48" s="144" t="str">
        <f>IF('[11]Table 10 CWTs exp'!K48/'[11]Table 10 CWTs exp'!$AA48&gt;0,'[11]Table 10 CWTs exp'!K48/'[11]Table 10 CWTs exp'!$AA48," ")</f>
        <v xml:space="preserve"> </v>
      </c>
      <c r="L48" s="144">
        <f>IF('[11]Table 10 CWTs exp'!L48/'[11]Table 10 CWTs exp'!$AA48&gt;0,'[11]Table 10 CWTs exp'!L48/'[11]Table 10 CWTs exp'!$AA48," ")</f>
        <v>4.4667783361250699E-3</v>
      </c>
      <c r="M48" s="144">
        <f>IF('[11]Table 10 CWTs exp'!M48/'[11]Table 10 CWTs exp'!$AA48&gt;0,'[11]Table 10 CWTs exp'!M48/'[11]Table 10 CWTs exp'!$AA48," ")</f>
        <v>0.15819839940442956</v>
      </c>
      <c r="N48" s="146">
        <f>IF('[11]Table 10 CWTs exp'!N48/'[11]Table 10 CWTs exp'!$AA48&gt;0,'[11]Table 10 CWTs exp'!N48/'[11]Table 10 CWTs exp'!$AA48," ")</f>
        <v>5.3229108505490418E-2</v>
      </c>
      <c r="O48" s="144">
        <f>IF('[11]Table 10 CWTs exp'!O48/'[11]Table 10 CWTs exp'!$AA48&gt;0,'[11]Table 10 CWTs exp'!O48/'[11]Table 10 CWTs exp'!$AA48," ")</f>
        <v>7.0910106085985483E-2</v>
      </c>
      <c r="P48" s="146">
        <f>IF('[11]Table 10 CWTs exp'!P48/'[11]Table 10 CWTs exp'!$AA48&gt;0,'[11]Table 10 CWTs exp'!P48/'[11]Table 10 CWTs exp'!$AA48," ")</f>
        <v>0.15950120975246604</v>
      </c>
      <c r="Q48" s="144" t="str">
        <f>IF('[11]Table 10 CWTs exp'!Q48/'[11]Table 10 CWTs exp'!$AA48&gt;0,'[11]Table 10 CWTs exp'!Q48/'[11]Table 10 CWTs exp'!$AA48," ")</f>
        <v xml:space="preserve"> </v>
      </c>
      <c r="R48" s="144">
        <f>IF('[11]Table 10 CWTs exp'!R48/'[11]Table 10 CWTs exp'!$AA48&gt;0,'[11]Table 10 CWTs exp'!R48/'[11]Table 10 CWTs exp'!$AA48," ")</f>
        <v>0.19467708914945095</v>
      </c>
      <c r="S48" s="144">
        <f>IF('[11]Table 10 CWTs exp'!S48/'[11]Table 10 CWTs exp'!$AA48&gt;0,'[11]Table 10 CWTs exp'!S48/'[11]Table 10 CWTs exp'!$AA48," ")</f>
        <v>1.340033500837521E-2</v>
      </c>
      <c r="T48" s="146">
        <f>IF('[11]Table 10 CWTs exp'!T48/'[11]Table 10 CWTs exp'!$AA48&gt;0,'[11]Table 10 CWTs exp'!T48/'[11]Table 10 CWTs exp'!$AA48," ")</f>
        <v>2.6614554252745209E-2</v>
      </c>
      <c r="U48" s="144" t="str">
        <f>IF('[11]Table 10 CWTs exp'!U48/'[11]Table 10 CWTs exp'!$AA48&gt;0,'[11]Table 10 CWTs exp'!U48/'[11]Table 10 CWTs exp'!$AA48," ")</f>
        <v xml:space="preserve"> </v>
      </c>
      <c r="V48" s="146" t="str">
        <f>IF('[11]Table 10 CWTs exp'!V48/'[11]Table 10 CWTs exp'!$AA48&gt;0,'[11]Table 10 CWTs exp'!V48/'[11]Table 10 CWTs exp'!$AA48," ")</f>
        <v xml:space="preserve"> </v>
      </c>
      <c r="W48" s="146" t="str">
        <f>IF('[11]Table 10 CWTs exp'!W48/'[11]Table 10 CWTs exp'!$AA48&gt;0,'[11]Table 10 CWTs exp'!W48/'[11]Table 10 CWTs exp'!$AA48," ")</f>
        <v xml:space="preserve"> </v>
      </c>
      <c r="X48" s="144" t="str">
        <f>IF('[11]Table 10 CWTs exp'!X48/'[11]Table 10 CWTs exp'!$AA48&gt;0,'[11]Table 10 CWTs exp'!X48/'[11]Table 10 CWTs exp'!$AA48," ")</f>
        <v xml:space="preserve"> </v>
      </c>
      <c r="Y48" s="147">
        <f t="shared" ref="Y48:Y53" si="9">SUM(G48:X48)</f>
        <v>0.74930206588498038</v>
      </c>
      <c r="Z48" s="148">
        <f t="shared" ref="Z48:Z53" si="10">1-Y48</f>
        <v>0.25069793411501962</v>
      </c>
      <c r="AA48" s="38">
        <f>'[11]Table 10 CWTs exp'!AA48</f>
        <v>5373</v>
      </c>
      <c r="AC48" s="453">
        <f>'[11]Table 10 CWTs exp'!AD48</f>
        <v>0.749</v>
      </c>
      <c r="AD48" s="453">
        <f t="shared" si="2"/>
        <v>3.0206588498038478E-4</v>
      </c>
      <c r="AE48" s="593" t="str">
        <f t="shared" si="8"/>
        <v>LSAC463</v>
      </c>
      <c r="AF48" s="442"/>
      <c r="AG48" s="442"/>
      <c r="AH48" s="648"/>
      <c r="AI48" s="454"/>
      <c r="AJ48" s="442"/>
      <c r="AK48" s="442"/>
    </row>
    <row r="49" spans="1:37" ht="14.25" customHeight="1" x14ac:dyDescent="0.25">
      <c r="A49" t="str">
        <f>'[11]Table 10 CWTs exp'!A49</f>
        <v>FEA463</v>
      </c>
      <c r="B49" s="4" t="str">
        <f>'[11]Table 10 CWTs exp'!B49</f>
        <v>FEA</v>
      </c>
      <c r="C49" s="4">
        <f>'[11]Table 10 CWTs exp'!C49</f>
        <v>46</v>
      </c>
      <c r="D49" s="4">
        <f>'[11]Table 10 CWTs exp'!D49</f>
        <v>3</v>
      </c>
      <c r="E49" t="str">
        <f>'[11]Table 10 CWTs exp'!E49</f>
        <v xml:space="preserve">Feather River </v>
      </c>
      <c r="F49" s="37" t="str">
        <f>'[11]Table 10 CWTs exp'!F49</f>
        <v>Fall</v>
      </c>
      <c r="G49" s="144" t="str">
        <f>IF('[11]Table 10 CWTs exp'!G49/'[11]Table 10 CWTs exp'!$AA49&gt;0,'[11]Table 10 CWTs exp'!G49/'[11]Table 10 CWTs exp'!$AA49," ")</f>
        <v xml:space="preserve"> </v>
      </c>
      <c r="H49" s="145" t="str">
        <f>IF('[11]Table 10 CWTs exp'!H49/'[11]Table 10 CWTs exp'!$AA49&gt;0,'[11]Table 10 CWTs exp'!H49/'[11]Table 10 CWTs exp'!$AA49," ")</f>
        <v xml:space="preserve"> </v>
      </c>
      <c r="I49" s="144" t="str">
        <f>IF('[11]Table 10 CWTs exp'!I49/'[11]Table 10 CWTs exp'!$AA49&gt;0,'[11]Table 10 CWTs exp'!I49/'[11]Table 10 CWTs exp'!$AA49," ")</f>
        <v xml:space="preserve"> </v>
      </c>
      <c r="J49" s="146" t="str">
        <f>IF('[11]Table 10 CWTs exp'!J49/'[11]Table 10 CWTs exp'!$AA49&gt;0,'[11]Table 10 CWTs exp'!J49/'[11]Table 10 CWTs exp'!$AA49," ")</f>
        <v xml:space="preserve"> </v>
      </c>
      <c r="K49" s="144">
        <f>IF('[11]Table 10 CWTs exp'!K49/'[11]Table 10 CWTs exp'!$AA49&gt;0,'[11]Table 10 CWTs exp'!K49/'[11]Table 10 CWTs exp'!$AA49," ")</f>
        <v>1.1592166505664353E-2</v>
      </c>
      <c r="L49" s="144">
        <f>IF('[11]Table 10 CWTs exp'!L49/'[11]Table 10 CWTs exp'!$AA49&gt;0,'[11]Table 10 CWTs exp'!L49/'[11]Table 10 CWTs exp'!$AA49," ")</f>
        <v>1.6070958110125582E-2</v>
      </c>
      <c r="M49" s="144">
        <f>IF('[11]Table 10 CWTs exp'!M49/'[11]Table 10 CWTs exp'!$AA49&gt;0,'[11]Table 10 CWTs exp'!M49/'[11]Table 10 CWTs exp'!$AA49," ")</f>
        <v>0.62176165803108807</v>
      </c>
      <c r="N49" s="146">
        <f>IF('[11]Table 10 CWTs exp'!N49/'[11]Table 10 CWTs exp'!$AA49&gt;0,'[11]Table 10 CWTs exp'!N49/'[11]Table 10 CWTs exp'!$AA49," ")</f>
        <v>3.2229735663475895E-2</v>
      </c>
      <c r="O49" s="144" t="str">
        <f>IF('[11]Table 10 CWTs exp'!O49/'[11]Table 10 CWTs exp'!$AA49&gt;0,'[11]Table 10 CWTs exp'!O49/'[11]Table 10 CWTs exp'!$AA49," ")</f>
        <v xml:space="preserve"> </v>
      </c>
      <c r="P49" s="146" t="str">
        <f>IF('[11]Table 10 CWTs exp'!P49/'[11]Table 10 CWTs exp'!$AA49&gt;0,'[11]Table 10 CWTs exp'!P49/'[11]Table 10 CWTs exp'!$AA49," ")</f>
        <v xml:space="preserve"> </v>
      </c>
      <c r="Q49" s="144" t="str">
        <f>IF('[11]Table 10 CWTs exp'!Q49/'[11]Table 10 CWTs exp'!$AA49&gt;0,'[11]Table 10 CWTs exp'!Q49/'[11]Table 10 CWTs exp'!$AA49," ")</f>
        <v xml:space="preserve"> </v>
      </c>
      <c r="R49" s="144" t="str">
        <f>IF('[11]Table 10 CWTs exp'!R49/'[11]Table 10 CWTs exp'!$AA49&gt;0,'[11]Table 10 CWTs exp'!R49/'[11]Table 10 CWTs exp'!$AA49," ")</f>
        <v xml:space="preserve"> </v>
      </c>
      <c r="S49" s="144">
        <f>IF('[11]Table 10 CWTs exp'!S49/'[11]Table 10 CWTs exp'!$AA49&gt;0,'[11]Table 10 CWTs exp'!S49/'[11]Table 10 CWTs exp'!$AA49," ")</f>
        <v>1.1416527619214894E-3</v>
      </c>
      <c r="T49" s="146" t="str">
        <f>IF('[11]Table 10 CWTs exp'!T49/'[11]Table 10 CWTs exp'!$AA49&gt;0,'[11]Table 10 CWTs exp'!T49/'[11]Table 10 CWTs exp'!$AA49," ")</f>
        <v xml:space="preserve"> </v>
      </c>
      <c r="U49" s="144" t="str">
        <f>IF('[11]Table 10 CWTs exp'!U49/'[11]Table 10 CWTs exp'!$AA49&gt;0,'[11]Table 10 CWTs exp'!U49/'[11]Table 10 CWTs exp'!$AA49," ")</f>
        <v xml:space="preserve"> </v>
      </c>
      <c r="V49" s="146" t="str">
        <f>IF('[11]Table 10 CWTs exp'!V49/'[11]Table 10 CWTs exp'!$AA49&gt;0,'[11]Table 10 CWTs exp'!V49/'[11]Table 10 CWTs exp'!$AA49," ")</f>
        <v xml:space="preserve"> </v>
      </c>
      <c r="W49" s="146">
        <f>IF('[11]Table 10 CWTs exp'!W49/'[11]Table 10 CWTs exp'!$AA49&gt;0,'[11]Table 10 CWTs exp'!W49/'[11]Table 10 CWTs exp'!$AA49," ")</f>
        <v>2.2833055238429788E-3</v>
      </c>
      <c r="X49" s="144" t="str">
        <f>IF('[11]Table 10 CWTs exp'!X49/'[11]Table 10 CWTs exp'!$AA49&gt;0,'[11]Table 10 CWTs exp'!X49/'[11]Table 10 CWTs exp'!$AA49," ")</f>
        <v xml:space="preserve"> </v>
      </c>
      <c r="Y49" s="147">
        <f t="shared" si="9"/>
        <v>0.68507947659611823</v>
      </c>
      <c r="Z49" s="148">
        <f t="shared" si="10"/>
        <v>0.31492052340388177</v>
      </c>
      <c r="AA49" s="38">
        <f>'[11]Table 10 CWTs exp'!AA49</f>
        <v>11387</v>
      </c>
      <c r="AC49" s="453">
        <f>'[11]Table 10 CWTs exp'!AD49</f>
        <v>0.68500000000000005</v>
      </c>
      <c r="AD49" s="453">
        <f t="shared" si="2"/>
        <v>7.9476596118177589E-5</v>
      </c>
      <c r="AE49" s="593" t="str">
        <f t="shared" si="8"/>
        <v>FEA463</v>
      </c>
      <c r="AF49" s="442"/>
      <c r="AG49" s="442"/>
      <c r="AH49" s="648"/>
      <c r="AI49" s="454"/>
      <c r="AJ49" s="442"/>
      <c r="AK49" s="442"/>
    </row>
    <row r="50" spans="1:37" ht="14.25" customHeight="1" x14ac:dyDescent="0.25">
      <c r="A50" t="str">
        <f>'[11]Table 10 CWTs exp'!A50</f>
        <v>AMN463</v>
      </c>
      <c r="B50" s="4" t="str">
        <f>'[11]Table 10 CWTs exp'!B50</f>
        <v>AMN</v>
      </c>
      <c r="C50" s="4">
        <f>'[11]Table 10 CWTs exp'!C50</f>
        <v>46</v>
      </c>
      <c r="D50" s="4">
        <f>'[11]Table 10 CWTs exp'!D50</f>
        <v>3</v>
      </c>
      <c r="E50" t="str">
        <f>'[11]Table 10 CWTs exp'!E50</f>
        <v xml:space="preserve">American River </v>
      </c>
      <c r="F50" s="37" t="str">
        <f>'[11]Table 10 CWTs exp'!F50</f>
        <v>Fall</v>
      </c>
      <c r="G50" s="144" t="str">
        <f>IF('[11]Table 10 CWTs exp'!G50/'[11]Table 10 CWTs exp'!$AA50&gt;0,'[11]Table 10 CWTs exp'!G50/'[11]Table 10 CWTs exp'!$AA50," ")</f>
        <v xml:space="preserve"> </v>
      </c>
      <c r="H50" s="145" t="str">
        <f>IF('[11]Table 10 CWTs exp'!H50/'[11]Table 10 CWTs exp'!$AA50&gt;0,'[11]Table 10 CWTs exp'!H50/'[11]Table 10 CWTs exp'!$AA50," ")</f>
        <v xml:space="preserve"> </v>
      </c>
      <c r="I50" s="144" t="str">
        <f>IF('[11]Table 10 CWTs exp'!I50/'[11]Table 10 CWTs exp'!$AA50&gt;0,'[11]Table 10 CWTs exp'!I50/'[11]Table 10 CWTs exp'!$AA50," ")</f>
        <v xml:space="preserve"> </v>
      </c>
      <c r="J50" s="146" t="str">
        <f>IF('[11]Table 10 CWTs exp'!J50/'[11]Table 10 CWTs exp'!$AA50&gt;0,'[11]Table 10 CWTs exp'!J50/'[11]Table 10 CWTs exp'!$AA50," ")</f>
        <v xml:space="preserve"> </v>
      </c>
      <c r="K50" s="144" t="str">
        <f>IF('[11]Table 10 CWTs exp'!K50/'[11]Table 10 CWTs exp'!$AA50&gt;0,'[11]Table 10 CWTs exp'!K50/'[11]Table 10 CWTs exp'!$AA50," ")</f>
        <v xml:space="preserve"> </v>
      </c>
      <c r="L50" s="144" t="str">
        <f>IF('[11]Table 10 CWTs exp'!L50/'[11]Table 10 CWTs exp'!$AA50&gt;0,'[11]Table 10 CWTs exp'!L50/'[11]Table 10 CWTs exp'!$AA50," ")</f>
        <v xml:space="preserve"> </v>
      </c>
      <c r="M50" s="144">
        <f>IF('[11]Table 10 CWTs exp'!M50/'[11]Table 10 CWTs exp'!$AA50&gt;0,'[11]Table 10 CWTs exp'!M50/'[11]Table 10 CWTs exp'!$AA50," ")</f>
        <v>7.5525812619502863E-2</v>
      </c>
      <c r="N50" s="146" t="str">
        <f>IF('[11]Table 10 CWTs exp'!N50/'[11]Table 10 CWTs exp'!$AA50&gt;0,'[11]Table 10 CWTs exp'!N50/'[11]Table 10 CWTs exp'!$AA50," ")</f>
        <v xml:space="preserve"> </v>
      </c>
      <c r="O50" s="144">
        <f>IF('[11]Table 10 CWTs exp'!O50/'[11]Table 10 CWTs exp'!$AA50&gt;0,'[11]Table 10 CWTs exp'!O50/'[11]Table 10 CWTs exp'!$AA50," ")</f>
        <v>0.30114722753346079</v>
      </c>
      <c r="P50" s="146">
        <f>IF('[11]Table 10 CWTs exp'!P50/'[11]Table 10 CWTs exp'!$AA50&gt;0,'[11]Table 10 CWTs exp'!P50/'[11]Table 10 CWTs exp'!$AA50," ")</f>
        <v>0.15105162523900573</v>
      </c>
      <c r="Q50" s="144" t="str">
        <f>IF('[11]Table 10 CWTs exp'!Q50/'[11]Table 10 CWTs exp'!$AA50&gt;0,'[11]Table 10 CWTs exp'!Q50/'[11]Table 10 CWTs exp'!$AA50," ")</f>
        <v xml:space="preserve"> </v>
      </c>
      <c r="R50" s="144">
        <f>IF('[11]Table 10 CWTs exp'!R50/'[11]Table 10 CWTs exp'!$AA50&gt;0,'[11]Table 10 CWTs exp'!R50/'[11]Table 10 CWTs exp'!$AA50," ")</f>
        <v>0.37858508604206503</v>
      </c>
      <c r="S50" s="144">
        <f>IF('[11]Table 10 CWTs exp'!S50/'[11]Table 10 CWTs exp'!$AA50&gt;0,'[11]Table 10 CWTs exp'!S50/'[11]Table 10 CWTs exp'!$AA50," ")</f>
        <v>5.6405353728489482E-2</v>
      </c>
      <c r="T50" s="146">
        <f>IF('[11]Table 10 CWTs exp'!T50/'[11]Table 10 CWTs exp'!$AA50&gt;0,'[11]Table 10 CWTs exp'!T50/'[11]Table 10 CWTs exp'!$AA50," ")</f>
        <v>3.7284894837476101E-2</v>
      </c>
      <c r="U50" s="144" t="str">
        <f>IF('[11]Table 10 CWTs exp'!U50/'[11]Table 10 CWTs exp'!$AA50&gt;0,'[11]Table 10 CWTs exp'!U50/'[11]Table 10 CWTs exp'!$AA50," ")</f>
        <v xml:space="preserve"> </v>
      </c>
      <c r="V50" s="146" t="str">
        <f>IF('[11]Table 10 CWTs exp'!V50/'[11]Table 10 CWTs exp'!$AA50&gt;0,'[11]Table 10 CWTs exp'!V50/'[11]Table 10 CWTs exp'!$AA50," ")</f>
        <v xml:space="preserve"> </v>
      </c>
      <c r="W50" s="146" t="str">
        <f>IF('[11]Table 10 CWTs exp'!W50/'[11]Table 10 CWTs exp'!$AA50&gt;0,'[11]Table 10 CWTs exp'!W50/'[11]Table 10 CWTs exp'!$AA50," ")</f>
        <v xml:space="preserve"> </v>
      </c>
      <c r="X50" s="144" t="str">
        <f>IF('[11]Table 10 CWTs exp'!X50/'[11]Table 10 CWTs exp'!$AA50&gt;0,'[11]Table 10 CWTs exp'!X50/'[11]Table 10 CWTs exp'!$AA50," ")</f>
        <v xml:space="preserve"> </v>
      </c>
      <c r="Y50" s="147">
        <f t="shared" si="9"/>
        <v>0.99999999999999989</v>
      </c>
      <c r="Z50" s="148">
        <f t="shared" si="10"/>
        <v>0</v>
      </c>
      <c r="AA50" s="38">
        <f>'[11]Table 10 CWTs exp'!AA50</f>
        <v>1046</v>
      </c>
      <c r="AC50" s="453">
        <f>'[11]Table 10 CWTs exp'!AD50</f>
        <v>1</v>
      </c>
      <c r="AD50" s="453">
        <f t="shared" si="2"/>
        <v>0</v>
      </c>
      <c r="AE50" s="593" t="str">
        <f t="shared" si="8"/>
        <v>AMN463</v>
      </c>
      <c r="AF50" s="442"/>
      <c r="AG50" s="442"/>
      <c r="AH50" s="648"/>
      <c r="AI50" s="454"/>
      <c r="AJ50" s="442"/>
      <c r="AK50" s="442"/>
    </row>
    <row r="51" spans="1:37" ht="14.25" customHeight="1" x14ac:dyDescent="0.25">
      <c r="A51" t="str">
        <f>'[11]Table 10 CWTs exp'!A51</f>
        <v>MOKE463</v>
      </c>
      <c r="B51" s="4" t="str">
        <f>'[11]Table 10 CWTs exp'!B51</f>
        <v>MOKE</v>
      </c>
      <c r="C51" s="4">
        <f>'[11]Table 10 CWTs exp'!C51</f>
        <v>46</v>
      </c>
      <c r="D51" s="4">
        <f>'[11]Table 10 CWTs exp'!D51</f>
        <v>3</v>
      </c>
      <c r="E51" t="str">
        <f>'[11]Table 10 CWTs exp'!E51</f>
        <v>Mokelumne River</v>
      </c>
      <c r="F51" s="37" t="str">
        <f>'[11]Table 10 CWTs exp'!F51</f>
        <v>Fall</v>
      </c>
      <c r="G51" s="144" t="str">
        <f>IF('[11]Table 10 CWTs exp'!G51/'[11]Table 10 CWTs exp'!$AA51&gt;0,'[11]Table 10 CWTs exp'!G51/'[11]Table 10 CWTs exp'!$AA51," ")</f>
        <v xml:space="preserve"> </v>
      </c>
      <c r="H51" s="145" t="str">
        <f>IF('[11]Table 10 CWTs exp'!H51/'[11]Table 10 CWTs exp'!$AA51&gt;0,'[11]Table 10 CWTs exp'!H51/'[11]Table 10 CWTs exp'!$AA51," ")</f>
        <v xml:space="preserve"> </v>
      </c>
      <c r="I51" s="144" t="str">
        <f>IF('[11]Table 10 CWTs exp'!I51/'[11]Table 10 CWTs exp'!$AA51&gt;0,'[11]Table 10 CWTs exp'!I51/'[11]Table 10 CWTs exp'!$AA51," ")</f>
        <v xml:space="preserve"> </v>
      </c>
      <c r="J51" s="146" t="str">
        <f>IF('[11]Table 10 CWTs exp'!J51/'[11]Table 10 CWTs exp'!$AA51&gt;0,'[11]Table 10 CWTs exp'!J51/'[11]Table 10 CWTs exp'!$AA51," ")</f>
        <v xml:space="preserve"> </v>
      </c>
      <c r="K51" s="144" t="str">
        <f>IF('[11]Table 10 CWTs exp'!K51/'[11]Table 10 CWTs exp'!$AA51&gt;0,'[11]Table 10 CWTs exp'!K51/'[11]Table 10 CWTs exp'!$AA51," ")</f>
        <v xml:space="preserve"> </v>
      </c>
      <c r="L51" s="144" t="str">
        <f>IF('[11]Table 10 CWTs exp'!L51/'[11]Table 10 CWTs exp'!$AA51&gt;0,'[11]Table 10 CWTs exp'!L51/'[11]Table 10 CWTs exp'!$AA51," ")</f>
        <v xml:space="preserve"> </v>
      </c>
      <c r="M51" s="144" t="str">
        <f>IF('[11]Table 10 CWTs exp'!M51/'[11]Table 10 CWTs exp'!$AA51&gt;0,'[11]Table 10 CWTs exp'!M51/'[11]Table 10 CWTs exp'!$AA51," ")</f>
        <v xml:space="preserve"> </v>
      </c>
      <c r="N51" s="146" t="str">
        <f>IF('[11]Table 10 CWTs exp'!N51/'[11]Table 10 CWTs exp'!$AA51&gt;0,'[11]Table 10 CWTs exp'!N51/'[11]Table 10 CWTs exp'!$AA51," ")</f>
        <v xml:space="preserve"> </v>
      </c>
      <c r="O51" s="144" t="str">
        <f>IF('[11]Table 10 CWTs exp'!O51/'[11]Table 10 CWTs exp'!$AA51&gt;0,'[11]Table 10 CWTs exp'!O51/'[11]Table 10 CWTs exp'!$AA51," ")</f>
        <v xml:space="preserve"> </v>
      </c>
      <c r="P51" s="146">
        <f>IF('[11]Table 10 CWTs exp'!P51/'[11]Table 10 CWTs exp'!$AA51&gt;0,'[11]Table 10 CWTs exp'!P51/'[11]Table 10 CWTs exp'!$AA51," ")</f>
        <v>0.13425925925925927</v>
      </c>
      <c r="Q51" s="144">
        <f>IF('[11]Table 10 CWTs exp'!Q51/'[11]Table 10 CWTs exp'!$AA51&gt;0,'[11]Table 10 CWTs exp'!Q51/'[11]Table 10 CWTs exp'!$AA51," ")</f>
        <v>1.6975308641975308E-2</v>
      </c>
      <c r="R51" s="144">
        <f>IF('[11]Table 10 CWTs exp'!R51/'[11]Table 10 CWTs exp'!$AA51&gt;0,'[11]Table 10 CWTs exp'!R51/'[11]Table 10 CWTs exp'!$AA51," ")</f>
        <v>0.60185185185185186</v>
      </c>
      <c r="S51" s="144">
        <f>IF('[11]Table 10 CWTs exp'!S51/'[11]Table 10 CWTs exp'!$AA51&gt;0,'[11]Table 10 CWTs exp'!S51/'[11]Table 10 CWTs exp'!$AA51," ")</f>
        <v>1.6975308641975308E-2</v>
      </c>
      <c r="T51" s="146" t="str">
        <f>IF('[11]Table 10 CWTs exp'!T51/'[11]Table 10 CWTs exp'!$AA51&gt;0,'[11]Table 10 CWTs exp'!T51/'[11]Table 10 CWTs exp'!$AA51," ")</f>
        <v xml:space="preserve"> </v>
      </c>
      <c r="U51" s="144" t="str">
        <f>IF('[11]Table 10 CWTs exp'!U51/'[11]Table 10 CWTs exp'!$AA51&gt;0,'[11]Table 10 CWTs exp'!U51/'[11]Table 10 CWTs exp'!$AA51," ")</f>
        <v xml:space="preserve"> </v>
      </c>
      <c r="V51" s="146" t="str">
        <f>IF('[11]Table 10 CWTs exp'!V51/'[11]Table 10 CWTs exp'!$AA51&gt;0,'[11]Table 10 CWTs exp'!V51/'[11]Table 10 CWTs exp'!$AA51," ")</f>
        <v xml:space="preserve"> </v>
      </c>
      <c r="W51" s="146" t="str">
        <f>IF('[11]Table 10 CWTs exp'!W51/'[11]Table 10 CWTs exp'!$AA51&gt;0,'[11]Table 10 CWTs exp'!W51/'[11]Table 10 CWTs exp'!$AA51," ")</f>
        <v xml:space="preserve"> </v>
      </c>
      <c r="X51" s="144" t="str">
        <f>IF('[11]Table 10 CWTs exp'!X51/'[11]Table 10 CWTs exp'!$AA51&gt;0,'[11]Table 10 CWTs exp'!X51/'[11]Table 10 CWTs exp'!$AA51," ")</f>
        <v xml:space="preserve"> </v>
      </c>
      <c r="Y51" s="147">
        <f t="shared" si="9"/>
        <v>0.77006172839506171</v>
      </c>
      <c r="Z51" s="148">
        <f t="shared" si="10"/>
        <v>0.22993827160493829</v>
      </c>
      <c r="AA51" s="38">
        <f>'[11]Table 10 CWTs exp'!AA51</f>
        <v>648</v>
      </c>
      <c r="AC51" s="453">
        <f>'[11]Table 10 CWTs exp'!AD51</f>
        <v>0.77</v>
      </c>
      <c r="AD51" s="453">
        <f t="shared" si="2"/>
        <v>6.1728395061688701E-5</v>
      </c>
      <c r="AE51" s="593" t="str">
        <f t="shared" si="8"/>
        <v>MOKE463</v>
      </c>
      <c r="AF51" s="442"/>
      <c r="AG51" s="442"/>
      <c r="AH51" s="648"/>
      <c r="AI51" s="454"/>
      <c r="AJ51" s="442"/>
      <c r="AK51" s="442"/>
    </row>
    <row r="52" spans="1:37" ht="14.25" customHeight="1" x14ac:dyDescent="0.25">
      <c r="A52" t="str">
        <f>'[11]Table 10 CWTs exp'!A52</f>
        <v>USAC467</v>
      </c>
      <c r="B52" s="4" t="str">
        <f>'[11]Table 10 CWTs exp'!B52</f>
        <v>USAC</v>
      </c>
      <c r="C52" s="4">
        <f>'[11]Table 10 CWTs exp'!C52</f>
        <v>46</v>
      </c>
      <c r="D52" s="4">
        <f>'[11]Table 10 CWTs exp'!D52</f>
        <v>7</v>
      </c>
      <c r="E52" t="str">
        <f>'[11]Table 10 CWTs exp'!E52</f>
        <v xml:space="preserve">Upper Sacramento River </v>
      </c>
      <c r="F52" s="37" t="s">
        <v>49</v>
      </c>
      <c r="G52" s="144">
        <f>IF('[11]Table 10 CWTs exp'!G52/'[11]Table 10 CWTs exp'!$AA52&gt;0,'[11]Table 10 CWTs exp'!G52/'[11]Table 10 CWTs exp'!$AA52," ")</f>
        <v>1.8987341772151899E-2</v>
      </c>
      <c r="H52" s="145">
        <f>IF('[11]Table 10 CWTs exp'!H52/'[11]Table 10 CWTs exp'!$AA52&gt;0,'[11]Table 10 CWTs exp'!H52/'[11]Table 10 CWTs exp'!$AA52," ")</f>
        <v>0.66033755274261607</v>
      </c>
      <c r="I52" s="144" t="str">
        <f>IF('[11]Table 10 CWTs exp'!I52/'[11]Table 10 CWTs exp'!$AA52&gt;0,'[11]Table 10 CWTs exp'!I52/'[11]Table 10 CWTs exp'!$AA52," ")</f>
        <v xml:space="preserve"> </v>
      </c>
      <c r="J52" s="146" t="str">
        <f>IF('[11]Table 10 CWTs exp'!J52/'[11]Table 10 CWTs exp'!$AA52&gt;0,'[11]Table 10 CWTs exp'!J52/'[11]Table 10 CWTs exp'!$AA52," ")</f>
        <v xml:space="preserve"> </v>
      </c>
      <c r="K52" s="144" t="str">
        <f>IF('[11]Table 10 CWTs exp'!K52/'[11]Table 10 CWTs exp'!$AA52&gt;0,'[11]Table 10 CWTs exp'!K52/'[11]Table 10 CWTs exp'!$AA52," ")</f>
        <v xml:space="preserve"> </v>
      </c>
      <c r="L52" s="144" t="str">
        <f>IF('[11]Table 10 CWTs exp'!L52/'[11]Table 10 CWTs exp'!$AA52&gt;0,'[11]Table 10 CWTs exp'!L52/'[11]Table 10 CWTs exp'!$AA52," ")</f>
        <v xml:space="preserve"> </v>
      </c>
      <c r="M52" s="144" t="str">
        <f>IF('[11]Table 10 CWTs exp'!M52/'[11]Table 10 CWTs exp'!$AA52&gt;0,'[11]Table 10 CWTs exp'!M52/'[11]Table 10 CWTs exp'!$AA52," ")</f>
        <v xml:space="preserve"> </v>
      </c>
      <c r="N52" s="146" t="str">
        <f>IF('[11]Table 10 CWTs exp'!N52/'[11]Table 10 CWTs exp'!$AA52&gt;0,'[11]Table 10 CWTs exp'!N52/'[11]Table 10 CWTs exp'!$AA52," ")</f>
        <v xml:space="preserve"> </v>
      </c>
      <c r="O52" s="144" t="str">
        <f>IF('[11]Table 10 CWTs exp'!O52/'[11]Table 10 CWTs exp'!$AA52&gt;0,'[11]Table 10 CWTs exp'!O52/'[11]Table 10 CWTs exp'!$AA52," ")</f>
        <v xml:space="preserve"> </v>
      </c>
      <c r="P52" s="146" t="str">
        <f>IF('[11]Table 10 CWTs exp'!P52/'[11]Table 10 CWTs exp'!$AA52&gt;0,'[11]Table 10 CWTs exp'!P52/'[11]Table 10 CWTs exp'!$AA52," ")</f>
        <v xml:space="preserve"> </v>
      </c>
      <c r="Q52" s="144" t="str">
        <f>IF('[11]Table 10 CWTs exp'!Q52/'[11]Table 10 CWTs exp'!$AA52&gt;0,'[11]Table 10 CWTs exp'!Q52/'[11]Table 10 CWTs exp'!$AA52," ")</f>
        <v xml:space="preserve"> </v>
      </c>
      <c r="R52" s="144" t="str">
        <f>IF('[11]Table 10 CWTs exp'!R52/'[11]Table 10 CWTs exp'!$AA52&gt;0,'[11]Table 10 CWTs exp'!R52/'[11]Table 10 CWTs exp'!$AA52," ")</f>
        <v xml:space="preserve"> </v>
      </c>
      <c r="S52" s="144" t="str">
        <f>IF('[11]Table 10 CWTs exp'!S52/'[11]Table 10 CWTs exp'!$AA52&gt;0,'[11]Table 10 CWTs exp'!S52/'[11]Table 10 CWTs exp'!$AA52," ")</f>
        <v xml:space="preserve"> </v>
      </c>
      <c r="T52" s="146" t="str">
        <f>IF('[11]Table 10 CWTs exp'!T52/'[11]Table 10 CWTs exp'!$AA52&gt;0,'[11]Table 10 CWTs exp'!T52/'[11]Table 10 CWTs exp'!$AA52," ")</f>
        <v xml:space="preserve"> </v>
      </c>
      <c r="U52" s="144" t="str">
        <f>IF('[11]Table 10 CWTs exp'!U52/'[11]Table 10 CWTs exp'!$AA52&gt;0,'[11]Table 10 CWTs exp'!U52/'[11]Table 10 CWTs exp'!$AA52," ")</f>
        <v xml:space="preserve"> </v>
      </c>
      <c r="V52" s="146" t="str">
        <f>IF('[11]Table 10 CWTs exp'!V52/'[11]Table 10 CWTs exp'!$AA52&gt;0,'[11]Table 10 CWTs exp'!V52/'[11]Table 10 CWTs exp'!$AA52," ")</f>
        <v xml:space="preserve"> </v>
      </c>
      <c r="W52" s="146" t="str">
        <f>IF('[11]Table 10 CWTs exp'!W52/'[11]Table 10 CWTs exp'!$AA52&gt;0,'[11]Table 10 CWTs exp'!W52/'[11]Table 10 CWTs exp'!$AA52," ")</f>
        <v xml:space="preserve"> </v>
      </c>
      <c r="X52" s="144" t="str">
        <f>IF('[11]Table 10 CWTs exp'!X52/'[11]Table 10 CWTs exp'!$AA52&gt;0,'[11]Table 10 CWTs exp'!X52/'[11]Table 10 CWTs exp'!$AA52," ")</f>
        <v xml:space="preserve"> </v>
      </c>
      <c r="Y52" s="147">
        <f t="shared" si="9"/>
        <v>0.67932489451476796</v>
      </c>
      <c r="Z52" s="148">
        <f t="shared" si="10"/>
        <v>0.32067510548523204</v>
      </c>
      <c r="AA52" s="38">
        <f>'[11]Table 10 CWTs exp'!AA52</f>
        <v>474</v>
      </c>
      <c r="AC52" s="453">
        <f>'[11]Table 10 CWTs exp'!AD52</f>
        <v>0.67900000000000005</v>
      </c>
      <c r="AD52" s="453">
        <f t="shared" si="2"/>
        <v>3.2489451476791498E-4</v>
      </c>
      <c r="AE52" s="593" t="str">
        <f t="shared" si="8"/>
        <v>USAC467</v>
      </c>
      <c r="AF52" s="442"/>
      <c r="AG52" s="442"/>
      <c r="AH52" s="648"/>
      <c r="AI52" s="454"/>
      <c r="AJ52" s="442"/>
      <c r="AK52" s="442"/>
    </row>
    <row r="53" spans="1:37" ht="15.65" customHeight="1" x14ac:dyDescent="0.3">
      <c r="E53" s="716" t="s">
        <v>120</v>
      </c>
      <c r="F53" s="716"/>
      <c r="G53" s="168">
        <f>IF('[11]Table 10 CWTs exp'!G53/'[11]Table 10 CWTs exp'!$AA53&gt;0,'[11]Table 10 CWTs exp'!G53/'[11]Table 10 CWTs exp'!$AA53," ")</f>
        <v>3.4441850675442958E-4</v>
      </c>
      <c r="H53" s="169">
        <f>IF('[11]Table 10 CWTs exp'!H53/'[11]Table 10 CWTs exp'!$AA53&gt;0,'[11]Table 10 CWTs exp'!H53/'[11]Table 10 CWTs exp'!$AA53," ")</f>
        <v>2.3152577398492212E-2</v>
      </c>
      <c r="I53" s="168">
        <f>IF('[11]Table 10 CWTs exp'!I53/'[11]Table 10 CWTs exp'!$AA53&gt;0,'[11]Table 10 CWTs exp'!I53/'[11]Table 10 CWTs exp'!$AA53," ")</f>
        <v>0.21139642570127434</v>
      </c>
      <c r="J53" s="170" t="str">
        <f>IF('[11]Table 10 CWTs exp'!J53/'[11]Table 10 CWTs exp'!$AA53&gt;0,'[11]Table 10 CWTs exp'!J53/'[11]Table 10 CWTs exp'!$AA53," ")</f>
        <v xml:space="preserve"> </v>
      </c>
      <c r="K53" s="168">
        <f>IF('[11]Table 10 CWTs exp'!K53/'[11]Table 10 CWTs exp'!$AA53&gt;0,'[11]Table 10 CWTs exp'!K53/'[11]Table 10 CWTs exp'!$AA53," ")</f>
        <v>5.0514714323983013E-3</v>
      </c>
      <c r="L53" s="168">
        <f>IF('[11]Table 10 CWTs exp'!L53/'[11]Table 10 CWTs exp'!$AA53&gt;0,'[11]Table 10 CWTs exp'!L53/'[11]Table 10 CWTs exp'!$AA53," ")</f>
        <v>7.9216256553518802E-3</v>
      </c>
      <c r="M53" s="168">
        <f>IF('[11]Table 10 CWTs exp'!M53/'[11]Table 10 CWTs exp'!$AA53&gt;0,'[11]Table 10 CWTs exp'!M53/'[11]Table 10 CWTs exp'!$AA53," ")</f>
        <v>0.31292334774788566</v>
      </c>
      <c r="N53" s="170">
        <f>IF('[11]Table 10 CWTs exp'!N53/'[11]Table 10 CWTs exp'!$AA53&gt;0,'[11]Table 10 CWTs exp'!N53/'[11]Table 10 CWTs exp'!$AA53," ")</f>
        <v>2.4989476101182503E-2</v>
      </c>
      <c r="O53" s="168">
        <f>IF('[11]Table 10 CWTs exp'!O53/'[11]Table 10 CWTs exp'!$AA53&gt;0,'[11]Table 10 CWTs exp'!O53/'[11]Table 10 CWTs exp'!$AA53," ")</f>
        <v>2.6635031189009221E-2</v>
      </c>
      <c r="P53" s="170">
        <f>IF('[11]Table 10 CWTs exp'!P53/'[11]Table 10 CWTs exp'!$AA53&gt;0,'[11]Table 10 CWTs exp'!P53/'[11]Table 10 CWTs exp'!$AA53," ")</f>
        <v>4.2172132715931267E-2</v>
      </c>
      <c r="Q53" s="168">
        <f>IF('[11]Table 10 CWTs exp'!Q53/'[11]Table 10 CWTs exp'!$AA53&gt;0,'[11]Table 10 CWTs exp'!Q53/'[11]Table 10 CWTs exp'!$AA53," ")</f>
        <v>4.2095595269985839E-4</v>
      </c>
      <c r="R53" s="168">
        <f>IF('[11]Table 10 CWTs exp'!R53/'[11]Table 10 CWTs exp'!$AA53&gt;0,'[11]Table 10 CWTs exp'!R53/'[11]Table 10 CWTs exp'!$AA53," ")</f>
        <v>7.0108300486012784E-2</v>
      </c>
      <c r="S53" s="168">
        <f>IF('[11]Table 10 CWTs exp'!S53/'[11]Table 10 CWTs exp'!$AA53&gt;0,'[11]Table 10 CWTs exp'!S53/'[11]Table 10 CWTs exp'!$AA53," ")</f>
        <v>5.9316520607707321E-3</v>
      </c>
      <c r="T53" s="170">
        <f>IF('[11]Table 10 CWTs exp'!T53/'[11]Table 10 CWTs exp'!$AA53&gt;0,'[11]Table 10 CWTs exp'!T53/'[11]Table 10 CWTs exp'!$AA53," ")</f>
        <v>6.9649075810340206E-3</v>
      </c>
      <c r="U53" s="168" t="str">
        <f>IF('[11]Table 10 CWTs exp'!U53/'[11]Table 10 CWTs exp'!$AA53&gt;0,'[11]Table 10 CWTs exp'!U53/'[11]Table 10 CWTs exp'!$AA53," ")</f>
        <v xml:space="preserve"> </v>
      </c>
      <c r="V53" s="170" t="str">
        <f>IF('[11]Table 10 CWTs exp'!V53/'[11]Table 10 CWTs exp'!$AA53&gt;0,'[11]Table 10 CWTs exp'!V53/'[11]Table 10 CWTs exp'!$AA53," ")</f>
        <v xml:space="preserve"> </v>
      </c>
      <c r="W53" s="170">
        <f>IF('[11]Table 10 CWTs exp'!W53/'[11]Table 10 CWTs exp'!$AA53&gt;0,'[11]Table 10 CWTs exp'!W53/'[11]Table 10 CWTs exp'!$AA53," ")</f>
        <v>9.9498679729057449E-4</v>
      </c>
      <c r="X53" s="168" t="str">
        <f>IF('[11]Table 10 CWTs exp'!X53/'[11]Table 10 CWTs exp'!$AA53&gt;0,'[11]Table 10 CWTs exp'!X53/'[11]Table 10 CWTs exp'!$AA53," ")</f>
        <v xml:space="preserve"> </v>
      </c>
      <c r="Y53" s="171">
        <f t="shared" si="9"/>
        <v>0.73900730932608794</v>
      </c>
      <c r="Z53" s="172">
        <f t="shared" si="10"/>
        <v>0.26099269067391206</v>
      </c>
      <c r="AA53" s="89">
        <f>'[11]Table 10 CWTs exp'!AA53</f>
        <v>26131</v>
      </c>
      <c r="AB53" s="159"/>
      <c r="AC53" s="453">
        <f>'[11]Table 10 CWTs exp'!AD53</f>
        <v>0.73900730932608782</v>
      </c>
      <c r="AD53" s="453">
        <f t="shared" si="2"/>
        <v>0</v>
      </c>
      <c r="AE53" s="442"/>
      <c r="AF53" s="442"/>
      <c r="AG53" s="442"/>
      <c r="AH53" s="648"/>
      <c r="AI53" s="454"/>
      <c r="AJ53" s="442"/>
      <c r="AK53" s="442"/>
    </row>
    <row r="54" spans="1:37" ht="4" customHeight="1" x14ac:dyDescent="0.25">
      <c r="E54" s="110"/>
      <c r="F54" s="111"/>
      <c r="G54" s="25"/>
      <c r="H54" s="174"/>
      <c r="I54" s="175"/>
      <c r="J54" s="176"/>
      <c r="K54" s="175"/>
      <c r="L54" s="175"/>
      <c r="M54" s="175"/>
      <c r="N54" s="176"/>
      <c r="O54" s="175"/>
      <c r="P54" s="176"/>
      <c r="Q54" s="175"/>
      <c r="R54" s="175"/>
      <c r="S54" s="175"/>
      <c r="T54" s="176"/>
      <c r="U54" s="175"/>
      <c r="V54" s="176"/>
      <c r="W54" s="176"/>
      <c r="X54" s="175"/>
      <c r="Y54" s="177"/>
      <c r="Z54" s="178"/>
      <c r="AA54" s="179"/>
      <c r="AC54" s="442"/>
      <c r="AD54" s="453"/>
      <c r="AE54" s="442"/>
      <c r="AF54" s="442"/>
      <c r="AG54" s="442"/>
      <c r="AH54" s="442"/>
      <c r="AI54" s="442"/>
      <c r="AJ54" s="442"/>
      <c r="AK54" s="442"/>
    </row>
    <row r="55" spans="1:37" ht="14.25" customHeight="1" x14ac:dyDescent="0.25">
      <c r="E55" s="181" t="s">
        <v>139</v>
      </c>
      <c r="F55" s="181"/>
      <c r="G55" s="181"/>
      <c r="H55" s="181"/>
      <c r="I55" s="181"/>
      <c r="J55" s="181"/>
      <c r="K55" s="181"/>
      <c r="L55" s="181"/>
      <c r="M55" s="181"/>
      <c r="N55" s="181"/>
      <c r="O55" s="181"/>
      <c r="P55" s="182"/>
      <c r="Q55" s="182"/>
      <c r="R55" s="182"/>
      <c r="S55" s="182"/>
      <c r="T55" s="182"/>
      <c r="U55" s="182"/>
      <c r="V55" s="182"/>
      <c r="W55" s="181"/>
      <c r="X55" s="181"/>
      <c r="Y55" s="181"/>
      <c r="Z55" s="181"/>
      <c r="AA55" s="181"/>
      <c r="AC55" s="442"/>
      <c r="AD55" s="442"/>
      <c r="AE55" s="442"/>
      <c r="AF55" s="442"/>
      <c r="AG55" s="442"/>
      <c r="AH55" s="442"/>
      <c r="AI55" s="442"/>
      <c r="AJ55" s="442"/>
      <c r="AK55" s="442"/>
    </row>
    <row r="56" spans="1:37" ht="14.25" customHeight="1" x14ac:dyDescent="0.25">
      <c r="E56" s="27" t="s">
        <v>177</v>
      </c>
      <c r="F56" s="27"/>
      <c r="G56" s="27"/>
      <c r="H56" s="27"/>
      <c r="I56" s="27"/>
      <c r="J56" s="27"/>
      <c r="K56" s="27"/>
      <c r="L56" s="27"/>
      <c r="M56" s="27"/>
      <c r="N56" s="27"/>
      <c r="O56" s="27"/>
      <c r="P56" s="27"/>
      <c r="Q56" s="27"/>
      <c r="R56" s="27"/>
      <c r="S56" s="27"/>
      <c r="T56" s="27"/>
      <c r="U56" s="27"/>
      <c r="V56" s="27"/>
      <c r="W56" s="27"/>
      <c r="X56" s="27"/>
      <c r="Y56" s="27"/>
      <c r="Z56" s="27"/>
      <c r="AA56" s="27"/>
      <c r="AC56" s="442"/>
      <c r="AD56" s="442"/>
      <c r="AE56" s="442"/>
      <c r="AF56" s="442"/>
      <c r="AG56" s="442"/>
      <c r="AH56" s="442"/>
      <c r="AI56" s="442"/>
      <c r="AJ56" s="442"/>
      <c r="AK56" s="442"/>
    </row>
    <row r="57" spans="1:37" ht="14.25" customHeight="1" x14ac:dyDescent="0.25">
      <c r="E57" s="27" t="s">
        <v>178</v>
      </c>
      <c r="F57" s="27"/>
      <c r="G57" s="27"/>
      <c r="H57" s="27"/>
      <c r="I57" s="27"/>
      <c r="J57" s="27"/>
      <c r="K57" s="27"/>
      <c r="L57" s="27"/>
      <c r="M57" s="27"/>
      <c r="N57" s="27"/>
      <c r="O57" s="27"/>
      <c r="P57" s="27"/>
      <c r="Q57" s="27"/>
      <c r="R57" s="27"/>
      <c r="S57" s="27"/>
      <c r="T57" s="27"/>
      <c r="U57" s="27"/>
      <c r="V57" s="27"/>
      <c r="W57" s="27"/>
      <c r="X57" s="27"/>
      <c r="Y57" s="27"/>
      <c r="Z57" s="27"/>
      <c r="AA57" s="27"/>
      <c r="AC57" s="442"/>
      <c r="AD57" s="442"/>
      <c r="AE57" s="442"/>
      <c r="AF57" s="442"/>
      <c r="AG57" s="442"/>
      <c r="AH57" s="442"/>
      <c r="AI57" s="442"/>
      <c r="AJ57" s="442"/>
      <c r="AK57" s="442"/>
    </row>
    <row r="58" spans="1:37" ht="14.25" customHeight="1" x14ac:dyDescent="0.25">
      <c r="E58" s="27" t="s">
        <v>179</v>
      </c>
      <c r="F58" s="27"/>
      <c r="G58" s="27"/>
      <c r="H58" s="27"/>
      <c r="I58" s="27"/>
      <c r="J58" s="27"/>
      <c r="K58" s="27"/>
      <c r="L58" s="27"/>
      <c r="M58" s="27"/>
      <c r="N58" s="27"/>
      <c r="O58" s="27"/>
      <c r="P58" s="27"/>
      <c r="Q58" s="27"/>
      <c r="R58" s="27"/>
      <c r="S58" s="27"/>
      <c r="T58" s="27"/>
      <c r="U58" s="27"/>
      <c r="V58" s="27"/>
      <c r="W58" s="27"/>
      <c r="X58" s="27"/>
      <c r="Y58" s="27"/>
      <c r="Z58" s="27"/>
      <c r="AA58" s="27"/>
      <c r="AC58" s="442"/>
      <c r="AD58" s="442"/>
      <c r="AE58" s="442"/>
      <c r="AF58" s="442"/>
      <c r="AG58" s="442"/>
      <c r="AH58" s="442"/>
      <c r="AI58" s="442"/>
      <c r="AJ58" s="442"/>
      <c r="AK58" s="442"/>
    </row>
    <row r="59" spans="1:37" ht="14.25" customHeight="1" x14ac:dyDescent="0.25">
      <c r="E59" s="27" t="s">
        <v>180</v>
      </c>
      <c r="F59" s="27"/>
      <c r="G59" s="27"/>
      <c r="H59" s="27"/>
      <c r="I59" s="27"/>
      <c r="J59" s="27"/>
      <c r="K59" s="27"/>
      <c r="L59" s="27"/>
      <c r="M59" s="27"/>
      <c r="N59" s="27"/>
      <c r="O59" s="27"/>
      <c r="P59" s="27"/>
      <c r="Q59" s="182"/>
      <c r="R59" s="182"/>
      <c r="S59" s="182"/>
      <c r="T59" s="182"/>
      <c r="U59" s="182"/>
      <c r="V59" s="182"/>
      <c r="W59" s="182"/>
      <c r="X59" s="182"/>
      <c r="Y59" s="182"/>
      <c r="Z59" s="182"/>
      <c r="AA59" s="182"/>
      <c r="AC59" s="442"/>
      <c r="AD59" s="442"/>
      <c r="AE59" s="442"/>
      <c r="AF59" s="442"/>
      <c r="AG59" s="442"/>
      <c r="AH59" s="442"/>
      <c r="AI59" s="442"/>
      <c r="AJ59" s="442"/>
      <c r="AK59" s="442"/>
    </row>
    <row r="60" spans="1:37" hidden="1" x14ac:dyDescent="0.25">
      <c r="E60" s="183" t="s">
        <v>142</v>
      </c>
      <c r="F60" s="183"/>
      <c r="G60" s="183"/>
      <c r="H60" s="183"/>
      <c r="I60" s="183"/>
      <c r="J60" s="183"/>
      <c r="K60" s="183"/>
      <c r="L60" s="183"/>
      <c r="M60" s="183"/>
      <c r="N60" s="183"/>
      <c r="O60" s="183"/>
      <c r="P60" s="183"/>
      <c r="Q60" s="183"/>
      <c r="R60" s="183"/>
      <c r="S60" s="183"/>
      <c r="T60" s="183"/>
      <c r="U60" s="183"/>
      <c r="V60" s="183"/>
      <c r="W60" s="183"/>
      <c r="X60" s="183"/>
      <c r="Y60" s="183"/>
      <c r="Z60" s="183"/>
      <c r="AA60" s="183"/>
      <c r="AC60" s="442"/>
      <c r="AD60" s="442"/>
      <c r="AE60" s="442"/>
      <c r="AF60" s="442"/>
      <c r="AG60" s="442"/>
      <c r="AH60" s="442"/>
      <c r="AI60" s="442"/>
      <c r="AJ60" s="442"/>
      <c r="AK60" s="442"/>
    </row>
    <row r="61" spans="1:37" ht="14.25" customHeight="1" x14ac:dyDescent="0.25">
      <c r="E61" s="27" t="s">
        <v>181</v>
      </c>
      <c r="F61" s="34"/>
      <c r="G61" s="34"/>
      <c r="H61" s="27"/>
      <c r="I61" s="27"/>
      <c r="J61" s="27"/>
      <c r="K61" s="27"/>
      <c r="L61" s="27"/>
      <c r="M61" s="27"/>
      <c r="N61" s="27"/>
      <c r="O61" s="27"/>
      <c r="P61" s="27"/>
      <c r="Q61" s="27"/>
      <c r="R61" s="27"/>
      <c r="S61" s="27"/>
      <c r="T61" s="27"/>
      <c r="U61" s="27"/>
      <c r="V61" s="27"/>
      <c r="W61" s="27"/>
      <c r="X61" s="27"/>
      <c r="Y61" s="27"/>
      <c r="Z61" s="27"/>
      <c r="AA61" s="27"/>
      <c r="AC61" s="442"/>
      <c r="AD61" s="442"/>
      <c r="AE61" s="442"/>
      <c r="AF61" s="442"/>
      <c r="AG61" s="442"/>
      <c r="AH61" s="442"/>
      <c r="AI61" s="442"/>
      <c r="AJ61" s="442"/>
      <c r="AK61" s="442"/>
    </row>
    <row r="62" spans="1:37" ht="14.25" customHeight="1" x14ac:dyDescent="0.25">
      <c r="AC62" s="442"/>
      <c r="AD62" s="442"/>
      <c r="AE62" s="442"/>
      <c r="AF62" s="442"/>
      <c r="AG62" s="442"/>
      <c r="AH62" s="442"/>
      <c r="AI62" s="442"/>
      <c r="AJ62" s="442"/>
      <c r="AK62" s="442"/>
    </row>
    <row r="63" spans="1:37" x14ac:dyDescent="0.25">
      <c r="AC63" s="442"/>
      <c r="AD63" s="442"/>
      <c r="AE63" s="442"/>
      <c r="AF63" s="442"/>
      <c r="AG63" s="442"/>
      <c r="AH63" s="442"/>
      <c r="AI63" s="442"/>
      <c r="AJ63" s="442"/>
      <c r="AK63" s="442"/>
    </row>
    <row r="64" spans="1:37" x14ac:dyDescent="0.25">
      <c r="AC64" s="442"/>
      <c r="AD64" s="442"/>
      <c r="AE64" s="442"/>
      <c r="AF64" s="442"/>
      <c r="AG64" s="442"/>
      <c r="AH64" s="442"/>
      <c r="AI64" s="442"/>
      <c r="AJ64" s="442"/>
      <c r="AK64" s="442"/>
    </row>
    <row r="65" spans="5:37" x14ac:dyDescent="0.25">
      <c r="AC65" s="442"/>
      <c r="AD65" s="442"/>
      <c r="AE65" s="442"/>
      <c r="AF65" s="442"/>
      <c r="AG65" s="442"/>
      <c r="AH65" s="442"/>
      <c r="AI65" s="442"/>
      <c r="AJ65" s="442"/>
      <c r="AK65" s="442"/>
    </row>
    <row r="66" spans="5:37" x14ac:dyDescent="0.25">
      <c r="AC66" s="442"/>
      <c r="AD66" s="442"/>
      <c r="AE66" s="442"/>
      <c r="AF66" s="442"/>
      <c r="AG66" s="442"/>
      <c r="AH66" s="442"/>
      <c r="AI66" s="442"/>
      <c r="AJ66" s="442"/>
      <c r="AK66" s="442"/>
    </row>
    <row r="68" spans="5:37" x14ac:dyDescent="0.25">
      <c r="E68" s="128" t="s">
        <v>145</v>
      </c>
      <c r="F68" s="184"/>
      <c r="G68" s="184"/>
      <c r="H68" s="185"/>
      <c r="I68" s="185"/>
      <c r="J68" s="185"/>
      <c r="K68" s="185"/>
      <c r="L68" s="185"/>
      <c r="M68" s="185"/>
      <c r="N68" s="185"/>
    </row>
  </sheetData>
  <mergeCells count="10">
    <mergeCell ref="Y3:Z3"/>
    <mergeCell ref="E17:F17"/>
    <mergeCell ref="E40:F40"/>
    <mergeCell ref="E53:F53"/>
    <mergeCell ref="H3:J3"/>
    <mergeCell ref="K3:N3"/>
    <mergeCell ref="O3:P3"/>
    <mergeCell ref="Q3:T3"/>
    <mergeCell ref="U3:V3"/>
    <mergeCell ref="X3:X4"/>
  </mergeCells>
  <pageMargins left="0.5" right="0.25" top="0.5" bottom="0" header="0.5" footer="0.5"/>
  <pageSetup scale="55" fitToHeight="0"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5AA3E-9CDA-4031-9903-CBF129392E04}">
  <sheetPr>
    <pageSetUpPr fitToPage="1"/>
  </sheetPr>
  <dimension ref="A1:BI112"/>
  <sheetViews>
    <sheetView showGridLines="0" showZeros="0" topLeftCell="N1" zoomScaleNormal="100" zoomScaleSheetLayoutView="100" workbookViewId="0">
      <selection activeCell="AB43" sqref="AB43"/>
    </sheetView>
  </sheetViews>
  <sheetFormatPr defaultRowHeight="12.5" x14ac:dyDescent="0.25"/>
  <cols>
    <col min="1" max="1" width="8" customWidth="1"/>
    <col min="2" max="4" width="1.81640625" style="1" customWidth="1"/>
    <col min="5" max="5" width="28.7265625" customWidth="1"/>
    <col min="6" max="6" width="7.54296875" customWidth="1"/>
    <col min="7" max="7" width="7.1796875" style="4" customWidth="1"/>
    <col min="8" max="18" width="7.1796875" customWidth="1"/>
    <col min="19" max="20" width="7.54296875" customWidth="1"/>
    <col min="21" max="23" width="7.1796875" customWidth="1"/>
    <col min="24" max="24" width="6.26953125" customWidth="1"/>
    <col min="25" max="25" width="9" customWidth="1"/>
    <col min="26" max="29" width="8.54296875" customWidth="1"/>
    <col min="30" max="32" width="8" customWidth="1"/>
    <col min="33" max="33" width="12" customWidth="1"/>
    <col min="34" max="34" width="9.1796875" customWidth="1"/>
    <col min="35" max="35" width="10.54296875" customWidth="1"/>
    <col min="36" max="36" width="6.54296875" style="1" customWidth="1"/>
    <col min="37" max="37" width="11.54296875" style="1" customWidth="1"/>
    <col min="38" max="38" width="9.54296875" style="1" customWidth="1"/>
    <col min="39" max="39" width="6.54296875" customWidth="1"/>
    <col min="40" max="40" width="2" customWidth="1"/>
    <col min="43" max="43" width="3.54296875" customWidth="1"/>
    <col min="44" max="44" width="4.453125" customWidth="1"/>
    <col min="45" max="45" width="10.54296875" customWidth="1"/>
    <col min="46" max="46" width="6.54296875" customWidth="1"/>
    <col min="47" max="47" width="11.54296875" customWidth="1"/>
    <col min="48" max="48" width="9.54296875" customWidth="1"/>
    <col min="49" max="49" width="3.54296875" customWidth="1"/>
    <col min="50" max="50" width="2" customWidth="1"/>
  </cols>
  <sheetData>
    <row r="1" spans="1:61" x14ac:dyDescent="0.25">
      <c r="G1" s="451" t="str">
        <f>'[11]inland_taf_hatchgrp_tableraw&amp;yy'!G2</f>
        <v>sacw</v>
      </c>
      <c r="H1" s="451" t="str">
        <f>'[11]inland_taf_hatchgrp_tableraw&amp;yy'!H2</f>
        <v>cfhlh</v>
      </c>
      <c r="I1" s="451" t="str">
        <f>'[11]inland_taf_hatchgrp_tableraw&amp;yy'!I2</f>
        <v>cfhfh</v>
      </c>
      <c r="J1" s="451" t="str">
        <f>'[11]inland_taf_hatchgrp_tableraw&amp;yy'!J2</f>
        <v>cfhfn</v>
      </c>
      <c r="K1" s="451" t="str">
        <f>'[11]inland_taf_hatchgrp_tableraw&amp;yy'!K2</f>
        <v>frhs</v>
      </c>
      <c r="L1" s="451" t="str">
        <f>'[11]inland_taf_hatchgrp_tableraw&amp;yy'!L2</f>
        <v>frhf</v>
      </c>
      <c r="M1" s="451" t="str">
        <f>'[11]inland_taf_hatchgrp_tableraw&amp;yy'!M2</f>
        <v>frhfn</v>
      </c>
      <c r="N1" s="451" t="str">
        <f>'[11]inland_taf_hatchgrp_tableraw&amp;yy'!N2</f>
        <v>frhfgg</v>
      </c>
      <c r="O1" s="451" t="str">
        <f>'[11]inland_taf_hatchgrp_tableraw&amp;yy'!O2</f>
        <v>nimf</v>
      </c>
      <c r="P1" s="451" t="str">
        <f>'[11]inland_taf_hatchgrp_tableraw&amp;yy'!P2</f>
        <v>nimfn</v>
      </c>
      <c r="Q1" s="451" t="str">
        <f>'[11]inland_taf_hatchgrp_tableraw&amp;yy'!Q2</f>
        <v>mokf</v>
      </c>
      <c r="R1" s="451" t="str">
        <f>'[11]inland_taf_hatchgrp_tableraw&amp;yy'!R2</f>
        <v>mokfn</v>
      </c>
      <c r="S1" s="451" t="str">
        <f>'[11]inland_taf_hatchgrp_tableraw&amp;yy'!S2</f>
        <v>mokfnc</v>
      </c>
      <c r="T1" s="451" t="str">
        <f>'[11]inland_taf_hatchgrp_tableraw&amp;yy'!T2</f>
        <v>mokfgg</v>
      </c>
      <c r="U1" s="451" t="str">
        <f>'[11]inland_taf_hatchgrp_tableraw&amp;yy'!U2</f>
        <v>merf</v>
      </c>
      <c r="V1" s="451" t="str">
        <f>'[11]inland_taf_hatchgrp_tableraw&amp;yy'!V2</f>
        <v>merfn</v>
      </c>
      <c r="W1" s="451" t="str">
        <f>'[11]inland_taf_hatchgrp_tableraw&amp;yy'!W2</f>
        <v>sjosx</v>
      </c>
      <c r="X1" s="451" t="str">
        <f>'[11]inland_taf_hatchgrp_tableraw&amp;yy'!X2</f>
        <v>noncv</v>
      </c>
      <c r="Y1" s="442"/>
    </row>
    <row r="2" spans="1:61" ht="23.9" customHeight="1" x14ac:dyDescent="0.25">
      <c r="E2" s="2" t="s">
        <v>157</v>
      </c>
      <c r="F2" s="3"/>
      <c r="AC2" s="442"/>
      <c r="AD2" s="442"/>
      <c r="AE2" s="442"/>
      <c r="AF2" s="442"/>
      <c r="AG2" s="597"/>
      <c r="AH2" s="597"/>
      <c r="AI2" s="442"/>
      <c r="AJ2" s="451"/>
      <c r="AK2" s="451"/>
      <c r="AL2" s="451"/>
      <c r="AM2" s="442"/>
      <c r="AN2" s="442"/>
      <c r="AO2" s="442"/>
      <c r="AP2" s="442"/>
      <c r="AQ2" s="442"/>
      <c r="AR2" s="442"/>
      <c r="AS2" s="442"/>
      <c r="AT2" s="442"/>
      <c r="AU2" s="442"/>
      <c r="AV2" s="442"/>
      <c r="AW2" s="442"/>
      <c r="AX2" s="442"/>
      <c r="AY2" s="442"/>
      <c r="AZ2" s="442"/>
      <c r="BA2" s="442"/>
      <c r="BB2" s="442"/>
      <c r="BC2" s="442"/>
      <c r="BD2" s="442"/>
      <c r="BE2" s="442"/>
      <c r="BF2" s="442"/>
      <c r="BG2" s="442"/>
      <c r="BH2" s="442"/>
      <c r="BI2" s="442"/>
    </row>
    <row r="3" spans="1:61" ht="14.9" customHeight="1" x14ac:dyDescent="0.3">
      <c r="E3" s="6"/>
      <c r="F3" s="7"/>
      <c r="G3" s="8"/>
      <c r="H3" s="727" t="s">
        <v>1</v>
      </c>
      <c r="I3" s="727"/>
      <c r="J3" s="727"/>
      <c r="K3" s="727" t="s">
        <v>2</v>
      </c>
      <c r="L3" s="727"/>
      <c r="M3" s="727"/>
      <c r="N3" s="727"/>
      <c r="O3" s="727" t="s">
        <v>3</v>
      </c>
      <c r="P3" s="727"/>
      <c r="Q3" s="727" t="s">
        <v>4</v>
      </c>
      <c r="R3" s="727"/>
      <c r="S3" s="727"/>
      <c r="T3" s="727"/>
      <c r="U3" s="727" t="s">
        <v>5</v>
      </c>
      <c r="V3" s="727"/>
      <c r="W3" s="9" t="s">
        <v>6</v>
      </c>
      <c r="X3" s="747" t="s">
        <v>7</v>
      </c>
      <c r="Y3" s="745" t="s">
        <v>8</v>
      </c>
      <c r="Z3" s="746"/>
      <c r="AA3" s="10" t="s">
        <v>9</v>
      </c>
      <c r="AB3" s="11"/>
      <c r="AC3" s="451" t="s">
        <v>158</v>
      </c>
      <c r="AD3" s="598" t="s">
        <v>10</v>
      </c>
      <c r="AE3" s="598"/>
      <c r="AF3" s="598"/>
      <c r="AG3" s="599"/>
      <c r="AH3" s="597"/>
      <c r="AI3" s="597" t="s">
        <v>11</v>
      </c>
      <c r="AJ3" s="599" t="s">
        <v>12</v>
      </c>
      <c r="AK3" s="451"/>
      <c r="AL3" s="451"/>
      <c r="AM3" s="442"/>
      <c r="AN3" s="442"/>
      <c r="AO3" s="444">
        <f>$G$43</f>
        <v>1</v>
      </c>
      <c r="AP3" s="444">
        <f>$H$43</f>
        <v>26</v>
      </c>
      <c r="AQ3" s="444">
        <f>$I$43</f>
        <v>1447</v>
      </c>
      <c r="AR3" s="444">
        <f>$J$43</f>
        <v>112</v>
      </c>
      <c r="AS3" s="444">
        <f>$K$43</f>
        <v>2</v>
      </c>
      <c r="AT3" s="444"/>
      <c r="AU3" s="444">
        <f>$L$43</f>
        <v>20</v>
      </c>
      <c r="AV3" s="444">
        <f>$M$43</f>
        <v>1702</v>
      </c>
      <c r="AW3" s="444">
        <f>$O$43</f>
        <v>101</v>
      </c>
      <c r="AX3" s="444">
        <f>$P$43</f>
        <v>942</v>
      </c>
      <c r="AY3" s="444">
        <f>$N$43</f>
        <v>456</v>
      </c>
      <c r="AZ3" s="444">
        <f>$Q$43</f>
        <v>40</v>
      </c>
      <c r="BA3" s="444">
        <f>$R$43</f>
        <v>10221</v>
      </c>
      <c r="BB3" s="444">
        <f>$S$43</f>
        <v>2085</v>
      </c>
      <c r="BC3" s="444">
        <f>$T$43</f>
        <v>1349</v>
      </c>
      <c r="BD3" s="444">
        <f>$U$43</f>
        <v>50</v>
      </c>
      <c r="BE3" s="444">
        <f>$V$43</f>
        <v>848</v>
      </c>
      <c r="BF3" s="444">
        <f>$W$43</f>
        <v>36</v>
      </c>
      <c r="BG3" s="444">
        <f>$X$43</f>
        <v>8</v>
      </c>
      <c r="BH3" s="442"/>
      <c r="BI3" s="442"/>
    </row>
    <row r="4" spans="1:61" ht="14.9" customHeight="1" x14ac:dyDescent="0.3">
      <c r="A4" s="15" t="s">
        <v>13</v>
      </c>
      <c r="B4" s="16" t="s">
        <v>14</v>
      </c>
      <c r="C4" s="16" t="s">
        <v>15</v>
      </c>
      <c r="D4" s="16" t="s">
        <v>16</v>
      </c>
      <c r="E4" s="17" t="s">
        <v>17</v>
      </c>
      <c r="F4" s="18" t="s">
        <v>18</v>
      </c>
      <c r="G4" s="19" t="s">
        <v>19</v>
      </c>
      <c r="H4" s="20" t="s">
        <v>159</v>
      </c>
      <c r="I4" s="19" t="s">
        <v>160</v>
      </c>
      <c r="J4" s="21" t="s">
        <v>22</v>
      </c>
      <c r="K4" s="19" t="s">
        <v>23</v>
      </c>
      <c r="L4" s="19" t="s">
        <v>24</v>
      </c>
      <c r="M4" s="19" t="s">
        <v>25</v>
      </c>
      <c r="N4" s="21" t="s">
        <v>26</v>
      </c>
      <c r="O4" s="19" t="s">
        <v>27</v>
      </c>
      <c r="P4" s="21" t="s">
        <v>28</v>
      </c>
      <c r="Q4" s="19" t="s">
        <v>29</v>
      </c>
      <c r="R4" s="19" t="s">
        <v>30</v>
      </c>
      <c r="S4" s="19" t="s">
        <v>31</v>
      </c>
      <c r="T4" s="21" t="s">
        <v>32</v>
      </c>
      <c r="U4" s="19" t="s">
        <v>33</v>
      </c>
      <c r="V4" s="21" t="s">
        <v>34</v>
      </c>
      <c r="W4" s="21" t="s">
        <v>161</v>
      </c>
      <c r="X4" s="748"/>
      <c r="Y4" s="22" t="s">
        <v>36</v>
      </c>
      <c r="Z4" s="23" t="s">
        <v>37</v>
      </c>
      <c r="AA4" s="24" t="s">
        <v>18</v>
      </c>
      <c r="AB4" s="11"/>
      <c r="AC4" s="451" t="s">
        <v>38</v>
      </c>
      <c r="AD4" s="598" t="s">
        <v>38</v>
      </c>
      <c r="AE4" s="598"/>
      <c r="AF4" s="598"/>
      <c r="AG4" s="599"/>
      <c r="AH4" s="597"/>
      <c r="AI4" s="600"/>
      <c r="AJ4" s="599"/>
      <c r="AK4" s="451"/>
      <c r="AL4" s="451"/>
      <c r="AM4" s="442"/>
      <c r="AN4" s="442"/>
      <c r="AO4" s="442"/>
      <c r="AP4" s="442"/>
      <c r="AQ4" s="442"/>
      <c r="AR4" s="442"/>
      <c r="AS4" s="442"/>
      <c r="AT4" s="442"/>
      <c r="AU4" s="442"/>
      <c r="AV4" s="442"/>
      <c r="AW4" s="442"/>
      <c r="AX4" s="442"/>
      <c r="AY4" s="442"/>
      <c r="AZ4" s="442"/>
      <c r="BA4" s="442"/>
      <c r="BB4" s="442"/>
      <c r="BC4" s="442"/>
      <c r="BD4" s="442"/>
      <c r="BE4" s="442"/>
      <c r="BF4" s="442"/>
      <c r="BG4" s="442"/>
      <c r="BH4" s="442"/>
      <c r="BI4" s="442"/>
    </row>
    <row r="5" spans="1:61" ht="15.65" customHeight="1" x14ac:dyDescent="0.3">
      <c r="A5" s="15" t="s">
        <v>36</v>
      </c>
      <c r="B5" s="13"/>
      <c r="C5" s="13"/>
      <c r="D5" s="13"/>
      <c r="E5" s="26" t="s">
        <v>39</v>
      </c>
      <c r="F5" s="27"/>
      <c r="G5" s="28"/>
      <c r="H5" s="29"/>
      <c r="I5" s="30"/>
      <c r="J5" s="31"/>
      <c r="K5" s="30"/>
      <c r="L5" s="30"/>
      <c r="M5" s="30"/>
      <c r="N5" s="31"/>
      <c r="O5" s="30"/>
      <c r="P5" s="31"/>
      <c r="Q5" s="30"/>
      <c r="R5" s="30"/>
      <c r="S5" s="30"/>
      <c r="T5" s="31"/>
      <c r="U5" s="30"/>
      <c r="V5" s="31"/>
      <c r="W5" s="31"/>
      <c r="X5" s="30"/>
      <c r="Y5" s="32"/>
      <c r="Z5" s="33"/>
      <c r="AA5" s="30"/>
      <c r="AB5" s="30"/>
      <c r="AC5" s="633"/>
      <c r="AD5" s="601"/>
      <c r="AE5" s="601"/>
      <c r="AF5" s="601"/>
      <c r="AG5" s="602"/>
      <c r="AH5" s="597"/>
      <c r="AI5" s="600"/>
      <c r="AJ5" s="599"/>
      <c r="AK5" s="451"/>
      <c r="AL5" s="451"/>
      <c r="AM5" s="442"/>
      <c r="AN5" s="442"/>
      <c r="AO5" s="442"/>
      <c r="AP5" s="442"/>
      <c r="AQ5" s="442"/>
      <c r="AR5" s="442"/>
      <c r="AS5" s="442"/>
      <c r="AT5" s="442"/>
      <c r="AU5" s="442"/>
      <c r="AV5" s="442"/>
      <c r="AW5" s="442"/>
      <c r="AX5" s="442"/>
      <c r="AY5" s="442"/>
      <c r="AZ5" s="442"/>
      <c r="BA5" s="442"/>
      <c r="BB5" s="442"/>
      <c r="BC5" s="442"/>
      <c r="BD5" s="442"/>
      <c r="BE5" s="442"/>
      <c r="BF5" s="442"/>
      <c r="BG5" s="442"/>
      <c r="BH5" s="442"/>
      <c r="BI5" s="442"/>
    </row>
    <row r="6" spans="1:61" ht="15.65" customHeight="1" x14ac:dyDescent="0.25">
      <c r="A6" s="36" t="str">
        <f t="shared" ref="A6:A16" si="0">CONCATENATE(B6,C6,D6)</f>
        <v>KESW504</v>
      </c>
      <c r="B6" s="13" t="s">
        <v>43</v>
      </c>
      <c r="C6" s="13">
        <v>50</v>
      </c>
      <c r="D6" s="13">
        <v>4</v>
      </c>
      <c r="E6" s="3" t="s">
        <v>44</v>
      </c>
      <c r="F6" s="37" t="s">
        <v>42</v>
      </c>
      <c r="G6" s="38">
        <f>SUMIFS('[11]inland_taf_hatchgrp_tableraw&amp;yy'!G$3:G$38,'[11]inland_taf_hatchgrp_tableraw&amp;yy'!$AC$3:$AC$38,'2018 Table 10 CWTs exp'!$A6)</f>
        <v>151</v>
      </c>
      <c r="H6" s="39">
        <f>SUMIFS('[11]inland_taf_hatchgrp_tableraw&amp;yy'!H$3:H$38,'[11]inland_taf_hatchgrp_tableraw&amp;yy'!$AC$3:$AC$38,'2018 Table 10 CWTs exp'!$A6)</f>
        <v>0</v>
      </c>
      <c r="I6" s="38">
        <f>SUMIFS('[11]inland_taf_hatchgrp_tableraw&amp;yy'!I$3:I$38,'[11]inland_taf_hatchgrp_tableraw&amp;yy'!$AC$3:$AC$38,'2018 Table 10 CWTs exp'!$A6)</f>
        <v>0</v>
      </c>
      <c r="J6" s="40">
        <f>SUMIFS('[11]inland_taf_hatchgrp_tableraw&amp;yy'!J$3:J$38,'[11]inland_taf_hatchgrp_tableraw&amp;yy'!$AC$3:$AC$38,'2018 Table 10 CWTs exp'!$A6)</f>
        <v>0</v>
      </c>
      <c r="K6" s="38">
        <f>SUMIFS('[11]inland_taf_hatchgrp_tableraw&amp;yy'!K$3:K$38,'[11]inland_taf_hatchgrp_tableraw&amp;yy'!$AC$3:$AC$38,'2018 Table 10 CWTs exp'!$A6)</f>
        <v>0</v>
      </c>
      <c r="L6" s="38">
        <f>SUMIFS('[11]inland_taf_hatchgrp_tableraw&amp;yy'!L$3:L$38,'[11]inland_taf_hatchgrp_tableraw&amp;yy'!$AC$3:$AC$38,'2018 Table 10 CWTs exp'!$A6)</f>
        <v>0</v>
      </c>
      <c r="M6" s="38">
        <f>SUMIFS('[11]inland_taf_hatchgrp_tableraw&amp;yy'!M$3:M$38,'[11]inland_taf_hatchgrp_tableraw&amp;yy'!$AC$3:$AC$38,'2018 Table 10 CWTs exp'!$A6)</f>
        <v>0</v>
      </c>
      <c r="N6" s="40">
        <f>SUMIFS('[11]inland_taf_hatchgrp_tableraw&amp;yy'!N$3:N$38,'[11]inland_taf_hatchgrp_tableraw&amp;yy'!$AC$3:$AC$38,'2018 Table 10 CWTs exp'!$A6)</f>
        <v>0</v>
      </c>
      <c r="O6" s="38">
        <f>SUMIFS('[11]inland_taf_hatchgrp_tableraw&amp;yy'!O$3:O$38,'[11]inland_taf_hatchgrp_tableraw&amp;yy'!$AC$3:$AC$38,'2018 Table 10 CWTs exp'!$A6)</f>
        <v>0</v>
      </c>
      <c r="P6" s="40">
        <f>SUMIFS('[11]inland_taf_hatchgrp_tableraw&amp;yy'!P$3:P$38,'[11]inland_taf_hatchgrp_tableraw&amp;yy'!$AC$3:$AC$38,'2018 Table 10 CWTs exp'!$A6)</f>
        <v>0</v>
      </c>
      <c r="Q6" s="38">
        <f>SUMIFS('[11]inland_taf_hatchgrp_tableraw&amp;yy'!Q$3:Q$38,'[11]inland_taf_hatchgrp_tableraw&amp;yy'!$AC$3:$AC$38,'2018 Table 10 CWTs exp'!$A6)</f>
        <v>0</v>
      </c>
      <c r="R6" s="38">
        <f>SUMIFS('[11]inland_taf_hatchgrp_tableraw&amp;yy'!R$3:R$38,'[11]inland_taf_hatchgrp_tableraw&amp;yy'!$AC$3:$AC$38,'2018 Table 10 CWTs exp'!$A6)</f>
        <v>0</v>
      </c>
      <c r="S6" s="38">
        <f>SUMIFS('[11]inland_taf_hatchgrp_tableraw&amp;yy'!S$3:S$38,'[11]inland_taf_hatchgrp_tableraw&amp;yy'!$AC$3:$AC$38,'2018 Table 10 CWTs exp'!$A6)</f>
        <v>0</v>
      </c>
      <c r="T6" s="40">
        <f>SUMIFS('[11]inland_taf_hatchgrp_tableraw&amp;yy'!T$3:T$38,'[11]inland_taf_hatchgrp_tableraw&amp;yy'!$AC$3:$AC$38,'2018 Table 10 CWTs exp'!$A6)</f>
        <v>0</v>
      </c>
      <c r="U6" s="38">
        <f>SUMIFS('[11]inland_taf_hatchgrp_tableraw&amp;yy'!U$3:U$38,'[11]inland_taf_hatchgrp_tableraw&amp;yy'!$AC$3:$AC$38,'2018 Table 10 CWTs exp'!$A6)</f>
        <v>0</v>
      </c>
      <c r="V6" s="40">
        <f>SUMIFS('[11]inland_taf_hatchgrp_tableraw&amp;yy'!V$3:V$38,'[11]inland_taf_hatchgrp_tableraw&amp;yy'!$AC$3:$AC$38,'2018 Table 10 CWTs exp'!$A6)</f>
        <v>0</v>
      </c>
      <c r="W6" s="40">
        <f>SUMIFS('[11]inland_taf_hatchgrp_tableraw&amp;yy'!W$3:W$38,'[11]inland_taf_hatchgrp_tableraw&amp;yy'!$AC$3:$AC$38,'2018 Table 10 CWTs exp'!$A6)</f>
        <v>0</v>
      </c>
      <c r="X6" s="38">
        <f>SUMIFS('[11]inland_taf_hatchgrp_tableraw&amp;yy'!X$3:X$38,'[11]inland_taf_hatchgrp_tableraw&amp;yy'!$AC$3:$AC$38,'2018 Table 10 CWTs exp'!$A6)</f>
        <v>0</v>
      </c>
      <c r="Y6" s="41">
        <f>SUMIFS('[11]inland_taf_hatchgrp_tableraw&amp;yy'!Y$3:Y$38,'[11]inland_taf_hatchgrp_tableraw&amp;yy'!$AC$3:$AC$38,'2018 Table 10 CWTs exp'!$A6)</f>
        <v>151</v>
      </c>
      <c r="Z6" s="42">
        <f>SUMIFS('[11]inland_taf_hatchgrp_tableraw&amp;yy'!Z$3:Z$38,'[11]inland_taf_hatchgrp_tableraw&amp;yy'!$AC$3:$AC$38,'2018 Table 10 CWTs exp'!$A6)</f>
        <v>29</v>
      </c>
      <c r="AA6" s="38">
        <f>SUMIFS('[11]inland_taf_hatchgrp_tableraw&amp;yy'!AA$3:AA$38,'[11]inland_taf_hatchgrp_tableraw&amp;yy'!$AC$3:$AC$38,'2018 Table 10 CWTs exp'!$A6)</f>
        <v>180</v>
      </c>
      <c r="AB6" s="38"/>
      <c r="AC6" s="634">
        <f>G6</f>
        <v>151</v>
      </c>
      <c r="AD6" s="603">
        <f>SUMIFS('[11]inland_taf_hatchgrp_tableraw&amp;yy'!AB$3:AB$38,'[11]inland_taf_hatchgrp_tableraw&amp;yy'!$AC$3:$AC$38,'2018 Table 10 CWTs exp'!$A6)</f>
        <v>0.83899999999999997</v>
      </c>
      <c r="AE6" s="604" t="str">
        <f t="shared" ref="AE6:AE16" si="1">A6</f>
        <v>KESW504</v>
      </c>
      <c r="AF6" s="444"/>
      <c r="AG6" s="622">
        <f>Y6/AA6</f>
        <v>0.83888888888888891</v>
      </c>
      <c r="AH6" s="597"/>
      <c r="AI6" s="600"/>
      <c r="AJ6" s="599"/>
      <c r="AK6" s="451"/>
      <c r="AL6" s="451"/>
      <c r="AM6" s="442"/>
      <c r="AN6" s="442"/>
      <c r="AO6" s="442"/>
      <c r="AP6" s="442"/>
      <c r="AQ6" s="442"/>
      <c r="AR6" s="442"/>
      <c r="AS6" s="442"/>
      <c r="AT6" s="442"/>
    </row>
    <row r="7" spans="1:61" s="47" customFormat="1" ht="14.5" customHeight="1" x14ac:dyDescent="0.25">
      <c r="A7" s="36" t="str">
        <f t="shared" si="0"/>
        <v>FRFH501</v>
      </c>
      <c r="B7" s="35" t="s">
        <v>45</v>
      </c>
      <c r="C7" s="35">
        <v>50</v>
      </c>
      <c r="D7" s="35">
        <v>1</v>
      </c>
      <c r="E7" s="27" t="s">
        <v>46</v>
      </c>
      <c r="F7" s="28" t="str">
        <f t="shared" ref="F7:F13" si="2">LOOKUP(D7,$AL$7:$AL$10,$AM$7:$AM$10)</f>
        <v>Spring</v>
      </c>
      <c r="G7" s="44">
        <f>SUMIFS('[11]inland_taf_hatchgrp_tableraw&amp;yy'!G$3:G$38,'[11]inland_taf_hatchgrp_tableraw&amp;yy'!$AC$3:$AC$38,'2018 Table 10 CWTs exp'!$A7)</f>
        <v>0</v>
      </c>
      <c r="H7" s="45">
        <f>SUMIFS('[11]inland_taf_hatchgrp_tableraw&amp;yy'!H$3:H$38,'[11]inland_taf_hatchgrp_tableraw&amp;yy'!$AC$3:$AC$38,'2018 Table 10 CWTs exp'!$A7)</f>
        <v>0</v>
      </c>
      <c r="I7" s="44">
        <f>SUMIFS('[11]inland_taf_hatchgrp_tableraw&amp;yy'!I$3:I$38,'[11]inland_taf_hatchgrp_tableraw&amp;yy'!$AC$3:$AC$38,'2018 Table 10 CWTs exp'!$A7)</f>
        <v>0</v>
      </c>
      <c r="J7" s="46">
        <f>SUMIFS('[11]inland_taf_hatchgrp_tableraw&amp;yy'!J$3:J$38,'[11]inland_taf_hatchgrp_tableraw&amp;yy'!$AC$3:$AC$38,'2018 Table 10 CWTs exp'!$A7)</f>
        <v>0</v>
      </c>
      <c r="K7" s="44">
        <f>SUMIFS('[11]inland_taf_hatchgrp_tableraw&amp;yy'!K$3:K$38,'[11]inland_taf_hatchgrp_tableraw&amp;yy'!$AC$3:$AC$38,'2018 Table 10 CWTs exp'!$A7)</f>
        <v>1817</v>
      </c>
      <c r="L7" s="44">
        <f>SUMIFS('[11]inland_taf_hatchgrp_tableraw&amp;yy'!L$3:L$38,'[11]inland_taf_hatchgrp_tableraw&amp;yy'!$AC$3:$AC$38,'2018 Table 10 CWTs exp'!$A7)</f>
        <v>0</v>
      </c>
      <c r="M7" s="44">
        <f>SUMIFS('[11]inland_taf_hatchgrp_tableraw&amp;yy'!M$3:M$38,'[11]inland_taf_hatchgrp_tableraw&amp;yy'!$AC$3:$AC$38,'2018 Table 10 CWTs exp'!$A7)</f>
        <v>169</v>
      </c>
      <c r="N7" s="46">
        <f>SUMIFS('[11]inland_taf_hatchgrp_tableraw&amp;yy'!N$3:N$38,'[11]inland_taf_hatchgrp_tableraw&amp;yy'!$AC$3:$AC$38,'2018 Table 10 CWTs exp'!$A7)</f>
        <v>0</v>
      </c>
      <c r="O7" s="44">
        <f>SUMIFS('[11]inland_taf_hatchgrp_tableraw&amp;yy'!O$3:O$38,'[11]inland_taf_hatchgrp_tableraw&amp;yy'!$AC$3:$AC$38,'2018 Table 10 CWTs exp'!$A7)</f>
        <v>0</v>
      </c>
      <c r="P7" s="46">
        <f>SUMIFS('[11]inland_taf_hatchgrp_tableraw&amp;yy'!P$3:P$38,'[11]inland_taf_hatchgrp_tableraw&amp;yy'!$AC$3:$AC$38,'2018 Table 10 CWTs exp'!$A7)</f>
        <v>0</v>
      </c>
      <c r="Q7" s="44">
        <f>SUMIFS('[11]inland_taf_hatchgrp_tableraw&amp;yy'!Q$3:Q$38,'[11]inland_taf_hatchgrp_tableraw&amp;yy'!$AC$3:$AC$38,'2018 Table 10 CWTs exp'!$A7)</f>
        <v>0</v>
      </c>
      <c r="R7" s="44">
        <f>SUMIFS('[11]inland_taf_hatchgrp_tableraw&amp;yy'!R$3:R$38,'[11]inland_taf_hatchgrp_tableraw&amp;yy'!$AC$3:$AC$38,'2018 Table 10 CWTs exp'!$A7)</f>
        <v>0</v>
      </c>
      <c r="S7" s="44">
        <f>SUMIFS('[11]inland_taf_hatchgrp_tableraw&amp;yy'!S$3:S$38,'[11]inland_taf_hatchgrp_tableraw&amp;yy'!$AC$3:$AC$38,'2018 Table 10 CWTs exp'!$A7)</f>
        <v>0</v>
      </c>
      <c r="T7" s="46">
        <f>SUMIFS('[11]inland_taf_hatchgrp_tableraw&amp;yy'!T$3:T$38,'[11]inland_taf_hatchgrp_tableraw&amp;yy'!$AC$3:$AC$38,'2018 Table 10 CWTs exp'!$A7)</f>
        <v>0</v>
      </c>
      <c r="U7" s="44">
        <f>SUMIFS('[11]inland_taf_hatchgrp_tableraw&amp;yy'!U$3:U$38,'[11]inland_taf_hatchgrp_tableraw&amp;yy'!$AC$3:$AC$38,'2018 Table 10 CWTs exp'!$A7)</f>
        <v>0</v>
      </c>
      <c r="V7" s="46">
        <f>SUMIFS('[11]inland_taf_hatchgrp_tableraw&amp;yy'!V$3:V$38,'[11]inland_taf_hatchgrp_tableraw&amp;yy'!$AC$3:$AC$38,'2018 Table 10 CWTs exp'!$A7)</f>
        <v>0</v>
      </c>
      <c r="W7" s="46">
        <f>SUMIFS('[11]inland_taf_hatchgrp_tableraw&amp;yy'!W$3:W$38,'[11]inland_taf_hatchgrp_tableraw&amp;yy'!$AC$3:$AC$38,'2018 Table 10 CWTs exp'!$A7)</f>
        <v>2</v>
      </c>
      <c r="X7" s="44">
        <f>SUMIFS('[11]inland_taf_hatchgrp_tableraw&amp;yy'!X$3:X$38,'[11]inland_taf_hatchgrp_tableraw&amp;yy'!$AC$3:$AC$38,'2018 Table 10 CWTs exp'!$A7)</f>
        <v>0</v>
      </c>
      <c r="Y7" s="84">
        <f>SUMIFS('[11]inland_taf_hatchgrp_tableraw&amp;yy'!Y$3:Y$38,'[11]inland_taf_hatchgrp_tableraw&amp;yy'!$AC$3:$AC$38,'2018 Table 10 CWTs exp'!$A7)</f>
        <v>1988</v>
      </c>
      <c r="Z7" s="85">
        <f>SUMIFS('[11]inland_taf_hatchgrp_tableraw&amp;yy'!Z$3:Z$38,'[11]inland_taf_hatchgrp_tableraw&amp;yy'!$AC$3:$AC$38,'2018 Table 10 CWTs exp'!$A7)</f>
        <v>122</v>
      </c>
      <c r="AA7" s="44">
        <f>SUMIFS('[11]inland_taf_hatchgrp_tableraw&amp;yy'!AA$3:AA$38,'[11]inland_taf_hatchgrp_tableraw&amp;yy'!$AC$3:$AC$38,'2018 Table 10 CWTs exp'!$A7)</f>
        <v>2110</v>
      </c>
      <c r="AB7" s="44"/>
      <c r="AC7" s="636"/>
      <c r="AD7" s="603">
        <f>SUMIFS('[11]inland_taf_hatchgrp_tableraw&amp;yy'!AB$3:AB$38,'[11]inland_taf_hatchgrp_tableraw&amp;yy'!$AC$3:$AC$38,'2018 Table 10 CWTs exp'!$A7)</f>
        <v>0.94199999999999995</v>
      </c>
      <c r="AE7" s="604" t="str">
        <f t="shared" si="1"/>
        <v>FRFH501</v>
      </c>
      <c r="AF7" s="594"/>
      <c r="AG7" s="622">
        <f>Y7/AA7</f>
        <v>0.94218009478672982</v>
      </c>
      <c r="AH7" s="616"/>
      <c r="AI7" s="616"/>
      <c r="AJ7" s="602"/>
      <c r="AK7" s="601"/>
      <c r="AL7" s="601">
        <v>1</v>
      </c>
      <c r="AM7" s="594" t="s">
        <v>47</v>
      </c>
      <c r="AN7" s="594"/>
      <c r="AO7" s="594"/>
      <c r="AP7" s="594"/>
      <c r="AQ7" s="594"/>
      <c r="AR7" s="594"/>
      <c r="AS7" s="594"/>
      <c r="AT7" s="594"/>
      <c r="BH7" s="49"/>
    </row>
    <row r="8" spans="1:61" ht="12.75" hidden="1" customHeight="1" x14ac:dyDescent="0.25">
      <c r="A8" s="50" t="str">
        <f>CONCATENATE(B8,C8,D8)</f>
        <v>KESW503</v>
      </c>
      <c r="B8" s="13" t="s">
        <v>43</v>
      </c>
      <c r="C8" s="13">
        <v>50</v>
      </c>
      <c r="D8" s="13">
        <v>3</v>
      </c>
      <c r="E8" s="3" t="s">
        <v>44</v>
      </c>
      <c r="F8" s="43" t="str">
        <f t="shared" si="2"/>
        <v>Fall</v>
      </c>
      <c r="G8" s="38">
        <f>SUMIFS('[11]inland_taf_hatchgrp_tableraw&amp;yy'!G$3:G$38,'[11]inland_taf_hatchgrp_tableraw&amp;yy'!$AC$3:$AC$38,'2018 Table 10 CWTs exp'!$A8)</f>
        <v>0</v>
      </c>
      <c r="H8" s="39">
        <f>SUMIFS('[11]inland_taf_hatchgrp_tableraw&amp;yy'!H$3:H$38,'[11]inland_taf_hatchgrp_tableraw&amp;yy'!$AC$3:$AC$38,'2018 Table 10 CWTs exp'!$A8)</f>
        <v>0</v>
      </c>
      <c r="I8" s="38">
        <f>SUMIFS('[11]inland_taf_hatchgrp_tableraw&amp;yy'!I$3:I$38,'[11]inland_taf_hatchgrp_tableraw&amp;yy'!$AC$3:$AC$38,'2018 Table 10 CWTs exp'!$A8)</f>
        <v>0</v>
      </c>
      <c r="J8" s="40">
        <f>SUMIFS('[11]inland_taf_hatchgrp_tableraw&amp;yy'!J$3:J$38,'[11]inland_taf_hatchgrp_tableraw&amp;yy'!$AC$3:$AC$38,'2018 Table 10 CWTs exp'!$A8)</f>
        <v>0</v>
      </c>
      <c r="K8" s="38">
        <f>SUMIFS('[11]inland_taf_hatchgrp_tableraw&amp;yy'!K$3:K$38,'[11]inland_taf_hatchgrp_tableraw&amp;yy'!$AC$3:$AC$38,'2018 Table 10 CWTs exp'!$A8)</f>
        <v>0</v>
      </c>
      <c r="L8" s="38">
        <f>SUMIFS('[11]inland_taf_hatchgrp_tableraw&amp;yy'!L$3:L$38,'[11]inland_taf_hatchgrp_tableraw&amp;yy'!$AC$3:$AC$38,'2018 Table 10 CWTs exp'!$A8)</f>
        <v>0</v>
      </c>
      <c r="M8" s="38">
        <f>SUMIFS('[11]inland_taf_hatchgrp_tableraw&amp;yy'!M$3:M$38,'[11]inland_taf_hatchgrp_tableraw&amp;yy'!$AC$3:$AC$38,'2018 Table 10 CWTs exp'!$A8)</f>
        <v>0</v>
      </c>
      <c r="N8" s="40">
        <f>SUMIFS('[11]inland_taf_hatchgrp_tableraw&amp;yy'!N$3:N$38,'[11]inland_taf_hatchgrp_tableraw&amp;yy'!$AC$3:$AC$38,'2018 Table 10 CWTs exp'!$A8)</f>
        <v>0</v>
      </c>
      <c r="O8" s="38">
        <f>SUMIFS('[11]inland_taf_hatchgrp_tableraw&amp;yy'!O$3:O$38,'[11]inland_taf_hatchgrp_tableraw&amp;yy'!$AC$3:$AC$38,'2018 Table 10 CWTs exp'!$A8)</f>
        <v>0</v>
      </c>
      <c r="P8" s="40">
        <f>SUMIFS('[11]inland_taf_hatchgrp_tableraw&amp;yy'!P$3:P$38,'[11]inland_taf_hatchgrp_tableraw&amp;yy'!$AC$3:$AC$38,'2018 Table 10 CWTs exp'!$A8)</f>
        <v>0</v>
      </c>
      <c r="Q8" s="38">
        <f>SUMIFS('[11]inland_taf_hatchgrp_tableraw&amp;yy'!Q$3:Q$38,'[11]inland_taf_hatchgrp_tableraw&amp;yy'!$AC$3:$AC$38,'2018 Table 10 CWTs exp'!$A8)</f>
        <v>0</v>
      </c>
      <c r="R8" s="38">
        <f>SUMIFS('[11]inland_taf_hatchgrp_tableraw&amp;yy'!R$3:R$38,'[11]inland_taf_hatchgrp_tableraw&amp;yy'!$AC$3:$AC$38,'2018 Table 10 CWTs exp'!$A8)</f>
        <v>0</v>
      </c>
      <c r="S8" s="38">
        <f>SUMIFS('[11]inland_taf_hatchgrp_tableraw&amp;yy'!S$3:S$38,'[11]inland_taf_hatchgrp_tableraw&amp;yy'!$AC$3:$AC$38,'2018 Table 10 CWTs exp'!$A8)</f>
        <v>0</v>
      </c>
      <c r="T8" s="40">
        <f>SUMIFS('[11]inland_taf_hatchgrp_tableraw&amp;yy'!T$3:T$38,'[11]inland_taf_hatchgrp_tableraw&amp;yy'!$AC$3:$AC$38,'2018 Table 10 CWTs exp'!$A8)</f>
        <v>0</v>
      </c>
      <c r="U8" s="38">
        <f>SUMIFS('[11]inland_taf_hatchgrp_tableraw&amp;yy'!U$3:U$38,'[11]inland_taf_hatchgrp_tableraw&amp;yy'!$AC$3:$AC$38,'2018 Table 10 CWTs exp'!$A8)</f>
        <v>0</v>
      </c>
      <c r="V8" s="40">
        <f>SUMIFS('[11]inland_taf_hatchgrp_tableraw&amp;yy'!V$3:V$38,'[11]inland_taf_hatchgrp_tableraw&amp;yy'!$AC$3:$AC$38,'2018 Table 10 CWTs exp'!$A8)</f>
        <v>0</v>
      </c>
      <c r="W8" s="40">
        <f>SUMIFS('[11]inland_taf_hatchgrp_tableraw&amp;yy'!W$3:W$38,'[11]inland_taf_hatchgrp_tableraw&amp;yy'!$AC$3:$AC$38,'2018 Table 10 CWTs exp'!$A8)</f>
        <v>0</v>
      </c>
      <c r="X8" s="38">
        <f>SUMIFS('[11]inland_taf_hatchgrp_tableraw&amp;yy'!X$3:X$38,'[11]inland_taf_hatchgrp_tableraw&amp;yy'!$AC$3:$AC$38,'2018 Table 10 CWTs exp'!$A8)</f>
        <v>0</v>
      </c>
      <c r="Y8" s="41">
        <f>SUMIFS('[11]inland_taf_hatchgrp_tableraw&amp;yy'!Y$3:Y$38,'[11]inland_taf_hatchgrp_tableraw&amp;yy'!$AC$3:$AC$38,'2018 Table 10 CWTs exp'!$A8)</f>
        <v>0</v>
      </c>
      <c r="Z8" s="42">
        <f>SUMIFS('[11]inland_taf_hatchgrp_tableraw&amp;yy'!Z$3:Z$38,'[11]inland_taf_hatchgrp_tableraw&amp;yy'!$AC$3:$AC$38,'2018 Table 10 CWTs exp'!$A8)</f>
        <v>0</v>
      </c>
      <c r="AA8" s="38">
        <f>SUMIFS('[11]inland_taf_hatchgrp_tableraw&amp;yy'!AA$3:AA$38,'[11]inland_taf_hatchgrp_tableraw&amp;yy'!$AC$3:$AC$38,'2018 Table 10 CWTs exp'!$A8)</f>
        <v>0</v>
      </c>
      <c r="AB8" s="38"/>
      <c r="AC8" s="634"/>
      <c r="AD8" s="603">
        <f>SUMIFS('[11]inland_taf_hatchgrp_tableraw&amp;yy'!AB$3:AB$38,'[11]inland_taf_hatchgrp_tableraw&amp;yy'!$AC$3:$AC$38,'2018 Table 10 CWTs exp'!$A8)</f>
        <v>0</v>
      </c>
      <c r="AE8" s="604" t="str">
        <f t="shared" si="1"/>
        <v>KESW503</v>
      </c>
      <c r="AF8" s="603"/>
      <c r="AG8" s="622" t="e">
        <f>Y8/AA8</f>
        <v>#DIV/0!</v>
      </c>
      <c r="AH8" s="597"/>
      <c r="AI8" s="605">
        <f>1-AD8</f>
        <v>1</v>
      </c>
      <c r="AJ8" s="447">
        <f>Z8</f>
        <v>0</v>
      </c>
      <c r="AK8" s="448" t="e">
        <f t="shared" ref="AK8:AK13" si="3">AJ8/AA8</f>
        <v>#DIV/0!</v>
      </c>
      <c r="AL8" s="451">
        <v>3</v>
      </c>
      <c r="AM8" s="442" t="s">
        <v>48</v>
      </c>
      <c r="AN8" s="442"/>
      <c r="AO8" s="442"/>
      <c r="AP8" s="442"/>
      <c r="AQ8" s="442"/>
      <c r="AR8" s="442"/>
      <c r="AS8" s="442"/>
      <c r="AT8" s="442"/>
    </row>
    <row r="9" spans="1:61" ht="14.5" customHeight="1" x14ac:dyDescent="0.25">
      <c r="A9" s="50" t="str">
        <f t="shared" si="0"/>
        <v>CNFH503</v>
      </c>
      <c r="B9" s="13" t="s">
        <v>40</v>
      </c>
      <c r="C9" s="13">
        <v>50</v>
      </c>
      <c r="D9" s="13">
        <v>3</v>
      </c>
      <c r="E9" s="3" t="s">
        <v>41</v>
      </c>
      <c r="F9" s="43" t="str">
        <f t="shared" si="2"/>
        <v>Fall</v>
      </c>
      <c r="G9" s="38">
        <f>SUMIFS('[11]inland_taf_hatchgrp_tableraw&amp;yy'!G$3:G$38,'[11]inland_taf_hatchgrp_tableraw&amp;yy'!$AC$3:$AC$38,'2018 Table 10 CWTs exp'!$A9)</f>
        <v>0</v>
      </c>
      <c r="H9" s="39">
        <f>SUMIFS('[11]inland_taf_hatchgrp_tableraw&amp;yy'!H$3:H$38,'[11]inland_taf_hatchgrp_tableraw&amp;yy'!$AC$3:$AC$38,'2018 Table 10 CWTs exp'!$A9)</f>
        <v>0</v>
      </c>
      <c r="I9" s="38">
        <f>SUMIFS('[11]inland_taf_hatchgrp_tableraw&amp;yy'!I$3:I$38,'[11]inland_taf_hatchgrp_tableraw&amp;yy'!$AC$3:$AC$38,'2018 Table 10 CWTs exp'!$A9)</f>
        <v>12233</v>
      </c>
      <c r="J9" s="40">
        <f>SUMIFS('[11]inland_taf_hatchgrp_tableraw&amp;yy'!J$3:J$38,'[11]inland_taf_hatchgrp_tableraw&amp;yy'!$AC$3:$AC$38,'2018 Table 10 CWTs exp'!$A9)</f>
        <v>0</v>
      </c>
      <c r="K9" s="38">
        <f>SUMIFS('[11]inland_taf_hatchgrp_tableraw&amp;yy'!K$3:K$38,'[11]inland_taf_hatchgrp_tableraw&amp;yy'!$AC$3:$AC$38,'2018 Table 10 CWTs exp'!$A9)</f>
        <v>0</v>
      </c>
      <c r="L9" s="38">
        <f>SUMIFS('[11]inland_taf_hatchgrp_tableraw&amp;yy'!L$3:L$38,'[11]inland_taf_hatchgrp_tableraw&amp;yy'!$AC$3:$AC$38,'2018 Table 10 CWTs exp'!$A9)</f>
        <v>3</v>
      </c>
      <c r="M9" s="38">
        <f>SUMIFS('[11]inland_taf_hatchgrp_tableraw&amp;yy'!M$3:M$38,'[11]inland_taf_hatchgrp_tableraw&amp;yy'!$AC$3:$AC$38,'2018 Table 10 CWTs exp'!$A9)</f>
        <v>12</v>
      </c>
      <c r="N9" s="40">
        <f>SUMIFS('[11]inland_taf_hatchgrp_tableraw&amp;yy'!N$3:N$38,'[11]inland_taf_hatchgrp_tableraw&amp;yy'!$AC$3:$AC$38,'2018 Table 10 CWTs exp'!$A9)</f>
        <v>4</v>
      </c>
      <c r="O9" s="38">
        <f>SUMIFS('[11]inland_taf_hatchgrp_tableraw&amp;yy'!O$3:O$38,'[11]inland_taf_hatchgrp_tableraw&amp;yy'!$AC$3:$AC$38,'2018 Table 10 CWTs exp'!$A9)</f>
        <v>0</v>
      </c>
      <c r="P9" s="40">
        <f>SUMIFS('[11]inland_taf_hatchgrp_tableraw&amp;yy'!P$3:P$38,'[11]inland_taf_hatchgrp_tableraw&amp;yy'!$AC$3:$AC$38,'2018 Table 10 CWTs exp'!$A9)</f>
        <v>4</v>
      </c>
      <c r="Q9" s="38">
        <f>SUMIFS('[11]inland_taf_hatchgrp_tableraw&amp;yy'!Q$3:Q$38,'[11]inland_taf_hatchgrp_tableraw&amp;yy'!$AC$3:$AC$38,'2018 Table 10 CWTs exp'!$A9)</f>
        <v>0</v>
      </c>
      <c r="R9" s="38">
        <f>SUMIFS('[11]inland_taf_hatchgrp_tableraw&amp;yy'!R$3:R$38,'[11]inland_taf_hatchgrp_tableraw&amp;yy'!$AC$3:$AC$38,'2018 Table 10 CWTs exp'!$A9)</f>
        <v>8</v>
      </c>
      <c r="S9" s="38">
        <f>SUMIFS('[11]inland_taf_hatchgrp_tableraw&amp;yy'!S$3:S$38,'[11]inland_taf_hatchgrp_tableraw&amp;yy'!$AC$3:$AC$38,'2018 Table 10 CWTs exp'!$A9)</f>
        <v>4</v>
      </c>
      <c r="T9" s="40">
        <f>SUMIFS('[11]inland_taf_hatchgrp_tableraw&amp;yy'!T$3:T$38,'[11]inland_taf_hatchgrp_tableraw&amp;yy'!$AC$3:$AC$38,'2018 Table 10 CWTs exp'!$A9)</f>
        <v>13</v>
      </c>
      <c r="U9" s="38">
        <f>SUMIFS('[11]inland_taf_hatchgrp_tableraw&amp;yy'!U$3:U$38,'[11]inland_taf_hatchgrp_tableraw&amp;yy'!$AC$3:$AC$38,'2018 Table 10 CWTs exp'!$A9)</f>
        <v>0</v>
      </c>
      <c r="V9" s="40">
        <f>SUMIFS('[11]inland_taf_hatchgrp_tableraw&amp;yy'!V$3:V$38,'[11]inland_taf_hatchgrp_tableraw&amp;yy'!$AC$3:$AC$38,'2018 Table 10 CWTs exp'!$A9)</f>
        <v>1</v>
      </c>
      <c r="W9" s="40">
        <f>SUMIFS('[11]inland_taf_hatchgrp_tableraw&amp;yy'!W$3:W$38,'[11]inland_taf_hatchgrp_tableraw&amp;yy'!$AC$3:$AC$38,'2018 Table 10 CWTs exp'!$A9)</f>
        <v>0</v>
      </c>
      <c r="X9" s="38">
        <f>SUMIFS('[11]inland_taf_hatchgrp_tableraw&amp;yy'!X$3:X$38,'[11]inland_taf_hatchgrp_tableraw&amp;yy'!$AC$3:$AC$38,'2018 Table 10 CWTs exp'!$A9)</f>
        <v>0</v>
      </c>
      <c r="Y9" s="41">
        <f>SUMIFS('[11]inland_taf_hatchgrp_tableraw&amp;yy'!Y$3:Y$38,'[11]inland_taf_hatchgrp_tableraw&amp;yy'!$AC$3:$AC$38,'2018 Table 10 CWTs exp'!$A9)</f>
        <v>12282</v>
      </c>
      <c r="Z9" s="42">
        <f>SUMIFS('[11]inland_taf_hatchgrp_tableraw&amp;yy'!Z$3:Z$38,'[11]inland_taf_hatchgrp_tableraw&amp;yy'!$AC$3:$AC$38,'2018 Table 10 CWTs exp'!$A9)</f>
        <v>1916</v>
      </c>
      <c r="AA9" s="38">
        <f>SUMIFS('[11]inland_taf_hatchgrp_tableraw&amp;yy'!AA$3:AA$38,'[11]inland_taf_hatchgrp_tableraw&amp;yy'!$AC$3:$AC$38,'2018 Table 10 CWTs exp'!$A9)</f>
        <v>14198</v>
      </c>
      <c r="AB9" s="38"/>
      <c r="AC9" s="634"/>
      <c r="AD9" s="603">
        <f>SUMIFS('[11]inland_taf_hatchgrp_tableraw&amp;yy'!AB$3:AB$38,'[11]inland_taf_hatchgrp_tableraw&amp;yy'!$AC$3:$AC$38,'2018 Table 10 CWTs exp'!$A9)</f>
        <v>0.86499999999999999</v>
      </c>
      <c r="AE9" s="604" t="str">
        <f t="shared" si="1"/>
        <v>CNFH503</v>
      </c>
      <c r="AF9" s="603"/>
      <c r="AG9" s="622">
        <f t="shared" ref="AG9:AG16" si="4">Y9/AA9</f>
        <v>0.865051415692351</v>
      </c>
      <c r="AH9" s="597"/>
      <c r="AI9" s="605">
        <f>1-AD9</f>
        <v>0.13500000000000001</v>
      </c>
      <c r="AJ9" s="447">
        <f>Z9</f>
        <v>1916</v>
      </c>
      <c r="AK9" s="448">
        <f t="shared" si="3"/>
        <v>0.13494858430764897</v>
      </c>
      <c r="AL9" s="451">
        <v>4</v>
      </c>
      <c r="AM9" s="442" t="s">
        <v>42</v>
      </c>
      <c r="AN9" s="442"/>
      <c r="AO9" s="442"/>
      <c r="AP9" s="442"/>
      <c r="AQ9" s="442"/>
      <c r="AR9" s="442"/>
      <c r="AS9" s="442"/>
      <c r="AT9" s="442"/>
    </row>
    <row r="10" spans="1:61" ht="14.5" customHeight="1" x14ac:dyDescent="0.25">
      <c r="A10" s="50" t="str">
        <f t="shared" si="0"/>
        <v>FRFH503</v>
      </c>
      <c r="B10" s="13" t="s">
        <v>45</v>
      </c>
      <c r="C10" s="13">
        <v>50</v>
      </c>
      <c r="D10" s="13">
        <v>3</v>
      </c>
      <c r="E10" s="3" t="s">
        <v>46</v>
      </c>
      <c r="F10" s="43" t="str">
        <f t="shared" si="2"/>
        <v>Fall</v>
      </c>
      <c r="G10" s="38">
        <f>SUMIFS('[11]inland_taf_hatchgrp_tableraw&amp;yy'!G$3:G$38,'[11]inland_taf_hatchgrp_tableraw&amp;yy'!$AC$3:$AC$38,'2018 Table 10 CWTs exp'!$A10)</f>
        <v>0</v>
      </c>
      <c r="H10" s="39">
        <f>SUMIFS('[11]inland_taf_hatchgrp_tableraw&amp;yy'!H$3:H$38,'[11]inland_taf_hatchgrp_tableraw&amp;yy'!$AC$3:$AC$38,'2018 Table 10 CWTs exp'!$A10)</f>
        <v>1</v>
      </c>
      <c r="I10" s="38">
        <f>SUMIFS('[11]inland_taf_hatchgrp_tableraw&amp;yy'!I$3:I$38,'[11]inland_taf_hatchgrp_tableraw&amp;yy'!$AC$3:$AC$38,'2018 Table 10 CWTs exp'!$A10)</f>
        <v>12</v>
      </c>
      <c r="J10" s="40">
        <f>SUMIFS('[11]inland_taf_hatchgrp_tableraw&amp;yy'!J$3:J$38,'[11]inland_taf_hatchgrp_tableraw&amp;yy'!$AC$3:$AC$38,'2018 Table 10 CWTs exp'!$A10)</f>
        <v>0</v>
      </c>
      <c r="K10" s="38">
        <f>SUMIFS('[11]inland_taf_hatchgrp_tableraw&amp;yy'!K$3:K$38,'[11]inland_taf_hatchgrp_tableraw&amp;yy'!$AC$3:$AC$38,'2018 Table 10 CWTs exp'!$A10)</f>
        <v>1487</v>
      </c>
      <c r="L10" s="38">
        <f>SUMIFS('[11]inland_taf_hatchgrp_tableraw&amp;yy'!L$3:L$38,'[11]inland_taf_hatchgrp_tableraw&amp;yy'!$AC$3:$AC$38,'2018 Table 10 CWTs exp'!$A10)</f>
        <v>842</v>
      </c>
      <c r="M10" s="38">
        <f>SUMIFS('[11]inland_taf_hatchgrp_tableraw&amp;yy'!M$3:M$38,'[11]inland_taf_hatchgrp_tableraw&amp;yy'!$AC$3:$AC$38,'2018 Table 10 CWTs exp'!$A10)</f>
        <v>19349</v>
      </c>
      <c r="N10" s="40">
        <f>SUMIFS('[11]inland_taf_hatchgrp_tableraw&amp;yy'!N$3:N$38,'[11]inland_taf_hatchgrp_tableraw&amp;yy'!$AC$3:$AC$38,'2018 Table 10 CWTs exp'!$A10)</f>
        <v>2144</v>
      </c>
      <c r="O10" s="38">
        <f>SUMIFS('[11]inland_taf_hatchgrp_tableraw&amp;yy'!O$3:O$38,'[11]inland_taf_hatchgrp_tableraw&amp;yy'!$AC$3:$AC$38,'2018 Table 10 CWTs exp'!$A10)</f>
        <v>4</v>
      </c>
      <c r="P10" s="40">
        <f>SUMIFS('[11]inland_taf_hatchgrp_tableraw&amp;yy'!P$3:P$38,'[11]inland_taf_hatchgrp_tableraw&amp;yy'!$AC$3:$AC$38,'2018 Table 10 CWTs exp'!$A10)</f>
        <v>28</v>
      </c>
      <c r="Q10" s="38">
        <f>SUMIFS('[11]inland_taf_hatchgrp_tableraw&amp;yy'!Q$3:Q$38,'[11]inland_taf_hatchgrp_tableraw&amp;yy'!$AC$3:$AC$38,'2018 Table 10 CWTs exp'!$A10)</f>
        <v>3</v>
      </c>
      <c r="R10" s="38">
        <f>SUMIFS('[11]inland_taf_hatchgrp_tableraw&amp;yy'!R$3:R$38,'[11]inland_taf_hatchgrp_tableraw&amp;yy'!$AC$3:$AC$38,'2018 Table 10 CWTs exp'!$A10)</f>
        <v>200</v>
      </c>
      <c r="S10" s="38">
        <f>SUMIFS('[11]inland_taf_hatchgrp_tableraw&amp;yy'!S$3:S$38,'[11]inland_taf_hatchgrp_tableraw&amp;yy'!$AC$3:$AC$38,'2018 Table 10 CWTs exp'!$A10)</f>
        <v>81</v>
      </c>
      <c r="T10" s="40">
        <f>SUMIFS('[11]inland_taf_hatchgrp_tableraw&amp;yy'!T$3:T$38,'[11]inland_taf_hatchgrp_tableraw&amp;yy'!$AC$3:$AC$38,'2018 Table 10 CWTs exp'!$A10)</f>
        <v>39</v>
      </c>
      <c r="U10" s="38">
        <f>SUMIFS('[11]inland_taf_hatchgrp_tableraw&amp;yy'!U$3:U$38,'[11]inland_taf_hatchgrp_tableraw&amp;yy'!$AC$3:$AC$38,'2018 Table 10 CWTs exp'!$A10)</f>
        <v>0</v>
      </c>
      <c r="V10" s="40">
        <f>SUMIFS('[11]inland_taf_hatchgrp_tableraw&amp;yy'!V$3:V$38,'[11]inland_taf_hatchgrp_tableraw&amp;yy'!$AC$3:$AC$38,'2018 Table 10 CWTs exp'!$A10)</f>
        <v>24</v>
      </c>
      <c r="W10" s="40">
        <f>SUMIFS('[11]inland_taf_hatchgrp_tableraw&amp;yy'!W$3:W$38,'[11]inland_taf_hatchgrp_tableraw&amp;yy'!$AC$3:$AC$38,'2018 Table 10 CWTs exp'!$A10)</f>
        <v>28</v>
      </c>
      <c r="X10" s="38">
        <f>SUMIFS('[11]inland_taf_hatchgrp_tableraw&amp;yy'!X$3:X$38,'[11]inland_taf_hatchgrp_tableraw&amp;yy'!$AC$3:$AC$38,'2018 Table 10 CWTs exp'!$A10)</f>
        <v>0</v>
      </c>
      <c r="Y10" s="41">
        <f>SUMIFS('[11]inland_taf_hatchgrp_tableraw&amp;yy'!Y$3:Y$38,'[11]inland_taf_hatchgrp_tableraw&amp;yy'!$AC$3:$AC$38,'2018 Table 10 CWTs exp'!$A10)</f>
        <v>24242</v>
      </c>
      <c r="Z10" s="42">
        <f>SUMIFS('[11]inland_taf_hatchgrp_tableraw&amp;yy'!Z$3:Z$38,'[11]inland_taf_hatchgrp_tableraw&amp;yy'!$AC$3:$AC$38,'2018 Table 10 CWTs exp'!$A10)</f>
        <v>4114</v>
      </c>
      <c r="AA10" s="38">
        <f>SUMIFS('[11]inland_taf_hatchgrp_tableraw&amp;yy'!AA$3:AA$38,'[11]inland_taf_hatchgrp_tableraw&amp;yy'!$AC$3:$AC$38,'2018 Table 10 CWTs exp'!$A10)</f>
        <v>28356</v>
      </c>
      <c r="AB10" s="38"/>
      <c r="AC10" s="634"/>
      <c r="AD10" s="603">
        <f>SUMIFS('[11]inland_taf_hatchgrp_tableraw&amp;yy'!AB$3:AB$38,'[11]inland_taf_hatchgrp_tableraw&amp;yy'!$AC$3:$AC$38,'2018 Table 10 CWTs exp'!$A10)</f>
        <v>0.85499999999999998</v>
      </c>
      <c r="AE10" s="604" t="str">
        <f t="shared" si="1"/>
        <v>FRFH503</v>
      </c>
      <c r="AF10" s="603"/>
      <c r="AG10" s="622">
        <f t="shared" si="4"/>
        <v>0.85491606714628299</v>
      </c>
      <c r="AH10" s="597"/>
      <c r="AI10" s="605">
        <f t="shared" ref="AI10:AI13" si="5">1-AD10</f>
        <v>0.14500000000000002</v>
      </c>
      <c r="AJ10" s="447">
        <f t="shared" ref="AJ10:AJ13" si="6">Z10</f>
        <v>4114</v>
      </c>
      <c r="AK10" s="448">
        <f t="shared" si="3"/>
        <v>0.14508393285371701</v>
      </c>
      <c r="AL10" s="451">
        <v>7</v>
      </c>
      <c r="AM10" s="442" t="s">
        <v>49</v>
      </c>
      <c r="AN10" s="442"/>
      <c r="AO10" s="442"/>
      <c r="AP10" s="442"/>
      <c r="AQ10" s="442"/>
      <c r="AR10" s="442"/>
      <c r="AS10" s="442"/>
      <c r="AT10" s="442"/>
    </row>
    <row r="11" spans="1:61" ht="14.5" customHeight="1" x14ac:dyDescent="0.25">
      <c r="A11" s="50" t="str">
        <f t="shared" si="0"/>
        <v>NBFH503</v>
      </c>
      <c r="B11" s="13" t="s">
        <v>50</v>
      </c>
      <c r="C11" s="13">
        <v>50</v>
      </c>
      <c r="D11" s="13">
        <v>3</v>
      </c>
      <c r="E11" s="3" t="s">
        <v>51</v>
      </c>
      <c r="F11" s="43" t="str">
        <f t="shared" si="2"/>
        <v>Fall</v>
      </c>
      <c r="G11" s="38">
        <f>SUMIFS('[11]inland_taf_hatchgrp_tableraw&amp;yy'!G$3:G$38,'[11]inland_taf_hatchgrp_tableraw&amp;yy'!$AC$3:$AC$38,'2018 Table 10 CWTs exp'!$A11)</f>
        <v>0</v>
      </c>
      <c r="H11" s="39">
        <f>SUMIFS('[11]inland_taf_hatchgrp_tableraw&amp;yy'!H$3:H$38,'[11]inland_taf_hatchgrp_tableraw&amp;yy'!$AC$3:$AC$38,'2018 Table 10 CWTs exp'!$A11)</f>
        <v>2</v>
      </c>
      <c r="I11" s="38">
        <f>SUMIFS('[11]inland_taf_hatchgrp_tableraw&amp;yy'!I$3:I$38,'[11]inland_taf_hatchgrp_tableraw&amp;yy'!$AC$3:$AC$38,'2018 Table 10 CWTs exp'!$A11)</f>
        <v>0</v>
      </c>
      <c r="J11" s="40">
        <f>SUMIFS('[11]inland_taf_hatchgrp_tableraw&amp;yy'!J$3:J$38,'[11]inland_taf_hatchgrp_tableraw&amp;yy'!$AC$3:$AC$38,'2018 Table 10 CWTs exp'!$A11)</f>
        <v>8</v>
      </c>
      <c r="K11" s="38">
        <f>SUMIFS('[11]inland_taf_hatchgrp_tableraw&amp;yy'!K$3:K$38,'[11]inland_taf_hatchgrp_tableraw&amp;yy'!$AC$3:$AC$38,'2018 Table 10 CWTs exp'!$A11)</f>
        <v>0</v>
      </c>
      <c r="L11" s="38">
        <f>SUMIFS('[11]inland_taf_hatchgrp_tableraw&amp;yy'!L$3:L$38,'[11]inland_taf_hatchgrp_tableraw&amp;yy'!$AC$3:$AC$38,'2018 Table 10 CWTs exp'!$A11)</f>
        <v>0</v>
      </c>
      <c r="M11" s="38">
        <f>SUMIFS('[11]inland_taf_hatchgrp_tableraw&amp;yy'!M$3:M$38,'[11]inland_taf_hatchgrp_tableraw&amp;yy'!$AC$3:$AC$38,'2018 Table 10 CWTs exp'!$A11)</f>
        <v>69</v>
      </c>
      <c r="N11" s="40">
        <f>SUMIFS('[11]inland_taf_hatchgrp_tableraw&amp;yy'!N$3:N$38,'[11]inland_taf_hatchgrp_tableraw&amp;yy'!$AC$3:$AC$38,'2018 Table 10 CWTs exp'!$A11)</f>
        <v>79</v>
      </c>
      <c r="O11" s="38">
        <f>SUMIFS('[11]inland_taf_hatchgrp_tableraw&amp;yy'!O$3:O$38,'[11]inland_taf_hatchgrp_tableraw&amp;yy'!$AC$3:$AC$38,'2018 Table 10 CWTs exp'!$A11)</f>
        <v>877</v>
      </c>
      <c r="P11" s="40">
        <f>SUMIFS('[11]inland_taf_hatchgrp_tableraw&amp;yy'!P$3:P$38,'[11]inland_taf_hatchgrp_tableraw&amp;yy'!$AC$3:$AC$38,'2018 Table 10 CWTs exp'!$A11)</f>
        <v>2339</v>
      </c>
      <c r="Q11" s="38">
        <f>SUMIFS('[11]inland_taf_hatchgrp_tableraw&amp;yy'!Q$3:Q$38,'[11]inland_taf_hatchgrp_tableraw&amp;yy'!$AC$3:$AC$38,'2018 Table 10 CWTs exp'!$A11)</f>
        <v>12</v>
      </c>
      <c r="R11" s="38">
        <f>SUMIFS('[11]inland_taf_hatchgrp_tableraw&amp;yy'!R$3:R$38,'[11]inland_taf_hatchgrp_tableraw&amp;yy'!$AC$3:$AC$38,'2018 Table 10 CWTs exp'!$A11)</f>
        <v>1499</v>
      </c>
      <c r="S11" s="38">
        <f>SUMIFS('[11]inland_taf_hatchgrp_tableraw&amp;yy'!S$3:S$38,'[11]inland_taf_hatchgrp_tableraw&amp;yy'!$AC$3:$AC$38,'2018 Table 10 CWTs exp'!$A11)</f>
        <v>295</v>
      </c>
      <c r="T11" s="40">
        <f>SUMIFS('[11]inland_taf_hatchgrp_tableraw&amp;yy'!T$3:T$38,'[11]inland_taf_hatchgrp_tableraw&amp;yy'!$AC$3:$AC$38,'2018 Table 10 CWTs exp'!$A11)</f>
        <v>204</v>
      </c>
      <c r="U11" s="38">
        <f>SUMIFS('[11]inland_taf_hatchgrp_tableraw&amp;yy'!U$3:U$38,'[11]inland_taf_hatchgrp_tableraw&amp;yy'!$AC$3:$AC$38,'2018 Table 10 CWTs exp'!$A11)</f>
        <v>6</v>
      </c>
      <c r="V11" s="40">
        <f>SUMIFS('[11]inland_taf_hatchgrp_tableraw&amp;yy'!V$3:V$38,'[11]inland_taf_hatchgrp_tableraw&amp;yy'!$AC$3:$AC$38,'2018 Table 10 CWTs exp'!$A11)</f>
        <v>86</v>
      </c>
      <c r="W11" s="40">
        <f>SUMIFS('[11]inland_taf_hatchgrp_tableraw&amp;yy'!W$3:W$38,'[11]inland_taf_hatchgrp_tableraw&amp;yy'!$AC$3:$AC$38,'2018 Table 10 CWTs exp'!$A11)</f>
        <v>0</v>
      </c>
      <c r="X11" s="38">
        <f>SUMIFS('[11]inland_taf_hatchgrp_tableraw&amp;yy'!X$3:X$38,'[11]inland_taf_hatchgrp_tableraw&amp;yy'!$AC$3:$AC$38,'2018 Table 10 CWTs exp'!$A11)</f>
        <v>0</v>
      </c>
      <c r="Y11" s="41">
        <f>SUMIFS('[11]inland_taf_hatchgrp_tableraw&amp;yy'!Y$3:Y$38,'[11]inland_taf_hatchgrp_tableraw&amp;yy'!$AC$3:$AC$38,'2018 Table 10 CWTs exp'!$A11)</f>
        <v>5476</v>
      </c>
      <c r="Z11" s="42">
        <f>SUMIFS('[11]inland_taf_hatchgrp_tableraw&amp;yy'!Z$3:Z$38,'[11]inland_taf_hatchgrp_tableraw&amp;yy'!$AC$3:$AC$38,'2018 Table 10 CWTs exp'!$A11)</f>
        <v>736</v>
      </c>
      <c r="AA11" s="38">
        <f>SUMIFS('[11]inland_taf_hatchgrp_tableraw&amp;yy'!AA$3:AA$38,'[11]inland_taf_hatchgrp_tableraw&amp;yy'!$AC$3:$AC$38,'2018 Table 10 CWTs exp'!$A11)</f>
        <v>6212</v>
      </c>
      <c r="AB11" s="38"/>
      <c r="AC11" s="634"/>
      <c r="AD11" s="603">
        <f>SUMIFS('[11]inland_taf_hatchgrp_tableraw&amp;yy'!AB$3:AB$38,'[11]inland_taf_hatchgrp_tableraw&amp;yy'!$AC$3:$AC$38,'2018 Table 10 CWTs exp'!$A11)</f>
        <v>0.88200000000000001</v>
      </c>
      <c r="AE11" s="604" t="str">
        <f t="shared" si="1"/>
        <v>NBFH503</v>
      </c>
      <c r="AF11" s="603"/>
      <c r="AG11" s="622">
        <f t="shared" si="4"/>
        <v>0.88151963940759814</v>
      </c>
      <c r="AH11" s="597"/>
      <c r="AI11" s="605">
        <f t="shared" si="5"/>
        <v>0.11799999999999999</v>
      </c>
      <c r="AJ11" s="447">
        <f t="shared" si="6"/>
        <v>736</v>
      </c>
      <c r="AK11" s="448">
        <f t="shared" si="3"/>
        <v>0.1184803605924018</v>
      </c>
      <c r="AL11" s="451"/>
      <c r="AM11" s="442"/>
      <c r="AN11" s="442"/>
      <c r="AO11" s="442"/>
      <c r="AP11" s="442"/>
      <c r="AQ11" s="442"/>
      <c r="AR11" s="442"/>
      <c r="AS11" s="442"/>
      <c r="AT11" s="442"/>
    </row>
    <row r="12" spans="1:61" ht="14.5" customHeight="1" x14ac:dyDescent="0.25">
      <c r="A12" s="50" t="str">
        <f t="shared" si="0"/>
        <v>MRFI503</v>
      </c>
      <c r="B12" s="13" t="s">
        <v>52</v>
      </c>
      <c r="C12" s="13">
        <v>50</v>
      </c>
      <c r="D12" s="13">
        <v>3</v>
      </c>
      <c r="E12" s="3" t="s">
        <v>53</v>
      </c>
      <c r="F12" s="43" t="str">
        <f t="shared" si="2"/>
        <v>Fall</v>
      </c>
      <c r="G12" s="38">
        <f>SUMIFS('[11]inland_taf_hatchgrp_tableraw&amp;yy'!G$3:G$38,'[11]inland_taf_hatchgrp_tableraw&amp;yy'!$AC$3:$AC$38,'2018 Table 10 CWTs exp'!$A12)</f>
        <v>0</v>
      </c>
      <c r="H12" s="39">
        <f>SUMIFS('[11]inland_taf_hatchgrp_tableraw&amp;yy'!H$3:H$38,'[11]inland_taf_hatchgrp_tableraw&amp;yy'!$AC$3:$AC$38,'2018 Table 10 CWTs exp'!$A12)</f>
        <v>19</v>
      </c>
      <c r="I12" s="38">
        <f>SUMIFS('[11]inland_taf_hatchgrp_tableraw&amp;yy'!I$3:I$38,'[11]inland_taf_hatchgrp_tableraw&amp;yy'!$AC$3:$AC$38,'2018 Table 10 CWTs exp'!$A12)</f>
        <v>0</v>
      </c>
      <c r="J12" s="40">
        <f>SUMIFS('[11]inland_taf_hatchgrp_tableraw&amp;yy'!J$3:J$38,'[11]inland_taf_hatchgrp_tableraw&amp;yy'!$AC$3:$AC$38,'2018 Table 10 CWTs exp'!$A12)</f>
        <v>0</v>
      </c>
      <c r="K12" s="38">
        <f>SUMIFS('[11]inland_taf_hatchgrp_tableraw&amp;yy'!K$3:K$38,'[11]inland_taf_hatchgrp_tableraw&amp;yy'!$AC$3:$AC$38,'2018 Table 10 CWTs exp'!$A12)</f>
        <v>0</v>
      </c>
      <c r="L12" s="38">
        <f>SUMIFS('[11]inland_taf_hatchgrp_tableraw&amp;yy'!L$3:L$38,'[11]inland_taf_hatchgrp_tableraw&amp;yy'!$AC$3:$AC$38,'2018 Table 10 CWTs exp'!$A12)</f>
        <v>1</v>
      </c>
      <c r="M12" s="38">
        <f>SUMIFS('[11]inland_taf_hatchgrp_tableraw&amp;yy'!M$3:M$38,'[11]inland_taf_hatchgrp_tableraw&amp;yy'!$AC$3:$AC$38,'2018 Table 10 CWTs exp'!$A12)</f>
        <v>76</v>
      </c>
      <c r="N12" s="40">
        <f>SUMIFS('[11]inland_taf_hatchgrp_tableraw&amp;yy'!N$3:N$38,'[11]inland_taf_hatchgrp_tableraw&amp;yy'!$AC$3:$AC$38,'2018 Table 10 CWTs exp'!$A12)</f>
        <v>56</v>
      </c>
      <c r="O12" s="38">
        <f>SUMIFS('[11]inland_taf_hatchgrp_tableraw&amp;yy'!O$3:O$38,'[11]inland_taf_hatchgrp_tableraw&amp;yy'!$AC$3:$AC$38,'2018 Table 10 CWTs exp'!$A12)</f>
        <v>0</v>
      </c>
      <c r="P12" s="40">
        <f>SUMIFS('[11]inland_taf_hatchgrp_tableraw&amp;yy'!P$3:P$38,'[11]inland_taf_hatchgrp_tableraw&amp;yy'!$AC$3:$AC$38,'2018 Table 10 CWTs exp'!$A12)</f>
        <v>196</v>
      </c>
      <c r="Q12" s="38">
        <f>SUMIFS('[11]inland_taf_hatchgrp_tableraw&amp;yy'!Q$3:Q$38,'[11]inland_taf_hatchgrp_tableraw&amp;yy'!$AC$3:$AC$38,'2018 Table 10 CWTs exp'!$A12)</f>
        <v>126</v>
      </c>
      <c r="R12" s="38">
        <f>SUMIFS('[11]inland_taf_hatchgrp_tableraw&amp;yy'!R$3:R$38,'[11]inland_taf_hatchgrp_tableraw&amp;yy'!$AC$3:$AC$38,'2018 Table 10 CWTs exp'!$A12)</f>
        <v>6152</v>
      </c>
      <c r="S12" s="38">
        <f>SUMIFS('[11]inland_taf_hatchgrp_tableraw&amp;yy'!S$3:S$38,'[11]inland_taf_hatchgrp_tableraw&amp;yy'!$AC$3:$AC$38,'2018 Table 10 CWTs exp'!$A12)</f>
        <v>293</v>
      </c>
      <c r="T12" s="40">
        <f>SUMIFS('[11]inland_taf_hatchgrp_tableraw&amp;yy'!T$3:T$38,'[11]inland_taf_hatchgrp_tableraw&amp;yy'!$AC$3:$AC$38,'2018 Table 10 CWTs exp'!$A12)</f>
        <v>332</v>
      </c>
      <c r="U12" s="38">
        <f>SUMIFS('[11]inland_taf_hatchgrp_tableraw&amp;yy'!U$3:U$38,'[11]inland_taf_hatchgrp_tableraw&amp;yy'!$AC$3:$AC$38,'2018 Table 10 CWTs exp'!$A12)</f>
        <v>0</v>
      </c>
      <c r="V12" s="40">
        <f>SUMIFS('[11]inland_taf_hatchgrp_tableraw&amp;yy'!V$3:V$38,'[11]inland_taf_hatchgrp_tableraw&amp;yy'!$AC$3:$AC$38,'2018 Table 10 CWTs exp'!$A12)</f>
        <v>76</v>
      </c>
      <c r="W12" s="40">
        <f>SUMIFS('[11]inland_taf_hatchgrp_tableraw&amp;yy'!W$3:W$38,'[11]inland_taf_hatchgrp_tableraw&amp;yy'!$AC$3:$AC$38,'2018 Table 10 CWTs exp'!$A12)</f>
        <v>1</v>
      </c>
      <c r="X12" s="38">
        <f>SUMIFS('[11]inland_taf_hatchgrp_tableraw&amp;yy'!X$3:X$38,'[11]inland_taf_hatchgrp_tableraw&amp;yy'!$AC$3:$AC$38,'2018 Table 10 CWTs exp'!$A12)</f>
        <v>8</v>
      </c>
      <c r="Y12" s="41">
        <f>SUMIFS('[11]inland_taf_hatchgrp_tableraw&amp;yy'!Y$3:Y$38,'[11]inland_taf_hatchgrp_tableraw&amp;yy'!$AC$3:$AC$38,'2018 Table 10 CWTs exp'!$A12)</f>
        <v>7336</v>
      </c>
      <c r="Z12" s="42">
        <f>SUMIFS('[11]inland_taf_hatchgrp_tableraw&amp;yy'!Z$3:Z$38,'[11]inland_taf_hatchgrp_tableraw&amp;yy'!$AC$3:$AC$38,'2018 Table 10 CWTs exp'!$A12)</f>
        <v>84</v>
      </c>
      <c r="AA12" s="38">
        <f>SUMIFS('[11]inland_taf_hatchgrp_tableraw&amp;yy'!AA$3:AA$38,'[11]inland_taf_hatchgrp_tableraw&amp;yy'!$AC$3:$AC$38,'2018 Table 10 CWTs exp'!$A12)</f>
        <v>7420</v>
      </c>
      <c r="AB12" s="38"/>
      <c r="AC12" s="634"/>
      <c r="AD12" s="603">
        <f>SUMIFS('[11]inland_taf_hatchgrp_tableraw&amp;yy'!AB$3:AB$38,'[11]inland_taf_hatchgrp_tableraw&amp;yy'!$AC$3:$AC$38,'2018 Table 10 CWTs exp'!$A12)</f>
        <v>0.98899999999999999</v>
      </c>
      <c r="AE12" s="604" t="str">
        <f t="shared" si="1"/>
        <v>MRFI503</v>
      </c>
      <c r="AF12" s="603"/>
      <c r="AG12" s="622">
        <f t="shared" si="4"/>
        <v>0.98867924528301887</v>
      </c>
      <c r="AH12" s="597"/>
      <c r="AI12" s="605">
        <f t="shared" si="5"/>
        <v>1.100000000000001E-2</v>
      </c>
      <c r="AJ12" s="447">
        <f t="shared" si="6"/>
        <v>84</v>
      </c>
      <c r="AK12" s="448">
        <f t="shared" si="3"/>
        <v>1.1320754716981131E-2</v>
      </c>
      <c r="AL12" s="451"/>
      <c r="AM12" s="442"/>
      <c r="AN12" s="442"/>
      <c r="AO12" s="442"/>
      <c r="AP12" s="442"/>
      <c r="AQ12" s="442"/>
      <c r="AR12" s="442"/>
      <c r="AS12" s="442"/>
      <c r="AT12" s="442"/>
    </row>
    <row r="13" spans="1:61" ht="14.5" customHeight="1" x14ac:dyDescent="0.25">
      <c r="A13" s="50" t="str">
        <f t="shared" si="0"/>
        <v>MRFF503</v>
      </c>
      <c r="B13" s="13" t="s">
        <v>54</v>
      </c>
      <c r="C13" s="13">
        <v>50</v>
      </c>
      <c r="D13" s="13">
        <v>3</v>
      </c>
      <c r="E13" s="3" t="s">
        <v>55</v>
      </c>
      <c r="F13" s="43" t="str">
        <f t="shared" si="2"/>
        <v>Fall</v>
      </c>
      <c r="G13" s="38">
        <f>SUMIFS('[11]inland_taf_hatchgrp_tableraw&amp;yy'!G$3:G$38,'[11]inland_taf_hatchgrp_tableraw&amp;yy'!$AC$3:$AC$38,'2018 Table 10 CWTs exp'!$A13)</f>
        <v>0</v>
      </c>
      <c r="H13" s="39">
        <f>SUMIFS('[11]inland_taf_hatchgrp_tableraw&amp;yy'!H$3:H$38,'[11]inland_taf_hatchgrp_tableraw&amp;yy'!$AC$3:$AC$38,'2018 Table 10 CWTs exp'!$A13)</f>
        <v>4</v>
      </c>
      <c r="I13" s="38">
        <f>SUMIFS('[11]inland_taf_hatchgrp_tableraw&amp;yy'!I$3:I$38,'[11]inland_taf_hatchgrp_tableraw&amp;yy'!$AC$3:$AC$38,'2018 Table 10 CWTs exp'!$A13)</f>
        <v>0</v>
      </c>
      <c r="J13" s="40">
        <f>SUMIFS('[11]inland_taf_hatchgrp_tableraw&amp;yy'!J$3:J$38,'[11]inland_taf_hatchgrp_tableraw&amp;yy'!$AC$3:$AC$38,'2018 Table 10 CWTs exp'!$A13)</f>
        <v>0</v>
      </c>
      <c r="K13" s="38">
        <f>SUMIFS('[11]inland_taf_hatchgrp_tableraw&amp;yy'!K$3:K$38,'[11]inland_taf_hatchgrp_tableraw&amp;yy'!$AC$3:$AC$38,'2018 Table 10 CWTs exp'!$A13)</f>
        <v>0</v>
      </c>
      <c r="L13" s="38">
        <f>SUMIFS('[11]inland_taf_hatchgrp_tableraw&amp;yy'!L$3:L$38,'[11]inland_taf_hatchgrp_tableraw&amp;yy'!$AC$3:$AC$38,'2018 Table 10 CWTs exp'!$A13)</f>
        <v>0</v>
      </c>
      <c r="M13" s="38">
        <f>SUMIFS('[11]inland_taf_hatchgrp_tableraw&amp;yy'!M$3:M$38,'[11]inland_taf_hatchgrp_tableraw&amp;yy'!$AC$3:$AC$38,'2018 Table 10 CWTs exp'!$A13)</f>
        <v>32</v>
      </c>
      <c r="N13" s="40">
        <f>SUMIFS('[11]inland_taf_hatchgrp_tableraw&amp;yy'!N$3:N$38,'[11]inland_taf_hatchgrp_tableraw&amp;yy'!$AC$3:$AC$38,'2018 Table 10 CWTs exp'!$A13)</f>
        <v>8</v>
      </c>
      <c r="O13" s="38">
        <f>SUMIFS('[11]inland_taf_hatchgrp_tableraw&amp;yy'!O$3:O$38,'[11]inland_taf_hatchgrp_tableraw&amp;yy'!$AC$3:$AC$38,'2018 Table 10 CWTs exp'!$A13)</f>
        <v>0</v>
      </c>
      <c r="P13" s="40">
        <f>SUMIFS('[11]inland_taf_hatchgrp_tableraw&amp;yy'!P$3:P$38,'[11]inland_taf_hatchgrp_tableraw&amp;yy'!$AC$3:$AC$38,'2018 Table 10 CWTs exp'!$A13)</f>
        <v>24</v>
      </c>
      <c r="Q13" s="38">
        <f>SUMIFS('[11]inland_taf_hatchgrp_tableraw&amp;yy'!Q$3:Q$38,'[11]inland_taf_hatchgrp_tableraw&amp;yy'!$AC$3:$AC$38,'2018 Table 10 CWTs exp'!$A13)</f>
        <v>0</v>
      </c>
      <c r="R13" s="38">
        <f>SUMIFS('[11]inland_taf_hatchgrp_tableraw&amp;yy'!R$3:R$38,'[11]inland_taf_hatchgrp_tableraw&amp;yy'!$AC$3:$AC$38,'2018 Table 10 CWTs exp'!$A13)</f>
        <v>204</v>
      </c>
      <c r="S13" s="38">
        <f>SUMIFS('[11]inland_taf_hatchgrp_tableraw&amp;yy'!S$3:S$38,'[11]inland_taf_hatchgrp_tableraw&amp;yy'!$AC$3:$AC$38,'2018 Table 10 CWTs exp'!$A13)</f>
        <v>5</v>
      </c>
      <c r="T13" s="40">
        <f>SUMIFS('[11]inland_taf_hatchgrp_tableraw&amp;yy'!T$3:T$38,'[11]inland_taf_hatchgrp_tableraw&amp;yy'!$AC$3:$AC$38,'2018 Table 10 CWTs exp'!$A13)</f>
        <v>9</v>
      </c>
      <c r="U13" s="38">
        <f>SUMIFS('[11]inland_taf_hatchgrp_tableraw&amp;yy'!U$3:U$38,'[11]inland_taf_hatchgrp_tableraw&amp;yy'!$AC$3:$AC$38,'2018 Table 10 CWTs exp'!$A13)</f>
        <v>209</v>
      </c>
      <c r="V13" s="40">
        <f>SUMIFS('[11]inland_taf_hatchgrp_tableraw&amp;yy'!V$3:V$38,'[11]inland_taf_hatchgrp_tableraw&amp;yy'!$AC$3:$AC$38,'2018 Table 10 CWTs exp'!$A13)</f>
        <v>30</v>
      </c>
      <c r="W13" s="40">
        <f>SUMIFS('[11]inland_taf_hatchgrp_tableraw&amp;yy'!W$3:W$38,'[11]inland_taf_hatchgrp_tableraw&amp;yy'!$AC$3:$AC$38,'2018 Table 10 CWTs exp'!$A13)</f>
        <v>0</v>
      </c>
      <c r="X13" s="38">
        <f>SUMIFS('[11]inland_taf_hatchgrp_tableraw&amp;yy'!X$3:X$38,'[11]inland_taf_hatchgrp_tableraw&amp;yy'!$AC$3:$AC$38,'2018 Table 10 CWTs exp'!$A13)</f>
        <v>0</v>
      </c>
      <c r="Y13" s="41">
        <f>SUMIFS('[11]inland_taf_hatchgrp_tableraw&amp;yy'!Y$3:Y$38,'[11]inland_taf_hatchgrp_tableraw&amp;yy'!$AC$3:$AC$38,'2018 Table 10 CWTs exp'!$A13)</f>
        <v>525</v>
      </c>
      <c r="Z13" s="42">
        <f>SUMIFS('[11]inland_taf_hatchgrp_tableraw&amp;yy'!Z$3:Z$38,'[11]inland_taf_hatchgrp_tableraw&amp;yy'!$AC$3:$AC$38,'2018 Table 10 CWTs exp'!$A13)</f>
        <v>378</v>
      </c>
      <c r="AA13" s="38">
        <f>SUMIFS('[11]inland_taf_hatchgrp_tableraw&amp;yy'!AA$3:AA$38,'[11]inland_taf_hatchgrp_tableraw&amp;yy'!$AC$3:$AC$38,'2018 Table 10 CWTs exp'!$A13)</f>
        <v>903</v>
      </c>
      <c r="AB13" s="53">
        <f>W13/AA13</f>
        <v>0</v>
      </c>
      <c r="AC13" s="624"/>
      <c r="AD13" s="603">
        <f>SUMIFS('[11]inland_taf_hatchgrp_tableraw&amp;yy'!AB$3:AB$38,'[11]inland_taf_hatchgrp_tableraw&amp;yy'!$AC$3:$AC$38,'2018 Table 10 CWTs exp'!$A13)</f>
        <v>0.58099999999999996</v>
      </c>
      <c r="AE13" s="604" t="str">
        <f t="shared" si="1"/>
        <v>MRFF503</v>
      </c>
      <c r="AF13" s="603"/>
      <c r="AG13" s="622">
        <f t="shared" si="4"/>
        <v>0.58139534883720934</v>
      </c>
      <c r="AH13" s="597"/>
      <c r="AI13" s="605">
        <f t="shared" si="5"/>
        <v>0.41900000000000004</v>
      </c>
      <c r="AJ13" s="447">
        <f t="shared" si="6"/>
        <v>378</v>
      </c>
      <c r="AK13" s="448">
        <f t="shared" si="3"/>
        <v>0.41860465116279072</v>
      </c>
      <c r="AL13" s="451"/>
      <c r="AM13" s="442"/>
      <c r="AN13" s="442"/>
      <c r="AO13" s="442"/>
      <c r="AP13" s="442"/>
      <c r="AQ13" s="442"/>
      <c r="AR13" s="442"/>
      <c r="AS13" s="442"/>
      <c r="AT13" s="442"/>
    </row>
    <row r="14" spans="1:61" ht="14.5" customHeight="1" x14ac:dyDescent="0.25">
      <c r="A14" s="50" t="str">
        <f t="shared" si="0"/>
        <v>CNFH507</v>
      </c>
      <c r="B14" s="13" t="s">
        <v>40</v>
      </c>
      <c r="C14" s="13">
        <v>50</v>
      </c>
      <c r="D14" s="13">
        <v>7</v>
      </c>
      <c r="E14" s="3" t="s">
        <v>56</v>
      </c>
      <c r="F14" s="37" t="s">
        <v>133</v>
      </c>
      <c r="G14" s="38">
        <f>SUMIFS('[11]inland_taf_hatchgrp_tableraw&amp;yy'!G$3:G$38,'[11]inland_taf_hatchgrp_tableraw&amp;yy'!$AC$3:$AC$38,'2018 Table 10 CWTs exp'!$A14)</f>
        <v>0</v>
      </c>
      <c r="H14" s="39">
        <f>SUMIFS('[11]inland_taf_hatchgrp_tableraw&amp;yy'!H$3:H$38,'[11]inland_taf_hatchgrp_tableraw&amp;yy'!$AC$3:$AC$38,'2018 Table 10 CWTs exp'!$A14)</f>
        <v>7973</v>
      </c>
      <c r="I14" s="38">
        <f>SUMIFS('[11]inland_taf_hatchgrp_tableraw&amp;yy'!I$3:I$38,'[11]inland_taf_hatchgrp_tableraw&amp;yy'!$AC$3:$AC$38,'2018 Table 10 CWTs exp'!$A14)</f>
        <v>0</v>
      </c>
      <c r="J14" s="40">
        <f>SUMIFS('[11]inland_taf_hatchgrp_tableraw&amp;yy'!J$3:J$38,'[11]inland_taf_hatchgrp_tableraw&amp;yy'!$AC$3:$AC$38,'2018 Table 10 CWTs exp'!$A14)</f>
        <v>0</v>
      </c>
      <c r="K14" s="38">
        <f>SUMIFS('[11]inland_taf_hatchgrp_tableraw&amp;yy'!K$3:K$38,'[11]inland_taf_hatchgrp_tableraw&amp;yy'!$AC$3:$AC$38,'2018 Table 10 CWTs exp'!$A14)</f>
        <v>0</v>
      </c>
      <c r="L14" s="38">
        <f>SUMIFS('[11]inland_taf_hatchgrp_tableraw&amp;yy'!L$3:L$38,'[11]inland_taf_hatchgrp_tableraw&amp;yy'!$AC$3:$AC$38,'2018 Table 10 CWTs exp'!$A14)</f>
        <v>0</v>
      </c>
      <c r="M14" s="38">
        <f>SUMIFS('[11]inland_taf_hatchgrp_tableraw&amp;yy'!M$3:M$38,'[11]inland_taf_hatchgrp_tableraw&amp;yy'!$AC$3:$AC$38,'2018 Table 10 CWTs exp'!$A14)</f>
        <v>0</v>
      </c>
      <c r="N14" s="40">
        <f>SUMIFS('[11]inland_taf_hatchgrp_tableraw&amp;yy'!N$3:N$38,'[11]inland_taf_hatchgrp_tableraw&amp;yy'!$AC$3:$AC$38,'2018 Table 10 CWTs exp'!$A14)</f>
        <v>0</v>
      </c>
      <c r="O14" s="38">
        <f>SUMIFS('[11]inland_taf_hatchgrp_tableraw&amp;yy'!O$3:O$38,'[11]inland_taf_hatchgrp_tableraw&amp;yy'!$AC$3:$AC$38,'2018 Table 10 CWTs exp'!$A14)</f>
        <v>0</v>
      </c>
      <c r="P14" s="40">
        <f>SUMIFS('[11]inland_taf_hatchgrp_tableraw&amp;yy'!P$3:P$38,'[11]inland_taf_hatchgrp_tableraw&amp;yy'!$AC$3:$AC$38,'2018 Table 10 CWTs exp'!$A14)</f>
        <v>0</v>
      </c>
      <c r="Q14" s="38">
        <f>SUMIFS('[11]inland_taf_hatchgrp_tableraw&amp;yy'!Q$3:Q$38,'[11]inland_taf_hatchgrp_tableraw&amp;yy'!$AC$3:$AC$38,'2018 Table 10 CWTs exp'!$A14)</f>
        <v>0</v>
      </c>
      <c r="R14" s="38">
        <f>SUMIFS('[11]inland_taf_hatchgrp_tableraw&amp;yy'!R$3:R$38,'[11]inland_taf_hatchgrp_tableraw&amp;yy'!$AC$3:$AC$38,'2018 Table 10 CWTs exp'!$A14)</f>
        <v>0</v>
      </c>
      <c r="S14" s="38">
        <f>SUMIFS('[11]inland_taf_hatchgrp_tableraw&amp;yy'!S$3:S$38,'[11]inland_taf_hatchgrp_tableraw&amp;yy'!$AC$3:$AC$38,'2018 Table 10 CWTs exp'!$A14)</f>
        <v>0</v>
      </c>
      <c r="T14" s="40">
        <f>SUMIFS('[11]inland_taf_hatchgrp_tableraw&amp;yy'!T$3:T$38,'[11]inland_taf_hatchgrp_tableraw&amp;yy'!$AC$3:$AC$38,'2018 Table 10 CWTs exp'!$A14)</f>
        <v>0</v>
      </c>
      <c r="U14" s="38">
        <f>SUMIFS('[11]inland_taf_hatchgrp_tableraw&amp;yy'!U$3:U$38,'[11]inland_taf_hatchgrp_tableraw&amp;yy'!$AC$3:$AC$38,'2018 Table 10 CWTs exp'!$A14)</f>
        <v>0</v>
      </c>
      <c r="V14" s="40">
        <f>SUMIFS('[11]inland_taf_hatchgrp_tableraw&amp;yy'!V$3:V$38,'[11]inland_taf_hatchgrp_tableraw&amp;yy'!$AC$3:$AC$38,'2018 Table 10 CWTs exp'!$A14)</f>
        <v>0</v>
      </c>
      <c r="W14" s="40">
        <f>SUMIFS('[11]inland_taf_hatchgrp_tableraw&amp;yy'!W$3:W$38,'[11]inland_taf_hatchgrp_tableraw&amp;yy'!$AC$3:$AC$38,'2018 Table 10 CWTs exp'!$A14)</f>
        <v>0</v>
      </c>
      <c r="X14" s="38">
        <f>SUMIFS('[11]inland_taf_hatchgrp_tableraw&amp;yy'!X$3:X$38,'[11]inland_taf_hatchgrp_tableraw&amp;yy'!$AC$3:$AC$38,'2018 Table 10 CWTs exp'!$A14)</f>
        <v>0</v>
      </c>
      <c r="Y14" s="41">
        <f>SUMIFS('[11]inland_taf_hatchgrp_tableraw&amp;yy'!Y$3:Y$38,'[11]inland_taf_hatchgrp_tableraw&amp;yy'!$AC$3:$AC$38,'2018 Table 10 CWTs exp'!$A14)</f>
        <v>7973</v>
      </c>
      <c r="Z14" s="42">
        <f>SUMIFS('[11]inland_taf_hatchgrp_tableraw&amp;yy'!Z$3:Z$38,'[11]inland_taf_hatchgrp_tableraw&amp;yy'!$AC$3:$AC$38,'2018 Table 10 CWTs exp'!$A14)</f>
        <v>121</v>
      </c>
      <c r="AA14" s="38">
        <f>SUMIFS('[11]inland_taf_hatchgrp_tableraw&amp;yy'!AA$3:AA$38,'[11]inland_taf_hatchgrp_tableraw&amp;yy'!$AC$3:$AC$38,'2018 Table 10 CWTs exp'!$A14)</f>
        <v>8094</v>
      </c>
      <c r="AB14" s="38"/>
      <c r="AC14" s="634"/>
      <c r="AD14" s="603">
        <f>SUMIFS('[11]inland_taf_hatchgrp_tableraw&amp;yy'!AB$3:AB$38,'[11]inland_taf_hatchgrp_tableraw&amp;yy'!$AC$3:$AC$38,'2018 Table 10 CWTs exp'!$A14)</f>
        <v>0.98499999999999999</v>
      </c>
      <c r="AE14" s="604" t="str">
        <f t="shared" si="1"/>
        <v>CNFH507</v>
      </c>
      <c r="AF14" s="603"/>
      <c r="AG14" s="622">
        <f t="shared" si="4"/>
        <v>0.98505065480602916</v>
      </c>
      <c r="AH14" s="600" t="s">
        <v>58</v>
      </c>
      <c r="AI14" s="592">
        <f>AVERAGE(AI8:AI13)</f>
        <v>0.3046666666666667</v>
      </c>
      <c r="AJ14" s="447">
        <f>SUM(AJ8:AJ13)</f>
        <v>7228</v>
      </c>
      <c r="AK14" s="640" t="e">
        <f>AVERAGE(AK8:AK13)</f>
        <v>#DIV/0!</v>
      </c>
      <c r="AL14" s="451"/>
      <c r="AM14" s="442"/>
      <c r="AN14" s="442"/>
      <c r="AO14" s="442"/>
      <c r="AP14" s="442"/>
      <c r="AQ14" s="442"/>
      <c r="AR14" s="442"/>
      <c r="AS14" s="442"/>
      <c r="AT14" s="442"/>
    </row>
    <row r="15" spans="1:61" ht="13.5" x14ac:dyDescent="0.25">
      <c r="A15" s="50" t="str">
        <f t="shared" si="0"/>
        <v>CNFW527</v>
      </c>
      <c r="B15" s="13" t="s">
        <v>59</v>
      </c>
      <c r="C15" s="13">
        <v>52</v>
      </c>
      <c r="D15" s="13">
        <v>7</v>
      </c>
      <c r="E15" s="3" t="s">
        <v>60</v>
      </c>
      <c r="F15" s="37" t="s">
        <v>133</v>
      </c>
      <c r="G15" s="38">
        <f>SUMIFS('[11]inland_taf_hatchgrp_tableraw&amp;yy'!G$3:G$38,'[11]inland_taf_hatchgrp_tableraw&amp;yy'!$AC$3:$AC$38,'2018 Table 10 CWTs exp'!$A15)</f>
        <v>0</v>
      </c>
      <c r="H15" s="39">
        <f>SUMIFS('[11]inland_taf_hatchgrp_tableraw&amp;yy'!H$3:H$38,'[11]inland_taf_hatchgrp_tableraw&amp;yy'!$AC$3:$AC$38,'2018 Table 10 CWTs exp'!$A15)</f>
        <v>83</v>
      </c>
      <c r="I15" s="38">
        <f>SUMIFS('[11]inland_taf_hatchgrp_tableraw&amp;yy'!I$3:I$38,'[11]inland_taf_hatchgrp_tableraw&amp;yy'!$AC$3:$AC$38,'2018 Table 10 CWTs exp'!$A15)</f>
        <v>0</v>
      </c>
      <c r="J15" s="40">
        <f>SUMIFS('[11]inland_taf_hatchgrp_tableraw&amp;yy'!J$3:J$38,'[11]inland_taf_hatchgrp_tableraw&amp;yy'!$AC$3:$AC$38,'2018 Table 10 CWTs exp'!$A15)</f>
        <v>0</v>
      </c>
      <c r="K15" s="38">
        <f>SUMIFS('[11]inland_taf_hatchgrp_tableraw&amp;yy'!K$3:K$38,'[11]inland_taf_hatchgrp_tableraw&amp;yy'!$AC$3:$AC$38,'2018 Table 10 CWTs exp'!$A15)</f>
        <v>0</v>
      </c>
      <c r="L15" s="38">
        <f>SUMIFS('[11]inland_taf_hatchgrp_tableraw&amp;yy'!L$3:L$38,'[11]inland_taf_hatchgrp_tableraw&amp;yy'!$AC$3:$AC$38,'2018 Table 10 CWTs exp'!$A15)</f>
        <v>0</v>
      </c>
      <c r="M15" s="38">
        <f>SUMIFS('[11]inland_taf_hatchgrp_tableraw&amp;yy'!M$3:M$38,'[11]inland_taf_hatchgrp_tableraw&amp;yy'!$AC$3:$AC$38,'2018 Table 10 CWTs exp'!$A15)</f>
        <v>0</v>
      </c>
      <c r="N15" s="40">
        <f>SUMIFS('[11]inland_taf_hatchgrp_tableraw&amp;yy'!N$3:N$38,'[11]inland_taf_hatchgrp_tableraw&amp;yy'!$AC$3:$AC$38,'2018 Table 10 CWTs exp'!$A15)</f>
        <v>0</v>
      </c>
      <c r="O15" s="38">
        <f>SUMIFS('[11]inland_taf_hatchgrp_tableraw&amp;yy'!O$3:O$38,'[11]inland_taf_hatchgrp_tableraw&amp;yy'!$AC$3:$AC$38,'2018 Table 10 CWTs exp'!$A15)</f>
        <v>0</v>
      </c>
      <c r="P15" s="40">
        <f>SUMIFS('[11]inland_taf_hatchgrp_tableraw&amp;yy'!P$3:P$38,'[11]inland_taf_hatchgrp_tableraw&amp;yy'!$AC$3:$AC$38,'2018 Table 10 CWTs exp'!$A15)</f>
        <v>0</v>
      </c>
      <c r="Q15" s="38">
        <f>SUMIFS('[11]inland_taf_hatchgrp_tableraw&amp;yy'!Q$3:Q$38,'[11]inland_taf_hatchgrp_tableraw&amp;yy'!$AC$3:$AC$38,'2018 Table 10 CWTs exp'!$A15)</f>
        <v>0</v>
      </c>
      <c r="R15" s="38">
        <f>SUMIFS('[11]inland_taf_hatchgrp_tableraw&amp;yy'!R$3:R$38,'[11]inland_taf_hatchgrp_tableraw&amp;yy'!$AC$3:$AC$38,'2018 Table 10 CWTs exp'!$A15)</f>
        <v>0</v>
      </c>
      <c r="S15" s="38">
        <f>SUMIFS('[11]inland_taf_hatchgrp_tableraw&amp;yy'!S$3:S$38,'[11]inland_taf_hatchgrp_tableraw&amp;yy'!$AC$3:$AC$38,'2018 Table 10 CWTs exp'!$A15)</f>
        <v>0</v>
      </c>
      <c r="T15" s="40">
        <f>SUMIFS('[11]inland_taf_hatchgrp_tableraw&amp;yy'!T$3:T$38,'[11]inland_taf_hatchgrp_tableraw&amp;yy'!$AC$3:$AC$38,'2018 Table 10 CWTs exp'!$A15)</f>
        <v>0</v>
      </c>
      <c r="U15" s="38">
        <f>SUMIFS('[11]inland_taf_hatchgrp_tableraw&amp;yy'!U$3:U$38,'[11]inland_taf_hatchgrp_tableraw&amp;yy'!$AC$3:$AC$38,'2018 Table 10 CWTs exp'!$A15)</f>
        <v>0</v>
      </c>
      <c r="V15" s="40">
        <f>SUMIFS('[11]inland_taf_hatchgrp_tableraw&amp;yy'!V$3:V$38,'[11]inland_taf_hatchgrp_tableraw&amp;yy'!$AC$3:$AC$38,'2018 Table 10 CWTs exp'!$A15)</f>
        <v>0</v>
      </c>
      <c r="W15" s="40">
        <f>SUMIFS('[11]inland_taf_hatchgrp_tableraw&amp;yy'!W$3:W$38,'[11]inland_taf_hatchgrp_tableraw&amp;yy'!$AC$3:$AC$38,'2018 Table 10 CWTs exp'!$A15)</f>
        <v>0</v>
      </c>
      <c r="X15" s="38">
        <f>SUMIFS('[11]inland_taf_hatchgrp_tableraw&amp;yy'!X$3:X$38,'[11]inland_taf_hatchgrp_tableraw&amp;yy'!$AC$3:$AC$38,'2018 Table 10 CWTs exp'!$A15)</f>
        <v>0</v>
      </c>
      <c r="Y15" s="41">
        <f>SUMIFS('[11]inland_taf_hatchgrp_tableraw&amp;yy'!Y$3:Y$38,'[11]inland_taf_hatchgrp_tableraw&amp;yy'!$AC$3:$AC$38,'2018 Table 10 CWTs exp'!$A15)</f>
        <v>83</v>
      </c>
      <c r="Z15" s="42">
        <f>SUMIFS('[11]inland_taf_hatchgrp_tableraw&amp;yy'!Z$3:Z$38,'[11]inland_taf_hatchgrp_tableraw&amp;yy'!$AC$3:$AC$38,'2018 Table 10 CWTs exp'!$A15)</f>
        <v>0</v>
      </c>
      <c r="AA15" s="38">
        <f>SUMIFS('[11]inland_taf_hatchgrp_tableraw&amp;yy'!AA$3:AA$38,'[11]inland_taf_hatchgrp_tableraw&amp;yy'!$AC$3:$AC$38,'2018 Table 10 CWTs exp'!$A15)</f>
        <v>83</v>
      </c>
      <c r="AB15" s="38"/>
      <c r="AC15" s="634"/>
      <c r="AD15" s="603">
        <f>SUMIFS('[11]inland_taf_hatchgrp_tableraw&amp;yy'!AB$3:AB$38,'[11]inland_taf_hatchgrp_tableraw&amp;yy'!$AC$3:$AC$38,'2018 Table 10 CWTs exp'!$A15)</f>
        <v>1</v>
      </c>
      <c r="AE15" s="604" t="str">
        <f t="shared" si="1"/>
        <v>CNFW527</v>
      </c>
      <c r="AF15" s="444"/>
      <c r="AG15" s="622">
        <f t="shared" si="4"/>
        <v>1</v>
      </c>
      <c r="AH15" s="606"/>
      <c r="AI15" s="600"/>
      <c r="AJ15" s="599"/>
      <c r="AK15" s="451"/>
      <c r="AL15" s="451"/>
      <c r="AM15" s="442"/>
      <c r="AN15" s="442"/>
      <c r="AO15" s="442"/>
      <c r="AP15" s="442"/>
      <c r="AQ15" s="442"/>
      <c r="AR15" s="442"/>
      <c r="AS15" s="442"/>
      <c r="AT15" s="442"/>
    </row>
    <row r="16" spans="1:61" ht="14.5" customHeight="1" x14ac:dyDescent="0.25">
      <c r="A16" s="50" t="str">
        <f t="shared" si="0"/>
        <v>KESW507</v>
      </c>
      <c r="B16" s="13" t="s">
        <v>43</v>
      </c>
      <c r="C16" s="13">
        <v>50</v>
      </c>
      <c r="D16" s="13">
        <v>7</v>
      </c>
      <c r="E16" s="3" t="s">
        <v>44</v>
      </c>
      <c r="F16" s="37" t="s">
        <v>133</v>
      </c>
      <c r="G16" s="38"/>
      <c r="H16" s="39">
        <f>SUMIFS('[11]inland_taf_hatchgrp_tableraw&amp;yy'!H$3:H$38,'[11]inland_taf_hatchgrp_tableraw&amp;yy'!$AC$3:$AC$38,'2018 Table 10 CWTs exp'!$A16)</f>
        <v>2</v>
      </c>
      <c r="I16" s="38">
        <f>SUMIFS('[11]inland_taf_hatchgrp_tableraw&amp;yy'!I$3:I$38,'[11]inland_taf_hatchgrp_tableraw&amp;yy'!$AC$3:$AC$38,'2018 Table 10 CWTs exp'!$A16)</f>
        <v>0</v>
      </c>
      <c r="J16" s="40">
        <f>SUMIFS('[11]inland_taf_hatchgrp_tableraw&amp;yy'!J$3:J$38,'[11]inland_taf_hatchgrp_tableraw&amp;yy'!$AC$3:$AC$38,'2018 Table 10 CWTs exp'!$A16)</f>
        <v>0</v>
      </c>
      <c r="K16" s="38">
        <f>SUMIFS('[11]inland_taf_hatchgrp_tableraw&amp;yy'!K$3:K$38,'[11]inland_taf_hatchgrp_tableraw&amp;yy'!$AC$3:$AC$38,'2018 Table 10 CWTs exp'!$A16)</f>
        <v>0</v>
      </c>
      <c r="L16" s="38">
        <f>SUMIFS('[11]inland_taf_hatchgrp_tableraw&amp;yy'!L$3:L$38,'[11]inland_taf_hatchgrp_tableraw&amp;yy'!$AC$3:$AC$38,'2018 Table 10 CWTs exp'!$A16)</f>
        <v>0</v>
      </c>
      <c r="M16" s="38">
        <f>SUMIFS('[11]inland_taf_hatchgrp_tableraw&amp;yy'!M$3:M$38,'[11]inland_taf_hatchgrp_tableraw&amp;yy'!$AC$3:$AC$38,'2018 Table 10 CWTs exp'!$A16)</f>
        <v>0</v>
      </c>
      <c r="N16" s="40">
        <f>SUMIFS('[11]inland_taf_hatchgrp_tableraw&amp;yy'!N$3:N$38,'[11]inland_taf_hatchgrp_tableraw&amp;yy'!$AC$3:$AC$38,'2018 Table 10 CWTs exp'!$A16)</f>
        <v>0</v>
      </c>
      <c r="O16" s="38">
        <f>SUMIFS('[11]inland_taf_hatchgrp_tableraw&amp;yy'!O$3:O$38,'[11]inland_taf_hatchgrp_tableraw&amp;yy'!$AC$3:$AC$38,'2018 Table 10 CWTs exp'!$A16)</f>
        <v>0</v>
      </c>
      <c r="P16" s="40">
        <f>SUMIFS('[11]inland_taf_hatchgrp_tableraw&amp;yy'!P$3:P$38,'[11]inland_taf_hatchgrp_tableraw&amp;yy'!$AC$3:$AC$38,'2018 Table 10 CWTs exp'!$A16)</f>
        <v>0</v>
      </c>
      <c r="Q16" s="38">
        <f>SUMIFS('[11]inland_taf_hatchgrp_tableraw&amp;yy'!Q$3:Q$38,'[11]inland_taf_hatchgrp_tableraw&amp;yy'!$AC$3:$AC$38,'2018 Table 10 CWTs exp'!$A16)</f>
        <v>0</v>
      </c>
      <c r="R16" s="38">
        <f>SUMIFS('[11]inland_taf_hatchgrp_tableraw&amp;yy'!R$3:R$38,'[11]inland_taf_hatchgrp_tableraw&amp;yy'!$AC$3:$AC$38,'2018 Table 10 CWTs exp'!$A16)</f>
        <v>0</v>
      </c>
      <c r="S16" s="38">
        <f>SUMIFS('[11]inland_taf_hatchgrp_tableraw&amp;yy'!S$3:S$38,'[11]inland_taf_hatchgrp_tableraw&amp;yy'!$AC$3:$AC$38,'2018 Table 10 CWTs exp'!$A16)</f>
        <v>0</v>
      </c>
      <c r="T16" s="40">
        <f>SUMIFS('[11]inland_taf_hatchgrp_tableraw&amp;yy'!T$3:T$38,'[11]inland_taf_hatchgrp_tableraw&amp;yy'!$AC$3:$AC$38,'2018 Table 10 CWTs exp'!$A16)</f>
        <v>0</v>
      </c>
      <c r="U16" s="38">
        <f>SUMIFS('[11]inland_taf_hatchgrp_tableraw&amp;yy'!U$3:U$38,'[11]inland_taf_hatchgrp_tableraw&amp;yy'!$AC$3:$AC$38,'2018 Table 10 CWTs exp'!$A16)</f>
        <v>0</v>
      </c>
      <c r="V16" s="40">
        <f>SUMIFS('[11]inland_taf_hatchgrp_tableraw&amp;yy'!V$3:V$38,'[11]inland_taf_hatchgrp_tableraw&amp;yy'!$AC$3:$AC$38,'2018 Table 10 CWTs exp'!$A16)</f>
        <v>0</v>
      </c>
      <c r="W16" s="40">
        <f>SUMIFS('[11]inland_taf_hatchgrp_tableraw&amp;yy'!W$3:W$38,'[11]inland_taf_hatchgrp_tableraw&amp;yy'!$AC$3:$AC$38,'2018 Table 10 CWTs exp'!$A16)</f>
        <v>0</v>
      </c>
      <c r="X16" s="38">
        <f>SUMIFS('[11]inland_taf_hatchgrp_tableraw&amp;yy'!X$3:X$38,'[11]inland_taf_hatchgrp_tableraw&amp;yy'!$AC$3:$AC$38,'2018 Table 10 CWTs exp'!$A16)</f>
        <v>0</v>
      </c>
      <c r="Y16" s="41">
        <f>SUMIFS('[11]inland_taf_hatchgrp_tableraw&amp;yy'!Y$3:Y$38,'[11]inland_taf_hatchgrp_tableraw&amp;yy'!$AC$3:$AC$38,'2018 Table 10 CWTs exp'!$A16)</f>
        <v>2</v>
      </c>
      <c r="Z16" s="42">
        <f>SUMIFS('[11]inland_taf_hatchgrp_tableraw&amp;yy'!Z$3:Z$38,'[11]inland_taf_hatchgrp_tableraw&amp;yy'!$AC$3:$AC$38,'2018 Table 10 CWTs exp'!$A16)</f>
        <v>11</v>
      </c>
      <c r="AA16" s="38">
        <f>SUMIFS('[11]inland_taf_hatchgrp_tableraw&amp;yy'!AA$3:AA$38,'[11]inland_taf_hatchgrp_tableraw&amp;yy'!$AC$3:$AC$38,'2018 Table 10 CWTs exp'!$A16)</f>
        <v>13</v>
      </c>
      <c r="AB16" s="38"/>
      <c r="AC16" s="634"/>
      <c r="AD16" s="603">
        <f>SUMIFS('[11]inland_taf_hatchgrp_tableraw&amp;yy'!AB$3:AB$38,'[11]inland_taf_hatchgrp_tableraw&amp;yy'!$AC$3:$AC$38,'2018 Table 10 CWTs exp'!$A16)</f>
        <v>0.154</v>
      </c>
      <c r="AE16" s="604" t="str">
        <f t="shared" si="1"/>
        <v>KESW507</v>
      </c>
      <c r="AF16" s="444"/>
      <c r="AG16" s="622">
        <f t="shared" si="4"/>
        <v>0.15384615384615385</v>
      </c>
      <c r="AH16" s="606"/>
      <c r="AI16" s="600"/>
      <c r="AJ16" s="599"/>
      <c r="AK16" s="451"/>
      <c r="AL16" s="451"/>
      <c r="AM16" s="442"/>
      <c r="AN16" s="442"/>
      <c r="AO16" s="442"/>
      <c r="AP16" s="442"/>
      <c r="AQ16" s="442"/>
      <c r="AR16" s="442"/>
      <c r="AS16" s="442"/>
      <c r="AT16" s="442"/>
    </row>
    <row r="17" spans="1:46" ht="14.15" customHeight="1" x14ac:dyDescent="0.3">
      <c r="A17" s="55"/>
      <c r="B17" s="56"/>
      <c r="C17" s="56"/>
      <c r="D17" s="56"/>
      <c r="E17" s="743" t="s">
        <v>61</v>
      </c>
      <c r="F17" s="743"/>
      <c r="G17" s="57">
        <f>SUM(G8:G13)</f>
        <v>0</v>
      </c>
      <c r="H17" s="58">
        <f t="shared" ref="H17:AA17" si="7">SUM(H8:H13)</f>
        <v>26</v>
      </c>
      <c r="I17" s="59">
        <f t="shared" si="7"/>
        <v>12245</v>
      </c>
      <c r="J17" s="60">
        <f t="shared" si="7"/>
        <v>8</v>
      </c>
      <c r="K17" s="59">
        <f t="shared" si="7"/>
        <v>1487</v>
      </c>
      <c r="L17" s="59">
        <f t="shared" si="7"/>
        <v>846</v>
      </c>
      <c r="M17" s="59">
        <f t="shared" si="7"/>
        <v>19538</v>
      </c>
      <c r="N17" s="60">
        <f t="shared" si="7"/>
        <v>2291</v>
      </c>
      <c r="O17" s="59">
        <f t="shared" si="7"/>
        <v>881</v>
      </c>
      <c r="P17" s="60">
        <f t="shared" si="7"/>
        <v>2591</v>
      </c>
      <c r="Q17" s="59">
        <f t="shared" si="7"/>
        <v>141</v>
      </c>
      <c r="R17" s="59">
        <f t="shared" si="7"/>
        <v>8063</v>
      </c>
      <c r="S17" s="59">
        <f t="shared" si="7"/>
        <v>678</v>
      </c>
      <c r="T17" s="60">
        <f t="shared" si="7"/>
        <v>597</v>
      </c>
      <c r="U17" s="59">
        <f t="shared" si="7"/>
        <v>215</v>
      </c>
      <c r="V17" s="60">
        <f t="shared" si="7"/>
        <v>217</v>
      </c>
      <c r="W17" s="60">
        <f t="shared" si="7"/>
        <v>29</v>
      </c>
      <c r="X17" s="59">
        <f t="shared" si="7"/>
        <v>8</v>
      </c>
      <c r="Y17" s="188">
        <f t="shared" si="7"/>
        <v>49861</v>
      </c>
      <c r="Z17" s="189">
        <f t="shared" si="7"/>
        <v>7228</v>
      </c>
      <c r="AA17" s="59">
        <f t="shared" si="7"/>
        <v>57089</v>
      </c>
      <c r="AB17" s="64"/>
      <c r="AC17" s="630"/>
      <c r="AD17" s="562">
        <f>Y17/AA17</f>
        <v>0.87339067070714149</v>
      </c>
      <c r="AE17" s="562"/>
      <c r="AF17" s="607"/>
      <c r="AG17" s="622">
        <f>Y17/AA17</f>
        <v>0.87339067070714149</v>
      </c>
      <c r="AH17" s="608"/>
      <c r="AI17" s="608"/>
      <c r="AJ17" s="609"/>
      <c r="AK17" s="610"/>
      <c r="AL17" s="610"/>
      <c r="AM17" s="442"/>
      <c r="AN17" s="442"/>
      <c r="AO17" s="442"/>
      <c r="AP17" s="442"/>
      <c r="AQ17" s="442"/>
      <c r="AR17" s="442"/>
      <c r="AS17" s="442"/>
      <c r="AT17" s="442"/>
    </row>
    <row r="18" spans="1:46" ht="14.15" customHeight="1" x14ac:dyDescent="0.3">
      <c r="A18" s="50" t="s">
        <v>62</v>
      </c>
      <c r="B18" s="13"/>
      <c r="C18" s="13"/>
      <c r="D18" s="13"/>
      <c r="E18" s="26" t="s">
        <v>63</v>
      </c>
      <c r="F18" s="47"/>
      <c r="G18" s="68"/>
      <c r="H18" s="69"/>
      <c r="I18" s="68"/>
      <c r="J18" s="70"/>
      <c r="K18" s="68"/>
      <c r="L18" s="68"/>
      <c r="M18" s="68"/>
      <c r="N18" s="70"/>
      <c r="O18" s="68"/>
      <c r="P18" s="70"/>
      <c r="Q18" s="68"/>
      <c r="R18" s="68"/>
      <c r="S18" s="68"/>
      <c r="T18" s="70"/>
      <c r="U18" s="68"/>
      <c r="V18" s="70"/>
      <c r="W18" s="70"/>
      <c r="X18" s="68"/>
      <c r="Y18" s="86"/>
      <c r="Z18" s="87"/>
      <c r="AA18" s="68"/>
      <c r="AB18" s="68"/>
      <c r="AC18" s="611"/>
      <c r="AD18" s="611"/>
      <c r="AE18" s="611"/>
      <c r="AF18" s="442"/>
      <c r="AG18" s="597"/>
      <c r="AH18" s="597"/>
      <c r="AI18" s="597"/>
      <c r="AJ18" s="599"/>
      <c r="AK18" s="451"/>
      <c r="AL18" s="451"/>
      <c r="AM18" s="442"/>
      <c r="AN18" s="442"/>
      <c r="AO18" s="442"/>
      <c r="AP18" s="442"/>
      <c r="AQ18" s="442"/>
      <c r="AR18" s="442"/>
      <c r="AS18" s="442"/>
      <c r="AT18" s="442"/>
    </row>
    <row r="19" spans="1:46" ht="14.5" customHeight="1" x14ac:dyDescent="0.25">
      <c r="A19" s="50" t="str">
        <f t="shared" ref="A19:A39" si="8">CONCATENATE(B19,C19,D19)</f>
        <v>USAC544</v>
      </c>
      <c r="B19" s="13" t="s">
        <v>64</v>
      </c>
      <c r="C19" s="13">
        <v>54</v>
      </c>
      <c r="D19" s="13">
        <v>4</v>
      </c>
      <c r="E19" s="3" t="s">
        <v>65</v>
      </c>
      <c r="F19" s="28" t="str">
        <f>LOOKUP(D19,$AL$7:$AL$10,$AM$7:$AM$10)</f>
        <v>Winter</v>
      </c>
      <c r="G19" s="44">
        <f>SUMIFS('[11]inland_taf_hatchgrp_tableraw&amp;yy'!G$3:G$38,'[11]inland_taf_hatchgrp_tableraw&amp;yy'!$AC$3:$AC$38,'2018 Table 10 CWTs exp'!$A19)</f>
        <v>2006</v>
      </c>
      <c r="H19" s="45">
        <f>SUMIFS('[11]inland_taf_hatchgrp_tableraw&amp;yy'!H$3:H$38,'[11]inland_taf_hatchgrp_tableraw&amp;yy'!$AC$3:$AC$38,'2018 Table 10 CWTs exp'!$A19)</f>
        <v>0</v>
      </c>
      <c r="I19" s="44">
        <f>SUMIFS('[11]inland_taf_hatchgrp_tableraw&amp;yy'!I$3:I$38,'[11]inland_taf_hatchgrp_tableraw&amp;yy'!$AC$3:$AC$38,'2018 Table 10 CWTs exp'!$A19)</f>
        <v>0</v>
      </c>
      <c r="J19" s="46">
        <f>SUMIFS('[11]inland_taf_hatchgrp_tableraw&amp;yy'!J$3:J$38,'[11]inland_taf_hatchgrp_tableraw&amp;yy'!$AC$3:$AC$38,'2018 Table 10 CWTs exp'!$A19)</f>
        <v>0</v>
      </c>
      <c r="K19" s="44">
        <f>SUMIFS('[11]inland_taf_hatchgrp_tableraw&amp;yy'!K$3:K$38,'[11]inland_taf_hatchgrp_tableraw&amp;yy'!$AC$3:$AC$38,'2018 Table 10 CWTs exp'!$A19)</f>
        <v>0</v>
      </c>
      <c r="L19" s="44">
        <f>SUMIFS('[11]inland_taf_hatchgrp_tableraw&amp;yy'!L$3:L$38,'[11]inland_taf_hatchgrp_tableraw&amp;yy'!$AC$3:$AC$38,'2018 Table 10 CWTs exp'!$A19)</f>
        <v>0</v>
      </c>
      <c r="M19" s="44">
        <f>SUMIFS('[11]inland_taf_hatchgrp_tableraw&amp;yy'!M$3:M$38,'[11]inland_taf_hatchgrp_tableraw&amp;yy'!$AC$3:$AC$38,'2018 Table 10 CWTs exp'!$A19)</f>
        <v>0</v>
      </c>
      <c r="N19" s="46">
        <f>SUMIFS('[11]inland_taf_hatchgrp_tableraw&amp;yy'!N$3:N$38,'[11]inland_taf_hatchgrp_tableraw&amp;yy'!$AC$3:$AC$38,'2018 Table 10 CWTs exp'!$A19)</f>
        <v>0</v>
      </c>
      <c r="O19" s="44">
        <f>SUMIFS('[11]inland_taf_hatchgrp_tableraw&amp;yy'!O$3:O$38,'[11]inland_taf_hatchgrp_tableraw&amp;yy'!$AC$3:$AC$38,'2018 Table 10 CWTs exp'!$A19)</f>
        <v>0</v>
      </c>
      <c r="P19" s="46">
        <f>SUMIFS('[11]inland_taf_hatchgrp_tableraw&amp;yy'!P$3:P$38,'[11]inland_taf_hatchgrp_tableraw&amp;yy'!$AC$3:$AC$38,'2018 Table 10 CWTs exp'!$A19)</f>
        <v>0</v>
      </c>
      <c r="Q19" s="44">
        <f>SUMIFS('[11]inland_taf_hatchgrp_tableraw&amp;yy'!Q$3:Q$38,'[11]inland_taf_hatchgrp_tableraw&amp;yy'!$AC$3:$AC$38,'2018 Table 10 CWTs exp'!$A19)</f>
        <v>0</v>
      </c>
      <c r="R19" s="44">
        <f>SUMIFS('[11]inland_taf_hatchgrp_tableraw&amp;yy'!R$3:R$38,'[11]inland_taf_hatchgrp_tableraw&amp;yy'!$AC$3:$AC$38,'2018 Table 10 CWTs exp'!$A19)</f>
        <v>0</v>
      </c>
      <c r="S19" s="44">
        <f>SUMIFS('[11]inland_taf_hatchgrp_tableraw&amp;yy'!S$3:S$38,'[11]inland_taf_hatchgrp_tableraw&amp;yy'!$AC$3:$AC$38,'2018 Table 10 CWTs exp'!$A19)</f>
        <v>0</v>
      </c>
      <c r="T19" s="46">
        <f>SUMIFS('[11]inland_taf_hatchgrp_tableraw&amp;yy'!T$3:T$38,'[11]inland_taf_hatchgrp_tableraw&amp;yy'!$AC$3:$AC$38,'2018 Table 10 CWTs exp'!$A19)</f>
        <v>0</v>
      </c>
      <c r="U19" s="44">
        <f>SUMIFS('[11]inland_taf_hatchgrp_tableraw&amp;yy'!U$3:U$38,'[11]inland_taf_hatchgrp_tableraw&amp;yy'!$AC$3:$AC$38,'2018 Table 10 CWTs exp'!$A19)</f>
        <v>0</v>
      </c>
      <c r="V19" s="46">
        <f>SUMIFS('[11]inland_taf_hatchgrp_tableraw&amp;yy'!V$3:V$38,'[11]inland_taf_hatchgrp_tableraw&amp;yy'!$AC$3:$AC$38,'2018 Table 10 CWTs exp'!$A19)</f>
        <v>0</v>
      </c>
      <c r="W19" s="46">
        <f>SUMIFS('[11]inland_taf_hatchgrp_tableraw&amp;yy'!W$3:W$38,'[11]inland_taf_hatchgrp_tableraw&amp;yy'!$AC$3:$AC$38,'2018 Table 10 CWTs exp'!$A19)</f>
        <v>0</v>
      </c>
      <c r="X19" s="44">
        <f>SUMIFS('[11]inland_taf_hatchgrp_tableraw&amp;yy'!X$3:X$38,'[11]inland_taf_hatchgrp_tableraw&amp;yy'!$AC$3:$AC$38,'2018 Table 10 CWTs exp'!$A19)</f>
        <v>0</v>
      </c>
      <c r="Y19" s="84">
        <f>SUMIFS('[11]inland_taf_hatchgrp_tableraw&amp;yy'!Y$3:Y$38,'[11]inland_taf_hatchgrp_tableraw&amp;yy'!$AC$3:$AC$38,'2018 Table 10 CWTs exp'!$A19)</f>
        <v>2006</v>
      </c>
      <c r="Z19" s="85">
        <f>SUMIFS('[11]inland_taf_hatchgrp_tableraw&amp;yy'!Z$3:Z$38,'[11]inland_taf_hatchgrp_tableraw&amp;yy'!$AC$3:$AC$38,'2018 Table 10 CWTs exp'!$A19)</f>
        <v>452</v>
      </c>
      <c r="AA19" s="44">
        <f>SUMIFS('[11]inland_taf_hatchgrp_tableraw&amp;yy'!AA$3:AA$38,'[11]inland_taf_hatchgrp_tableraw&amp;yy'!$AC$3:$AC$38,'2018 Table 10 CWTs exp'!$A19)</f>
        <v>2458</v>
      </c>
      <c r="AB19" s="44"/>
      <c r="AC19" s="636"/>
      <c r="AD19" s="566">
        <f>SUMIFS('[11]inland_taf_hatchgrp_tableraw&amp;yy'!AB$3:AB$38,'[11]inland_taf_hatchgrp_tableraw&amp;yy'!$AC$3:$AC$38,'2018 Table 10 CWTs exp'!$A19)</f>
        <v>0.81599999999999995</v>
      </c>
      <c r="AE19" s="604" t="str">
        <f t="shared" ref="AE19:AE39" si="9">A19</f>
        <v>USAC544</v>
      </c>
      <c r="AF19" s="442"/>
      <c r="AG19" s="622">
        <f t="shared" ref="AG19:AG39" si="10">Y19/AA19</f>
        <v>0.81611065907241664</v>
      </c>
      <c r="AH19" s="623">
        <f t="shared" ref="AH19:AH37" si="11">Z19/AA19</f>
        <v>0.18388934092758341</v>
      </c>
      <c r="AI19" s="597"/>
      <c r="AJ19" s="599"/>
      <c r="AK19" s="451"/>
      <c r="AL19" s="451"/>
      <c r="AM19" s="442"/>
      <c r="AN19" s="442"/>
      <c r="AO19" s="442"/>
      <c r="AP19" s="442"/>
      <c r="AQ19" s="442"/>
      <c r="AR19" s="442"/>
      <c r="AS19" s="442"/>
      <c r="AT19" s="442"/>
    </row>
    <row r="20" spans="1:46" ht="14.25" customHeight="1" x14ac:dyDescent="0.25">
      <c r="A20" s="50" t="str">
        <f>CONCATENATE(B20,C20,D20)</f>
        <v>BUTT541</v>
      </c>
      <c r="B20" s="13" t="s">
        <v>66</v>
      </c>
      <c r="C20" s="13">
        <v>54</v>
      </c>
      <c r="D20" s="13">
        <v>1</v>
      </c>
      <c r="E20" s="3" t="s">
        <v>67</v>
      </c>
      <c r="F20" s="28" t="str">
        <f>LOOKUP(D20,$AL$7:$AL$10,$AM$7:$AM$10)</f>
        <v>Spring</v>
      </c>
      <c r="G20" s="38">
        <f>SUMIFS('[11]inland_taf_hatchgrp_tableraw&amp;yy'!G$3:G$38,'[11]inland_taf_hatchgrp_tableraw&amp;yy'!$AC$3:$AC$38,'2018 Table 10 CWTs exp'!$A20)</f>
        <v>0</v>
      </c>
      <c r="H20" s="39">
        <f>SUMIFS('[11]inland_taf_hatchgrp_tableraw&amp;yy'!H$3:H$38,'[11]inland_taf_hatchgrp_tableraw&amp;yy'!$AC$3:$AC$38,'2018 Table 10 CWTs exp'!$A20)</f>
        <v>0</v>
      </c>
      <c r="I20" s="38">
        <f>SUMIFS('[11]inland_taf_hatchgrp_tableraw&amp;yy'!I$3:I$38,'[11]inland_taf_hatchgrp_tableraw&amp;yy'!$AC$3:$AC$38,'2018 Table 10 CWTs exp'!$A20)</f>
        <v>0</v>
      </c>
      <c r="J20" s="40">
        <f>SUMIFS('[11]inland_taf_hatchgrp_tableraw&amp;yy'!J$3:J$38,'[11]inland_taf_hatchgrp_tableraw&amp;yy'!$AC$3:$AC$38,'2018 Table 10 CWTs exp'!$A20)</f>
        <v>0</v>
      </c>
      <c r="K20" s="38">
        <f>SUMIFS('[11]inland_taf_hatchgrp_tableraw&amp;yy'!K$3:K$38,'[11]inland_taf_hatchgrp_tableraw&amp;yy'!$AC$3:$AC$38,'2018 Table 10 CWTs exp'!$A20)</f>
        <v>0</v>
      </c>
      <c r="L20" s="38">
        <f>SUMIFS('[11]inland_taf_hatchgrp_tableraw&amp;yy'!L$3:L$38,'[11]inland_taf_hatchgrp_tableraw&amp;yy'!$AC$3:$AC$38,'2018 Table 10 CWTs exp'!$A20)</f>
        <v>0</v>
      </c>
      <c r="M20" s="38">
        <f>SUMIFS('[11]inland_taf_hatchgrp_tableraw&amp;yy'!M$3:M$38,'[11]inland_taf_hatchgrp_tableraw&amp;yy'!$AC$3:$AC$38,'2018 Table 10 CWTs exp'!$A20)</f>
        <v>0</v>
      </c>
      <c r="N20" s="40">
        <f>SUMIFS('[11]inland_taf_hatchgrp_tableraw&amp;yy'!N$3:N$38,'[11]inland_taf_hatchgrp_tableraw&amp;yy'!$AC$3:$AC$38,'2018 Table 10 CWTs exp'!$A20)</f>
        <v>0</v>
      </c>
      <c r="O20" s="38">
        <f>SUMIFS('[11]inland_taf_hatchgrp_tableraw&amp;yy'!O$3:O$38,'[11]inland_taf_hatchgrp_tableraw&amp;yy'!$AC$3:$AC$38,'2018 Table 10 CWTs exp'!$A20)</f>
        <v>0</v>
      </c>
      <c r="P20" s="40">
        <f>SUMIFS('[11]inland_taf_hatchgrp_tableraw&amp;yy'!P$3:P$38,'[11]inland_taf_hatchgrp_tableraw&amp;yy'!$AC$3:$AC$38,'2018 Table 10 CWTs exp'!$A20)</f>
        <v>0</v>
      </c>
      <c r="Q20" s="38">
        <f>SUMIFS('[11]inland_taf_hatchgrp_tableraw&amp;yy'!Q$3:Q$38,'[11]inland_taf_hatchgrp_tableraw&amp;yy'!$AC$3:$AC$38,'2018 Table 10 CWTs exp'!$A20)</f>
        <v>0</v>
      </c>
      <c r="R20" s="38">
        <f>SUMIFS('[11]inland_taf_hatchgrp_tableraw&amp;yy'!R$3:R$38,'[11]inland_taf_hatchgrp_tableraw&amp;yy'!$AC$3:$AC$38,'2018 Table 10 CWTs exp'!$A20)</f>
        <v>0</v>
      </c>
      <c r="S20" s="38">
        <f>SUMIFS('[11]inland_taf_hatchgrp_tableraw&amp;yy'!S$3:S$38,'[11]inland_taf_hatchgrp_tableraw&amp;yy'!$AC$3:$AC$38,'2018 Table 10 CWTs exp'!$A20)</f>
        <v>0</v>
      </c>
      <c r="T20" s="40">
        <f>SUMIFS('[11]inland_taf_hatchgrp_tableraw&amp;yy'!T$3:T$38,'[11]inland_taf_hatchgrp_tableraw&amp;yy'!$AC$3:$AC$38,'2018 Table 10 CWTs exp'!$A20)</f>
        <v>0</v>
      </c>
      <c r="U20" s="38">
        <f>SUMIFS('[11]inland_taf_hatchgrp_tableraw&amp;yy'!U$3:U$38,'[11]inland_taf_hatchgrp_tableraw&amp;yy'!$AC$3:$AC$38,'2018 Table 10 CWTs exp'!$A20)</f>
        <v>0</v>
      </c>
      <c r="V20" s="40">
        <f>SUMIFS('[11]inland_taf_hatchgrp_tableraw&amp;yy'!V$3:V$38,'[11]inland_taf_hatchgrp_tableraw&amp;yy'!$AC$3:$AC$38,'2018 Table 10 CWTs exp'!$A20)</f>
        <v>0</v>
      </c>
      <c r="W20" s="40">
        <f>SUMIFS('[11]inland_taf_hatchgrp_tableraw&amp;yy'!W$3:W$38,'[11]inland_taf_hatchgrp_tableraw&amp;yy'!$AC$3:$AC$38,'2018 Table 10 CWTs exp'!$A20)</f>
        <v>0</v>
      </c>
      <c r="X20" s="38">
        <f>SUMIFS('[11]inland_taf_hatchgrp_tableraw&amp;yy'!X$3:X$38,'[11]inland_taf_hatchgrp_tableraw&amp;yy'!$AC$3:$AC$38,'2018 Table 10 CWTs exp'!$A20)</f>
        <v>0</v>
      </c>
      <c r="Y20" s="41">
        <f>SUM(G20:X20)</f>
        <v>0</v>
      </c>
      <c r="Z20" s="85">
        <f>SUMIFS('[11]inland_taf_hatchgrp_tableraw&amp;yy'!Z$3:Z$38,'[11]inland_taf_hatchgrp_tableraw&amp;yy'!$AC$3:$AC$38,'2018 Table 10 CWTs exp'!$A20)</f>
        <v>2362</v>
      </c>
      <c r="AA20" s="44">
        <f>SUMIFS('[11]inland_taf_hatchgrp_tableraw&amp;yy'!AA$3:AA$38,'[11]inland_taf_hatchgrp_tableraw&amp;yy'!$AC$3:$AC$38,'2018 Table 10 CWTs exp'!$A20)</f>
        <v>2362</v>
      </c>
      <c r="AB20" s="44"/>
      <c r="AC20" s="636"/>
      <c r="AD20" s="567">
        <v>0</v>
      </c>
      <c r="AE20" s="604" t="str">
        <f t="shared" si="9"/>
        <v>BUTT541</v>
      </c>
      <c r="AF20" s="442"/>
      <c r="AG20" s="622">
        <f t="shared" si="10"/>
        <v>0</v>
      </c>
      <c r="AH20" s="623">
        <f t="shared" si="11"/>
        <v>1</v>
      </c>
      <c r="AI20" s="597"/>
      <c r="AJ20" s="599"/>
      <c r="AK20" s="451"/>
      <c r="AL20" s="451"/>
      <c r="AM20" s="442"/>
      <c r="AN20" s="442"/>
      <c r="AO20" s="442"/>
      <c r="AP20" s="442"/>
      <c r="AQ20" s="442"/>
      <c r="AR20" s="442"/>
      <c r="AS20" s="442"/>
      <c r="AT20" s="442"/>
    </row>
    <row r="21" spans="1:46" ht="14.5" customHeight="1" x14ac:dyDescent="0.25">
      <c r="A21" s="50" t="str">
        <f t="shared" si="8"/>
        <v>USAC543</v>
      </c>
      <c r="B21" s="13" t="s">
        <v>64</v>
      </c>
      <c r="C21" s="13">
        <v>54</v>
      </c>
      <c r="D21" s="13">
        <v>3</v>
      </c>
      <c r="E21" s="3" t="s">
        <v>65</v>
      </c>
      <c r="F21" s="43" t="str">
        <f>LOOKUP(D21,$AL$7:$AL$10,$AM$7:$AM$10)</f>
        <v>Fall</v>
      </c>
      <c r="G21" s="44">
        <f>SUMIFS('[11]inland_taf_hatchgrp_tableraw&amp;yy'!G$3:G$38,'[11]inland_taf_hatchgrp_tableraw&amp;yy'!$AC$3:$AC$38,'2018 Table 10 CWTs exp'!$A21)</f>
        <v>0</v>
      </c>
      <c r="H21" s="45">
        <f>SUMIFS('[11]inland_taf_hatchgrp_tableraw&amp;yy'!H$3:H$38,'[11]inland_taf_hatchgrp_tableraw&amp;yy'!$AC$3:$AC$38,'2018 Table 10 CWTs exp'!$A21)</f>
        <v>12</v>
      </c>
      <c r="I21" s="44">
        <f>SUMIFS('[11]inland_taf_hatchgrp_tableraw&amp;yy'!I$3:I$38,'[11]inland_taf_hatchgrp_tableraw&amp;yy'!$AC$3:$AC$38,'2018 Table 10 CWTs exp'!$A21)</f>
        <v>1904</v>
      </c>
      <c r="J21" s="46">
        <f>SUMIFS('[11]inland_taf_hatchgrp_tableraw&amp;yy'!J$3:J$38,'[11]inland_taf_hatchgrp_tableraw&amp;yy'!$AC$3:$AC$38,'2018 Table 10 CWTs exp'!$A21)</f>
        <v>0</v>
      </c>
      <c r="K21" s="44">
        <f>SUMIFS('[11]inland_taf_hatchgrp_tableraw&amp;yy'!K$3:K$38,'[11]inland_taf_hatchgrp_tableraw&amp;yy'!$AC$3:$AC$38,'2018 Table 10 CWTs exp'!$A21)</f>
        <v>0</v>
      </c>
      <c r="L21" s="44">
        <f>SUMIFS('[11]inland_taf_hatchgrp_tableraw&amp;yy'!L$3:L$38,'[11]inland_taf_hatchgrp_tableraw&amp;yy'!$AC$3:$AC$38,'2018 Table 10 CWTs exp'!$A21)</f>
        <v>11</v>
      </c>
      <c r="M21" s="44">
        <f>SUMIFS('[11]inland_taf_hatchgrp_tableraw&amp;yy'!M$3:M$38,'[11]inland_taf_hatchgrp_tableraw&amp;yy'!$AC$3:$AC$38,'2018 Table 10 CWTs exp'!$A21)</f>
        <v>88</v>
      </c>
      <c r="N21" s="46">
        <f>SUMIFS('[11]inland_taf_hatchgrp_tableraw&amp;yy'!N$3:N$38,'[11]inland_taf_hatchgrp_tableraw&amp;yy'!$AC$3:$AC$38,'2018 Table 10 CWTs exp'!$A21)</f>
        <v>6</v>
      </c>
      <c r="O21" s="44">
        <f>SUMIFS('[11]inland_taf_hatchgrp_tableraw&amp;yy'!O$3:O$38,'[11]inland_taf_hatchgrp_tableraw&amp;yy'!$AC$3:$AC$38,'2018 Table 10 CWTs exp'!$A21)</f>
        <v>0</v>
      </c>
      <c r="P21" s="46">
        <f>SUMIFS('[11]inland_taf_hatchgrp_tableraw&amp;yy'!P$3:P$38,'[11]inland_taf_hatchgrp_tableraw&amp;yy'!$AC$3:$AC$38,'2018 Table 10 CWTs exp'!$A21)</f>
        <v>0</v>
      </c>
      <c r="Q21" s="44">
        <f>SUMIFS('[11]inland_taf_hatchgrp_tableraw&amp;yy'!Q$3:Q$38,'[11]inland_taf_hatchgrp_tableraw&amp;yy'!$AC$3:$AC$38,'2018 Table 10 CWTs exp'!$A21)</f>
        <v>0</v>
      </c>
      <c r="R21" s="44">
        <f>SUMIFS('[11]inland_taf_hatchgrp_tableraw&amp;yy'!R$3:R$38,'[11]inland_taf_hatchgrp_tableraw&amp;yy'!$AC$3:$AC$38,'2018 Table 10 CWTs exp'!$A21)</f>
        <v>45</v>
      </c>
      <c r="S21" s="44">
        <f>SUMIFS('[11]inland_taf_hatchgrp_tableraw&amp;yy'!S$3:S$38,'[11]inland_taf_hatchgrp_tableraw&amp;yy'!$AC$3:$AC$38,'2018 Table 10 CWTs exp'!$A21)</f>
        <v>39</v>
      </c>
      <c r="T21" s="46">
        <f>SUMIFS('[11]inland_taf_hatchgrp_tableraw&amp;yy'!T$3:T$38,'[11]inland_taf_hatchgrp_tableraw&amp;yy'!$AC$3:$AC$38,'2018 Table 10 CWTs exp'!$A21)</f>
        <v>6</v>
      </c>
      <c r="U21" s="44">
        <f>SUMIFS('[11]inland_taf_hatchgrp_tableraw&amp;yy'!U$3:U$38,'[11]inland_taf_hatchgrp_tableraw&amp;yy'!$AC$3:$AC$38,'2018 Table 10 CWTs exp'!$A21)</f>
        <v>0</v>
      </c>
      <c r="V21" s="46">
        <f>SUMIFS('[11]inland_taf_hatchgrp_tableraw&amp;yy'!V$3:V$38,'[11]inland_taf_hatchgrp_tableraw&amp;yy'!$AC$3:$AC$38,'2018 Table 10 CWTs exp'!$A21)</f>
        <v>0</v>
      </c>
      <c r="W21" s="46">
        <f>SUMIFS('[11]inland_taf_hatchgrp_tableraw&amp;yy'!W$3:W$38,'[11]inland_taf_hatchgrp_tableraw&amp;yy'!$AC$3:$AC$38,'2018 Table 10 CWTs exp'!$A21)</f>
        <v>0</v>
      </c>
      <c r="X21" s="44">
        <f>SUMIFS('[11]inland_taf_hatchgrp_tableraw&amp;yy'!X$3:X$38,'[11]inland_taf_hatchgrp_tableraw&amp;yy'!$AC$3:$AC$38,'2018 Table 10 CWTs exp'!$A21)</f>
        <v>0</v>
      </c>
      <c r="Y21" s="84">
        <f>SUMIFS('[11]inland_taf_hatchgrp_tableraw&amp;yy'!Y$3:Y$38,'[11]inland_taf_hatchgrp_tableraw&amp;yy'!$AC$3:$AC$38,'2018 Table 10 CWTs exp'!$A21)</f>
        <v>2111</v>
      </c>
      <c r="Z21" s="85">
        <f>SUMIFS('[11]inland_taf_hatchgrp_tableraw&amp;yy'!Z$3:Z$38,'[11]inland_taf_hatchgrp_tableraw&amp;yy'!$AC$3:$AC$38,'2018 Table 10 CWTs exp'!$A21)</f>
        <v>7325</v>
      </c>
      <c r="AA21" s="44">
        <f>SUMIFS('[11]inland_taf_hatchgrp_tableraw&amp;yy'!AA$3:AA$38,'[11]inland_taf_hatchgrp_tableraw&amp;yy'!$AC$3:$AC$38,'2018 Table 10 CWTs exp'!$A21)</f>
        <v>9436</v>
      </c>
      <c r="AB21" s="44"/>
      <c r="AC21" s="636"/>
      <c r="AD21" s="567">
        <f>SUMIFS('[11]inland_taf_hatchgrp_tableraw&amp;yy'!AB$3:AB$38,'[11]inland_taf_hatchgrp_tableraw&amp;yy'!$AC$3:$AC$38,'2018 Table 10 CWTs exp'!$A21)</f>
        <v>0.224</v>
      </c>
      <c r="AE21" s="604" t="str">
        <f t="shared" si="9"/>
        <v>USAC543</v>
      </c>
      <c r="AF21" s="442"/>
      <c r="AG21" s="622">
        <f t="shared" si="10"/>
        <v>0.22371767698177195</v>
      </c>
      <c r="AH21" s="623">
        <f t="shared" si="11"/>
        <v>0.77628232301822808</v>
      </c>
      <c r="AI21" s="605">
        <f>1-AD21</f>
        <v>0.77600000000000002</v>
      </c>
      <c r="AJ21" s="447">
        <f t="shared" ref="AJ21:AJ37" si="12">Z21</f>
        <v>7325</v>
      </c>
      <c r="AK21" s="448">
        <f>AJ21/AA21</f>
        <v>0.77628232301822808</v>
      </c>
      <c r="AL21" s="451"/>
      <c r="AM21" s="442"/>
      <c r="AN21" s="442"/>
      <c r="AO21" s="442"/>
      <c r="AP21" s="442"/>
      <c r="AQ21" s="442"/>
      <c r="AR21" s="442"/>
      <c r="AS21" s="442"/>
      <c r="AT21" s="442"/>
    </row>
    <row r="22" spans="1:46" ht="14.25" customHeight="1" x14ac:dyDescent="0.25">
      <c r="A22" s="50" t="str">
        <f t="shared" si="8"/>
        <v>CLR543</v>
      </c>
      <c r="B22" s="13" t="s">
        <v>70</v>
      </c>
      <c r="C22" s="13">
        <v>54</v>
      </c>
      <c r="D22" s="13">
        <v>3</v>
      </c>
      <c r="E22" s="3" t="s">
        <v>71</v>
      </c>
      <c r="F22" s="43" t="str">
        <f>LOOKUP(D22,$AL$7:$AL$10,$AM$7:$AM$10)</f>
        <v>Fall</v>
      </c>
      <c r="G22" s="44">
        <f>SUMIFS('[11]inland_taf_hatchgrp_tableraw&amp;yy'!G$3:G$38,'[11]inland_taf_hatchgrp_tableraw&amp;yy'!$AC$3:$AC$38,'2018 Table 10 CWTs exp'!$A22)</f>
        <v>0</v>
      </c>
      <c r="H22" s="45">
        <f>SUMIFS('[11]inland_taf_hatchgrp_tableraw&amp;yy'!H$3:H$38,'[11]inland_taf_hatchgrp_tableraw&amp;yy'!$AC$3:$AC$38,'2018 Table 10 CWTs exp'!$A22)</f>
        <v>0</v>
      </c>
      <c r="I22" s="44">
        <f>SUMIFS('[11]inland_taf_hatchgrp_tableraw&amp;yy'!I$3:I$38,'[11]inland_taf_hatchgrp_tableraw&amp;yy'!$AC$3:$AC$38,'2018 Table 10 CWTs exp'!$A22)</f>
        <v>1435</v>
      </c>
      <c r="J22" s="46">
        <f>SUMIFS('[11]inland_taf_hatchgrp_tableraw&amp;yy'!J$3:J$38,'[11]inland_taf_hatchgrp_tableraw&amp;yy'!$AC$3:$AC$38,'2018 Table 10 CWTs exp'!$A22)</f>
        <v>0</v>
      </c>
      <c r="K22" s="44">
        <f>SUMIFS('[11]inland_taf_hatchgrp_tableraw&amp;yy'!K$3:K$38,'[11]inland_taf_hatchgrp_tableraw&amp;yy'!$AC$3:$AC$38,'2018 Table 10 CWTs exp'!$A22)</f>
        <v>0</v>
      </c>
      <c r="L22" s="44">
        <f>SUMIFS('[11]inland_taf_hatchgrp_tableraw&amp;yy'!L$3:L$38,'[11]inland_taf_hatchgrp_tableraw&amp;yy'!$AC$3:$AC$38,'2018 Table 10 CWTs exp'!$A22)</f>
        <v>0</v>
      </c>
      <c r="M22" s="44">
        <f>SUMIFS('[11]inland_taf_hatchgrp_tableraw&amp;yy'!M$3:M$38,'[11]inland_taf_hatchgrp_tableraw&amp;yy'!$AC$3:$AC$38,'2018 Table 10 CWTs exp'!$A22)</f>
        <v>377</v>
      </c>
      <c r="N22" s="46">
        <f>SUMIFS('[11]inland_taf_hatchgrp_tableraw&amp;yy'!N$3:N$38,'[11]inland_taf_hatchgrp_tableraw&amp;yy'!$AC$3:$AC$38,'2018 Table 10 CWTs exp'!$A22)</f>
        <v>0</v>
      </c>
      <c r="O22" s="44">
        <f>SUMIFS('[11]inland_taf_hatchgrp_tableraw&amp;yy'!O$3:O$38,'[11]inland_taf_hatchgrp_tableraw&amp;yy'!$AC$3:$AC$38,'2018 Table 10 CWTs exp'!$A22)</f>
        <v>0</v>
      </c>
      <c r="P22" s="46">
        <f>SUMIFS('[11]inland_taf_hatchgrp_tableraw&amp;yy'!P$3:P$38,'[11]inland_taf_hatchgrp_tableraw&amp;yy'!$AC$3:$AC$38,'2018 Table 10 CWTs exp'!$A22)</f>
        <v>0</v>
      </c>
      <c r="Q22" s="44">
        <f>SUMIFS('[11]inland_taf_hatchgrp_tableraw&amp;yy'!Q$3:Q$38,'[11]inland_taf_hatchgrp_tableraw&amp;yy'!$AC$3:$AC$38,'2018 Table 10 CWTs exp'!$A22)</f>
        <v>0</v>
      </c>
      <c r="R22" s="44">
        <f>SUMIFS('[11]inland_taf_hatchgrp_tableraw&amp;yy'!R$3:R$38,'[11]inland_taf_hatchgrp_tableraw&amp;yy'!$AC$3:$AC$38,'2018 Table 10 CWTs exp'!$A22)</f>
        <v>0</v>
      </c>
      <c r="S22" s="44">
        <f>SUMIFS('[11]inland_taf_hatchgrp_tableraw&amp;yy'!S$3:S$38,'[11]inland_taf_hatchgrp_tableraw&amp;yy'!$AC$3:$AC$38,'2018 Table 10 CWTs exp'!$A22)</f>
        <v>32</v>
      </c>
      <c r="T22" s="46">
        <f>SUMIFS('[11]inland_taf_hatchgrp_tableraw&amp;yy'!T$3:T$38,'[11]inland_taf_hatchgrp_tableraw&amp;yy'!$AC$3:$AC$38,'2018 Table 10 CWTs exp'!$A22)</f>
        <v>0</v>
      </c>
      <c r="U22" s="44">
        <f>SUMIFS('[11]inland_taf_hatchgrp_tableraw&amp;yy'!U$3:U$38,'[11]inland_taf_hatchgrp_tableraw&amp;yy'!$AC$3:$AC$38,'2018 Table 10 CWTs exp'!$A22)</f>
        <v>0</v>
      </c>
      <c r="V22" s="46">
        <f>SUMIFS('[11]inland_taf_hatchgrp_tableraw&amp;yy'!V$3:V$38,'[11]inland_taf_hatchgrp_tableraw&amp;yy'!$AC$3:$AC$38,'2018 Table 10 CWTs exp'!$A22)</f>
        <v>0</v>
      </c>
      <c r="W22" s="46">
        <f>SUMIFS('[11]inland_taf_hatchgrp_tableraw&amp;yy'!W$3:W$38,'[11]inland_taf_hatchgrp_tableraw&amp;yy'!$AC$3:$AC$38,'2018 Table 10 CWTs exp'!$A22)</f>
        <v>0</v>
      </c>
      <c r="X22" s="44">
        <f>SUMIFS('[11]inland_taf_hatchgrp_tableraw&amp;yy'!X$3:X$38,'[11]inland_taf_hatchgrp_tableraw&amp;yy'!$AC$3:$AC$38,'2018 Table 10 CWTs exp'!$A22)</f>
        <v>0</v>
      </c>
      <c r="Y22" s="84">
        <f>SUMIFS('[11]inland_taf_hatchgrp_tableraw&amp;yy'!Y$3:Y$38,'[11]inland_taf_hatchgrp_tableraw&amp;yy'!$AC$3:$AC$38,'2018 Table 10 CWTs exp'!$A22)</f>
        <v>1844</v>
      </c>
      <c r="Z22" s="85">
        <f>SUMIFS('[11]inland_taf_hatchgrp_tableraw&amp;yy'!Z$3:Z$38,'[11]inland_taf_hatchgrp_tableraw&amp;yy'!$AC$3:$AC$38,'2018 Table 10 CWTs exp'!$A22)</f>
        <v>6703</v>
      </c>
      <c r="AA22" s="44">
        <f>SUMIFS('[11]inland_taf_hatchgrp_tableraw&amp;yy'!AA$3:AA$38,'[11]inland_taf_hatchgrp_tableraw&amp;yy'!$AC$3:$AC$38,'2018 Table 10 CWTs exp'!$A22)</f>
        <v>8547</v>
      </c>
      <c r="AB22" s="44"/>
      <c r="AC22" s="636"/>
      <c r="AD22" s="567">
        <f>SUMIFS('[11]inland_taf_hatchgrp_tableraw&amp;yy'!AB$3:AB$38,'[11]inland_taf_hatchgrp_tableraw&amp;yy'!$AC$3:$AC$38,'2018 Table 10 CWTs exp'!$A22)</f>
        <v>0.216</v>
      </c>
      <c r="AE22" s="604" t="str">
        <f t="shared" si="9"/>
        <v>CLR543</v>
      </c>
      <c r="AF22" s="613"/>
      <c r="AG22" s="622">
        <f t="shared" si="10"/>
        <v>0.21574821574821576</v>
      </c>
      <c r="AH22" s="623">
        <f t="shared" si="11"/>
        <v>0.78425178425178421</v>
      </c>
      <c r="AI22" s="605">
        <f t="shared" ref="AI22:AI38" si="13">1-AD22</f>
        <v>0.78400000000000003</v>
      </c>
      <c r="AJ22" s="447">
        <f t="shared" si="12"/>
        <v>6703</v>
      </c>
      <c r="AK22" s="448">
        <f t="shared" ref="AK22:AK38" si="14">AJ22/AA22</f>
        <v>0.78425178425178421</v>
      </c>
      <c r="AL22" s="451"/>
      <c r="AM22" s="442"/>
      <c r="AN22" s="442"/>
      <c r="AO22" s="442"/>
      <c r="AP22" s="442"/>
      <c r="AQ22" s="442"/>
      <c r="AR22" s="442"/>
      <c r="AS22" s="442"/>
      <c r="AT22" s="442"/>
    </row>
    <row r="23" spans="1:46" ht="14.5" x14ac:dyDescent="0.25">
      <c r="A23" s="50" t="str">
        <f t="shared" si="8"/>
        <v>BATT543</v>
      </c>
      <c r="B23" s="13" t="s">
        <v>72</v>
      </c>
      <c r="C23" s="13">
        <v>54</v>
      </c>
      <c r="D23" s="13">
        <v>3</v>
      </c>
      <c r="E23" s="75" t="s">
        <v>136</v>
      </c>
      <c r="F23" s="43" t="s">
        <v>48</v>
      </c>
      <c r="G23" s="44">
        <f>SUMIFS('[11]inland_taf_hatchgrp_tableraw&amp;yy'!G$3:G$38,'[11]inland_taf_hatchgrp_tableraw&amp;yy'!$AC$3:$AC$38,'2018 Table 10 CWTs exp'!$A23)</f>
        <v>0</v>
      </c>
      <c r="H23" s="45">
        <f>SUMIFS('[11]inland_taf_hatchgrp_tableraw&amp;yy'!H$3:H$38,'[11]inland_taf_hatchgrp_tableraw&amp;yy'!$AC$3:$AC$38,'2018 Table 10 CWTs exp'!$A23)</f>
        <v>0</v>
      </c>
      <c r="I23" s="44">
        <f>SUMIFS('[11]inland_taf_hatchgrp_tableraw&amp;yy'!I$3:I$38,'[11]inland_taf_hatchgrp_tableraw&amp;yy'!$AC$3:$AC$38,'2018 Table 10 CWTs exp'!$A23)</f>
        <v>8551</v>
      </c>
      <c r="J23" s="46">
        <f>SUMIFS('[11]inland_taf_hatchgrp_tableraw&amp;yy'!J$3:J$38,'[11]inland_taf_hatchgrp_tableraw&amp;yy'!$AC$3:$AC$38,'2018 Table 10 CWTs exp'!$A23)</f>
        <v>0</v>
      </c>
      <c r="K23" s="44">
        <f>SUMIFS('[11]inland_taf_hatchgrp_tableraw&amp;yy'!K$3:K$38,'[11]inland_taf_hatchgrp_tableraw&amp;yy'!$AC$3:$AC$38,'2018 Table 10 CWTs exp'!$A23)</f>
        <v>0</v>
      </c>
      <c r="L23" s="44">
        <f>SUMIFS('[11]inland_taf_hatchgrp_tableraw&amp;yy'!L$3:L$38,'[11]inland_taf_hatchgrp_tableraw&amp;yy'!$AC$3:$AC$38,'2018 Table 10 CWTs exp'!$A23)</f>
        <v>2</v>
      </c>
      <c r="M23" s="44">
        <f>SUMIFS('[11]inland_taf_hatchgrp_tableraw&amp;yy'!M$3:M$38,'[11]inland_taf_hatchgrp_tableraw&amp;yy'!$AC$3:$AC$38,'2018 Table 10 CWTs exp'!$A23)</f>
        <v>8</v>
      </c>
      <c r="N23" s="46">
        <f>SUMIFS('[11]inland_taf_hatchgrp_tableraw&amp;yy'!N$3:N$38,'[11]inland_taf_hatchgrp_tableraw&amp;yy'!$AC$3:$AC$38,'2018 Table 10 CWTs exp'!$A23)</f>
        <v>3</v>
      </c>
      <c r="O23" s="44">
        <f>SUMIFS('[11]inland_taf_hatchgrp_tableraw&amp;yy'!O$3:O$38,'[11]inland_taf_hatchgrp_tableraw&amp;yy'!$AC$3:$AC$38,'2018 Table 10 CWTs exp'!$A23)</f>
        <v>0</v>
      </c>
      <c r="P23" s="46">
        <f>SUMIFS('[11]inland_taf_hatchgrp_tableraw&amp;yy'!P$3:P$38,'[11]inland_taf_hatchgrp_tableraw&amp;yy'!$AC$3:$AC$38,'2018 Table 10 CWTs exp'!$A23)</f>
        <v>3</v>
      </c>
      <c r="Q23" s="44">
        <f>SUMIFS('[11]inland_taf_hatchgrp_tableraw&amp;yy'!Q$3:Q$38,'[11]inland_taf_hatchgrp_tableraw&amp;yy'!$AC$3:$AC$38,'2018 Table 10 CWTs exp'!$A23)</f>
        <v>0</v>
      </c>
      <c r="R23" s="44">
        <f>SUMIFS('[11]inland_taf_hatchgrp_tableraw&amp;yy'!R$3:R$38,'[11]inland_taf_hatchgrp_tableraw&amp;yy'!$AC$3:$AC$38,'2018 Table 10 CWTs exp'!$A23)</f>
        <v>6</v>
      </c>
      <c r="S23" s="44">
        <f>SUMIFS('[11]inland_taf_hatchgrp_tableraw&amp;yy'!S$3:S$38,'[11]inland_taf_hatchgrp_tableraw&amp;yy'!$AC$3:$AC$38,'2018 Table 10 CWTs exp'!$A23)</f>
        <v>3</v>
      </c>
      <c r="T23" s="46">
        <f>SUMIFS('[11]inland_taf_hatchgrp_tableraw&amp;yy'!T$3:T$38,'[11]inland_taf_hatchgrp_tableraw&amp;yy'!$AC$3:$AC$38,'2018 Table 10 CWTs exp'!$A23)</f>
        <v>9</v>
      </c>
      <c r="U23" s="44">
        <f>SUMIFS('[11]inland_taf_hatchgrp_tableraw&amp;yy'!U$3:U$38,'[11]inland_taf_hatchgrp_tableraw&amp;yy'!$AC$3:$AC$38,'2018 Table 10 CWTs exp'!$A23)</f>
        <v>0</v>
      </c>
      <c r="V23" s="46">
        <f>SUMIFS('[11]inland_taf_hatchgrp_tableraw&amp;yy'!V$3:V$38,'[11]inland_taf_hatchgrp_tableraw&amp;yy'!$AC$3:$AC$38,'2018 Table 10 CWTs exp'!$A23)</f>
        <v>1</v>
      </c>
      <c r="W23" s="46">
        <f>SUMIFS('[11]inland_taf_hatchgrp_tableraw&amp;yy'!W$3:W$38,'[11]inland_taf_hatchgrp_tableraw&amp;yy'!$AC$3:$AC$38,'2018 Table 10 CWTs exp'!$A23)</f>
        <v>0</v>
      </c>
      <c r="X23" s="44">
        <f>SUMIFS('[11]inland_taf_hatchgrp_tableraw&amp;yy'!X$3:X$38,'[11]inland_taf_hatchgrp_tableraw&amp;yy'!$AC$3:$AC$38,'2018 Table 10 CWTs exp'!$A23)</f>
        <v>0</v>
      </c>
      <c r="Y23" s="84">
        <f>SUMIFS('[11]inland_taf_hatchgrp_tableraw&amp;yy'!Y$3:Y$38,'[11]inland_taf_hatchgrp_tableraw&amp;yy'!$AC$3:$AC$38,'2018 Table 10 CWTs exp'!$A23)</f>
        <v>8586</v>
      </c>
      <c r="Z23" s="85">
        <f>SUMIFS('[11]inland_taf_hatchgrp_tableraw&amp;yy'!Z$3:Z$38,'[11]inland_taf_hatchgrp_tableraw&amp;yy'!$AC$3:$AC$38,'2018 Table 10 CWTs exp'!$A23)</f>
        <v>1345</v>
      </c>
      <c r="AA23" s="44">
        <f>SUMIFS('[11]inland_taf_hatchgrp_tableraw&amp;yy'!AA$3:AA$38,'[11]inland_taf_hatchgrp_tableraw&amp;yy'!$AC$3:$AC$38,'2018 Table 10 CWTs exp'!$A23)</f>
        <v>9931</v>
      </c>
      <c r="AB23" s="76"/>
      <c r="AC23" s="636"/>
      <c r="AD23" s="567">
        <f>Y23/AA23</f>
        <v>0.86456550196354853</v>
      </c>
      <c r="AE23" s="604" t="str">
        <f t="shared" si="9"/>
        <v>BATT543</v>
      </c>
      <c r="AF23" s="442"/>
      <c r="AG23" s="622">
        <f t="shared" si="10"/>
        <v>0.86456550196354853</v>
      </c>
      <c r="AH23" s="623">
        <f t="shared" si="11"/>
        <v>0.13543449803645152</v>
      </c>
      <c r="AI23" s="605">
        <f t="shared" si="13"/>
        <v>0.13543449803645147</v>
      </c>
      <c r="AJ23" s="447">
        <f t="shared" si="12"/>
        <v>1345</v>
      </c>
      <c r="AK23" s="448">
        <f t="shared" si="14"/>
        <v>0.13543449803645152</v>
      </c>
      <c r="AL23" s="451"/>
      <c r="AM23" s="442"/>
      <c r="AN23" s="442"/>
      <c r="AO23" s="442"/>
      <c r="AP23" s="442"/>
      <c r="AQ23" s="442"/>
      <c r="AR23" s="442"/>
      <c r="AS23" s="442"/>
      <c r="AT23" s="442"/>
    </row>
    <row r="24" spans="1:46" hidden="1" x14ac:dyDescent="0.25">
      <c r="A24" s="50" t="str">
        <f t="shared" si="8"/>
        <v>COT543</v>
      </c>
      <c r="B24" s="13" t="s">
        <v>74</v>
      </c>
      <c r="C24" s="13">
        <v>54</v>
      </c>
      <c r="D24" s="13">
        <v>3</v>
      </c>
      <c r="E24" s="3" t="s">
        <v>162</v>
      </c>
      <c r="F24" s="43" t="str">
        <f t="shared" ref="F24:F38" si="15">LOOKUP(D24,$AL$7:$AL$10,$AM$7:$AM$10)</f>
        <v>Fall</v>
      </c>
      <c r="G24" s="44">
        <f>SUMIFS('[11]inland_taf_hatchgrp_tableraw&amp;yy'!G$3:G$38,'[11]inland_taf_hatchgrp_tableraw&amp;yy'!$AC$3:$AC$38,'2018 Table 10 CWTs exp'!$A24)</f>
        <v>0</v>
      </c>
      <c r="H24" s="45">
        <f>SUMIFS('[11]inland_taf_hatchgrp_tableraw&amp;yy'!H$3:H$38,'[11]inland_taf_hatchgrp_tableraw&amp;yy'!$AC$3:$AC$38,'2018 Table 10 CWTs exp'!$A24)</f>
        <v>0</v>
      </c>
      <c r="I24" s="44">
        <f>SUMIFS('[11]inland_taf_hatchgrp_tableraw&amp;yy'!I$3:I$38,'[11]inland_taf_hatchgrp_tableraw&amp;yy'!$AC$3:$AC$38,'2018 Table 10 CWTs exp'!$A24)</f>
        <v>0</v>
      </c>
      <c r="J24" s="46">
        <f>SUMIFS('[11]inland_taf_hatchgrp_tableraw&amp;yy'!J$3:J$38,'[11]inland_taf_hatchgrp_tableraw&amp;yy'!$AC$3:$AC$38,'2018 Table 10 CWTs exp'!$A24)</f>
        <v>0</v>
      </c>
      <c r="K24" s="44">
        <f>SUMIFS('[11]inland_taf_hatchgrp_tableraw&amp;yy'!K$3:K$38,'[11]inland_taf_hatchgrp_tableraw&amp;yy'!$AC$3:$AC$38,'2018 Table 10 CWTs exp'!$A24)</f>
        <v>0</v>
      </c>
      <c r="L24" s="44">
        <f>SUMIFS('[11]inland_taf_hatchgrp_tableraw&amp;yy'!L$3:L$38,'[11]inland_taf_hatchgrp_tableraw&amp;yy'!$AC$3:$AC$38,'2018 Table 10 CWTs exp'!$A24)</f>
        <v>0</v>
      </c>
      <c r="M24" s="44">
        <f>SUMIFS('[11]inland_taf_hatchgrp_tableraw&amp;yy'!M$3:M$38,'[11]inland_taf_hatchgrp_tableraw&amp;yy'!$AC$3:$AC$38,'2018 Table 10 CWTs exp'!$A24)</f>
        <v>0</v>
      </c>
      <c r="N24" s="46">
        <f>SUMIFS('[11]inland_taf_hatchgrp_tableraw&amp;yy'!N$3:N$38,'[11]inland_taf_hatchgrp_tableraw&amp;yy'!$AC$3:$AC$38,'2018 Table 10 CWTs exp'!$A24)</f>
        <v>0</v>
      </c>
      <c r="O24" s="44">
        <f>SUMIFS('[11]inland_taf_hatchgrp_tableraw&amp;yy'!O$3:O$38,'[11]inland_taf_hatchgrp_tableraw&amp;yy'!$AC$3:$AC$38,'2018 Table 10 CWTs exp'!$A24)</f>
        <v>0</v>
      </c>
      <c r="P24" s="46">
        <f>SUMIFS('[11]inland_taf_hatchgrp_tableraw&amp;yy'!P$3:P$38,'[11]inland_taf_hatchgrp_tableraw&amp;yy'!$AC$3:$AC$38,'2018 Table 10 CWTs exp'!$A24)</f>
        <v>0</v>
      </c>
      <c r="Q24" s="44">
        <f>SUMIFS('[11]inland_taf_hatchgrp_tableraw&amp;yy'!Q$3:Q$38,'[11]inland_taf_hatchgrp_tableraw&amp;yy'!$AC$3:$AC$38,'2018 Table 10 CWTs exp'!$A24)</f>
        <v>0</v>
      </c>
      <c r="R24" s="44">
        <f>SUMIFS('[11]inland_taf_hatchgrp_tableraw&amp;yy'!R$3:R$38,'[11]inland_taf_hatchgrp_tableraw&amp;yy'!$AC$3:$AC$38,'2018 Table 10 CWTs exp'!$A24)</f>
        <v>0</v>
      </c>
      <c r="S24" s="44">
        <f>SUMIFS('[11]inland_taf_hatchgrp_tableraw&amp;yy'!S$3:S$38,'[11]inland_taf_hatchgrp_tableraw&amp;yy'!$AC$3:$AC$38,'2018 Table 10 CWTs exp'!$A24)</f>
        <v>0</v>
      </c>
      <c r="T24" s="46">
        <f>SUMIFS('[11]inland_taf_hatchgrp_tableraw&amp;yy'!T$3:T$38,'[11]inland_taf_hatchgrp_tableraw&amp;yy'!$AC$3:$AC$38,'2018 Table 10 CWTs exp'!$A24)</f>
        <v>0</v>
      </c>
      <c r="U24" s="44">
        <f>SUMIFS('[11]inland_taf_hatchgrp_tableraw&amp;yy'!U$3:U$38,'[11]inland_taf_hatchgrp_tableraw&amp;yy'!$AC$3:$AC$38,'2018 Table 10 CWTs exp'!$A24)</f>
        <v>0</v>
      </c>
      <c r="V24" s="46">
        <f>SUMIFS('[11]inland_taf_hatchgrp_tableraw&amp;yy'!V$3:V$38,'[11]inland_taf_hatchgrp_tableraw&amp;yy'!$AC$3:$AC$38,'2018 Table 10 CWTs exp'!$A24)</f>
        <v>0</v>
      </c>
      <c r="W24" s="46">
        <f>SUMIFS('[11]inland_taf_hatchgrp_tableraw&amp;yy'!W$3:W$38,'[11]inland_taf_hatchgrp_tableraw&amp;yy'!$AC$3:$AC$38,'2018 Table 10 CWTs exp'!$A24)</f>
        <v>0</v>
      </c>
      <c r="X24" s="44">
        <f>SUMIFS('[11]inland_taf_hatchgrp_tableraw&amp;yy'!X$3:X$38,'[11]inland_taf_hatchgrp_tableraw&amp;yy'!$AC$3:$AC$38,'2018 Table 10 CWTs exp'!$A24)</f>
        <v>0</v>
      </c>
      <c r="Y24" s="84">
        <f>SUMIFS('[11]inland_taf_hatchgrp_tableraw&amp;yy'!Y$3:Y$38,'[11]inland_taf_hatchgrp_tableraw&amp;yy'!$AC$3:$AC$38,'2018 Table 10 CWTs exp'!$A24)</f>
        <v>0</v>
      </c>
      <c r="Z24" s="85">
        <f>SUMIFS('[11]inland_taf_hatchgrp_tableraw&amp;yy'!Z$3:Z$38,'[11]inland_taf_hatchgrp_tableraw&amp;yy'!$AC$3:$AC$38,'2018 Table 10 CWTs exp'!$A24)</f>
        <v>0</v>
      </c>
      <c r="AA24" s="44">
        <f>SUMIFS('[11]inland_taf_hatchgrp_tableraw&amp;yy'!AA$3:AA$38,'[11]inland_taf_hatchgrp_tableraw&amp;yy'!$AC$3:$AC$38,'2018 Table 10 CWTs exp'!$A24)</f>
        <v>0</v>
      </c>
      <c r="AB24" s="44"/>
      <c r="AC24" s="636"/>
      <c r="AD24" s="641">
        <f>SUMIFS('[11]inland_taf_hatchgrp_tableraw&amp;yy'!AB$3:AB$38,'[11]inland_taf_hatchgrp_tableraw&amp;yy'!$AC$3:$AC$38,'2018 Table 10 CWTs exp'!$A24)</f>
        <v>0</v>
      </c>
      <c r="AE24" s="637" t="str">
        <f t="shared" si="9"/>
        <v>COT543</v>
      </c>
      <c r="AF24" s="442"/>
      <c r="AG24" s="622" t="e">
        <f t="shared" si="10"/>
        <v>#DIV/0!</v>
      </c>
      <c r="AH24" s="623" t="e">
        <f t="shared" si="11"/>
        <v>#DIV/0!</v>
      </c>
      <c r="AI24" s="605">
        <f t="shared" si="13"/>
        <v>1</v>
      </c>
      <c r="AJ24" s="447">
        <f t="shared" si="12"/>
        <v>0</v>
      </c>
      <c r="AK24" s="448" t="e">
        <f t="shared" si="14"/>
        <v>#DIV/0!</v>
      </c>
      <c r="AL24" s="451"/>
      <c r="AM24" s="442"/>
      <c r="AN24" s="442"/>
      <c r="AO24" s="442"/>
      <c r="AP24" s="442"/>
      <c r="AQ24" s="442"/>
      <c r="AR24" s="442"/>
      <c r="AS24" s="442"/>
      <c r="AT24" s="442"/>
    </row>
    <row r="25" spans="1:46" hidden="1" x14ac:dyDescent="0.25">
      <c r="A25" s="50" t="str">
        <f t="shared" si="8"/>
        <v>COW543</v>
      </c>
      <c r="B25" s="13" t="s">
        <v>76</v>
      </c>
      <c r="C25" s="13">
        <v>54</v>
      </c>
      <c r="D25" s="13">
        <v>3</v>
      </c>
      <c r="E25" s="3" t="s">
        <v>163</v>
      </c>
      <c r="F25" s="43" t="str">
        <f t="shared" si="15"/>
        <v>Fall</v>
      </c>
      <c r="G25" s="44">
        <f>SUMIFS('[11]inland_taf_hatchgrp_tableraw&amp;yy'!G$3:G$38,'[11]inland_taf_hatchgrp_tableraw&amp;yy'!$AC$3:$AC$38,'2018 Table 10 CWTs exp'!$A25)</f>
        <v>0</v>
      </c>
      <c r="H25" s="45">
        <f>SUMIFS('[11]inland_taf_hatchgrp_tableraw&amp;yy'!H$3:H$38,'[11]inland_taf_hatchgrp_tableraw&amp;yy'!$AC$3:$AC$38,'2018 Table 10 CWTs exp'!$A25)</f>
        <v>0</v>
      </c>
      <c r="I25" s="44">
        <f>SUMIFS('[11]inland_taf_hatchgrp_tableraw&amp;yy'!I$3:I$38,'[11]inland_taf_hatchgrp_tableraw&amp;yy'!$AC$3:$AC$38,'2018 Table 10 CWTs exp'!$A25)</f>
        <v>0</v>
      </c>
      <c r="J25" s="46">
        <f>SUMIFS('[11]inland_taf_hatchgrp_tableraw&amp;yy'!J$3:J$38,'[11]inland_taf_hatchgrp_tableraw&amp;yy'!$AC$3:$AC$38,'2018 Table 10 CWTs exp'!$A25)</f>
        <v>0</v>
      </c>
      <c r="K25" s="44">
        <f>SUMIFS('[11]inland_taf_hatchgrp_tableraw&amp;yy'!K$3:K$38,'[11]inland_taf_hatchgrp_tableraw&amp;yy'!$AC$3:$AC$38,'2018 Table 10 CWTs exp'!$A25)</f>
        <v>0</v>
      </c>
      <c r="L25" s="44">
        <f>SUMIFS('[11]inland_taf_hatchgrp_tableraw&amp;yy'!L$3:L$38,'[11]inland_taf_hatchgrp_tableraw&amp;yy'!$AC$3:$AC$38,'2018 Table 10 CWTs exp'!$A25)</f>
        <v>0</v>
      </c>
      <c r="M25" s="44">
        <f>SUMIFS('[11]inland_taf_hatchgrp_tableraw&amp;yy'!M$3:M$38,'[11]inland_taf_hatchgrp_tableraw&amp;yy'!$AC$3:$AC$38,'2018 Table 10 CWTs exp'!$A25)</f>
        <v>0</v>
      </c>
      <c r="N25" s="46">
        <f>SUMIFS('[11]inland_taf_hatchgrp_tableraw&amp;yy'!N$3:N$38,'[11]inland_taf_hatchgrp_tableraw&amp;yy'!$AC$3:$AC$38,'2018 Table 10 CWTs exp'!$A25)</f>
        <v>0</v>
      </c>
      <c r="O25" s="44">
        <f>SUMIFS('[11]inland_taf_hatchgrp_tableraw&amp;yy'!O$3:O$38,'[11]inland_taf_hatchgrp_tableraw&amp;yy'!$AC$3:$AC$38,'2018 Table 10 CWTs exp'!$A25)</f>
        <v>0</v>
      </c>
      <c r="P25" s="46">
        <f>SUMIFS('[11]inland_taf_hatchgrp_tableraw&amp;yy'!P$3:P$38,'[11]inland_taf_hatchgrp_tableraw&amp;yy'!$AC$3:$AC$38,'2018 Table 10 CWTs exp'!$A25)</f>
        <v>0</v>
      </c>
      <c r="Q25" s="44">
        <f>SUMIFS('[11]inland_taf_hatchgrp_tableraw&amp;yy'!Q$3:Q$38,'[11]inland_taf_hatchgrp_tableraw&amp;yy'!$AC$3:$AC$38,'2018 Table 10 CWTs exp'!$A25)</f>
        <v>0</v>
      </c>
      <c r="R25" s="44">
        <f>SUMIFS('[11]inland_taf_hatchgrp_tableraw&amp;yy'!R$3:R$38,'[11]inland_taf_hatchgrp_tableraw&amp;yy'!$AC$3:$AC$38,'2018 Table 10 CWTs exp'!$A25)</f>
        <v>0</v>
      </c>
      <c r="S25" s="44">
        <f>SUMIFS('[11]inland_taf_hatchgrp_tableraw&amp;yy'!S$3:S$38,'[11]inland_taf_hatchgrp_tableraw&amp;yy'!$AC$3:$AC$38,'2018 Table 10 CWTs exp'!$A25)</f>
        <v>0</v>
      </c>
      <c r="T25" s="46">
        <f>SUMIFS('[11]inland_taf_hatchgrp_tableraw&amp;yy'!T$3:T$38,'[11]inland_taf_hatchgrp_tableraw&amp;yy'!$AC$3:$AC$38,'2018 Table 10 CWTs exp'!$A25)</f>
        <v>0</v>
      </c>
      <c r="U25" s="44">
        <f>SUMIFS('[11]inland_taf_hatchgrp_tableraw&amp;yy'!U$3:U$38,'[11]inland_taf_hatchgrp_tableraw&amp;yy'!$AC$3:$AC$38,'2018 Table 10 CWTs exp'!$A25)</f>
        <v>0</v>
      </c>
      <c r="V25" s="46">
        <f>SUMIFS('[11]inland_taf_hatchgrp_tableraw&amp;yy'!V$3:V$38,'[11]inland_taf_hatchgrp_tableraw&amp;yy'!$AC$3:$AC$38,'2018 Table 10 CWTs exp'!$A25)</f>
        <v>0</v>
      </c>
      <c r="W25" s="46">
        <f>SUMIFS('[11]inland_taf_hatchgrp_tableraw&amp;yy'!W$3:W$38,'[11]inland_taf_hatchgrp_tableraw&amp;yy'!$AC$3:$AC$38,'2018 Table 10 CWTs exp'!$A25)</f>
        <v>0</v>
      </c>
      <c r="X25" s="44">
        <f>SUMIFS('[11]inland_taf_hatchgrp_tableraw&amp;yy'!X$3:X$38,'[11]inland_taf_hatchgrp_tableraw&amp;yy'!$AC$3:$AC$38,'2018 Table 10 CWTs exp'!$A25)</f>
        <v>0</v>
      </c>
      <c r="Y25" s="84">
        <f>SUMIFS('[11]inland_taf_hatchgrp_tableraw&amp;yy'!Y$3:Y$38,'[11]inland_taf_hatchgrp_tableraw&amp;yy'!$AC$3:$AC$38,'2018 Table 10 CWTs exp'!$A25)</f>
        <v>0</v>
      </c>
      <c r="Z25" s="85">
        <f>SUMIFS('[11]inland_taf_hatchgrp_tableraw&amp;yy'!Z$3:Z$38,'[11]inland_taf_hatchgrp_tableraw&amp;yy'!$AC$3:$AC$38,'2018 Table 10 CWTs exp'!$A25)</f>
        <v>0</v>
      </c>
      <c r="AA25" s="44">
        <f>SUMIFS('[11]inland_taf_hatchgrp_tableraw&amp;yy'!AA$3:AA$38,'[11]inland_taf_hatchgrp_tableraw&amp;yy'!$AC$3:$AC$38,'2018 Table 10 CWTs exp'!$A25)</f>
        <v>0</v>
      </c>
      <c r="AB25" s="44"/>
      <c r="AC25" s="636"/>
      <c r="AD25" s="641">
        <f>SUMIFS('[11]inland_taf_hatchgrp_tableraw&amp;yy'!AB$3:AB$38,'[11]inland_taf_hatchgrp_tableraw&amp;yy'!$AC$3:$AC$38,'2018 Table 10 CWTs exp'!$A25)</f>
        <v>0</v>
      </c>
      <c r="AE25" s="637" t="str">
        <f t="shared" si="9"/>
        <v>COW543</v>
      </c>
      <c r="AF25" s="442"/>
      <c r="AG25" s="622" t="e">
        <f t="shared" si="10"/>
        <v>#DIV/0!</v>
      </c>
      <c r="AH25" s="623" t="e">
        <f t="shared" si="11"/>
        <v>#DIV/0!</v>
      </c>
      <c r="AI25" s="605">
        <f t="shared" si="13"/>
        <v>1</v>
      </c>
      <c r="AJ25" s="447">
        <f t="shared" si="12"/>
        <v>0</v>
      </c>
      <c r="AK25" s="448" t="e">
        <f t="shared" si="14"/>
        <v>#DIV/0!</v>
      </c>
      <c r="AL25" s="451"/>
      <c r="AM25" s="442"/>
      <c r="AN25" s="442"/>
      <c r="AO25" s="442"/>
      <c r="AP25" s="442"/>
      <c r="AQ25" s="442"/>
      <c r="AR25" s="442"/>
      <c r="AS25" s="442"/>
      <c r="AT25" s="442"/>
    </row>
    <row r="26" spans="1:46" hidden="1" x14ac:dyDescent="0.25">
      <c r="A26" s="50" t="str">
        <f t="shared" si="8"/>
        <v>MLC543</v>
      </c>
      <c r="B26" s="13" t="s">
        <v>78</v>
      </c>
      <c r="C26" s="13">
        <v>54</v>
      </c>
      <c r="D26" s="13">
        <v>3</v>
      </c>
      <c r="E26" s="3" t="s">
        <v>164</v>
      </c>
      <c r="F26" s="43" t="str">
        <f t="shared" si="15"/>
        <v>Fall</v>
      </c>
      <c r="G26" s="44">
        <f>SUMIFS('[11]inland_taf_hatchgrp_tableraw&amp;yy'!G$3:G$38,'[11]inland_taf_hatchgrp_tableraw&amp;yy'!$AC$3:$AC$38,'2018 Table 10 CWTs exp'!$A26)</f>
        <v>0</v>
      </c>
      <c r="H26" s="45">
        <f>SUMIFS('[11]inland_taf_hatchgrp_tableraw&amp;yy'!H$3:H$38,'[11]inland_taf_hatchgrp_tableraw&amp;yy'!$AC$3:$AC$38,'2018 Table 10 CWTs exp'!$A26)</f>
        <v>0</v>
      </c>
      <c r="I26" s="44">
        <f>SUMIFS('[11]inland_taf_hatchgrp_tableraw&amp;yy'!I$3:I$38,'[11]inland_taf_hatchgrp_tableraw&amp;yy'!$AC$3:$AC$38,'2018 Table 10 CWTs exp'!$A26)</f>
        <v>0</v>
      </c>
      <c r="J26" s="46">
        <f>SUMIFS('[11]inland_taf_hatchgrp_tableraw&amp;yy'!J$3:J$38,'[11]inland_taf_hatchgrp_tableraw&amp;yy'!$AC$3:$AC$38,'2018 Table 10 CWTs exp'!$A26)</f>
        <v>0</v>
      </c>
      <c r="K26" s="44">
        <f>SUMIFS('[11]inland_taf_hatchgrp_tableraw&amp;yy'!K$3:K$38,'[11]inland_taf_hatchgrp_tableraw&amp;yy'!$AC$3:$AC$38,'2018 Table 10 CWTs exp'!$A26)</f>
        <v>0</v>
      </c>
      <c r="L26" s="44">
        <f>SUMIFS('[11]inland_taf_hatchgrp_tableraw&amp;yy'!L$3:L$38,'[11]inland_taf_hatchgrp_tableraw&amp;yy'!$AC$3:$AC$38,'2018 Table 10 CWTs exp'!$A26)</f>
        <v>0</v>
      </c>
      <c r="M26" s="44">
        <f>SUMIFS('[11]inland_taf_hatchgrp_tableraw&amp;yy'!M$3:M$38,'[11]inland_taf_hatchgrp_tableraw&amp;yy'!$AC$3:$AC$38,'2018 Table 10 CWTs exp'!$A26)</f>
        <v>0</v>
      </c>
      <c r="N26" s="46">
        <f>SUMIFS('[11]inland_taf_hatchgrp_tableraw&amp;yy'!N$3:N$38,'[11]inland_taf_hatchgrp_tableraw&amp;yy'!$AC$3:$AC$38,'2018 Table 10 CWTs exp'!$A26)</f>
        <v>0</v>
      </c>
      <c r="O26" s="44">
        <f>SUMIFS('[11]inland_taf_hatchgrp_tableraw&amp;yy'!O$3:O$38,'[11]inland_taf_hatchgrp_tableraw&amp;yy'!$AC$3:$AC$38,'2018 Table 10 CWTs exp'!$A26)</f>
        <v>0</v>
      </c>
      <c r="P26" s="46">
        <f>SUMIFS('[11]inland_taf_hatchgrp_tableraw&amp;yy'!P$3:P$38,'[11]inland_taf_hatchgrp_tableraw&amp;yy'!$AC$3:$AC$38,'2018 Table 10 CWTs exp'!$A26)</f>
        <v>0</v>
      </c>
      <c r="Q26" s="44">
        <f>SUMIFS('[11]inland_taf_hatchgrp_tableraw&amp;yy'!Q$3:Q$38,'[11]inland_taf_hatchgrp_tableraw&amp;yy'!$AC$3:$AC$38,'2018 Table 10 CWTs exp'!$A26)</f>
        <v>0</v>
      </c>
      <c r="R26" s="44">
        <f>SUMIFS('[11]inland_taf_hatchgrp_tableraw&amp;yy'!R$3:R$38,'[11]inland_taf_hatchgrp_tableraw&amp;yy'!$AC$3:$AC$38,'2018 Table 10 CWTs exp'!$A26)</f>
        <v>0</v>
      </c>
      <c r="S26" s="44">
        <f>SUMIFS('[11]inland_taf_hatchgrp_tableraw&amp;yy'!S$3:S$38,'[11]inland_taf_hatchgrp_tableraw&amp;yy'!$AC$3:$AC$38,'2018 Table 10 CWTs exp'!$A26)</f>
        <v>0</v>
      </c>
      <c r="T26" s="46">
        <f>SUMIFS('[11]inland_taf_hatchgrp_tableraw&amp;yy'!T$3:T$38,'[11]inland_taf_hatchgrp_tableraw&amp;yy'!$AC$3:$AC$38,'2018 Table 10 CWTs exp'!$A26)</f>
        <v>0</v>
      </c>
      <c r="U26" s="44">
        <f>SUMIFS('[11]inland_taf_hatchgrp_tableraw&amp;yy'!U$3:U$38,'[11]inland_taf_hatchgrp_tableraw&amp;yy'!$AC$3:$AC$38,'2018 Table 10 CWTs exp'!$A26)</f>
        <v>0</v>
      </c>
      <c r="V26" s="46">
        <f>SUMIFS('[11]inland_taf_hatchgrp_tableraw&amp;yy'!V$3:V$38,'[11]inland_taf_hatchgrp_tableraw&amp;yy'!$AC$3:$AC$38,'2018 Table 10 CWTs exp'!$A26)</f>
        <v>0</v>
      </c>
      <c r="W26" s="46">
        <f>SUMIFS('[11]inland_taf_hatchgrp_tableraw&amp;yy'!W$3:W$38,'[11]inland_taf_hatchgrp_tableraw&amp;yy'!$AC$3:$AC$38,'2018 Table 10 CWTs exp'!$A26)</f>
        <v>0</v>
      </c>
      <c r="X26" s="44">
        <f>SUMIFS('[11]inland_taf_hatchgrp_tableraw&amp;yy'!X$3:X$38,'[11]inland_taf_hatchgrp_tableraw&amp;yy'!$AC$3:$AC$38,'2018 Table 10 CWTs exp'!$A26)</f>
        <v>0</v>
      </c>
      <c r="Y26" s="84">
        <f>SUMIFS('[11]inland_taf_hatchgrp_tableraw&amp;yy'!Y$3:Y$38,'[11]inland_taf_hatchgrp_tableraw&amp;yy'!$AC$3:$AC$38,'2018 Table 10 CWTs exp'!$A26)</f>
        <v>0</v>
      </c>
      <c r="Z26" s="85">
        <f>SUMIFS('[11]inland_taf_hatchgrp_tableraw&amp;yy'!Z$3:Z$38,'[11]inland_taf_hatchgrp_tableraw&amp;yy'!$AC$3:$AC$38,'2018 Table 10 CWTs exp'!$A26)</f>
        <v>0</v>
      </c>
      <c r="AA26" s="44">
        <f>SUMIFS('[11]inland_taf_hatchgrp_tableraw&amp;yy'!AA$3:AA$38,'[11]inland_taf_hatchgrp_tableraw&amp;yy'!$AC$3:$AC$38,'2018 Table 10 CWTs exp'!$A26)</f>
        <v>0</v>
      </c>
      <c r="AB26" s="44"/>
      <c r="AC26" s="636"/>
      <c r="AD26" s="641">
        <f>SUMIFS('[11]inland_taf_hatchgrp_tableraw&amp;yy'!AB$3:AB$38,'[11]inland_taf_hatchgrp_tableraw&amp;yy'!$AC$3:$AC$38,'2018 Table 10 CWTs exp'!$A26)</f>
        <v>0</v>
      </c>
      <c r="AE26" s="637" t="str">
        <f t="shared" si="9"/>
        <v>MLC543</v>
      </c>
      <c r="AF26" s="442"/>
      <c r="AG26" s="622" t="e">
        <f t="shared" si="10"/>
        <v>#DIV/0!</v>
      </c>
      <c r="AH26" s="623" t="e">
        <f t="shared" si="11"/>
        <v>#DIV/0!</v>
      </c>
      <c r="AI26" s="605">
        <f t="shared" si="13"/>
        <v>1</v>
      </c>
      <c r="AJ26" s="447">
        <f t="shared" si="12"/>
        <v>0</v>
      </c>
      <c r="AK26" s="448" t="e">
        <f t="shared" si="14"/>
        <v>#DIV/0!</v>
      </c>
      <c r="AL26" s="451"/>
      <c r="AM26" s="442"/>
      <c r="AN26" s="442"/>
      <c r="AO26" s="442"/>
      <c r="AP26" s="442"/>
      <c r="AQ26" s="442"/>
      <c r="AR26" s="442"/>
      <c r="AS26" s="442"/>
      <c r="AT26" s="442"/>
    </row>
    <row r="27" spans="1:46" ht="14.25" customHeight="1" x14ac:dyDescent="0.25">
      <c r="A27" s="50" t="str">
        <f t="shared" si="8"/>
        <v>BUTT543</v>
      </c>
      <c r="B27" s="13" t="s">
        <v>66</v>
      </c>
      <c r="C27" s="13">
        <v>54</v>
      </c>
      <c r="D27" s="13">
        <v>3</v>
      </c>
      <c r="E27" s="3" t="s">
        <v>67</v>
      </c>
      <c r="F27" s="43" t="str">
        <f t="shared" si="15"/>
        <v>Fall</v>
      </c>
      <c r="G27" s="44">
        <f>SUMIFS('[11]inland_taf_hatchgrp_tableraw&amp;yy'!G$3:G$38,'[11]inland_taf_hatchgrp_tableraw&amp;yy'!$AC$3:$AC$38,'2018 Table 10 CWTs exp'!$A27)</f>
        <v>1</v>
      </c>
      <c r="H27" s="45">
        <f>SUMIFS('[11]inland_taf_hatchgrp_tableraw&amp;yy'!H$3:H$38,'[11]inland_taf_hatchgrp_tableraw&amp;yy'!$AC$3:$AC$38,'2018 Table 10 CWTs exp'!$A27)</f>
        <v>0</v>
      </c>
      <c r="I27" s="44">
        <f>SUMIFS('[11]inland_taf_hatchgrp_tableraw&amp;yy'!I$3:I$38,'[11]inland_taf_hatchgrp_tableraw&amp;yy'!$AC$3:$AC$38,'2018 Table 10 CWTs exp'!$A27)</f>
        <v>0</v>
      </c>
      <c r="J27" s="46">
        <f>SUMIFS('[11]inland_taf_hatchgrp_tableraw&amp;yy'!J$3:J$38,'[11]inland_taf_hatchgrp_tableraw&amp;yy'!$AC$3:$AC$38,'2018 Table 10 CWTs exp'!$A27)</f>
        <v>0</v>
      </c>
      <c r="K27" s="44">
        <f>SUMIFS('[11]inland_taf_hatchgrp_tableraw&amp;yy'!K$3:K$38,'[11]inland_taf_hatchgrp_tableraw&amp;yy'!$AC$3:$AC$38,'2018 Table 10 CWTs exp'!$A27)</f>
        <v>0</v>
      </c>
      <c r="L27" s="44">
        <f>SUMIFS('[11]inland_taf_hatchgrp_tableraw&amp;yy'!L$3:L$38,'[11]inland_taf_hatchgrp_tableraw&amp;yy'!$AC$3:$AC$38,'2018 Table 10 CWTs exp'!$A27)</f>
        <v>0</v>
      </c>
      <c r="M27" s="44">
        <f>SUMIFS('[11]inland_taf_hatchgrp_tableraw&amp;yy'!M$3:M$38,'[11]inland_taf_hatchgrp_tableraw&amp;yy'!$AC$3:$AC$38,'2018 Table 10 CWTs exp'!$A27)</f>
        <v>0</v>
      </c>
      <c r="N27" s="46">
        <f>SUMIFS('[11]inland_taf_hatchgrp_tableraw&amp;yy'!N$3:N$38,'[11]inland_taf_hatchgrp_tableraw&amp;yy'!$AC$3:$AC$38,'2018 Table 10 CWTs exp'!$A27)</f>
        <v>0</v>
      </c>
      <c r="O27" s="44">
        <f>SUMIFS('[11]inland_taf_hatchgrp_tableraw&amp;yy'!O$3:O$38,'[11]inland_taf_hatchgrp_tableraw&amp;yy'!$AC$3:$AC$38,'2018 Table 10 CWTs exp'!$A27)</f>
        <v>0</v>
      </c>
      <c r="P27" s="46">
        <f>SUMIFS('[11]inland_taf_hatchgrp_tableraw&amp;yy'!P$3:P$38,'[11]inland_taf_hatchgrp_tableraw&amp;yy'!$AC$3:$AC$38,'2018 Table 10 CWTs exp'!$A27)</f>
        <v>0</v>
      </c>
      <c r="Q27" s="44">
        <f>SUMIFS('[11]inland_taf_hatchgrp_tableraw&amp;yy'!Q$3:Q$38,'[11]inland_taf_hatchgrp_tableraw&amp;yy'!$AC$3:$AC$38,'2018 Table 10 CWTs exp'!$A27)</f>
        <v>0</v>
      </c>
      <c r="R27" s="44">
        <f>SUMIFS('[11]inland_taf_hatchgrp_tableraw&amp;yy'!R$3:R$38,'[11]inland_taf_hatchgrp_tableraw&amp;yy'!$AC$3:$AC$38,'2018 Table 10 CWTs exp'!$A27)</f>
        <v>0</v>
      </c>
      <c r="S27" s="44">
        <f>SUMIFS('[11]inland_taf_hatchgrp_tableraw&amp;yy'!S$3:S$38,'[11]inland_taf_hatchgrp_tableraw&amp;yy'!$AC$3:$AC$38,'2018 Table 10 CWTs exp'!$A27)</f>
        <v>0</v>
      </c>
      <c r="T27" s="46">
        <f>SUMIFS('[11]inland_taf_hatchgrp_tableraw&amp;yy'!T$3:T$38,'[11]inland_taf_hatchgrp_tableraw&amp;yy'!$AC$3:$AC$38,'2018 Table 10 CWTs exp'!$A27)</f>
        <v>0</v>
      </c>
      <c r="U27" s="44">
        <f>SUMIFS('[11]inland_taf_hatchgrp_tableraw&amp;yy'!U$3:U$38,'[11]inland_taf_hatchgrp_tableraw&amp;yy'!$AC$3:$AC$38,'2018 Table 10 CWTs exp'!$A27)</f>
        <v>0</v>
      </c>
      <c r="V27" s="46">
        <f>SUMIFS('[11]inland_taf_hatchgrp_tableraw&amp;yy'!V$3:V$38,'[11]inland_taf_hatchgrp_tableraw&amp;yy'!$AC$3:$AC$38,'2018 Table 10 CWTs exp'!$A27)</f>
        <v>0</v>
      </c>
      <c r="W27" s="46">
        <f>SUMIFS('[11]inland_taf_hatchgrp_tableraw&amp;yy'!W$3:W$38,'[11]inland_taf_hatchgrp_tableraw&amp;yy'!$AC$3:$AC$38,'2018 Table 10 CWTs exp'!$A27)</f>
        <v>0</v>
      </c>
      <c r="X27" s="44">
        <f>SUMIFS('[11]inland_taf_hatchgrp_tableraw&amp;yy'!X$3:X$38,'[11]inland_taf_hatchgrp_tableraw&amp;yy'!$AC$3:$AC$38,'2018 Table 10 CWTs exp'!$A27)</f>
        <v>0</v>
      </c>
      <c r="Y27" s="84">
        <f>SUMIFS('[11]inland_taf_hatchgrp_tableraw&amp;yy'!Y$3:Y$38,'[11]inland_taf_hatchgrp_tableraw&amp;yy'!$AC$3:$AC$38,'2018 Table 10 CWTs exp'!$A27)</f>
        <v>1</v>
      </c>
      <c r="Z27" s="85">
        <f>SUMIFS('[11]inland_taf_hatchgrp_tableraw&amp;yy'!Z$3:Z$38,'[11]inland_taf_hatchgrp_tableraw&amp;yy'!$AC$3:$AC$38,'2018 Table 10 CWTs exp'!$A27)</f>
        <v>13</v>
      </c>
      <c r="AA27" s="44">
        <f>SUMIFS('[11]inland_taf_hatchgrp_tableraw&amp;yy'!AA$3:AA$38,'[11]inland_taf_hatchgrp_tableraw&amp;yy'!$AC$3:$AC$38,'2018 Table 10 CWTs exp'!$A27)</f>
        <v>14</v>
      </c>
      <c r="AB27" s="44"/>
      <c r="AC27" s="636"/>
      <c r="AD27" s="566">
        <f>SUMIFS('[11]inland_taf_hatchgrp_tableraw&amp;yy'!AB$3:AB$38,'[11]inland_taf_hatchgrp_tableraw&amp;yy'!$AC$3:$AC$38,'2018 Table 10 CWTs exp'!$A27)</f>
        <v>7.0999999999999994E-2</v>
      </c>
      <c r="AE27" s="604" t="str">
        <f t="shared" si="9"/>
        <v>BUTT543</v>
      </c>
      <c r="AF27" s="442"/>
      <c r="AG27" s="622">
        <f t="shared" si="10"/>
        <v>7.1428571428571425E-2</v>
      </c>
      <c r="AH27" s="623">
        <f t="shared" si="11"/>
        <v>0.9285714285714286</v>
      </c>
      <c r="AI27" s="605">
        <f t="shared" si="13"/>
        <v>0.92900000000000005</v>
      </c>
      <c r="AJ27" s="447">
        <f t="shared" si="12"/>
        <v>13</v>
      </c>
      <c r="AK27" s="448">
        <f t="shared" si="14"/>
        <v>0.9285714285714286</v>
      </c>
      <c r="AL27" s="451"/>
      <c r="AM27" s="442"/>
      <c r="AN27" s="442"/>
      <c r="AO27" s="442"/>
      <c r="AP27" s="442"/>
      <c r="AQ27" s="442"/>
      <c r="AR27" s="442"/>
      <c r="AS27" s="442"/>
      <c r="AT27" s="442"/>
    </row>
    <row r="28" spans="1:46" ht="14.5" customHeight="1" x14ac:dyDescent="0.25">
      <c r="A28" s="50" t="str">
        <f t="shared" si="8"/>
        <v>FEA543</v>
      </c>
      <c r="B28" s="13" t="s">
        <v>80</v>
      </c>
      <c r="C28" s="13">
        <v>54</v>
      </c>
      <c r="D28" s="13">
        <v>3</v>
      </c>
      <c r="E28" s="3" t="s">
        <v>81</v>
      </c>
      <c r="F28" s="43" t="str">
        <f t="shared" si="15"/>
        <v>Fall</v>
      </c>
      <c r="G28" s="44">
        <f>SUMIFS('[11]inland_taf_hatchgrp_tableraw&amp;yy'!G$3:G$38,'[11]inland_taf_hatchgrp_tableraw&amp;yy'!$AC$3:$AC$38,'2018 Table 10 CWTs exp'!$A28)</f>
        <v>0</v>
      </c>
      <c r="H28" s="45">
        <f>SUMIFS('[11]inland_taf_hatchgrp_tableraw&amp;yy'!H$3:H$38,'[11]inland_taf_hatchgrp_tableraw&amp;yy'!$AC$3:$AC$38,'2018 Table 10 CWTs exp'!$A28)</f>
        <v>0</v>
      </c>
      <c r="I28" s="44">
        <f>SUMIFS('[11]inland_taf_hatchgrp_tableraw&amp;yy'!I$3:I$38,'[11]inland_taf_hatchgrp_tableraw&amp;yy'!$AC$3:$AC$38,'2018 Table 10 CWTs exp'!$A28)</f>
        <v>0</v>
      </c>
      <c r="J28" s="46">
        <f>SUMIFS('[11]inland_taf_hatchgrp_tableraw&amp;yy'!J$3:J$38,'[11]inland_taf_hatchgrp_tableraw&amp;yy'!$AC$3:$AC$38,'2018 Table 10 CWTs exp'!$A28)</f>
        <v>0</v>
      </c>
      <c r="K28" s="44">
        <f>SUMIFS('[11]inland_taf_hatchgrp_tableraw&amp;yy'!K$3:K$38,'[11]inland_taf_hatchgrp_tableraw&amp;yy'!$AC$3:$AC$38,'2018 Table 10 CWTs exp'!$A28)</f>
        <v>1382</v>
      </c>
      <c r="L28" s="44">
        <f>SUMIFS('[11]inland_taf_hatchgrp_tableraw&amp;yy'!L$3:L$38,'[11]inland_taf_hatchgrp_tableraw&amp;yy'!$AC$3:$AC$38,'2018 Table 10 CWTs exp'!$A28)</f>
        <v>425</v>
      </c>
      <c r="M28" s="44">
        <f>SUMIFS('[11]inland_taf_hatchgrp_tableraw&amp;yy'!M$3:M$38,'[11]inland_taf_hatchgrp_tableraw&amp;yy'!$AC$3:$AC$38,'2018 Table 10 CWTs exp'!$A28)</f>
        <v>33846</v>
      </c>
      <c r="N28" s="46">
        <f>SUMIFS('[11]inland_taf_hatchgrp_tableraw&amp;yy'!N$3:N$38,'[11]inland_taf_hatchgrp_tableraw&amp;yy'!$AC$3:$AC$38,'2018 Table 10 CWTs exp'!$A28)</f>
        <v>375</v>
      </c>
      <c r="O28" s="44">
        <f>SUMIFS('[11]inland_taf_hatchgrp_tableraw&amp;yy'!O$3:O$38,'[11]inland_taf_hatchgrp_tableraw&amp;yy'!$AC$3:$AC$38,'2018 Table 10 CWTs exp'!$A28)</f>
        <v>0</v>
      </c>
      <c r="P28" s="46">
        <f>SUMIFS('[11]inland_taf_hatchgrp_tableraw&amp;yy'!P$3:P$38,'[11]inland_taf_hatchgrp_tableraw&amp;yy'!$AC$3:$AC$38,'2018 Table 10 CWTs exp'!$A28)</f>
        <v>68</v>
      </c>
      <c r="Q28" s="44">
        <f>SUMIFS('[11]inland_taf_hatchgrp_tableraw&amp;yy'!Q$3:Q$38,'[11]inland_taf_hatchgrp_tableraw&amp;yy'!$AC$3:$AC$38,'2018 Table 10 CWTs exp'!$A28)</f>
        <v>0</v>
      </c>
      <c r="R28" s="44">
        <f>SUMIFS('[11]inland_taf_hatchgrp_tableraw&amp;yy'!R$3:R$38,'[11]inland_taf_hatchgrp_tableraw&amp;yy'!$AC$3:$AC$38,'2018 Table 10 CWTs exp'!$A28)</f>
        <v>338</v>
      </c>
      <c r="S28" s="44">
        <f>SUMIFS('[11]inland_taf_hatchgrp_tableraw&amp;yy'!S$3:S$38,'[11]inland_taf_hatchgrp_tableraw&amp;yy'!$AC$3:$AC$38,'2018 Table 10 CWTs exp'!$A28)</f>
        <v>118</v>
      </c>
      <c r="T28" s="46">
        <f>SUMIFS('[11]inland_taf_hatchgrp_tableraw&amp;yy'!T$3:T$38,'[11]inland_taf_hatchgrp_tableraw&amp;yy'!$AC$3:$AC$38,'2018 Table 10 CWTs exp'!$A28)</f>
        <v>17</v>
      </c>
      <c r="U28" s="44">
        <f>SUMIFS('[11]inland_taf_hatchgrp_tableraw&amp;yy'!U$3:U$38,'[11]inland_taf_hatchgrp_tableraw&amp;yy'!$AC$3:$AC$38,'2018 Table 10 CWTs exp'!$A28)</f>
        <v>0</v>
      </c>
      <c r="V28" s="46">
        <f>SUMIFS('[11]inland_taf_hatchgrp_tableraw&amp;yy'!V$3:V$38,'[11]inland_taf_hatchgrp_tableraw&amp;yy'!$AC$3:$AC$38,'2018 Table 10 CWTs exp'!$A28)</f>
        <v>0</v>
      </c>
      <c r="W28" s="46">
        <f>SUMIFS('[11]inland_taf_hatchgrp_tableraw&amp;yy'!W$3:W$38,'[11]inland_taf_hatchgrp_tableraw&amp;yy'!$AC$3:$AC$38,'2018 Table 10 CWTs exp'!$A28)</f>
        <v>0</v>
      </c>
      <c r="X28" s="44">
        <f>SUMIFS('[11]inland_taf_hatchgrp_tableraw&amp;yy'!X$3:X$38,'[11]inland_taf_hatchgrp_tableraw&amp;yy'!$AC$3:$AC$38,'2018 Table 10 CWTs exp'!$A28)</f>
        <v>0</v>
      </c>
      <c r="Y28" s="84">
        <f>SUMIFS('[11]inland_taf_hatchgrp_tableraw&amp;yy'!Y$3:Y$38,'[11]inland_taf_hatchgrp_tableraw&amp;yy'!$AC$3:$AC$38,'2018 Table 10 CWTs exp'!$A28)</f>
        <v>36569</v>
      </c>
      <c r="Z28" s="85">
        <f>SUMIFS('[11]inland_taf_hatchgrp_tableraw&amp;yy'!Z$3:Z$38,'[11]inland_taf_hatchgrp_tableraw&amp;yy'!$AC$3:$AC$38,'2018 Table 10 CWTs exp'!$A28)</f>
        <v>9257</v>
      </c>
      <c r="AA28" s="44">
        <f>SUMIFS('[11]inland_taf_hatchgrp_tableraw&amp;yy'!AA$3:AA$38,'[11]inland_taf_hatchgrp_tableraw&amp;yy'!$AC$3:$AC$38,'2018 Table 10 CWTs exp'!$A28)</f>
        <v>45826</v>
      </c>
      <c r="AB28" s="44"/>
      <c r="AC28" s="636"/>
      <c r="AD28" s="566">
        <f>SUMIFS('[11]inland_taf_hatchgrp_tableraw&amp;yy'!AB$3:AB$38,'[11]inland_taf_hatchgrp_tableraw&amp;yy'!$AC$3:$AC$38,'2018 Table 10 CWTs exp'!$A28)</f>
        <v>0.79800000000000004</v>
      </c>
      <c r="AE28" s="604" t="str">
        <f t="shared" si="9"/>
        <v>FEA543</v>
      </c>
      <c r="AF28" s="442"/>
      <c r="AG28" s="622">
        <f t="shared" si="10"/>
        <v>0.79799677039235373</v>
      </c>
      <c r="AH28" s="623">
        <f t="shared" si="11"/>
        <v>0.2020032296076463</v>
      </c>
      <c r="AI28" s="605">
        <f t="shared" si="13"/>
        <v>0.20199999999999996</v>
      </c>
      <c r="AJ28" s="447">
        <f t="shared" si="12"/>
        <v>9257</v>
      </c>
      <c r="AK28" s="448">
        <f t="shared" si="14"/>
        <v>0.2020032296076463</v>
      </c>
      <c r="AL28" s="451"/>
      <c r="AM28" s="442"/>
      <c r="AN28" s="442"/>
      <c r="AO28" s="442"/>
      <c r="AP28" s="442"/>
      <c r="AQ28" s="442"/>
      <c r="AR28" s="442"/>
      <c r="AS28" s="442"/>
      <c r="AT28" s="442"/>
    </row>
    <row r="29" spans="1:46" ht="14.5" customHeight="1" x14ac:dyDescent="0.25">
      <c r="A29" s="50" t="str">
        <f t="shared" si="8"/>
        <v>YUBA543</v>
      </c>
      <c r="B29" s="13" t="s">
        <v>82</v>
      </c>
      <c r="C29" s="13">
        <v>54</v>
      </c>
      <c r="D29" s="13">
        <v>3</v>
      </c>
      <c r="E29" s="79" t="s">
        <v>165</v>
      </c>
      <c r="F29" s="43" t="str">
        <f t="shared" si="15"/>
        <v>Fall</v>
      </c>
      <c r="G29" s="44">
        <f>SUMIFS('[11]inland_taf_hatchgrp_tableraw&amp;yy'!G$3:G$38,'[11]inland_taf_hatchgrp_tableraw&amp;yy'!$AC$3:$AC$38,'2018 Table 10 CWTs exp'!$A29)</f>
        <v>0</v>
      </c>
      <c r="H29" s="45">
        <f>SUMIFS('[11]inland_taf_hatchgrp_tableraw&amp;yy'!H$3:H$38,'[11]inland_taf_hatchgrp_tableraw&amp;yy'!$AC$3:$AC$38,'2018 Table 10 CWTs exp'!$A29)</f>
        <v>0</v>
      </c>
      <c r="I29" s="44">
        <f>SUMIFS('[11]inland_taf_hatchgrp_tableraw&amp;yy'!I$3:I$38,'[11]inland_taf_hatchgrp_tableraw&amp;yy'!$AC$3:$AC$38,'2018 Table 10 CWTs exp'!$A29)</f>
        <v>0</v>
      </c>
      <c r="J29" s="46">
        <f>SUMIFS('[11]inland_taf_hatchgrp_tableraw&amp;yy'!J$3:J$38,'[11]inland_taf_hatchgrp_tableraw&amp;yy'!$AC$3:$AC$38,'2018 Table 10 CWTs exp'!$A29)</f>
        <v>0</v>
      </c>
      <c r="K29" s="44">
        <f>SUMIFS('[11]inland_taf_hatchgrp_tableraw&amp;yy'!K$3:K$38,'[11]inland_taf_hatchgrp_tableraw&amp;yy'!$AC$3:$AC$38,'2018 Table 10 CWTs exp'!$A29)</f>
        <v>489</v>
      </c>
      <c r="L29" s="44">
        <f>SUMIFS('[11]inland_taf_hatchgrp_tableraw&amp;yy'!L$3:L$38,'[11]inland_taf_hatchgrp_tableraw&amp;yy'!$AC$3:$AC$38,'2018 Table 10 CWTs exp'!$A29)</f>
        <v>49</v>
      </c>
      <c r="M29" s="44">
        <f>SUMIFS('[11]inland_taf_hatchgrp_tableraw&amp;yy'!M$3:M$38,'[11]inland_taf_hatchgrp_tableraw&amp;yy'!$AC$3:$AC$38,'2018 Table 10 CWTs exp'!$A29)</f>
        <v>1002</v>
      </c>
      <c r="N29" s="46">
        <f>SUMIFS('[11]inland_taf_hatchgrp_tableraw&amp;yy'!N$3:N$38,'[11]inland_taf_hatchgrp_tableraw&amp;yy'!$AC$3:$AC$38,'2018 Table 10 CWTs exp'!$A29)</f>
        <v>0</v>
      </c>
      <c r="O29" s="44">
        <f>SUMIFS('[11]inland_taf_hatchgrp_tableraw&amp;yy'!O$3:O$38,'[11]inland_taf_hatchgrp_tableraw&amp;yy'!$AC$3:$AC$38,'2018 Table 10 CWTs exp'!$A29)</f>
        <v>97</v>
      </c>
      <c r="P29" s="46">
        <f>SUMIFS('[11]inland_taf_hatchgrp_tableraw&amp;yy'!P$3:P$38,'[11]inland_taf_hatchgrp_tableraw&amp;yy'!$AC$3:$AC$38,'2018 Table 10 CWTs exp'!$A29)</f>
        <v>97</v>
      </c>
      <c r="Q29" s="44">
        <f>SUMIFS('[11]inland_taf_hatchgrp_tableraw&amp;yy'!Q$3:Q$38,'[11]inland_taf_hatchgrp_tableraw&amp;yy'!$AC$3:$AC$38,'2018 Table 10 CWTs exp'!$A29)</f>
        <v>0</v>
      </c>
      <c r="R29" s="44">
        <f>SUMIFS('[11]inland_taf_hatchgrp_tableraw&amp;yy'!R$3:R$38,'[11]inland_taf_hatchgrp_tableraw&amp;yy'!$AC$3:$AC$38,'2018 Table 10 CWTs exp'!$A29)</f>
        <v>775</v>
      </c>
      <c r="S29" s="44">
        <f>SUMIFS('[11]inland_taf_hatchgrp_tableraw&amp;yy'!S$3:S$38,'[11]inland_taf_hatchgrp_tableraw&amp;yy'!$AC$3:$AC$38,'2018 Table 10 CWTs exp'!$A29)</f>
        <v>218</v>
      </c>
      <c r="T29" s="46">
        <f>SUMIFS('[11]inland_taf_hatchgrp_tableraw&amp;yy'!T$3:T$38,'[11]inland_taf_hatchgrp_tableraw&amp;yy'!$AC$3:$AC$38,'2018 Table 10 CWTs exp'!$A29)</f>
        <v>121</v>
      </c>
      <c r="U29" s="44">
        <f>SUMIFS('[11]inland_taf_hatchgrp_tableraw&amp;yy'!U$3:U$38,'[11]inland_taf_hatchgrp_tableraw&amp;yy'!$AC$3:$AC$38,'2018 Table 10 CWTs exp'!$A29)</f>
        <v>0</v>
      </c>
      <c r="V29" s="46">
        <f>SUMIFS('[11]inland_taf_hatchgrp_tableraw&amp;yy'!V$3:V$38,'[11]inland_taf_hatchgrp_tableraw&amp;yy'!$AC$3:$AC$38,'2018 Table 10 CWTs exp'!$A29)</f>
        <v>0</v>
      </c>
      <c r="W29" s="46">
        <f>SUMIFS('[11]inland_taf_hatchgrp_tableraw&amp;yy'!W$3:W$38,'[11]inland_taf_hatchgrp_tableraw&amp;yy'!$AC$3:$AC$38,'2018 Table 10 CWTs exp'!$A29)</f>
        <v>0</v>
      </c>
      <c r="X29" s="44">
        <f>SUMIFS('[11]inland_taf_hatchgrp_tableraw&amp;yy'!X$3:X$38,'[11]inland_taf_hatchgrp_tableraw&amp;yy'!$AC$3:$AC$38,'2018 Table 10 CWTs exp'!$A29)</f>
        <v>0</v>
      </c>
      <c r="Y29" s="84">
        <f>SUMIFS('[11]inland_taf_hatchgrp_tableraw&amp;yy'!Y$3:Y$38,'[11]inland_taf_hatchgrp_tableraw&amp;yy'!$AC$3:$AC$38,'2018 Table 10 CWTs exp'!$A29)</f>
        <v>2848</v>
      </c>
      <c r="Z29" s="85">
        <f>SUMIFS('[11]inland_taf_hatchgrp_tableraw&amp;yy'!Z$3:Z$38,'[11]inland_taf_hatchgrp_tableraw&amp;yy'!$AC$3:$AC$38,'2018 Table 10 CWTs exp'!$A29)</f>
        <v>225</v>
      </c>
      <c r="AA29" s="44">
        <f>SUMIFS('[11]inland_taf_hatchgrp_tableraw&amp;yy'!AA$3:AA$38,'[11]inland_taf_hatchgrp_tableraw&amp;yy'!$AC$3:$AC$38,'2018 Table 10 CWTs exp'!$A29)</f>
        <v>3073</v>
      </c>
      <c r="AB29" s="44"/>
      <c r="AC29" s="636"/>
      <c r="AD29" s="566">
        <f>SUMIFS('[11]inland_taf_hatchgrp_tableraw&amp;yy'!AB$3:AB$38,'[11]inland_taf_hatchgrp_tableraw&amp;yy'!$AC$3:$AC$38,'2018 Table 10 CWTs exp'!$A29)</f>
        <v>0.92700000000000005</v>
      </c>
      <c r="AE29" s="604" t="str">
        <f t="shared" si="9"/>
        <v>YUBA543</v>
      </c>
      <c r="AF29" s="442"/>
      <c r="AG29" s="622">
        <f t="shared" si="10"/>
        <v>0.9267816465994142</v>
      </c>
      <c r="AH29" s="623">
        <f t="shared" si="11"/>
        <v>7.3218353400585745E-2</v>
      </c>
      <c r="AI29" s="605">
        <f t="shared" si="13"/>
        <v>7.2999999999999954E-2</v>
      </c>
      <c r="AJ29" s="447">
        <f t="shared" si="12"/>
        <v>225</v>
      </c>
      <c r="AK29" s="448">
        <f t="shared" si="14"/>
        <v>7.3218353400585745E-2</v>
      </c>
      <c r="AL29" s="451"/>
      <c r="AM29" s="442"/>
      <c r="AN29" s="442"/>
      <c r="AO29" s="442"/>
      <c r="AP29" s="442"/>
      <c r="AQ29" s="442"/>
      <c r="AR29" s="442"/>
      <c r="AS29" s="442"/>
      <c r="AT29" s="442"/>
    </row>
    <row r="30" spans="1:46" ht="12.75" hidden="1" customHeight="1" x14ac:dyDescent="0.25">
      <c r="A30" s="50" t="str">
        <f t="shared" si="8"/>
        <v>YUBB543</v>
      </c>
      <c r="B30" s="13" t="s">
        <v>84</v>
      </c>
      <c r="C30" s="13">
        <v>54</v>
      </c>
      <c r="D30" s="13">
        <v>3</v>
      </c>
      <c r="E30" s="79" t="s">
        <v>85</v>
      </c>
      <c r="F30" s="43" t="str">
        <f t="shared" si="15"/>
        <v>Fall</v>
      </c>
      <c r="G30" s="44">
        <f>SUMIFS('[11]inland_taf_hatchgrp_tableraw&amp;yy'!G$3:G$38,'[11]inland_taf_hatchgrp_tableraw&amp;yy'!$AC$3:$AC$38,'2018 Table 10 CWTs exp'!$A30)</f>
        <v>0</v>
      </c>
      <c r="H30" s="45">
        <f>SUMIFS('[11]inland_taf_hatchgrp_tableraw&amp;yy'!H$3:H$38,'[11]inland_taf_hatchgrp_tableraw&amp;yy'!$AC$3:$AC$38,'2018 Table 10 CWTs exp'!$A30)</f>
        <v>0</v>
      </c>
      <c r="I30" s="44">
        <f>SUMIFS('[11]inland_taf_hatchgrp_tableraw&amp;yy'!I$3:I$38,'[11]inland_taf_hatchgrp_tableraw&amp;yy'!$AC$3:$AC$38,'2018 Table 10 CWTs exp'!$A30)</f>
        <v>0</v>
      </c>
      <c r="J30" s="46">
        <f>SUMIFS('[11]inland_taf_hatchgrp_tableraw&amp;yy'!J$3:J$38,'[11]inland_taf_hatchgrp_tableraw&amp;yy'!$AC$3:$AC$38,'2018 Table 10 CWTs exp'!$A30)</f>
        <v>0</v>
      </c>
      <c r="K30" s="44">
        <f>SUMIFS('[11]inland_taf_hatchgrp_tableraw&amp;yy'!K$3:K$38,'[11]inland_taf_hatchgrp_tableraw&amp;yy'!$AC$3:$AC$38,'2018 Table 10 CWTs exp'!$A30)</f>
        <v>0</v>
      </c>
      <c r="L30" s="44">
        <f>SUMIFS('[11]inland_taf_hatchgrp_tableraw&amp;yy'!L$3:L$38,'[11]inland_taf_hatchgrp_tableraw&amp;yy'!$AC$3:$AC$38,'2018 Table 10 CWTs exp'!$A30)</f>
        <v>0</v>
      </c>
      <c r="M30" s="44">
        <f>SUMIFS('[11]inland_taf_hatchgrp_tableraw&amp;yy'!M$3:M$38,'[11]inland_taf_hatchgrp_tableraw&amp;yy'!$AC$3:$AC$38,'2018 Table 10 CWTs exp'!$A30)</f>
        <v>0</v>
      </c>
      <c r="N30" s="46">
        <f>SUMIFS('[11]inland_taf_hatchgrp_tableraw&amp;yy'!N$3:N$38,'[11]inland_taf_hatchgrp_tableraw&amp;yy'!$AC$3:$AC$38,'2018 Table 10 CWTs exp'!$A30)</f>
        <v>0</v>
      </c>
      <c r="O30" s="44">
        <f>SUMIFS('[11]inland_taf_hatchgrp_tableraw&amp;yy'!O$3:O$38,'[11]inland_taf_hatchgrp_tableraw&amp;yy'!$AC$3:$AC$38,'2018 Table 10 CWTs exp'!$A30)</f>
        <v>0</v>
      </c>
      <c r="P30" s="46">
        <f>SUMIFS('[11]inland_taf_hatchgrp_tableraw&amp;yy'!P$3:P$38,'[11]inland_taf_hatchgrp_tableraw&amp;yy'!$AC$3:$AC$38,'2018 Table 10 CWTs exp'!$A30)</f>
        <v>0</v>
      </c>
      <c r="Q30" s="44">
        <f>SUMIFS('[11]inland_taf_hatchgrp_tableraw&amp;yy'!Q$3:Q$38,'[11]inland_taf_hatchgrp_tableraw&amp;yy'!$AC$3:$AC$38,'2018 Table 10 CWTs exp'!$A30)</f>
        <v>0</v>
      </c>
      <c r="R30" s="44">
        <f>SUMIFS('[11]inland_taf_hatchgrp_tableraw&amp;yy'!R$3:R$38,'[11]inland_taf_hatchgrp_tableraw&amp;yy'!$AC$3:$AC$38,'2018 Table 10 CWTs exp'!$A30)</f>
        <v>0</v>
      </c>
      <c r="S30" s="44">
        <f>SUMIFS('[11]inland_taf_hatchgrp_tableraw&amp;yy'!S$3:S$38,'[11]inland_taf_hatchgrp_tableraw&amp;yy'!$AC$3:$AC$38,'2018 Table 10 CWTs exp'!$A30)</f>
        <v>0</v>
      </c>
      <c r="T30" s="46">
        <f>SUMIFS('[11]inland_taf_hatchgrp_tableraw&amp;yy'!T$3:T$38,'[11]inland_taf_hatchgrp_tableraw&amp;yy'!$AC$3:$AC$38,'2018 Table 10 CWTs exp'!$A30)</f>
        <v>0</v>
      </c>
      <c r="U30" s="44">
        <f>SUMIFS('[11]inland_taf_hatchgrp_tableraw&amp;yy'!U$3:U$38,'[11]inland_taf_hatchgrp_tableraw&amp;yy'!$AC$3:$AC$38,'2018 Table 10 CWTs exp'!$A30)</f>
        <v>0</v>
      </c>
      <c r="V30" s="46">
        <f>SUMIFS('[11]inland_taf_hatchgrp_tableraw&amp;yy'!V$3:V$38,'[11]inland_taf_hatchgrp_tableraw&amp;yy'!$AC$3:$AC$38,'2018 Table 10 CWTs exp'!$A30)</f>
        <v>0</v>
      </c>
      <c r="W30" s="46">
        <f>SUMIFS('[11]inland_taf_hatchgrp_tableraw&amp;yy'!W$3:W$38,'[11]inland_taf_hatchgrp_tableraw&amp;yy'!$AC$3:$AC$38,'2018 Table 10 CWTs exp'!$A30)</f>
        <v>0</v>
      </c>
      <c r="X30" s="44">
        <f>SUMIFS('[11]inland_taf_hatchgrp_tableraw&amp;yy'!X$3:X$38,'[11]inland_taf_hatchgrp_tableraw&amp;yy'!$AC$3:$AC$38,'2018 Table 10 CWTs exp'!$A30)</f>
        <v>0</v>
      </c>
      <c r="Y30" s="84">
        <f>SUMIFS('[11]inland_taf_hatchgrp_tableraw&amp;yy'!Y$3:Y$38,'[11]inland_taf_hatchgrp_tableraw&amp;yy'!$AC$3:$AC$38,'2018 Table 10 CWTs exp'!$A30)</f>
        <v>0</v>
      </c>
      <c r="Z30" s="85">
        <f>SUMIFS('[11]inland_taf_hatchgrp_tableraw&amp;yy'!Z$3:Z$38,'[11]inland_taf_hatchgrp_tableraw&amp;yy'!$AC$3:$AC$38,'2018 Table 10 CWTs exp'!$A30)</f>
        <v>0</v>
      </c>
      <c r="AA30" s="44">
        <f>SUMIFS('[11]inland_taf_hatchgrp_tableraw&amp;yy'!AA$3:AA$38,'[11]inland_taf_hatchgrp_tableraw&amp;yy'!$AC$3:$AC$38,'2018 Table 10 CWTs exp'!$A30)</f>
        <v>0</v>
      </c>
      <c r="AB30" s="44"/>
      <c r="AC30" s="636"/>
      <c r="AD30" s="566">
        <f>SUMIFS('[11]inland_taf_hatchgrp_tableraw&amp;yy'!AB$3:AB$38,'[11]inland_taf_hatchgrp_tableraw&amp;yy'!$AC$3:$AC$38,'2018 Table 10 CWTs exp'!$A30)</f>
        <v>0</v>
      </c>
      <c r="AE30" s="604" t="str">
        <f t="shared" si="9"/>
        <v>YUBB543</v>
      </c>
      <c r="AF30" s="442"/>
      <c r="AG30" s="622" t="e">
        <f t="shared" si="10"/>
        <v>#DIV/0!</v>
      </c>
      <c r="AH30" s="623" t="e">
        <f t="shared" si="11"/>
        <v>#DIV/0!</v>
      </c>
      <c r="AI30" s="605">
        <f t="shared" si="13"/>
        <v>1</v>
      </c>
      <c r="AJ30" s="447">
        <f t="shared" si="12"/>
        <v>0</v>
      </c>
      <c r="AK30" s="448" t="e">
        <f t="shared" si="14"/>
        <v>#DIV/0!</v>
      </c>
      <c r="AL30" s="451"/>
      <c r="AM30" s="442"/>
      <c r="AN30" s="442"/>
      <c r="AO30" s="442"/>
      <c r="AP30" s="442"/>
      <c r="AQ30" s="442"/>
      <c r="AR30" s="442"/>
      <c r="AS30" s="442"/>
      <c r="AT30" s="442"/>
    </row>
    <row r="31" spans="1:46" ht="14.5" customHeight="1" x14ac:dyDescent="0.25">
      <c r="A31" s="50" t="str">
        <f t="shared" si="8"/>
        <v>LARC543</v>
      </c>
      <c r="B31" s="13" t="s">
        <v>86</v>
      </c>
      <c r="C31" s="13">
        <v>54</v>
      </c>
      <c r="D31" s="13">
        <v>3</v>
      </c>
      <c r="E31" s="3" t="s">
        <v>87</v>
      </c>
      <c r="F31" s="43" t="str">
        <f t="shared" si="15"/>
        <v>Fall</v>
      </c>
      <c r="G31" s="44">
        <f>SUMIFS('[11]inland_taf_hatchgrp_tableraw&amp;yy'!G$3:G$38,'[11]inland_taf_hatchgrp_tableraw&amp;yy'!$AC$3:$AC$38,'2018 Table 10 CWTs exp'!$A31)</f>
        <v>0</v>
      </c>
      <c r="H31" s="45">
        <f>SUMIFS('[11]inland_taf_hatchgrp_tableraw&amp;yy'!H$3:H$38,'[11]inland_taf_hatchgrp_tableraw&amp;yy'!$AC$3:$AC$38,'2018 Table 10 CWTs exp'!$A31)</f>
        <v>0</v>
      </c>
      <c r="I31" s="44">
        <f>SUMIFS('[11]inland_taf_hatchgrp_tableraw&amp;yy'!I$3:I$38,'[11]inland_taf_hatchgrp_tableraw&amp;yy'!$AC$3:$AC$38,'2018 Table 10 CWTs exp'!$A31)</f>
        <v>0</v>
      </c>
      <c r="J31" s="46">
        <f>SUMIFS('[11]inland_taf_hatchgrp_tableraw&amp;yy'!J$3:J$38,'[11]inland_taf_hatchgrp_tableraw&amp;yy'!$AC$3:$AC$38,'2018 Table 10 CWTs exp'!$A31)</f>
        <v>104</v>
      </c>
      <c r="K31" s="44">
        <f>SUMIFS('[11]inland_taf_hatchgrp_tableraw&amp;yy'!K$3:K$38,'[11]inland_taf_hatchgrp_tableraw&amp;yy'!$AC$3:$AC$38,'2018 Table 10 CWTs exp'!$A31)</f>
        <v>2</v>
      </c>
      <c r="L31" s="44">
        <f>SUMIFS('[11]inland_taf_hatchgrp_tableraw&amp;yy'!L$3:L$38,'[11]inland_taf_hatchgrp_tableraw&amp;yy'!$AC$3:$AC$38,'2018 Table 10 CWTs exp'!$A31)</f>
        <v>3</v>
      </c>
      <c r="M31" s="44">
        <f>SUMIFS('[11]inland_taf_hatchgrp_tableraw&amp;yy'!M$3:M$38,'[11]inland_taf_hatchgrp_tableraw&amp;yy'!$AC$3:$AC$38,'2018 Table 10 CWTs exp'!$A31)</f>
        <v>928</v>
      </c>
      <c r="N31" s="46">
        <f>SUMIFS('[11]inland_taf_hatchgrp_tableraw&amp;yy'!N$3:N$38,'[11]inland_taf_hatchgrp_tableraw&amp;yy'!$AC$3:$AC$38,'2018 Table 10 CWTs exp'!$A31)</f>
        <v>252</v>
      </c>
      <c r="O31" s="44">
        <f>SUMIFS('[11]inland_taf_hatchgrp_tableraw&amp;yy'!O$3:O$38,'[11]inland_taf_hatchgrp_tableraw&amp;yy'!$AC$3:$AC$38,'2018 Table 10 CWTs exp'!$A31)</f>
        <v>3452</v>
      </c>
      <c r="P31" s="46">
        <f>SUMIFS('[11]inland_taf_hatchgrp_tableraw&amp;yy'!P$3:P$38,'[11]inland_taf_hatchgrp_tableraw&amp;yy'!$AC$3:$AC$38,'2018 Table 10 CWTs exp'!$A31)</f>
        <v>3935</v>
      </c>
      <c r="Q31" s="44">
        <f>SUMIFS('[11]inland_taf_hatchgrp_tableraw&amp;yy'!Q$3:Q$38,'[11]inland_taf_hatchgrp_tableraw&amp;yy'!$AC$3:$AC$38,'2018 Table 10 CWTs exp'!$A31)</f>
        <v>21</v>
      </c>
      <c r="R31" s="44">
        <f>SUMIFS('[11]inland_taf_hatchgrp_tableraw&amp;yy'!R$3:R$38,'[11]inland_taf_hatchgrp_tableraw&amp;yy'!$AC$3:$AC$38,'2018 Table 10 CWTs exp'!$A31)</f>
        <v>4911</v>
      </c>
      <c r="S31" s="44">
        <f>SUMIFS('[11]inland_taf_hatchgrp_tableraw&amp;yy'!S$3:S$38,'[11]inland_taf_hatchgrp_tableraw&amp;yy'!$AC$3:$AC$38,'2018 Table 10 CWTs exp'!$A31)</f>
        <v>1240</v>
      </c>
      <c r="T31" s="46">
        <f>SUMIFS('[11]inland_taf_hatchgrp_tableraw&amp;yy'!T$3:T$38,'[11]inland_taf_hatchgrp_tableraw&amp;yy'!$AC$3:$AC$38,'2018 Table 10 CWTs exp'!$A31)</f>
        <v>868</v>
      </c>
      <c r="U31" s="44">
        <f>SUMIFS('[11]inland_taf_hatchgrp_tableraw&amp;yy'!U$3:U$38,'[11]inland_taf_hatchgrp_tableraw&amp;yy'!$AC$3:$AC$38,'2018 Table 10 CWTs exp'!$A31)</f>
        <v>0</v>
      </c>
      <c r="V31" s="46">
        <f>SUMIFS('[11]inland_taf_hatchgrp_tableraw&amp;yy'!V$3:V$38,'[11]inland_taf_hatchgrp_tableraw&amp;yy'!$AC$3:$AC$38,'2018 Table 10 CWTs exp'!$A31)</f>
        <v>287</v>
      </c>
      <c r="W31" s="46">
        <f>SUMIFS('[11]inland_taf_hatchgrp_tableraw&amp;yy'!W$3:W$38,'[11]inland_taf_hatchgrp_tableraw&amp;yy'!$AC$3:$AC$38,'2018 Table 10 CWTs exp'!$A31)</f>
        <v>5</v>
      </c>
      <c r="X31" s="44">
        <f>SUMIFS('[11]inland_taf_hatchgrp_tableraw&amp;yy'!X$3:X$38,'[11]inland_taf_hatchgrp_tableraw&amp;yy'!$AC$3:$AC$38,'2018 Table 10 CWTs exp'!$A31)</f>
        <v>0</v>
      </c>
      <c r="Y31" s="84">
        <f>SUMIFS('[11]inland_taf_hatchgrp_tableraw&amp;yy'!Y$3:Y$38,'[11]inland_taf_hatchgrp_tableraw&amp;yy'!$AC$3:$AC$38,'2018 Table 10 CWTs exp'!$A31)</f>
        <v>16008</v>
      </c>
      <c r="Z31" s="85">
        <f>SUMIFS('[11]inland_taf_hatchgrp_tableraw&amp;yy'!Z$3:Z$38,'[11]inland_taf_hatchgrp_tableraw&amp;yy'!$AC$3:$AC$38,'2018 Table 10 CWTs exp'!$A31)</f>
        <v>5084</v>
      </c>
      <c r="AA31" s="44">
        <f>SUMIFS('[11]inland_taf_hatchgrp_tableraw&amp;yy'!AA$3:AA$38,'[11]inland_taf_hatchgrp_tableraw&amp;yy'!$AC$3:$AC$38,'2018 Table 10 CWTs exp'!$A31)</f>
        <v>21092</v>
      </c>
      <c r="AB31" s="44"/>
      <c r="AC31" s="636"/>
      <c r="AD31" s="566">
        <f>SUMIFS('[11]inland_taf_hatchgrp_tableraw&amp;yy'!AB$3:AB$38,'[11]inland_taf_hatchgrp_tableraw&amp;yy'!$AC$3:$AC$38,'2018 Table 10 CWTs exp'!$A31)</f>
        <v>0.75900000000000001</v>
      </c>
      <c r="AE31" s="604" t="str">
        <f t="shared" si="9"/>
        <v>LARC543</v>
      </c>
      <c r="AF31" s="442"/>
      <c r="AG31" s="622">
        <f t="shared" si="10"/>
        <v>0.75896074340982367</v>
      </c>
      <c r="AH31" s="623">
        <f t="shared" si="11"/>
        <v>0.24103925659017636</v>
      </c>
      <c r="AI31" s="605">
        <f t="shared" si="13"/>
        <v>0.24099999999999999</v>
      </c>
      <c r="AJ31" s="447">
        <f t="shared" si="12"/>
        <v>5084</v>
      </c>
      <c r="AK31" s="448">
        <f t="shared" si="14"/>
        <v>0.24103925659017636</v>
      </c>
      <c r="AL31" s="451"/>
      <c r="AM31" s="442"/>
      <c r="AN31" s="442"/>
      <c r="AO31" s="442"/>
      <c r="AP31" s="442"/>
      <c r="AQ31" s="442"/>
      <c r="AR31" s="442"/>
      <c r="AS31" s="442"/>
      <c r="AT31" s="442"/>
    </row>
    <row r="32" spans="1:46" ht="12.75" hidden="1" customHeight="1" x14ac:dyDescent="0.25">
      <c r="A32" s="36" t="str">
        <f t="shared" si="8"/>
        <v>NIMW593</v>
      </c>
      <c r="B32" s="35" t="s">
        <v>88</v>
      </c>
      <c r="C32" s="35">
        <v>59</v>
      </c>
      <c r="D32" s="35">
        <v>3</v>
      </c>
      <c r="E32" s="3" t="s">
        <v>89</v>
      </c>
      <c r="F32" s="43" t="str">
        <f t="shared" si="15"/>
        <v>Fall</v>
      </c>
      <c r="G32" s="44">
        <f>SUMIFS('[11]inland_taf_hatchgrp_tableraw&amp;yy'!G$3:G$38,'[11]inland_taf_hatchgrp_tableraw&amp;yy'!$AC$3:$AC$38,'2018 Table 10 CWTs exp'!$A32)</f>
        <v>0</v>
      </c>
      <c r="H32" s="45">
        <f>SUMIFS('[11]inland_taf_hatchgrp_tableraw&amp;yy'!H$3:H$38,'[11]inland_taf_hatchgrp_tableraw&amp;yy'!$AC$3:$AC$38,'2018 Table 10 CWTs exp'!$A32)</f>
        <v>0</v>
      </c>
      <c r="I32" s="44">
        <f>SUMIFS('[11]inland_taf_hatchgrp_tableraw&amp;yy'!I$3:I$38,'[11]inland_taf_hatchgrp_tableraw&amp;yy'!$AC$3:$AC$38,'2018 Table 10 CWTs exp'!$A32)</f>
        <v>0</v>
      </c>
      <c r="J32" s="46">
        <f>SUMIFS('[11]inland_taf_hatchgrp_tableraw&amp;yy'!J$3:J$38,'[11]inland_taf_hatchgrp_tableraw&amp;yy'!$AC$3:$AC$38,'2018 Table 10 CWTs exp'!$A32)</f>
        <v>0</v>
      </c>
      <c r="K32" s="44">
        <f>SUMIFS('[11]inland_taf_hatchgrp_tableraw&amp;yy'!K$3:K$38,'[11]inland_taf_hatchgrp_tableraw&amp;yy'!$AC$3:$AC$38,'2018 Table 10 CWTs exp'!$A32)</f>
        <v>0</v>
      </c>
      <c r="L32" s="44">
        <f>SUMIFS('[11]inland_taf_hatchgrp_tableraw&amp;yy'!L$3:L$38,'[11]inland_taf_hatchgrp_tableraw&amp;yy'!$AC$3:$AC$38,'2018 Table 10 CWTs exp'!$A32)</f>
        <v>0</v>
      </c>
      <c r="M32" s="44">
        <f>SUMIFS('[11]inland_taf_hatchgrp_tableraw&amp;yy'!M$3:M$38,'[11]inland_taf_hatchgrp_tableraw&amp;yy'!$AC$3:$AC$38,'2018 Table 10 CWTs exp'!$A32)</f>
        <v>0</v>
      </c>
      <c r="N32" s="46">
        <f>SUMIFS('[11]inland_taf_hatchgrp_tableraw&amp;yy'!N$3:N$38,'[11]inland_taf_hatchgrp_tableraw&amp;yy'!$AC$3:$AC$38,'2018 Table 10 CWTs exp'!$A32)</f>
        <v>0</v>
      </c>
      <c r="O32" s="44">
        <f>SUMIFS('[11]inland_taf_hatchgrp_tableraw&amp;yy'!O$3:O$38,'[11]inland_taf_hatchgrp_tableraw&amp;yy'!$AC$3:$AC$38,'2018 Table 10 CWTs exp'!$A32)</f>
        <v>0</v>
      </c>
      <c r="P32" s="46">
        <f>SUMIFS('[11]inland_taf_hatchgrp_tableraw&amp;yy'!P$3:P$38,'[11]inland_taf_hatchgrp_tableraw&amp;yy'!$AC$3:$AC$38,'2018 Table 10 CWTs exp'!$A32)</f>
        <v>0</v>
      </c>
      <c r="Q32" s="44">
        <f>SUMIFS('[11]inland_taf_hatchgrp_tableraw&amp;yy'!Q$3:Q$38,'[11]inland_taf_hatchgrp_tableraw&amp;yy'!$AC$3:$AC$38,'2018 Table 10 CWTs exp'!$A32)</f>
        <v>0</v>
      </c>
      <c r="R32" s="44">
        <f>SUMIFS('[11]inland_taf_hatchgrp_tableraw&amp;yy'!R$3:R$38,'[11]inland_taf_hatchgrp_tableraw&amp;yy'!$AC$3:$AC$38,'2018 Table 10 CWTs exp'!$A32)</f>
        <v>0</v>
      </c>
      <c r="S32" s="44">
        <f>SUMIFS('[11]inland_taf_hatchgrp_tableraw&amp;yy'!S$3:S$38,'[11]inland_taf_hatchgrp_tableraw&amp;yy'!$AC$3:$AC$38,'2018 Table 10 CWTs exp'!$A32)</f>
        <v>0</v>
      </c>
      <c r="T32" s="46">
        <f>SUMIFS('[11]inland_taf_hatchgrp_tableraw&amp;yy'!T$3:T$38,'[11]inland_taf_hatchgrp_tableraw&amp;yy'!$AC$3:$AC$38,'2018 Table 10 CWTs exp'!$A32)</f>
        <v>0</v>
      </c>
      <c r="U32" s="44">
        <f>SUMIFS('[11]inland_taf_hatchgrp_tableraw&amp;yy'!U$3:U$38,'[11]inland_taf_hatchgrp_tableraw&amp;yy'!$AC$3:$AC$38,'2018 Table 10 CWTs exp'!$A32)</f>
        <v>0</v>
      </c>
      <c r="V32" s="46">
        <f>SUMIFS('[11]inland_taf_hatchgrp_tableraw&amp;yy'!V$3:V$38,'[11]inland_taf_hatchgrp_tableraw&amp;yy'!$AC$3:$AC$38,'2018 Table 10 CWTs exp'!$A32)</f>
        <v>0</v>
      </c>
      <c r="W32" s="46">
        <f>SUMIFS('[11]inland_taf_hatchgrp_tableraw&amp;yy'!W$3:W$38,'[11]inland_taf_hatchgrp_tableraw&amp;yy'!$AC$3:$AC$38,'2018 Table 10 CWTs exp'!$A32)</f>
        <v>0</v>
      </c>
      <c r="X32" s="44">
        <f>SUMIFS('[11]inland_taf_hatchgrp_tableraw&amp;yy'!X$3:X$38,'[11]inland_taf_hatchgrp_tableraw&amp;yy'!$AC$3:$AC$38,'2018 Table 10 CWTs exp'!$A32)</f>
        <v>0</v>
      </c>
      <c r="Y32" s="84">
        <f>SUMIFS('[11]inland_taf_hatchgrp_tableraw&amp;yy'!Y$3:Y$38,'[11]inland_taf_hatchgrp_tableraw&amp;yy'!$AC$3:$AC$38,'2018 Table 10 CWTs exp'!$A32)</f>
        <v>0</v>
      </c>
      <c r="Z32" s="85">
        <f>SUMIFS('[11]inland_taf_hatchgrp_tableraw&amp;yy'!Z$3:Z$38,'[11]inland_taf_hatchgrp_tableraw&amp;yy'!$AC$3:$AC$38,'2018 Table 10 CWTs exp'!$A32)</f>
        <v>0</v>
      </c>
      <c r="AA32" s="44">
        <f>SUMIFS('[11]inland_taf_hatchgrp_tableraw&amp;yy'!AA$3:AA$38,'[11]inland_taf_hatchgrp_tableraw&amp;yy'!$AC$3:$AC$38,'2018 Table 10 CWTs exp'!$A32)</f>
        <v>0</v>
      </c>
      <c r="AB32" s="44"/>
      <c r="AC32" s="636"/>
      <c r="AD32" s="603">
        <f>SUMIFS('[11]inland_taf_hatchgrp_tableraw&amp;yy'!AB$3:AB$38,'[11]inland_taf_hatchgrp_tableraw&amp;yy'!$AC$3:$AC$38,'2018 Table 10 CWTs exp'!$A32)</f>
        <v>0</v>
      </c>
      <c r="AE32" s="604" t="str">
        <f t="shared" si="9"/>
        <v>NIMW593</v>
      </c>
      <c r="AF32" s="603"/>
      <c r="AG32" s="622" t="e">
        <f t="shared" si="10"/>
        <v>#DIV/0!</v>
      </c>
      <c r="AH32" s="623" t="e">
        <f t="shared" si="11"/>
        <v>#DIV/0!</v>
      </c>
      <c r="AI32" s="605">
        <f t="shared" si="13"/>
        <v>1</v>
      </c>
      <c r="AJ32" s="447">
        <f t="shared" si="12"/>
        <v>0</v>
      </c>
      <c r="AK32" s="448" t="e">
        <f t="shared" si="14"/>
        <v>#DIV/0!</v>
      </c>
      <c r="AL32" s="451"/>
      <c r="AM32" s="442"/>
      <c r="AN32" s="442"/>
      <c r="AO32" s="442"/>
      <c r="AP32" s="442"/>
      <c r="AQ32" s="442"/>
      <c r="AR32" s="442"/>
      <c r="AS32" s="442"/>
      <c r="AT32" s="442"/>
    </row>
    <row r="33" spans="1:46" ht="14.5" customHeight="1" x14ac:dyDescent="0.25">
      <c r="A33" s="50" t="str">
        <f t="shared" si="8"/>
        <v>MOKE543</v>
      </c>
      <c r="B33" s="13" t="s">
        <v>90</v>
      </c>
      <c r="C33" s="13">
        <v>54</v>
      </c>
      <c r="D33" s="13">
        <v>3</v>
      </c>
      <c r="E33" s="3" t="s">
        <v>91</v>
      </c>
      <c r="F33" s="43" t="str">
        <f t="shared" si="15"/>
        <v>Fall</v>
      </c>
      <c r="G33" s="44">
        <f>SUMIFS('[11]inland_taf_hatchgrp_tableraw&amp;yy'!G$3:G$38,'[11]inland_taf_hatchgrp_tableraw&amp;yy'!$AC$3:$AC$38,'2018 Table 10 CWTs exp'!$A33)</f>
        <v>0</v>
      </c>
      <c r="H33" s="45">
        <f>SUMIFS('[11]inland_taf_hatchgrp_tableraw&amp;yy'!H$3:H$38,'[11]inland_taf_hatchgrp_tableraw&amp;yy'!$AC$3:$AC$38,'2018 Table 10 CWTs exp'!$A33)</f>
        <v>0</v>
      </c>
      <c r="I33" s="44">
        <f>SUMIFS('[11]inland_taf_hatchgrp_tableraw&amp;yy'!I$3:I$38,'[11]inland_taf_hatchgrp_tableraw&amp;yy'!$AC$3:$AC$38,'2018 Table 10 CWTs exp'!$A33)</f>
        <v>0</v>
      </c>
      <c r="J33" s="46">
        <f>SUMIFS('[11]inland_taf_hatchgrp_tableraw&amp;yy'!J$3:J$38,'[11]inland_taf_hatchgrp_tableraw&amp;yy'!$AC$3:$AC$38,'2018 Table 10 CWTs exp'!$A33)</f>
        <v>0</v>
      </c>
      <c r="K33" s="44">
        <f>SUMIFS('[11]inland_taf_hatchgrp_tableraw&amp;yy'!K$3:K$38,'[11]inland_taf_hatchgrp_tableraw&amp;yy'!$AC$3:$AC$38,'2018 Table 10 CWTs exp'!$A33)</f>
        <v>0</v>
      </c>
      <c r="L33" s="44">
        <f>SUMIFS('[11]inland_taf_hatchgrp_tableraw&amp;yy'!L$3:L$38,'[11]inland_taf_hatchgrp_tableraw&amp;yy'!$AC$3:$AC$38,'2018 Table 10 CWTs exp'!$A33)</f>
        <v>0</v>
      </c>
      <c r="M33" s="44">
        <f>SUMIFS('[11]inland_taf_hatchgrp_tableraw&amp;yy'!M$3:M$38,'[11]inland_taf_hatchgrp_tableraw&amp;yy'!$AC$3:$AC$38,'2018 Table 10 CWTs exp'!$A33)</f>
        <v>78</v>
      </c>
      <c r="N33" s="46">
        <f>SUMIFS('[11]inland_taf_hatchgrp_tableraw&amp;yy'!N$3:N$38,'[11]inland_taf_hatchgrp_tableraw&amp;yy'!$AC$3:$AC$38,'2018 Table 10 CWTs exp'!$A33)</f>
        <v>31</v>
      </c>
      <c r="O33" s="44">
        <f>SUMIFS('[11]inland_taf_hatchgrp_tableraw&amp;yy'!O$3:O$38,'[11]inland_taf_hatchgrp_tableraw&amp;yy'!$AC$3:$AC$38,'2018 Table 10 CWTs exp'!$A33)</f>
        <v>0</v>
      </c>
      <c r="P33" s="46">
        <f>SUMIFS('[11]inland_taf_hatchgrp_tableraw&amp;yy'!P$3:P$38,'[11]inland_taf_hatchgrp_tableraw&amp;yy'!$AC$3:$AC$38,'2018 Table 10 CWTs exp'!$A33)</f>
        <v>464</v>
      </c>
      <c r="Q33" s="44">
        <f>SUMIFS('[11]inland_taf_hatchgrp_tableraw&amp;yy'!Q$3:Q$38,'[11]inland_taf_hatchgrp_tableraw&amp;yy'!$AC$3:$AC$38,'2018 Table 10 CWTs exp'!$A33)</f>
        <v>124</v>
      </c>
      <c r="R33" s="44">
        <f>SUMIFS('[11]inland_taf_hatchgrp_tableraw&amp;yy'!R$3:R$38,'[11]inland_taf_hatchgrp_tableraw&amp;yy'!$AC$3:$AC$38,'2018 Table 10 CWTs exp'!$A33)</f>
        <v>7004</v>
      </c>
      <c r="S33" s="44">
        <f>SUMIFS('[11]inland_taf_hatchgrp_tableraw&amp;yy'!S$3:S$38,'[11]inland_taf_hatchgrp_tableraw&amp;yy'!$AC$3:$AC$38,'2018 Table 10 CWTs exp'!$A33)</f>
        <v>429</v>
      </c>
      <c r="T33" s="46">
        <f>SUMIFS('[11]inland_taf_hatchgrp_tableraw&amp;yy'!T$3:T$38,'[11]inland_taf_hatchgrp_tableraw&amp;yy'!$AC$3:$AC$38,'2018 Table 10 CWTs exp'!$A33)</f>
        <v>468</v>
      </c>
      <c r="U33" s="44">
        <f>SUMIFS('[11]inland_taf_hatchgrp_tableraw&amp;yy'!U$3:U$38,'[11]inland_taf_hatchgrp_tableraw&amp;yy'!$AC$3:$AC$38,'2018 Table 10 CWTs exp'!$A33)</f>
        <v>44</v>
      </c>
      <c r="V33" s="46">
        <f>SUMIFS('[11]inland_taf_hatchgrp_tableraw&amp;yy'!V$3:V$38,'[11]inland_taf_hatchgrp_tableraw&amp;yy'!$AC$3:$AC$38,'2018 Table 10 CWTs exp'!$A33)</f>
        <v>150</v>
      </c>
      <c r="W33" s="46">
        <f>SUMIFS('[11]inland_taf_hatchgrp_tableraw&amp;yy'!W$3:W$38,'[11]inland_taf_hatchgrp_tableraw&amp;yy'!$AC$3:$AC$38,'2018 Table 10 CWTs exp'!$A33)</f>
        <v>0</v>
      </c>
      <c r="X33" s="44">
        <f>SUMIFS('[11]inland_taf_hatchgrp_tableraw&amp;yy'!X$3:X$38,'[11]inland_taf_hatchgrp_tableraw&amp;yy'!$AC$3:$AC$38,'2018 Table 10 CWTs exp'!$A33)</f>
        <v>0</v>
      </c>
      <c r="Y33" s="84">
        <f>SUMIFS('[11]inland_taf_hatchgrp_tableraw&amp;yy'!Y$3:Y$38,'[11]inland_taf_hatchgrp_tableraw&amp;yy'!$AC$3:$AC$38,'2018 Table 10 CWTs exp'!$A33)</f>
        <v>8792</v>
      </c>
      <c r="Z33" s="85">
        <f>SUMIFS('[11]inland_taf_hatchgrp_tableraw&amp;yy'!Z$3:Z$38,'[11]inland_taf_hatchgrp_tableraw&amp;yy'!$AC$3:$AC$38,'2018 Table 10 CWTs exp'!$A33)</f>
        <v>1263</v>
      </c>
      <c r="AA33" s="44">
        <f>SUMIFS('[11]inland_taf_hatchgrp_tableraw&amp;yy'!AA$3:AA$38,'[11]inland_taf_hatchgrp_tableraw&amp;yy'!$AC$3:$AC$38,'2018 Table 10 CWTs exp'!$A33)</f>
        <v>10055</v>
      </c>
      <c r="AB33" s="44"/>
      <c r="AC33" s="636"/>
      <c r="AD33" s="566">
        <f>SUMIFS('[11]inland_taf_hatchgrp_tableraw&amp;yy'!AB$3:AB$38,'[11]inland_taf_hatchgrp_tableraw&amp;yy'!$AC$3:$AC$38,'2018 Table 10 CWTs exp'!$A33)</f>
        <v>0.874</v>
      </c>
      <c r="AE33" s="604" t="str">
        <f t="shared" si="9"/>
        <v>MOKE543</v>
      </c>
      <c r="AF33" s="442"/>
      <c r="AG33" s="622">
        <f t="shared" si="10"/>
        <v>0.87439085032322228</v>
      </c>
      <c r="AH33" s="623">
        <f t="shared" si="11"/>
        <v>0.12560914967677772</v>
      </c>
      <c r="AI33" s="605">
        <f t="shared" si="13"/>
        <v>0.126</v>
      </c>
      <c r="AJ33" s="447">
        <f t="shared" si="12"/>
        <v>1263</v>
      </c>
      <c r="AK33" s="448">
        <f t="shared" si="14"/>
        <v>0.12560914967677772</v>
      </c>
      <c r="AL33" s="451"/>
      <c r="AM33" s="442"/>
      <c r="AN33" s="442"/>
      <c r="AO33" s="442"/>
      <c r="AP33" s="442"/>
      <c r="AQ33" s="442"/>
      <c r="AR33" s="442"/>
      <c r="AS33" s="442"/>
      <c r="AT33" s="442"/>
    </row>
    <row r="34" spans="1:46" hidden="1" x14ac:dyDescent="0.25">
      <c r="A34" s="50" t="str">
        <f t="shared" si="8"/>
        <v>COSU543</v>
      </c>
      <c r="B34" s="13" t="s">
        <v>92</v>
      </c>
      <c r="C34" s="13">
        <v>54</v>
      </c>
      <c r="D34" s="13">
        <v>3</v>
      </c>
      <c r="E34" s="3" t="s">
        <v>93</v>
      </c>
      <c r="F34" s="43" t="str">
        <f t="shared" si="15"/>
        <v>Fall</v>
      </c>
      <c r="G34" s="44">
        <f>SUMIFS('[11]inland_taf_hatchgrp_tableraw&amp;yy'!G$3:G$38,'[11]inland_taf_hatchgrp_tableraw&amp;yy'!$AC$3:$AC$38,'2018 Table 10 CWTs exp'!$A34)</f>
        <v>0</v>
      </c>
      <c r="H34" s="45">
        <f>SUMIFS('[11]inland_taf_hatchgrp_tableraw&amp;yy'!H$3:H$38,'[11]inland_taf_hatchgrp_tableraw&amp;yy'!$AC$3:$AC$38,'2018 Table 10 CWTs exp'!$A34)</f>
        <v>0</v>
      </c>
      <c r="I34" s="44">
        <f>SUMIFS('[11]inland_taf_hatchgrp_tableraw&amp;yy'!I$3:I$38,'[11]inland_taf_hatchgrp_tableraw&amp;yy'!$AC$3:$AC$38,'2018 Table 10 CWTs exp'!$A34)</f>
        <v>0</v>
      </c>
      <c r="J34" s="46">
        <f>SUMIFS('[11]inland_taf_hatchgrp_tableraw&amp;yy'!J$3:J$38,'[11]inland_taf_hatchgrp_tableraw&amp;yy'!$AC$3:$AC$38,'2018 Table 10 CWTs exp'!$A34)</f>
        <v>0</v>
      </c>
      <c r="K34" s="44">
        <f>SUMIFS('[11]inland_taf_hatchgrp_tableraw&amp;yy'!K$3:K$38,'[11]inland_taf_hatchgrp_tableraw&amp;yy'!$AC$3:$AC$38,'2018 Table 10 CWTs exp'!$A34)</f>
        <v>0</v>
      </c>
      <c r="L34" s="44">
        <f>SUMIFS('[11]inland_taf_hatchgrp_tableraw&amp;yy'!L$3:L$38,'[11]inland_taf_hatchgrp_tableraw&amp;yy'!$AC$3:$AC$38,'2018 Table 10 CWTs exp'!$A34)</f>
        <v>0</v>
      </c>
      <c r="M34" s="44">
        <f>SUMIFS('[11]inland_taf_hatchgrp_tableraw&amp;yy'!M$3:M$38,'[11]inland_taf_hatchgrp_tableraw&amp;yy'!$AC$3:$AC$38,'2018 Table 10 CWTs exp'!$A34)</f>
        <v>0</v>
      </c>
      <c r="N34" s="46">
        <f>SUMIFS('[11]inland_taf_hatchgrp_tableraw&amp;yy'!N$3:N$38,'[11]inland_taf_hatchgrp_tableraw&amp;yy'!$AC$3:$AC$38,'2018 Table 10 CWTs exp'!$A34)</f>
        <v>0</v>
      </c>
      <c r="O34" s="44">
        <f>SUMIFS('[11]inland_taf_hatchgrp_tableraw&amp;yy'!O$3:O$38,'[11]inland_taf_hatchgrp_tableraw&amp;yy'!$AC$3:$AC$38,'2018 Table 10 CWTs exp'!$A34)</f>
        <v>0</v>
      </c>
      <c r="P34" s="46">
        <f>SUMIFS('[11]inland_taf_hatchgrp_tableraw&amp;yy'!P$3:P$38,'[11]inland_taf_hatchgrp_tableraw&amp;yy'!$AC$3:$AC$38,'2018 Table 10 CWTs exp'!$A34)</f>
        <v>0</v>
      </c>
      <c r="Q34" s="44">
        <f>SUMIFS('[11]inland_taf_hatchgrp_tableraw&amp;yy'!Q$3:Q$38,'[11]inland_taf_hatchgrp_tableraw&amp;yy'!$AC$3:$AC$38,'2018 Table 10 CWTs exp'!$A34)</f>
        <v>0</v>
      </c>
      <c r="R34" s="44">
        <f>SUMIFS('[11]inland_taf_hatchgrp_tableraw&amp;yy'!R$3:R$38,'[11]inland_taf_hatchgrp_tableraw&amp;yy'!$AC$3:$AC$38,'2018 Table 10 CWTs exp'!$A34)</f>
        <v>0</v>
      </c>
      <c r="S34" s="44">
        <f>SUMIFS('[11]inland_taf_hatchgrp_tableraw&amp;yy'!S$3:S$38,'[11]inland_taf_hatchgrp_tableraw&amp;yy'!$AC$3:$AC$38,'2018 Table 10 CWTs exp'!$A34)</f>
        <v>0</v>
      </c>
      <c r="T34" s="46">
        <f>SUMIFS('[11]inland_taf_hatchgrp_tableraw&amp;yy'!T$3:T$38,'[11]inland_taf_hatchgrp_tableraw&amp;yy'!$AC$3:$AC$38,'2018 Table 10 CWTs exp'!$A34)</f>
        <v>0</v>
      </c>
      <c r="U34" s="44">
        <f>SUMIFS('[11]inland_taf_hatchgrp_tableraw&amp;yy'!U$3:U$38,'[11]inland_taf_hatchgrp_tableraw&amp;yy'!$AC$3:$AC$38,'2018 Table 10 CWTs exp'!$A34)</f>
        <v>0</v>
      </c>
      <c r="V34" s="46">
        <f>SUMIFS('[11]inland_taf_hatchgrp_tableraw&amp;yy'!V$3:V$38,'[11]inland_taf_hatchgrp_tableraw&amp;yy'!$AC$3:$AC$38,'2018 Table 10 CWTs exp'!$A34)</f>
        <v>0</v>
      </c>
      <c r="W34" s="46">
        <f>SUMIFS('[11]inland_taf_hatchgrp_tableraw&amp;yy'!W$3:W$38,'[11]inland_taf_hatchgrp_tableraw&amp;yy'!$AC$3:$AC$38,'2018 Table 10 CWTs exp'!$A34)</f>
        <v>0</v>
      </c>
      <c r="X34" s="44">
        <f>SUMIFS('[11]inland_taf_hatchgrp_tableraw&amp;yy'!X$3:X$38,'[11]inland_taf_hatchgrp_tableraw&amp;yy'!$AC$3:$AC$38,'2018 Table 10 CWTs exp'!$A34)</f>
        <v>0</v>
      </c>
      <c r="Y34" s="84">
        <f>SUMIFS('[11]inland_taf_hatchgrp_tableraw&amp;yy'!Y$3:Y$38,'[11]inland_taf_hatchgrp_tableraw&amp;yy'!$AC$3:$AC$38,'2018 Table 10 CWTs exp'!$A34)</f>
        <v>0</v>
      </c>
      <c r="Z34" s="85">
        <f>SUMIFS('[11]inland_taf_hatchgrp_tableraw&amp;yy'!Z$3:Z$38,'[11]inland_taf_hatchgrp_tableraw&amp;yy'!$AC$3:$AC$38,'2018 Table 10 CWTs exp'!$A34)</f>
        <v>0</v>
      </c>
      <c r="AA34" s="44">
        <f>SUMIFS('[11]inland_taf_hatchgrp_tableraw&amp;yy'!AA$3:AA$38,'[11]inland_taf_hatchgrp_tableraw&amp;yy'!$AC$3:$AC$38,'2018 Table 10 CWTs exp'!$A34)</f>
        <v>0</v>
      </c>
      <c r="AB34" s="44"/>
      <c r="AC34" s="636"/>
      <c r="AD34" s="641">
        <f>SUMIFS('[11]inland_taf_hatchgrp_tableraw&amp;yy'!AB$3:AB$38,'[11]inland_taf_hatchgrp_tableraw&amp;yy'!$AC$3:$AC$38,'2018 Table 10 CWTs exp'!$A34)</f>
        <v>0</v>
      </c>
      <c r="AE34" s="637" t="str">
        <f t="shared" si="9"/>
        <v>COSU543</v>
      </c>
      <c r="AF34" s="442"/>
      <c r="AG34" s="622" t="e">
        <f t="shared" si="10"/>
        <v>#DIV/0!</v>
      </c>
      <c r="AH34" s="623" t="e">
        <f t="shared" si="11"/>
        <v>#DIV/0!</v>
      </c>
      <c r="AI34" s="605">
        <f t="shared" si="13"/>
        <v>1</v>
      </c>
      <c r="AJ34" s="447">
        <f t="shared" si="12"/>
        <v>0</v>
      </c>
      <c r="AK34" s="448" t="e">
        <f t="shared" si="14"/>
        <v>#DIV/0!</v>
      </c>
      <c r="AL34" s="451"/>
      <c r="AM34" s="442"/>
      <c r="AN34" s="442"/>
      <c r="AO34" s="442"/>
      <c r="AP34" s="442"/>
      <c r="AQ34" s="442"/>
      <c r="AR34" s="442"/>
      <c r="AS34" s="442"/>
      <c r="AT34" s="442"/>
    </row>
    <row r="35" spans="1:46" hidden="1" x14ac:dyDescent="0.25">
      <c r="A35" s="50" t="str">
        <f t="shared" si="8"/>
        <v>CAL543</v>
      </c>
      <c r="B35" s="13" t="s">
        <v>94</v>
      </c>
      <c r="C35" s="13">
        <v>54</v>
      </c>
      <c r="D35" s="13">
        <v>3</v>
      </c>
      <c r="E35" s="3" t="s">
        <v>166</v>
      </c>
      <c r="F35" s="43" t="str">
        <f t="shared" si="15"/>
        <v>Fall</v>
      </c>
      <c r="G35" s="44">
        <f>SUMIFS('[11]inland_taf_hatchgrp_tableraw&amp;yy'!G$3:G$38,'[11]inland_taf_hatchgrp_tableraw&amp;yy'!$AC$3:$AC$38,'2018 Table 10 CWTs exp'!$A35)</f>
        <v>0</v>
      </c>
      <c r="H35" s="45">
        <f>SUMIFS('[11]inland_taf_hatchgrp_tableraw&amp;yy'!H$3:H$38,'[11]inland_taf_hatchgrp_tableraw&amp;yy'!$AC$3:$AC$38,'2018 Table 10 CWTs exp'!$A35)</f>
        <v>0</v>
      </c>
      <c r="I35" s="44">
        <f>SUMIFS('[11]inland_taf_hatchgrp_tableraw&amp;yy'!I$3:I$38,'[11]inland_taf_hatchgrp_tableraw&amp;yy'!$AC$3:$AC$38,'2018 Table 10 CWTs exp'!$A35)</f>
        <v>0</v>
      </c>
      <c r="J35" s="46">
        <f>SUMIFS('[11]inland_taf_hatchgrp_tableraw&amp;yy'!J$3:J$38,'[11]inland_taf_hatchgrp_tableraw&amp;yy'!$AC$3:$AC$38,'2018 Table 10 CWTs exp'!$A35)</f>
        <v>0</v>
      </c>
      <c r="K35" s="44">
        <f>SUMIFS('[11]inland_taf_hatchgrp_tableraw&amp;yy'!K$3:K$38,'[11]inland_taf_hatchgrp_tableraw&amp;yy'!$AC$3:$AC$38,'2018 Table 10 CWTs exp'!$A35)</f>
        <v>0</v>
      </c>
      <c r="L35" s="44">
        <f>SUMIFS('[11]inland_taf_hatchgrp_tableraw&amp;yy'!L$3:L$38,'[11]inland_taf_hatchgrp_tableraw&amp;yy'!$AC$3:$AC$38,'2018 Table 10 CWTs exp'!$A35)</f>
        <v>0</v>
      </c>
      <c r="M35" s="44">
        <f>SUMIFS('[11]inland_taf_hatchgrp_tableraw&amp;yy'!M$3:M$38,'[11]inland_taf_hatchgrp_tableraw&amp;yy'!$AC$3:$AC$38,'2018 Table 10 CWTs exp'!$A35)</f>
        <v>0</v>
      </c>
      <c r="N35" s="46">
        <f>SUMIFS('[11]inland_taf_hatchgrp_tableraw&amp;yy'!N$3:N$38,'[11]inland_taf_hatchgrp_tableraw&amp;yy'!$AC$3:$AC$38,'2018 Table 10 CWTs exp'!$A35)</f>
        <v>0</v>
      </c>
      <c r="O35" s="44">
        <f>SUMIFS('[11]inland_taf_hatchgrp_tableraw&amp;yy'!O$3:O$38,'[11]inland_taf_hatchgrp_tableraw&amp;yy'!$AC$3:$AC$38,'2018 Table 10 CWTs exp'!$A35)</f>
        <v>0</v>
      </c>
      <c r="P35" s="46">
        <f>SUMIFS('[11]inland_taf_hatchgrp_tableraw&amp;yy'!P$3:P$38,'[11]inland_taf_hatchgrp_tableraw&amp;yy'!$AC$3:$AC$38,'2018 Table 10 CWTs exp'!$A35)</f>
        <v>0</v>
      </c>
      <c r="Q35" s="44">
        <f>SUMIFS('[11]inland_taf_hatchgrp_tableraw&amp;yy'!Q$3:Q$38,'[11]inland_taf_hatchgrp_tableraw&amp;yy'!$AC$3:$AC$38,'2018 Table 10 CWTs exp'!$A35)</f>
        <v>0</v>
      </c>
      <c r="R35" s="44">
        <f>SUMIFS('[11]inland_taf_hatchgrp_tableraw&amp;yy'!R$3:R$38,'[11]inland_taf_hatchgrp_tableraw&amp;yy'!$AC$3:$AC$38,'2018 Table 10 CWTs exp'!$A35)</f>
        <v>0</v>
      </c>
      <c r="S35" s="44">
        <f>SUMIFS('[11]inland_taf_hatchgrp_tableraw&amp;yy'!S$3:S$38,'[11]inland_taf_hatchgrp_tableraw&amp;yy'!$AC$3:$AC$38,'2018 Table 10 CWTs exp'!$A35)</f>
        <v>0</v>
      </c>
      <c r="T35" s="46">
        <f>SUMIFS('[11]inland_taf_hatchgrp_tableraw&amp;yy'!T$3:T$38,'[11]inland_taf_hatchgrp_tableraw&amp;yy'!$AC$3:$AC$38,'2018 Table 10 CWTs exp'!$A35)</f>
        <v>0</v>
      </c>
      <c r="U35" s="44">
        <f>SUMIFS('[11]inland_taf_hatchgrp_tableraw&amp;yy'!U$3:U$38,'[11]inland_taf_hatchgrp_tableraw&amp;yy'!$AC$3:$AC$38,'2018 Table 10 CWTs exp'!$A35)</f>
        <v>0</v>
      </c>
      <c r="V35" s="46">
        <f>SUMIFS('[11]inland_taf_hatchgrp_tableraw&amp;yy'!V$3:V$38,'[11]inland_taf_hatchgrp_tableraw&amp;yy'!$AC$3:$AC$38,'2018 Table 10 CWTs exp'!$A35)</f>
        <v>0</v>
      </c>
      <c r="W35" s="46">
        <f>SUMIFS('[11]inland_taf_hatchgrp_tableraw&amp;yy'!W$3:W$38,'[11]inland_taf_hatchgrp_tableraw&amp;yy'!$AC$3:$AC$38,'2018 Table 10 CWTs exp'!$A35)</f>
        <v>0</v>
      </c>
      <c r="X35" s="44">
        <f>SUMIFS('[11]inland_taf_hatchgrp_tableraw&amp;yy'!X$3:X$38,'[11]inland_taf_hatchgrp_tableraw&amp;yy'!$AC$3:$AC$38,'2018 Table 10 CWTs exp'!$A35)</f>
        <v>0</v>
      </c>
      <c r="Y35" s="84">
        <f>SUMIFS('[11]inland_taf_hatchgrp_tableraw&amp;yy'!Y$3:Y$38,'[11]inland_taf_hatchgrp_tableraw&amp;yy'!$AC$3:$AC$38,'2018 Table 10 CWTs exp'!$A35)</f>
        <v>0</v>
      </c>
      <c r="Z35" s="85">
        <f>SUMIFS('[11]inland_taf_hatchgrp_tableraw&amp;yy'!Z$3:Z$38,'[11]inland_taf_hatchgrp_tableraw&amp;yy'!$AC$3:$AC$38,'2018 Table 10 CWTs exp'!$A35)</f>
        <v>0</v>
      </c>
      <c r="AA35" s="44">
        <f>SUMIFS('[11]inland_taf_hatchgrp_tableraw&amp;yy'!AA$3:AA$38,'[11]inland_taf_hatchgrp_tableraw&amp;yy'!$AC$3:$AC$38,'2018 Table 10 CWTs exp'!$A35)</f>
        <v>0</v>
      </c>
      <c r="AB35" s="44"/>
      <c r="AC35" s="636"/>
      <c r="AD35" s="567">
        <f>SUMIFS('[11]inland_taf_hatchgrp_tableraw&amp;yy'!AB$3:AB$38,'[11]inland_taf_hatchgrp_tableraw&amp;yy'!$AC$3:$AC$38,'2018 Table 10 CWTs exp'!$A35)</f>
        <v>0</v>
      </c>
      <c r="AE35" s="604" t="str">
        <f t="shared" si="9"/>
        <v>CAL543</v>
      </c>
      <c r="AF35" s="442"/>
      <c r="AG35" s="622" t="e">
        <f t="shared" si="10"/>
        <v>#DIV/0!</v>
      </c>
      <c r="AH35" s="623" t="e">
        <f t="shared" si="11"/>
        <v>#DIV/0!</v>
      </c>
      <c r="AI35" s="605">
        <f t="shared" si="13"/>
        <v>1</v>
      </c>
      <c r="AJ35" s="447">
        <f t="shared" si="12"/>
        <v>0</v>
      </c>
      <c r="AK35" s="448" t="e">
        <f t="shared" si="14"/>
        <v>#DIV/0!</v>
      </c>
      <c r="AL35" s="451"/>
      <c r="AM35" s="442"/>
      <c r="AN35" s="442"/>
      <c r="AO35" s="442"/>
      <c r="AP35" s="442"/>
      <c r="AQ35" s="442"/>
      <c r="AR35" s="442"/>
      <c r="AS35" s="442"/>
      <c r="AT35" s="442"/>
    </row>
    <row r="36" spans="1:46" ht="14.5" customHeight="1" x14ac:dyDescent="0.25">
      <c r="A36" s="50" t="str">
        <f t="shared" si="8"/>
        <v>STA543</v>
      </c>
      <c r="B36" s="13" t="s">
        <v>96</v>
      </c>
      <c r="C36" s="13">
        <v>54</v>
      </c>
      <c r="D36" s="13">
        <v>3</v>
      </c>
      <c r="E36" s="3" t="s">
        <v>97</v>
      </c>
      <c r="F36" s="43" t="str">
        <f t="shared" si="15"/>
        <v>Fall</v>
      </c>
      <c r="G36" s="44">
        <f>SUMIFS('[11]inland_taf_hatchgrp_tableraw&amp;yy'!G$3:G$38,'[11]inland_taf_hatchgrp_tableraw&amp;yy'!$AC$3:$AC$38,'2018 Table 10 CWTs exp'!$A36)</f>
        <v>0</v>
      </c>
      <c r="H36" s="45">
        <f>SUMIFS('[11]inland_taf_hatchgrp_tableraw&amp;yy'!H$3:H$38,'[11]inland_taf_hatchgrp_tableraw&amp;yy'!$AC$3:$AC$38,'2018 Table 10 CWTs exp'!$A36)</f>
        <v>0</v>
      </c>
      <c r="I36" s="44">
        <f>SUMIFS('[11]inland_taf_hatchgrp_tableraw&amp;yy'!I$3:I$38,'[11]inland_taf_hatchgrp_tableraw&amp;yy'!$AC$3:$AC$38,'2018 Table 10 CWTs exp'!$A36)</f>
        <v>0</v>
      </c>
      <c r="J36" s="46">
        <f>SUMIFS('[11]inland_taf_hatchgrp_tableraw&amp;yy'!J$3:J$38,'[11]inland_taf_hatchgrp_tableraw&amp;yy'!$AC$3:$AC$38,'2018 Table 10 CWTs exp'!$A36)</f>
        <v>0</v>
      </c>
      <c r="K36" s="44">
        <f>SUMIFS('[11]inland_taf_hatchgrp_tableraw&amp;yy'!K$3:K$38,'[11]inland_taf_hatchgrp_tableraw&amp;yy'!$AC$3:$AC$38,'2018 Table 10 CWTs exp'!$A36)</f>
        <v>0</v>
      </c>
      <c r="L36" s="44">
        <f>SUMIFS('[11]inland_taf_hatchgrp_tableraw&amp;yy'!L$3:L$38,'[11]inland_taf_hatchgrp_tableraw&amp;yy'!$AC$3:$AC$38,'2018 Table 10 CWTs exp'!$A36)</f>
        <v>0</v>
      </c>
      <c r="M36" s="44">
        <f>SUMIFS('[11]inland_taf_hatchgrp_tableraw&amp;yy'!M$3:M$38,'[11]inland_taf_hatchgrp_tableraw&amp;yy'!$AC$3:$AC$38,'2018 Table 10 CWTs exp'!$A36)</f>
        <v>17</v>
      </c>
      <c r="N36" s="46">
        <f>SUMIFS('[11]inland_taf_hatchgrp_tableraw&amp;yy'!N$3:N$38,'[11]inland_taf_hatchgrp_tableraw&amp;yy'!$AC$3:$AC$38,'2018 Table 10 CWTs exp'!$A36)</f>
        <v>0</v>
      </c>
      <c r="O36" s="44">
        <f>SUMIFS('[11]inland_taf_hatchgrp_tableraw&amp;yy'!O$3:O$38,'[11]inland_taf_hatchgrp_tableraw&amp;yy'!$AC$3:$AC$38,'2018 Table 10 CWTs exp'!$A36)</f>
        <v>0</v>
      </c>
      <c r="P36" s="46">
        <f>SUMIFS('[11]inland_taf_hatchgrp_tableraw&amp;yy'!P$3:P$38,'[11]inland_taf_hatchgrp_tableraw&amp;yy'!$AC$3:$AC$38,'2018 Table 10 CWTs exp'!$A36)</f>
        <v>33</v>
      </c>
      <c r="Q36" s="44">
        <f>SUMIFS('[11]inland_taf_hatchgrp_tableraw&amp;yy'!Q$3:Q$38,'[11]inland_taf_hatchgrp_tableraw&amp;yy'!$AC$3:$AC$38,'2018 Table 10 CWTs exp'!$A36)</f>
        <v>4</v>
      </c>
      <c r="R36" s="44">
        <f>SUMIFS('[11]inland_taf_hatchgrp_tableraw&amp;yy'!R$3:R$38,'[11]inland_taf_hatchgrp_tableraw&amp;yy'!$AC$3:$AC$38,'2018 Table 10 CWTs exp'!$A36)</f>
        <v>1539</v>
      </c>
      <c r="S36" s="44">
        <f>SUMIFS('[11]inland_taf_hatchgrp_tableraw&amp;yy'!S$3:S$38,'[11]inland_taf_hatchgrp_tableraw&amp;yy'!$AC$3:$AC$38,'2018 Table 10 CWTs exp'!$A36)</f>
        <v>46</v>
      </c>
      <c r="T36" s="46">
        <f>SUMIFS('[11]inland_taf_hatchgrp_tableraw&amp;yy'!T$3:T$38,'[11]inland_taf_hatchgrp_tableraw&amp;yy'!$AC$3:$AC$38,'2018 Table 10 CWTs exp'!$A36)</f>
        <v>46</v>
      </c>
      <c r="U36" s="44">
        <f>SUMIFS('[11]inland_taf_hatchgrp_tableraw&amp;yy'!U$3:U$38,'[11]inland_taf_hatchgrp_tableraw&amp;yy'!$AC$3:$AC$38,'2018 Table 10 CWTs exp'!$A36)</f>
        <v>0</v>
      </c>
      <c r="V36" s="46">
        <f>SUMIFS('[11]inland_taf_hatchgrp_tableraw&amp;yy'!V$3:V$38,'[11]inland_taf_hatchgrp_tableraw&amp;yy'!$AC$3:$AC$38,'2018 Table 10 CWTs exp'!$A36)</f>
        <v>102</v>
      </c>
      <c r="W36" s="46">
        <f>SUMIFS('[11]inland_taf_hatchgrp_tableraw&amp;yy'!W$3:W$38,'[11]inland_taf_hatchgrp_tableraw&amp;yy'!$AC$3:$AC$38,'2018 Table 10 CWTs exp'!$A36)</f>
        <v>0</v>
      </c>
      <c r="X36" s="44">
        <f>SUMIFS('[11]inland_taf_hatchgrp_tableraw&amp;yy'!X$3:X$38,'[11]inland_taf_hatchgrp_tableraw&amp;yy'!$AC$3:$AC$38,'2018 Table 10 CWTs exp'!$A36)</f>
        <v>0</v>
      </c>
      <c r="Y36" s="84">
        <f>SUMIFS('[11]inland_taf_hatchgrp_tableraw&amp;yy'!Y$3:Y$38,'[11]inland_taf_hatchgrp_tableraw&amp;yy'!$AC$3:$AC$38,'2018 Table 10 CWTs exp'!$A36)</f>
        <v>1787</v>
      </c>
      <c r="Z36" s="85">
        <f>SUMIFS('[11]inland_taf_hatchgrp_tableraw&amp;yy'!Z$3:Z$38,'[11]inland_taf_hatchgrp_tableraw&amp;yy'!$AC$3:$AC$38,'2018 Table 10 CWTs exp'!$A36)</f>
        <v>590</v>
      </c>
      <c r="AA36" s="44">
        <f>SUMIFS('[11]inland_taf_hatchgrp_tableraw&amp;yy'!AA$3:AA$38,'[11]inland_taf_hatchgrp_tableraw&amp;yy'!$AC$3:$AC$38,'2018 Table 10 CWTs exp'!$A36)</f>
        <v>2377</v>
      </c>
      <c r="AB36" s="44"/>
      <c r="AC36" s="636"/>
      <c r="AD36" s="566">
        <f>SUMIFS('[11]inland_taf_hatchgrp_tableraw&amp;yy'!AB$3:AB$38,'[11]inland_taf_hatchgrp_tableraw&amp;yy'!$AC$3:$AC$38,'2018 Table 10 CWTs exp'!$A36)</f>
        <v>0.752</v>
      </c>
      <c r="AE36" s="604" t="str">
        <f t="shared" si="9"/>
        <v>STA543</v>
      </c>
      <c r="AF36" s="442"/>
      <c r="AG36" s="622">
        <f t="shared" si="10"/>
        <v>0.75178796802692471</v>
      </c>
      <c r="AH36" s="623">
        <f t="shared" si="11"/>
        <v>0.24821203197307531</v>
      </c>
      <c r="AI36" s="605">
        <f t="shared" si="13"/>
        <v>0.248</v>
      </c>
      <c r="AJ36" s="447">
        <f t="shared" si="12"/>
        <v>590</v>
      </c>
      <c r="AK36" s="448">
        <f t="shared" si="14"/>
        <v>0.24821203197307531</v>
      </c>
      <c r="AL36" s="451"/>
      <c r="AM36" s="442"/>
      <c r="AN36" s="442"/>
      <c r="AO36" s="442"/>
      <c r="AP36" s="442"/>
      <c r="AQ36" s="442"/>
      <c r="AR36" s="442"/>
      <c r="AS36" s="442"/>
      <c r="AT36" s="442"/>
    </row>
    <row r="37" spans="1:46" ht="14.5" customHeight="1" x14ac:dyDescent="0.25">
      <c r="A37" s="50" t="str">
        <f t="shared" si="8"/>
        <v>TUO543</v>
      </c>
      <c r="B37" s="13" t="s">
        <v>98</v>
      </c>
      <c r="C37" s="13">
        <v>54</v>
      </c>
      <c r="D37" s="13">
        <v>3</v>
      </c>
      <c r="E37" s="3" t="s">
        <v>99</v>
      </c>
      <c r="F37" s="43" t="str">
        <f t="shared" si="15"/>
        <v>Fall</v>
      </c>
      <c r="G37" s="44">
        <f>SUMIFS('[11]inland_taf_hatchgrp_tableraw&amp;yy'!G$3:G$38,'[11]inland_taf_hatchgrp_tableraw&amp;yy'!$AC$3:$AC$38,'2018 Table 10 CWTs exp'!$A37)</f>
        <v>0</v>
      </c>
      <c r="H37" s="45">
        <f>SUMIFS('[11]inland_taf_hatchgrp_tableraw&amp;yy'!H$3:H$38,'[11]inland_taf_hatchgrp_tableraw&amp;yy'!$AC$3:$AC$38,'2018 Table 10 CWTs exp'!$A37)</f>
        <v>0</v>
      </c>
      <c r="I37" s="44">
        <f>SUMIFS('[11]inland_taf_hatchgrp_tableraw&amp;yy'!I$3:I$38,'[11]inland_taf_hatchgrp_tableraw&amp;yy'!$AC$3:$AC$38,'2018 Table 10 CWTs exp'!$A37)</f>
        <v>0</v>
      </c>
      <c r="J37" s="46">
        <f>SUMIFS('[11]inland_taf_hatchgrp_tableraw&amp;yy'!J$3:J$38,'[11]inland_taf_hatchgrp_tableraw&amp;yy'!$AC$3:$AC$38,'2018 Table 10 CWTs exp'!$A37)</f>
        <v>0</v>
      </c>
      <c r="K37" s="44">
        <f>SUMIFS('[11]inland_taf_hatchgrp_tableraw&amp;yy'!K$3:K$38,'[11]inland_taf_hatchgrp_tableraw&amp;yy'!$AC$3:$AC$38,'2018 Table 10 CWTs exp'!$A37)</f>
        <v>0</v>
      </c>
      <c r="L37" s="44">
        <f>SUMIFS('[11]inland_taf_hatchgrp_tableraw&amp;yy'!L$3:L$38,'[11]inland_taf_hatchgrp_tableraw&amp;yy'!$AC$3:$AC$38,'2018 Table 10 CWTs exp'!$A37)</f>
        <v>0</v>
      </c>
      <c r="M37" s="44">
        <f>SUMIFS('[11]inland_taf_hatchgrp_tableraw&amp;yy'!M$3:M$38,'[11]inland_taf_hatchgrp_tableraw&amp;yy'!$AC$3:$AC$38,'2018 Table 10 CWTs exp'!$A37)</f>
        <v>17</v>
      </c>
      <c r="N37" s="46">
        <f>SUMIFS('[11]inland_taf_hatchgrp_tableraw&amp;yy'!N$3:N$38,'[11]inland_taf_hatchgrp_tableraw&amp;yy'!$AC$3:$AC$38,'2018 Table 10 CWTs exp'!$A37)</f>
        <v>17</v>
      </c>
      <c r="O37" s="44">
        <f>SUMIFS('[11]inland_taf_hatchgrp_tableraw&amp;yy'!O$3:O$38,'[11]inland_taf_hatchgrp_tableraw&amp;yy'!$AC$3:$AC$38,'2018 Table 10 CWTs exp'!$A37)</f>
        <v>0</v>
      </c>
      <c r="P37" s="46">
        <f>SUMIFS('[11]inland_taf_hatchgrp_tableraw&amp;yy'!P$3:P$38,'[11]inland_taf_hatchgrp_tableraw&amp;yy'!$AC$3:$AC$38,'2018 Table 10 CWTs exp'!$A37)</f>
        <v>25</v>
      </c>
      <c r="Q37" s="44">
        <f>SUMIFS('[11]inland_taf_hatchgrp_tableraw&amp;yy'!Q$3:Q$38,'[11]inland_taf_hatchgrp_tableraw&amp;yy'!$AC$3:$AC$38,'2018 Table 10 CWTs exp'!$A37)</f>
        <v>0</v>
      </c>
      <c r="R37" s="44">
        <f>SUMIFS('[11]inland_taf_hatchgrp_tableraw&amp;yy'!R$3:R$38,'[11]inland_taf_hatchgrp_tableraw&amp;yy'!$AC$3:$AC$38,'2018 Table 10 CWTs exp'!$A37)</f>
        <v>427</v>
      </c>
      <c r="S37" s="44">
        <f>SUMIFS('[11]inland_taf_hatchgrp_tableraw&amp;yy'!S$3:S$38,'[11]inland_taf_hatchgrp_tableraw&amp;yy'!$AC$3:$AC$38,'2018 Table 10 CWTs exp'!$A37)</f>
        <v>4</v>
      </c>
      <c r="T37" s="46">
        <f>SUMIFS('[11]inland_taf_hatchgrp_tableraw&amp;yy'!T$3:T$38,'[11]inland_taf_hatchgrp_tableraw&amp;yy'!$AC$3:$AC$38,'2018 Table 10 CWTs exp'!$A37)</f>
        <v>8</v>
      </c>
      <c r="U37" s="44">
        <f>SUMIFS('[11]inland_taf_hatchgrp_tableraw&amp;yy'!U$3:U$38,'[11]inland_taf_hatchgrp_tableraw&amp;yy'!$AC$3:$AC$38,'2018 Table 10 CWTs exp'!$A37)</f>
        <v>0</v>
      </c>
      <c r="V37" s="46">
        <f>SUMIFS('[11]inland_taf_hatchgrp_tableraw&amp;yy'!V$3:V$38,'[11]inland_taf_hatchgrp_tableraw&amp;yy'!$AC$3:$AC$38,'2018 Table 10 CWTs exp'!$A37)</f>
        <v>121</v>
      </c>
      <c r="W37" s="46">
        <f>SUMIFS('[11]inland_taf_hatchgrp_tableraw&amp;yy'!W$3:W$38,'[11]inland_taf_hatchgrp_tableraw&amp;yy'!$AC$3:$AC$38,'2018 Table 10 CWTs exp'!$A37)</f>
        <v>0</v>
      </c>
      <c r="X37" s="44">
        <f>SUMIFS('[11]inland_taf_hatchgrp_tableraw&amp;yy'!X$3:X$38,'[11]inland_taf_hatchgrp_tableraw&amp;yy'!$AC$3:$AC$38,'2018 Table 10 CWTs exp'!$A37)</f>
        <v>0</v>
      </c>
      <c r="Y37" s="84">
        <f>SUMIFS('[11]inland_taf_hatchgrp_tableraw&amp;yy'!Y$3:Y$38,'[11]inland_taf_hatchgrp_tableraw&amp;yy'!$AC$3:$AC$38,'2018 Table 10 CWTs exp'!$A37)</f>
        <v>619</v>
      </c>
      <c r="Z37" s="85">
        <f>SUMIFS('[11]inland_taf_hatchgrp_tableraw&amp;yy'!Z$3:Z$38,'[11]inland_taf_hatchgrp_tableraw&amp;yy'!$AC$3:$AC$38,'2018 Table 10 CWTs exp'!$A37)</f>
        <v>458</v>
      </c>
      <c r="AA37" s="44">
        <f>SUMIFS('[11]inland_taf_hatchgrp_tableraw&amp;yy'!AA$3:AA$38,'[11]inland_taf_hatchgrp_tableraw&amp;yy'!$AC$3:$AC$38,'2018 Table 10 CWTs exp'!$A37)</f>
        <v>1077</v>
      </c>
      <c r="AB37" s="44"/>
      <c r="AC37" s="636"/>
      <c r="AD37" s="566">
        <f>SUMIFS('[11]inland_taf_hatchgrp_tableraw&amp;yy'!AB$3:AB$38,'[11]inland_taf_hatchgrp_tableraw&amp;yy'!$AC$3:$AC$38,'2018 Table 10 CWTs exp'!$A37)</f>
        <v>0.57499999999999996</v>
      </c>
      <c r="AE37" s="604" t="str">
        <f t="shared" si="9"/>
        <v>TUO543</v>
      </c>
      <c r="AF37" s="442"/>
      <c r="AG37" s="622">
        <f>Y37/AA37</f>
        <v>0.57474466109563604</v>
      </c>
      <c r="AH37" s="623">
        <f t="shared" si="11"/>
        <v>0.42525533890436396</v>
      </c>
      <c r="AI37" s="605">
        <f t="shared" si="13"/>
        <v>0.42500000000000004</v>
      </c>
      <c r="AJ37" s="447">
        <f t="shared" si="12"/>
        <v>458</v>
      </c>
      <c r="AK37" s="448">
        <f t="shared" si="14"/>
        <v>0.42525533890436396</v>
      </c>
      <c r="AL37" s="451"/>
      <c r="AM37" s="442"/>
      <c r="AN37" s="442"/>
      <c r="AO37" s="442"/>
      <c r="AP37" s="442"/>
      <c r="AQ37" s="442"/>
      <c r="AR37" s="442"/>
      <c r="AS37" s="442"/>
      <c r="AT37" s="442"/>
    </row>
    <row r="38" spans="1:46" ht="14.5" customHeight="1" x14ac:dyDescent="0.25">
      <c r="A38" s="50" t="str">
        <f t="shared" si="8"/>
        <v>MER543</v>
      </c>
      <c r="B38" s="13" t="s">
        <v>5</v>
      </c>
      <c r="C38" s="13">
        <v>54</v>
      </c>
      <c r="D38" s="13">
        <v>3</v>
      </c>
      <c r="E38" s="3" t="s">
        <v>100</v>
      </c>
      <c r="F38" s="43" t="str">
        <f t="shared" si="15"/>
        <v>Fall</v>
      </c>
      <c r="G38" s="38">
        <f>SUMIFS('[11]inland_taf_hatchgrp_tableraw&amp;yy'!G$3:G$38,'[11]inland_taf_hatchgrp_tableraw&amp;yy'!$AC$3:$AC$38,'2018 Table 10 CWTs exp'!$A38)</f>
        <v>0</v>
      </c>
      <c r="H38" s="39">
        <f>SUMIFS('[11]inland_taf_hatchgrp_tableraw&amp;yy'!H$3:H$38,'[11]inland_taf_hatchgrp_tableraw&amp;yy'!$AC$3:$AC$38,'2018 Table 10 CWTs exp'!$A38)</f>
        <v>0</v>
      </c>
      <c r="I38" s="38">
        <f>SUMIFS('[11]inland_taf_hatchgrp_tableraw&amp;yy'!I$3:I$38,'[11]inland_taf_hatchgrp_tableraw&amp;yy'!$AC$3:$AC$38,'2018 Table 10 CWTs exp'!$A38)</f>
        <v>0</v>
      </c>
      <c r="J38" s="40">
        <f>SUMIFS('[11]inland_taf_hatchgrp_tableraw&amp;yy'!J$3:J$38,'[11]inland_taf_hatchgrp_tableraw&amp;yy'!$AC$3:$AC$38,'2018 Table 10 CWTs exp'!$A38)</f>
        <v>0</v>
      </c>
      <c r="K38" s="38">
        <f>SUMIFS('[11]inland_taf_hatchgrp_tableraw&amp;yy'!K$3:K$38,'[11]inland_taf_hatchgrp_tableraw&amp;yy'!$AC$3:$AC$38,'2018 Table 10 CWTs exp'!$A38)</f>
        <v>0</v>
      </c>
      <c r="L38" s="38">
        <f>SUMIFS('[11]inland_taf_hatchgrp_tableraw&amp;yy'!L$3:L$38,'[11]inland_taf_hatchgrp_tableraw&amp;yy'!$AC$3:$AC$38,'2018 Table 10 CWTs exp'!$A38)</f>
        <v>0</v>
      </c>
      <c r="M38" s="38">
        <f>SUMIFS('[11]inland_taf_hatchgrp_tableraw&amp;yy'!M$3:M$38,'[11]inland_taf_hatchgrp_tableraw&amp;yy'!$AC$3:$AC$38,'2018 Table 10 CWTs exp'!$A38)</f>
        <v>0</v>
      </c>
      <c r="N38" s="40">
        <f>SUMIFS('[11]inland_taf_hatchgrp_tableraw&amp;yy'!N$3:N$38,'[11]inland_taf_hatchgrp_tableraw&amp;yy'!$AC$3:$AC$38,'2018 Table 10 CWTs exp'!$A38)</f>
        <v>0</v>
      </c>
      <c r="O38" s="38">
        <f>SUMIFS('[11]inland_taf_hatchgrp_tableraw&amp;yy'!O$3:O$38,'[11]inland_taf_hatchgrp_tableraw&amp;yy'!$AC$3:$AC$38,'2018 Table 10 CWTs exp'!$A38)</f>
        <v>0</v>
      </c>
      <c r="P38" s="40">
        <f>SUMIFS('[11]inland_taf_hatchgrp_tableraw&amp;yy'!P$3:P$38,'[11]inland_taf_hatchgrp_tableraw&amp;yy'!$AC$3:$AC$38,'2018 Table 10 CWTs exp'!$A38)</f>
        <v>0</v>
      </c>
      <c r="Q38" s="38">
        <f>SUMIFS('[11]inland_taf_hatchgrp_tableraw&amp;yy'!Q$3:Q$38,'[11]inland_taf_hatchgrp_tableraw&amp;yy'!$AC$3:$AC$38,'2018 Table 10 CWTs exp'!$A38)</f>
        <v>0</v>
      </c>
      <c r="R38" s="38">
        <f>SUMIFS('[11]inland_taf_hatchgrp_tableraw&amp;yy'!R$3:R$38,'[11]inland_taf_hatchgrp_tableraw&amp;yy'!$AC$3:$AC$38,'2018 Table 10 CWTs exp'!$A38)</f>
        <v>233</v>
      </c>
      <c r="S38" s="38">
        <f>SUMIFS('[11]inland_taf_hatchgrp_tableraw&amp;yy'!S$3:S$38,'[11]inland_taf_hatchgrp_tableraw&amp;yy'!$AC$3:$AC$38,'2018 Table 10 CWTs exp'!$A38)</f>
        <v>0</v>
      </c>
      <c r="T38" s="40">
        <f>SUMIFS('[11]inland_taf_hatchgrp_tableraw&amp;yy'!T$3:T$38,'[11]inland_taf_hatchgrp_tableraw&amp;yy'!$AC$3:$AC$38,'2018 Table 10 CWTs exp'!$A38)</f>
        <v>0</v>
      </c>
      <c r="U38" s="38">
        <f>SUMIFS('[11]inland_taf_hatchgrp_tableraw&amp;yy'!U$3:U$38,'[11]inland_taf_hatchgrp_tableraw&amp;yy'!$AC$3:$AC$38,'2018 Table 10 CWTs exp'!$A38)</f>
        <v>34</v>
      </c>
      <c r="V38" s="40">
        <f>SUMIFS('[11]inland_taf_hatchgrp_tableraw&amp;yy'!V$3:V$38,'[11]inland_taf_hatchgrp_tableraw&amp;yy'!$AC$3:$AC$38,'2018 Table 10 CWTs exp'!$A38)</f>
        <v>31</v>
      </c>
      <c r="W38" s="40">
        <f>SUMIFS('[11]inland_taf_hatchgrp_tableraw&amp;yy'!W$3:W$38,'[11]inland_taf_hatchgrp_tableraw&amp;yy'!$AC$3:$AC$38,'2018 Table 10 CWTs exp'!$A38)</f>
        <v>0</v>
      </c>
      <c r="X38" s="38">
        <f>SUMIFS('[11]inland_taf_hatchgrp_tableraw&amp;yy'!X$3:X$38,'[11]inland_taf_hatchgrp_tableraw&amp;yy'!$AC$3:$AC$38,'2018 Table 10 CWTs exp'!$A38)</f>
        <v>0</v>
      </c>
      <c r="Y38" s="41">
        <f>SUMIFS('[11]inland_taf_hatchgrp_tableraw&amp;yy'!Y$3:Y$38,'[11]inland_taf_hatchgrp_tableraw&amp;yy'!$AC$3:$AC$38,'2018 Table 10 CWTs exp'!$A38)</f>
        <v>298</v>
      </c>
      <c r="Z38" s="42">
        <f>SUMIFS('[11]inland_taf_hatchgrp_tableraw&amp;yy'!Z$3:Z$38,'[11]inland_taf_hatchgrp_tableraw&amp;yy'!$AC$3:$AC$38,'2018 Table 10 CWTs exp'!$A38)</f>
        <v>580</v>
      </c>
      <c r="AA38" s="38">
        <f>SUMIFS('[11]inland_taf_hatchgrp_tableraw&amp;yy'!AA$3:AA$38,'[11]inland_taf_hatchgrp_tableraw&amp;yy'!$AC$3:$AC$38,'2018 Table 10 CWTs exp'!$A38)</f>
        <v>878</v>
      </c>
      <c r="AB38" s="44"/>
      <c r="AC38" s="636"/>
      <c r="AD38" s="566">
        <f>SUMIFS('[11]inland_taf_hatchgrp_tableraw&amp;yy'!AB$3:AB$38,'[11]inland_taf_hatchgrp_tableraw&amp;yy'!$AC$3:$AC$38,'2018 Table 10 CWTs exp'!$A38)</f>
        <v>0.33900000000000002</v>
      </c>
      <c r="AE38" s="604" t="str">
        <f t="shared" si="9"/>
        <v>MER543</v>
      </c>
      <c r="AF38" s="442"/>
      <c r="AG38" s="622">
        <f t="shared" si="10"/>
        <v>0.33940774487471526</v>
      </c>
      <c r="AH38" s="623">
        <f>Z38/AA38</f>
        <v>0.66059225512528474</v>
      </c>
      <c r="AI38" s="605">
        <f t="shared" si="13"/>
        <v>0.66100000000000003</v>
      </c>
      <c r="AJ38" s="447">
        <f>Z38</f>
        <v>580</v>
      </c>
      <c r="AK38" s="448">
        <f t="shared" si="14"/>
        <v>0.66059225512528474</v>
      </c>
      <c r="AL38" s="451"/>
      <c r="AM38" s="442"/>
      <c r="AN38" s="442"/>
      <c r="AO38" s="442"/>
      <c r="AP38" s="442"/>
      <c r="AQ38" s="442"/>
      <c r="AR38" s="442"/>
      <c r="AS38" s="442"/>
      <c r="AT38" s="442"/>
    </row>
    <row r="39" spans="1:46" ht="14.5" customHeight="1" x14ac:dyDescent="0.25">
      <c r="A39" s="50" t="str">
        <f t="shared" si="8"/>
        <v>USAC547</v>
      </c>
      <c r="B39" s="13" t="s">
        <v>64</v>
      </c>
      <c r="C39" s="13">
        <v>54</v>
      </c>
      <c r="D39" s="13">
        <v>7</v>
      </c>
      <c r="E39" s="3" t="s">
        <v>65</v>
      </c>
      <c r="F39" s="37" t="s">
        <v>133</v>
      </c>
      <c r="G39" s="44">
        <f>SUMIFS('[11]inland_taf_hatchgrp_tableraw&amp;yy'!G$3:G$38,'[11]inland_taf_hatchgrp_tableraw&amp;yy'!$AC$3:$AC$38,'2018 Table 10 CWTs exp'!$A39)</f>
        <v>0</v>
      </c>
      <c r="H39" s="45">
        <f>SUMIFS('[11]inland_taf_hatchgrp_tableraw&amp;yy'!H$3:H$38,'[11]inland_taf_hatchgrp_tableraw&amp;yy'!$AC$3:$AC$38,'2018 Table 10 CWTs exp'!$A39)</f>
        <v>949</v>
      </c>
      <c r="I39" s="44">
        <f>SUMIFS('[11]inland_taf_hatchgrp_tableraw&amp;yy'!I$3:I$38,'[11]inland_taf_hatchgrp_tableraw&amp;yy'!$AC$3:$AC$38,'2018 Table 10 CWTs exp'!$A39)</f>
        <v>0</v>
      </c>
      <c r="J39" s="46">
        <f>SUMIFS('[11]inland_taf_hatchgrp_tableraw&amp;yy'!J$3:J$38,'[11]inland_taf_hatchgrp_tableraw&amp;yy'!$AC$3:$AC$38,'2018 Table 10 CWTs exp'!$A39)</f>
        <v>0</v>
      </c>
      <c r="K39" s="44">
        <f>SUMIFS('[11]inland_taf_hatchgrp_tableraw&amp;yy'!K$3:K$38,'[11]inland_taf_hatchgrp_tableraw&amp;yy'!$AC$3:$AC$38,'2018 Table 10 CWTs exp'!$A39)</f>
        <v>0</v>
      </c>
      <c r="L39" s="44">
        <f>SUMIFS('[11]inland_taf_hatchgrp_tableraw&amp;yy'!L$3:L$38,'[11]inland_taf_hatchgrp_tableraw&amp;yy'!$AC$3:$AC$38,'2018 Table 10 CWTs exp'!$A39)</f>
        <v>0</v>
      </c>
      <c r="M39" s="44">
        <f>SUMIFS('[11]inland_taf_hatchgrp_tableraw&amp;yy'!M$3:M$38,'[11]inland_taf_hatchgrp_tableraw&amp;yy'!$AC$3:$AC$38,'2018 Table 10 CWTs exp'!$A39)</f>
        <v>0</v>
      </c>
      <c r="N39" s="46">
        <f>SUMIFS('[11]inland_taf_hatchgrp_tableraw&amp;yy'!N$3:N$38,'[11]inland_taf_hatchgrp_tableraw&amp;yy'!$AC$3:$AC$38,'2018 Table 10 CWTs exp'!$A39)</f>
        <v>0</v>
      </c>
      <c r="O39" s="44">
        <f>SUMIFS('[11]inland_taf_hatchgrp_tableraw&amp;yy'!O$3:O$38,'[11]inland_taf_hatchgrp_tableraw&amp;yy'!$AC$3:$AC$38,'2018 Table 10 CWTs exp'!$A39)</f>
        <v>0</v>
      </c>
      <c r="P39" s="46">
        <f>SUMIFS('[11]inland_taf_hatchgrp_tableraw&amp;yy'!P$3:P$38,'[11]inland_taf_hatchgrp_tableraw&amp;yy'!$AC$3:$AC$38,'2018 Table 10 CWTs exp'!$A39)</f>
        <v>0</v>
      </c>
      <c r="Q39" s="44">
        <f>SUMIFS('[11]inland_taf_hatchgrp_tableraw&amp;yy'!Q$3:Q$38,'[11]inland_taf_hatchgrp_tableraw&amp;yy'!$AC$3:$AC$38,'2018 Table 10 CWTs exp'!$A39)</f>
        <v>0</v>
      </c>
      <c r="R39" s="44">
        <f>SUMIFS('[11]inland_taf_hatchgrp_tableraw&amp;yy'!R$3:R$38,'[11]inland_taf_hatchgrp_tableraw&amp;yy'!$AC$3:$AC$38,'2018 Table 10 CWTs exp'!$A39)</f>
        <v>36</v>
      </c>
      <c r="S39" s="44">
        <f>SUMIFS('[11]inland_taf_hatchgrp_tableraw&amp;yy'!S$3:S$38,'[11]inland_taf_hatchgrp_tableraw&amp;yy'!$AC$3:$AC$38,'2018 Table 10 CWTs exp'!$A39)</f>
        <v>0</v>
      </c>
      <c r="T39" s="46">
        <f>SUMIFS('[11]inland_taf_hatchgrp_tableraw&amp;yy'!T$3:T$38,'[11]inland_taf_hatchgrp_tableraw&amp;yy'!$AC$3:$AC$38,'2018 Table 10 CWTs exp'!$A39)</f>
        <v>9</v>
      </c>
      <c r="U39" s="44">
        <f>SUMIFS('[11]inland_taf_hatchgrp_tableraw&amp;yy'!U$3:U$38,'[11]inland_taf_hatchgrp_tableraw&amp;yy'!$AC$3:$AC$38,'2018 Table 10 CWTs exp'!$A39)</f>
        <v>0</v>
      </c>
      <c r="V39" s="46">
        <f>SUMIFS('[11]inland_taf_hatchgrp_tableraw&amp;yy'!V$3:V$38,'[11]inland_taf_hatchgrp_tableraw&amp;yy'!$AC$3:$AC$38,'2018 Table 10 CWTs exp'!$A39)</f>
        <v>0</v>
      </c>
      <c r="W39" s="46">
        <f>SUMIFS('[11]inland_taf_hatchgrp_tableraw&amp;yy'!W$3:W$38,'[11]inland_taf_hatchgrp_tableraw&amp;yy'!$AC$3:$AC$38,'2018 Table 10 CWTs exp'!$A39)</f>
        <v>0</v>
      </c>
      <c r="X39" s="44">
        <f>SUMIFS('[11]inland_taf_hatchgrp_tableraw&amp;yy'!X$3:X$38,'[11]inland_taf_hatchgrp_tableraw&amp;yy'!$AC$3:$AC$38,'2018 Table 10 CWTs exp'!$A39)</f>
        <v>0</v>
      </c>
      <c r="Y39" s="84">
        <f>SUMIFS('[11]inland_taf_hatchgrp_tableraw&amp;yy'!Y$3:Y$38,'[11]inland_taf_hatchgrp_tableraw&amp;yy'!$AC$3:$AC$38,'2018 Table 10 CWTs exp'!$A39)</f>
        <v>994</v>
      </c>
      <c r="Z39" s="85">
        <f>SUMIFS('[11]inland_taf_hatchgrp_tableraw&amp;yy'!Z$3:Z$38,'[11]inland_taf_hatchgrp_tableraw&amp;yy'!$AC$3:$AC$38,'2018 Table 10 CWTs exp'!$A39)</f>
        <v>1991</v>
      </c>
      <c r="AA39" s="44">
        <f>SUMIFS('[11]inland_taf_hatchgrp_tableraw&amp;yy'!AA$3:AA$38,'[11]inland_taf_hatchgrp_tableraw&amp;yy'!$AC$3:$AC$38,'2018 Table 10 CWTs exp'!$A39)</f>
        <v>2985</v>
      </c>
      <c r="AB39" s="44"/>
      <c r="AC39" s="636"/>
      <c r="AD39" s="567">
        <f>Y39/AA39</f>
        <v>0.33299832495812393</v>
      </c>
      <c r="AE39" s="604" t="str">
        <f t="shared" si="9"/>
        <v>USAC547</v>
      </c>
      <c r="AF39" s="444"/>
      <c r="AG39" s="622">
        <f t="shared" si="10"/>
        <v>0.33299832495812393</v>
      </c>
      <c r="AH39" s="606"/>
      <c r="AI39" s="592">
        <f>AVERAGE(AI21:AI38)</f>
        <v>0.64446858322424727</v>
      </c>
      <c r="AJ39" s="447">
        <f>SUM(AJ21:AJ38)</f>
        <v>32843</v>
      </c>
      <c r="AK39" s="448">
        <f>AJ39/AA40</f>
        <v>0.29244207789432441</v>
      </c>
      <c r="AL39" s="451"/>
      <c r="AM39" s="442"/>
      <c r="AN39" s="442"/>
      <c r="AO39" s="442"/>
      <c r="AP39" s="442"/>
      <c r="AQ39" s="442"/>
      <c r="AR39" s="442"/>
      <c r="AS39" s="442"/>
      <c r="AT39" s="442"/>
    </row>
    <row r="40" spans="1:46" ht="14.15" customHeight="1" x14ac:dyDescent="0.25">
      <c r="A40" s="50"/>
      <c r="B40" s="13"/>
      <c r="C40" s="13"/>
      <c r="D40" s="13"/>
      <c r="E40" s="723" t="s">
        <v>101</v>
      </c>
      <c r="F40" s="723"/>
      <c r="G40" s="59">
        <f t="shared" ref="G40:Y40" si="16">SUM(G21:G38)</f>
        <v>1</v>
      </c>
      <c r="H40" s="58">
        <f t="shared" si="16"/>
        <v>12</v>
      </c>
      <c r="I40" s="59">
        <f t="shared" si="16"/>
        <v>11890</v>
      </c>
      <c r="J40" s="60">
        <f t="shared" si="16"/>
        <v>104</v>
      </c>
      <c r="K40" s="59">
        <f t="shared" si="16"/>
        <v>1873</v>
      </c>
      <c r="L40" s="59">
        <f t="shared" si="16"/>
        <v>490</v>
      </c>
      <c r="M40" s="59">
        <f t="shared" si="16"/>
        <v>36361</v>
      </c>
      <c r="N40" s="60">
        <f t="shared" si="16"/>
        <v>684</v>
      </c>
      <c r="O40" s="59">
        <f t="shared" si="16"/>
        <v>3549</v>
      </c>
      <c r="P40" s="60">
        <f t="shared" si="16"/>
        <v>4625</v>
      </c>
      <c r="Q40" s="59">
        <f t="shared" si="16"/>
        <v>149</v>
      </c>
      <c r="R40" s="59">
        <f t="shared" si="16"/>
        <v>15278</v>
      </c>
      <c r="S40" s="59">
        <f t="shared" si="16"/>
        <v>2129</v>
      </c>
      <c r="T40" s="60">
        <f t="shared" si="16"/>
        <v>1543</v>
      </c>
      <c r="U40" s="59">
        <f t="shared" si="16"/>
        <v>78</v>
      </c>
      <c r="V40" s="60">
        <f t="shared" si="16"/>
        <v>692</v>
      </c>
      <c r="W40" s="60">
        <f t="shared" si="16"/>
        <v>5</v>
      </c>
      <c r="X40" s="59">
        <f>SUM(X21:X38)</f>
        <v>0</v>
      </c>
      <c r="Y40" s="188">
        <f t="shared" si="16"/>
        <v>79463</v>
      </c>
      <c r="Z40" s="189">
        <f>SUM(Z21:Z38)</f>
        <v>32843</v>
      </c>
      <c r="AA40" s="59">
        <f>SUM(AA21:AA38)</f>
        <v>112306</v>
      </c>
      <c r="AB40" s="64"/>
      <c r="AC40" s="630"/>
      <c r="AD40" s="445">
        <f>Y40/(Y40+Z40)</f>
        <v>0.70755792210567559</v>
      </c>
      <c r="AE40" s="445"/>
      <c r="AF40" s="607"/>
      <c r="AG40" s="608"/>
      <c r="AH40" s="608"/>
      <c r="AI40" s="606">
        <f>AA40-AA23</f>
        <v>102375</v>
      </c>
      <c r="AJ40" s="447">
        <f>AJ39-AJ23</f>
        <v>31498</v>
      </c>
      <c r="AK40" s="448">
        <f>AJ40/AI40</f>
        <v>0.30767277167277168</v>
      </c>
      <c r="AL40" s="443" t="s">
        <v>102</v>
      </c>
      <c r="AM40" s="442"/>
      <c r="AN40" s="442"/>
      <c r="AO40" s="442"/>
      <c r="AP40" s="442"/>
      <c r="AQ40" s="442"/>
      <c r="AR40" s="442"/>
      <c r="AS40" s="442"/>
      <c r="AT40" s="442"/>
    </row>
    <row r="41" spans="1:46" ht="3.75" customHeight="1" x14ac:dyDescent="0.3">
      <c r="A41" s="50"/>
      <c r="B41" s="13"/>
      <c r="C41" s="13"/>
      <c r="D41" s="13"/>
      <c r="E41" s="83"/>
      <c r="G41" s="44"/>
      <c r="H41" s="45"/>
      <c r="I41" s="44"/>
      <c r="J41" s="46"/>
      <c r="K41" s="44"/>
      <c r="L41" s="44"/>
      <c r="M41" s="44"/>
      <c r="N41" s="46"/>
      <c r="O41" s="44"/>
      <c r="P41" s="46"/>
      <c r="Q41" s="44"/>
      <c r="R41" s="44"/>
      <c r="S41" s="44"/>
      <c r="T41" s="46"/>
      <c r="U41" s="44"/>
      <c r="V41" s="46"/>
      <c r="W41" s="46"/>
      <c r="X41" s="44"/>
      <c r="Y41" s="84"/>
      <c r="Z41" s="85"/>
      <c r="AA41" s="44"/>
      <c r="AB41" s="64"/>
      <c r="AC41" s="630"/>
      <c r="AD41" s="445"/>
      <c r="AE41" s="445"/>
      <c r="AF41" s="607"/>
      <c r="AG41" s="608"/>
      <c r="AH41" s="608"/>
      <c r="AI41" s="606"/>
      <c r="AJ41" s="447"/>
      <c r="AK41" s="448"/>
      <c r="AL41" s="451"/>
      <c r="AM41" s="442"/>
      <c r="AN41" s="442"/>
      <c r="AO41" s="442"/>
      <c r="AP41" s="442"/>
      <c r="AQ41" s="442"/>
      <c r="AR41" s="442"/>
      <c r="AS41" s="442"/>
      <c r="AT41" s="442"/>
    </row>
    <row r="42" spans="1:46" ht="14.9" customHeight="1" x14ac:dyDescent="0.25">
      <c r="A42" s="50"/>
      <c r="B42" s="13"/>
      <c r="C42" s="13"/>
      <c r="D42" s="13"/>
      <c r="E42" s="27" t="s">
        <v>103</v>
      </c>
      <c r="F42" s="37" t="s">
        <v>104</v>
      </c>
      <c r="G42" s="68">
        <f>G19+G6+G8+G16+G21+G39</f>
        <v>2157</v>
      </c>
      <c r="H42" s="69">
        <f>H9+H15+H14+H21+H23+H39+H16+H8+H6+H19</f>
        <v>9019</v>
      </c>
      <c r="I42" s="68">
        <f t="shared" ref="I42:J42" si="17">I9+I15+I14+I21+I23+I39+I16+I8+I6+I19</f>
        <v>22688</v>
      </c>
      <c r="J42" s="70">
        <f t="shared" si="17"/>
        <v>0</v>
      </c>
      <c r="K42" s="68">
        <f>K7+K10+K28+K29+K30</f>
        <v>5175</v>
      </c>
      <c r="L42" s="68">
        <f t="shared" ref="L42" si="18">L7+L10+L28+L29+L30</f>
        <v>1316</v>
      </c>
      <c r="M42" s="68">
        <f>M7+M10+M28+M29+M30</f>
        <v>54366</v>
      </c>
      <c r="N42" s="70">
        <f>N7+N10+N28+N29+N30</f>
        <v>2519</v>
      </c>
      <c r="O42" s="68">
        <f>O11+O32+O31</f>
        <v>4329</v>
      </c>
      <c r="P42" s="70">
        <f>P11+P32+P31</f>
        <v>6274</v>
      </c>
      <c r="Q42" s="68">
        <f>Q12+Q33</f>
        <v>250</v>
      </c>
      <c r="R42" s="68">
        <f t="shared" ref="R42:S42" si="19">R12+R33</f>
        <v>13156</v>
      </c>
      <c r="S42" s="68">
        <f t="shared" si="19"/>
        <v>722</v>
      </c>
      <c r="T42" s="70">
        <f>T12+T33</f>
        <v>800</v>
      </c>
      <c r="U42" s="68">
        <f>U13+U38</f>
        <v>243</v>
      </c>
      <c r="V42" s="70">
        <f>V13+V38</f>
        <v>61</v>
      </c>
      <c r="W42" s="70" t="s">
        <v>167</v>
      </c>
      <c r="X42" s="68"/>
      <c r="Y42" s="86">
        <f>SUM(G42:X42)</f>
        <v>123075</v>
      </c>
      <c r="Z42" s="87">
        <f>Z44</f>
        <v>45159</v>
      </c>
      <c r="AA42" s="44">
        <f>Z42+Y42</f>
        <v>168234</v>
      </c>
      <c r="AB42" s="64"/>
      <c r="AC42" s="630"/>
      <c r="AD42" s="567">
        <f>Y42/AA42</f>
        <v>0.73157031277862972</v>
      </c>
      <c r="AE42" s="445"/>
      <c r="AF42" s="607"/>
      <c r="AG42" s="608"/>
      <c r="AH42" s="608"/>
      <c r="AI42" s="606"/>
      <c r="AJ42" s="447"/>
      <c r="AK42" s="448"/>
      <c r="AL42" s="451"/>
      <c r="AM42" s="442"/>
      <c r="AN42" s="442"/>
      <c r="AO42" s="442"/>
      <c r="AP42" s="442"/>
      <c r="AQ42" s="442"/>
      <c r="AR42" s="442"/>
      <c r="AS42" s="442"/>
      <c r="AT42" s="442"/>
    </row>
    <row r="43" spans="1:46" ht="14.9" customHeight="1" x14ac:dyDescent="0.25">
      <c r="A43" s="50"/>
      <c r="B43" s="13"/>
      <c r="C43" s="13"/>
      <c r="D43" s="13"/>
      <c r="E43" s="27" t="s">
        <v>105</v>
      </c>
      <c r="F43" s="37" t="s">
        <v>104</v>
      </c>
      <c r="G43" s="70">
        <f t="shared" ref="G43:Y43" si="20">G44-G42</f>
        <v>1</v>
      </c>
      <c r="H43" s="69">
        <f t="shared" si="20"/>
        <v>26</v>
      </c>
      <c r="I43" s="68">
        <f t="shared" si="20"/>
        <v>1447</v>
      </c>
      <c r="J43" s="70">
        <f t="shared" si="20"/>
        <v>112</v>
      </c>
      <c r="K43" s="69">
        <f t="shared" si="20"/>
        <v>2</v>
      </c>
      <c r="L43" s="68">
        <f t="shared" si="20"/>
        <v>20</v>
      </c>
      <c r="M43" s="68">
        <f t="shared" si="20"/>
        <v>1702</v>
      </c>
      <c r="N43" s="70">
        <f t="shared" si="20"/>
        <v>456</v>
      </c>
      <c r="O43" s="68">
        <f t="shared" si="20"/>
        <v>101</v>
      </c>
      <c r="P43" s="70">
        <f t="shared" si="20"/>
        <v>942</v>
      </c>
      <c r="Q43" s="68">
        <f t="shared" si="20"/>
        <v>40</v>
      </c>
      <c r="R43" s="68">
        <f t="shared" si="20"/>
        <v>10221</v>
      </c>
      <c r="S43" s="68">
        <f t="shared" si="20"/>
        <v>2085</v>
      </c>
      <c r="T43" s="70">
        <f t="shared" si="20"/>
        <v>1349</v>
      </c>
      <c r="U43" s="68">
        <f t="shared" si="20"/>
        <v>50</v>
      </c>
      <c r="V43" s="70">
        <f t="shared" si="20"/>
        <v>848</v>
      </c>
      <c r="W43" s="70">
        <f>SUM(W6:W16,W19:W39)</f>
        <v>36</v>
      </c>
      <c r="X43" s="68">
        <f>X44-X42</f>
        <v>8</v>
      </c>
      <c r="Y43" s="86">
        <f t="shared" si="20"/>
        <v>19446</v>
      </c>
      <c r="Z43" s="87"/>
      <c r="AA43" s="44">
        <f>Z43+Y43</f>
        <v>19446</v>
      </c>
      <c r="AB43" s="630">
        <f>SUM(G43:X43)</f>
        <v>19446</v>
      </c>
      <c r="AC43" s="630"/>
      <c r="AD43" s="567">
        <f>Y43/AA43</f>
        <v>1</v>
      </c>
      <c r="AE43" s="625" t="s">
        <v>106</v>
      </c>
      <c r="AF43" s="626" t="s">
        <v>107</v>
      </c>
      <c r="AG43" s="600" t="s">
        <v>108</v>
      </c>
      <c r="AH43" s="608"/>
      <c r="AI43" s="606"/>
      <c r="AJ43" s="447"/>
      <c r="AK43" s="448"/>
      <c r="AL43" s="451"/>
      <c r="AM43" s="442"/>
      <c r="AN43" s="442"/>
      <c r="AO43" s="442"/>
      <c r="AP43" s="442"/>
      <c r="AQ43" s="442"/>
      <c r="AR43" s="442"/>
      <c r="AS43" s="442"/>
      <c r="AT43" s="442"/>
    </row>
    <row r="44" spans="1:46" ht="14.9" customHeight="1" x14ac:dyDescent="0.3">
      <c r="A44" s="50"/>
      <c r="B44" s="13"/>
      <c r="C44" s="13"/>
      <c r="D44" s="13"/>
      <c r="E44" s="27"/>
      <c r="F44" s="88" t="s">
        <v>109</v>
      </c>
      <c r="G44" s="89">
        <f>SUM(G19:G39,G6:G16)</f>
        <v>2158</v>
      </c>
      <c r="H44" s="90">
        <f>SUM(H19:H39,H6:H16)</f>
        <v>9045</v>
      </c>
      <c r="I44" s="89">
        <f>SUM(I19:I39,I6:I16)</f>
        <v>24135</v>
      </c>
      <c r="J44" s="91">
        <f t="shared" ref="J44:Z44" si="21">SUM(J19:J39,J6:J16)</f>
        <v>112</v>
      </c>
      <c r="K44" s="89">
        <f t="shared" si="21"/>
        <v>5177</v>
      </c>
      <c r="L44" s="89">
        <f t="shared" si="21"/>
        <v>1336</v>
      </c>
      <c r="M44" s="89">
        <f t="shared" si="21"/>
        <v>56068</v>
      </c>
      <c r="N44" s="91">
        <f t="shared" si="21"/>
        <v>2975</v>
      </c>
      <c r="O44" s="89">
        <f t="shared" si="21"/>
        <v>4430</v>
      </c>
      <c r="P44" s="91">
        <f>SUM(P19:P39,P6:P16)</f>
        <v>7216</v>
      </c>
      <c r="Q44" s="89">
        <f t="shared" si="21"/>
        <v>290</v>
      </c>
      <c r="R44" s="89">
        <f t="shared" si="21"/>
        <v>23377</v>
      </c>
      <c r="S44" s="89">
        <f t="shared" si="21"/>
        <v>2807</v>
      </c>
      <c r="T44" s="91">
        <f t="shared" si="21"/>
        <v>2149</v>
      </c>
      <c r="U44" s="89">
        <f t="shared" si="21"/>
        <v>293</v>
      </c>
      <c r="V44" s="91">
        <f t="shared" si="21"/>
        <v>909</v>
      </c>
      <c r="W44" s="91">
        <f t="shared" si="21"/>
        <v>36</v>
      </c>
      <c r="X44" s="89">
        <f t="shared" si="21"/>
        <v>8</v>
      </c>
      <c r="Y44" s="92">
        <f t="shared" si="21"/>
        <v>142521</v>
      </c>
      <c r="Z44" s="93">
        <f t="shared" si="21"/>
        <v>45159</v>
      </c>
      <c r="AA44" s="94">
        <f>Z44+Y44</f>
        <v>187680</v>
      </c>
      <c r="AB44" s="14"/>
      <c r="AC44" s="444"/>
      <c r="AD44" s="445">
        <f>Y44/AA44</f>
        <v>0.75938299232736572</v>
      </c>
      <c r="AE44" s="627" t="s">
        <v>106</v>
      </c>
      <c r="AF44" s="628" t="s">
        <v>110</v>
      </c>
      <c r="AG44" s="614">
        <f>SUM(G44:X44)</f>
        <v>142521</v>
      </c>
      <c r="AH44" s="608"/>
      <c r="AI44" s="606"/>
      <c r="AJ44" s="447"/>
      <c r="AK44" s="448"/>
      <c r="AL44" s="451"/>
      <c r="AM44" s="442"/>
      <c r="AN44" s="442"/>
      <c r="AO44" s="442"/>
      <c r="AP44" s="442"/>
      <c r="AQ44" s="442"/>
      <c r="AR44" s="442"/>
      <c r="AS44" s="442"/>
      <c r="AT44" s="442"/>
    </row>
    <row r="45" spans="1:46" ht="13.5" customHeight="1" x14ac:dyDescent="0.25">
      <c r="A45" s="50"/>
      <c r="B45" s="13"/>
      <c r="C45" s="13"/>
      <c r="D45" s="13"/>
      <c r="E45" s="27"/>
      <c r="F45" s="95" t="s">
        <v>168</v>
      </c>
      <c r="G45" s="190">
        <f>G43/G44</f>
        <v>4.6339202965708991E-4</v>
      </c>
      <c r="H45" s="97">
        <f>H43/H44</f>
        <v>2.8745163073521283E-3</v>
      </c>
      <c r="I45" s="98">
        <f t="shared" ref="I45:V45" si="22">I43/I44</f>
        <v>5.9954423037083072E-2</v>
      </c>
      <c r="J45" s="99">
        <f t="shared" si="22"/>
        <v>1</v>
      </c>
      <c r="K45" s="191">
        <f t="shared" si="22"/>
        <v>3.8632412594166504E-4</v>
      </c>
      <c r="L45" s="98">
        <f t="shared" si="22"/>
        <v>1.4970059880239521E-2</v>
      </c>
      <c r="M45" s="98">
        <f t="shared" si="22"/>
        <v>3.0355996290219019E-2</v>
      </c>
      <c r="N45" s="99">
        <f t="shared" si="22"/>
        <v>0.15327731092436975</v>
      </c>
      <c r="O45" s="98">
        <f t="shared" si="22"/>
        <v>2.2799097065462754E-2</v>
      </c>
      <c r="P45" s="99">
        <f>P43/P44</f>
        <v>0.13054323725055433</v>
      </c>
      <c r="Q45" s="98">
        <f t="shared" si="22"/>
        <v>0.13793103448275862</v>
      </c>
      <c r="R45" s="98">
        <f t="shared" si="22"/>
        <v>0.43722462249219318</v>
      </c>
      <c r="S45" s="98">
        <f t="shared" si="22"/>
        <v>0.74278589241182758</v>
      </c>
      <c r="T45" s="99">
        <f t="shared" si="22"/>
        <v>0.62773382968822711</v>
      </c>
      <c r="U45" s="98">
        <f t="shared" si="22"/>
        <v>0.17064846416382254</v>
      </c>
      <c r="V45" s="99">
        <f t="shared" si="22"/>
        <v>0.9328932893289329</v>
      </c>
      <c r="W45" s="99" t="s">
        <v>167</v>
      </c>
      <c r="X45" s="98"/>
      <c r="Y45" s="101">
        <f>Y43/Y44</f>
        <v>0.13644305049782138</v>
      </c>
      <c r="Z45" s="102"/>
      <c r="AA45" s="98">
        <f t="shared" ref="AA45" si="23">AA43/AA44</f>
        <v>0.10361253196930946</v>
      </c>
      <c r="AB45" s="64"/>
      <c r="AC45" s="630"/>
      <c r="AD45" s="445"/>
      <c r="AE45" s="445"/>
      <c r="AF45" s="607"/>
      <c r="AG45" s="608"/>
      <c r="AH45" s="608"/>
      <c r="AI45" s="606"/>
      <c r="AJ45" s="447"/>
      <c r="AK45" s="448"/>
      <c r="AL45" s="451"/>
      <c r="AM45" s="442"/>
      <c r="AN45" s="442"/>
      <c r="AO45" s="442"/>
      <c r="AP45" s="442"/>
      <c r="AQ45" s="442"/>
      <c r="AR45" s="442"/>
      <c r="AS45" s="442"/>
      <c r="AT45" s="442"/>
    </row>
    <row r="46" spans="1:46" ht="15" customHeight="1" x14ac:dyDescent="0.25">
      <c r="A46" s="5" t="s">
        <v>112</v>
      </c>
      <c r="B46" s="13"/>
      <c r="C46" s="13"/>
      <c r="D46" s="13"/>
      <c r="E46" s="103" t="s">
        <v>113</v>
      </c>
      <c r="F46" s="47"/>
      <c r="G46" s="68"/>
      <c r="H46" s="69"/>
      <c r="I46" s="68"/>
      <c r="J46" s="70"/>
      <c r="K46" s="68"/>
      <c r="L46" s="68"/>
      <c r="M46" s="68"/>
      <c r="N46" s="70"/>
      <c r="O46" s="68"/>
      <c r="P46" s="70"/>
      <c r="Q46" s="68"/>
      <c r="R46" s="68"/>
      <c r="S46" s="68"/>
      <c r="T46" s="70"/>
      <c r="U46" s="68"/>
      <c r="V46" s="70"/>
      <c r="W46" s="70"/>
      <c r="X46" s="68"/>
      <c r="Y46" s="86"/>
      <c r="Z46" s="87"/>
      <c r="AA46" s="68"/>
      <c r="AB46" s="68"/>
      <c r="AC46" s="611"/>
      <c r="AD46" s="566"/>
      <c r="AE46" s="566"/>
      <c r="AF46" s="442"/>
      <c r="AG46" s="597"/>
      <c r="AH46" s="597"/>
      <c r="AI46" s="597"/>
      <c r="AJ46" s="599"/>
      <c r="AK46" s="451"/>
      <c r="AL46" s="451"/>
      <c r="AM46" s="442"/>
      <c r="AN46" s="442"/>
      <c r="AO46" s="442"/>
      <c r="AP46" s="442"/>
      <c r="AQ46" s="442"/>
      <c r="AR46" s="442"/>
      <c r="AS46" s="442"/>
      <c r="AT46" s="442"/>
    </row>
    <row r="47" spans="1:46" ht="14.5" customHeight="1" x14ac:dyDescent="0.25">
      <c r="A47" s="50" t="str">
        <f t="shared" ref="A47:A52" si="24">CONCATENATE(B47,C47,D47)</f>
        <v>USAC463</v>
      </c>
      <c r="B47" s="13" t="s">
        <v>64</v>
      </c>
      <c r="C47" s="13">
        <v>46</v>
      </c>
      <c r="D47" s="13">
        <v>3</v>
      </c>
      <c r="E47" s="27" t="s">
        <v>114</v>
      </c>
      <c r="F47" s="28" t="str">
        <f>LOOKUP(D47,$AL$7:$AL$10,$AM$7:$AM$10)</f>
        <v>Fall</v>
      </c>
      <c r="G47" s="44">
        <f>SUMIFS('[11]inland_taf_hatchgrp_tableraw&amp;yy'!G$3:G$38,'[11]inland_taf_hatchgrp_tableraw&amp;yy'!$AC$3:$AC$38,'2018 Table 10 CWTs exp'!$A47)</f>
        <v>0</v>
      </c>
      <c r="H47" s="45">
        <f>SUMIFS('[11]inland_taf_hatchgrp_tableraw&amp;yy'!H$3:H$38,'[11]inland_taf_hatchgrp_tableraw&amp;yy'!$AC$3:$AC$38,'2018 Table 10 CWTs exp'!$A47)</f>
        <v>21</v>
      </c>
      <c r="I47" s="44">
        <f>SUMIFS('[11]inland_taf_hatchgrp_tableraw&amp;yy'!I$3:I$38,'[11]inland_taf_hatchgrp_tableraw&amp;yy'!$AC$3:$AC$38,'2018 Table 10 CWTs exp'!$A47)</f>
        <v>5428</v>
      </c>
      <c r="J47" s="46">
        <f>SUMIFS('[11]inland_taf_hatchgrp_tableraw&amp;yy'!J$3:J$38,'[11]inland_taf_hatchgrp_tableraw&amp;yy'!$AC$3:$AC$38,'2018 Table 10 CWTs exp'!$A47)</f>
        <v>0</v>
      </c>
      <c r="K47" s="44">
        <f>SUMIFS('[11]inland_taf_hatchgrp_tableraw&amp;yy'!K$3:K$38,'[11]inland_taf_hatchgrp_tableraw&amp;yy'!$AC$3:$AC$38,'2018 Table 10 CWTs exp'!$A47)</f>
        <v>0</v>
      </c>
      <c r="L47" s="44">
        <f>SUMIFS('[11]inland_taf_hatchgrp_tableraw&amp;yy'!L$3:L$38,'[11]inland_taf_hatchgrp_tableraw&amp;yy'!$AC$3:$AC$38,'2018 Table 10 CWTs exp'!$A47)</f>
        <v>0</v>
      </c>
      <c r="M47" s="44">
        <f>SUMIFS('[11]inland_taf_hatchgrp_tableraw&amp;yy'!M$3:M$38,'[11]inland_taf_hatchgrp_tableraw&amp;yy'!$AC$3:$AC$38,'2018 Table 10 CWTs exp'!$A47)</f>
        <v>168</v>
      </c>
      <c r="N47" s="46">
        <f>SUMIFS('[11]inland_taf_hatchgrp_tableraw&amp;yy'!N$3:N$38,'[11]inland_taf_hatchgrp_tableraw&amp;yy'!$AC$3:$AC$38,'2018 Table 10 CWTs exp'!$A47)</f>
        <v>0</v>
      </c>
      <c r="O47" s="44">
        <f>SUMIFS('[11]inland_taf_hatchgrp_tableraw&amp;yy'!O$3:O$38,'[11]inland_taf_hatchgrp_tableraw&amp;yy'!$AC$3:$AC$38,'2018 Table 10 CWTs exp'!$A47)</f>
        <v>0</v>
      </c>
      <c r="P47" s="46">
        <f>SUMIFS('[11]inland_taf_hatchgrp_tableraw&amp;yy'!P$3:P$38,'[11]inland_taf_hatchgrp_tableraw&amp;yy'!$AC$3:$AC$38,'2018 Table 10 CWTs exp'!$A47)</f>
        <v>0</v>
      </c>
      <c r="Q47" s="44">
        <f>SUMIFS('[11]inland_taf_hatchgrp_tableraw&amp;yy'!Q$3:Q$38,'[11]inland_taf_hatchgrp_tableraw&amp;yy'!$AC$3:$AC$38,'2018 Table 10 CWTs exp'!$A47)</f>
        <v>0</v>
      </c>
      <c r="R47" s="44">
        <f>SUMIFS('[11]inland_taf_hatchgrp_tableraw&amp;yy'!R$3:R$38,'[11]inland_taf_hatchgrp_tableraw&amp;yy'!$AC$3:$AC$38,'2018 Table 10 CWTs exp'!$A47)</f>
        <v>0</v>
      </c>
      <c r="S47" s="44">
        <f>SUMIFS('[11]inland_taf_hatchgrp_tableraw&amp;yy'!S$3:S$38,'[11]inland_taf_hatchgrp_tableraw&amp;yy'!$AC$3:$AC$38,'2018 Table 10 CWTs exp'!$A47)</f>
        <v>0</v>
      </c>
      <c r="T47" s="46">
        <f>SUMIFS('[11]inland_taf_hatchgrp_tableraw&amp;yy'!T$3:T$38,'[11]inland_taf_hatchgrp_tableraw&amp;yy'!$AC$3:$AC$38,'2018 Table 10 CWTs exp'!$A47)</f>
        <v>0</v>
      </c>
      <c r="U47" s="44">
        <f>SUMIFS('[11]inland_taf_hatchgrp_tableraw&amp;yy'!U$3:U$38,'[11]inland_taf_hatchgrp_tableraw&amp;yy'!$AC$3:$AC$38,'2018 Table 10 CWTs exp'!$A47)</f>
        <v>0</v>
      </c>
      <c r="V47" s="46">
        <f>SUMIFS('[11]inland_taf_hatchgrp_tableraw&amp;yy'!V$3:V$38,'[11]inland_taf_hatchgrp_tableraw&amp;yy'!$AC$3:$AC$38,'2018 Table 10 CWTs exp'!$A47)</f>
        <v>0</v>
      </c>
      <c r="W47" s="46">
        <f>SUMIFS('[11]inland_taf_hatchgrp_tableraw&amp;yy'!W$3:W$38,'[11]inland_taf_hatchgrp_tableraw&amp;yy'!$AC$3:$AC$38,'2018 Table 10 CWTs exp'!$A47)</f>
        <v>0</v>
      </c>
      <c r="X47" s="44">
        <f>SUMIFS('[11]inland_taf_hatchgrp_tableraw&amp;yy'!X$3:X$38,'[11]inland_taf_hatchgrp_tableraw&amp;yy'!$AC$3:$AC$38,'2018 Table 10 CWTs exp'!$A47)</f>
        <v>0</v>
      </c>
      <c r="Y47" s="84">
        <f>SUMIFS('[11]inland_taf_hatchgrp_tableraw&amp;yy'!Y$3:Y$38,'[11]inland_taf_hatchgrp_tableraw&amp;yy'!$AC$3:$AC$38,'2018 Table 10 CWTs exp'!$A47)</f>
        <v>5617</v>
      </c>
      <c r="Z47" s="85">
        <f>SUMIFS('[11]inland_taf_hatchgrp_tableraw&amp;yy'!Z$3:Z$38,'[11]inland_taf_hatchgrp_tableraw&amp;yy'!$AC$3:$AC$38,'2018 Table 10 CWTs exp'!$A47)</f>
        <v>1586</v>
      </c>
      <c r="AA47" s="44">
        <f>SUMIFS('[11]inland_taf_hatchgrp_tableraw&amp;yy'!AA$3:AA$38,'[11]inland_taf_hatchgrp_tableraw&amp;yy'!$AC$3:$AC$38,'2018 Table 10 CWTs exp'!$A47)</f>
        <v>7203</v>
      </c>
      <c r="AB47" s="44"/>
      <c r="AC47" s="636"/>
      <c r="AD47" s="566">
        <f>SUMIFS('[11]inland_taf_hatchgrp_tableraw&amp;yy'!AB$3:AB$38,'[11]inland_taf_hatchgrp_tableraw&amp;yy'!$AC$3:$AC$38,'2018 Table 10 CWTs exp'!$A47)</f>
        <v>0.78</v>
      </c>
      <c r="AE47" s="604" t="str">
        <f t="shared" ref="AE47:AE53" si="25">A47</f>
        <v>USAC463</v>
      </c>
      <c r="AF47" s="442"/>
      <c r="AG47" s="622">
        <f>Y47/AA47</f>
        <v>0.77981396640288769</v>
      </c>
      <c r="AH47" s="597"/>
      <c r="AI47" s="597"/>
      <c r="AJ47" s="599"/>
      <c r="AK47" s="451"/>
      <c r="AL47" s="451"/>
      <c r="AM47" s="442"/>
      <c r="AN47" s="442"/>
      <c r="AO47" s="442"/>
      <c r="AP47" s="442"/>
      <c r="AQ47" s="442"/>
      <c r="AR47" s="442"/>
      <c r="AS47" s="442"/>
      <c r="AT47" s="442"/>
    </row>
    <row r="48" spans="1:46" ht="14.5" customHeight="1" x14ac:dyDescent="0.25">
      <c r="A48" s="50" t="str">
        <f t="shared" si="24"/>
        <v>LSAC463</v>
      </c>
      <c r="B48" s="13" t="s">
        <v>115</v>
      </c>
      <c r="C48" s="13">
        <v>46</v>
      </c>
      <c r="D48" s="13">
        <v>3</v>
      </c>
      <c r="E48" s="27" t="s">
        <v>116</v>
      </c>
      <c r="F48" s="28" t="str">
        <f>LOOKUP(D48,$AL$7:$AL$10,$AM$7:$AM$10)</f>
        <v>Fall</v>
      </c>
      <c r="G48" s="44">
        <f>SUMIFS('[11]inland_taf_hatchgrp_tableraw&amp;yy'!G$3:G$38,'[11]inland_taf_hatchgrp_tableraw&amp;yy'!$AC$3:$AC$38,'2018 Table 10 CWTs exp'!$A48)</f>
        <v>0</v>
      </c>
      <c r="H48" s="45">
        <f>SUMIFS('[11]inland_taf_hatchgrp_tableraw&amp;yy'!H$3:H$38,'[11]inland_taf_hatchgrp_tableraw&amp;yy'!$AC$3:$AC$38,'2018 Table 10 CWTs exp'!$A48)</f>
        <v>271</v>
      </c>
      <c r="I48" s="44">
        <f>SUMIFS('[11]inland_taf_hatchgrp_tableraw&amp;yy'!I$3:I$38,'[11]inland_taf_hatchgrp_tableraw&amp;yy'!$AC$3:$AC$38,'2018 Table 10 CWTs exp'!$A48)</f>
        <v>96</v>
      </c>
      <c r="J48" s="46">
        <f>SUMIFS('[11]inland_taf_hatchgrp_tableraw&amp;yy'!J$3:J$38,'[11]inland_taf_hatchgrp_tableraw&amp;yy'!$AC$3:$AC$38,'2018 Table 10 CWTs exp'!$A48)</f>
        <v>0</v>
      </c>
      <c r="K48" s="44">
        <f>SUMIFS('[11]inland_taf_hatchgrp_tableraw&amp;yy'!K$3:K$38,'[11]inland_taf_hatchgrp_tableraw&amp;yy'!$AC$3:$AC$38,'2018 Table 10 CWTs exp'!$A48)</f>
        <v>0</v>
      </c>
      <c r="L48" s="44">
        <f>SUMIFS('[11]inland_taf_hatchgrp_tableraw&amp;yy'!L$3:L$38,'[11]inland_taf_hatchgrp_tableraw&amp;yy'!$AC$3:$AC$38,'2018 Table 10 CWTs exp'!$A48)</f>
        <v>24</v>
      </c>
      <c r="M48" s="44">
        <f>SUMIFS('[11]inland_taf_hatchgrp_tableraw&amp;yy'!M$3:M$38,'[11]inland_taf_hatchgrp_tableraw&amp;yy'!$AC$3:$AC$38,'2018 Table 10 CWTs exp'!$A48)</f>
        <v>850</v>
      </c>
      <c r="N48" s="46">
        <f>SUMIFS('[11]inland_taf_hatchgrp_tableraw&amp;yy'!N$3:N$38,'[11]inland_taf_hatchgrp_tableraw&amp;yy'!$AC$3:$AC$38,'2018 Table 10 CWTs exp'!$A48)</f>
        <v>286</v>
      </c>
      <c r="O48" s="44">
        <f>SUMIFS('[11]inland_taf_hatchgrp_tableraw&amp;yy'!O$3:O$38,'[11]inland_taf_hatchgrp_tableraw&amp;yy'!$AC$3:$AC$38,'2018 Table 10 CWTs exp'!$A48)</f>
        <v>381</v>
      </c>
      <c r="P48" s="46">
        <f>SUMIFS('[11]inland_taf_hatchgrp_tableraw&amp;yy'!P$3:P$38,'[11]inland_taf_hatchgrp_tableraw&amp;yy'!$AC$3:$AC$38,'2018 Table 10 CWTs exp'!$A48)</f>
        <v>857</v>
      </c>
      <c r="Q48" s="44">
        <f>SUMIFS('[11]inland_taf_hatchgrp_tableraw&amp;yy'!Q$3:Q$38,'[11]inland_taf_hatchgrp_tableraw&amp;yy'!$AC$3:$AC$38,'2018 Table 10 CWTs exp'!$A48)</f>
        <v>0</v>
      </c>
      <c r="R48" s="44">
        <f>SUMIFS('[11]inland_taf_hatchgrp_tableraw&amp;yy'!R$3:R$38,'[11]inland_taf_hatchgrp_tableraw&amp;yy'!$AC$3:$AC$38,'2018 Table 10 CWTs exp'!$A48)</f>
        <v>1046</v>
      </c>
      <c r="S48" s="44">
        <f>SUMIFS('[11]inland_taf_hatchgrp_tableraw&amp;yy'!S$3:S$38,'[11]inland_taf_hatchgrp_tableraw&amp;yy'!$AC$3:$AC$38,'2018 Table 10 CWTs exp'!$A48)</f>
        <v>72</v>
      </c>
      <c r="T48" s="46">
        <f>SUMIFS('[11]inland_taf_hatchgrp_tableraw&amp;yy'!T$3:T$38,'[11]inland_taf_hatchgrp_tableraw&amp;yy'!$AC$3:$AC$38,'2018 Table 10 CWTs exp'!$A48)</f>
        <v>143</v>
      </c>
      <c r="U48" s="44">
        <f>SUMIFS('[11]inland_taf_hatchgrp_tableraw&amp;yy'!U$3:U$38,'[11]inland_taf_hatchgrp_tableraw&amp;yy'!$AC$3:$AC$38,'2018 Table 10 CWTs exp'!$A48)</f>
        <v>0</v>
      </c>
      <c r="V48" s="46">
        <f>SUMIFS('[11]inland_taf_hatchgrp_tableraw&amp;yy'!V$3:V$38,'[11]inland_taf_hatchgrp_tableraw&amp;yy'!$AC$3:$AC$38,'2018 Table 10 CWTs exp'!$A48)</f>
        <v>0</v>
      </c>
      <c r="W48" s="46">
        <f>SUMIFS('[11]inland_taf_hatchgrp_tableraw&amp;yy'!W$3:W$38,'[11]inland_taf_hatchgrp_tableraw&amp;yy'!$AC$3:$AC$38,'2018 Table 10 CWTs exp'!$A48)</f>
        <v>0</v>
      </c>
      <c r="X48" s="44">
        <f>SUMIFS('[11]inland_taf_hatchgrp_tableraw&amp;yy'!X$3:X$38,'[11]inland_taf_hatchgrp_tableraw&amp;yy'!$AC$3:$AC$38,'2018 Table 10 CWTs exp'!$A48)</f>
        <v>0</v>
      </c>
      <c r="Y48" s="84">
        <f>SUMIFS('[11]inland_taf_hatchgrp_tableraw&amp;yy'!Y$3:Y$38,'[11]inland_taf_hatchgrp_tableraw&amp;yy'!$AC$3:$AC$38,'2018 Table 10 CWTs exp'!$A48)</f>
        <v>4026</v>
      </c>
      <c r="Z48" s="85">
        <f>SUMIFS('[11]inland_taf_hatchgrp_tableraw&amp;yy'!Z$3:Z$38,'[11]inland_taf_hatchgrp_tableraw&amp;yy'!$AC$3:$AC$38,'2018 Table 10 CWTs exp'!$A48)</f>
        <v>1347</v>
      </c>
      <c r="AA48" s="44">
        <f>SUMIFS('[11]inland_taf_hatchgrp_tableraw&amp;yy'!AA$3:AA$38,'[11]inland_taf_hatchgrp_tableraw&amp;yy'!$AC$3:$AC$38,'2018 Table 10 CWTs exp'!$A48)</f>
        <v>5373</v>
      </c>
      <c r="AB48" s="44"/>
      <c r="AC48" s="636"/>
      <c r="AD48" s="566">
        <f>SUMIFS('[11]inland_taf_hatchgrp_tableraw&amp;yy'!AB$3:AB$38,'[11]inland_taf_hatchgrp_tableraw&amp;yy'!$AC$3:$AC$38,'2018 Table 10 CWTs exp'!$A48)</f>
        <v>0.749</v>
      </c>
      <c r="AE48" s="604" t="str">
        <f t="shared" si="25"/>
        <v>LSAC463</v>
      </c>
      <c r="AF48" s="442"/>
      <c r="AG48" s="622">
        <f t="shared" ref="AG48:AG52" si="26">Y48/AA48</f>
        <v>0.74930206588498049</v>
      </c>
      <c r="AH48" s="597"/>
      <c r="AI48" s="597"/>
      <c r="AJ48" s="599"/>
      <c r="AK48" s="451"/>
      <c r="AL48" s="451"/>
      <c r="AM48" s="442"/>
      <c r="AN48" s="442"/>
      <c r="AO48" s="442"/>
      <c r="AP48" s="442"/>
      <c r="AQ48" s="442"/>
      <c r="AR48" s="442"/>
      <c r="AS48" s="442"/>
      <c r="AT48" s="442"/>
    </row>
    <row r="49" spans="1:46" ht="14.5" customHeight="1" x14ac:dyDescent="0.25">
      <c r="A49" s="50" t="str">
        <f t="shared" si="24"/>
        <v>FEA463</v>
      </c>
      <c r="B49" s="13" t="s">
        <v>80</v>
      </c>
      <c r="C49" s="13">
        <v>46</v>
      </c>
      <c r="D49" s="13">
        <v>3</v>
      </c>
      <c r="E49" s="27" t="s">
        <v>117</v>
      </c>
      <c r="F49" s="28" t="str">
        <f>LOOKUP(D49,$AL$7:$AL$10,$AM$7:$AM$10)</f>
        <v>Fall</v>
      </c>
      <c r="G49" s="44">
        <f>SUMIFS('[11]inland_taf_hatchgrp_tableraw&amp;yy'!G$3:G$38,'[11]inland_taf_hatchgrp_tableraw&amp;yy'!$AC$3:$AC$38,'2018 Table 10 CWTs exp'!$A49)</f>
        <v>0</v>
      </c>
      <c r="H49" s="45">
        <f>SUMIFS('[11]inland_taf_hatchgrp_tableraw&amp;yy'!H$3:H$38,'[11]inland_taf_hatchgrp_tableraw&amp;yy'!$AC$3:$AC$38,'2018 Table 10 CWTs exp'!$A49)</f>
        <v>0</v>
      </c>
      <c r="I49" s="44">
        <f>SUMIFS('[11]inland_taf_hatchgrp_tableraw&amp;yy'!I$3:I$38,'[11]inland_taf_hatchgrp_tableraw&amp;yy'!$AC$3:$AC$38,'2018 Table 10 CWTs exp'!$A49)</f>
        <v>0</v>
      </c>
      <c r="J49" s="46">
        <f>SUMIFS('[11]inland_taf_hatchgrp_tableraw&amp;yy'!J$3:J$38,'[11]inland_taf_hatchgrp_tableraw&amp;yy'!$AC$3:$AC$38,'2018 Table 10 CWTs exp'!$A49)</f>
        <v>0</v>
      </c>
      <c r="K49" s="44">
        <f>SUMIFS('[11]inland_taf_hatchgrp_tableraw&amp;yy'!K$3:K$38,'[11]inland_taf_hatchgrp_tableraw&amp;yy'!$AC$3:$AC$38,'2018 Table 10 CWTs exp'!$A49)</f>
        <v>132</v>
      </c>
      <c r="L49" s="44">
        <f>SUMIFS('[11]inland_taf_hatchgrp_tableraw&amp;yy'!L$3:L$38,'[11]inland_taf_hatchgrp_tableraw&amp;yy'!$AC$3:$AC$38,'2018 Table 10 CWTs exp'!$A49)</f>
        <v>183</v>
      </c>
      <c r="M49" s="44">
        <f>SUMIFS('[11]inland_taf_hatchgrp_tableraw&amp;yy'!M$3:M$38,'[11]inland_taf_hatchgrp_tableraw&amp;yy'!$AC$3:$AC$38,'2018 Table 10 CWTs exp'!$A49)</f>
        <v>7080</v>
      </c>
      <c r="N49" s="46">
        <f>SUMIFS('[11]inland_taf_hatchgrp_tableraw&amp;yy'!N$3:N$38,'[11]inland_taf_hatchgrp_tableraw&amp;yy'!$AC$3:$AC$38,'2018 Table 10 CWTs exp'!$A49)</f>
        <v>367</v>
      </c>
      <c r="O49" s="44">
        <f>SUMIFS('[11]inland_taf_hatchgrp_tableraw&amp;yy'!O$3:O$38,'[11]inland_taf_hatchgrp_tableraw&amp;yy'!$AC$3:$AC$38,'2018 Table 10 CWTs exp'!$A49)</f>
        <v>0</v>
      </c>
      <c r="P49" s="46">
        <f>SUMIFS('[11]inland_taf_hatchgrp_tableraw&amp;yy'!P$3:P$38,'[11]inland_taf_hatchgrp_tableraw&amp;yy'!$AC$3:$AC$38,'2018 Table 10 CWTs exp'!$A49)</f>
        <v>0</v>
      </c>
      <c r="Q49" s="44">
        <f>SUMIFS('[11]inland_taf_hatchgrp_tableraw&amp;yy'!Q$3:Q$38,'[11]inland_taf_hatchgrp_tableraw&amp;yy'!$AC$3:$AC$38,'2018 Table 10 CWTs exp'!$A49)</f>
        <v>0</v>
      </c>
      <c r="R49" s="44">
        <f>SUMIFS('[11]inland_taf_hatchgrp_tableraw&amp;yy'!R$3:R$38,'[11]inland_taf_hatchgrp_tableraw&amp;yy'!$AC$3:$AC$38,'2018 Table 10 CWTs exp'!$A49)</f>
        <v>0</v>
      </c>
      <c r="S49" s="44">
        <f>SUMIFS('[11]inland_taf_hatchgrp_tableraw&amp;yy'!S$3:S$38,'[11]inland_taf_hatchgrp_tableraw&amp;yy'!$AC$3:$AC$38,'2018 Table 10 CWTs exp'!$A49)</f>
        <v>13</v>
      </c>
      <c r="T49" s="46">
        <f>SUMIFS('[11]inland_taf_hatchgrp_tableraw&amp;yy'!T$3:T$38,'[11]inland_taf_hatchgrp_tableraw&amp;yy'!$AC$3:$AC$38,'2018 Table 10 CWTs exp'!$A49)</f>
        <v>0</v>
      </c>
      <c r="U49" s="44">
        <f>SUMIFS('[11]inland_taf_hatchgrp_tableraw&amp;yy'!U$3:U$38,'[11]inland_taf_hatchgrp_tableraw&amp;yy'!$AC$3:$AC$38,'2018 Table 10 CWTs exp'!$A49)</f>
        <v>0</v>
      </c>
      <c r="V49" s="46">
        <f>SUMIFS('[11]inland_taf_hatchgrp_tableraw&amp;yy'!V$3:V$38,'[11]inland_taf_hatchgrp_tableraw&amp;yy'!$AC$3:$AC$38,'2018 Table 10 CWTs exp'!$A49)</f>
        <v>0</v>
      </c>
      <c r="W49" s="46">
        <f>SUMIFS('[11]inland_taf_hatchgrp_tableraw&amp;yy'!W$3:W$38,'[11]inland_taf_hatchgrp_tableraw&amp;yy'!$AC$3:$AC$38,'2018 Table 10 CWTs exp'!$A49)</f>
        <v>26</v>
      </c>
      <c r="X49" s="44">
        <f>SUMIFS('[11]inland_taf_hatchgrp_tableraw&amp;yy'!X$3:X$38,'[11]inland_taf_hatchgrp_tableraw&amp;yy'!$AC$3:$AC$38,'2018 Table 10 CWTs exp'!$A49)</f>
        <v>0</v>
      </c>
      <c r="Y49" s="84">
        <f>SUMIFS('[11]inland_taf_hatchgrp_tableraw&amp;yy'!Y$3:Y$38,'[11]inland_taf_hatchgrp_tableraw&amp;yy'!$AC$3:$AC$38,'2018 Table 10 CWTs exp'!$A49)</f>
        <v>7801</v>
      </c>
      <c r="Z49" s="85">
        <f>SUMIFS('[11]inland_taf_hatchgrp_tableraw&amp;yy'!Z$3:Z$38,'[11]inland_taf_hatchgrp_tableraw&amp;yy'!$AC$3:$AC$38,'2018 Table 10 CWTs exp'!$A49)</f>
        <v>3586</v>
      </c>
      <c r="AA49" s="44">
        <f>SUMIFS('[11]inland_taf_hatchgrp_tableraw&amp;yy'!AA$3:AA$38,'[11]inland_taf_hatchgrp_tableraw&amp;yy'!$AC$3:$AC$38,'2018 Table 10 CWTs exp'!$A49)</f>
        <v>11387</v>
      </c>
      <c r="AB49" s="44"/>
      <c r="AC49" s="636"/>
      <c r="AD49" s="566">
        <f>SUMIFS('[11]inland_taf_hatchgrp_tableraw&amp;yy'!AB$3:AB$38,'[11]inland_taf_hatchgrp_tableraw&amp;yy'!$AC$3:$AC$38,'2018 Table 10 CWTs exp'!$A49)</f>
        <v>0.68500000000000005</v>
      </c>
      <c r="AE49" s="604" t="str">
        <f t="shared" si="25"/>
        <v>FEA463</v>
      </c>
      <c r="AF49" s="442"/>
      <c r="AG49" s="622">
        <f t="shared" si="26"/>
        <v>0.68507947659611834</v>
      </c>
      <c r="AH49" s="597"/>
      <c r="AI49" s="597"/>
      <c r="AJ49" s="599"/>
      <c r="AK49" s="451"/>
      <c r="AL49" s="451"/>
      <c r="AM49" s="442"/>
      <c r="AN49" s="442"/>
      <c r="AO49" s="442"/>
      <c r="AP49" s="442"/>
      <c r="AQ49" s="442"/>
      <c r="AR49" s="442"/>
      <c r="AS49" s="442"/>
      <c r="AT49" s="442"/>
    </row>
    <row r="50" spans="1:46" ht="14.5" customHeight="1" x14ac:dyDescent="0.25">
      <c r="A50" s="50" t="str">
        <f t="shared" si="24"/>
        <v>AMN463</v>
      </c>
      <c r="B50" s="13" t="s">
        <v>118</v>
      </c>
      <c r="C50" s="13">
        <v>46</v>
      </c>
      <c r="D50" s="13">
        <v>3</v>
      </c>
      <c r="E50" s="27" t="s">
        <v>119</v>
      </c>
      <c r="F50" s="28" t="str">
        <f>LOOKUP(D50,$AL$7:$AL$10,$AM$7:$AM$10)</f>
        <v>Fall</v>
      </c>
      <c r="G50" s="44">
        <f>SUMIFS('[11]inland_taf_hatchgrp_tableraw&amp;yy'!G$3:G$38,'[11]inland_taf_hatchgrp_tableraw&amp;yy'!$AC$3:$AC$38,'2018 Table 10 CWTs exp'!$A50)</f>
        <v>0</v>
      </c>
      <c r="H50" s="45">
        <f>SUMIFS('[11]inland_taf_hatchgrp_tableraw&amp;yy'!H$3:H$38,'[11]inland_taf_hatchgrp_tableraw&amp;yy'!$AC$3:$AC$38,'2018 Table 10 CWTs exp'!$A50)</f>
        <v>0</v>
      </c>
      <c r="I50" s="44">
        <f>SUMIFS('[11]inland_taf_hatchgrp_tableraw&amp;yy'!I$3:I$38,'[11]inland_taf_hatchgrp_tableraw&amp;yy'!$AC$3:$AC$38,'2018 Table 10 CWTs exp'!$A50)</f>
        <v>0</v>
      </c>
      <c r="J50" s="46">
        <f>SUMIFS('[11]inland_taf_hatchgrp_tableraw&amp;yy'!J$3:J$38,'[11]inland_taf_hatchgrp_tableraw&amp;yy'!$AC$3:$AC$38,'2018 Table 10 CWTs exp'!$A50)</f>
        <v>0</v>
      </c>
      <c r="K50" s="44">
        <f>SUMIFS('[11]inland_taf_hatchgrp_tableraw&amp;yy'!K$3:K$38,'[11]inland_taf_hatchgrp_tableraw&amp;yy'!$AC$3:$AC$38,'2018 Table 10 CWTs exp'!$A50)</f>
        <v>0</v>
      </c>
      <c r="L50" s="44">
        <f>SUMIFS('[11]inland_taf_hatchgrp_tableraw&amp;yy'!L$3:L$38,'[11]inland_taf_hatchgrp_tableraw&amp;yy'!$AC$3:$AC$38,'2018 Table 10 CWTs exp'!$A50)</f>
        <v>0</v>
      </c>
      <c r="M50" s="44">
        <f>SUMIFS('[11]inland_taf_hatchgrp_tableraw&amp;yy'!M$3:M$38,'[11]inland_taf_hatchgrp_tableraw&amp;yy'!$AC$3:$AC$38,'2018 Table 10 CWTs exp'!$A50)</f>
        <v>79</v>
      </c>
      <c r="N50" s="46">
        <f>SUMIFS('[11]inland_taf_hatchgrp_tableraw&amp;yy'!N$3:N$38,'[11]inland_taf_hatchgrp_tableraw&amp;yy'!$AC$3:$AC$38,'2018 Table 10 CWTs exp'!$A50)</f>
        <v>0</v>
      </c>
      <c r="O50" s="44">
        <f>SUMIFS('[11]inland_taf_hatchgrp_tableraw&amp;yy'!O$3:O$38,'[11]inland_taf_hatchgrp_tableraw&amp;yy'!$AC$3:$AC$38,'2018 Table 10 CWTs exp'!$A50)</f>
        <v>315</v>
      </c>
      <c r="P50" s="46">
        <f>SUMIFS('[11]inland_taf_hatchgrp_tableraw&amp;yy'!P$3:P$38,'[11]inland_taf_hatchgrp_tableraw&amp;yy'!$AC$3:$AC$38,'2018 Table 10 CWTs exp'!$A50)</f>
        <v>158</v>
      </c>
      <c r="Q50" s="44">
        <f>SUMIFS('[11]inland_taf_hatchgrp_tableraw&amp;yy'!Q$3:Q$38,'[11]inland_taf_hatchgrp_tableraw&amp;yy'!$AC$3:$AC$38,'2018 Table 10 CWTs exp'!$A50)</f>
        <v>0</v>
      </c>
      <c r="R50" s="44">
        <f>SUMIFS('[11]inland_taf_hatchgrp_tableraw&amp;yy'!R$3:R$38,'[11]inland_taf_hatchgrp_tableraw&amp;yy'!$AC$3:$AC$38,'2018 Table 10 CWTs exp'!$A50)</f>
        <v>396</v>
      </c>
      <c r="S50" s="44">
        <f>SUMIFS('[11]inland_taf_hatchgrp_tableraw&amp;yy'!S$3:S$38,'[11]inland_taf_hatchgrp_tableraw&amp;yy'!$AC$3:$AC$38,'2018 Table 10 CWTs exp'!$A50)</f>
        <v>59</v>
      </c>
      <c r="T50" s="46">
        <f>SUMIFS('[11]inland_taf_hatchgrp_tableraw&amp;yy'!T$3:T$38,'[11]inland_taf_hatchgrp_tableraw&amp;yy'!$AC$3:$AC$38,'2018 Table 10 CWTs exp'!$A50)</f>
        <v>39</v>
      </c>
      <c r="U50" s="44">
        <f>SUMIFS('[11]inland_taf_hatchgrp_tableraw&amp;yy'!U$3:U$38,'[11]inland_taf_hatchgrp_tableraw&amp;yy'!$AC$3:$AC$38,'2018 Table 10 CWTs exp'!$A50)</f>
        <v>0</v>
      </c>
      <c r="V50" s="46">
        <f>SUMIFS('[11]inland_taf_hatchgrp_tableraw&amp;yy'!V$3:V$38,'[11]inland_taf_hatchgrp_tableraw&amp;yy'!$AC$3:$AC$38,'2018 Table 10 CWTs exp'!$A50)</f>
        <v>0</v>
      </c>
      <c r="W50" s="46">
        <f>SUMIFS('[11]inland_taf_hatchgrp_tableraw&amp;yy'!W$3:W$38,'[11]inland_taf_hatchgrp_tableraw&amp;yy'!$AC$3:$AC$38,'2018 Table 10 CWTs exp'!$A50)</f>
        <v>0</v>
      </c>
      <c r="X50" s="44">
        <f>SUMIFS('[11]inland_taf_hatchgrp_tableraw&amp;yy'!X$3:X$38,'[11]inland_taf_hatchgrp_tableraw&amp;yy'!$AC$3:$AC$38,'2018 Table 10 CWTs exp'!$A50)</f>
        <v>0</v>
      </c>
      <c r="Y50" s="84">
        <f>SUMIFS('[11]inland_taf_hatchgrp_tableraw&amp;yy'!Y$3:Y$38,'[11]inland_taf_hatchgrp_tableraw&amp;yy'!$AC$3:$AC$38,'2018 Table 10 CWTs exp'!$A50)</f>
        <v>1046</v>
      </c>
      <c r="Z50" s="85">
        <f>SUMIFS('[11]inland_taf_hatchgrp_tableraw&amp;yy'!Z$3:Z$38,'[11]inland_taf_hatchgrp_tableraw&amp;yy'!$AC$3:$AC$38,'2018 Table 10 CWTs exp'!$A50)</f>
        <v>0</v>
      </c>
      <c r="AA50" s="44">
        <f>SUMIFS('[11]inland_taf_hatchgrp_tableraw&amp;yy'!AA$3:AA$38,'[11]inland_taf_hatchgrp_tableraw&amp;yy'!$AC$3:$AC$38,'2018 Table 10 CWTs exp'!$A50)</f>
        <v>1046</v>
      </c>
      <c r="AB50" s="44"/>
      <c r="AC50" s="636"/>
      <c r="AD50" s="566">
        <f>SUMIFS('[11]inland_taf_hatchgrp_tableraw&amp;yy'!AB$3:AB$38,'[11]inland_taf_hatchgrp_tableraw&amp;yy'!$AC$3:$AC$38,'2018 Table 10 CWTs exp'!$A50)</f>
        <v>1</v>
      </c>
      <c r="AE50" s="604" t="str">
        <f t="shared" si="25"/>
        <v>AMN463</v>
      </c>
      <c r="AF50" s="442"/>
      <c r="AG50" s="622">
        <f t="shared" si="26"/>
        <v>1</v>
      </c>
      <c r="AH50" s="597"/>
      <c r="AI50" s="442"/>
      <c r="AJ50" s="451"/>
      <c r="AK50" s="451"/>
      <c r="AL50" s="451"/>
      <c r="AM50" s="442"/>
      <c r="AN50" s="442"/>
      <c r="AO50" s="442"/>
      <c r="AP50" s="442"/>
      <c r="AQ50" s="442"/>
      <c r="AR50" s="442"/>
      <c r="AS50" s="442"/>
      <c r="AT50" s="442"/>
    </row>
    <row r="51" spans="1:46" ht="14.5" customHeight="1" x14ac:dyDescent="0.25">
      <c r="A51" s="50" t="str">
        <f t="shared" si="24"/>
        <v>MOKE463</v>
      </c>
      <c r="B51" s="13" t="s">
        <v>90</v>
      </c>
      <c r="C51" s="13">
        <v>46</v>
      </c>
      <c r="D51" s="13">
        <v>3</v>
      </c>
      <c r="E51" s="27" t="s">
        <v>91</v>
      </c>
      <c r="F51" s="28" t="str">
        <f>LOOKUP(D51,$AL$7:$AL$10,$AM$7:$AM$10)</f>
        <v>Fall</v>
      </c>
      <c r="G51" s="44">
        <f>SUMIFS('[11]inland_taf_hatchgrp_tableraw&amp;yy'!G$3:G$38,'[11]inland_taf_hatchgrp_tableraw&amp;yy'!$AC$3:$AC$38,'2018 Table 10 CWTs exp'!$A51)</f>
        <v>0</v>
      </c>
      <c r="H51" s="45">
        <f>SUMIFS('[11]inland_taf_hatchgrp_tableraw&amp;yy'!H$3:H$38,'[11]inland_taf_hatchgrp_tableraw&amp;yy'!$AC$3:$AC$38,'2018 Table 10 CWTs exp'!$A51)</f>
        <v>0</v>
      </c>
      <c r="I51" s="44">
        <f>SUMIFS('[11]inland_taf_hatchgrp_tableraw&amp;yy'!I$3:I$38,'[11]inland_taf_hatchgrp_tableraw&amp;yy'!$AC$3:$AC$38,'2018 Table 10 CWTs exp'!$A51)</f>
        <v>0</v>
      </c>
      <c r="J51" s="46">
        <f>SUMIFS('[11]inland_taf_hatchgrp_tableraw&amp;yy'!J$3:J$38,'[11]inland_taf_hatchgrp_tableraw&amp;yy'!$AC$3:$AC$38,'2018 Table 10 CWTs exp'!$A51)</f>
        <v>0</v>
      </c>
      <c r="K51" s="44">
        <f>SUMIFS('[11]inland_taf_hatchgrp_tableraw&amp;yy'!K$3:K$38,'[11]inland_taf_hatchgrp_tableraw&amp;yy'!$AC$3:$AC$38,'2018 Table 10 CWTs exp'!$A51)</f>
        <v>0</v>
      </c>
      <c r="L51" s="44">
        <f>SUMIFS('[11]inland_taf_hatchgrp_tableraw&amp;yy'!L$3:L$38,'[11]inland_taf_hatchgrp_tableraw&amp;yy'!$AC$3:$AC$38,'2018 Table 10 CWTs exp'!$A51)</f>
        <v>0</v>
      </c>
      <c r="M51" s="44">
        <f>SUMIFS('[11]inland_taf_hatchgrp_tableraw&amp;yy'!M$3:M$38,'[11]inland_taf_hatchgrp_tableraw&amp;yy'!$AC$3:$AC$38,'2018 Table 10 CWTs exp'!$A51)</f>
        <v>0</v>
      </c>
      <c r="N51" s="46">
        <f>SUMIFS('[11]inland_taf_hatchgrp_tableraw&amp;yy'!N$3:N$38,'[11]inland_taf_hatchgrp_tableraw&amp;yy'!$AC$3:$AC$38,'2018 Table 10 CWTs exp'!$A51)</f>
        <v>0</v>
      </c>
      <c r="O51" s="44">
        <f>SUMIFS('[11]inland_taf_hatchgrp_tableraw&amp;yy'!O$3:O$38,'[11]inland_taf_hatchgrp_tableraw&amp;yy'!$AC$3:$AC$38,'2018 Table 10 CWTs exp'!$A51)</f>
        <v>0</v>
      </c>
      <c r="P51" s="46">
        <f>SUMIFS('[11]inland_taf_hatchgrp_tableraw&amp;yy'!P$3:P$38,'[11]inland_taf_hatchgrp_tableraw&amp;yy'!$AC$3:$AC$38,'2018 Table 10 CWTs exp'!$A51)</f>
        <v>87</v>
      </c>
      <c r="Q51" s="44">
        <f>SUMIFS('[11]inland_taf_hatchgrp_tableraw&amp;yy'!Q$3:Q$38,'[11]inland_taf_hatchgrp_tableraw&amp;yy'!$AC$3:$AC$38,'2018 Table 10 CWTs exp'!$A51)</f>
        <v>11</v>
      </c>
      <c r="R51" s="44">
        <f>SUMIFS('[11]inland_taf_hatchgrp_tableraw&amp;yy'!R$3:R$38,'[11]inland_taf_hatchgrp_tableraw&amp;yy'!$AC$3:$AC$38,'2018 Table 10 CWTs exp'!$A51)</f>
        <v>390</v>
      </c>
      <c r="S51" s="44">
        <f>SUMIFS('[11]inland_taf_hatchgrp_tableraw&amp;yy'!S$3:S$38,'[11]inland_taf_hatchgrp_tableraw&amp;yy'!$AC$3:$AC$38,'2018 Table 10 CWTs exp'!$A51)</f>
        <v>11</v>
      </c>
      <c r="T51" s="46">
        <f>SUMIFS('[11]inland_taf_hatchgrp_tableraw&amp;yy'!T$3:T$38,'[11]inland_taf_hatchgrp_tableraw&amp;yy'!$AC$3:$AC$38,'2018 Table 10 CWTs exp'!$A51)</f>
        <v>0</v>
      </c>
      <c r="U51" s="44">
        <f>SUMIFS('[11]inland_taf_hatchgrp_tableraw&amp;yy'!U$3:U$38,'[11]inland_taf_hatchgrp_tableraw&amp;yy'!$AC$3:$AC$38,'2018 Table 10 CWTs exp'!$A51)</f>
        <v>0</v>
      </c>
      <c r="V51" s="46">
        <f>SUMIFS('[11]inland_taf_hatchgrp_tableraw&amp;yy'!V$3:V$38,'[11]inland_taf_hatchgrp_tableraw&amp;yy'!$AC$3:$AC$38,'2018 Table 10 CWTs exp'!$A51)</f>
        <v>0</v>
      </c>
      <c r="W51" s="46">
        <f>SUMIFS('[11]inland_taf_hatchgrp_tableraw&amp;yy'!W$3:W$38,'[11]inland_taf_hatchgrp_tableraw&amp;yy'!$AC$3:$AC$38,'2018 Table 10 CWTs exp'!$A51)</f>
        <v>0</v>
      </c>
      <c r="X51" s="44">
        <f>SUMIFS('[11]inland_taf_hatchgrp_tableraw&amp;yy'!X$3:X$38,'[11]inland_taf_hatchgrp_tableraw&amp;yy'!$AC$3:$AC$38,'2018 Table 10 CWTs exp'!$A51)</f>
        <v>0</v>
      </c>
      <c r="Y51" s="84">
        <f>SUMIFS('[11]inland_taf_hatchgrp_tableraw&amp;yy'!Y$3:Y$38,'[11]inland_taf_hatchgrp_tableraw&amp;yy'!$AC$3:$AC$38,'2018 Table 10 CWTs exp'!$A51)</f>
        <v>499</v>
      </c>
      <c r="Z51" s="85">
        <f>SUMIFS('[11]inland_taf_hatchgrp_tableraw&amp;yy'!Z$3:Z$38,'[11]inland_taf_hatchgrp_tableraw&amp;yy'!$AC$3:$AC$38,'2018 Table 10 CWTs exp'!$A51)</f>
        <v>149</v>
      </c>
      <c r="AA51" s="44">
        <f>SUMIFS('[11]inland_taf_hatchgrp_tableraw&amp;yy'!AA$3:AA$38,'[11]inland_taf_hatchgrp_tableraw&amp;yy'!$AC$3:$AC$38,'2018 Table 10 CWTs exp'!$A51)</f>
        <v>648</v>
      </c>
      <c r="AB51" s="44"/>
      <c r="AC51" s="636"/>
      <c r="AD51" s="566">
        <f>SUMIFS('[11]inland_taf_hatchgrp_tableraw&amp;yy'!AB$3:AB$38,'[11]inland_taf_hatchgrp_tableraw&amp;yy'!$AC$3:$AC$38,'2018 Table 10 CWTs exp'!$A51)</f>
        <v>0.77</v>
      </c>
      <c r="AE51" s="604" t="str">
        <f t="shared" si="25"/>
        <v>MOKE463</v>
      </c>
      <c r="AF51" s="442"/>
      <c r="AG51" s="622">
        <f t="shared" si="26"/>
        <v>0.77006172839506171</v>
      </c>
      <c r="AH51" s="597"/>
      <c r="AI51" s="442"/>
      <c r="AJ51" s="451"/>
      <c r="AK51" s="451"/>
      <c r="AL51" s="451"/>
      <c r="AM51" s="442"/>
      <c r="AN51" s="442"/>
      <c r="AO51" s="442"/>
      <c r="AP51" s="442"/>
      <c r="AQ51" s="442"/>
      <c r="AR51" s="442"/>
      <c r="AS51" s="442"/>
      <c r="AT51" s="442"/>
    </row>
    <row r="52" spans="1:46" ht="14.5" customHeight="1" x14ac:dyDescent="0.25">
      <c r="A52" s="50" t="str">
        <f t="shared" si="24"/>
        <v>USAC467</v>
      </c>
      <c r="B52" s="13" t="s">
        <v>64</v>
      </c>
      <c r="C52" s="13">
        <v>46</v>
      </c>
      <c r="D52" s="13">
        <v>7</v>
      </c>
      <c r="E52" s="27" t="s">
        <v>114</v>
      </c>
      <c r="F52" s="37" t="s">
        <v>49</v>
      </c>
      <c r="G52" s="44">
        <f>SUMIFS('[11]inland_taf_hatchgrp_tableraw&amp;yy'!G$3:G$38,'[11]inland_taf_hatchgrp_tableraw&amp;yy'!$AC$3:$AC$38,'2018 Table 10 CWTs exp'!$A52)</f>
        <v>9</v>
      </c>
      <c r="H52" s="45">
        <f>SUMIFS('[11]inland_taf_hatchgrp_tableraw&amp;yy'!H$3:H$38,'[11]inland_taf_hatchgrp_tableraw&amp;yy'!$AC$3:$AC$38,'2018 Table 10 CWTs exp'!$A52)</f>
        <v>313</v>
      </c>
      <c r="I52" s="44">
        <f>SUMIFS('[11]inland_taf_hatchgrp_tableraw&amp;yy'!I$3:I$38,'[11]inland_taf_hatchgrp_tableraw&amp;yy'!$AC$3:$AC$38,'2018 Table 10 CWTs exp'!$A52)</f>
        <v>0</v>
      </c>
      <c r="J52" s="46">
        <f>SUMIFS('[11]inland_taf_hatchgrp_tableraw&amp;yy'!J$3:J$38,'[11]inland_taf_hatchgrp_tableraw&amp;yy'!$AC$3:$AC$38,'2018 Table 10 CWTs exp'!$A52)</f>
        <v>0</v>
      </c>
      <c r="K52" s="44">
        <f>SUMIFS('[11]inland_taf_hatchgrp_tableraw&amp;yy'!K$3:K$38,'[11]inland_taf_hatchgrp_tableraw&amp;yy'!$AC$3:$AC$38,'2018 Table 10 CWTs exp'!$A52)</f>
        <v>0</v>
      </c>
      <c r="L52" s="44">
        <f>SUMIFS('[11]inland_taf_hatchgrp_tableraw&amp;yy'!L$3:L$38,'[11]inland_taf_hatchgrp_tableraw&amp;yy'!$AC$3:$AC$38,'2018 Table 10 CWTs exp'!$A52)</f>
        <v>0</v>
      </c>
      <c r="M52" s="44">
        <f>SUMIFS('[11]inland_taf_hatchgrp_tableraw&amp;yy'!M$3:M$38,'[11]inland_taf_hatchgrp_tableraw&amp;yy'!$AC$3:$AC$38,'2018 Table 10 CWTs exp'!$A52)</f>
        <v>0</v>
      </c>
      <c r="N52" s="46">
        <f>SUMIFS('[11]inland_taf_hatchgrp_tableraw&amp;yy'!N$3:N$38,'[11]inland_taf_hatchgrp_tableraw&amp;yy'!$AC$3:$AC$38,'2018 Table 10 CWTs exp'!$A52)</f>
        <v>0</v>
      </c>
      <c r="O52" s="44">
        <f>SUMIFS('[11]inland_taf_hatchgrp_tableraw&amp;yy'!O$3:O$38,'[11]inland_taf_hatchgrp_tableraw&amp;yy'!$AC$3:$AC$38,'2018 Table 10 CWTs exp'!$A52)</f>
        <v>0</v>
      </c>
      <c r="P52" s="46">
        <f>SUMIFS('[11]inland_taf_hatchgrp_tableraw&amp;yy'!P$3:P$38,'[11]inland_taf_hatchgrp_tableraw&amp;yy'!$AC$3:$AC$38,'2018 Table 10 CWTs exp'!$A52)</f>
        <v>0</v>
      </c>
      <c r="Q52" s="44">
        <f>SUMIFS('[11]inland_taf_hatchgrp_tableraw&amp;yy'!Q$3:Q$38,'[11]inland_taf_hatchgrp_tableraw&amp;yy'!$AC$3:$AC$38,'2018 Table 10 CWTs exp'!$A52)</f>
        <v>0</v>
      </c>
      <c r="R52" s="44">
        <f>SUMIFS('[11]inland_taf_hatchgrp_tableraw&amp;yy'!R$3:R$38,'[11]inland_taf_hatchgrp_tableraw&amp;yy'!$AC$3:$AC$38,'2018 Table 10 CWTs exp'!$A52)</f>
        <v>0</v>
      </c>
      <c r="S52" s="44">
        <f>SUMIFS('[11]inland_taf_hatchgrp_tableraw&amp;yy'!S$3:S$38,'[11]inland_taf_hatchgrp_tableraw&amp;yy'!$AC$3:$AC$38,'2018 Table 10 CWTs exp'!$A52)</f>
        <v>0</v>
      </c>
      <c r="T52" s="46">
        <f>SUMIFS('[11]inland_taf_hatchgrp_tableraw&amp;yy'!T$3:T$38,'[11]inland_taf_hatchgrp_tableraw&amp;yy'!$AC$3:$AC$38,'2018 Table 10 CWTs exp'!$A52)</f>
        <v>0</v>
      </c>
      <c r="U52" s="44">
        <f>SUMIFS('[11]inland_taf_hatchgrp_tableraw&amp;yy'!U$3:U$38,'[11]inland_taf_hatchgrp_tableraw&amp;yy'!$AC$3:$AC$38,'2018 Table 10 CWTs exp'!$A52)</f>
        <v>0</v>
      </c>
      <c r="V52" s="46">
        <f>SUMIFS('[11]inland_taf_hatchgrp_tableraw&amp;yy'!V$3:V$38,'[11]inland_taf_hatchgrp_tableraw&amp;yy'!$AC$3:$AC$38,'2018 Table 10 CWTs exp'!$A52)</f>
        <v>0</v>
      </c>
      <c r="W52" s="46">
        <f>SUMIFS('[11]inland_taf_hatchgrp_tableraw&amp;yy'!W$3:W$38,'[11]inland_taf_hatchgrp_tableraw&amp;yy'!$AC$3:$AC$38,'2018 Table 10 CWTs exp'!$A52)</f>
        <v>0</v>
      </c>
      <c r="X52" s="44">
        <f>SUMIFS('[11]inland_taf_hatchgrp_tableraw&amp;yy'!X$3:X$38,'[11]inland_taf_hatchgrp_tableraw&amp;yy'!$AC$3:$AC$38,'2018 Table 10 CWTs exp'!$A52)</f>
        <v>0</v>
      </c>
      <c r="Y52" s="84">
        <f>SUMIFS('[11]inland_taf_hatchgrp_tableraw&amp;yy'!Y$3:Y$38,'[11]inland_taf_hatchgrp_tableraw&amp;yy'!$AC$3:$AC$38,'2018 Table 10 CWTs exp'!$A52)</f>
        <v>322</v>
      </c>
      <c r="Z52" s="85">
        <f>SUMIFS('[11]inland_taf_hatchgrp_tableraw&amp;yy'!Z$3:Z$38,'[11]inland_taf_hatchgrp_tableraw&amp;yy'!$AC$3:$AC$38,'2018 Table 10 CWTs exp'!$A52)</f>
        <v>152</v>
      </c>
      <c r="AA52" s="44">
        <f>SUMIFS('[11]inland_taf_hatchgrp_tableraw&amp;yy'!AA$3:AA$38,'[11]inland_taf_hatchgrp_tableraw&amp;yy'!$AC$3:$AC$38,'2018 Table 10 CWTs exp'!$A52)</f>
        <v>474</v>
      </c>
      <c r="AB52" s="44"/>
      <c r="AC52" s="636"/>
      <c r="AD52" s="566">
        <f>SUMIFS('[11]inland_taf_hatchgrp_tableraw&amp;yy'!AB$3:AB$38,'[11]inland_taf_hatchgrp_tableraw&amp;yy'!$AC$3:$AC$38,'2018 Table 10 CWTs exp'!$A52)</f>
        <v>0.67900000000000005</v>
      </c>
      <c r="AE52" s="604" t="str">
        <f t="shared" si="25"/>
        <v>USAC467</v>
      </c>
      <c r="AF52" s="444"/>
      <c r="AG52" s="622">
        <f t="shared" si="26"/>
        <v>0.67932489451476796</v>
      </c>
      <c r="AH52" s="606"/>
      <c r="AI52" s="442"/>
      <c r="AJ52" s="451"/>
      <c r="AK52" s="451"/>
      <c r="AL52" s="451"/>
      <c r="AM52" s="442"/>
      <c r="AN52" s="442"/>
      <c r="AO52" s="442"/>
      <c r="AP52" s="442"/>
      <c r="AQ52" s="442"/>
      <c r="AR52" s="442"/>
      <c r="AS52" s="442"/>
      <c r="AT52" s="442"/>
    </row>
    <row r="53" spans="1:46" ht="14.15" customHeight="1" x14ac:dyDescent="0.3">
      <c r="A53" s="50"/>
      <c r="B53" s="13"/>
      <c r="C53" s="13"/>
      <c r="D53" s="13"/>
      <c r="E53" s="3"/>
      <c r="F53" s="192" t="s">
        <v>120</v>
      </c>
      <c r="G53" s="104">
        <f>SUM(G47:G52)</f>
        <v>9</v>
      </c>
      <c r="H53" s="105">
        <f>SUM(H47:H52)</f>
        <v>605</v>
      </c>
      <c r="I53" s="94">
        <f t="shared" ref="I53:AA53" si="27">SUM(I47:I52)</f>
        <v>5524</v>
      </c>
      <c r="J53" s="106">
        <f t="shared" si="27"/>
        <v>0</v>
      </c>
      <c r="K53" s="94">
        <f t="shared" si="27"/>
        <v>132</v>
      </c>
      <c r="L53" s="94">
        <f t="shared" si="27"/>
        <v>207</v>
      </c>
      <c r="M53" s="94">
        <f t="shared" si="27"/>
        <v>8177</v>
      </c>
      <c r="N53" s="106">
        <f t="shared" si="27"/>
        <v>653</v>
      </c>
      <c r="O53" s="94">
        <f t="shared" si="27"/>
        <v>696</v>
      </c>
      <c r="P53" s="106">
        <f t="shared" si="27"/>
        <v>1102</v>
      </c>
      <c r="Q53" s="94">
        <f t="shared" si="27"/>
        <v>11</v>
      </c>
      <c r="R53" s="94">
        <f t="shared" si="27"/>
        <v>1832</v>
      </c>
      <c r="S53" s="94">
        <f t="shared" si="27"/>
        <v>155</v>
      </c>
      <c r="T53" s="106">
        <f t="shared" si="27"/>
        <v>182</v>
      </c>
      <c r="U53" s="94">
        <f t="shared" si="27"/>
        <v>0</v>
      </c>
      <c r="V53" s="106">
        <f t="shared" si="27"/>
        <v>0</v>
      </c>
      <c r="W53" s="106">
        <f t="shared" si="27"/>
        <v>26</v>
      </c>
      <c r="X53" s="94">
        <f t="shared" si="27"/>
        <v>0</v>
      </c>
      <c r="Y53" s="193">
        <f t="shared" si="27"/>
        <v>19311</v>
      </c>
      <c r="Z53" s="93">
        <f t="shared" si="27"/>
        <v>6820</v>
      </c>
      <c r="AA53" s="94">
        <f t="shared" si="27"/>
        <v>26131</v>
      </c>
      <c r="AB53" s="44"/>
      <c r="AC53" s="636"/>
      <c r="AD53" s="562">
        <f>Y53/AA53</f>
        <v>0.73900730932608782</v>
      </c>
      <c r="AE53" s="642">
        <f t="shared" si="25"/>
        <v>0</v>
      </c>
      <c r="AF53" s="643">
        <f>SUM(Y47:Y52)</f>
        <v>19311</v>
      </c>
      <c r="AG53" s="644">
        <f>SUM(Z47:Z52)</f>
        <v>6820</v>
      </c>
      <c r="AH53" s="644">
        <f>SUM(AA47:AA52)</f>
        <v>26131</v>
      </c>
      <c r="AI53" s="645"/>
      <c r="AJ53" s="451"/>
      <c r="AK53" s="451"/>
      <c r="AL53" s="451"/>
      <c r="AM53" s="442"/>
      <c r="AN53" s="442"/>
      <c r="AO53" s="442"/>
      <c r="AP53" s="442"/>
      <c r="AQ53" s="442"/>
      <c r="AR53" s="442"/>
      <c r="AS53" s="442"/>
      <c r="AT53" s="442"/>
    </row>
    <row r="54" spans="1:46" ht="2.9" customHeight="1" x14ac:dyDescent="0.3">
      <c r="A54" s="50"/>
      <c r="B54" s="11"/>
      <c r="C54" s="11"/>
      <c r="D54" s="11"/>
      <c r="E54" s="110"/>
      <c r="F54" s="110"/>
      <c r="G54" s="111"/>
      <c r="H54" s="112"/>
      <c r="I54" s="111"/>
      <c r="J54" s="113"/>
      <c r="K54" s="111"/>
      <c r="L54" s="111"/>
      <c r="M54" s="111"/>
      <c r="N54" s="113"/>
      <c r="O54" s="111"/>
      <c r="P54" s="113"/>
      <c r="Q54" s="111"/>
      <c r="R54" s="111"/>
      <c r="S54" s="111"/>
      <c r="T54" s="113"/>
      <c r="U54" s="111"/>
      <c r="V54" s="113"/>
      <c r="W54" s="113"/>
      <c r="X54" s="111"/>
      <c r="Y54" s="114"/>
      <c r="Z54" s="115"/>
      <c r="AA54" s="111"/>
      <c r="AB54" s="1"/>
      <c r="AC54" s="451"/>
      <c r="AD54" s="451"/>
      <c r="AE54" s="451"/>
      <c r="AF54" s="442"/>
      <c r="AG54" s="597"/>
      <c r="AH54" s="597"/>
      <c r="AI54" s="442"/>
      <c r="AJ54" s="451"/>
      <c r="AK54" s="451"/>
      <c r="AL54" s="451"/>
      <c r="AM54" s="442"/>
      <c r="AN54" s="442"/>
      <c r="AO54" s="442"/>
      <c r="AP54" s="442"/>
      <c r="AQ54" s="442"/>
      <c r="AR54" s="442"/>
      <c r="AS54" s="442"/>
      <c r="AT54" s="442"/>
    </row>
    <row r="55" spans="1:46" s="47" customFormat="1" ht="14.25" customHeight="1" x14ac:dyDescent="0.25">
      <c r="A55" s="36"/>
      <c r="B55" s="48"/>
      <c r="C55" s="48"/>
      <c r="D55" s="48"/>
      <c r="E55" s="186" t="s">
        <v>169</v>
      </c>
      <c r="F55" s="187"/>
      <c r="G55" s="187"/>
      <c r="H55" s="187"/>
      <c r="I55" s="187"/>
      <c r="J55" s="187"/>
      <c r="K55" s="187"/>
      <c r="L55" s="187"/>
      <c r="M55" s="187"/>
      <c r="N55" s="187"/>
      <c r="O55" s="187"/>
      <c r="P55" s="187"/>
      <c r="Q55" s="187"/>
      <c r="R55" s="187"/>
      <c r="S55" s="187"/>
      <c r="T55" s="187"/>
      <c r="U55" s="187"/>
      <c r="V55" s="187"/>
      <c r="W55" s="187"/>
      <c r="X55" s="187"/>
      <c r="Y55" s="187"/>
      <c r="Z55" s="187"/>
      <c r="AA55" s="187"/>
      <c r="AB55" s="159"/>
      <c r="AC55" s="595"/>
      <c r="AD55" s="615"/>
      <c r="AE55" s="615"/>
      <c r="AF55" s="594"/>
      <c r="AG55" s="616"/>
      <c r="AH55" s="616"/>
      <c r="AI55" s="594"/>
      <c r="AJ55" s="601"/>
      <c r="AK55" s="601"/>
      <c r="AL55" s="601"/>
      <c r="AM55" s="594"/>
      <c r="AN55" s="594"/>
      <c r="AO55" s="594"/>
      <c r="AP55" s="594"/>
      <c r="AQ55" s="594"/>
      <c r="AR55" s="594"/>
      <c r="AS55" s="594"/>
      <c r="AT55" s="594"/>
    </row>
    <row r="56" spans="1:46" s="47" customFormat="1" ht="14.25" customHeight="1" x14ac:dyDescent="0.25">
      <c r="A56" s="36"/>
      <c r="B56" s="48"/>
      <c r="C56" s="48"/>
      <c r="D56" s="48"/>
      <c r="E56" s="27" t="s">
        <v>170</v>
      </c>
      <c r="F56" s="194"/>
      <c r="G56" s="194"/>
      <c r="H56" s="194"/>
      <c r="I56" s="194"/>
      <c r="J56" s="194"/>
      <c r="K56" s="194"/>
      <c r="L56" s="194"/>
      <c r="M56" s="194"/>
      <c r="N56" s="194"/>
      <c r="O56" s="194"/>
      <c r="P56" s="194"/>
      <c r="Q56" s="194"/>
      <c r="R56" s="194"/>
      <c r="S56" s="194"/>
      <c r="T56" s="194"/>
      <c r="U56" s="194"/>
      <c r="V56" s="194"/>
      <c r="W56" s="194"/>
      <c r="X56" s="194"/>
      <c r="Y56" s="194"/>
      <c r="Z56" s="194"/>
      <c r="AA56" s="194"/>
      <c r="AB56" s="159"/>
      <c r="AC56" s="595"/>
      <c r="AD56" s="615"/>
      <c r="AE56" s="615"/>
      <c r="AF56" s="594"/>
      <c r="AG56" s="616"/>
      <c r="AH56" s="616"/>
      <c r="AI56" s="594"/>
      <c r="AJ56" s="601"/>
      <c r="AK56" s="601"/>
      <c r="AL56" s="601"/>
      <c r="AM56" s="594"/>
      <c r="AN56" s="594"/>
      <c r="AO56" s="594"/>
      <c r="AP56" s="594"/>
      <c r="AQ56" s="594"/>
      <c r="AR56" s="594"/>
      <c r="AS56" s="594"/>
      <c r="AT56" s="594"/>
    </row>
    <row r="57" spans="1:46" s="47" customFormat="1" ht="14.25" customHeight="1" x14ac:dyDescent="0.25">
      <c r="A57" s="36"/>
      <c r="B57" s="48"/>
      <c r="C57" s="48"/>
      <c r="D57" s="48"/>
      <c r="E57" s="27" t="s">
        <v>171</v>
      </c>
      <c r="F57" s="194"/>
      <c r="G57" s="194"/>
      <c r="H57" s="194"/>
      <c r="I57" s="194"/>
      <c r="J57" s="194"/>
      <c r="K57" s="194"/>
      <c r="L57" s="194"/>
      <c r="M57" s="194"/>
      <c r="N57" s="194"/>
      <c r="O57" s="194"/>
      <c r="P57" s="194"/>
      <c r="Q57" s="194"/>
      <c r="R57" s="194"/>
      <c r="S57" s="194"/>
      <c r="T57" s="194"/>
      <c r="U57" s="194"/>
      <c r="V57" s="194"/>
      <c r="W57" s="194"/>
      <c r="X57" s="194"/>
      <c r="Y57" s="194"/>
      <c r="Z57" s="194"/>
      <c r="AA57" s="194"/>
      <c r="AB57" s="159"/>
      <c r="AC57" s="595"/>
      <c r="AD57" s="615"/>
      <c r="AE57" s="615"/>
      <c r="AF57" s="594"/>
      <c r="AG57" s="616"/>
      <c r="AH57" s="616"/>
      <c r="AI57" s="594"/>
      <c r="AJ57" s="601"/>
      <c r="AK57" s="601"/>
      <c r="AL57" s="601"/>
      <c r="AM57" s="594"/>
      <c r="AN57" s="594"/>
      <c r="AO57" s="594"/>
      <c r="AP57" s="594"/>
      <c r="AQ57" s="594"/>
      <c r="AR57" s="594"/>
      <c r="AS57" s="594"/>
      <c r="AT57" s="594"/>
    </row>
    <row r="58" spans="1:46" s="47" customFormat="1" ht="14.25" customHeight="1" x14ac:dyDescent="0.25">
      <c r="A58" s="116"/>
      <c r="B58" s="117"/>
      <c r="C58" s="48"/>
      <c r="D58" s="48"/>
      <c r="E58" s="27" t="s">
        <v>172</v>
      </c>
      <c r="F58" s="27"/>
      <c r="G58" s="27"/>
      <c r="H58" s="27"/>
      <c r="I58" s="27"/>
      <c r="J58" s="27"/>
      <c r="K58" s="27"/>
      <c r="L58" s="27"/>
      <c r="M58" s="27"/>
      <c r="N58" s="27"/>
      <c r="O58" s="27"/>
      <c r="P58" s="27"/>
      <c r="Q58" s="27"/>
      <c r="R58" s="27"/>
      <c r="S58" s="27"/>
      <c r="T58" s="27"/>
      <c r="U58" s="27"/>
      <c r="V58" s="27"/>
      <c r="W58" s="27"/>
      <c r="X58" s="27"/>
      <c r="Y58" s="118"/>
      <c r="Z58" s="27"/>
      <c r="AA58" s="27"/>
      <c r="AB58" s="27"/>
      <c r="AC58" s="594"/>
      <c r="AD58" s="646">
        <f>SUM(Y47:Y51)</f>
        <v>18989</v>
      </c>
      <c r="AE58" s="646">
        <f>SUM(AA47:AA51)</f>
        <v>25657</v>
      </c>
      <c r="AF58" s="647" t="s">
        <v>123</v>
      </c>
      <c r="AG58" s="618"/>
      <c r="AH58" s="618"/>
      <c r="AI58" s="594"/>
      <c r="AJ58" s="601"/>
      <c r="AK58" s="601"/>
      <c r="AL58" s="601"/>
      <c r="AM58" s="594"/>
      <c r="AN58" s="594"/>
      <c r="AO58" s="594"/>
      <c r="AP58" s="594"/>
      <c r="AQ58" s="594"/>
      <c r="AR58" s="594"/>
      <c r="AS58" s="594"/>
      <c r="AT58" s="594"/>
    </row>
    <row r="59" spans="1:46" s="47" customFormat="1" ht="14.25" customHeight="1" x14ac:dyDescent="0.25">
      <c r="A59" s="116"/>
      <c r="B59" s="48"/>
      <c r="C59" s="48"/>
      <c r="D59" s="48"/>
      <c r="E59" s="27" t="s">
        <v>143</v>
      </c>
      <c r="F59" s="27"/>
      <c r="G59" s="27"/>
      <c r="H59" s="27"/>
      <c r="I59" s="27"/>
      <c r="J59" s="27"/>
      <c r="K59" s="27"/>
      <c r="L59" s="27"/>
      <c r="M59" s="27"/>
      <c r="N59" s="27"/>
      <c r="O59" s="27"/>
      <c r="P59" s="27"/>
      <c r="Q59" s="27"/>
      <c r="R59" s="27"/>
      <c r="S59" s="27"/>
      <c r="T59" s="27"/>
      <c r="U59" s="27"/>
      <c r="V59" s="27"/>
      <c r="W59" s="27"/>
      <c r="X59" s="27"/>
      <c r="Y59" s="27"/>
      <c r="Z59" s="27"/>
      <c r="AA59" s="27"/>
      <c r="AB59" s="27"/>
      <c r="AC59" s="594"/>
      <c r="AD59" s="594"/>
      <c r="AE59" s="594"/>
      <c r="AF59" s="594"/>
      <c r="AG59" s="594"/>
      <c r="AH59" s="594"/>
      <c r="AI59" s="594"/>
      <c r="AJ59" s="601"/>
      <c r="AK59" s="601"/>
      <c r="AL59" s="601"/>
      <c r="AM59" s="594"/>
      <c r="AN59" s="594"/>
      <c r="AO59" s="594"/>
      <c r="AP59" s="594"/>
      <c r="AQ59" s="594"/>
      <c r="AR59" s="594"/>
      <c r="AS59" s="594"/>
      <c r="AT59" s="594"/>
    </row>
    <row r="60" spans="1:46" s="47" customFormat="1" ht="14.25" customHeight="1" x14ac:dyDescent="0.25">
      <c r="A60" s="116"/>
      <c r="B60" s="48"/>
      <c r="C60" s="48"/>
      <c r="D60" s="48"/>
      <c r="F60" s="34"/>
      <c r="G60" s="34"/>
      <c r="H60" s="27"/>
      <c r="I60" s="27"/>
      <c r="J60" s="27"/>
      <c r="K60" s="27"/>
      <c r="L60" s="27"/>
      <c r="M60" s="27"/>
      <c r="N60" s="27"/>
      <c r="O60" s="27"/>
      <c r="P60" s="27"/>
      <c r="Q60" s="27"/>
      <c r="R60" s="27"/>
      <c r="S60" s="27"/>
      <c r="T60" s="27"/>
      <c r="U60" s="27"/>
      <c r="V60" s="27"/>
      <c r="W60" s="27"/>
      <c r="X60" s="27"/>
      <c r="Y60" s="27"/>
      <c r="Z60" s="27"/>
      <c r="AA60" s="27"/>
      <c r="AB60" s="27"/>
      <c r="AC60" s="594"/>
      <c r="AD60" s="617"/>
      <c r="AE60" s="617"/>
      <c r="AF60" s="617"/>
      <c r="AG60" s="617"/>
      <c r="AH60" s="617"/>
      <c r="AI60" s="594"/>
      <c r="AJ60" s="601"/>
      <c r="AK60" s="601"/>
      <c r="AL60" s="601"/>
      <c r="AM60" s="594"/>
      <c r="AN60" s="594"/>
      <c r="AO60" s="594"/>
      <c r="AP60" s="594"/>
      <c r="AQ60" s="594"/>
      <c r="AR60" s="594"/>
      <c r="AS60" s="594"/>
      <c r="AT60" s="594"/>
    </row>
    <row r="61" spans="1:46" x14ac:dyDescent="0.25">
      <c r="A61" s="15"/>
      <c r="AC61" s="442"/>
      <c r="AD61" s="442"/>
      <c r="AE61" s="442"/>
      <c r="AF61" s="442"/>
      <c r="AG61" s="442"/>
      <c r="AH61" s="442"/>
      <c r="AI61" s="442"/>
      <c r="AJ61" s="451"/>
      <c r="AK61" s="451"/>
      <c r="AL61" s="451"/>
      <c r="AM61" s="442"/>
      <c r="AN61" s="442"/>
      <c r="AO61" s="442"/>
      <c r="AP61" s="442"/>
      <c r="AQ61" s="442"/>
      <c r="AR61" s="442"/>
      <c r="AS61" s="442"/>
      <c r="AT61" s="442"/>
    </row>
    <row r="62" spans="1:46" x14ac:dyDescent="0.25">
      <c r="A62" s="15"/>
      <c r="AC62" s="442"/>
      <c r="AD62" s="442"/>
      <c r="AE62" s="442"/>
      <c r="AF62" s="442"/>
      <c r="AG62" s="442"/>
      <c r="AH62" s="442"/>
      <c r="AI62" s="442"/>
      <c r="AJ62" s="451"/>
      <c r="AK62" s="451"/>
      <c r="AL62" s="451"/>
      <c r="AM62" s="442"/>
      <c r="AN62" s="442"/>
      <c r="AO62" s="442"/>
      <c r="AP62" s="442" t="s">
        <v>126</v>
      </c>
      <c r="AQ62" s="442"/>
      <c r="AR62" s="442"/>
      <c r="AS62" s="442" t="s">
        <v>127</v>
      </c>
      <c r="AT62" s="442"/>
    </row>
    <row r="63" spans="1:46" x14ac:dyDescent="0.25">
      <c r="A63" s="15"/>
      <c r="Y63" s="14"/>
      <c r="AA63" s="14"/>
      <c r="AC63" s="442"/>
      <c r="AD63" s="445"/>
      <c r="AE63" s="445"/>
      <c r="AF63" s="445"/>
      <c r="AG63" s="442"/>
      <c r="AH63" s="442"/>
      <c r="AI63" s="442"/>
      <c r="AJ63" s="451"/>
      <c r="AK63" s="451"/>
      <c r="AL63" s="451"/>
      <c r="AM63" s="442"/>
      <c r="AN63" s="442"/>
      <c r="AO63" s="442"/>
      <c r="AP63" s="442"/>
      <c r="AQ63" s="442"/>
      <c r="AR63" s="442"/>
      <c r="AS63" s="442"/>
      <c r="AT63" s="442"/>
    </row>
    <row r="64" spans="1:46" ht="4.5" customHeight="1" x14ac:dyDescent="0.3">
      <c r="A64" s="15"/>
      <c r="F64" s="119"/>
      <c r="G64" s="120"/>
      <c r="H64" s="741"/>
      <c r="I64" s="741"/>
      <c r="J64" s="741"/>
      <c r="K64" s="741"/>
      <c r="L64" s="744"/>
      <c r="M64" s="744"/>
      <c r="N64" s="744"/>
      <c r="O64" s="744"/>
      <c r="P64" s="744"/>
      <c r="Q64" s="741"/>
      <c r="R64" s="741"/>
      <c r="S64" s="122"/>
      <c r="T64" s="123"/>
      <c r="U64" s="122"/>
      <c r="V64" s="741"/>
      <c r="W64" s="741"/>
      <c r="X64" s="124"/>
      <c r="Y64" s="742"/>
      <c r="Z64" s="742"/>
      <c r="AA64" s="126"/>
      <c r="AC64" s="442"/>
      <c r="AD64" s="442"/>
      <c r="AE64" s="442"/>
      <c r="AF64" s="442"/>
      <c r="AG64" s="442"/>
      <c r="AH64" s="442"/>
      <c r="AI64" s="442"/>
      <c r="AJ64" s="451"/>
      <c r="AK64" s="451"/>
      <c r="AL64" s="451"/>
      <c r="AM64" s="442"/>
      <c r="AN64" s="442"/>
      <c r="AO64" s="442"/>
      <c r="AP64" s="442"/>
      <c r="AQ64" s="442"/>
      <c r="AR64" s="442"/>
      <c r="AS64" s="442"/>
      <c r="AT64" s="442"/>
    </row>
    <row r="65" spans="1:52" ht="17.5" customHeight="1" x14ac:dyDescent="0.3">
      <c r="A65" s="15"/>
      <c r="F65" s="119"/>
      <c r="G65" s="120"/>
      <c r="H65" s="120"/>
      <c r="I65" s="120"/>
      <c r="J65" s="120"/>
      <c r="K65" s="120"/>
      <c r="L65" s="121"/>
      <c r="M65" s="121"/>
      <c r="N65" s="121"/>
      <c r="O65" s="121"/>
      <c r="P65" s="121"/>
      <c r="Q65" s="120"/>
      <c r="R65" s="120"/>
      <c r="S65" s="122"/>
      <c r="T65" s="123"/>
      <c r="U65" s="122"/>
      <c r="V65" s="120"/>
      <c r="W65" s="120"/>
      <c r="X65" s="124"/>
      <c r="Y65" s="125"/>
      <c r="Z65" s="125"/>
      <c r="AA65" s="126"/>
      <c r="AC65" s="442"/>
      <c r="AD65" s="442"/>
      <c r="AE65" s="442"/>
      <c r="AF65" s="442"/>
      <c r="AG65" s="442"/>
      <c r="AH65" s="442"/>
      <c r="AI65" s="442"/>
      <c r="AJ65" s="451"/>
      <c r="AK65" s="451"/>
      <c r="AL65" s="451"/>
      <c r="AM65" s="442"/>
      <c r="AN65" s="442"/>
      <c r="AO65" s="442"/>
      <c r="AP65" s="442"/>
      <c r="AQ65" s="442"/>
      <c r="AR65" s="442"/>
      <c r="AS65" s="442"/>
      <c r="AT65" s="442"/>
      <c r="AZ65" s="127"/>
    </row>
    <row r="66" spans="1:52" x14ac:dyDescent="0.25">
      <c r="A66" s="15"/>
      <c r="E66" s="128" t="s">
        <v>128</v>
      </c>
      <c r="F66" s="129"/>
      <c r="G66" s="130"/>
      <c r="H66" s="131"/>
      <c r="I66" s="131"/>
      <c r="J66" s="131"/>
      <c r="K66" s="131"/>
      <c r="L66" s="131"/>
      <c r="M66" s="132"/>
      <c r="N66" s="132"/>
      <c r="O66" s="132"/>
      <c r="P66" s="132"/>
      <c r="Q66" s="132"/>
      <c r="R66" s="132"/>
      <c r="S66" s="132"/>
      <c r="T66" s="132"/>
      <c r="U66" s="132"/>
      <c r="V66" s="132"/>
      <c r="W66" s="132"/>
      <c r="X66" s="133"/>
      <c r="Y66" s="132"/>
      <c r="Z66" s="132"/>
      <c r="AC66" s="442"/>
      <c r="AD66" s="442"/>
      <c r="AE66" s="442"/>
      <c r="AF66" s="442"/>
      <c r="AG66" s="442"/>
      <c r="AH66" s="442"/>
      <c r="AI66" s="442"/>
      <c r="AJ66" s="451"/>
      <c r="AK66" s="451"/>
      <c r="AL66" s="451"/>
      <c r="AM66" s="442"/>
      <c r="AN66" s="442"/>
      <c r="AO66" s="442"/>
      <c r="AP66" s="442"/>
      <c r="AQ66" s="442"/>
      <c r="AR66" s="442"/>
      <c r="AS66" s="442"/>
      <c r="AT66" s="442"/>
    </row>
    <row r="67" spans="1:52" x14ac:dyDescent="0.25">
      <c r="A67" s="15"/>
      <c r="H67" s="134"/>
      <c r="I67" s="134"/>
      <c r="J67" s="134"/>
      <c r="AC67" s="442"/>
      <c r="AD67" s="442"/>
      <c r="AE67" s="442"/>
      <c r="AF67" s="442"/>
      <c r="AG67" s="442"/>
      <c r="AH67" s="442"/>
      <c r="AI67" s="442"/>
      <c r="AJ67" s="451"/>
      <c r="AK67" s="451"/>
      <c r="AL67" s="451"/>
      <c r="AM67" s="442"/>
      <c r="AN67" s="442"/>
      <c r="AO67" s="442"/>
      <c r="AP67" s="442"/>
      <c r="AQ67" s="442"/>
      <c r="AR67" s="442"/>
      <c r="AS67" s="442"/>
      <c r="AT67" s="442"/>
    </row>
    <row r="68" spans="1:52" ht="20.9" customHeight="1" x14ac:dyDescent="0.25">
      <c r="A68" s="15"/>
      <c r="AB68" s="77"/>
      <c r="AC68" s="447"/>
      <c r="AD68" s="444"/>
      <c r="AE68" s="444"/>
      <c r="AF68" s="442"/>
      <c r="AG68" s="442"/>
      <c r="AH68" s="442"/>
      <c r="AI68" s="442"/>
      <c r="AJ68" s="451"/>
      <c r="AK68" s="451"/>
      <c r="AL68" s="451"/>
      <c r="AM68" s="442"/>
      <c r="AN68" s="442"/>
      <c r="AO68" s="442"/>
      <c r="AP68" s="442"/>
      <c r="AQ68" s="442"/>
      <c r="AR68" s="442"/>
      <c r="AS68" s="442"/>
      <c r="AT68" s="442"/>
    </row>
    <row r="69" spans="1:52" x14ac:dyDescent="0.25">
      <c r="A69" s="15"/>
      <c r="AB69" s="78"/>
      <c r="AC69" s="448"/>
      <c r="AD69" s="442"/>
      <c r="AE69" s="442"/>
      <c r="AF69" s="442"/>
      <c r="AG69" s="442"/>
      <c r="AH69" s="442"/>
      <c r="AI69" s="442"/>
      <c r="AJ69" s="451"/>
      <c r="AK69" s="451"/>
      <c r="AL69" s="451"/>
      <c r="AM69" s="442"/>
      <c r="AN69" s="442"/>
      <c r="AO69" s="442"/>
      <c r="AP69" s="442"/>
      <c r="AQ69" s="442"/>
      <c r="AR69" s="442"/>
      <c r="AS69" s="442"/>
      <c r="AT69" s="442"/>
    </row>
    <row r="70" spans="1:52" x14ac:dyDescent="0.25">
      <c r="A70" s="15"/>
      <c r="AC70" s="442"/>
      <c r="AD70" s="442"/>
      <c r="AE70" s="442"/>
      <c r="AF70" s="442"/>
      <c r="AG70" s="442"/>
      <c r="AH70" s="442"/>
      <c r="AI70" s="442"/>
      <c r="AJ70" s="451"/>
      <c r="AK70" s="451"/>
      <c r="AL70" s="451"/>
      <c r="AM70" s="442"/>
      <c r="AN70" s="442"/>
      <c r="AO70" s="442"/>
      <c r="AP70" s="442"/>
      <c r="AQ70" s="442"/>
      <c r="AR70" s="442"/>
      <c r="AS70" s="442"/>
      <c r="AT70" s="442"/>
    </row>
    <row r="71" spans="1:52" x14ac:dyDescent="0.25">
      <c r="A71" s="15"/>
      <c r="AC71" s="442"/>
      <c r="AD71" s="442"/>
      <c r="AE71" s="442"/>
      <c r="AF71" s="442"/>
      <c r="AG71" s="442"/>
      <c r="AH71" s="442"/>
      <c r="AI71" s="442"/>
      <c r="AJ71" s="451"/>
      <c r="AK71" s="451"/>
      <c r="AL71" s="451"/>
      <c r="AM71" s="442"/>
      <c r="AN71" s="442"/>
      <c r="AO71" s="442"/>
      <c r="AP71" s="442"/>
      <c r="AQ71" s="442"/>
      <c r="AR71" s="442"/>
      <c r="AS71" s="442"/>
      <c r="AT71" s="442"/>
    </row>
    <row r="72" spans="1:52" ht="20.9" customHeight="1" x14ac:dyDescent="0.25">
      <c r="A72" s="15"/>
      <c r="F72" s="135"/>
      <c r="G72" s="136"/>
      <c r="H72" s="136"/>
      <c r="I72" s="137"/>
      <c r="J72" s="136"/>
      <c r="K72" s="136"/>
      <c r="L72" s="136"/>
      <c r="M72" s="136"/>
      <c r="N72" s="136"/>
      <c r="O72" s="136"/>
      <c r="P72" s="136"/>
      <c r="Q72" s="136"/>
      <c r="R72" s="136"/>
      <c r="S72" s="136"/>
      <c r="T72" s="136"/>
      <c r="U72" s="136"/>
      <c r="V72" s="136"/>
      <c r="W72" s="136"/>
      <c r="X72" s="136"/>
      <c r="Y72" s="136"/>
      <c r="Z72" s="136"/>
      <c r="AA72" s="136"/>
      <c r="AC72" s="442"/>
      <c r="AD72" s="442"/>
      <c r="AE72" s="442"/>
      <c r="AF72" s="442"/>
      <c r="AG72" s="442"/>
      <c r="AH72" s="442"/>
      <c r="AI72" s="442"/>
      <c r="AJ72" s="451"/>
      <c r="AK72" s="451"/>
      <c r="AL72" s="451"/>
      <c r="AM72" s="442"/>
      <c r="AN72" s="442"/>
      <c r="AO72" s="442"/>
      <c r="AP72" s="442"/>
      <c r="AQ72" s="442"/>
      <c r="AR72" s="442"/>
      <c r="AS72" s="442"/>
      <c r="AT72" s="442"/>
    </row>
    <row r="73" spans="1:52" x14ac:dyDescent="0.25">
      <c r="A73" s="15"/>
      <c r="F73" s="135"/>
      <c r="G73" s="138"/>
      <c r="H73" s="138"/>
      <c r="I73" s="138"/>
      <c r="J73" s="138"/>
      <c r="K73" s="138"/>
      <c r="L73" s="138"/>
      <c r="M73" s="138"/>
      <c r="N73" s="138"/>
      <c r="O73" s="138"/>
      <c r="P73" s="138"/>
      <c r="Q73" s="138"/>
      <c r="R73" s="138"/>
      <c r="S73" s="138"/>
      <c r="T73" s="138"/>
      <c r="U73" s="138"/>
      <c r="V73" s="138"/>
      <c r="W73" s="138"/>
      <c r="X73" s="138"/>
      <c r="Y73" s="138"/>
      <c r="AC73" s="442"/>
      <c r="AD73" s="442"/>
      <c r="AE73" s="442"/>
      <c r="AF73" s="442"/>
      <c r="AG73" s="442"/>
      <c r="AH73" s="442"/>
      <c r="AI73" s="442"/>
      <c r="AJ73" s="451"/>
      <c r="AK73" s="451"/>
      <c r="AL73" s="451"/>
      <c r="AM73" s="442"/>
      <c r="AN73" s="442"/>
      <c r="AO73" s="442"/>
      <c r="AP73" s="442"/>
      <c r="AQ73" s="442"/>
      <c r="AR73" s="442"/>
      <c r="AS73" s="442"/>
      <c r="AT73" s="442"/>
    </row>
    <row r="74" spans="1:52" ht="20.9" customHeight="1" x14ac:dyDescent="0.25">
      <c r="A74" s="15"/>
      <c r="AC74" s="442"/>
      <c r="AD74" s="442"/>
      <c r="AE74" s="442"/>
      <c r="AF74" s="442"/>
      <c r="AG74" s="442"/>
      <c r="AH74" s="442"/>
      <c r="AI74" s="442"/>
      <c r="AJ74" s="451"/>
      <c r="AK74" s="451"/>
      <c r="AL74" s="451"/>
      <c r="AM74" s="442"/>
      <c r="AN74" s="442"/>
      <c r="AO74" s="442"/>
      <c r="AP74" s="442"/>
      <c r="AQ74" s="442"/>
      <c r="AR74" s="442"/>
      <c r="AS74" s="442"/>
      <c r="AT74" s="442"/>
    </row>
    <row r="75" spans="1:52" x14ac:dyDescent="0.25">
      <c r="AC75" s="442"/>
      <c r="AD75" s="442"/>
      <c r="AE75" s="442"/>
      <c r="AF75" s="442"/>
      <c r="AG75" s="442"/>
      <c r="AH75" s="442"/>
      <c r="AI75" s="442"/>
      <c r="AJ75" s="451"/>
      <c r="AK75" s="451"/>
      <c r="AL75" s="451"/>
      <c r="AM75" s="442"/>
      <c r="AN75" s="442"/>
      <c r="AO75" s="442"/>
      <c r="AP75" s="442"/>
      <c r="AQ75" s="442"/>
      <c r="AR75" s="442"/>
      <c r="AS75" s="442"/>
      <c r="AT75" s="442"/>
    </row>
    <row r="76" spans="1:52" x14ac:dyDescent="0.25">
      <c r="AC76" s="442"/>
      <c r="AD76" s="442"/>
      <c r="AE76" s="442"/>
      <c r="AF76" s="442"/>
      <c r="AG76" s="442"/>
      <c r="AH76" s="442"/>
      <c r="AI76" s="442"/>
      <c r="AJ76" s="451"/>
      <c r="AK76" s="451"/>
      <c r="AL76" s="451"/>
      <c r="AM76" s="442"/>
      <c r="AN76" s="442"/>
      <c r="AO76" s="442"/>
      <c r="AP76" s="442"/>
      <c r="AQ76" s="442"/>
      <c r="AR76" s="442"/>
      <c r="AS76" s="442"/>
      <c r="AT76" s="442"/>
    </row>
    <row r="77" spans="1:52" ht="20.9" customHeight="1" x14ac:dyDescent="0.25">
      <c r="AC77" s="442"/>
      <c r="AD77" s="442"/>
      <c r="AE77" s="442"/>
      <c r="AF77" s="442"/>
      <c r="AG77" s="442"/>
      <c r="AH77" s="442"/>
      <c r="AI77" s="442"/>
      <c r="AJ77" s="451"/>
      <c r="AK77" s="451"/>
      <c r="AL77" s="451"/>
      <c r="AM77" s="442"/>
      <c r="AN77" s="442"/>
      <c r="AO77" s="442"/>
      <c r="AP77" s="442"/>
      <c r="AQ77" s="442"/>
      <c r="AR77" s="442"/>
      <c r="AS77" s="442"/>
      <c r="AT77" s="442"/>
    </row>
    <row r="78" spans="1:52" x14ac:dyDescent="0.25">
      <c r="AC78" s="442"/>
      <c r="AD78" s="442"/>
      <c r="AE78" s="442"/>
      <c r="AF78" s="442"/>
      <c r="AG78" s="442"/>
      <c r="AH78" s="442"/>
      <c r="AI78" s="442"/>
      <c r="AJ78" s="451"/>
      <c r="AK78" s="451"/>
      <c r="AL78" s="451"/>
      <c r="AM78" s="442"/>
      <c r="AN78" s="442"/>
      <c r="AO78" s="442"/>
      <c r="AP78" s="442"/>
      <c r="AQ78" s="442"/>
      <c r="AR78" s="442"/>
      <c r="AS78" s="442"/>
      <c r="AT78" s="442"/>
    </row>
    <row r="79" spans="1:52" ht="20.9" customHeight="1" x14ac:dyDescent="0.25">
      <c r="AC79" s="442"/>
      <c r="AD79" s="442"/>
      <c r="AE79" s="442"/>
      <c r="AF79" s="442"/>
      <c r="AG79" s="442"/>
      <c r="AH79" s="442"/>
      <c r="AI79" s="442"/>
      <c r="AJ79" s="451"/>
      <c r="AK79" s="451"/>
      <c r="AL79" s="451"/>
      <c r="AM79" s="442"/>
      <c r="AN79" s="442"/>
      <c r="AO79" s="442"/>
      <c r="AP79" s="442"/>
      <c r="AQ79" s="442"/>
      <c r="AR79" s="442"/>
      <c r="AS79" s="442"/>
      <c r="AT79" s="442"/>
    </row>
    <row r="80" spans="1:52" x14ac:dyDescent="0.25">
      <c r="AC80" s="442"/>
      <c r="AD80" s="442"/>
      <c r="AE80" s="442"/>
      <c r="AF80" s="442"/>
      <c r="AG80" s="442"/>
      <c r="AH80" s="442"/>
      <c r="AI80" s="442"/>
      <c r="AJ80" s="451"/>
      <c r="AK80" s="451"/>
      <c r="AL80" s="451"/>
      <c r="AM80" s="442"/>
      <c r="AN80" s="442"/>
      <c r="AO80" s="442"/>
      <c r="AP80" s="442"/>
      <c r="AQ80" s="442"/>
      <c r="AR80" s="442"/>
      <c r="AS80" s="442"/>
      <c r="AT80" s="442"/>
    </row>
    <row r="81" spans="6:46" ht="20.9" customHeight="1" x14ac:dyDescent="0.25">
      <c r="AC81" s="442"/>
      <c r="AD81" s="442"/>
      <c r="AE81" s="442"/>
      <c r="AF81" s="442"/>
      <c r="AG81" s="442"/>
      <c r="AH81" s="442"/>
      <c r="AI81" s="442"/>
      <c r="AJ81" s="451"/>
      <c r="AK81" s="451"/>
      <c r="AL81" s="451"/>
      <c r="AM81" s="442"/>
      <c r="AN81" s="442"/>
      <c r="AO81" s="442"/>
      <c r="AP81" s="442"/>
      <c r="AQ81" s="442"/>
      <c r="AR81" s="442"/>
      <c r="AS81" s="442"/>
      <c r="AT81" s="442"/>
    </row>
    <row r="82" spans="6:46" ht="15" customHeight="1" x14ac:dyDescent="0.25">
      <c r="AC82" s="442"/>
      <c r="AD82" s="442"/>
      <c r="AE82" s="442"/>
      <c r="AF82" s="442"/>
      <c r="AG82" s="442"/>
      <c r="AH82" s="442"/>
      <c r="AI82" s="442"/>
      <c r="AJ82" s="451"/>
      <c r="AK82" s="451"/>
      <c r="AL82" s="451"/>
      <c r="AM82" s="442"/>
      <c r="AN82" s="442"/>
      <c r="AO82" s="442"/>
      <c r="AP82" s="442"/>
      <c r="AQ82" s="442"/>
      <c r="AR82" s="442"/>
      <c r="AS82" s="442"/>
      <c r="AT82" s="442"/>
    </row>
    <row r="83" spans="6:46" ht="21" customHeight="1" x14ac:dyDescent="0.25">
      <c r="AC83" s="442"/>
      <c r="AD83" s="442"/>
      <c r="AE83" s="442"/>
      <c r="AF83" s="442"/>
      <c r="AG83" s="442"/>
      <c r="AH83" s="442"/>
      <c r="AI83" s="442"/>
      <c r="AJ83" s="451"/>
      <c r="AK83" s="451"/>
      <c r="AL83" s="451"/>
      <c r="AM83" s="442"/>
      <c r="AN83" s="442"/>
      <c r="AO83" s="442"/>
      <c r="AP83" s="442"/>
      <c r="AQ83" s="442"/>
      <c r="AR83" s="442"/>
      <c r="AS83" s="442"/>
      <c r="AT83" s="442"/>
    </row>
    <row r="84" spans="6:46" ht="21" customHeight="1" x14ac:dyDescent="0.25">
      <c r="AC84" s="442"/>
      <c r="AD84" s="442"/>
      <c r="AE84" s="442"/>
      <c r="AF84" s="442"/>
      <c r="AG84" s="442"/>
      <c r="AH84" s="442"/>
      <c r="AI84" s="442"/>
      <c r="AJ84" s="451"/>
      <c r="AK84" s="451"/>
      <c r="AL84" s="451"/>
      <c r="AM84" s="442"/>
      <c r="AN84" s="442"/>
      <c r="AO84" s="442"/>
      <c r="AP84" s="442"/>
      <c r="AQ84" s="442"/>
      <c r="AR84" s="442"/>
      <c r="AS84" s="442"/>
      <c r="AT84" s="442"/>
    </row>
    <row r="85" spans="6:46" x14ac:dyDescent="0.25">
      <c r="AC85" s="442"/>
      <c r="AD85" s="442"/>
      <c r="AE85" s="442"/>
      <c r="AF85" s="442"/>
      <c r="AG85" s="442"/>
      <c r="AH85" s="442"/>
      <c r="AI85" s="442"/>
      <c r="AJ85" s="451"/>
      <c r="AK85" s="451"/>
      <c r="AL85" s="451"/>
      <c r="AM85" s="442"/>
      <c r="AN85" s="442"/>
      <c r="AO85" s="442"/>
      <c r="AP85" s="442"/>
      <c r="AQ85" s="442"/>
      <c r="AR85" s="442"/>
      <c r="AS85" s="442"/>
      <c r="AT85" s="442"/>
    </row>
    <row r="86" spans="6:46" x14ac:dyDescent="0.25">
      <c r="AC86" s="442"/>
      <c r="AD86" s="442" t="s">
        <v>129</v>
      </c>
      <c r="AE86" s="442"/>
      <c r="AF86" s="442" t="s">
        <v>38</v>
      </c>
      <c r="AG86" s="442"/>
      <c r="AH86" s="442"/>
      <c r="AI86" s="442"/>
      <c r="AJ86" s="451"/>
      <c r="AK86" s="451"/>
      <c r="AL86" s="451"/>
      <c r="AM86" s="442"/>
      <c r="AN86" s="442"/>
      <c r="AO86" s="442"/>
      <c r="AP86" s="442"/>
      <c r="AQ86" s="442"/>
      <c r="AR86" s="442"/>
      <c r="AS86" s="442"/>
      <c r="AT86" s="442"/>
    </row>
    <row r="87" spans="6:46" x14ac:dyDescent="0.25">
      <c r="F87" s="4"/>
      <c r="H87" s="4"/>
      <c r="I87" s="4"/>
      <c r="AC87" s="442"/>
      <c r="AD87" s="442"/>
      <c r="AE87" s="442"/>
      <c r="AF87" s="442" t="s">
        <v>130</v>
      </c>
      <c r="AG87" s="442"/>
      <c r="AH87" s="442"/>
      <c r="AI87" s="442"/>
      <c r="AJ87" s="451"/>
      <c r="AK87" s="451"/>
      <c r="AL87" s="451"/>
      <c r="AM87" s="442"/>
      <c r="AN87" s="442"/>
      <c r="AO87" s="442"/>
      <c r="AP87" s="442"/>
      <c r="AQ87" s="442"/>
      <c r="AR87" s="442"/>
      <c r="AS87" s="442"/>
      <c r="AT87" s="442"/>
    </row>
    <row r="88" spans="6:46" x14ac:dyDescent="0.25">
      <c r="G88"/>
      <c r="AC88" s="442"/>
      <c r="AD88" s="442"/>
      <c r="AE88" s="442"/>
      <c r="AF88" s="442" t="s">
        <v>9</v>
      </c>
      <c r="AG88" s="442"/>
      <c r="AH88" s="442"/>
      <c r="AI88" s="442"/>
      <c r="AJ88" s="451"/>
      <c r="AK88" s="451"/>
      <c r="AL88" s="451"/>
      <c r="AM88" s="442"/>
      <c r="AN88" s="442"/>
      <c r="AO88" s="442"/>
      <c r="AP88" s="442"/>
      <c r="AQ88" s="442"/>
      <c r="AR88" s="442"/>
      <c r="AS88" s="442"/>
      <c r="AT88" s="442"/>
    </row>
    <row r="89" spans="6:46" x14ac:dyDescent="0.25">
      <c r="G89"/>
      <c r="AC89" s="442"/>
      <c r="AD89" s="442"/>
      <c r="AE89" s="442"/>
      <c r="AF89" s="442"/>
      <c r="AG89" s="442"/>
      <c r="AH89" s="442"/>
      <c r="AI89" s="442"/>
      <c r="AJ89" s="451"/>
      <c r="AK89" s="442"/>
      <c r="AL89" s="451"/>
      <c r="AM89" s="451"/>
      <c r="AN89" s="442"/>
      <c r="AO89" s="442"/>
      <c r="AP89" s="442"/>
      <c r="AQ89" s="442"/>
      <c r="AR89" s="442"/>
      <c r="AS89" s="442"/>
      <c r="AT89" s="442"/>
    </row>
    <row r="90" spans="6:46" x14ac:dyDescent="0.25">
      <c r="G90"/>
      <c r="AC90" s="442"/>
      <c r="AD90" s="442"/>
      <c r="AE90" s="442"/>
      <c r="AF90" s="442"/>
      <c r="AG90" s="442"/>
      <c r="AH90" s="442"/>
      <c r="AI90" s="442"/>
      <c r="AJ90" s="451"/>
      <c r="AK90" s="451"/>
      <c r="AL90" s="451"/>
      <c r="AM90" s="442"/>
      <c r="AN90" s="442"/>
      <c r="AO90" s="442"/>
      <c r="AP90" s="442"/>
      <c r="AQ90" s="442"/>
      <c r="AR90" s="442"/>
      <c r="AS90" s="442"/>
      <c r="AT90" s="442"/>
    </row>
    <row r="91" spans="6:46" x14ac:dyDescent="0.25">
      <c r="G91"/>
      <c r="AC91" s="442"/>
      <c r="AD91" s="442"/>
      <c r="AE91" s="442"/>
      <c r="AF91" s="442"/>
      <c r="AG91" s="442"/>
      <c r="AH91" s="442"/>
      <c r="AI91" s="442"/>
      <c r="AJ91" s="451"/>
      <c r="AK91" s="451"/>
      <c r="AL91" s="451"/>
      <c r="AM91" s="442"/>
      <c r="AN91" s="442"/>
      <c r="AO91" s="442"/>
      <c r="AP91" s="442"/>
      <c r="AQ91" s="442"/>
      <c r="AR91" s="442"/>
      <c r="AS91" s="442"/>
      <c r="AT91" s="442"/>
    </row>
    <row r="92" spans="6:46" x14ac:dyDescent="0.25">
      <c r="G92"/>
      <c r="AC92" s="442"/>
      <c r="AD92" s="442"/>
      <c r="AE92" s="442"/>
      <c r="AF92" s="442"/>
      <c r="AG92" s="442"/>
      <c r="AH92" s="442"/>
      <c r="AI92" s="442"/>
      <c r="AJ92" s="451"/>
      <c r="AK92" s="451"/>
      <c r="AL92" s="451"/>
      <c r="AM92" s="442"/>
      <c r="AN92" s="442"/>
      <c r="AO92" s="442"/>
      <c r="AP92" s="442"/>
      <c r="AQ92" s="442"/>
      <c r="AR92" s="442"/>
      <c r="AS92" s="442"/>
      <c r="AT92" s="442"/>
    </row>
    <row r="93" spans="6:46" x14ac:dyDescent="0.25">
      <c r="G93"/>
      <c r="AC93" s="442"/>
      <c r="AD93" s="442"/>
      <c r="AE93" s="442"/>
      <c r="AF93" s="442"/>
      <c r="AG93" s="442"/>
      <c r="AH93" s="442"/>
      <c r="AI93" s="442"/>
      <c r="AJ93" s="451"/>
      <c r="AK93" s="451"/>
      <c r="AL93" s="451"/>
      <c r="AM93" s="442"/>
      <c r="AN93" s="442"/>
      <c r="AO93" s="442"/>
      <c r="AP93" s="442"/>
      <c r="AQ93" s="442"/>
      <c r="AR93" s="442"/>
      <c r="AS93" s="442"/>
      <c r="AT93" s="442"/>
    </row>
    <row r="94" spans="6:46" ht="21" customHeight="1" x14ac:dyDescent="0.25">
      <c r="G94"/>
      <c r="AC94" s="442"/>
      <c r="AD94" s="442"/>
      <c r="AE94" s="442"/>
      <c r="AF94" s="442"/>
      <c r="AG94" s="442"/>
      <c r="AH94" s="442"/>
      <c r="AI94" s="442"/>
      <c r="AJ94" s="451"/>
      <c r="AK94" s="451"/>
      <c r="AL94" s="451"/>
      <c r="AM94" s="442"/>
      <c r="AN94" s="442"/>
      <c r="AO94" s="442"/>
      <c r="AP94" s="442"/>
      <c r="AQ94" s="442"/>
      <c r="AR94" s="442"/>
      <c r="AS94" s="442"/>
      <c r="AT94" s="442"/>
    </row>
    <row r="95" spans="6:46" x14ac:dyDescent="0.25">
      <c r="G95"/>
      <c r="AC95" s="442"/>
      <c r="AD95" s="442"/>
      <c r="AE95" s="442"/>
      <c r="AF95" s="442"/>
      <c r="AG95" s="442"/>
      <c r="AH95" s="442"/>
      <c r="AI95" s="442"/>
      <c r="AJ95" s="451"/>
      <c r="AK95" s="451"/>
      <c r="AL95" s="451"/>
      <c r="AM95" s="442"/>
      <c r="AN95" s="442"/>
      <c r="AO95" s="442"/>
      <c r="AP95" s="442"/>
      <c r="AQ95" s="442"/>
      <c r="AR95" s="442"/>
      <c r="AS95" s="442"/>
      <c r="AT95" s="442"/>
    </row>
    <row r="96" spans="6:46" x14ac:dyDescent="0.25">
      <c r="G96"/>
      <c r="AC96" s="442"/>
      <c r="AD96" s="442"/>
      <c r="AE96" s="442"/>
      <c r="AF96" s="442"/>
      <c r="AG96" s="442"/>
      <c r="AH96" s="442"/>
      <c r="AI96" s="442"/>
      <c r="AJ96" s="451"/>
      <c r="AK96" s="451"/>
      <c r="AL96" s="451"/>
      <c r="AM96" s="442"/>
      <c r="AN96" s="442"/>
      <c r="AO96" s="442"/>
      <c r="AP96" s="442"/>
      <c r="AQ96" s="442"/>
      <c r="AR96" s="442"/>
      <c r="AS96" s="442"/>
      <c r="AT96" s="442"/>
    </row>
    <row r="97" spans="7:32" x14ac:dyDescent="0.25">
      <c r="G97"/>
    </row>
    <row r="98" spans="7:32" ht="20.9" customHeight="1" x14ac:dyDescent="0.25">
      <c r="G98"/>
    </row>
    <row r="99" spans="7:32" x14ac:dyDescent="0.25">
      <c r="G99"/>
    </row>
    <row r="100" spans="7:32" ht="21" customHeight="1" x14ac:dyDescent="0.25">
      <c r="G100"/>
    </row>
    <row r="101" spans="7:32" x14ac:dyDescent="0.25">
      <c r="G101"/>
    </row>
    <row r="102" spans="7:32" x14ac:dyDescent="0.25">
      <c r="G102"/>
    </row>
    <row r="103" spans="7:32" ht="21" customHeight="1" x14ac:dyDescent="0.25">
      <c r="G103"/>
    </row>
    <row r="105" spans="7:32" ht="21" customHeight="1" x14ac:dyDescent="0.25"/>
    <row r="107" spans="7:32" ht="21" customHeight="1" x14ac:dyDescent="0.25"/>
    <row r="110" spans="7:32" x14ac:dyDescent="0.25">
      <c r="AF110" s="3"/>
    </row>
    <row r="111" spans="7:32" x14ac:dyDescent="0.25">
      <c r="AF111" s="3"/>
    </row>
    <row r="112" spans="7:32" x14ac:dyDescent="0.25">
      <c r="AF112" s="3" t="s">
        <v>9</v>
      </c>
    </row>
  </sheetData>
  <mergeCells count="14">
    <mergeCell ref="Y3:Z3"/>
    <mergeCell ref="E17:F17"/>
    <mergeCell ref="E40:F40"/>
    <mergeCell ref="H64:J64"/>
    <mergeCell ref="K64:P64"/>
    <mergeCell ref="Q64:R64"/>
    <mergeCell ref="V64:W64"/>
    <mergeCell ref="Y64:Z64"/>
    <mergeCell ref="H3:J3"/>
    <mergeCell ref="K3:N3"/>
    <mergeCell ref="O3:P3"/>
    <mergeCell ref="Q3:T3"/>
    <mergeCell ref="U3:V3"/>
    <mergeCell ref="X3:X4"/>
  </mergeCells>
  <pageMargins left="0.5" right="0.25" top="0.5" bottom="0.25" header="0.3" footer="0.3"/>
  <pageSetup scale="29" fitToHeight="0"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ECD70-0C95-4A62-A773-7EE5D03E6BDD}">
  <sheetPr>
    <pageSetUpPr fitToPage="1"/>
  </sheetPr>
  <dimension ref="A2:AL68"/>
  <sheetViews>
    <sheetView showGridLines="0" topLeftCell="A16" zoomScaleNormal="100" zoomScaleSheetLayoutView="90" workbookViewId="0">
      <selection activeCell="A10" sqref="A10:XFD14"/>
    </sheetView>
  </sheetViews>
  <sheetFormatPr defaultRowHeight="12.5" x14ac:dyDescent="0.25"/>
  <cols>
    <col min="1" max="1" width="10.54296875" customWidth="1"/>
    <col min="2" max="4" width="0.453125" customWidth="1"/>
    <col min="5" max="5" width="28.7265625" customWidth="1"/>
    <col min="6" max="6" width="7.54296875" style="1" customWidth="1"/>
    <col min="7" max="7" width="7.1796875" style="1" customWidth="1"/>
    <col min="8" max="18" width="7.1796875" customWidth="1"/>
    <col min="19" max="20" width="7.54296875" customWidth="1"/>
    <col min="21" max="23" width="7.1796875" customWidth="1"/>
    <col min="24" max="24" width="6.26953125" customWidth="1"/>
    <col min="25" max="26" width="9" customWidth="1"/>
    <col min="27" max="27" width="10.81640625" customWidth="1"/>
    <col min="28" max="28" width="1.453125" customWidth="1"/>
  </cols>
  <sheetData>
    <row r="2" spans="1:38" ht="21.75" customHeight="1" x14ac:dyDescent="0.25">
      <c r="E2" s="2" t="s">
        <v>153</v>
      </c>
    </row>
    <row r="3" spans="1:38" ht="17.899999999999999" customHeight="1" x14ac:dyDescent="0.3">
      <c r="E3" s="6"/>
      <c r="F3" s="7"/>
      <c r="G3" s="8"/>
      <c r="H3" s="727" t="str">
        <f>'[12]Table 10 CWTs exp'!H3:J3</f>
        <v>CFH</v>
      </c>
      <c r="I3" s="727"/>
      <c r="J3" s="727"/>
      <c r="K3" s="727" t="str">
        <f>'[12]Table 10 CWTs exp'!K3:P3</f>
        <v>FRH</v>
      </c>
      <c r="L3" s="727"/>
      <c r="M3" s="727"/>
      <c r="N3" s="727"/>
      <c r="O3" s="727" t="str">
        <f>'[12]Table 10 CWTs exp'!O3:P3</f>
        <v>NIM</v>
      </c>
      <c r="P3" s="727"/>
      <c r="Q3" s="727" t="str">
        <f>'[12]Table 10 CWTs exp'!Q3:R3</f>
        <v>MOK</v>
      </c>
      <c r="R3" s="727"/>
      <c r="S3" s="727"/>
      <c r="T3" s="727"/>
      <c r="U3" s="727" t="str">
        <f>'[12]Table 10 CWTs exp'!U3:V3</f>
        <v>MER</v>
      </c>
      <c r="V3" s="727"/>
      <c r="W3" s="9" t="str">
        <f>'[12]Table 10 CWTs exp'!W3</f>
        <v>SJO</v>
      </c>
      <c r="X3" s="747" t="str">
        <f>'[12]Table 10 CWTs exp'!X3</f>
        <v>Non-CV</v>
      </c>
      <c r="Y3" s="729" t="s">
        <v>132</v>
      </c>
      <c r="Z3" s="730"/>
      <c r="AA3" s="10" t="s">
        <v>9</v>
      </c>
      <c r="AC3" s="3"/>
      <c r="AD3" s="3"/>
    </row>
    <row r="4" spans="1:38" ht="15.75" customHeight="1" x14ac:dyDescent="0.3">
      <c r="E4" s="17" t="s">
        <v>17</v>
      </c>
      <c r="F4" s="18" t="s">
        <v>18</v>
      </c>
      <c r="G4" s="19" t="str">
        <f>'[12]Table 10 CWTs exp'!G4</f>
        <v>SacW</v>
      </c>
      <c r="H4" s="20" t="str">
        <f>'[12]Table 10 CWTs exp'!H4</f>
        <v>CFHL</v>
      </c>
      <c r="I4" s="19" t="str">
        <f>'[12]Table 10 CWTs exp'!I4</f>
        <v>CFHF</v>
      </c>
      <c r="J4" s="21" t="str">
        <f>'[12]Table 10 CWTs exp'!J4</f>
        <v>CFHFn</v>
      </c>
      <c r="K4" s="19" t="str">
        <f>'[12]Table 10 CWTs exp'!K4</f>
        <v>FRHS</v>
      </c>
      <c r="L4" s="19" t="str">
        <f>'[12]Table 10 CWTs exp'!L4</f>
        <v>FRHF</v>
      </c>
      <c r="M4" s="19" t="str">
        <f>'[12]Table 10 CWTs exp'!M4</f>
        <v>FRHFn</v>
      </c>
      <c r="N4" s="21" t="str">
        <f>'[12]Table 10 CWTs exp'!N4</f>
        <v>FRHFgg</v>
      </c>
      <c r="O4" s="19" t="str">
        <f>'[12]Table 10 CWTs exp'!O4</f>
        <v>NIMF</v>
      </c>
      <c r="P4" s="21" t="str">
        <f>'[12]Table 10 CWTs exp'!P4</f>
        <v>NIMFn</v>
      </c>
      <c r="Q4" s="19" t="str">
        <f>'[12]Table 10 CWTs exp'!Q4</f>
        <v>MOKF</v>
      </c>
      <c r="R4" s="19" t="str">
        <f>'[12]Table 10 CWTs exp'!R4</f>
        <v>MOKFn</v>
      </c>
      <c r="S4" s="19" t="str">
        <f>'[12]Table 10 CWTs exp'!S4</f>
        <v>MOKFnc</v>
      </c>
      <c r="T4" s="21" t="str">
        <f>'[12]Table 10 CWTs exp'!T4</f>
        <v>MOKFgg</v>
      </c>
      <c r="U4" s="19" t="str">
        <f>'[12]Table 10 CWTs exp'!U4</f>
        <v>MERF</v>
      </c>
      <c r="V4" s="21" t="str">
        <f>'[12]Table 10 CWTs exp'!V4</f>
        <v>MERFn</v>
      </c>
      <c r="W4" s="21" t="str">
        <f>'[12]Table 10 CWTs exp'!W4</f>
        <v>SJOSx</v>
      </c>
      <c r="X4" s="748"/>
      <c r="Y4" s="22" t="s">
        <v>36</v>
      </c>
      <c r="Z4" s="23" t="s">
        <v>37</v>
      </c>
      <c r="AA4" s="24" t="s">
        <v>18</v>
      </c>
      <c r="AC4" s="442"/>
      <c r="AD4" s="442"/>
      <c r="AE4" s="442"/>
      <c r="AF4" s="442"/>
      <c r="AG4" s="442"/>
      <c r="AH4" s="442"/>
      <c r="AI4" s="442"/>
      <c r="AJ4" s="442"/>
      <c r="AK4" s="442"/>
      <c r="AL4" s="442"/>
    </row>
    <row r="5" spans="1:38" ht="14.15" customHeight="1" x14ac:dyDescent="0.3">
      <c r="E5" s="26" t="s">
        <v>39</v>
      </c>
      <c r="F5" s="11"/>
      <c r="G5" s="4"/>
      <c r="H5" s="139"/>
      <c r="J5" s="140"/>
      <c r="N5" s="140"/>
      <c r="P5" s="140"/>
      <c r="T5" s="140"/>
      <c r="V5" s="140"/>
      <c r="W5" s="140"/>
      <c r="X5" s="11"/>
      <c r="Y5" s="141"/>
      <c r="Z5" s="142"/>
      <c r="AA5" s="88"/>
      <c r="AC5" s="442"/>
      <c r="AD5" s="442"/>
      <c r="AE5" s="442"/>
      <c r="AF5" s="442"/>
      <c r="AG5" s="442"/>
      <c r="AH5" s="442"/>
      <c r="AI5" s="442"/>
      <c r="AJ5" s="442"/>
      <c r="AK5" s="442"/>
      <c r="AL5" s="442"/>
    </row>
    <row r="6" spans="1:38" ht="14.25" customHeight="1" x14ac:dyDescent="0.25">
      <c r="A6" s="54" t="str">
        <f>'[12]Table 10 CWTs exp'!A6</f>
        <v>CNFH504</v>
      </c>
      <c r="E6" s="3" t="str">
        <f>'[12]Table 10 CWTs exp'!E6</f>
        <v>Coleman National Fish Hatchery</v>
      </c>
      <c r="F6" s="143" t="str">
        <f>'[12]Table 10 CWTs exp'!F6</f>
        <v>Winter</v>
      </c>
      <c r="G6" s="144">
        <f>IF('[12]Table 10 CWTs exp'!G6/'[12]Table 10 CWTs exp'!$AA6&gt;0,'[12]Table 10 CWTs exp'!G6/'[12]Table 10 CWTs exp'!$AA6," ")</f>
        <v>1</v>
      </c>
      <c r="H6" s="145" t="str">
        <f>IF('[12]Table 10 CWTs exp'!H6/'[12]Table 10 CWTs exp'!$AA6&gt;0,'[12]Table 10 CWTs exp'!H6/'[12]Table 10 CWTs exp'!$AA6," ")</f>
        <v xml:space="preserve"> </v>
      </c>
      <c r="I6" s="144" t="str">
        <f>IF('[12]Table 10 CWTs exp'!I6/'[12]Table 10 CWTs exp'!$AA6&gt;0,'[12]Table 10 CWTs exp'!I6/'[12]Table 10 CWTs exp'!$AA6," ")</f>
        <v xml:space="preserve"> </v>
      </c>
      <c r="J6" s="146" t="str">
        <f>IF('[12]Table 10 CWTs exp'!J6/'[12]Table 10 CWTs exp'!$AA6&gt;0,'[12]Table 10 CWTs exp'!J6/'[12]Table 10 CWTs exp'!$AA6," ")</f>
        <v xml:space="preserve"> </v>
      </c>
      <c r="K6" s="144" t="str">
        <f>IF('[12]Table 10 CWTs exp'!K6/'[12]Table 10 CWTs exp'!$AA6&gt;0,'[12]Table 10 CWTs exp'!K6/'[12]Table 10 CWTs exp'!$AA6," ")</f>
        <v xml:space="preserve"> </v>
      </c>
      <c r="L6" s="144" t="str">
        <f>IF('[12]Table 10 CWTs exp'!L6/'[12]Table 10 CWTs exp'!$AA6&gt;0,'[12]Table 10 CWTs exp'!L6/'[12]Table 10 CWTs exp'!$AA6," ")</f>
        <v xml:space="preserve"> </v>
      </c>
      <c r="M6" s="144" t="str">
        <f>IF('[12]Table 10 CWTs exp'!M6/'[12]Table 10 CWTs exp'!$AA6&gt;0,'[12]Table 10 CWTs exp'!M6/'[12]Table 10 CWTs exp'!$AA6," ")</f>
        <v xml:space="preserve"> </v>
      </c>
      <c r="N6" s="146" t="str">
        <f>IF('[12]Table 10 CWTs exp'!N6/'[12]Table 10 CWTs exp'!$AA6&gt;0,'[12]Table 10 CWTs exp'!N6/'[12]Table 10 CWTs exp'!$AA6," ")</f>
        <v xml:space="preserve"> </v>
      </c>
      <c r="O6" s="144" t="str">
        <f>IF('[12]Table 10 CWTs exp'!O6/'[12]Table 10 CWTs exp'!$AA6&gt;0,'[12]Table 10 CWTs exp'!O6/'[12]Table 10 CWTs exp'!$AA6," ")</f>
        <v xml:space="preserve"> </v>
      </c>
      <c r="P6" s="146" t="str">
        <f>IF('[12]Table 10 CWTs exp'!P6/'[12]Table 10 CWTs exp'!$AA6&gt;0,'[12]Table 10 CWTs exp'!P6/'[12]Table 10 CWTs exp'!$AA6," ")</f>
        <v xml:space="preserve"> </v>
      </c>
      <c r="Q6" s="144" t="str">
        <f>IF('[12]Table 10 CWTs exp'!Q6/'[12]Table 10 CWTs exp'!$AA6&gt;0,'[12]Table 10 CWTs exp'!Q6/'[12]Table 10 CWTs exp'!$AA6," ")</f>
        <v xml:space="preserve"> </v>
      </c>
      <c r="R6" s="144" t="str">
        <f>IF('[12]Table 10 CWTs exp'!R6/'[12]Table 10 CWTs exp'!$AA6&gt;0,'[12]Table 10 CWTs exp'!R6/'[12]Table 10 CWTs exp'!$AA6," ")</f>
        <v xml:space="preserve"> </v>
      </c>
      <c r="S6" s="144" t="str">
        <f>IF('[12]Table 10 CWTs exp'!S6/'[12]Table 10 CWTs exp'!$AA6&gt;0,'[12]Table 10 CWTs exp'!S6/'[12]Table 10 CWTs exp'!$AA6," ")</f>
        <v xml:space="preserve"> </v>
      </c>
      <c r="T6" s="146" t="str">
        <f>IF('[12]Table 10 CWTs exp'!T6/'[12]Table 10 CWTs exp'!$AA6&gt;0,'[12]Table 10 CWTs exp'!T6/'[12]Table 10 CWTs exp'!$AA6," ")</f>
        <v xml:space="preserve"> </v>
      </c>
      <c r="U6" s="144" t="str">
        <f>IF('[12]Table 10 CWTs exp'!U6/'[12]Table 10 CWTs exp'!$AA6&gt;0,'[12]Table 10 CWTs exp'!U6/'[12]Table 10 CWTs exp'!$AA6," ")</f>
        <v xml:space="preserve"> </v>
      </c>
      <c r="V6" s="146" t="str">
        <f>IF('[12]Table 10 CWTs exp'!V6/'[12]Table 10 CWTs exp'!$AA6&gt;0,'[12]Table 10 CWTs exp'!V6/'[12]Table 10 CWTs exp'!$AA6," ")</f>
        <v xml:space="preserve"> </v>
      </c>
      <c r="W6" s="146" t="str">
        <f>IF('[12]Table 10 CWTs exp'!W6/'[12]Table 10 CWTs exp'!$AA6&gt;0,'[12]Table 10 CWTs exp'!W6/'[12]Table 10 CWTs exp'!$AA6," ")</f>
        <v xml:space="preserve"> </v>
      </c>
      <c r="X6" s="144" t="str">
        <f>IF('[12]Table 10 CWTs exp'!X6/'[12]Table 10 CWTs exp'!$AA6&gt;0,'[12]Table 10 CWTs exp'!X6/'[12]Table 10 CWTs exp'!$AA6," ")</f>
        <v xml:space="preserve"> </v>
      </c>
      <c r="Y6" s="147">
        <f>SUM(G6:X6)</f>
        <v>1</v>
      </c>
      <c r="Z6" s="148">
        <f>1-Y6</f>
        <v>0</v>
      </c>
      <c r="AA6" s="38">
        <f>'[12]Table 10 CWTs exp'!AA6</f>
        <v>95</v>
      </c>
      <c r="AC6" s="592">
        <f>'[12]Table 10 CWTs exp'!AD6</f>
        <v>1</v>
      </c>
      <c r="AD6" s="592">
        <f>Y6-AC6</f>
        <v>0</v>
      </c>
      <c r="AE6" s="593" t="str">
        <f>A6</f>
        <v>CNFH504</v>
      </c>
      <c r="AF6" s="442"/>
      <c r="AG6" s="442"/>
      <c r="AH6" s="442"/>
      <c r="AI6" s="442"/>
      <c r="AJ6" s="442"/>
      <c r="AK6" s="442"/>
      <c r="AL6" s="442"/>
    </row>
    <row r="7" spans="1:38" ht="14.25" customHeight="1" x14ac:dyDescent="0.25">
      <c r="A7" s="54" t="str">
        <f>'[12]Table 10 CWTs exp'!A7</f>
        <v>KESW504</v>
      </c>
      <c r="E7" s="3" t="str">
        <f>'[12]Table 10 CWTs exp'!E7</f>
        <v>Keswick Dam Fish Trap</v>
      </c>
      <c r="F7" s="143" t="str">
        <f>'[12]Table 10 CWTs exp'!F7</f>
        <v>Winter</v>
      </c>
      <c r="G7" s="144">
        <f>IF('[12]Table 10 CWTs exp'!G7/'[12]Table 10 CWTs exp'!$AA7&gt;0,'[12]Table 10 CWTs exp'!G7/'[12]Table 10 CWTs exp'!$AA7," ")</f>
        <v>0.6166666666666667</v>
      </c>
      <c r="H7" s="145" t="str">
        <f>IF('[12]Table 10 CWTs exp'!H7/'[12]Table 10 CWTs exp'!$AA7&gt;0,'[12]Table 10 CWTs exp'!H7/'[12]Table 10 CWTs exp'!$AA7," ")</f>
        <v xml:space="preserve"> </v>
      </c>
      <c r="I7" s="144" t="str">
        <f>IF('[12]Table 10 CWTs exp'!I7/'[12]Table 10 CWTs exp'!$AA7&gt;0,'[12]Table 10 CWTs exp'!I7/'[12]Table 10 CWTs exp'!$AA7," ")</f>
        <v xml:space="preserve"> </v>
      </c>
      <c r="J7" s="146" t="str">
        <f>IF('[12]Table 10 CWTs exp'!J7/'[12]Table 10 CWTs exp'!$AA7&gt;0,'[12]Table 10 CWTs exp'!J7/'[12]Table 10 CWTs exp'!$AA7," ")</f>
        <v xml:space="preserve"> </v>
      </c>
      <c r="K7" s="144" t="str">
        <f>IF('[12]Table 10 CWTs exp'!K7/'[12]Table 10 CWTs exp'!$AA7&gt;0,'[12]Table 10 CWTs exp'!K7/'[12]Table 10 CWTs exp'!$AA7," ")</f>
        <v xml:space="preserve"> </v>
      </c>
      <c r="L7" s="144" t="str">
        <f>IF('[12]Table 10 CWTs exp'!L7/'[12]Table 10 CWTs exp'!$AA7&gt;0,'[12]Table 10 CWTs exp'!L7/'[12]Table 10 CWTs exp'!$AA7," ")</f>
        <v xml:space="preserve"> </v>
      </c>
      <c r="M7" s="144" t="str">
        <f>IF('[12]Table 10 CWTs exp'!M7/'[12]Table 10 CWTs exp'!$AA7&gt;0,'[12]Table 10 CWTs exp'!M7/'[12]Table 10 CWTs exp'!$AA7," ")</f>
        <v xml:space="preserve"> </v>
      </c>
      <c r="N7" s="146" t="str">
        <f>IF('[12]Table 10 CWTs exp'!N7/'[12]Table 10 CWTs exp'!$AA7&gt;0,'[12]Table 10 CWTs exp'!N7/'[12]Table 10 CWTs exp'!$AA7," ")</f>
        <v xml:space="preserve"> </v>
      </c>
      <c r="O7" s="144" t="str">
        <f>IF('[12]Table 10 CWTs exp'!O7/'[12]Table 10 CWTs exp'!$AA7&gt;0,'[12]Table 10 CWTs exp'!O7/'[12]Table 10 CWTs exp'!$AA7," ")</f>
        <v xml:space="preserve"> </v>
      </c>
      <c r="P7" s="146" t="str">
        <f>IF('[12]Table 10 CWTs exp'!P7/'[12]Table 10 CWTs exp'!$AA7&gt;0,'[12]Table 10 CWTs exp'!P7/'[12]Table 10 CWTs exp'!$AA7," ")</f>
        <v xml:space="preserve"> </v>
      </c>
      <c r="Q7" s="144" t="str">
        <f>IF('[12]Table 10 CWTs exp'!Q7/'[12]Table 10 CWTs exp'!$AA7&gt;0,'[12]Table 10 CWTs exp'!Q7/'[12]Table 10 CWTs exp'!$AA7," ")</f>
        <v xml:space="preserve"> </v>
      </c>
      <c r="R7" s="144" t="str">
        <f>IF('[12]Table 10 CWTs exp'!R7/'[12]Table 10 CWTs exp'!$AA7&gt;0,'[12]Table 10 CWTs exp'!R7/'[12]Table 10 CWTs exp'!$AA7," ")</f>
        <v xml:space="preserve"> </v>
      </c>
      <c r="S7" s="144" t="str">
        <f>IF('[12]Table 10 CWTs exp'!S7/'[12]Table 10 CWTs exp'!$AA7&gt;0,'[12]Table 10 CWTs exp'!S7/'[12]Table 10 CWTs exp'!$AA7," ")</f>
        <v xml:space="preserve"> </v>
      </c>
      <c r="T7" s="146" t="str">
        <f>IF('[12]Table 10 CWTs exp'!T7/'[12]Table 10 CWTs exp'!$AA7&gt;0,'[12]Table 10 CWTs exp'!T7/'[12]Table 10 CWTs exp'!$AA7," ")</f>
        <v xml:space="preserve"> </v>
      </c>
      <c r="U7" s="144" t="str">
        <f>IF('[12]Table 10 CWTs exp'!U7/'[12]Table 10 CWTs exp'!$AA7&gt;0,'[12]Table 10 CWTs exp'!U7/'[12]Table 10 CWTs exp'!$AA7," ")</f>
        <v xml:space="preserve"> </v>
      </c>
      <c r="V7" s="146" t="str">
        <f>IF('[12]Table 10 CWTs exp'!V7/'[12]Table 10 CWTs exp'!$AA7&gt;0,'[12]Table 10 CWTs exp'!V7/'[12]Table 10 CWTs exp'!$AA7," ")</f>
        <v xml:space="preserve"> </v>
      </c>
      <c r="W7" s="146" t="str">
        <f>IF('[12]Table 10 CWTs exp'!W7/'[12]Table 10 CWTs exp'!$AA7&gt;0,'[12]Table 10 CWTs exp'!W7/'[12]Table 10 CWTs exp'!$AA7," ")</f>
        <v xml:space="preserve"> </v>
      </c>
      <c r="X7" s="144" t="str">
        <f>IF('[12]Table 10 CWTs exp'!X7/'[12]Table 10 CWTs exp'!$AA7&gt;0,'[12]Table 10 CWTs exp'!X7/'[12]Table 10 CWTs exp'!$AA7," ")</f>
        <v xml:space="preserve"> </v>
      </c>
      <c r="Y7" s="147">
        <f>SUM(G7:X7)</f>
        <v>0.6166666666666667</v>
      </c>
      <c r="Z7" s="148">
        <f>1-Y7</f>
        <v>0.3833333333333333</v>
      </c>
      <c r="AA7" s="38">
        <f>'[12]Table 10 CWTs exp'!AA7</f>
        <v>180</v>
      </c>
      <c r="AC7" s="592">
        <f>'[12]Table 10 CWTs exp'!AD7</f>
        <v>0.61699999999999999</v>
      </c>
      <c r="AD7" s="592">
        <f>Y7-AC7</f>
        <v>-3.3333333333329662E-4</v>
      </c>
      <c r="AE7" s="593" t="str">
        <f>A7</f>
        <v>KESW504</v>
      </c>
      <c r="AF7" s="442"/>
      <c r="AG7" s="442"/>
      <c r="AH7" s="648"/>
      <c r="AI7" s="454"/>
      <c r="AJ7" s="442"/>
      <c r="AK7" s="442"/>
      <c r="AL7" s="442"/>
    </row>
    <row r="8" spans="1:38" ht="14.5" customHeight="1" x14ac:dyDescent="0.25">
      <c r="A8" s="54" t="str">
        <f>'[12]Table 10 CWTs exp'!A8</f>
        <v>FRFH501</v>
      </c>
      <c r="B8" s="75" t="str">
        <f>'[12]Table 10 CWTs exp'!B8</f>
        <v>FRFH</v>
      </c>
      <c r="C8" s="75">
        <f>'[12]Table 10 CWTs exp'!C8</f>
        <v>50</v>
      </c>
      <c r="D8" s="75">
        <f>'[12]Table 10 CWTs exp'!D8</f>
        <v>1</v>
      </c>
      <c r="E8" s="3" t="str">
        <f>'[12]Table 10 CWTs exp'!E8</f>
        <v>Feather River Hatchery</v>
      </c>
      <c r="F8" s="143" t="str">
        <f>'[12]Table 10 CWTs exp'!F8</f>
        <v>Spring</v>
      </c>
      <c r="G8" s="151" t="str">
        <f>IF('[12]Table 10 CWTs exp'!G8/'[12]Table 10 CWTs exp'!$AA8&gt;0,'[12]Table 10 CWTs exp'!G8/'[12]Table 10 CWTs exp'!$AA8," ")</f>
        <v xml:space="preserve"> </v>
      </c>
      <c r="H8" s="145" t="str">
        <f>IF('[12]Table 10 CWTs exp'!H8/'[12]Table 10 CWTs exp'!$AA8&gt;0,'[12]Table 10 CWTs exp'!H8/'[12]Table 10 CWTs exp'!$AA8," ")</f>
        <v xml:space="preserve"> </v>
      </c>
      <c r="I8" s="144" t="str">
        <f>IF('[12]Table 10 CWTs exp'!I8/'[12]Table 10 CWTs exp'!$AA8&gt;0,'[12]Table 10 CWTs exp'!I8/'[12]Table 10 CWTs exp'!$AA8," ")</f>
        <v xml:space="preserve"> </v>
      </c>
      <c r="J8" s="146" t="str">
        <f>IF('[12]Table 10 CWTs exp'!J8/'[12]Table 10 CWTs exp'!$AA8&gt;0,'[12]Table 10 CWTs exp'!J8/'[12]Table 10 CWTs exp'!$AA8," ")</f>
        <v xml:space="preserve"> </v>
      </c>
      <c r="K8" s="144">
        <f>IF('[12]Table 10 CWTs exp'!K8/'[12]Table 10 CWTs exp'!$AA8&gt;0,'[12]Table 10 CWTs exp'!K8/'[12]Table 10 CWTs exp'!$AA8," ")</f>
        <v>0.94207395914145331</v>
      </c>
      <c r="L8" s="144" t="str">
        <f>IF('[12]Table 10 CWTs exp'!L8/'[12]Table 10 CWTs exp'!$AA8&gt;0,'[12]Table 10 CWTs exp'!L8/'[12]Table 10 CWTs exp'!$AA8," ")</f>
        <v xml:space="preserve"> </v>
      </c>
      <c r="M8" s="144">
        <f>IF('[12]Table 10 CWTs exp'!M8/'[12]Table 10 CWTs exp'!$AA8&gt;0,'[12]Table 10 CWTs exp'!M8/'[12]Table 10 CWTs exp'!$AA8," ")</f>
        <v>3.3617791569692267E-3</v>
      </c>
      <c r="N8" s="146">
        <f>IF('[12]Table 10 CWTs exp'!N8/'[12]Table 10 CWTs exp'!$AA8&gt;0,'[12]Table 10 CWTs exp'!N8/'[12]Table 10 CWTs exp'!$AA8," ")</f>
        <v>1.0343935867597621E-3</v>
      </c>
      <c r="O8" s="144" t="str">
        <f>IF('[12]Table 10 CWTs exp'!O8/'[12]Table 10 CWTs exp'!$AA8&gt;0,'[12]Table 10 CWTs exp'!O8/'[12]Table 10 CWTs exp'!$AA8," ")</f>
        <v xml:space="preserve"> </v>
      </c>
      <c r="P8" s="146" t="str">
        <f>IF('[12]Table 10 CWTs exp'!P8/'[12]Table 10 CWTs exp'!$AA8&gt;0,'[12]Table 10 CWTs exp'!P8/'[12]Table 10 CWTs exp'!$AA8," ")</f>
        <v xml:space="preserve"> </v>
      </c>
      <c r="Q8" s="144" t="str">
        <f>IF('[12]Table 10 CWTs exp'!Q8/'[12]Table 10 CWTs exp'!$AA8&gt;0,'[12]Table 10 CWTs exp'!Q8/'[12]Table 10 CWTs exp'!$AA8," ")</f>
        <v xml:space="preserve"> </v>
      </c>
      <c r="R8" s="144" t="str">
        <f>IF('[12]Table 10 CWTs exp'!R8/'[12]Table 10 CWTs exp'!$AA8&gt;0,'[12]Table 10 CWTs exp'!R8/'[12]Table 10 CWTs exp'!$AA8," ")</f>
        <v xml:space="preserve"> </v>
      </c>
      <c r="S8" s="144" t="str">
        <f>IF('[12]Table 10 CWTs exp'!S8/'[12]Table 10 CWTs exp'!$AA8&gt;0,'[12]Table 10 CWTs exp'!S8/'[12]Table 10 CWTs exp'!$AA8," ")</f>
        <v xml:space="preserve"> </v>
      </c>
      <c r="T8" s="146" t="str">
        <f>IF('[12]Table 10 CWTs exp'!T8/'[12]Table 10 CWTs exp'!$AA8&gt;0,'[12]Table 10 CWTs exp'!T8/'[12]Table 10 CWTs exp'!$AA8," ")</f>
        <v xml:space="preserve"> </v>
      </c>
      <c r="U8" s="144" t="str">
        <f>IF('[12]Table 10 CWTs exp'!U8/'[12]Table 10 CWTs exp'!$AA8&gt;0,'[12]Table 10 CWTs exp'!U8/'[12]Table 10 CWTs exp'!$AA8," ")</f>
        <v xml:space="preserve"> </v>
      </c>
      <c r="V8" s="146" t="str">
        <f>IF('[12]Table 10 CWTs exp'!V8/'[12]Table 10 CWTs exp'!$AA8&gt;0,'[12]Table 10 CWTs exp'!V8/'[12]Table 10 CWTs exp'!$AA8," ")</f>
        <v xml:space="preserve"> </v>
      </c>
      <c r="W8" s="146">
        <f>IF('[12]Table 10 CWTs exp'!W8/'[12]Table 10 CWTs exp'!$AA8&gt;0,'[12]Table 10 CWTs exp'!W8/'[12]Table 10 CWTs exp'!$AA8," ")</f>
        <v>5.1719679337988104E-4</v>
      </c>
      <c r="X8" s="144" t="str">
        <f>IF('[12]Table 10 CWTs exp'!X8/'[12]Table 10 CWTs exp'!$AA8&gt;0,'[12]Table 10 CWTs exp'!X8/'[12]Table 10 CWTs exp'!$AA8," ")</f>
        <v xml:space="preserve"> </v>
      </c>
      <c r="Y8" s="147">
        <f>SUM(G8:X8)</f>
        <v>0.94698732867856217</v>
      </c>
      <c r="Z8" s="148">
        <f>1-Y8</f>
        <v>5.3012671321437832E-2</v>
      </c>
      <c r="AA8" s="38">
        <f>'[12]Table 10 CWTs exp'!AA8</f>
        <v>3867</v>
      </c>
      <c r="AC8" s="592">
        <f>'[12]Table 10 CWTs exp'!AD8</f>
        <v>0.94699999999999995</v>
      </c>
      <c r="AD8" s="592">
        <f>Y8-AC8</f>
        <v>-1.2671321437784933E-5</v>
      </c>
      <c r="AE8" s="593" t="str">
        <f>A8</f>
        <v>FRFH501</v>
      </c>
      <c r="AF8" s="442"/>
      <c r="AG8" s="442"/>
      <c r="AH8" s="648"/>
      <c r="AI8" s="454"/>
      <c r="AJ8" s="442"/>
      <c r="AK8" s="442"/>
      <c r="AL8" s="442"/>
    </row>
    <row r="9" spans="1:38" x14ac:dyDescent="0.25">
      <c r="A9" s="54" t="str">
        <f>'[12]Table 10 CWTs exp'!A9</f>
        <v>KESW503</v>
      </c>
      <c r="B9" s="75" t="str">
        <f>'[12]Table 10 CWTs exp'!B9</f>
        <v>KESW</v>
      </c>
      <c r="C9" s="75">
        <f>'[12]Table 10 CWTs exp'!C9</f>
        <v>50</v>
      </c>
      <c r="D9" s="75">
        <f>'[12]Table 10 CWTs exp'!D9</f>
        <v>3</v>
      </c>
      <c r="E9" s="3" t="str">
        <f>'[12]Table 10 CWTs exp'!E9</f>
        <v>Keswick Dam Fish Trap</v>
      </c>
      <c r="F9" s="143" t="str">
        <f>'[12]Table 10 CWTs exp'!F9</f>
        <v>Fall</v>
      </c>
      <c r="G9" s="151" t="e">
        <f>IF('[12]Table 10 CWTs exp'!G9/'[12]Table 10 CWTs exp'!$AA9&gt;0,'[12]Table 10 CWTs exp'!G9/'[12]Table 10 CWTs exp'!$AA9," ")</f>
        <v>#DIV/0!</v>
      </c>
      <c r="H9" s="145" t="e">
        <f>IF('[12]Table 10 CWTs exp'!H9/'[12]Table 10 CWTs exp'!$AA9&gt;0,'[12]Table 10 CWTs exp'!H9/'[12]Table 10 CWTs exp'!$AA9," ")</f>
        <v>#DIV/0!</v>
      </c>
      <c r="I9" s="144" t="e">
        <f>IF('[12]Table 10 CWTs exp'!I9/'[12]Table 10 CWTs exp'!$AA9&gt;0,'[12]Table 10 CWTs exp'!I9/'[12]Table 10 CWTs exp'!$AA9," ")</f>
        <v>#DIV/0!</v>
      </c>
      <c r="J9" s="146" t="e">
        <f>IF('[12]Table 10 CWTs exp'!J9/'[12]Table 10 CWTs exp'!$AA9&gt;0,'[12]Table 10 CWTs exp'!J9/'[12]Table 10 CWTs exp'!$AA9," ")</f>
        <v>#DIV/0!</v>
      </c>
      <c r="K9" s="144" t="e">
        <f>IF('[12]Table 10 CWTs exp'!K9/'[12]Table 10 CWTs exp'!$AA9&gt;0,'[12]Table 10 CWTs exp'!K9/'[12]Table 10 CWTs exp'!$AA9," ")</f>
        <v>#DIV/0!</v>
      </c>
      <c r="L9" s="144" t="e">
        <f>IF('[12]Table 10 CWTs exp'!L9/'[12]Table 10 CWTs exp'!$AA9&gt;0,'[12]Table 10 CWTs exp'!L9/'[12]Table 10 CWTs exp'!$AA9," ")</f>
        <v>#DIV/0!</v>
      </c>
      <c r="M9" s="144" t="e">
        <f>IF('[12]Table 10 CWTs exp'!M9/'[12]Table 10 CWTs exp'!$AA9&gt;0,'[12]Table 10 CWTs exp'!M9/'[12]Table 10 CWTs exp'!$AA9," ")</f>
        <v>#DIV/0!</v>
      </c>
      <c r="N9" s="146" t="e">
        <f>IF('[12]Table 10 CWTs exp'!N9/'[12]Table 10 CWTs exp'!$AA9&gt;0,'[12]Table 10 CWTs exp'!N9/'[12]Table 10 CWTs exp'!$AA9," ")</f>
        <v>#DIV/0!</v>
      </c>
      <c r="O9" s="144" t="e">
        <f>IF('[12]Table 10 CWTs exp'!O9/'[12]Table 10 CWTs exp'!$AA9&gt;0,'[12]Table 10 CWTs exp'!O9/'[12]Table 10 CWTs exp'!$AA9," ")</f>
        <v>#DIV/0!</v>
      </c>
      <c r="P9" s="146" t="e">
        <f>IF('[12]Table 10 CWTs exp'!P9/'[12]Table 10 CWTs exp'!$AA9&gt;0,'[12]Table 10 CWTs exp'!P9/'[12]Table 10 CWTs exp'!$AA9," ")</f>
        <v>#DIV/0!</v>
      </c>
      <c r="Q9" s="144" t="e">
        <f>IF('[12]Table 10 CWTs exp'!Q9/'[12]Table 10 CWTs exp'!$AA9&gt;0,'[12]Table 10 CWTs exp'!Q9/'[12]Table 10 CWTs exp'!$AA9," ")</f>
        <v>#DIV/0!</v>
      </c>
      <c r="R9" s="144" t="e">
        <f>IF('[12]Table 10 CWTs exp'!R9/'[12]Table 10 CWTs exp'!$AA9&gt;0,'[12]Table 10 CWTs exp'!R9/'[12]Table 10 CWTs exp'!$AA9," ")</f>
        <v>#DIV/0!</v>
      </c>
      <c r="S9" s="144" t="e">
        <f>IF('[12]Table 10 CWTs exp'!S9/'[12]Table 10 CWTs exp'!$AA9&gt;0,'[12]Table 10 CWTs exp'!S9/'[12]Table 10 CWTs exp'!$AA9," ")</f>
        <v>#DIV/0!</v>
      </c>
      <c r="T9" s="146" t="e">
        <f>IF('[12]Table 10 CWTs exp'!T9/'[12]Table 10 CWTs exp'!$AA9&gt;0,'[12]Table 10 CWTs exp'!T9/'[12]Table 10 CWTs exp'!$AA9," ")</f>
        <v>#DIV/0!</v>
      </c>
      <c r="U9" s="144" t="e">
        <f>IF('[12]Table 10 CWTs exp'!U9/'[12]Table 10 CWTs exp'!$AA9&gt;0,'[12]Table 10 CWTs exp'!U9/'[12]Table 10 CWTs exp'!$AA9," ")</f>
        <v>#DIV/0!</v>
      </c>
      <c r="V9" s="146" t="e">
        <f>IF('[12]Table 10 CWTs exp'!V9/'[12]Table 10 CWTs exp'!$AA9&gt;0,'[12]Table 10 CWTs exp'!V9/'[12]Table 10 CWTs exp'!$AA9," ")</f>
        <v>#DIV/0!</v>
      </c>
      <c r="W9" s="146" t="e">
        <f>IF('[12]Table 10 CWTs exp'!W9/'[12]Table 10 CWTs exp'!$AA9&gt;0,'[12]Table 10 CWTs exp'!W9/'[12]Table 10 CWTs exp'!$AA9," ")</f>
        <v>#DIV/0!</v>
      </c>
      <c r="X9" s="144" t="e">
        <f>IF('[12]Table 10 CWTs exp'!X9/'[12]Table 10 CWTs exp'!$AA9&gt;0,'[12]Table 10 CWTs exp'!X9/'[12]Table 10 CWTs exp'!$AA9," ")</f>
        <v>#DIV/0!</v>
      </c>
      <c r="Y9" s="147" t="e">
        <f t="shared" ref="Y9:Y17" si="0">SUM(G9:X9)</f>
        <v>#DIV/0!</v>
      </c>
      <c r="Z9" s="148" t="e">
        <f t="shared" ref="Z9:Z17" si="1">1-Y9</f>
        <v>#DIV/0!</v>
      </c>
      <c r="AA9" s="38">
        <f>'[12]Table 10 CWTs exp'!AA9</f>
        <v>0</v>
      </c>
      <c r="AC9" s="592">
        <f>'[12]Table 10 CWTs exp'!AD9</f>
        <v>0</v>
      </c>
      <c r="AD9" s="592" t="e">
        <f t="shared" ref="AD9:AD55" si="2">Y9-AC9</f>
        <v>#DIV/0!</v>
      </c>
      <c r="AE9" s="593" t="str">
        <f t="shared" ref="AE9:AE41" si="3">A9</f>
        <v>KESW503</v>
      </c>
      <c r="AF9" s="442"/>
      <c r="AG9" s="442"/>
      <c r="AH9" s="648"/>
      <c r="AI9" s="454"/>
      <c r="AJ9" s="442"/>
      <c r="AK9" s="442"/>
      <c r="AL9" s="442"/>
    </row>
    <row r="10" spans="1:38" ht="14.5" customHeight="1" x14ac:dyDescent="0.25">
      <c r="A10" s="54" t="str">
        <f>'[12]Table 10 CWTs exp'!A10</f>
        <v>CNFH503</v>
      </c>
      <c r="B10" s="75" t="str">
        <f>'[12]Table 10 CWTs exp'!B10</f>
        <v>CNFH</v>
      </c>
      <c r="C10" s="75">
        <f>'[12]Table 10 CWTs exp'!C10</f>
        <v>50</v>
      </c>
      <c r="D10" s="75">
        <f>'[12]Table 10 CWTs exp'!D10</f>
        <v>3</v>
      </c>
      <c r="E10" s="3" t="str">
        <f>'[12]Table 10 CWTs exp'!E10</f>
        <v>Coleman National Fish Hatchery</v>
      </c>
      <c r="F10" s="143" t="str">
        <f>'[12]Table 10 CWTs exp'!F10</f>
        <v>Fall</v>
      </c>
      <c r="G10" s="151" t="str">
        <f>IF('[12]Table 10 CWTs exp'!G10/'[12]Table 10 CWTs exp'!$AA10&gt;0,'[12]Table 10 CWTs exp'!G10/'[12]Table 10 CWTs exp'!$AA10," ")</f>
        <v xml:space="preserve"> </v>
      </c>
      <c r="H10" s="145" t="str">
        <f>IF('[12]Table 10 CWTs exp'!H10/'[12]Table 10 CWTs exp'!$AA10&gt;0,'[12]Table 10 CWTs exp'!H10/'[12]Table 10 CWTs exp'!$AA10," ")</f>
        <v xml:space="preserve"> </v>
      </c>
      <c r="I10" s="144">
        <f>IF('[12]Table 10 CWTs exp'!I10/'[12]Table 10 CWTs exp'!$AA10&gt;0,'[12]Table 10 CWTs exp'!I10/'[12]Table 10 CWTs exp'!$AA10," ")</f>
        <v>0.89627864601583851</v>
      </c>
      <c r="J10" s="146" t="str">
        <f>IF('[12]Table 10 CWTs exp'!J10/'[12]Table 10 CWTs exp'!$AA10&gt;0,'[12]Table 10 CWTs exp'!J10/'[12]Table 10 CWTs exp'!$AA10," ")</f>
        <v xml:space="preserve"> </v>
      </c>
      <c r="K10" s="144" t="str">
        <f>IF('[12]Table 10 CWTs exp'!K10/'[12]Table 10 CWTs exp'!$AA10&gt;0,'[12]Table 10 CWTs exp'!K10/'[12]Table 10 CWTs exp'!$AA10," ")</f>
        <v xml:space="preserve"> </v>
      </c>
      <c r="L10" s="144">
        <f>IF('[12]Table 10 CWTs exp'!L10/'[12]Table 10 CWTs exp'!$AA10&gt;0,'[12]Table 10 CWTs exp'!L10/'[12]Table 10 CWTs exp'!$AA10," ")</f>
        <v>1.4016399187048847E-4</v>
      </c>
      <c r="M10" s="144">
        <f>IF('[12]Table 10 CWTs exp'!M10/'[12]Table 10 CWTs exp'!$AA10&gt;0,'[12]Table 10 CWTs exp'!M10/'[12]Table 10 CWTs exp'!$AA10," ")</f>
        <v>5.6065596748195389E-4</v>
      </c>
      <c r="N10" s="146">
        <f>IF('[12]Table 10 CWTs exp'!N10/'[12]Table 10 CWTs exp'!$AA10&gt;0,'[12]Table 10 CWTs exp'!N10/'[12]Table 10 CWTs exp'!$AA10," ")</f>
        <v>2.8032798374097694E-4</v>
      </c>
      <c r="O10" s="144" t="str">
        <f>IF('[12]Table 10 CWTs exp'!O10/'[12]Table 10 CWTs exp'!$AA10&gt;0,'[12]Table 10 CWTs exp'!O10/'[12]Table 10 CWTs exp'!$AA10," ")</f>
        <v xml:space="preserve"> </v>
      </c>
      <c r="P10" s="146" t="str">
        <f>IF('[12]Table 10 CWTs exp'!P10/'[12]Table 10 CWTs exp'!$AA10&gt;0,'[12]Table 10 CWTs exp'!P10/'[12]Table 10 CWTs exp'!$AA10," ")</f>
        <v xml:space="preserve"> </v>
      </c>
      <c r="Q10" s="144" t="str">
        <f>IF('[12]Table 10 CWTs exp'!Q10/'[12]Table 10 CWTs exp'!$AA10&gt;0,'[12]Table 10 CWTs exp'!Q10/'[12]Table 10 CWTs exp'!$AA10," ")</f>
        <v xml:space="preserve"> </v>
      </c>
      <c r="R10" s="144" t="str">
        <f>IF('[12]Table 10 CWTs exp'!R10/'[12]Table 10 CWTs exp'!$AA10&gt;0,'[12]Table 10 CWTs exp'!R10/'[12]Table 10 CWTs exp'!$AA10," ")</f>
        <v xml:space="preserve"> </v>
      </c>
      <c r="S10" s="144">
        <f>IF('[12]Table 10 CWTs exp'!S10/'[12]Table 10 CWTs exp'!$AA10&gt;0,'[12]Table 10 CWTs exp'!S10/'[12]Table 10 CWTs exp'!$AA10," ")</f>
        <v>1.4016399187048847E-4</v>
      </c>
      <c r="T10" s="146" t="str">
        <f>IF('[12]Table 10 CWTs exp'!T10/'[12]Table 10 CWTs exp'!$AA10&gt;0,'[12]Table 10 CWTs exp'!T10/'[12]Table 10 CWTs exp'!$AA10," ")</f>
        <v xml:space="preserve"> </v>
      </c>
      <c r="U10" s="144" t="str">
        <f>IF('[12]Table 10 CWTs exp'!U10/'[12]Table 10 CWTs exp'!$AA10&gt;0,'[12]Table 10 CWTs exp'!U10/'[12]Table 10 CWTs exp'!$AA10," ")</f>
        <v xml:space="preserve"> </v>
      </c>
      <c r="V10" s="146" t="str">
        <f>IF('[12]Table 10 CWTs exp'!V10/'[12]Table 10 CWTs exp'!$AA10&gt;0,'[12]Table 10 CWTs exp'!V10/'[12]Table 10 CWTs exp'!$AA10," ")</f>
        <v xml:space="preserve"> </v>
      </c>
      <c r="W10" s="146" t="str">
        <f>IF('[12]Table 10 CWTs exp'!W10/'[12]Table 10 CWTs exp'!$AA10&gt;0,'[12]Table 10 CWTs exp'!W10/'[12]Table 10 CWTs exp'!$AA10," ")</f>
        <v xml:space="preserve"> </v>
      </c>
      <c r="X10" s="144" t="str">
        <f>IF('[12]Table 10 CWTs exp'!X10/'[12]Table 10 CWTs exp'!$AA10&gt;0,'[12]Table 10 CWTs exp'!X10/'[12]Table 10 CWTs exp'!$AA10," ")</f>
        <v xml:space="preserve"> </v>
      </c>
      <c r="Y10" s="147">
        <f t="shared" si="0"/>
        <v>0.89739995795080241</v>
      </c>
      <c r="Z10" s="148">
        <f t="shared" si="1"/>
        <v>0.10260004204919759</v>
      </c>
      <c r="AA10" s="38">
        <f>'[12]Table 10 CWTs exp'!AA10</f>
        <v>14269</v>
      </c>
      <c r="AC10" s="592">
        <f>'[12]Table 10 CWTs exp'!AD10</f>
        <v>0.89700000000000002</v>
      </c>
      <c r="AD10" s="592">
        <f t="shared" si="2"/>
        <v>3.9995795080238761E-4</v>
      </c>
      <c r="AE10" s="593" t="str">
        <f t="shared" si="3"/>
        <v>CNFH503</v>
      </c>
      <c r="AF10" s="442"/>
      <c r="AG10" s="442"/>
      <c r="AH10" s="648"/>
      <c r="AI10" s="454"/>
      <c r="AJ10" s="442"/>
      <c r="AK10" s="442"/>
      <c r="AL10" s="442"/>
    </row>
    <row r="11" spans="1:38" ht="14.5" customHeight="1" x14ac:dyDescent="0.25">
      <c r="A11" s="54" t="str">
        <f>'[12]Table 10 CWTs exp'!A11</f>
        <v>FRFH503</v>
      </c>
      <c r="B11" s="75" t="str">
        <f>'[12]Table 10 CWTs exp'!B11</f>
        <v>FRFH</v>
      </c>
      <c r="C11" s="75">
        <f>'[12]Table 10 CWTs exp'!C11</f>
        <v>50</v>
      </c>
      <c r="D11" s="75">
        <f>'[12]Table 10 CWTs exp'!D11</f>
        <v>3</v>
      </c>
      <c r="E11" s="3" t="str">
        <f>'[12]Table 10 CWTs exp'!E11</f>
        <v>Feather River Hatchery</v>
      </c>
      <c r="F11" s="143" t="str">
        <f>'[12]Table 10 CWTs exp'!F11</f>
        <v>Fall</v>
      </c>
      <c r="G11" s="151" t="str">
        <f>IF('[12]Table 10 CWTs exp'!G11/'[12]Table 10 CWTs exp'!$AA11&gt;0,'[12]Table 10 CWTs exp'!G11/'[12]Table 10 CWTs exp'!$AA11," ")</f>
        <v xml:space="preserve"> </v>
      </c>
      <c r="H11" s="145">
        <f>IF('[12]Table 10 CWTs exp'!H11/'[12]Table 10 CWTs exp'!$AA11&gt;0,'[12]Table 10 CWTs exp'!H11/'[12]Table 10 CWTs exp'!$AA11," ")</f>
        <v>3.6896284544146404E-5</v>
      </c>
      <c r="I11" s="144">
        <f>IF('[12]Table 10 CWTs exp'!I11/'[12]Table 10 CWTs exp'!$AA11&gt;0,'[12]Table 10 CWTs exp'!I11/'[12]Table 10 CWTs exp'!$AA11," ")</f>
        <v>1.1806811054126849E-3</v>
      </c>
      <c r="J11" s="146" t="str">
        <f>IF('[12]Table 10 CWTs exp'!J11/'[12]Table 10 CWTs exp'!$AA11&gt;0,'[12]Table 10 CWTs exp'!J11/'[12]Table 10 CWTs exp'!$AA11," ")</f>
        <v xml:space="preserve"> </v>
      </c>
      <c r="K11" s="144">
        <f>IF('[12]Table 10 CWTs exp'!K11/'[12]Table 10 CWTs exp'!$AA11&gt;0,'[12]Table 10 CWTs exp'!K11/'[12]Table 10 CWTs exp'!$AA11," ")</f>
        <v>9.7996531749252852E-2</v>
      </c>
      <c r="L11" s="144">
        <f>IF('[12]Table 10 CWTs exp'!L11/'[12]Table 10 CWTs exp'!$AA11&gt;0,'[12]Table 10 CWTs exp'!L11/'[12]Table 10 CWTs exp'!$AA11," ")</f>
        <v>4.7706895915581304E-2</v>
      </c>
      <c r="M11" s="144">
        <f>IF('[12]Table 10 CWTs exp'!M11/'[12]Table 10 CWTs exp'!$AA11&gt;0,'[12]Table 10 CWTs exp'!M11/'[12]Table 10 CWTs exp'!$AA11," ")</f>
        <v>0.32623694793934249</v>
      </c>
      <c r="N11" s="146">
        <f>IF('[12]Table 10 CWTs exp'!N11/'[12]Table 10 CWTs exp'!$AA11&gt;0,'[12]Table 10 CWTs exp'!N11/'[12]Table 10 CWTs exp'!$AA11," ")</f>
        <v>0.20119543961923034</v>
      </c>
      <c r="O11" s="144" t="str">
        <f>IF('[12]Table 10 CWTs exp'!O11/'[12]Table 10 CWTs exp'!$AA11&gt;0,'[12]Table 10 CWTs exp'!O11/'[12]Table 10 CWTs exp'!$AA11," ")</f>
        <v xml:space="preserve"> </v>
      </c>
      <c r="P11" s="146">
        <f>IF('[12]Table 10 CWTs exp'!P11/'[12]Table 10 CWTs exp'!$AA11&gt;0,'[12]Table 10 CWTs exp'!P11/'[12]Table 10 CWTs exp'!$AA11," ")</f>
        <v>7.3792569088292808E-4</v>
      </c>
      <c r="Q11" s="144" t="str">
        <f>IF('[12]Table 10 CWTs exp'!Q11/'[12]Table 10 CWTs exp'!$AA11&gt;0,'[12]Table 10 CWTs exp'!Q11/'[12]Table 10 CWTs exp'!$AA11," ")</f>
        <v xml:space="preserve"> </v>
      </c>
      <c r="R11" s="144">
        <f>IF('[12]Table 10 CWTs exp'!R11/'[12]Table 10 CWTs exp'!$AA11&gt;0,'[12]Table 10 CWTs exp'!R11/'[12]Table 10 CWTs exp'!$AA11," ")</f>
        <v>8.8551082905951369E-4</v>
      </c>
      <c r="S11" s="144">
        <f>IF('[12]Table 10 CWTs exp'!S11/'[12]Table 10 CWTs exp'!$AA11&gt;0,'[12]Table 10 CWTs exp'!S11/'[12]Table 10 CWTs exp'!$AA11," ")</f>
        <v>2.3613622108253698E-3</v>
      </c>
      <c r="T11" s="146">
        <f>IF('[12]Table 10 CWTs exp'!T11/'[12]Table 10 CWTs exp'!$AA11&gt;0,'[12]Table 10 CWTs exp'!T11/'[12]Table 10 CWTs exp'!$AA11," ")</f>
        <v>2.5827399180902483E-4</v>
      </c>
      <c r="U11" s="144" t="str">
        <f>IF('[12]Table 10 CWTs exp'!U11/'[12]Table 10 CWTs exp'!$AA11&gt;0,'[12]Table 10 CWTs exp'!U11/'[12]Table 10 CWTs exp'!$AA11," ")</f>
        <v xml:space="preserve"> </v>
      </c>
      <c r="V11" s="146">
        <f>IF('[12]Table 10 CWTs exp'!V11/'[12]Table 10 CWTs exp'!$AA11&gt;0,'[12]Table 10 CWTs exp'!V11/'[12]Table 10 CWTs exp'!$AA11," ")</f>
        <v>3.5051470316939085E-3</v>
      </c>
      <c r="W11" s="146">
        <f>IF('[12]Table 10 CWTs exp'!W11/'[12]Table 10 CWTs exp'!$AA11&gt;0,'[12]Table 10 CWTs exp'!W11/'[12]Table 10 CWTs exp'!$AA11," ")</f>
        <v>1.8448142272073202E-4</v>
      </c>
      <c r="X11" s="144" t="str">
        <f>IF('[12]Table 10 CWTs exp'!X11/'[12]Table 10 CWTs exp'!$AA11&gt;0,'[12]Table 10 CWTs exp'!X11/'[12]Table 10 CWTs exp'!$AA11," ")</f>
        <v xml:space="preserve"> </v>
      </c>
      <c r="Y11" s="147">
        <f t="shared" si="0"/>
        <v>0.68228609379035532</v>
      </c>
      <c r="Z11" s="148">
        <f t="shared" si="1"/>
        <v>0.31771390620964468</v>
      </c>
      <c r="AA11" s="38">
        <f>'[12]Table 10 CWTs exp'!AA11</f>
        <v>27103</v>
      </c>
      <c r="AC11" s="592">
        <f>'[12]Table 10 CWTs exp'!AD11</f>
        <v>0.68200000000000005</v>
      </c>
      <c r="AD11" s="592">
        <f t="shared" si="2"/>
        <v>2.860937903552685E-4</v>
      </c>
      <c r="AE11" s="593" t="str">
        <f t="shared" si="3"/>
        <v>FRFH503</v>
      </c>
      <c r="AF11" s="442"/>
      <c r="AG11" s="442"/>
      <c r="AH11" s="648"/>
      <c r="AI11" s="454"/>
      <c r="AJ11" s="442"/>
      <c r="AK11" s="442"/>
      <c r="AL11" s="442"/>
    </row>
    <row r="12" spans="1:38" ht="14.5" customHeight="1" x14ac:dyDescent="0.25">
      <c r="A12" s="54" t="str">
        <f>'[12]Table 10 CWTs exp'!A12</f>
        <v>NBFH503</v>
      </c>
      <c r="B12" s="75" t="str">
        <f>'[12]Table 10 CWTs exp'!B12</f>
        <v>NBFH</v>
      </c>
      <c r="C12" s="75">
        <f>'[12]Table 10 CWTs exp'!C12</f>
        <v>50</v>
      </c>
      <c r="D12" s="75">
        <f>'[12]Table 10 CWTs exp'!D12</f>
        <v>3</v>
      </c>
      <c r="E12" s="3" t="str">
        <f>'[12]Table 10 CWTs exp'!E12</f>
        <v>Nimbus Fish Hatchery</v>
      </c>
      <c r="F12" s="143" t="str">
        <f>'[12]Table 10 CWTs exp'!F12</f>
        <v>Fall</v>
      </c>
      <c r="G12" s="151" t="str">
        <f>IF('[12]Table 10 CWTs exp'!G12/'[12]Table 10 CWTs exp'!$AA12&gt;0,'[12]Table 10 CWTs exp'!G12/'[12]Table 10 CWTs exp'!$AA12," ")</f>
        <v xml:space="preserve"> </v>
      </c>
      <c r="H12" s="145" t="str">
        <f>IF('[12]Table 10 CWTs exp'!H12/'[12]Table 10 CWTs exp'!$AA12&gt;0,'[12]Table 10 CWTs exp'!H12/'[12]Table 10 CWTs exp'!$AA12," ")</f>
        <v xml:space="preserve"> </v>
      </c>
      <c r="I12" s="144" t="str">
        <f>IF('[12]Table 10 CWTs exp'!I12/'[12]Table 10 CWTs exp'!$AA12&gt;0,'[12]Table 10 CWTs exp'!I12/'[12]Table 10 CWTs exp'!$AA12," ")</f>
        <v xml:space="preserve"> </v>
      </c>
      <c r="J12" s="146" t="str">
        <f>IF('[12]Table 10 CWTs exp'!J12/'[12]Table 10 CWTs exp'!$AA12&gt;0,'[12]Table 10 CWTs exp'!J12/'[12]Table 10 CWTs exp'!$AA12," ")</f>
        <v xml:space="preserve"> </v>
      </c>
      <c r="K12" s="144" t="str">
        <f>IF('[12]Table 10 CWTs exp'!K12/'[12]Table 10 CWTs exp'!$AA12&gt;0,'[12]Table 10 CWTs exp'!K12/'[12]Table 10 CWTs exp'!$AA12," ")</f>
        <v xml:space="preserve"> </v>
      </c>
      <c r="L12" s="144">
        <f>IF('[12]Table 10 CWTs exp'!L12/'[12]Table 10 CWTs exp'!$AA12&gt;0,'[12]Table 10 CWTs exp'!L12/'[12]Table 10 CWTs exp'!$AA12," ")</f>
        <v>8.852691218130312E-5</v>
      </c>
      <c r="M12" s="144">
        <f>IF('[12]Table 10 CWTs exp'!M12/'[12]Table 10 CWTs exp'!$AA12&gt;0,'[12]Table 10 CWTs exp'!M12/'[12]Table 10 CWTs exp'!$AA12," ")</f>
        <v>3.4525495750708214E-2</v>
      </c>
      <c r="N12" s="146">
        <f>IF('[12]Table 10 CWTs exp'!N12/'[12]Table 10 CWTs exp'!$AA12&gt;0,'[12]Table 10 CWTs exp'!N12/'[12]Table 10 CWTs exp'!$AA12," ")</f>
        <v>3.2400849858356943E-2</v>
      </c>
      <c r="O12" s="144">
        <f>IF('[12]Table 10 CWTs exp'!O12/'[12]Table 10 CWTs exp'!$AA12&gt;0,'[12]Table 10 CWTs exp'!O12/'[12]Table 10 CWTs exp'!$AA12," ")</f>
        <v>0.25185906515580736</v>
      </c>
      <c r="P12" s="146">
        <f>IF('[12]Table 10 CWTs exp'!P12/'[12]Table 10 CWTs exp'!$AA12&gt;0,'[12]Table 10 CWTs exp'!P12/'[12]Table 10 CWTs exp'!$AA12," ")</f>
        <v>0.33870396600566571</v>
      </c>
      <c r="Q12" s="144">
        <f>IF('[12]Table 10 CWTs exp'!Q12/'[12]Table 10 CWTs exp'!$AA12&gt;0,'[12]Table 10 CWTs exp'!Q12/'[12]Table 10 CWTs exp'!$AA12," ")</f>
        <v>1.5049575070821529E-3</v>
      </c>
      <c r="R12" s="144">
        <f>IF('[12]Table 10 CWTs exp'!R12/'[12]Table 10 CWTs exp'!$AA12&gt;0,'[12]Table 10 CWTs exp'!R12/'[12]Table 10 CWTs exp'!$AA12," ")</f>
        <v>0.15987960339943344</v>
      </c>
      <c r="S12" s="144">
        <f>IF('[12]Table 10 CWTs exp'!S12/'[12]Table 10 CWTs exp'!$AA12&gt;0,'[12]Table 10 CWTs exp'!S12/'[12]Table 10 CWTs exp'!$AA12," ")</f>
        <v>1.69971671388102E-2</v>
      </c>
      <c r="T12" s="146">
        <f>IF('[12]Table 10 CWTs exp'!T12/'[12]Table 10 CWTs exp'!$AA12&gt;0,'[12]Table 10 CWTs exp'!T12/'[12]Table 10 CWTs exp'!$AA12," ")</f>
        <v>2.6026912181303118E-2</v>
      </c>
      <c r="U12" s="144" t="str">
        <f>IF('[12]Table 10 CWTs exp'!U12/'[12]Table 10 CWTs exp'!$AA12&gt;0,'[12]Table 10 CWTs exp'!U12/'[12]Table 10 CWTs exp'!$AA12," ")</f>
        <v xml:space="preserve"> </v>
      </c>
      <c r="V12" s="146">
        <f>IF('[12]Table 10 CWTs exp'!V12/'[12]Table 10 CWTs exp'!$AA12&gt;0,'[12]Table 10 CWTs exp'!V12/'[12]Table 10 CWTs exp'!$AA12," ")</f>
        <v>7.6133144475920679E-3</v>
      </c>
      <c r="W12" s="146" t="str">
        <f>IF('[12]Table 10 CWTs exp'!W12/'[12]Table 10 CWTs exp'!$AA12&gt;0,'[12]Table 10 CWTs exp'!W12/'[12]Table 10 CWTs exp'!$AA12," ")</f>
        <v xml:space="preserve"> </v>
      </c>
      <c r="X12" s="144" t="str">
        <f>IF('[12]Table 10 CWTs exp'!X12/'[12]Table 10 CWTs exp'!$AA12&gt;0,'[12]Table 10 CWTs exp'!X12/'[12]Table 10 CWTs exp'!$AA12," ")</f>
        <v xml:space="preserve"> </v>
      </c>
      <c r="Y12" s="147">
        <f t="shared" si="0"/>
        <v>0.86959985835694054</v>
      </c>
      <c r="Z12" s="148">
        <f t="shared" si="1"/>
        <v>0.13040014164305946</v>
      </c>
      <c r="AA12" s="38">
        <f>'[12]Table 10 CWTs exp'!AA12</f>
        <v>11296</v>
      </c>
      <c r="AC12" s="592">
        <f>'[12]Table 10 CWTs exp'!AD12</f>
        <v>0.87</v>
      </c>
      <c r="AD12" s="592">
        <f t="shared" si="2"/>
        <v>-4.0014164305945954E-4</v>
      </c>
      <c r="AE12" s="593" t="str">
        <f t="shared" si="3"/>
        <v>NBFH503</v>
      </c>
      <c r="AF12" s="442"/>
      <c r="AG12" s="442"/>
      <c r="AH12" s="648"/>
      <c r="AI12" s="454"/>
      <c r="AJ12" s="442"/>
      <c r="AK12" s="442"/>
      <c r="AL12" s="442"/>
    </row>
    <row r="13" spans="1:38" ht="14.5" customHeight="1" x14ac:dyDescent="0.25">
      <c r="A13" s="54" t="str">
        <f>'[12]Table 10 CWTs exp'!A13</f>
        <v>MRFI503</v>
      </c>
      <c r="B13" s="75" t="str">
        <f>'[12]Table 10 CWTs exp'!B13</f>
        <v>MRFI</v>
      </c>
      <c r="C13" s="75">
        <f>'[12]Table 10 CWTs exp'!C13</f>
        <v>50</v>
      </c>
      <c r="D13" s="75">
        <f>'[12]Table 10 CWTs exp'!D13</f>
        <v>3</v>
      </c>
      <c r="E13" s="3" t="str">
        <f>'[12]Table 10 CWTs exp'!E13</f>
        <v>Mokelumne River Hatchery</v>
      </c>
      <c r="F13" s="143" t="str">
        <f>'[12]Table 10 CWTs exp'!F13</f>
        <v>Fall</v>
      </c>
      <c r="G13" s="151" t="str">
        <f>IF('[12]Table 10 CWTs exp'!G13/'[12]Table 10 CWTs exp'!$AA13&gt;0,'[12]Table 10 CWTs exp'!G13/'[12]Table 10 CWTs exp'!$AA13," ")</f>
        <v xml:space="preserve"> </v>
      </c>
      <c r="H13" s="145">
        <f>IF('[12]Table 10 CWTs exp'!H13/'[12]Table 10 CWTs exp'!$AA13&gt;0,'[12]Table 10 CWTs exp'!H13/'[12]Table 10 CWTs exp'!$AA13," ")</f>
        <v>1.1760555098200635E-4</v>
      </c>
      <c r="I13" s="144" t="str">
        <f>IF('[12]Table 10 CWTs exp'!I13/'[12]Table 10 CWTs exp'!$AA13&gt;0,'[12]Table 10 CWTs exp'!I13/'[12]Table 10 CWTs exp'!$AA13," ")</f>
        <v xml:space="preserve"> </v>
      </c>
      <c r="J13" s="146" t="str">
        <f>IF('[12]Table 10 CWTs exp'!J13/'[12]Table 10 CWTs exp'!$AA13&gt;0,'[12]Table 10 CWTs exp'!J13/'[12]Table 10 CWTs exp'!$AA13," ")</f>
        <v xml:space="preserve"> </v>
      </c>
      <c r="K13" s="144" t="str">
        <f>IF('[12]Table 10 CWTs exp'!K13/'[12]Table 10 CWTs exp'!$AA13&gt;0,'[12]Table 10 CWTs exp'!K13/'[12]Table 10 CWTs exp'!$AA13," ")</f>
        <v xml:space="preserve"> </v>
      </c>
      <c r="L13" s="144">
        <f>IF('[12]Table 10 CWTs exp'!L13/'[12]Table 10 CWTs exp'!$AA13&gt;0,'[12]Table 10 CWTs exp'!L13/'[12]Table 10 CWTs exp'!$AA13," ")</f>
        <v>1.1760555098200635E-4</v>
      </c>
      <c r="M13" s="144">
        <f>IF('[12]Table 10 CWTs exp'!M13/'[12]Table 10 CWTs exp'!$AA13&gt;0,'[12]Table 10 CWTs exp'!M13/'[12]Table 10 CWTs exp'!$AA13," ")</f>
        <v>1.8464071504174995E-2</v>
      </c>
      <c r="N13" s="146">
        <f>IF('[12]Table 10 CWTs exp'!N13/'[12]Table 10 CWTs exp'!$AA13&gt;0,'[12]Table 10 CWTs exp'!N13/'[12]Table 10 CWTs exp'!$AA13," ")</f>
        <v>1.4700693872750794E-2</v>
      </c>
      <c r="O13" s="144" t="str">
        <f>IF('[12]Table 10 CWTs exp'!O13/'[12]Table 10 CWTs exp'!$AA13&gt;0,'[12]Table 10 CWTs exp'!O13/'[12]Table 10 CWTs exp'!$AA13," ")</f>
        <v xml:space="preserve"> </v>
      </c>
      <c r="P13" s="146">
        <f>IF('[12]Table 10 CWTs exp'!P13/'[12]Table 10 CWTs exp'!$AA13&gt;0,'[12]Table 10 CWTs exp'!P13/'[12]Table 10 CWTs exp'!$AA13," ")</f>
        <v>2.9754204398447608E-2</v>
      </c>
      <c r="Q13" s="144">
        <f>IF('[12]Table 10 CWTs exp'!Q13/'[12]Table 10 CWTs exp'!$AA13&gt;0,'[12]Table 10 CWTs exp'!Q13/'[12]Table 10 CWTs exp'!$AA13," ")</f>
        <v>1.2936610608020699E-2</v>
      </c>
      <c r="R13" s="144">
        <f>IF('[12]Table 10 CWTs exp'!R13/'[12]Table 10 CWTs exp'!$AA13&gt;0,'[12]Table 10 CWTs exp'!R13/'[12]Table 10 CWTs exp'!$AA13," ")</f>
        <v>0.73150652710807951</v>
      </c>
      <c r="S13" s="144">
        <f>IF('[12]Table 10 CWTs exp'!S13/'[12]Table 10 CWTs exp'!$AA13&gt;0,'[12]Table 10 CWTs exp'!S13/'[12]Table 10 CWTs exp'!$AA13," ")</f>
        <v>3.3047159825943785E-2</v>
      </c>
      <c r="T13" s="146">
        <f>IF('[12]Table 10 CWTs exp'!T13/'[12]Table 10 CWTs exp'!$AA13&gt;0,'[12]Table 10 CWTs exp'!T13/'[12]Table 10 CWTs exp'!$AA13," ")</f>
        <v>2.5638010114077386E-2</v>
      </c>
      <c r="U13" s="144">
        <f>IF('[12]Table 10 CWTs exp'!U13/'[12]Table 10 CWTs exp'!$AA13&gt;0,'[12]Table 10 CWTs exp'!U13/'[12]Table 10 CWTs exp'!$AA13," ")</f>
        <v>7.0563330589203815E-4</v>
      </c>
      <c r="V13" s="146">
        <f>IF('[12]Table 10 CWTs exp'!V13/'[12]Table 10 CWTs exp'!$AA13&gt;0,'[12]Table 10 CWTs exp'!V13/'[12]Table 10 CWTs exp'!$AA13," ")</f>
        <v>2.6696460072915443E-2</v>
      </c>
      <c r="W13" s="146" t="str">
        <f>IF('[12]Table 10 CWTs exp'!W13/'[12]Table 10 CWTs exp'!$AA13&gt;0,'[12]Table 10 CWTs exp'!W13/'[12]Table 10 CWTs exp'!$AA13," ")</f>
        <v xml:space="preserve"> </v>
      </c>
      <c r="X13" s="144" t="str">
        <f>IF('[12]Table 10 CWTs exp'!X13/'[12]Table 10 CWTs exp'!$AA13&gt;0,'[12]Table 10 CWTs exp'!X13/'[12]Table 10 CWTs exp'!$AA13," ")</f>
        <v xml:space="preserve"> </v>
      </c>
      <c r="Y13" s="147">
        <f t="shared" si="0"/>
        <v>0.8936845819122663</v>
      </c>
      <c r="Z13" s="148">
        <f t="shared" si="1"/>
        <v>0.1063154180877337</v>
      </c>
      <c r="AA13" s="38">
        <f>'[12]Table 10 CWTs exp'!AA13</f>
        <v>8503</v>
      </c>
      <c r="AC13" s="592">
        <f>'[12]Table 10 CWTs exp'!AD13</f>
        <v>0.89400000000000002</v>
      </c>
      <c r="AD13" s="592">
        <f t="shared" si="2"/>
        <v>-3.1541808773372093E-4</v>
      </c>
      <c r="AE13" s="593" t="str">
        <f t="shared" si="3"/>
        <v>MRFI503</v>
      </c>
      <c r="AF13" s="442"/>
      <c r="AG13" s="442"/>
      <c r="AH13" s="648"/>
      <c r="AI13" s="454"/>
      <c r="AJ13" s="442"/>
      <c r="AK13" s="442"/>
      <c r="AL13" s="442"/>
    </row>
    <row r="14" spans="1:38" ht="14.5" customHeight="1" x14ac:dyDescent="0.25">
      <c r="A14" s="54" t="str">
        <f>'[12]Table 10 CWTs exp'!A14</f>
        <v>MRFF503</v>
      </c>
      <c r="B14" s="75" t="str">
        <f>'[12]Table 10 CWTs exp'!B14</f>
        <v>MRFF</v>
      </c>
      <c r="C14" s="75">
        <f>'[12]Table 10 CWTs exp'!C14</f>
        <v>50</v>
      </c>
      <c r="D14" s="75">
        <f>'[12]Table 10 CWTs exp'!D14</f>
        <v>3</v>
      </c>
      <c r="E14" s="3" t="str">
        <f>'[12]Table 10 CWTs exp'!E14</f>
        <v>Merced River Hatchery</v>
      </c>
      <c r="F14" s="143" t="str">
        <f>'[12]Table 10 CWTs exp'!F14</f>
        <v>Fall</v>
      </c>
      <c r="G14" s="151" t="str">
        <f>IF('[12]Table 10 CWTs exp'!G14/'[12]Table 10 CWTs exp'!$AA14&gt;0,'[12]Table 10 CWTs exp'!G14/'[12]Table 10 CWTs exp'!$AA14," ")</f>
        <v xml:space="preserve"> </v>
      </c>
      <c r="H14" s="145" t="str">
        <f>IF('[12]Table 10 CWTs exp'!H14/'[12]Table 10 CWTs exp'!$AA14&gt;0,'[12]Table 10 CWTs exp'!H14/'[12]Table 10 CWTs exp'!$AA14," ")</f>
        <v xml:space="preserve"> </v>
      </c>
      <c r="I14" s="144" t="str">
        <f>IF('[12]Table 10 CWTs exp'!I14/'[12]Table 10 CWTs exp'!$AA14&gt;0,'[12]Table 10 CWTs exp'!I14/'[12]Table 10 CWTs exp'!$AA14," ")</f>
        <v xml:space="preserve"> </v>
      </c>
      <c r="J14" s="146" t="str">
        <f>IF('[12]Table 10 CWTs exp'!J14/'[12]Table 10 CWTs exp'!$AA14&gt;0,'[12]Table 10 CWTs exp'!J14/'[12]Table 10 CWTs exp'!$AA14," ")</f>
        <v xml:space="preserve"> </v>
      </c>
      <c r="K14" s="144" t="str">
        <f>IF('[12]Table 10 CWTs exp'!K14/'[12]Table 10 CWTs exp'!$AA14&gt;0,'[12]Table 10 CWTs exp'!K14/'[12]Table 10 CWTs exp'!$AA14," ")</f>
        <v xml:space="preserve"> </v>
      </c>
      <c r="L14" s="144" t="str">
        <f>IF('[12]Table 10 CWTs exp'!L14/'[12]Table 10 CWTs exp'!$AA14&gt;0,'[12]Table 10 CWTs exp'!L14/'[12]Table 10 CWTs exp'!$AA14," ")</f>
        <v xml:space="preserve"> </v>
      </c>
      <c r="M14" s="144">
        <f>IF('[12]Table 10 CWTs exp'!M14/'[12]Table 10 CWTs exp'!$AA14&gt;0,'[12]Table 10 CWTs exp'!M14/'[12]Table 10 CWTs exp'!$AA14," ")</f>
        <v>8.2730093071354711E-3</v>
      </c>
      <c r="N14" s="146">
        <f>IF('[12]Table 10 CWTs exp'!N14/'[12]Table 10 CWTs exp'!$AA14&gt;0,'[12]Table 10 CWTs exp'!N14/'[12]Table 10 CWTs exp'!$AA14," ")</f>
        <v>2.9989658738366079E-2</v>
      </c>
      <c r="O14" s="144" t="str">
        <f>IF('[12]Table 10 CWTs exp'!O14/'[12]Table 10 CWTs exp'!$AA14&gt;0,'[12]Table 10 CWTs exp'!O14/'[12]Table 10 CWTs exp'!$AA14," ")</f>
        <v xml:space="preserve"> </v>
      </c>
      <c r="P14" s="146">
        <f>IF('[12]Table 10 CWTs exp'!P14/'[12]Table 10 CWTs exp'!$AA14&gt;0,'[12]Table 10 CWTs exp'!P14/'[12]Table 10 CWTs exp'!$AA14," ")</f>
        <v>8.2730093071354711E-3</v>
      </c>
      <c r="Q14" s="144" t="str">
        <f>IF('[12]Table 10 CWTs exp'!Q14/'[12]Table 10 CWTs exp'!$AA14&gt;0,'[12]Table 10 CWTs exp'!Q14/'[12]Table 10 CWTs exp'!$AA14," ")</f>
        <v xml:space="preserve"> </v>
      </c>
      <c r="R14" s="144">
        <f>IF('[12]Table 10 CWTs exp'!R14/'[12]Table 10 CWTs exp'!$AA14&gt;0,'[12]Table 10 CWTs exp'!R14/'[12]Table 10 CWTs exp'!$AA14," ")</f>
        <v>8.6866597724922445E-2</v>
      </c>
      <c r="S14" s="144">
        <f>IF('[12]Table 10 CWTs exp'!S14/'[12]Table 10 CWTs exp'!$AA14&gt;0,'[12]Table 10 CWTs exp'!S14/'[12]Table 10 CWTs exp'!$AA14," ")</f>
        <v>1.4477766287487074E-2</v>
      </c>
      <c r="T14" s="146">
        <f>IF('[12]Table 10 CWTs exp'!T14/'[12]Table 10 CWTs exp'!$AA14&gt;0,'[12]Table 10 CWTs exp'!T14/'[12]Table 10 CWTs exp'!$AA14," ")</f>
        <v>8.2730093071354711E-3</v>
      </c>
      <c r="U14" s="144">
        <f>IF('[12]Table 10 CWTs exp'!U14/'[12]Table 10 CWTs exp'!$AA14&gt;0,'[12]Table 10 CWTs exp'!U14/'[12]Table 10 CWTs exp'!$AA14," ")</f>
        <v>0.12099276111685625</v>
      </c>
      <c r="V14" s="146">
        <f>IF('[12]Table 10 CWTs exp'!V14/'[12]Table 10 CWTs exp'!$AA14&gt;0,'[12]Table 10 CWTs exp'!V14/'[12]Table 10 CWTs exp'!$AA14," ")</f>
        <v>0.25646328852119959</v>
      </c>
      <c r="W14" s="146" t="str">
        <f>IF('[12]Table 10 CWTs exp'!W14/'[12]Table 10 CWTs exp'!$AA14&gt;0,'[12]Table 10 CWTs exp'!W14/'[12]Table 10 CWTs exp'!$AA14," ")</f>
        <v xml:space="preserve"> </v>
      </c>
      <c r="X14" s="144" t="str">
        <f>IF('[12]Table 10 CWTs exp'!X14/'[12]Table 10 CWTs exp'!$AA14&gt;0,'[12]Table 10 CWTs exp'!X14/'[12]Table 10 CWTs exp'!$AA14," ")</f>
        <v xml:space="preserve"> </v>
      </c>
      <c r="Y14" s="147">
        <f t="shared" si="0"/>
        <v>0.53360910031023789</v>
      </c>
      <c r="Z14" s="148">
        <f t="shared" si="1"/>
        <v>0.46639089968976211</v>
      </c>
      <c r="AA14" s="38">
        <f>'[12]Table 10 CWTs exp'!AA14</f>
        <v>967</v>
      </c>
      <c r="AC14" s="592">
        <f>'[12]Table 10 CWTs exp'!AD14</f>
        <v>0.53400000000000003</v>
      </c>
      <c r="AD14" s="592">
        <f t="shared" si="2"/>
        <v>-3.908996897621364E-4</v>
      </c>
      <c r="AE14" s="593" t="str">
        <f t="shared" si="3"/>
        <v>MRFF503</v>
      </c>
      <c r="AF14" s="442"/>
      <c r="AG14" s="442"/>
      <c r="AH14" s="648"/>
      <c r="AI14" s="454"/>
      <c r="AJ14" s="442"/>
      <c r="AK14" s="442"/>
      <c r="AL14" s="442"/>
    </row>
    <row r="15" spans="1:38" ht="14.5" customHeight="1" x14ac:dyDescent="0.25">
      <c r="A15" s="54" t="str">
        <f>'[12]Table 10 CWTs exp'!A15</f>
        <v>CNFH507</v>
      </c>
      <c r="B15" s="75" t="str">
        <f>'[12]Table 10 CWTs exp'!B15</f>
        <v>CNFH</v>
      </c>
      <c r="C15" s="75">
        <f>'[12]Table 10 CWTs exp'!C15</f>
        <v>50</v>
      </c>
      <c r="D15" s="75">
        <f>'[12]Table 10 CWTs exp'!D15</f>
        <v>7</v>
      </c>
      <c r="E15" s="3" t="str">
        <f>'[12]Table 10 CWTs exp'!E15</f>
        <v xml:space="preserve">Coleman National Fish Hatchery </v>
      </c>
      <c r="F15" s="37" t="s">
        <v>133</v>
      </c>
      <c r="G15" s="151" t="str">
        <f>IF('[12]Table 10 CWTs exp'!G15/'[12]Table 10 CWTs exp'!$AA15&gt;0,'[12]Table 10 CWTs exp'!G15/'[12]Table 10 CWTs exp'!$AA15," ")</f>
        <v xml:space="preserve"> </v>
      </c>
      <c r="H15" s="145">
        <f>IF('[12]Table 10 CWTs exp'!H15/'[12]Table 10 CWTs exp'!$AA15&gt;0,'[12]Table 10 CWTs exp'!H15/'[12]Table 10 CWTs exp'!$AA15," ")</f>
        <v>0.97758773223237982</v>
      </c>
      <c r="I15" s="144" t="str">
        <f>IF('[12]Table 10 CWTs exp'!I15/'[12]Table 10 CWTs exp'!$AA15&gt;0,'[12]Table 10 CWTs exp'!I15/'[12]Table 10 CWTs exp'!$AA15," ")</f>
        <v xml:space="preserve"> </v>
      </c>
      <c r="J15" s="146" t="str">
        <f>IF('[12]Table 10 CWTs exp'!J15/'[12]Table 10 CWTs exp'!$AA15&gt;0,'[12]Table 10 CWTs exp'!J15/'[12]Table 10 CWTs exp'!$AA15," ")</f>
        <v xml:space="preserve"> </v>
      </c>
      <c r="K15" s="144" t="str">
        <f>IF('[12]Table 10 CWTs exp'!K15/'[12]Table 10 CWTs exp'!$AA15&gt;0,'[12]Table 10 CWTs exp'!K15/'[12]Table 10 CWTs exp'!$AA15," ")</f>
        <v xml:space="preserve"> </v>
      </c>
      <c r="L15" s="144" t="str">
        <f>IF('[12]Table 10 CWTs exp'!L15/'[12]Table 10 CWTs exp'!$AA15&gt;0,'[12]Table 10 CWTs exp'!L15/'[12]Table 10 CWTs exp'!$AA15," ")</f>
        <v xml:space="preserve"> </v>
      </c>
      <c r="M15" s="144" t="str">
        <f>IF('[12]Table 10 CWTs exp'!M15/'[12]Table 10 CWTs exp'!$AA15&gt;0,'[12]Table 10 CWTs exp'!M15/'[12]Table 10 CWTs exp'!$AA15," ")</f>
        <v xml:space="preserve"> </v>
      </c>
      <c r="N15" s="146" t="str">
        <f>IF('[12]Table 10 CWTs exp'!N15/'[12]Table 10 CWTs exp'!$AA15&gt;0,'[12]Table 10 CWTs exp'!N15/'[12]Table 10 CWTs exp'!$AA15," ")</f>
        <v xml:space="preserve"> </v>
      </c>
      <c r="O15" s="144" t="str">
        <f>IF('[12]Table 10 CWTs exp'!O15/'[12]Table 10 CWTs exp'!$AA15&gt;0,'[12]Table 10 CWTs exp'!O15/'[12]Table 10 CWTs exp'!$AA15," ")</f>
        <v xml:space="preserve"> </v>
      </c>
      <c r="P15" s="146" t="str">
        <f>IF('[12]Table 10 CWTs exp'!P15/'[12]Table 10 CWTs exp'!$AA15&gt;0,'[12]Table 10 CWTs exp'!P15/'[12]Table 10 CWTs exp'!$AA15," ")</f>
        <v xml:space="preserve"> </v>
      </c>
      <c r="Q15" s="144" t="str">
        <f>IF('[12]Table 10 CWTs exp'!Q15/'[12]Table 10 CWTs exp'!$AA15&gt;0,'[12]Table 10 CWTs exp'!Q15/'[12]Table 10 CWTs exp'!$AA15," ")</f>
        <v xml:space="preserve"> </v>
      </c>
      <c r="R15" s="144" t="str">
        <f>IF('[12]Table 10 CWTs exp'!R15/'[12]Table 10 CWTs exp'!$AA15&gt;0,'[12]Table 10 CWTs exp'!R15/'[12]Table 10 CWTs exp'!$AA15," ")</f>
        <v xml:space="preserve"> </v>
      </c>
      <c r="S15" s="144" t="str">
        <f>IF('[12]Table 10 CWTs exp'!S15/'[12]Table 10 CWTs exp'!$AA15&gt;0,'[12]Table 10 CWTs exp'!S15/'[12]Table 10 CWTs exp'!$AA15," ")</f>
        <v xml:space="preserve"> </v>
      </c>
      <c r="T15" s="146" t="str">
        <f>IF('[12]Table 10 CWTs exp'!T15/'[12]Table 10 CWTs exp'!$AA15&gt;0,'[12]Table 10 CWTs exp'!T15/'[12]Table 10 CWTs exp'!$AA15," ")</f>
        <v xml:space="preserve"> </v>
      </c>
      <c r="U15" s="144" t="str">
        <f>IF('[12]Table 10 CWTs exp'!U15/'[12]Table 10 CWTs exp'!$AA15&gt;0,'[12]Table 10 CWTs exp'!U15/'[12]Table 10 CWTs exp'!$AA15," ")</f>
        <v xml:space="preserve"> </v>
      </c>
      <c r="V15" s="146" t="str">
        <f>IF('[12]Table 10 CWTs exp'!V15/'[12]Table 10 CWTs exp'!$AA15&gt;0,'[12]Table 10 CWTs exp'!V15/'[12]Table 10 CWTs exp'!$AA15," ")</f>
        <v xml:space="preserve"> </v>
      </c>
      <c r="W15" s="146" t="str">
        <f>IF('[12]Table 10 CWTs exp'!W15/'[12]Table 10 CWTs exp'!$AA15&gt;0,'[12]Table 10 CWTs exp'!W15/'[12]Table 10 CWTs exp'!$AA15," ")</f>
        <v xml:space="preserve"> </v>
      </c>
      <c r="X15" s="144" t="str">
        <f>IF('[12]Table 10 CWTs exp'!X15/'[12]Table 10 CWTs exp'!$AA15&gt;0,'[12]Table 10 CWTs exp'!X15/'[12]Table 10 CWTs exp'!$AA15," ")</f>
        <v xml:space="preserve"> </v>
      </c>
      <c r="Y15" s="147">
        <f t="shared" si="0"/>
        <v>0.97758773223237982</v>
      </c>
      <c r="Z15" s="148">
        <f t="shared" si="1"/>
        <v>2.2412267767620175E-2</v>
      </c>
      <c r="AA15" s="38">
        <f>'[12]Table 10 CWTs exp'!AA15</f>
        <v>3391</v>
      </c>
      <c r="AC15" s="592">
        <f>'[12]Table 10 CWTs exp'!AD15</f>
        <v>0.97799999999999998</v>
      </c>
      <c r="AD15" s="592">
        <f t="shared" si="2"/>
        <v>-4.1226776762015582E-4</v>
      </c>
      <c r="AE15" s="593" t="str">
        <f t="shared" si="3"/>
        <v>CNFH507</v>
      </c>
      <c r="AF15" s="442"/>
      <c r="AG15" s="442"/>
      <c r="AH15" s="648"/>
      <c r="AI15" s="454"/>
      <c r="AJ15" s="442"/>
      <c r="AK15" s="442"/>
      <c r="AL15" s="442"/>
    </row>
    <row r="16" spans="1:38" ht="14.5" customHeight="1" x14ac:dyDescent="0.25">
      <c r="A16" s="54" t="str">
        <f>'[12]Table 10 CWTs exp'!A16</f>
        <v>CNFW527</v>
      </c>
      <c r="B16" s="75" t="str">
        <f>'[12]Table 10 CWTs exp'!B16</f>
        <v>CNFW</v>
      </c>
      <c r="C16" s="75">
        <f>'[12]Table 10 CWTs exp'!C16</f>
        <v>52</v>
      </c>
      <c r="D16" s="75">
        <f>'[12]Table 10 CWTs exp'!D16</f>
        <v>7</v>
      </c>
      <c r="E16" s="3" t="str">
        <f>'[12]Table 10 CWTs exp'!E16</f>
        <v>Coleman Hatchery Fish Trap</v>
      </c>
      <c r="F16" s="37" t="s">
        <v>133</v>
      </c>
      <c r="G16" s="151">
        <f>IF('[12]Table 10 CWTs exp'!G16/'[12]Table 10 CWTs exp'!$AA16&gt;0,'[12]Table 10 CWTs exp'!G16/'[12]Table 10 CWTs exp'!$AA16," ")</f>
        <v>1.0958904109589041E-2</v>
      </c>
      <c r="H16" s="145">
        <f>IF('[12]Table 10 CWTs exp'!H16/'[12]Table 10 CWTs exp'!$AA16&gt;0,'[12]Table 10 CWTs exp'!H16/'[12]Table 10 CWTs exp'!$AA16," ")</f>
        <v>0.97534246575342465</v>
      </c>
      <c r="I16" s="144" t="str">
        <f>IF('[12]Table 10 CWTs exp'!I16/'[12]Table 10 CWTs exp'!$AA16&gt;0,'[12]Table 10 CWTs exp'!I16/'[12]Table 10 CWTs exp'!$AA16," ")</f>
        <v xml:space="preserve"> </v>
      </c>
      <c r="J16" s="146" t="str">
        <f>IF('[12]Table 10 CWTs exp'!J16/'[12]Table 10 CWTs exp'!$AA16&gt;0,'[12]Table 10 CWTs exp'!J16/'[12]Table 10 CWTs exp'!$AA16," ")</f>
        <v xml:space="preserve"> </v>
      </c>
      <c r="K16" s="144" t="str">
        <f>IF('[12]Table 10 CWTs exp'!K16/'[12]Table 10 CWTs exp'!$AA16&gt;0,'[12]Table 10 CWTs exp'!K16/'[12]Table 10 CWTs exp'!$AA16," ")</f>
        <v xml:space="preserve"> </v>
      </c>
      <c r="L16" s="144" t="str">
        <f>IF('[12]Table 10 CWTs exp'!L16/'[12]Table 10 CWTs exp'!$AA16&gt;0,'[12]Table 10 CWTs exp'!L16/'[12]Table 10 CWTs exp'!$AA16," ")</f>
        <v xml:space="preserve"> </v>
      </c>
      <c r="M16" s="144" t="str">
        <f>IF('[12]Table 10 CWTs exp'!M16/'[12]Table 10 CWTs exp'!$AA16&gt;0,'[12]Table 10 CWTs exp'!M16/'[12]Table 10 CWTs exp'!$AA16," ")</f>
        <v xml:space="preserve"> </v>
      </c>
      <c r="N16" s="146" t="str">
        <f>IF('[12]Table 10 CWTs exp'!N16/'[12]Table 10 CWTs exp'!$AA16&gt;0,'[12]Table 10 CWTs exp'!N16/'[12]Table 10 CWTs exp'!$AA16," ")</f>
        <v xml:space="preserve"> </v>
      </c>
      <c r="O16" s="144" t="str">
        <f>IF('[12]Table 10 CWTs exp'!O16/'[12]Table 10 CWTs exp'!$AA16&gt;0,'[12]Table 10 CWTs exp'!O16/'[12]Table 10 CWTs exp'!$AA16," ")</f>
        <v xml:space="preserve"> </v>
      </c>
      <c r="P16" s="146" t="str">
        <f>IF('[12]Table 10 CWTs exp'!P16/'[12]Table 10 CWTs exp'!$AA16&gt;0,'[12]Table 10 CWTs exp'!P16/'[12]Table 10 CWTs exp'!$AA16," ")</f>
        <v xml:space="preserve"> </v>
      </c>
      <c r="Q16" s="144" t="str">
        <f>IF('[12]Table 10 CWTs exp'!Q16/'[12]Table 10 CWTs exp'!$AA16&gt;0,'[12]Table 10 CWTs exp'!Q16/'[12]Table 10 CWTs exp'!$AA16," ")</f>
        <v xml:space="preserve"> </v>
      </c>
      <c r="R16" s="144" t="str">
        <f>IF('[12]Table 10 CWTs exp'!R16/'[12]Table 10 CWTs exp'!$AA16&gt;0,'[12]Table 10 CWTs exp'!R16/'[12]Table 10 CWTs exp'!$AA16," ")</f>
        <v xml:space="preserve"> </v>
      </c>
      <c r="S16" s="144" t="str">
        <f>IF('[12]Table 10 CWTs exp'!S16/'[12]Table 10 CWTs exp'!$AA16&gt;0,'[12]Table 10 CWTs exp'!S16/'[12]Table 10 CWTs exp'!$AA16," ")</f>
        <v xml:space="preserve"> </v>
      </c>
      <c r="T16" s="146" t="str">
        <f>IF('[12]Table 10 CWTs exp'!T16/'[12]Table 10 CWTs exp'!$AA16&gt;0,'[12]Table 10 CWTs exp'!T16/'[12]Table 10 CWTs exp'!$AA16," ")</f>
        <v xml:space="preserve"> </v>
      </c>
      <c r="U16" s="144" t="str">
        <f>IF('[12]Table 10 CWTs exp'!U16/'[12]Table 10 CWTs exp'!$AA16&gt;0,'[12]Table 10 CWTs exp'!U16/'[12]Table 10 CWTs exp'!$AA16," ")</f>
        <v xml:space="preserve"> </v>
      </c>
      <c r="V16" s="146" t="str">
        <f>IF('[12]Table 10 CWTs exp'!V16/'[12]Table 10 CWTs exp'!$AA16&gt;0,'[12]Table 10 CWTs exp'!V16/'[12]Table 10 CWTs exp'!$AA16," ")</f>
        <v xml:space="preserve"> </v>
      </c>
      <c r="W16" s="146" t="str">
        <f>IF('[12]Table 10 CWTs exp'!W16/'[12]Table 10 CWTs exp'!$AA16&gt;0,'[12]Table 10 CWTs exp'!W16/'[12]Table 10 CWTs exp'!$AA16," ")</f>
        <v xml:space="preserve"> </v>
      </c>
      <c r="X16" s="144" t="str">
        <f>IF('[12]Table 10 CWTs exp'!X16/'[12]Table 10 CWTs exp'!$AA16&gt;0,'[12]Table 10 CWTs exp'!X16/'[12]Table 10 CWTs exp'!$AA16," ")</f>
        <v xml:space="preserve"> </v>
      </c>
      <c r="Y16" s="147">
        <f t="shared" si="0"/>
        <v>0.98630136986301364</v>
      </c>
      <c r="Z16" s="148">
        <f t="shared" si="1"/>
        <v>1.3698630136986356E-2</v>
      </c>
      <c r="AA16" s="38">
        <f>'[12]Table 10 CWTs exp'!AA16</f>
        <v>365</v>
      </c>
      <c r="AC16" s="592">
        <f>'[12]Table 10 CWTs exp'!AD16</f>
        <v>0.98599999999999999</v>
      </c>
      <c r="AD16" s="592">
        <f t="shared" si="2"/>
        <v>3.0136986301365631E-4</v>
      </c>
      <c r="AE16" s="593" t="str">
        <f t="shared" si="3"/>
        <v>CNFW527</v>
      </c>
      <c r="AF16" s="442"/>
      <c r="AG16" s="442"/>
      <c r="AH16" s="648"/>
      <c r="AI16" s="454"/>
      <c r="AJ16" s="442"/>
      <c r="AK16" s="442"/>
      <c r="AL16" s="442"/>
    </row>
    <row r="17" spans="1:38" ht="14.5" customHeight="1" x14ac:dyDescent="0.25">
      <c r="A17" s="50" t="s">
        <v>134</v>
      </c>
      <c r="B17" s="75" t="str">
        <f>'[12]Table 10 CWTs exp'!B17</f>
        <v>KESW</v>
      </c>
      <c r="C17" s="75">
        <f>'[12]Table 10 CWTs exp'!C17</f>
        <v>50</v>
      </c>
      <c r="D17" s="75">
        <f>'[12]Table 10 CWTs exp'!D17</f>
        <v>7</v>
      </c>
      <c r="E17" s="3" t="str">
        <f>'[12]Table 10 CWTs exp'!E17</f>
        <v>Keswick Dam Fish Trap</v>
      </c>
      <c r="F17" s="37" t="s">
        <v>133</v>
      </c>
      <c r="G17" s="151" t="str">
        <f>IF('[12]Table 10 CWTs exp'!G17/'[12]Table 10 CWTs exp'!$AA17&gt;0,'[12]Table 10 CWTs exp'!G17/'[12]Table 10 CWTs exp'!$AA17," ")</f>
        <v xml:space="preserve"> </v>
      </c>
      <c r="H17" s="145">
        <f>IF('[12]Table 10 CWTs exp'!H17/'[12]Table 10 CWTs exp'!$AA17&gt;0,'[12]Table 10 CWTs exp'!H17/'[12]Table 10 CWTs exp'!$AA17," ")</f>
        <v>0.73913043478260865</v>
      </c>
      <c r="I17" s="144" t="str">
        <f>IF('[12]Table 10 CWTs exp'!I17/'[12]Table 10 CWTs exp'!$AA17&gt;0,'[12]Table 10 CWTs exp'!I17/'[12]Table 10 CWTs exp'!$AA17," ")</f>
        <v xml:space="preserve"> </v>
      </c>
      <c r="J17" s="146" t="str">
        <f>IF('[12]Table 10 CWTs exp'!J17/'[12]Table 10 CWTs exp'!$AA17&gt;0,'[12]Table 10 CWTs exp'!J17/'[12]Table 10 CWTs exp'!$AA17," ")</f>
        <v xml:space="preserve"> </v>
      </c>
      <c r="K17" s="144" t="str">
        <f>IF('[12]Table 10 CWTs exp'!K17/'[12]Table 10 CWTs exp'!$AA17&gt;0,'[12]Table 10 CWTs exp'!K17/'[12]Table 10 CWTs exp'!$AA17," ")</f>
        <v xml:space="preserve"> </v>
      </c>
      <c r="L17" s="144" t="str">
        <f>IF('[12]Table 10 CWTs exp'!L17/'[12]Table 10 CWTs exp'!$AA17&gt;0,'[12]Table 10 CWTs exp'!L17/'[12]Table 10 CWTs exp'!$AA17," ")</f>
        <v xml:space="preserve"> </v>
      </c>
      <c r="M17" s="144" t="str">
        <f>IF('[12]Table 10 CWTs exp'!M17/'[12]Table 10 CWTs exp'!$AA17&gt;0,'[12]Table 10 CWTs exp'!M17/'[12]Table 10 CWTs exp'!$AA17," ")</f>
        <v xml:space="preserve"> </v>
      </c>
      <c r="N17" s="146" t="str">
        <f>IF('[12]Table 10 CWTs exp'!N17/'[12]Table 10 CWTs exp'!$AA17&gt;0,'[12]Table 10 CWTs exp'!N17/'[12]Table 10 CWTs exp'!$AA17," ")</f>
        <v xml:space="preserve"> </v>
      </c>
      <c r="O17" s="144" t="str">
        <f>IF('[12]Table 10 CWTs exp'!O17/'[12]Table 10 CWTs exp'!$AA17&gt;0,'[12]Table 10 CWTs exp'!O17/'[12]Table 10 CWTs exp'!$AA17," ")</f>
        <v xml:space="preserve"> </v>
      </c>
      <c r="P17" s="146" t="str">
        <f>IF('[12]Table 10 CWTs exp'!P17/'[12]Table 10 CWTs exp'!$AA17&gt;0,'[12]Table 10 CWTs exp'!P17/'[12]Table 10 CWTs exp'!$AA17," ")</f>
        <v xml:space="preserve"> </v>
      </c>
      <c r="Q17" s="144" t="str">
        <f>IF('[12]Table 10 CWTs exp'!Q17/'[12]Table 10 CWTs exp'!$AA17&gt;0,'[12]Table 10 CWTs exp'!Q17/'[12]Table 10 CWTs exp'!$AA17," ")</f>
        <v xml:space="preserve"> </v>
      </c>
      <c r="R17" s="144" t="str">
        <f>IF('[12]Table 10 CWTs exp'!R17/'[12]Table 10 CWTs exp'!$AA17&gt;0,'[12]Table 10 CWTs exp'!R17/'[12]Table 10 CWTs exp'!$AA17," ")</f>
        <v xml:space="preserve"> </v>
      </c>
      <c r="S17" s="144" t="str">
        <f>IF('[12]Table 10 CWTs exp'!S17/'[12]Table 10 CWTs exp'!$AA17&gt;0,'[12]Table 10 CWTs exp'!S17/'[12]Table 10 CWTs exp'!$AA17," ")</f>
        <v xml:space="preserve"> </v>
      </c>
      <c r="T17" s="146" t="str">
        <f>IF('[12]Table 10 CWTs exp'!T17/'[12]Table 10 CWTs exp'!$AA17&gt;0,'[12]Table 10 CWTs exp'!T17/'[12]Table 10 CWTs exp'!$AA17," ")</f>
        <v xml:space="preserve"> </v>
      </c>
      <c r="U17" s="144" t="str">
        <f>IF('[12]Table 10 CWTs exp'!U17/'[12]Table 10 CWTs exp'!$AA17&gt;0,'[12]Table 10 CWTs exp'!U17/'[12]Table 10 CWTs exp'!$AA17," ")</f>
        <v xml:space="preserve"> </v>
      </c>
      <c r="V17" s="146" t="str">
        <f>IF('[12]Table 10 CWTs exp'!V17/'[12]Table 10 CWTs exp'!$AA17&gt;0,'[12]Table 10 CWTs exp'!V17/'[12]Table 10 CWTs exp'!$AA17," ")</f>
        <v xml:space="preserve"> </v>
      </c>
      <c r="W17" s="146" t="str">
        <f>IF('[12]Table 10 CWTs exp'!W17/'[12]Table 10 CWTs exp'!$AA17&gt;0,'[12]Table 10 CWTs exp'!W17/'[12]Table 10 CWTs exp'!$AA17," ")</f>
        <v xml:space="preserve"> </v>
      </c>
      <c r="X17" s="144" t="str">
        <f>IF('[12]Table 10 CWTs exp'!X17/'[12]Table 10 CWTs exp'!$AA17&gt;0,'[12]Table 10 CWTs exp'!X17/'[12]Table 10 CWTs exp'!$AA17," ")</f>
        <v xml:space="preserve"> </v>
      </c>
      <c r="Y17" s="147">
        <f t="shared" si="0"/>
        <v>0.73913043478260865</v>
      </c>
      <c r="Z17" s="148">
        <f t="shared" si="1"/>
        <v>0.26086956521739135</v>
      </c>
      <c r="AA17" s="38">
        <f>'[12]Table 10 CWTs exp'!AA17</f>
        <v>23</v>
      </c>
      <c r="AC17" s="592">
        <f>'[12]Table 10 CWTs exp'!AD17</f>
        <v>0.73899999999999999</v>
      </c>
      <c r="AD17" s="592">
        <f t="shared" si="2"/>
        <v>1.3043478260865715E-4</v>
      </c>
      <c r="AE17" s="593" t="str">
        <f t="shared" si="3"/>
        <v>KESW507</v>
      </c>
      <c r="AF17" s="442"/>
      <c r="AG17" s="442"/>
      <c r="AH17" s="648"/>
      <c r="AI17" s="454"/>
      <c r="AJ17" s="442"/>
      <c r="AK17" s="442"/>
      <c r="AL17" s="442"/>
    </row>
    <row r="18" spans="1:38" ht="14.15" customHeight="1" x14ac:dyDescent="0.25">
      <c r="A18" s="5"/>
      <c r="E18" s="743" t="s">
        <v>135</v>
      </c>
      <c r="F18" s="743"/>
      <c r="G18" s="152" t="str">
        <f>IF('[12]Table 10 CWTs exp'!G18/'[12]Table 10 CWTs exp'!$AA18&gt;0,'[12]Table 10 CWTs exp'!G18/'[12]Table 10 CWTs exp'!$AA18," ")</f>
        <v xml:space="preserve"> </v>
      </c>
      <c r="H18" s="153">
        <f>IF('[12]Table 10 CWTs exp'!H18/'[12]Table 10 CWTs exp'!$AA18&gt;0,'[12]Table 10 CWTs exp'!H18/'[12]Table 10 CWTs exp'!$AA18," ")</f>
        <v>3.218642376645531E-5</v>
      </c>
      <c r="I18" s="152">
        <f>IF('[12]Table 10 CWTs exp'!I18/'[12]Table 10 CWTs exp'!$AA18&gt;0,'[12]Table 10 CWTs exp'!I18/'[12]Table 10 CWTs exp'!$AA18," ")</f>
        <v>0.20633106955486175</v>
      </c>
      <c r="J18" s="154" t="str">
        <f>IF('[12]Table 10 CWTs exp'!J18/'[12]Table 10 CWTs exp'!$AA18&gt;0,'[12]Table 10 CWTs exp'!J18/'[12]Table 10 CWTs exp'!$AA18," ")</f>
        <v xml:space="preserve"> </v>
      </c>
      <c r="K18" s="152">
        <f>IF('[12]Table 10 CWTs exp'!K18/'[12]Table 10 CWTs exp'!$AA18&gt;0,'[12]Table 10 CWTs exp'!K18/'[12]Table 10 CWTs exp'!$AA18," ")</f>
        <v>4.2743570761852652E-2</v>
      </c>
      <c r="L18" s="152">
        <f>IF('[12]Table 10 CWTs exp'!L18/'[12]Table 10 CWTs exp'!$AA18&gt;0,'[12]Table 10 CWTs exp'!L18/'[12]Table 10 CWTs exp'!$AA18," ")</f>
        <v>2.0872895812546269E-2</v>
      </c>
      <c r="M18" s="152">
        <f>IF('[12]Table 10 CWTs exp'!M18/'[12]Table 10 CWTs exp'!$AA18&gt;0,'[12]Table 10 CWTs exp'!M18/'[12]Table 10 CWTs exp'!$AA18," ")</f>
        <v>0.15135665776175608</v>
      </c>
      <c r="N18" s="154">
        <f>IF('[12]Table 10 CWTs exp'!N18/'[12]Table 10 CWTs exp'!$AA18&gt;0,'[12]Table 10 CWTs exp'!N18/'[12]Table 10 CWTs exp'!$AA18," ")</f>
        <v>9.6189127426051693E-2</v>
      </c>
      <c r="O18" s="152">
        <f>IF('[12]Table 10 CWTs exp'!O18/'[12]Table 10 CWTs exp'!$AA18&gt;0,'[12]Table 10 CWTs exp'!O18/'[12]Table 10 CWTs exp'!$AA18," ")</f>
        <v>4.5785187807782679E-2</v>
      </c>
      <c r="P18" s="154">
        <f>IF('[12]Table 10 CWTs exp'!P18/'[12]Table 10 CWTs exp'!$AA18&gt;0,'[12]Table 10 CWTs exp'!P18/'[12]Table 10 CWTs exp'!$AA18," ")</f>
        <v>6.6094821204415982E-2</v>
      </c>
      <c r="Q18" s="152">
        <f>IF('[12]Table 10 CWTs exp'!Q18/'[12]Table 10 CWTs exp'!$AA18&gt;0,'[12]Table 10 CWTs exp'!Q18/'[12]Table 10 CWTs exp'!$AA18," ")</f>
        <v>2.0438379091699123E-3</v>
      </c>
      <c r="R18" s="152">
        <f>IF('[12]Table 10 CWTs exp'!R18/'[12]Table 10 CWTs exp'!$AA18&gt;0,'[12]Table 10 CWTs exp'!R18/'[12]Table 10 CWTs exp'!$AA18," ")</f>
        <v>0.13090218545817375</v>
      </c>
      <c r="S18" s="152">
        <f>IF('[12]Table 10 CWTs exp'!S18/'[12]Table 10 CWTs exp'!$AA18&gt;0,'[12]Table 10 CWTs exp'!S18/'[12]Table 10 CWTs exp'!$AA18," ")</f>
        <v>8.8995461714248929E-3</v>
      </c>
      <c r="T18" s="154">
        <f>IF('[12]Table 10 CWTs exp'!T18/'[12]Table 10 CWTs exp'!$AA18&gt;0,'[12]Table 10 CWTs exp'!T18/'[12]Table 10 CWTs exp'!$AA18," ")</f>
        <v>8.4811226624609739E-3</v>
      </c>
      <c r="U18" s="152">
        <f>IF('[12]Table 10 CWTs exp'!U18/'[12]Table 10 CWTs exp'!$AA18&gt;0,'[12]Table 10 CWTs exp'!U18/'[12]Table 10 CWTs exp'!$AA18," ")</f>
        <v>1.9794650616370016E-3</v>
      </c>
      <c r="V18" s="154">
        <f>IF('[12]Table 10 CWTs exp'!V18/'[12]Table 10 CWTs exp'!$AA18&gt;0,'[12]Table 10 CWTs exp'!V18/'[12]Table 10 CWTs exp'!$AA18," ")</f>
        <v>1.0557146995397341E-2</v>
      </c>
      <c r="W18" s="154">
        <f>IF('[12]Table 10 CWTs exp'!W18/'[12]Table 10 CWTs exp'!$AA18&gt;0,'[12]Table 10 CWTs exp'!W18/'[12]Table 10 CWTs exp'!$AA18," ")</f>
        <v>8.0466059416138268E-5</v>
      </c>
      <c r="X18" s="152" t="str">
        <f>IF('[12]Table 10 CWTs exp'!X18/'[12]Table 10 CWTs exp'!$AA18&gt;0,'[12]Table 10 CWTs exp'!X18/'[12]Table 10 CWTs exp'!$AA18," ")</f>
        <v xml:space="preserve"> </v>
      </c>
      <c r="Y18" s="155">
        <f>SUM(G18:X18)</f>
        <v>0.79234928707071361</v>
      </c>
      <c r="Z18" s="156">
        <f>IF('[12]Table 10 CWTs exp'!Z18&gt;0,'[12]Table 10 CWTs exp'!Z18/'[12]Table 10 CWTs exp'!$AA18," ")</f>
        <v>0.20765071292928644</v>
      </c>
      <c r="AA18" s="63">
        <f>'[12]Table 10 CWTs exp'!AA18</f>
        <v>62138</v>
      </c>
      <c r="AB18" s="47"/>
      <c r="AC18" s="592">
        <f>'[12]Table 10 CWTs exp'!AD18</f>
        <v>0.79234928707071361</v>
      </c>
      <c r="AD18" s="592">
        <f t="shared" si="2"/>
        <v>0</v>
      </c>
      <c r="AE18" s="593"/>
      <c r="AF18" s="594"/>
      <c r="AG18" s="442"/>
      <c r="AH18" s="648"/>
      <c r="AI18" s="454"/>
      <c r="AJ18" s="442"/>
      <c r="AK18" s="442"/>
      <c r="AL18" s="442"/>
    </row>
    <row r="19" spans="1:38" ht="14.15" customHeight="1" x14ac:dyDescent="0.3">
      <c r="A19" s="5"/>
      <c r="E19" s="26" t="s">
        <v>63</v>
      </c>
      <c r="F19"/>
      <c r="G19" s="151"/>
      <c r="H19" s="157"/>
      <c r="I19" s="151"/>
      <c r="J19" s="158"/>
      <c r="K19" s="151"/>
      <c r="L19" s="151"/>
      <c r="M19" s="151"/>
      <c r="N19" s="158"/>
      <c r="O19" s="151"/>
      <c r="P19" s="158"/>
      <c r="Q19" s="151"/>
      <c r="R19" s="151"/>
      <c r="S19" s="151"/>
      <c r="T19" s="158"/>
      <c r="U19" s="151"/>
      <c r="V19" s="158"/>
      <c r="W19" s="158"/>
      <c r="X19" s="144"/>
      <c r="Y19" s="147"/>
      <c r="Z19" s="148"/>
      <c r="AA19" s="38"/>
      <c r="AC19" s="592"/>
      <c r="AD19" s="592"/>
      <c r="AE19" s="593"/>
      <c r="AF19" s="442"/>
      <c r="AG19" s="442"/>
      <c r="AH19" s="648"/>
      <c r="AI19" s="454"/>
      <c r="AJ19" s="442"/>
      <c r="AK19" s="442"/>
      <c r="AL19" s="442"/>
    </row>
    <row r="20" spans="1:38" ht="14.5" customHeight="1" x14ac:dyDescent="0.25">
      <c r="A20" s="54" t="str">
        <f>'[12]Table 10 CWTs exp'!A20</f>
        <v>USAC544</v>
      </c>
      <c r="B20" s="75" t="str">
        <f>'[12]Table 10 CWTs exp'!B20</f>
        <v>USAC</v>
      </c>
      <c r="C20" s="75">
        <f>'[12]Table 10 CWTs exp'!C20</f>
        <v>54</v>
      </c>
      <c r="D20" s="75">
        <f>'[12]Table 10 CWTs exp'!D20</f>
        <v>4</v>
      </c>
      <c r="E20" t="str">
        <f>'[12]Table 10 CWTs exp'!E20</f>
        <v>Upper Sacramento River</v>
      </c>
      <c r="F20" s="37" t="str">
        <f>'[12]Table 10 CWTs exp'!F20</f>
        <v>Winter</v>
      </c>
      <c r="G20" s="144">
        <f>IF('[12]Table 10 CWTs exp'!G20/'[12]Table 10 CWTs exp'!$AA20&gt;0,'[12]Table 10 CWTs exp'!G20/'[12]Table 10 CWTs exp'!$AA20," ")</f>
        <v>0.34534572774735772</v>
      </c>
      <c r="H20" s="145" t="str">
        <f>IF('[12]Table 10 CWTs exp'!H20/'[12]Table 10 CWTs exp'!$AA20&gt;0,'[12]Table 10 CWTs exp'!H20/'[12]Table 10 CWTs exp'!$AA20," ")</f>
        <v xml:space="preserve"> </v>
      </c>
      <c r="I20" s="144" t="str">
        <f>IF('[12]Table 10 CWTs exp'!I20/'[12]Table 10 CWTs exp'!$AA20&gt;0,'[12]Table 10 CWTs exp'!I20/'[12]Table 10 CWTs exp'!$AA20," ")</f>
        <v xml:space="preserve"> </v>
      </c>
      <c r="J20" s="146" t="str">
        <f>IF('[12]Table 10 CWTs exp'!J20/'[12]Table 10 CWTs exp'!$AA20&gt;0,'[12]Table 10 CWTs exp'!J20/'[12]Table 10 CWTs exp'!$AA20," ")</f>
        <v xml:space="preserve"> </v>
      </c>
      <c r="K20" s="144" t="str">
        <f>IF('[12]Table 10 CWTs exp'!K20/'[12]Table 10 CWTs exp'!$AA20&gt;0,'[12]Table 10 CWTs exp'!K20/'[12]Table 10 CWTs exp'!$AA20," ")</f>
        <v xml:space="preserve"> </v>
      </c>
      <c r="L20" s="144" t="str">
        <f>IF('[12]Table 10 CWTs exp'!L20/'[12]Table 10 CWTs exp'!$AA20&gt;0,'[12]Table 10 CWTs exp'!L20/'[12]Table 10 CWTs exp'!$AA20," ")</f>
        <v xml:space="preserve"> </v>
      </c>
      <c r="M20" s="144" t="str">
        <f>IF('[12]Table 10 CWTs exp'!M20/'[12]Table 10 CWTs exp'!$AA20&gt;0,'[12]Table 10 CWTs exp'!M20/'[12]Table 10 CWTs exp'!$AA20," ")</f>
        <v xml:space="preserve"> </v>
      </c>
      <c r="N20" s="146" t="str">
        <f>IF('[12]Table 10 CWTs exp'!N20/'[12]Table 10 CWTs exp'!$AA20&gt;0,'[12]Table 10 CWTs exp'!N20/'[12]Table 10 CWTs exp'!$AA20," ")</f>
        <v xml:space="preserve"> </v>
      </c>
      <c r="O20" s="144" t="str">
        <f>IF('[12]Table 10 CWTs exp'!O20/'[12]Table 10 CWTs exp'!$AA20&gt;0,'[12]Table 10 CWTs exp'!O20/'[12]Table 10 CWTs exp'!$AA20," ")</f>
        <v xml:space="preserve"> </v>
      </c>
      <c r="P20" s="146" t="str">
        <f>IF('[12]Table 10 CWTs exp'!P20/'[12]Table 10 CWTs exp'!$AA20&gt;0,'[12]Table 10 CWTs exp'!P20/'[12]Table 10 CWTs exp'!$AA20," ")</f>
        <v xml:space="preserve"> </v>
      </c>
      <c r="Q20" s="144" t="str">
        <f>IF('[12]Table 10 CWTs exp'!Q20/'[12]Table 10 CWTs exp'!$AA20&gt;0,'[12]Table 10 CWTs exp'!Q20/'[12]Table 10 CWTs exp'!$AA20," ")</f>
        <v xml:space="preserve"> </v>
      </c>
      <c r="R20" s="144" t="str">
        <f>IF('[12]Table 10 CWTs exp'!R20/'[12]Table 10 CWTs exp'!$AA20&gt;0,'[12]Table 10 CWTs exp'!R20/'[12]Table 10 CWTs exp'!$AA20," ")</f>
        <v xml:space="preserve"> </v>
      </c>
      <c r="S20" s="144" t="str">
        <f>IF('[12]Table 10 CWTs exp'!S20/'[12]Table 10 CWTs exp'!$AA20&gt;0,'[12]Table 10 CWTs exp'!S20/'[12]Table 10 CWTs exp'!$AA20," ")</f>
        <v xml:space="preserve"> </v>
      </c>
      <c r="T20" s="146" t="str">
        <f>IF('[12]Table 10 CWTs exp'!T20/'[12]Table 10 CWTs exp'!$AA20&gt;0,'[12]Table 10 CWTs exp'!T20/'[12]Table 10 CWTs exp'!$AA20," ")</f>
        <v xml:space="preserve"> </v>
      </c>
      <c r="U20" s="144" t="str">
        <f>IF('[12]Table 10 CWTs exp'!U20/'[12]Table 10 CWTs exp'!$AA20&gt;0,'[12]Table 10 CWTs exp'!U20/'[12]Table 10 CWTs exp'!$AA20," ")</f>
        <v xml:space="preserve"> </v>
      </c>
      <c r="V20" s="146" t="str">
        <f>IF('[12]Table 10 CWTs exp'!V20/'[12]Table 10 CWTs exp'!$AA20&gt;0,'[12]Table 10 CWTs exp'!V20/'[12]Table 10 CWTs exp'!$AA20," ")</f>
        <v xml:space="preserve"> </v>
      </c>
      <c r="W20" s="146" t="str">
        <f>IF('[12]Table 10 CWTs exp'!W20/'[12]Table 10 CWTs exp'!$AA20&gt;0,'[12]Table 10 CWTs exp'!W20/'[12]Table 10 CWTs exp'!$AA20," ")</f>
        <v xml:space="preserve"> </v>
      </c>
      <c r="X20" s="144" t="str">
        <f>IF('[12]Table 10 CWTs exp'!X20/'[12]Table 10 CWTs exp'!$AA20&gt;0,'[12]Table 10 CWTs exp'!X20/'[12]Table 10 CWTs exp'!$AA20," ")</f>
        <v xml:space="preserve"> </v>
      </c>
      <c r="Y20" s="147">
        <f t="shared" ref="Y20:Y42" si="4">SUM(G20:X20)</f>
        <v>0.34534572774735772</v>
      </c>
      <c r="Z20" s="148">
        <f t="shared" ref="Z20:Z41" si="5">1-Y20</f>
        <v>0.65465427225264228</v>
      </c>
      <c r="AA20" s="38">
        <f>'[12]Table 10 CWTs exp'!AA20</f>
        <v>7853</v>
      </c>
      <c r="AC20" s="592">
        <f>'[12]Table 10 CWTs exp'!AD20</f>
        <v>0.34499999999999997</v>
      </c>
      <c r="AD20" s="592">
        <f t="shared" si="2"/>
        <v>3.4572774735774914E-4</v>
      </c>
      <c r="AE20" s="593" t="str">
        <f t="shared" si="3"/>
        <v>USAC544</v>
      </c>
      <c r="AF20" s="442"/>
      <c r="AG20" s="442"/>
      <c r="AH20" s="648"/>
      <c r="AI20" s="454"/>
      <c r="AJ20" s="442"/>
      <c r="AK20" s="442"/>
      <c r="AL20" s="442"/>
    </row>
    <row r="21" spans="1:38" ht="14.25" customHeight="1" x14ac:dyDescent="0.25">
      <c r="A21" s="54" t="str">
        <f>'[12]Table 10 CWTs exp'!A21</f>
        <v>BUTT541</v>
      </c>
      <c r="B21" s="75" t="str">
        <f>'[12]Table 10 CWTs exp'!B21</f>
        <v>BUTT</v>
      </c>
      <c r="C21" s="75">
        <f>'[12]Table 10 CWTs exp'!C21</f>
        <v>54</v>
      </c>
      <c r="D21" s="75">
        <f>'[12]Table 10 CWTs exp'!D21</f>
        <v>1</v>
      </c>
      <c r="E21" t="str">
        <f>'[12]Table 10 CWTs exp'!E21</f>
        <v>Butte Creek</v>
      </c>
      <c r="F21" s="37" t="str">
        <f>'[12]Table 10 CWTs exp'!F21</f>
        <v>Spring</v>
      </c>
      <c r="G21" s="144" t="str">
        <f>IF('[12]Table 10 CWTs exp'!G21/'[12]Table 10 CWTs exp'!$AA21&gt;0,'[12]Table 10 CWTs exp'!G21/'[12]Table 10 CWTs exp'!$AA21," ")</f>
        <v xml:space="preserve"> </v>
      </c>
      <c r="H21" s="145" t="str">
        <f>IF('[12]Table 10 CWTs exp'!H21/'[12]Table 10 CWTs exp'!$AA21&gt;0,'[12]Table 10 CWTs exp'!H21/'[12]Table 10 CWTs exp'!$AA21," ")</f>
        <v xml:space="preserve"> </v>
      </c>
      <c r="I21" s="144" t="str">
        <f>IF('[12]Table 10 CWTs exp'!I21/'[12]Table 10 CWTs exp'!$AA21&gt;0,'[12]Table 10 CWTs exp'!I21/'[12]Table 10 CWTs exp'!$AA21," ")</f>
        <v xml:space="preserve"> </v>
      </c>
      <c r="J21" s="146" t="str">
        <f>IF('[12]Table 10 CWTs exp'!J21/'[12]Table 10 CWTs exp'!$AA21&gt;0,'[12]Table 10 CWTs exp'!J21/'[12]Table 10 CWTs exp'!$AA21," ")</f>
        <v xml:space="preserve"> </v>
      </c>
      <c r="K21" s="144" t="str">
        <f>IF('[12]Table 10 CWTs exp'!K21/'[12]Table 10 CWTs exp'!$AA21&gt;0,'[12]Table 10 CWTs exp'!K21/'[12]Table 10 CWTs exp'!$AA21," ")</f>
        <v xml:space="preserve"> </v>
      </c>
      <c r="L21" s="144" t="str">
        <f>IF('[12]Table 10 CWTs exp'!L21/'[12]Table 10 CWTs exp'!$AA21&gt;0,'[12]Table 10 CWTs exp'!L21/'[12]Table 10 CWTs exp'!$AA21," ")</f>
        <v xml:space="preserve"> </v>
      </c>
      <c r="M21" s="144" t="str">
        <f>IF('[12]Table 10 CWTs exp'!M21/'[12]Table 10 CWTs exp'!$AA21&gt;0,'[12]Table 10 CWTs exp'!M21/'[12]Table 10 CWTs exp'!$AA21," ")</f>
        <v xml:space="preserve"> </v>
      </c>
      <c r="N21" s="146" t="str">
        <f>IF('[12]Table 10 CWTs exp'!N21/'[12]Table 10 CWTs exp'!$AA21&gt;0,'[12]Table 10 CWTs exp'!N21/'[12]Table 10 CWTs exp'!$AA21," ")</f>
        <v xml:space="preserve"> </v>
      </c>
      <c r="O21" s="144" t="str">
        <f>IF('[12]Table 10 CWTs exp'!O21/'[12]Table 10 CWTs exp'!$AA21&gt;0,'[12]Table 10 CWTs exp'!O21/'[12]Table 10 CWTs exp'!$AA21," ")</f>
        <v xml:space="preserve"> </v>
      </c>
      <c r="P21" s="146" t="str">
        <f>IF('[12]Table 10 CWTs exp'!P21/'[12]Table 10 CWTs exp'!$AA21&gt;0,'[12]Table 10 CWTs exp'!P21/'[12]Table 10 CWTs exp'!$AA21," ")</f>
        <v xml:space="preserve"> </v>
      </c>
      <c r="Q21" s="144" t="str">
        <f>IF('[12]Table 10 CWTs exp'!Q21/'[12]Table 10 CWTs exp'!$AA21&gt;0,'[12]Table 10 CWTs exp'!Q21/'[12]Table 10 CWTs exp'!$AA21," ")</f>
        <v xml:space="preserve"> </v>
      </c>
      <c r="R21" s="144" t="str">
        <f>IF('[12]Table 10 CWTs exp'!R21/'[12]Table 10 CWTs exp'!$AA21&gt;0,'[12]Table 10 CWTs exp'!R21/'[12]Table 10 CWTs exp'!$AA21," ")</f>
        <v xml:space="preserve"> </v>
      </c>
      <c r="S21" s="144" t="str">
        <f>IF('[12]Table 10 CWTs exp'!S21/'[12]Table 10 CWTs exp'!$AA21&gt;0,'[12]Table 10 CWTs exp'!S21/'[12]Table 10 CWTs exp'!$AA21," ")</f>
        <v xml:space="preserve"> </v>
      </c>
      <c r="T21" s="146" t="str">
        <f>IF('[12]Table 10 CWTs exp'!T21/'[12]Table 10 CWTs exp'!$AA21&gt;0,'[12]Table 10 CWTs exp'!T21/'[12]Table 10 CWTs exp'!$AA21," ")</f>
        <v xml:space="preserve"> </v>
      </c>
      <c r="U21" s="144" t="str">
        <f>IF('[12]Table 10 CWTs exp'!U21/'[12]Table 10 CWTs exp'!$AA21&gt;0,'[12]Table 10 CWTs exp'!U21/'[12]Table 10 CWTs exp'!$AA21," ")</f>
        <v xml:space="preserve"> </v>
      </c>
      <c r="V21" s="146" t="str">
        <f>IF('[12]Table 10 CWTs exp'!V21/'[12]Table 10 CWTs exp'!$AA21&gt;0,'[12]Table 10 CWTs exp'!V21/'[12]Table 10 CWTs exp'!$AA21," ")</f>
        <v xml:space="preserve"> </v>
      </c>
      <c r="W21" s="146" t="str">
        <f>IF('[12]Table 10 CWTs exp'!W21/'[12]Table 10 CWTs exp'!$AA21&gt;0,'[12]Table 10 CWTs exp'!W21/'[12]Table 10 CWTs exp'!$AA21," ")</f>
        <v xml:space="preserve"> </v>
      </c>
      <c r="X21" s="144" t="str">
        <f>IF('[12]Table 10 CWTs exp'!X21/'[12]Table 10 CWTs exp'!$AA21&gt;0,'[12]Table 10 CWTs exp'!X21/'[12]Table 10 CWTs exp'!$AA21," ")</f>
        <v xml:space="preserve"> </v>
      </c>
      <c r="Y21" s="147">
        <f t="shared" si="4"/>
        <v>0</v>
      </c>
      <c r="Z21" s="148">
        <f t="shared" si="5"/>
        <v>1</v>
      </c>
      <c r="AA21" s="38">
        <f>'[12]Table 10 CWTs exp'!AA21</f>
        <v>14860</v>
      </c>
      <c r="AC21" s="592">
        <f>'[12]Table 10 CWTs exp'!AD21</f>
        <v>0</v>
      </c>
      <c r="AD21" s="592">
        <f t="shared" si="2"/>
        <v>0</v>
      </c>
      <c r="AE21" s="593" t="str">
        <f t="shared" si="3"/>
        <v>BUTT541</v>
      </c>
      <c r="AF21" s="442"/>
      <c r="AG21" s="442"/>
      <c r="AH21" s="648"/>
      <c r="AI21" s="454"/>
      <c r="AJ21" s="442"/>
      <c r="AK21" s="442"/>
      <c r="AL21" s="442"/>
    </row>
    <row r="22" spans="1:38" ht="14.25" customHeight="1" x14ac:dyDescent="0.25">
      <c r="A22" s="54" t="str">
        <f>'[12]Table 10 CWTs exp'!A22</f>
        <v>UPSJ541</v>
      </c>
      <c r="B22" s="75" t="str">
        <f>'[12]Table 10 CWTs exp'!B22</f>
        <v>UPSJ</v>
      </c>
      <c r="C22" s="75">
        <f>'[12]Table 10 CWTs exp'!C22</f>
        <v>54</v>
      </c>
      <c r="D22" s="75">
        <f>'[12]Table 10 CWTs exp'!D22</f>
        <v>1</v>
      </c>
      <c r="E22" t="str">
        <f>'[12]Table 10 CWTs exp'!E22</f>
        <v>Upper San Joaquin River</v>
      </c>
      <c r="F22" s="37" t="str">
        <f>'[12]Table 10 CWTs exp'!F22</f>
        <v>Spring</v>
      </c>
      <c r="G22" s="144" t="str">
        <f>IF('[12]Table 10 CWTs exp'!G22/'[12]Table 10 CWTs exp'!$AA22&gt;0,'[12]Table 10 CWTs exp'!G22/'[12]Table 10 CWTs exp'!$AA22," ")</f>
        <v xml:space="preserve"> </v>
      </c>
      <c r="H22" s="145" t="str">
        <f>IF('[12]Table 10 CWTs exp'!H22/'[12]Table 10 CWTs exp'!$AA22&gt;0,'[12]Table 10 CWTs exp'!H22/'[12]Table 10 CWTs exp'!$AA22," ")</f>
        <v xml:space="preserve"> </v>
      </c>
      <c r="I22" s="144" t="str">
        <f>IF('[12]Table 10 CWTs exp'!I22/'[12]Table 10 CWTs exp'!$AA22&gt;0,'[12]Table 10 CWTs exp'!I22/'[12]Table 10 CWTs exp'!$AA22," ")</f>
        <v xml:space="preserve"> </v>
      </c>
      <c r="J22" s="146" t="str">
        <f>IF('[12]Table 10 CWTs exp'!J22/'[12]Table 10 CWTs exp'!$AA22&gt;0,'[12]Table 10 CWTs exp'!J22/'[12]Table 10 CWTs exp'!$AA22," ")</f>
        <v xml:space="preserve"> </v>
      </c>
      <c r="K22" s="144" t="str">
        <f>IF('[12]Table 10 CWTs exp'!K22/'[12]Table 10 CWTs exp'!$AA22&gt;0,'[12]Table 10 CWTs exp'!K22/'[12]Table 10 CWTs exp'!$AA22," ")</f>
        <v xml:space="preserve"> </v>
      </c>
      <c r="L22" s="144" t="str">
        <f>IF('[12]Table 10 CWTs exp'!L22/'[12]Table 10 CWTs exp'!$AA22&gt;0,'[12]Table 10 CWTs exp'!L22/'[12]Table 10 CWTs exp'!$AA22," ")</f>
        <v xml:space="preserve"> </v>
      </c>
      <c r="M22" s="144" t="str">
        <f>IF('[12]Table 10 CWTs exp'!M22/'[12]Table 10 CWTs exp'!$AA22&gt;0,'[12]Table 10 CWTs exp'!M22/'[12]Table 10 CWTs exp'!$AA22," ")</f>
        <v xml:space="preserve"> </v>
      </c>
      <c r="N22" s="146" t="str">
        <f>IF('[12]Table 10 CWTs exp'!N22/'[12]Table 10 CWTs exp'!$AA22&gt;0,'[12]Table 10 CWTs exp'!N22/'[12]Table 10 CWTs exp'!$AA22," ")</f>
        <v xml:space="preserve"> </v>
      </c>
      <c r="O22" s="144" t="str">
        <f>IF('[12]Table 10 CWTs exp'!O22/'[12]Table 10 CWTs exp'!$AA22&gt;0,'[12]Table 10 CWTs exp'!O22/'[12]Table 10 CWTs exp'!$AA22," ")</f>
        <v xml:space="preserve"> </v>
      </c>
      <c r="P22" s="146" t="str">
        <f>IF('[12]Table 10 CWTs exp'!P22/'[12]Table 10 CWTs exp'!$AA22&gt;0,'[12]Table 10 CWTs exp'!P22/'[12]Table 10 CWTs exp'!$AA22," ")</f>
        <v xml:space="preserve"> </v>
      </c>
      <c r="Q22" s="144" t="str">
        <f>IF('[12]Table 10 CWTs exp'!Q22/'[12]Table 10 CWTs exp'!$AA22&gt;0,'[12]Table 10 CWTs exp'!Q22/'[12]Table 10 CWTs exp'!$AA22," ")</f>
        <v xml:space="preserve"> </v>
      </c>
      <c r="R22" s="144" t="str">
        <f>IF('[12]Table 10 CWTs exp'!R22/'[12]Table 10 CWTs exp'!$AA22&gt;0,'[12]Table 10 CWTs exp'!R22/'[12]Table 10 CWTs exp'!$AA22," ")</f>
        <v xml:space="preserve"> </v>
      </c>
      <c r="S22" s="144" t="str">
        <f>IF('[12]Table 10 CWTs exp'!S22/'[12]Table 10 CWTs exp'!$AA22&gt;0,'[12]Table 10 CWTs exp'!S22/'[12]Table 10 CWTs exp'!$AA22," ")</f>
        <v xml:space="preserve"> </v>
      </c>
      <c r="T22" s="146" t="str">
        <f>IF('[12]Table 10 CWTs exp'!T22/'[12]Table 10 CWTs exp'!$AA22&gt;0,'[12]Table 10 CWTs exp'!T22/'[12]Table 10 CWTs exp'!$AA22," ")</f>
        <v xml:space="preserve"> </v>
      </c>
      <c r="U22" s="144" t="str">
        <f>IF('[12]Table 10 CWTs exp'!U22/'[12]Table 10 CWTs exp'!$AA22&gt;0,'[12]Table 10 CWTs exp'!U22/'[12]Table 10 CWTs exp'!$AA22," ")</f>
        <v xml:space="preserve"> </v>
      </c>
      <c r="V22" s="146" t="str">
        <f>IF('[12]Table 10 CWTs exp'!V22/'[12]Table 10 CWTs exp'!$AA22&gt;0,'[12]Table 10 CWTs exp'!V22/'[12]Table 10 CWTs exp'!$AA22," ")</f>
        <v xml:space="preserve"> </v>
      </c>
      <c r="W22" s="146">
        <f>IF('[12]Table 10 CWTs exp'!W22/'[12]Table 10 CWTs exp'!$AA22&gt;0,'[12]Table 10 CWTs exp'!W22/'[12]Table 10 CWTs exp'!$AA22," ")</f>
        <v>0.9419354838709677</v>
      </c>
      <c r="X22" s="144" t="str">
        <f>IF('[12]Table 10 CWTs exp'!X22/'[12]Table 10 CWTs exp'!$AA22&gt;0,'[12]Table 10 CWTs exp'!X22/'[12]Table 10 CWTs exp'!$AA22," ")</f>
        <v xml:space="preserve"> </v>
      </c>
      <c r="Y22" s="147">
        <f t="shared" si="4"/>
        <v>0.9419354838709677</v>
      </c>
      <c r="Z22" s="148">
        <f t="shared" si="5"/>
        <v>5.8064516129032295E-2</v>
      </c>
      <c r="AA22" s="38">
        <f>'[12]Table 10 CWTs exp'!AA22</f>
        <v>155</v>
      </c>
      <c r="AC22" s="592">
        <f>'[12]Table 10 CWTs exp'!AD22</f>
        <v>0.94199999999999995</v>
      </c>
      <c r="AD22" s="592">
        <f t="shared" si="2"/>
        <v>-6.4516129032243796E-5</v>
      </c>
      <c r="AE22" s="593" t="str">
        <f t="shared" si="3"/>
        <v>UPSJ541</v>
      </c>
      <c r="AF22" s="442"/>
      <c r="AG22" s="442"/>
      <c r="AH22" s="648"/>
      <c r="AI22" s="454"/>
      <c r="AJ22" s="442"/>
      <c r="AK22" s="442"/>
      <c r="AL22" s="442"/>
    </row>
    <row r="23" spans="1:38" ht="14.5" customHeight="1" x14ac:dyDescent="0.25">
      <c r="A23" s="54" t="str">
        <f>'[12]Table 10 CWTs exp'!A23</f>
        <v>USAC543</v>
      </c>
      <c r="B23" s="75" t="str">
        <f>'[12]Table 10 CWTs exp'!B23</f>
        <v>USAC</v>
      </c>
      <c r="C23" s="75">
        <f>'[12]Table 10 CWTs exp'!C23</f>
        <v>54</v>
      </c>
      <c r="D23" s="75">
        <f>'[12]Table 10 CWTs exp'!D23</f>
        <v>3</v>
      </c>
      <c r="E23" t="str">
        <f>'[12]Table 10 CWTs exp'!E23</f>
        <v>Upper Sacramento River</v>
      </c>
      <c r="F23" s="37" t="str">
        <f>'[12]Table 10 CWTs exp'!F23</f>
        <v>Fall</v>
      </c>
      <c r="G23" s="144" t="str">
        <f>IF('[12]Table 10 CWTs exp'!G23/'[12]Table 10 CWTs exp'!$AA23&gt;0,'[12]Table 10 CWTs exp'!G23/'[12]Table 10 CWTs exp'!$AA23," ")</f>
        <v xml:space="preserve"> </v>
      </c>
      <c r="H23" s="145" t="str">
        <f>IF('[12]Table 10 CWTs exp'!H23/'[12]Table 10 CWTs exp'!$AA23&gt;0,'[12]Table 10 CWTs exp'!H23/'[12]Table 10 CWTs exp'!$AA23," ")</f>
        <v xml:space="preserve"> </v>
      </c>
      <c r="I23" s="144">
        <f>IF('[12]Table 10 CWTs exp'!I23/'[12]Table 10 CWTs exp'!$AA23&gt;0,'[12]Table 10 CWTs exp'!I23/'[12]Table 10 CWTs exp'!$AA23," ")</f>
        <v>3.67932627447774E-2</v>
      </c>
      <c r="J23" s="146" t="str">
        <f>IF('[12]Table 10 CWTs exp'!J23/'[12]Table 10 CWTs exp'!$AA23&gt;0,'[12]Table 10 CWTs exp'!J23/'[12]Table 10 CWTs exp'!$AA23," ")</f>
        <v xml:space="preserve"> </v>
      </c>
      <c r="K23" s="144">
        <f>IF('[12]Table 10 CWTs exp'!K23/'[12]Table 10 CWTs exp'!$AA23&gt;0,'[12]Table 10 CWTs exp'!K23/'[12]Table 10 CWTs exp'!$AA23," ")</f>
        <v>5.3145823964678468E-4</v>
      </c>
      <c r="L23" s="144" t="str">
        <f>IF('[12]Table 10 CWTs exp'!L23/'[12]Table 10 CWTs exp'!$AA23&gt;0,'[12]Table 10 CWTs exp'!L23/'[12]Table 10 CWTs exp'!$AA23," ")</f>
        <v xml:space="preserve"> </v>
      </c>
      <c r="M23" s="144">
        <f>IF('[12]Table 10 CWTs exp'!M23/'[12]Table 10 CWTs exp'!$AA23&gt;0,'[12]Table 10 CWTs exp'!M23/'[12]Table 10 CWTs exp'!$AA23," ")</f>
        <v>7.8901107886022656E-3</v>
      </c>
      <c r="N23" s="146">
        <f>IF('[12]Table 10 CWTs exp'!N23/'[12]Table 10 CWTs exp'!$AA23&gt;0,'[12]Table 10 CWTs exp'!N23/'[12]Table 10 CWTs exp'!$AA23," ")</f>
        <v>6.1322104574628999E-3</v>
      </c>
      <c r="O23" s="144" t="str">
        <f>IF('[12]Table 10 CWTs exp'!O23/'[12]Table 10 CWTs exp'!$AA23&gt;0,'[12]Table 10 CWTs exp'!O23/'[12]Table 10 CWTs exp'!$AA23," ")</f>
        <v xml:space="preserve"> </v>
      </c>
      <c r="P23" s="146" t="str">
        <f>IF('[12]Table 10 CWTs exp'!P23/'[12]Table 10 CWTs exp'!$AA23&gt;0,'[12]Table 10 CWTs exp'!P23/'[12]Table 10 CWTs exp'!$AA23," ")</f>
        <v xml:space="preserve"> </v>
      </c>
      <c r="Q23" s="144" t="str">
        <f>IF('[12]Table 10 CWTs exp'!Q23/'[12]Table 10 CWTs exp'!$AA23&gt;0,'[12]Table 10 CWTs exp'!Q23/'[12]Table 10 CWTs exp'!$AA23," ")</f>
        <v xml:space="preserve"> </v>
      </c>
      <c r="R23" s="144" t="str">
        <f>IF('[12]Table 10 CWTs exp'!R23/'[12]Table 10 CWTs exp'!$AA23&gt;0,'[12]Table 10 CWTs exp'!R23/'[12]Table 10 CWTs exp'!$AA23," ")</f>
        <v xml:space="preserve"> </v>
      </c>
      <c r="S23" s="144">
        <f>IF('[12]Table 10 CWTs exp'!S23/'[12]Table 10 CWTs exp'!$AA23&gt;0,'[12]Table 10 CWTs exp'!S23/'[12]Table 10 CWTs exp'!$AA23," ")</f>
        <v>5.3145823964678468E-4</v>
      </c>
      <c r="T23" s="146">
        <f>IF('[12]Table 10 CWTs exp'!T23/'[12]Table 10 CWTs exp'!$AA23&gt;0,'[12]Table 10 CWTs exp'!T23/'[12]Table 10 CWTs exp'!$AA23," ")</f>
        <v>4.9057683659703205E-4</v>
      </c>
      <c r="U23" s="144" t="str">
        <f>IF('[12]Table 10 CWTs exp'!U23/'[12]Table 10 CWTs exp'!$AA23&gt;0,'[12]Table 10 CWTs exp'!U23/'[12]Table 10 CWTs exp'!$AA23," ")</f>
        <v xml:space="preserve"> </v>
      </c>
      <c r="V23" s="146" t="str">
        <f>IF('[12]Table 10 CWTs exp'!V23/'[12]Table 10 CWTs exp'!$AA23&gt;0,'[12]Table 10 CWTs exp'!V23/'[12]Table 10 CWTs exp'!$AA23," ")</f>
        <v xml:space="preserve"> </v>
      </c>
      <c r="W23" s="146" t="str">
        <f>IF('[12]Table 10 CWTs exp'!W23/'[12]Table 10 CWTs exp'!$AA23&gt;0,'[12]Table 10 CWTs exp'!W23/'[12]Table 10 CWTs exp'!$AA23," ")</f>
        <v xml:space="preserve"> </v>
      </c>
      <c r="X23" s="144" t="str">
        <f>IF('[12]Table 10 CWTs exp'!X23/'[12]Table 10 CWTs exp'!$AA23&gt;0,'[12]Table 10 CWTs exp'!X23/'[12]Table 10 CWTs exp'!$AA23," ")</f>
        <v xml:space="preserve"> </v>
      </c>
      <c r="Y23" s="147">
        <f t="shared" si="4"/>
        <v>5.2369077306733174E-2</v>
      </c>
      <c r="Z23" s="148">
        <f t="shared" si="5"/>
        <v>0.94763092269326688</v>
      </c>
      <c r="AA23" s="38">
        <f>'[12]Table 10 CWTs exp'!AA23</f>
        <v>24461</v>
      </c>
      <c r="AC23" s="592">
        <f>'[12]Table 10 CWTs exp'!AD23</f>
        <v>5.1999999999999998E-2</v>
      </c>
      <c r="AD23" s="592">
        <f t="shared" si="2"/>
        <v>3.6907730673317596E-4</v>
      </c>
      <c r="AE23" s="593" t="str">
        <f t="shared" si="3"/>
        <v>USAC543</v>
      </c>
      <c r="AF23" s="442"/>
      <c r="AG23" s="442"/>
      <c r="AH23" s="648"/>
      <c r="AI23" s="454"/>
      <c r="AJ23" s="442"/>
      <c r="AK23" s="442"/>
      <c r="AL23" s="442"/>
    </row>
    <row r="24" spans="1:38" ht="14.25" customHeight="1" x14ac:dyDescent="0.25">
      <c r="A24" s="54" t="str">
        <f>'[12]Table 10 CWTs exp'!A24</f>
        <v>CLR543</v>
      </c>
      <c r="B24" s="75" t="str">
        <f>'[12]Table 10 CWTs exp'!B24</f>
        <v>CLR</v>
      </c>
      <c r="C24" s="75">
        <f>'[12]Table 10 CWTs exp'!C24</f>
        <v>54</v>
      </c>
      <c r="D24" s="75">
        <f>'[12]Table 10 CWTs exp'!D24</f>
        <v>3</v>
      </c>
      <c r="E24" t="str">
        <f>'[12]Table 10 CWTs exp'!E24</f>
        <v>Clear Creek</v>
      </c>
      <c r="F24" s="37" t="str">
        <f>'[12]Table 10 CWTs exp'!F24</f>
        <v>Fall</v>
      </c>
      <c r="G24" s="144" t="str">
        <f>IF('[12]Table 10 CWTs exp'!G24/'[12]Table 10 CWTs exp'!$AA24&gt;0,'[12]Table 10 CWTs exp'!G24/'[12]Table 10 CWTs exp'!$AA24," ")</f>
        <v xml:space="preserve"> </v>
      </c>
      <c r="H24" s="145" t="str">
        <f>IF('[12]Table 10 CWTs exp'!H24/'[12]Table 10 CWTs exp'!$AA24&gt;0,'[12]Table 10 CWTs exp'!H24/'[12]Table 10 CWTs exp'!$AA24," ")</f>
        <v xml:space="preserve"> </v>
      </c>
      <c r="I24" s="144">
        <f>IF('[12]Table 10 CWTs exp'!I24/'[12]Table 10 CWTs exp'!$AA24&gt;0,'[12]Table 10 CWTs exp'!I24/'[12]Table 10 CWTs exp'!$AA24," ")</f>
        <v>0.14548319327731093</v>
      </c>
      <c r="J24" s="146" t="str">
        <f>IF('[12]Table 10 CWTs exp'!J24/'[12]Table 10 CWTs exp'!$AA24&gt;0,'[12]Table 10 CWTs exp'!J24/'[12]Table 10 CWTs exp'!$AA24," ")</f>
        <v xml:space="preserve"> </v>
      </c>
      <c r="K24" s="144">
        <f>IF('[12]Table 10 CWTs exp'!K24/'[12]Table 10 CWTs exp'!$AA24&gt;0,'[12]Table 10 CWTs exp'!K24/'[12]Table 10 CWTs exp'!$AA24," ")</f>
        <v>1.7507002801120449E-3</v>
      </c>
      <c r="L24" s="144" t="str">
        <f>IF('[12]Table 10 CWTs exp'!L24/'[12]Table 10 CWTs exp'!$AA24&gt;0,'[12]Table 10 CWTs exp'!L24/'[12]Table 10 CWTs exp'!$AA24," ")</f>
        <v xml:space="preserve"> </v>
      </c>
      <c r="M24" s="144">
        <f>IF('[12]Table 10 CWTs exp'!M24/'[12]Table 10 CWTs exp'!$AA24&gt;0,'[12]Table 10 CWTs exp'!M24/'[12]Table 10 CWTs exp'!$AA24," ")</f>
        <v>6.8277310924369748E-3</v>
      </c>
      <c r="N24" s="146">
        <f>IF('[12]Table 10 CWTs exp'!N24/'[12]Table 10 CWTs exp'!$AA24&gt;0,'[12]Table 10 CWTs exp'!N24/'[12]Table 10 CWTs exp'!$AA24," ")</f>
        <v>2.0833333333333332E-2</v>
      </c>
      <c r="O24" s="144" t="str">
        <f>IF('[12]Table 10 CWTs exp'!O24/'[12]Table 10 CWTs exp'!$AA24&gt;0,'[12]Table 10 CWTs exp'!O24/'[12]Table 10 CWTs exp'!$AA24," ")</f>
        <v xml:space="preserve"> </v>
      </c>
      <c r="P24" s="146" t="str">
        <f>IF('[12]Table 10 CWTs exp'!P24/'[12]Table 10 CWTs exp'!$AA24&gt;0,'[12]Table 10 CWTs exp'!P24/'[12]Table 10 CWTs exp'!$AA24," ")</f>
        <v xml:space="preserve"> </v>
      </c>
      <c r="Q24" s="144" t="str">
        <f>IF('[12]Table 10 CWTs exp'!Q24/'[12]Table 10 CWTs exp'!$AA24&gt;0,'[12]Table 10 CWTs exp'!Q24/'[12]Table 10 CWTs exp'!$AA24," ")</f>
        <v xml:space="preserve"> </v>
      </c>
      <c r="R24" s="144">
        <f>IF('[12]Table 10 CWTs exp'!R24/'[12]Table 10 CWTs exp'!$AA24&gt;0,'[12]Table 10 CWTs exp'!R24/'[12]Table 10 CWTs exp'!$AA24," ")</f>
        <v>6.8277310924369748E-3</v>
      </c>
      <c r="S24" s="144" t="str">
        <f>IF('[12]Table 10 CWTs exp'!S24/'[12]Table 10 CWTs exp'!$AA24&gt;0,'[12]Table 10 CWTs exp'!S24/'[12]Table 10 CWTs exp'!$AA24," ")</f>
        <v xml:space="preserve"> </v>
      </c>
      <c r="T24" s="146">
        <f>IF('[12]Table 10 CWTs exp'!T24/'[12]Table 10 CWTs exp'!$AA24&gt;0,'[12]Table 10 CWTs exp'!T24/'[12]Table 10 CWTs exp'!$AA24," ")</f>
        <v>1.7507002801120449E-3</v>
      </c>
      <c r="U24" s="144" t="str">
        <f>IF('[12]Table 10 CWTs exp'!U24/'[12]Table 10 CWTs exp'!$AA24&gt;0,'[12]Table 10 CWTs exp'!U24/'[12]Table 10 CWTs exp'!$AA24," ")</f>
        <v xml:space="preserve"> </v>
      </c>
      <c r="V24" s="146" t="str">
        <f>IF('[12]Table 10 CWTs exp'!V24/'[12]Table 10 CWTs exp'!$AA24&gt;0,'[12]Table 10 CWTs exp'!V24/'[12]Table 10 CWTs exp'!$AA24," ")</f>
        <v xml:space="preserve"> </v>
      </c>
      <c r="W24" s="146" t="str">
        <f>IF('[12]Table 10 CWTs exp'!W24/'[12]Table 10 CWTs exp'!$AA24&gt;0,'[12]Table 10 CWTs exp'!W24/'[12]Table 10 CWTs exp'!$AA24," ")</f>
        <v xml:space="preserve"> </v>
      </c>
      <c r="X24" s="144" t="str">
        <f>IF('[12]Table 10 CWTs exp'!X24/'[12]Table 10 CWTs exp'!$AA24&gt;0,'[12]Table 10 CWTs exp'!X24/'[12]Table 10 CWTs exp'!$AA24," ")</f>
        <v xml:space="preserve"> </v>
      </c>
      <c r="Y24" s="147">
        <f t="shared" si="4"/>
        <v>0.18347338935574231</v>
      </c>
      <c r="Z24" s="148">
        <f t="shared" si="5"/>
        <v>0.81652661064425769</v>
      </c>
      <c r="AA24" s="38">
        <f>'[12]Table 10 CWTs exp'!AA24</f>
        <v>5712</v>
      </c>
      <c r="AC24" s="592">
        <f>'[12]Table 10 CWTs exp'!AD24</f>
        <v>0.183</v>
      </c>
      <c r="AD24" s="592">
        <f t="shared" si="2"/>
        <v>4.7338935574231522E-4</v>
      </c>
      <c r="AE24" s="593" t="str">
        <f t="shared" si="3"/>
        <v>CLR543</v>
      </c>
      <c r="AF24" s="442"/>
      <c r="AG24" s="442"/>
      <c r="AH24" s="648"/>
      <c r="AI24" s="454"/>
      <c r="AJ24" s="442"/>
      <c r="AK24" s="442"/>
      <c r="AL24" s="442"/>
    </row>
    <row r="25" spans="1:38" ht="14.5" customHeight="1" x14ac:dyDescent="0.25">
      <c r="A25" s="54" t="str">
        <f>'[12]Table 10 CWTs exp'!A25</f>
        <v>BATT543</v>
      </c>
      <c r="B25" s="75" t="str">
        <f>'[12]Table 10 CWTs exp'!B25</f>
        <v>BATT</v>
      </c>
      <c r="C25" s="75">
        <f>'[12]Table 10 CWTs exp'!C25</f>
        <v>54</v>
      </c>
      <c r="D25" s="75">
        <f>'[12]Table 10 CWTs exp'!D25</f>
        <v>3</v>
      </c>
      <c r="E25" s="75" t="s">
        <v>136</v>
      </c>
      <c r="F25" s="37" t="str">
        <f>'[12]Table 10 CWTs exp'!F25</f>
        <v>Fall</v>
      </c>
      <c r="G25" s="144" t="str">
        <f>IF('[12]Table 10 CWTs exp'!G25/'[12]Table 10 CWTs exp'!$AA25&gt;0,'[12]Table 10 CWTs exp'!G25/'[12]Table 10 CWTs exp'!$AA25," ")</f>
        <v xml:space="preserve"> </v>
      </c>
      <c r="H25" s="145" t="str">
        <f>IF('[12]Table 10 CWTs exp'!H25/'[12]Table 10 CWTs exp'!$AA25&gt;0,'[12]Table 10 CWTs exp'!H25/'[12]Table 10 CWTs exp'!$AA25," ")</f>
        <v xml:space="preserve"> </v>
      </c>
      <c r="I25" s="144">
        <f>IF('[12]Table 10 CWTs exp'!I25/'[12]Table 10 CWTs exp'!$AA25&gt;0,'[12]Table 10 CWTs exp'!I25/'[12]Table 10 CWTs exp'!$AA25," ")</f>
        <v>0.8968622754491018</v>
      </c>
      <c r="J25" s="146" t="str">
        <f>IF('[12]Table 10 CWTs exp'!J25/'[12]Table 10 CWTs exp'!$AA25&gt;0,'[12]Table 10 CWTs exp'!J25/'[12]Table 10 CWTs exp'!$AA25," ")</f>
        <v xml:space="preserve"> </v>
      </c>
      <c r="K25" s="144" t="str">
        <f>IF('[12]Table 10 CWTs exp'!K25/'[12]Table 10 CWTs exp'!$AA25&gt;0,'[12]Table 10 CWTs exp'!K25/'[12]Table 10 CWTs exp'!$AA25," ")</f>
        <v xml:space="preserve"> </v>
      </c>
      <c r="L25" s="144">
        <f>IF('[12]Table 10 CWTs exp'!L25/'[12]Table 10 CWTs exp'!$AA25&gt;0,'[12]Table 10 CWTs exp'!L25/'[12]Table 10 CWTs exp'!$AA25," ")</f>
        <v>1.4371257485029941E-4</v>
      </c>
      <c r="M25" s="144">
        <f>IF('[12]Table 10 CWTs exp'!M25/'[12]Table 10 CWTs exp'!$AA25&gt;0,'[12]Table 10 CWTs exp'!M25/'[12]Table 10 CWTs exp'!$AA25," ")</f>
        <v>5.7485029940119764E-4</v>
      </c>
      <c r="N25" s="146">
        <f>IF('[12]Table 10 CWTs exp'!N25/'[12]Table 10 CWTs exp'!$AA25&gt;0,'[12]Table 10 CWTs exp'!N25/'[12]Table 10 CWTs exp'!$AA25," ")</f>
        <v>2.8742514970059882E-4</v>
      </c>
      <c r="O25" s="144" t="str">
        <f>IF('[12]Table 10 CWTs exp'!O25/'[12]Table 10 CWTs exp'!$AA25&gt;0,'[12]Table 10 CWTs exp'!O25/'[12]Table 10 CWTs exp'!$AA25," ")</f>
        <v xml:space="preserve"> </v>
      </c>
      <c r="P25" s="146" t="str">
        <f>IF('[12]Table 10 CWTs exp'!P25/'[12]Table 10 CWTs exp'!$AA25&gt;0,'[12]Table 10 CWTs exp'!P25/'[12]Table 10 CWTs exp'!$AA25," ")</f>
        <v xml:space="preserve"> </v>
      </c>
      <c r="Q25" s="144" t="str">
        <f>IF('[12]Table 10 CWTs exp'!Q25/'[12]Table 10 CWTs exp'!$AA25&gt;0,'[12]Table 10 CWTs exp'!Q25/'[12]Table 10 CWTs exp'!$AA25," ")</f>
        <v xml:space="preserve"> </v>
      </c>
      <c r="R25" s="144" t="str">
        <f>IF('[12]Table 10 CWTs exp'!R25/'[12]Table 10 CWTs exp'!$AA25&gt;0,'[12]Table 10 CWTs exp'!R25/'[12]Table 10 CWTs exp'!$AA25," ")</f>
        <v xml:space="preserve"> </v>
      </c>
      <c r="S25" s="144">
        <f>IF('[12]Table 10 CWTs exp'!S25/'[12]Table 10 CWTs exp'!$AA25&gt;0,'[12]Table 10 CWTs exp'!S25/'[12]Table 10 CWTs exp'!$AA25," ")</f>
        <v>1.4371257485029941E-4</v>
      </c>
      <c r="T25" s="146" t="str">
        <f>IF('[12]Table 10 CWTs exp'!T25/'[12]Table 10 CWTs exp'!$AA25&gt;0,'[12]Table 10 CWTs exp'!T25/'[12]Table 10 CWTs exp'!$AA25," ")</f>
        <v xml:space="preserve"> </v>
      </c>
      <c r="U25" s="144" t="str">
        <f>IF('[12]Table 10 CWTs exp'!U25/'[12]Table 10 CWTs exp'!$AA25&gt;0,'[12]Table 10 CWTs exp'!U25/'[12]Table 10 CWTs exp'!$AA25," ")</f>
        <v xml:space="preserve"> </v>
      </c>
      <c r="V25" s="146" t="str">
        <f>IF('[12]Table 10 CWTs exp'!V25/'[12]Table 10 CWTs exp'!$AA25&gt;0,'[12]Table 10 CWTs exp'!V25/'[12]Table 10 CWTs exp'!$AA25," ")</f>
        <v xml:space="preserve"> </v>
      </c>
      <c r="W25" s="146" t="str">
        <f>IF('[12]Table 10 CWTs exp'!W25/'[12]Table 10 CWTs exp'!$AA25&gt;0,'[12]Table 10 CWTs exp'!W25/'[12]Table 10 CWTs exp'!$AA25," ")</f>
        <v xml:space="preserve"> </v>
      </c>
      <c r="X25" s="144" t="str">
        <f>IF('[12]Table 10 CWTs exp'!X25/'[12]Table 10 CWTs exp'!$AA25&gt;0,'[12]Table 10 CWTs exp'!X25/'[12]Table 10 CWTs exp'!$AA25," ")</f>
        <v xml:space="preserve"> </v>
      </c>
      <c r="Y25" s="147">
        <f t="shared" si="4"/>
        <v>0.89801197604790428</v>
      </c>
      <c r="Z25" s="148">
        <f t="shared" si="5"/>
        <v>0.10198802395209572</v>
      </c>
      <c r="AA25" s="38">
        <f>'[12]Table 10 CWTs exp'!AA25</f>
        <v>20875</v>
      </c>
      <c r="AC25" s="592">
        <f>'[12]Table 10 CWTs exp'!AD25</f>
        <v>0.89801197604790417</v>
      </c>
      <c r="AD25" s="592">
        <f t="shared" si="2"/>
        <v>0</v>
      </c>
      <c r="AE25" s="593" t="str">
        <f t="shared" si="3"/>
        <v>BATT543</v>
      </c>
      <c r="AF25" s="442"/>
      <c r="AG25" s="442"/>
      <c r="AH25" s="648"/>
      <c r="AI25" s="454"/>
      <c r="AJ25" s="442"/>
      <c r="AK25" s="442"/>
      <c r="AL25" s="442"/>
    </row>
    <row r="26" spans="1:38" ht="12.75" hidden="1" customHeight="1" x14ac:dyDescent="0.25">
      <c r="A26" s="54" t="str">
        <f>'[12]Table 10 CWTs exp'!A26</f>
        <v>COT543</v>
      </c>
      <c r="B26" s="75" t="str">
        <f>'[12]Table 10 CWTs exp'!B26</f>
        <v>COT</v>
      </c>
      <c r="C26" s="75">
        <f>'[12]Table 10 CWTs exp'!C26</f>
        <v>54</v>
      </c>
      <c r="D26" s="75">
        <f>'[12]Table 10 CWTs exp'!D26</f>
        <v>3</v>
      </c>
      <c r="E26" t="str">
        <f>'[12]Table 10 CWTs exp'!E26</f>
        <v>Cottonwood Creek</v>
      </c>
      <c r="F26" s="37" t="str">
        <f>'[12]Table 10 CWTs exp'!F26</f>
        <v>Fall</v>
      </c>
      <c r="G26" s="144" t="e">
        <f>IF('[12]Table 10 CWTs exp'!G26/'[12]Table 10 CWTs exp'!$AA26&gt;0,'[12]Table 10 CWTs exp'!G26/'[12]Table 10 CWTs exp'!$AA26," ")</f>
        <v>#DIV/0!</v>
      </c>
      <c r="H26" s="145" t="e">
        <f>IF('[12]Table 10 CWTs exp'!H26/'[12]Table 10 CWTs exp'!$AA26&gt;0,'[12]Table 10 CWTs exp'!H26/'[12]Table 10 CWTs exp'!$AA26," ")</f>
        <v>#DIV/0!</v>
      </c>
      <c r="I26" s="144" t="e">
        <f>IF('[12]Table 10 CWTs exp'!I26/'[12]Table 10 CWTs exp'!$AA26&gt;0,'[12]Table 10 CWTs exp'!I26/'[12]Table 10 CWTs exp'!$AA26," ")</f>
        <v>#DIV/0!</v>
      </c>
      <c r="J26" s="146" t="e">
        <f>IF('[12]Table 10 CWTs exp'!J26/'[12]Table 10 CWTs exp'!$AA26&gt;0,'[12]Table 10 CWTs exp'!J26/'[12]Table 10 CWTs exp'!$AA26," ")</f>
        <v>#DIV/0!</v>
      </c>
      <c r="K26" s="144" t="e">
        <f>IF('[12]Table 10 CWTs exp'!K26/'[12]Table 10 CWTs exp'!$AA26&gt;0,'[12]Table 10 CWTs exp'!K26/'[12]Table 10 CWTs exp'!$AA26," ")</f>
        <v>#DIV/0!</v>
      </c>
      <c r="L26" s="144" t="e">
        <f>IF('[12]Table 10 CWTs exp'!L26/'[12]Table 10 CWTs exp'!$AA26&gt;0,'[12]Table 10 CWTs exp'!L26/'[12]Table 10 CWTs exp'!$AA26," ")</f>
        <v>#DIV/0!</v>
      </c>
      <c r="M26" s="144" t="e">
        <f>IF('[12]Table 10 CWTs exp'!M26/'[12]Table 10 CWTs exp'!$AA26&gt;0,'[12]Table 10 CWTs exp'!M26/'[12]Table 10 CWTs exp'!$AA26," ")</f>
        <v>#DIV/0!</v>
      </c>
      <c r="N26" s="146" t="e">
        <f>IF('[12]Table 10 CWTs exp'!N26/'[12]Table 10 CWTs exp'!$AA26&gt;0,'[12]Table 10 CWTs exp'!N26/'[12]Table 10 CWTs exp'!$AA26," ")</f>
        <v>#DIV/0!</v>
      </c>
      <c r="O26" s="144" t="e">
        <f>IF('[12]Table 10 CWTs exp'!O26/'[12]Table 10 CWTs exp'!$AA26&gt;0,'[12]Table 10 CWTs exp'!O26/'[12]Table 10 CWTs exp'!$AA26," ")</f>
        <v>#DIV/0!</v>
      </c>
      <c r="P26" s="146" t="e">
        <f>IF('[12]Table 10 CWTs exp'!P26/'[12]Table 10 CWTs exp'!$AA26&gt;0,'[12]Table 10 CWTs exp'!P26/'[12]Table 10 CWTs exp'!$AA26," ")</f>
        <v>#DIV/0!</v>
      </c>
      <c r="Q26" s="144" t="e">
        <f>IF('[12]Table 10 CWTs exp'!Q26/'[12]Table 10 CWTs exp'!$AA26&gt;0,'[12]Table 10 CWTs exp'!Q26/'[12]Table 10 CWTs exp'!$AA26," ")</f>
        <v>#DIV/0!</v>
      </c>
      <c r="R26" s="144" t="e">
        <f>IF('[12]Table 10 CWTs exp'!R26/'[12]Table 10 CWTs exp'!$AA26&gt;0,'[12]Table 10 CWTs exp'!R26/'[12]Table 10 CWTs exp'!$AA26," ")</f>
        <v>#DIV/0!</v>
      </c>
      <c r="S26" s="144" t="e">
        <f>IF('[12]Table 10 CWTs exp'!S26/'[12]Table 10 CWTs exp'!$AA26&gt;0,'[12]Table 10 CWTs exp'!S26/'[12]Table 10 CWTs exp'!$AA26," ")</f>
        <v>#DIV/0!</v>
      </c>
      <c r="T26" s="146" t="e">
        <f>IF('[12]Table 10 CWTs exp'!T26/'[12]Table 10 CWTs exp'!$AA26&gt;0,'[12]Table 10 CWTs exp'!T26/'[12]Table 10 CWTs exp'!$AA26," ")</f>
        <v>#DIV/0!</v>
      </c>
      <c r="U26" s="144" t="e">
        <f>IF('[12]Table 10 CWTs exp'!U26/'[12]Table 10 CWTs exp'!$AA26&gt;0,'[12]Table 10 CWTs exp'!U26/'[12]Table 10 CWTs exp'!$AA26," ")</f>
        <v>#DIV/0!</v>
      </c>
      <c r="V26" s="146" t="e">
        <f>IF('[12]Table 10 CWTs exp'!V26/'[12]Table 10 CWTs exp'!$AA26&gt;0,'[12]Table 10 CWTs exp'!V26/'[12]Table 10 CWTs exp'!$AA26," ")</f>
        <v>#DIV/0!</v>
      </c>
      <c r="W26" s="146" t="e">
        <f>IF('[12]Table 10 CWTs exp'!W26/'[12]Table 10 CWTs exp'!$AA26&gt;0,'[12]Table 10 CWTs exp'!W26/'[12]Table 10 CWTs exp'!$AA26," ")</f>
        <v>#DIV/0!</v>
      </c>
      <c r="X26" s="144" t="e">
        <f>IF('[12]Table 10 CWTs exp'!X26/'[12]Table 10 CWTs exp'!$AA26&gt;0,'[12]Table 10 CWTs exp'!X26/'[12]Table 10 CWTs exp'!$AA26," ")</f>
        <v>#DIV/0!</v>
      </c>
      <c r="Y26" s="147" t="e">
        <f t="shared" si="4"/>
        <v>#DIV/0!</v>
      </c>
      <c r="Z26" s="148" t="e">
        <f t="shared" si="5"/>
        <v>#DIV/0!</v>
      </c>
      <c r="AA26" s="38">
        <f>'[12]Table 10 CWTs exp'!AA26</f>
        <v>0</v>
      </c>
      <c r="AC26" s="592">
        <f>'[12]Table 10 CWTs exp'!AD26</f>
        <v>0</v>
      </c>
      <c r="AD26" s="592" t="e">
        <f t="shared" si="2"/>
        <v>#DIV/0!</v>
      </c>
      <c r="AE26" s="593" t="str">
        <f t="shared" si="3"/>
        <v>COT543</v>
      </c>
      <c r="AF26" s="442"/>
      <c r="AG26" s="442"/>
      <c r="AH26" s="648"/>
      <c r="AI26" s="454"/>
      <c r="AJ26" s="442"/>
      <c r="AK26" s="442"/>
      <c r="AL26" s="442"/>
    </row>
    <row r="27" spans="1:38" ht="12.75" hidden="1" customHeight="1" x14ac:dyDescent="0.25">
      <c r="A27" s="54" t="str">
        <f>'[12]Table 10 CWTs exp'!A27</f>
        <v>COW543</v>
      </c>
      <c r="B27" s="75" t="str">
        <f>'[12]Table 10 CWTs exp'!B27</f>
        <v>COW</v>
      </c>
      <c r="C27" s="75">
        <f>'[12]Table 10 CWTs exp'!C27</f>
        <v>54</v>
      </c>
      <c r="D27" s="75">
        <f>'[12]Table 10 CWTs exp'!D27</f>
        <v>3</v>
      </c>
      <c r="E27" t="str">
        <f>'[12]Table 10 CWTs exp'!E27</f>
        <v>Cow Creek</v>
      </c>
      <c r="F27" s="37" t="str">
        <f>'[12]Table 10 CWTs exp'!F27</f>
        <v>Fall</v>
      </c>
      <c r="G27" s="144" t="e">
        <f>IF('[12]Table 10 CWTs exp'!G27/'[12]Table 10 CWTs exp'!$AA27&gt;0,'[12]Table 10 CWTs exp'!G27/'[12]Table 10 CWTs exp'!$AA27," ")</f>
        <v>#DIV/0!</v>
      </c>
      <c r="H27" s="145" t="e">
        <f>IF('[12]Table 10 CWTs exp'!H27/'[12]Table 10 CWTs exp'!$AA27&gt;0,'[12]Table 10 CWTs exp'!H27/'[12]Table 10 CWTs exp'!$AA27," ")</f>
        <v>#DIV/0!</v>
      </c>
      <c r="I27" s="144" t="e">
        <f>IF('[12]Table 10 CWTs exp'!I27/'[12]Table 10 CWTs exp'!$AA27&gt;0,'[12]Table 10 CWTs exp'!I27/'[12]Table 10 CWTs exp'!$AA27," ")</f>
        <v>#DIV/0!</v>
      </c>
      <c r="J27" s="146" t="e">
        <f>IF('[12]Table 10 CWTs exp'!J27/'[12]Table 10 CWTs exp'!$AA27&gt;0,'[12]Table 10 CWTs exp'!J27/'[12]Table 10 CWTs exp'!$AA27," ")</f>
        <v>#DIV/0!</v>
      </c>
      <c r="K27" s="144" t="e">
        <f>IF('[12]Table 10 CWTs exp'!K27/'[12]Table 10 CWTs exp'!$AA27&gt;0,'[12]Table 10 CWTs exp'!K27/'[12]Table 10 CWTs exp'!$AA27," ")</f>
        <v>#DIV/0!</v>
      </c>
      <c r="L27" s="144" t="e">
        <f>IF('[12]Table 10 CWTs exp'!L27/'[12]Table 10 CWTs exp'!$AA27&gt;0,'[12]Table 10 CWTs exp'!L27/'[12]Table 10 CWTs exp'!$AA27," ")</f>
        <v>#DIV/0!</v>
      </c>
      <c r="M27" s="144" t="e">
        <f>IF('[12]Table 10 CWTs exp'!M27/'[12]Table 10 CWTs exp'!$AA27&gt;0,'[12]Table 10 CWTs exp'!M27/'[12]Table 10 CWTs exp'!$AA27," ")</f>
        <v>#DIV/0!</v>
      </c>
      <c r="N27" s="146" t="e">
        <f>IF('[12]Table 10 CWTs exp'!N27/'[12]Table 10 CWTs exp'!$AA27&gt;0,'[12]Table 10 CWTs exp'!N27/'[12]Table 10 CWTs exp'!$AA27," ")</f>
        <v>#DIV/0!</v>
      </c>
      <c r="O27" s="144" t="e">
        <f>IF('[12]Table 10 CWTs exp'!O27/'[12]Table 10 CWTs exp'!$AA27&gt;0,'[12]Table 10 CWTs exp'!O27/'[12]Table 10 CWTs exp'!$AA27," ")</f>
        <v>#DIV/0!</v>
      </c>
      <c r="P27" s="146" t="e">
        <f>IF('[12]Table 10 CWTs exp'!P27/'[12]Table 10 CWTs exp'!$AA27&gt;0,'[12]Table 10 CWTs exp'!P27/'[12]Table 10 CWTs exp'!$AA27," ")</f>
        <v>#DIV/0!</v>
      </c>
      <c r="Q27" s="144" t="e">
        <f>IF('[12]Table 10 CWTs exp'!Q27/'[12]Table 10 CWTs exp'!$AA27&gt;0,'[12]Table 10 CWTs exp'!Q27/'[12]Table 10 CWTs exp'!$AA27," ")</f>
        <v>#DIV/0!</v>
      </c>
      <c r="R27" s="144" t="e">
        <f>IF('[12]Table 10 CWTs exp'!R27/'[12]Table 10 CWTs exp'!$AA27&gt;0,'[12]Table 10 CWTs exp'!R27/'[12]Table 10 CWTs exp'!$AA27," ")</f>
        <v>#DIV/0!</v>
      </c>
      <c r="S27" s="144" t="e">
        <f>IF('[12]Table 10 CWTs exp'!S27/'[12]Table 10 CWTs exp'!$AA27&gt;0,'[12]Table 10 CWTs exp'!S27/'[12]Table 10 CWTs exp'!$AA27," ")</f>
        <v>#DIV/0!</v>
      </c>
      <c r="T27" s="146" t="e">
        <f>IF('[12]Table 10 CWTs exp'!T27/'[12]Table 10 CWTs exp'!$AA27&gt;0,'[12]Table 10 CWTs exp'!T27/'[12]Table 10 CWTs exp'!$AA27," ")</f>
        <v>#DIV/0!</v>
      </c>
      <c r="U27" s="144" t="e">
        <f>IF('[12]Table 10 CWTs exp'!U27/'[12]Table 10 CWTs exp'!$AA27&gt;0,'[12]Table 10 CWTs exp'!U27/'[12]Table 10 CWTs exp'!$AA27," ")</f>
        <v>#DIV/0!</v>
      </c>
      <c r="V27" s="146" t="e">
        <f>IF('[12]Table 10 CWTs exp'!V27/'[12]Table 10 CWTs exp'!$AA27&gt;0,'[12]Table 10 CWTs exp'!V27/'[12]Table 10 CWTs exp'!$AA27," ")</f>
        <v>#DIV/0!</v>
      </c>
      <c r="W27" s="146" t="e">
        <f>IF('[12]Table 10 CWTs exp'!W27/'[12]Table 10 CWTs exp'!$AA27&gt;0,'[12]Table 10 CWTs exp'!W27/'[12]Table 10 CWTs exp'!$AA27," ")</f>
        <v>#DIV/0!</v>
      </c>
      <c r="X27" s="144" t="e">
        <f>IF('[12]Table 10 CWTs exp'!X27/'[12]Table 10 CWTs exp'!$AA27&gt;0,'[12]Table 10 CWTs exp'!X27/'[12]Table 10 CWTs exp'!$AA27," ")</f>
        <v>#DIV/0!</v>
      </c>
      <c r="Y27" s="147" t="e">
        <f t="shared" si="4"/>
        <v>#DIV/0!</v>
      </c>
      <c r="Z27" s="148" t="e">
        <f t="shared" si="5"/>
        <v>#DIV/0!</v>
      </c>
      <c r="AA27" s="38">
        <f>'[12]Table 10 CWTs exp'!AA27</f>
        <v>0</v>
      </c>
      <c r="AC27" s="592">
        <f>'[12]Table 10 CWTs exp'!AD27</f>
        <v>0</v>
      </c>
      <c r="AD27" s="592" t="e">
        <f t="shared" si="2"/>
        <v>#DIV/0!</v>
      </c>
      <c r="AE27" s="593" t="str">
        <f t="shared" si="3"/>
        <v>COW543</v>
      </c>
      <c r="AF27" s="442"/>
      <c r="AG27" s="442"/>
      <c r="AH27" s="648"/>
      <c r="AI27" s="454"/>
      <c r="AJ27" s="442"/>
      <c r="AK27" s="442"/>
      <c r="AL27" s="442"/>
    </row>
    <row r="28" spans="1:38" ht="14.25" customHeight="1" x14ac:dyDescent="0.25">
      <c r="A28" s="54" t="str">
        <f>'[12]Table 10 CWTs exp'!A28</f>
        <v>MLC543</v>
      </c>
      <c r="B28" s="75" t="str">
        <f>'[12]Table 10 CWTs exp'!B28</f>
        <v>MLC</v>
      </c>
      <c r="C28" s="75">
        <f>'[12]Table 10 CWTs exp'!C28</f>
        <v>54</v>
      </c>
      <c r="D28" s="75">
        <f>'[12]Table 10 CWTs exp'!D28</f>
        <v>3</v>
      </c>
      <c r="E28" t="str">
        <f>'[12]Table 10 CWTs exp'!E28</f>
        <v>Mill Creek</v>
      </c>
      <c r="F28" s="37" t="str">
        <f>'[12]Table 10 CWTs exp'!F28</f>
        <v>Fall</v>
      </c>
      <c r="G28" s="144" t="str">
        <f>IF('[12]Table 10 CWTs exp'!G28/'[12]Table 10 CWTs exp'!$AA28&gt;0,'[12]Table 10 CWTs exp'!G28/'[12]Table 10 CWTs exp'!$AA28," ")</f>
        <v xml:space="preserve"> </v>
      </c>
      <c r="H28" s="145" t="str">
        <f>IF('[12]Table 10 CWTs exp'!H28/'[12]Table 10 CWTs exp'!$AA28&gt;0,'[12]Table 10 CWTs exp'!H28/'[12]Table 10 CWTs exp'!$AA28," ")</f>
        <v xml:space="preserve"> </v>
      </c>
      <c r="I28" s="144">
        <f>IF('[12]Table 10 CWTs exp'!I28/'[12]Table 10 CWTs exp'!$AA28&gt;0,'[12]Table 10 CWTs exp'!I28/'[12]Table 10 CWTs exp'!$AA28," ")</f>
        <v>0.40309155766944116</v>
      </c>
      <c r="J28" s="146" t="str">
        <f>IF('[12]Table 10 CWTs exp'!J28/'[12]Table 10 CWTs exp'!$AA28&gt;0,'[12]Table 10 CWTs exp'!J28/'[12]Table 10 CWTs exp'!$AA28," ")</f>
        <v xml:space="preserve"> </v>
      </c>
      <c r="K28" s="144" t="str">
        <f>IF('[12]Table 10 CWTs exp'!K28/'[12]Table 10 CWTs exp'!$AA28&gt;0,'[12]Table 10 CWTs exp'!K28/'[12]Table 10 CWTs exp'!$AA28," ")</f>
        <v xml:space="preserve"> </v>
      </c>
      <c r="L28" s="144" t="str">
        <f>IF('[12]Table 10 CWTs exp'!L28/'[12]Table 10 CWTs exp'!$AA28&gt;0,'[12]Table 10 CWTs exp'!L28/'[12]Table 10 CWTs exp'!$AA28," ")</f>
        <v xml:space="preserve"> </v>
      </c>
      <c r="M28" s="144" t="str">
        <f>IF('[12]Table 10 CWTs exp'!M28/'[12]Table 10 CWTs exp'!$AA28&gt;0,'[12]Table 10 CWTs exp'!M28/'[12]Table 10 CWTs exp'!$AA28," ")</f>
        <v xml:space="preserve"> </v>
      </c>
      <c r="N28" s="146" t="str">
        <f>IF('[12]Table 10 CWTs exp'!N28/'[12]Table 10 CWTs exp'!$AA28&gt;0,'[12]Table 10 CWTs exp'!N28/'[12]Table 10 CWTs exp'!$AA28," ")</f>
        <v xml:space="preserve"> </v>
      </c>
      <c r="O28" s="144" t="str">
        <f>IF('[12]Table 10 CWTs exp'!O28/'[12]Table 10 CWTs exp'!$AA28&gt;0,'[12]Table 10 CWTs exp'!O28/'[12]Table 10 CWTs exp'!$AA28," ")</f>
        <v xml:space="preserve"> </v>
      </c>
      <c r="P28" s="146" t="str">
        <f>IF('[12]Table 10 CWTs exp'!P28/'[12]Table 10 CWTs exp'!$AA28&gt;0,'[12]Table 10 CWTs exp'!P28/'[12]Table 10 CWTs exp'!$AA28," ")</f>
        <v xml:space="preserve"> </v>
      </c>
      <c r="Q28" s="144" t="str">
        <f>IF('[12]Table 10 CWTs exp'!Q28/'[12]Table 10 CWTs exp'!$AA28&gt;0,'[12]Table 10 CWTs exp'!Q28/'[12]Table 10 CWTs exp'!$AA28," ")</f>
        <v xml:space="preserve"> </v>
      </c>
      <c r="R28" s="144" t="str">
        <f>IF('[12]Table 10 CWTs exp'!R28/'[12]Table 10 CWTs exp'!$AA28&gt;0,'[12]Table 10 CWTs exp'!R28/'[12]Table 10 CWTs exp'!$AA28," ")</f>
        <v xml:space="preserve"> </v>
      </c>
      <c r="S28" s="144" t="str">
        <f>IF('[12]Table 10 CWTs exp'!S28/'[12]Table 10 CWTs exp'!$AA28&gt;0,'[12]Table 10 CWTs exp'!S28/'[12]Table 10 CWTs exp'!$AA28," ")</f>
        <v xml:space="preserve"> </v>
      </c>
      <c r="T28" s="146" t="str">
        <f>IF('[12]Table 10 CWTs exp'!T28/'[12]Table 10 CWTs exp'!$AA28&gt;0,'[12]Table 10 CWTs exp'!T28/'[12]Table 10 CWTs exp'!$AA28," ")</f>
        <v xml:space="preserve"> </v>
      </c>
      <c r="U28" s="144" t="str">
        <f>IF('[12]Table 10 CWTs exp'!U28/'[12]Table 10 CWTs exp'!$AA28&gt;0,'[12]Table 10 CWTs exp'!U28/'[12]Table 10 CWTs exp'!$AA28," ")</f>
        <v xml:space="preserve"> </v>
      </c>
      <c r="V28" s="146" t="str">
        <f>IF('[12]Table 10 CWTs exp'!V28/'[12]Table 10 CWTs exp'!$AA28&gt;0,'[12]Table 10 CWTs exp'!V28/'[12]Table 10 CWTs exp'!$AA28," ")</f>
        <v xml:space="preserve"> </v>
      </c>
      <c r="W28" s="146" t="str">
        <f>IF('[12]Table 10 CWTs exp'!W28/'[12]Table 10 CWTs exp'!$AA28&gt;0,'[12]Table 10 CWTs exp'!W28/'[12]Table 10 CWTs exp'!$AA28," ")</f>
        <v xml:space="preserve"> </v>
      </c>
      <c r="X28" s="144" t="str">
        <f>IF('[12]Table 10 CWTs exp'!X28/'[12]Table 10 CWTs exp'!$AA28&gt;0,'[12]Table 10 CWTs exp'!X28/'[12]Table 10 CWTs exp'!$AA28," ")</f>
        <v xml:space="preserve"> </v>
      </c>
      <c r="Y28" s="147">
        <f t="shared" si="4"/>
        <v>0.40309155766944116</v>
      </c>
      <c r="Z28" s="148">
        <f t="shared" si="5"/>
        <v>0.59690844233055884</v>
      </c>
      <c r="AA28" s="38">
        <f>'[12]Table 10 CWTs exp'!AA28</f>
        <v>2523</v>
      </c>
      <c r="AC28" s="592">
        <f>'[12]Table 10 CWTs exp'!AD28</f>
        <v>0.40300000000000002</v>
      </c>
      <c r="AD28" s="592">
        <f t="shared" si="2"/>
        <v>9.1557669441133527E-5</v>
      </c>
      <c r="AE28" s="593" t="str">
        <f t="shared" si="3"/>
        <v>MLC543</v>
      </c>
      <c r="AF28" s="442"/>
      <c r="AG28" s="442"/>
      <c r="AH28" s="648"/>
      <c r="AI28" s="454"/>
      <c r="AJ28" s="442"/>
      <c r="AK28" s="442"/>
      <c r="AL28" s="442"/>
    </row>
    <row r="29" spans="1:38" ht="14.25" customHeight="1" x14ac:dyDescent="0.25">
      <c r="A29" s="54" t="str">
        <f>'[12]Table 10 CWTs exp'!A29</f>
        <v>BUTT543</v>
      </c>
      <c r="B29" s="75" t="str">
        <f>'[12]Table 10 CWTs exp'!B29</f>
        <v>BUTT</v>
      </c>
      <c r="C29" s="75">
        <f>'[12]Table 10 CWTs exp'!C29</f>
        <v>54</v>
      </c>
      <c r="D29" s="75">
        <f>'[12]Table 10 CWTs exp'!D29</f>
        <v>3</v>
      </c>
      <c r="E29" t="str">
        <f>'[12]Table 10 CWTs exp'!E29</f>
        <v>Butte Creek</v>
      </c>
      <c r="F29" s="37" t="str">
        <f>'[12]Table 10 CWTs exp'!F29</f>
        <v>Fall</v>
      </c>
      <c r="G29" s="144" t="str">
        <f>IF('[12]Table 10 CWTs exp'!G29/'[12]Table 10 CWTs exp'!$AA29&gt;0,'[12]Table 10 CWTs exp'!G29/'[12]Table 10 CWTs exp'!$AA29," ")</f>
        <v xml:space="preserve"> </v>
      </c>
      <c r="H29" s="145" t="str">
        <f>IF('[12]Table 10 CWTs exp'!H29/'[12]Table 10 CWTs exp'!$AA29&gt;0,'[12]Table 10 CWTs exp'!H29/'[12]Table 10 CWTs exp'!$AA29," ")</f>
        <v xml:space="preserve"> </v>
      </c>
      <c r="I29" s="144" t="str">
        <f>IF('[12]Table 10 CWTs exp'!I29/'[12]Table 10 CWTs exp'!$AA29&gt;0,'[12]Table 10 CWTs exp'!I29/'[12]Table 10 CWTs exp'!$AA29," ")</f>
        <v xml:space="preserve"> </v>
      </c>
      <c r="J29" s="146" t="str">
        <f>IF('[12]Table 10 CWTs exp'!J29/'[12]Table 10 CWTs exp'!$AA29&gt;0,'[12]Table 10 CWTs exp'!J29/'[12]Table 10 CWTs exp'!$AA29," ")</f>
        <v xml:space="preserve"> </v>
      </c>
      <c r="K29" s="144" t="str">
        <f>IF('[12]Table 10 CWTs exp'!K29/'[12]Table 10 CWTs exp'!$AA29&gt;0,'[12]Table 10 CWTs exp'!K29/'[12]Table 10 CWTs exp'!$AA29," ")</f>
        <v xml:space="preserve"> </v>
      </c>
      <c r="L29" s="144" t="str">
        <f>IF('[12]Table 10 CWTs exp'!L29/'[12]Table 10 CWTs exp'!$AA29&gt;0,'[12]Table 10 CWTs exp'!L29/'[12]Table 10 CWTs exp'!$AA29," ")</f>
        <v xml:space="preserve"> </v>
      </c>
      <c r="M29" s="144" t="str">
        <f>IF('[12]Table 10 CWTs exp'!M29/'[12]Table 10 CWTs exp'!$AA29&gt;0,'[12]Table 10 CWTs exp'!M29/'[12]Table 10 CWTs exp'!$AA29," ")</f>
        <v xml:space="preserve"> </v>
      </c>
      <c r="N29" s="146" t="str">
        <f>IF('[12]Table 10 CWTs exp'!N29/'[12]Table 10 CWTs exp'!$AA29&gt;0,'[12]Table 10 CWTs exp'!N29/'[12]Table 10 CWTs exp'!$AA29," ")</f>
        <v xml:space="preserve"> </v>
      </c>
      <c r="O29" s="144" t="str">
        <f>IF('[12]Table 10 CWTs exp'!O29/'[12]Table 10 CWTs exp'!$AA29&gt;0,'[12]Table 10 CWTs exp'!O29/'[12]Table 10 CWTs exp'!$AA29," ")</f>
        <v xml:space="preserve"> </v>
      </c>
      <c r="P29" s="146" t="str">
        <f>IF('[12]Table 10 CWTs exp'!P29/'[12]Table 10 CWTs exp'!$AA29&gt;0,'[12]Table 10 CWTs exp'!P29/'[12]Table 10 CWTs exp'!$AA29," ")</f>
        <v xml:space="preserve"> </v>
      </c>
      <c r="Q29" s="144" t="str">
        <f>IF('[12]Table 10 CWTs exp'!Q29/'[12]Table 10 CWTs exp'!$AA29&gt;0,'[12]Table 10 CWTs exp'!Q29/'[12]Table 10 CWTs exp'!$AA29," ")</f>
        <v xml:space="preserve"> </v>
      </c>
      <c r="R29" s="144" t="str">
        <f>IF('[12]Table 10 CWTs exp'!R29/'[12]Table 10 CWTs exp'!$AA29&gt;0,'[12]Table 10 CWTs exp'!R29/'[12]Table 10 CWTs exp'!$AA29," ")</f>
        <v xml:space="preserve"> </v>
      </c>
      <c r="S29" s="144" t="str">
        <f>IF('[12]Table 10 CWTs exp'!S29/'[12]Table 10 CWTs exp'!$AA29&gt;0,'[12]Table 10 CWTs exp'!S29/'[12]Table 10 CWTs exp'!$AA29," ")</f>
        <v xml:space="preserve"> </v>
      </c>
      <c r="T29" s="146" t="str">
        <f>IF('[12]Table 10 CWTs exp'!T29/'[12]Table 10 CWTs exp'!$AA29&gt;0,'[12]Table 10 CWTs exp'!T29/'[12]Table 10 CWTs exp'!$AA29," ")</f>
        <v xml:space="preserve"> </v>
      </c>
      <c r="U29" s="144" t="str">
        <f>IF('[12]Table 10 CWTs exp'!U29/'[12]Table 10 CWTs exp'!$AA29&gt;0,'[12]Table 10 CWTs exp'!U29/'[12]Table 10 CWTs exp'!$AA29," ")</f>
        <v xml:space="preserve"> </v>
      </c>
      <c r="V29" s="146" t="str">
        <f>IF('[12]Table 10 CWTs exp'!V29/'[12]Table 10 CWTs exp'!$AA29&gt;0,'[12]Table 10 CWTs exp'!V29/'[12]Table 10 CWTs exp'!$AA29," ")</f>
        <v xml:space="preserve"> </v>
      </c>
      <c r="W29" s="146" t="str">
        <f>IF('[12]Table 10 CWTs exp'!W29/'[12]Table 10 CWTs exp'!$AA29&gt;0,'[12]Table 10 CWTs exp'!W29/'[12]Table 10 CWTs exp'!$AA29," ")</f>
        <v xml:space="preserve"> </v>
      </c>
      <c r="X29" s="144" t="str">
        <f>IF('[12]Table 10 CWTs exp'!X29/'[12]Table 10 CWTs exp'!$AA29&gt;0,'[12]Table 10 CWTs exp'!X29/'[12]Table 10 CWTs exp'!$AA29," ")</f>
        <v xml:space="preserve"> </v>
      </c>
      <c r="Y29" s="147">
        <f t="shared" si="4"/>
        <v>0</v>
      </c>
      <c r="Z29" s="148">
        <f t="shared" si="5"/>
        <v>1</v>
      </c>
      <c r="AA29" s="38">
        <f>'[12]Table 10 CWTs exp'!AA29</f>
        <v>1481</v>
      </c>
      <c r="AC29" s="592">
        <f>'[12]Table 10 CWTs exp'!AD29</f>
        <v>0</v>
      </c>
      <c r="AD29" s="592">
        <f t="shared" si="2"/>
        <v>0</v>
      </c>
      <c r="AE29" s="593" t="str">
        <f t="shared" si="3"/>
        <v>BUTT543</v>
      </c>
      <c r="AF29" s="442"/>
      <c r="AG29" s="442"/>
      <c r="AH29" s="648"/>
      <c r="AI29" s="454"/>
      <c r="AJ29" s="442"/>
      <c r="AK29" s="442"/>
      <c r="AL29" s="442"/>
    </row>
    <row r="30" spans="1:38" ht="14.5" customHeight="1" x14ac:dyDescent="0.25">
      <c r="A30" s="54" t="str">
        <f>'[12]Table 10 CWTs exp'!A30</f>
        <v>FEA543</v>
      </c>
      <c r="B30" s="75" t="str">
        <f>'[12]Table 10 CWTs exp'!B30</f>
        <v>FEA</v>
      </c>
      <c r="C30" s="75">
        <f>'[12]Table 10 CWTs exp'!C30</f>
        <v>54</v>
      </c>
      <c r="D30" s="75">
        <f>'[12]Table 10 CWTs exp'!D30</f>
        <v>3</v>
      </c>
      <c r="E30" t="str">
        <f>'[12]Table 10 CWTs exp'!E30</f>
        <v>Feather River</v>
      </c>
      <c r="F30" s="37" t="str">
        <f>'[12]Table 10 CWTs exp'!F30</f>
        <v>Fall</v>
      </c>
      <c r="G30" s="144" t="str">
        <f>IF('[12]Table 10 CWTs exp'!G30/'[12]Table 10 CWTs exp'!$AA30&gt;0,'[12]Table 10 CWTs exp'!G30/'[12]Table 10 CWTs exp'!$AA30," ")</f>
        <v xml:space="preserve"> </v>
      </c>
      <c r="H30" s="145" t="str">
        <f>IF('[12]Table 10 CWTs exp'!H30/'[12]Table 10 CWTs exp'!$AA30&gt;0,'[12]Table 10 CWTs exp'!H30/'[12]Table 10 CWTs exp'!$AA30," ")</f>
        <v xml:space="preserve"> </v>
      </c>
      <c r="I30" s="144">
        <f>IF('[12]Table 10 CWTs exp'!I30/'[12]Table 10 CWTs exp'!$AA30&gt;0,'[12]Table 10 CWTs exp'!I30/'[12]Table 10 CWTs exp'!$AA30," ")</f>
        <v>4.7148932894559587E-3</v>
      </c>
      <c r="J30" s="146" t="str">
        <f>IF('[12]Table 10 CWTs exp'!J30/'[12]Table 10 CWTs exp'!$AA30&gt;0,'[12]Table 10 CWTs exp'!J30/'[12]Table 10 CWTs exp'!$AA30," ")</f>
        <v xml:space="preserve"> </v>
      </c>
      <c r="K30" s="144">
        <f>IF('[12]Table 10 CWTs exp'!K30/'[12]Table 10 CWTs exp'!$AA30&gt;0,'[12]Table 10 CWTs exp'!K30/'[12]Table 10 CWTs exp'!$AA30," ")</f>
        <v>6.4507437984719904E-2</v>
      </c>
      <c r="L30" s="144">
        <f>IF('[12]Table 10 CWTs exp'!L30/'[12]Table 10 CWTs exp'!$AA30&gt;0,'[12]Table 10 CWTs exp'!L30/'[12]Table 10 CWTs exp'!$AA30," ")</f>
        <v>4.083674922541039E-2</v>
      </c>
      <c r="M30" s="144">
        <f>IF('[12]Table 10 CWTs exp'!M30/'[12]Table 10 CWTs exp'!$AA30&gt;0,'[12]Table 10 CWTs exp'!M30/'[12]Table 10 CWTs exp'!$AA30," ")</f>
        <v>0.19717876181128879</v>
      </c>
      <c r="N30" s="146">
        <f>IF('[12]Table 10 CWTs exp'!N30/'[12]Table 10 CWTs exp'!$AA30&gt;0,'[12]Table 10 CWTs exp'!N30/'[12]Table 10 CWTs exp'!$AA30," ")</f>
        <v>0.13095856667244002</v>
      </c>
      <c r="O30" s="144">
        <f>IF('[12]Table 10 CWTs exp'!O30/'[12]Table 10 CWTs exp'!$AA30&gt;0,'[12]Table 10 CWTs exp'!O30/'[12]Table 10 CWTs exp'!$AA30," ")</f>
        <v>7.8902295864365026E-4</v>
      </c>
      <c r="P30" s="146">
        <f>IF('[12]Table 10 CWTs exp'!P30/'[12]Table 10 CWTs exp'!$AA30&gt;0,'[12]Table 10 CWTs exp'!P30/'[12]Table 10 CWTs exp'!$AA30," ")</f>
        <v>7.6977849623770765E-4</v>
      </c>
      <c r="Q30" s="144" t="str">
        <f>IF('[12]Table 10 CWTs exp'!Q30/'[12]Table 10 CWTs exp'!$AA30&gt;0,'[12]Table 10 CWTs exp'!Q30/'[12]Table 10 CWTs exp'!$AA30," ")</f>
        <v xml:space="preserve"> </v>
      </c>
      <c r="R30" s="144">
        <f>IF('[12]Table 10 CWTs exp'!R30/'[12]Table 10 CWTs exp'!$AA30&gt;0,'[12]Table 10 CWTs exp'!R30/'[12]Table 10 CWTs exp'!$AA30," ")</f>
        <v>2.3478244135250082E-3</v>
      </c>
      <c r="S30" s="144">
        <f>IF('[12]Table 10 CWTs exp'!S30/'[12]Table 10 CWTs exp'!$AA30&gt;0,'[12]Table 10 CWTs exp'!S30/'[12]Table 10 CWTs exp'!$AA30," ")</f>
        <v>2.367068875930951E-3</v>
      </c>
      <c r="T30" s="146">
        <f>IF('[12]Table 10 CWTs exp'!T30/'[12]Table 10 CWTs exp'!$AA30&gt;0,'[12]Table 10 CWTs exp'!T30/'[12]Table 10 CWTs exp'!$AA30," ")</f>
        <v>7.8902295864365026E-4</v>
      </c>
      <c r="U30" s="144" t="str">
        <f>IF('[12]Table 10 CWTs exp'!U30/'[12]Table 10 CWTs exp'!$AA30&gt;0,'[12]Table 10 CWTs exp'!U30/'[12]Table 10 CWTs exp'!$AA30," ")</f>
        <v xml:space="preserve"> </v>
      </c>
      <c r="V30" s="146">
        <f>IF('[12]Table 10 CWTs exp'!V30/'[12]Table 10 CWTs exp'!$AA30&gt;0,'[12]Table 10 CWTs exp'!V30/'[12]Table 10 CWTs exp'!$AA30," ")</f>
        <v>8.8524527067336371E-4</v>
      </c>
      <c r="W30" s="146" t="str">
        <f>IF('[12]Table 10 CWTs exp'!W30/'[12]Table 10 CWTs exp'!$AA30&gt;0,'[12]Table 10 CWTs exp'!W30/'[12]Table 10 CWTs exp'!$AA30," ")</f>
        <v xml:space="preserve"> </v>
      </c>
      <c r="X30" s="144" t="str">
        <f>IF('[12]Table 10 CWTs exp'!X30/'[12]Table 10 CWTs exp'!$AA30&gt;0,'[12]Table 10 CWTs exp'!X30/'[12]Table 10 CWTs exp'!$AA30," ")</f>
        <v xml:space="preserve"> </v>
      </c>
      <c r="Y30" s="147">
        <f t="shared" si="4"/>
        <v>0.44614437195696932</v>
      </c>
      <c r="Z30" s="148">
        <f t="shared" si="5"/>
        <v>0.55385562804303068</v>
      </c>
      <c r="AA30" s="38">
        <f>'[12]Table 10 CWTs exp'!AA30</f>
        <v>51963</v>
      </c>
      <c r="AC30" s="592">
        <f>'[12]Table 10 CWTs exp'!AD30</f>
        <v>0.44600000000000001</v>
      </c>
      <c r="AD30" s="592">
        <f t="shared" si="2"/>
        <v>1.443719569693136E-4</v>
      </c>
      <c r="AE30" s="593" t="str">
        <f t="shared" si="3"/>
        <v>FEA543</v>
      </c>
      <c r="AF30" s="442"/>
      <c r="AG30" s="442"/>
      <c r="AH30" s="648"/>
      <c r="AI30" s="454"/>
      <c r="AJ30" s="442"/>
      <c r="AK30" s="442"/>
      <c r="AL30" s="442"/>
    </row>
    <row r="31" spans="1:38" ht="14.5" customHeight="1" x14ac:dyDescent="0.25">
      <c r="A31" s="54" t="str">
        <f>'[12]Table 10 CWTs exp'!A31</f>
        <v>YUBA543</v>
      </c>
      <c r="B31" s="75" t="str">
        <f>'[12]Table 10 CWTs exp'!B31</f>
        <v>YUBA</v>
      </c>
      <c r="C31" s="75">
        <f>'[12]Table 10 CWTs exp'!C31</f>
        <v>54</v>
      </c>
      <c r="D31" s="75">
        <f>'[12]Table 10 CWTs exp'!D31</f>
        <v>3</v>
      </c>
      <c r="E31" s="79" t="s">
        <v>147</v>
      </c>
      <c r="F31" s="37" t="str">
        <f>'[12]Table 10 CWTs exp'!F31</f>
        <v>Fall</v>
      </c>
      <c r="G31" s="144" t="str">
        <f>IF('[12]Table 10 CWTs exp'!G31/'[12]Table 10 CWTs exp'!$AA31&gt;0,'[12]Table 10 CWTs exp'!G31/'[12]Table 10 CWTs exp'!$AA31," ")</f>
        <v xml:space="preserve"> </v>
      </c>
      <c r="H31" s="145" t="str">
        <f>IF('[12]Table 10 CWTs exp'!H31/'[12]Table 10 CWTs exp'!$AA31&gt;0,'[12]Table 10 CWTs exp'!H31/'[12]Table 10 CWTs exp'!$AA31," ")</f>
        <v xml:space="preserve"> </v>
      </c>
      <c r="I31" s="144" t="str">
        <f>IF('[12]Table 10 CWTs exp'!I31/'[12]Table 10 CWTs exp'!$AA31&gt;0,'[12]Table 10 CWTs exp'!I31/'[12]Table 10 CWTs exp'!$AA31," ")</f>
        <v xml:space="preserve"> </v>
      </c>
      <c r="J31" s="146" t="str">
        <f>IF('[12]Table 10 CWTs exp'!J31/'[12]Table 10 CWTs exp'!$AA31&gt;0,'[12]Table 10 CWTs exp'!J31/'[12]Table 10 CWTs exp'!$AA31," ")</f>
        <v xml:space="preserve"> </v>
      </c>
      <c r="K31" s="144">
        <f>IF('[12]Table 10 CWTs exp'!K31/'[12]Table 10 CWTs exp'!$AA31&gt;0,'[12]Table 10 CWTs exp'!K31/'[12]Table 10 CWTs exp'!$AA31," ")</f>
        <v>5.8714232627276104E-2</v>
      </c>
      <c r="L31" s="144">
        <f>IF('[12]Table 10 CWTs exp'!L31/'[12]Table 10 CWTs exp'!$AA31&gt;0,'[12]Table 10 CWTs exp'!L31/'[12]Table 10 CWTs exp'!$AA31," ")</f>
        <v>1.3006317354143442E-2</v>
      </c>
      <c r="M31" s="144">
        <f>IF('[12]Table 10 CWTs exp'!M31/'[12]Table 10 CWTs exp'!$AA31&gt;0,'[12]Table 10 CWTs exp'!M31/'[12]Table 10 CWTs exp'!$AA31," ")</f>
        <v>0.25641025641025639</v>
      </c>
      <c r="N31" s="146">
        <f>IF('[12]Table 10 CWTs exp'!N31/'[12]Table 10 CWTs exp'!$AA31&gt;0,'[12]Table 10 CWTs exp'!N31/'[12]Table 10 CWTs exp'!$AA31," ")</f>
        <v>7.7666295057599408E-2</v>
      </c>
      <c r="O31" s="144" t="str">
        <f>IF('[12]Table 10 CWTs exp'!O31/'[12]Table 10 CWTs exp'!$AA31&gt;0,'[12]Table 10 CWTs exp'!O31/'[12]Table 10 CWTs exp'!$AA31," ")</f>
        <v xml:space="preserve"> </v>
      </c>
      <c r="P31" s="146" t="str">
        <f>IF('[12]Table 10 CWTs exp'!P31/'[12]Table 10 CWTs exp'!$AA31&gt;0,'[12]Table 10 CWTs exp'!P31/'[12]Table 10 CWTs exp'!$AA31," ")</f>
        <v xml:space="preserve"> </v>
      </c>
      <c r="Q31" s="144" t="str">
        <f>IF('[12]Table 10 CWTs exp'!Q31/'[12]Table 10 CWTs exp'!$AA31&gt;0,'[12]Table 10 CWTs exp'!Q31/'[12]Table 10 CWTs exp'!$AA31," ")</f>
        <v xml:space="preserve"> </v>
      </c>
      <c r="R31" s="144">
        <f>IF('[12]Table 10 CWTs exp'!R31/'[12]Table 10 CWTs exp'!$AA31&gt;0,'[12]Table 10 CWTs exp'!R31/'[12]Table 10 CWTs exp'!$AA31," ")</f>
        <v>7.8037904124860641E-2</v>
      </c>
      <c r="S31" s="144">
        <f>IF('[12]Table 10 CWTs exp'!S31/'[12]Table 10 CWTs exp'!$AA31&gt;0,'[12]Table 10 CWTs exp'!S31/'[12]Table 10 CWTs exp'!$AA31," ")</f>
        <v>1.3377926421404682E-2</v>
      </c>
      <c r="T31" s="146" t="str">
        <f>IF('[12]Table 10 CWTs exp'!T31/'[12]Table 10 CWTs exp'!$AA31&gt;0,'[12]Table 10 CWTs exp'!T31/'[12]Table 10 CWTs exp'!$AA31," ")</f>
        <v xml:space="preserve"> </v>
      </c>
      <c r="U31" s="144" t="str">
        <f>IF('[12]Table 10 CWTs exp'!U31/'[12]Table 10 CWTs exp'!$AA31&gt;0,'[12]Table 10 CWTs exp'!U31/'[12]Table 10 CWTs exp'!$AA31," ")</f>
        <v xml:space="preserve"> </v>
      </c>
      <c r="V31" s="146" t="str">
        <f>IF('[12]Table 10 CWTs exp'!V31/'[12]Table 10 CWTs exp'!$AA31&gt;0,'[12]Table 10 CWTs exp'!V31/'[12]Table 10 CWTs exp'!$AA31," ")</f>
        <v xml:space="preserve"> </v>
      </c>
      <c r="W31" s="146" t="str">
        <f>IF('[12]Table 10 CWTs exp'!W31/'[12]Table 10 CWTs exp'!$AA31&gt;0,'[12]Table 10 CWTs exp'!W31/'[12]Table 10 CWTs exp'!$AA31," ")</f>
        <v xml:space="preserve"> </v>
      </c>
      <c r="X31" s="144" t="str">
        <f>IF('[12]Table 10 CWTs exp'!X31/'[12]Table 10 CWTs exp'!$AA31&gt;0,'[12]Table 10 CWTs exp'!X31/'[12]Table 10 CWTs exp'!$AA31," ")</f>
        <v xml:space="preserve"> </v>
      </c>
      <c r="Y31" s="147">
        <f t="shared" si="4"/>
        <v>0.49721293199554062</v>
      </c>
      <c r="Z31" s="148">
        <f t="shared" si="5"/>
        <v>0.50278706800445938</v>
      </c>
      <c r="AA31" s="38">
        <f>'[12]Table 10 CWTs exp'!AA31</f>
        <v>2691</v>
      </c>
      <c r="AC31" s="592">
        <f>'[12]Table 10 CWTs exp'!AD31</f>
        <v>0.497</v>
      </c>
      <c r="AD31" s="592">
        <f t="shared" si="2"/>
        <v>2.129319955406217E-4</v>
      </c>
      <c r="AE31" s="593" t="str">
        <f t="shared" si="3"/>
        <v>YUBA543</v>
      </c>
      <c r="AF31" s="749" t="s">
        <v>138</v>
      </c>
      <c r="AG31" s="749"/>
      <c r="AH31" s="749"/>
      <c r="AI31" s="749"/>
      <c r="AJ31" s="749"/>
      <c r="AK31" s="442"/>
      <c r="AL31" s="442"/>
    </row>
    <row r="32" spans="1:38" ht="14.25" customHeight="1" x14ac:dyDescent="0.25">
      <c r="A32" s="54" t="str">
        <f>'[12]Table 10 CWTs exp'!A32</f>
        <v>YUBB543</v>
      </c>
      <c r="B32" s="75" t="str">
        <f>'[12]Table 10 CWTs exp'!B32</f>
        <v>YUBB</v>
      </c>
      <c r="C32" s="75">
        <f>'[12]Table 10 CWTs exp'!C32</f>
        <v>54</v>
      </c>
      <c r="D32" s="75">
        <f>'[12]Table 10 CWTs exp'!D32</f>
        <v>3</v>
      </c>
      <c r="E32" s="79" t="s">
        <v>85</v>
      </c>
      <c r="F32" s="37" t="str">
        <f>'[12]Table 10 CWTs exp'!F32</f>
        <v>Fall</v>
      </c>
      <c r="G32" s="144" t="str">
        <f>IF('[12]Table 10 CWTs exp'!G32/'[12]Table 10 CWTs exp'!$AA32&gt;0,'[12]Table 10 CWTs exp'!G32/'[12]Table 10 CWTs exp'!$AA32," ")</f>
        <v xml:space="preserve"> </v>
      </c>
      <c r="H32" s="145" t="str">
        <f>IF('[12]Table 10 CWTs exp'!H32/'[12]Table 10 CWTs exp'!$AA32&gt;0,'[12]Table 10 CWTs exp'!H32/'[12]Table 10 CWTs exp'!$AA32," ")</f>
        <v xml:space="preserve"> </v>
      </c>
      <c r="I32" s="144" t="str">
        <f>IF('[12]Table 10 CWTs exp'!I32/'[12]Table 10 CWTs exp'!$AA32&gt;0,'[12]Table 10 CWTs exp'!I32/'[12]Table 10 CWTs exp'!$AA32," ")</f>
        <v xml:space="preserve"> </v>
      </c>
      <c r="J32" s="146" t="str">
        <f>IF('[12]Table 10 CWTs exp'!J32/'[12]Table 10 CWTs exp'!$AA32&gt;0,'[12]Table 10 CWTs exp'!J32/'[12]Table 10 CWTs exp'!$AA32," ")</f>
        <v xml:space="preserve"> </v>
      </c>
      <c r="K32" s="144">
        <f>IF('[12]Table 10 CWTs exp'!K32/'[12]Table 10 CWTs exp'!$AA32&gt;0,'[12]Table 10 CWTs exp'!K32/'[12]Table 10 CWTs exp'!$AA32," ")</f>
        <v>4.71976401179941E-2</v>
      </c>
      <c r="L32" s="144">
        <f>IF('[12]Table 10 CWTs exp'!L32/'[12]Table 10 CWTs exp'!$AA32&gt;0,'[12]Table 10 CWTs exp'!L32/'[12]Table 10 CWTs exp'!$AA32," ")</f>
        <v>1.6224188790560472E-2</v>
      </c>
      <c r="M32" s="144">
        <f>IF('[12]Table 10 CWTs exp'!M32/'[12]Table 10 CWTs exp'!$AA32&gt;0,'[12]Table 10 CWTs exp'!M32/'[12]Table 10 CWTs exp'!$AA32," ")</f>
        <v>0.44247787610619471</v>
      </c>
      <c r="N32" s="146">
        <f>IF('[12]Table 10 CWTs exp'!N32/'[12]Table 10 CWTs exp'!$AA32&gt;0,'[12]Table 10 CWTs exp'!N32/'[12]Table 10 CWTs exp'!$AA32," ")</f>
        <v>0.12536873156342182</v>
      </c>
      <c r="O32" s="144" t="str">
        <f>IF('[12]Table 10 CWTs exp'!O32/'[12]Table 10 CWTs exp'!$AA32&gt;0,'[12]Table 10 CWTs exp'!O32/'[12]Table 10 CWTs exp'!$AA32," ")</f>
        <v xml:space="preserve"> </v>
      </c>
      <c r="P32" s="146">
        <f>IF('[12]Table 10 CWTs exp'!P32/'[12]Table 10 CWTs exp'!$AA32&gt;0,'[12]Table 10 CWTs exp'!P32/'[12]Table 10 CWTs exp'!$AA32," ")</f>
        <v>0.12536873156342182</v>
      </c>
      <c r="Q32" s="144" t="str">
        <f>IF('[12]Table 10 CWTs exp'!Q32/'[12]Table 10 CWTs exp'!$AA32&gt;0,'[12]Table 10 CWTs exp'!Q32/'[12]Table 10 CWTs exp'!$AA32," ")</f>
        <v xml:space="preserve"> </v>
      </c>
      <c r="R32" s="144" t="str">
        <f>IF('[12]Table 10 CWTs exp'!R32/'[12]Table 10 CWTs exp'!$AA32&gt;0,'[12]Table 10 CWTs exp'!R32/'[12]Table 10 CWTs exp'!$AA32," ")</f>
        <v xml:space="preserve"> </v>
      </c>
      <c r="S32" s="144" t="str">
        <f>IF('[12]Table 10 CWTs exp'!S32/'[12]Table 10 CWTs exp'!$AA32&gt;0,'[12]Table 10 CWTs exp'!S32/'[12]Table 10 CWTs exp'!$AA32," ")</f>
        <v xml:space="preserve"> </v>
      </c>
      <c r="T32" s="146" t="str">
        <f>IF('[12]Table 10 CWTs exp'!T32/'[12]Table 10 CWTs exp'!$AA32&gt;0,'[12]Table 10 CWTs exp'!T32/'[12]Table 10 CWTs exp'!$AA32," ")</f>
        <v xml:space="preserve"> </v>
      </c>
      <c r="U32" s="144" t="str">
        <f>IF('[12]Table 10 CWTs exp'!U32/'[12]Table 10 CWTs exp'!$AA32&gt;0,'[12]Table 10 CWTs exp'!U32/'[12]Table 10 CWTs exp'!$AA32," ")</f>
        <v xml:space="preserve"> </v>
      </c>
      <c r="V32" s="146" t="str">
        <f>IF('[12]Table 10 CWTs exp'!V32/'[12]Table 10 CWTs exp'!$AA32&gt;0,'[12]Table 10 CWTs exp'!V32/'[12]Table 10 CWTs exp'!$AA32," ")</f>
        <v xml:space="preserve"> </v>
      </c>
      <c r="W32" s="146" t="str">
        <f>IF('[12]Table 10 CWTs exp'!W32/'[12]Table 10 CWTs exp'!$AA32&gt;0,'[12]Table 10 CWTs exp'!W32/'[12]Table 10 CWTs exp'!$AA32," ")</f>
        <v xml:space="preserve"> </v>
      </c>
      <c r="X32" s="144" t="str">
        <f>IF('[12]Table 10 CWTs exp'!X32/'[12]Table 10 CWTs exp'!$AA32&gt;0,'[12]Table 10 CWTs exp'!X32/'[12]Table 10 CWTs exp'!$AA32," ")</f>
        <v xml:space="preserve"> </v>
      </c>
      <c r="Y32" s="147">
        <f t="shared" si="4"/>
        <v>0.75663716814159288</v>
      </c>
      <c r="Z32" s="148">
        <f t="shared" si="5"/>
        <v>0.24336283185840712</v>
      </c>
      <c r="AA32" s="38">
        <f>'[12]Table 10 CWTs exp'!AA32</f>
        <v>678</v>
      </c>
      <c r="AC32" s="592">
        <f>'[12]Table 10 CWTs exp'!AD32</f>
        <v>0.75700000000000001</v>
      </c>
      <c r="AD32" s="592">
        <f t="shared" si="2"/>
        <v>-3.6283185840713106E-4</v>
      </c>
      <c r="AE32" s="593" t="str">
        <f t="shared" si="3"/>
        <v>YUBB543</v>
      </c>
      <c r="AF32" s="749"/>
      <c r="AG32" s="749"/>
      <c r="AH32" s="749"/>
      <c r="AI32" s="749"/>
      <c r="AJ32" s="749"/>
      <c r="AK32" s="442"/>
      <c r="AL32" s="442"/>
    </row>
    <row r="33" spans="1:38" ht="14.5" customHeight="1" x14ac:dyDescent="0.25">
      <c r="A33" s="54" t="str">
        <f>'[12]Table 10 CWTs exp'!A33</f>
        <v>LARC543</v>
      </c>
      <c r="B33" s="75" t="str">
        <f>'[12]Table 10 CWTs exp'!B33</f>
        <v>LARC</v>
      </c>
      <c r="C33" s="75">
        <f>'[12]Table 10 CWTs exp'!C33</f>
        <v>54</v>
      </c>
      <c r="D33" s="75">
        <f>'[12]Table 10 CWTs exp'!D33</f>
        <v>3</v>
      </c>
      <c r="E33" t="str">
        <f>'[12]Table 10 CWTs exp'!E33</f>
        <v>American River</v>
      </c>
      <c r="F33" s="37" t="str">
        <f>'[12]Table 10 CWTs exp'!F33</f>
        <v>Fall</v>
      </c>
      <c r="G33" s="144" t="str">
        <f>IF('[12]Table 10 CWTs exp'!G33/'[12]Table 10 CWTs exp'!$AA33&gt;0,'[12]Table 10 CWTs exp'!G33/'[12]Table 10 CWTs exp'!$AA33," ")</f>
        <v xml:space="preserve"> </v>
      </c>
      <c r="H33" s="145" t="str">
        <f>IF('[12]Table 10 CWTs exp'!H33/'[12]Table 10 CWTs exp'!$AA33&gt;0,'[12]Table 10 CWTs exp'!H33/'[12]Table 10 CWTs exp'!$AA33," ")</f>
        <v xml:space="preserve"> </v>
      </c>
      <c r="I33" s="144">
        <f>IF('[12]Table 10 CWTs exp'!I33/'[12]Table 10 CWTs exp'!$AA33&gt;0,'[12]Table 10 CWTs exp'!I33/'[12]Table 10 CWTs exp'!$AA33," ")</f>
        <v>5.5493895671476139E-4</v>
      </c>
      <c r="J33" s="146" t="str">
        <f>IF('[12]Table 10 CWTs exp'!J33/'[12]Table 10 CWTs exp'!$AA33&gt;0,'[12]Table 10 CWTs exp'!J33/'[12]Table 10 CWTs exp'!$AA33," ")</f>
        <v xml:space="preserve"> </v>
      </c>
      <c r="K33" s="144" t="str">
        <f>IF('[12]Table 10 CWTs exp'!K33/'[12]Table 10 CWTs exp'!$AA33&gt;0,'[12]Table 10 CWTs exp'!K33/'[12]Table 10 CWTs exp'!$AA33," ")</f>
        <v xml:space="preserve"> </v>
      </c>
      <c r="L33" s="144" t="str">
        <f>IF('[12]Table 10 CWTs exp'!L33/'[12]Table 10 CWTs exp'!$AA33&gt;0,'[12]Table 10 CWTs exp'!L33/'[12]Table 10 CWTs exp'!$AA33," ")</f>
        <v xml:space="preserve"> </v>
      </c>
      <c r="M33" s="144">
        <f>IF('[12]Table 10 CWTs exp'!M33/'[12]Table 10 CWTs exp'!$AA33&gt;0,'[12]Table 10 CWTs exp'!M33/'[12]Table 10 CWTs exp'!$AA33," ")</f>
        <v>5.2571217166111725E-2</v>
      </c>
      <c r="N33" s="146">
        <f>IF('[12]Table 10 CWTs exp'!N33/'[12]Table 10 CWTs exp'!$AA33&gt;0,'[12]Table 10 CWTs exp'!N33/'[12]Table 10 CWTs exp'!$AA33," ")</f>
        <v>3.0299667036625972E-2</v>
      </c>
      <c r="O33" s="144">
        <f>IF('[12]Table 10 CWTs exp'!O33/'[12]Table 10 CWTs exp'!$AA33&gt;0,'[12]Table 10 CWTs exp'!O33/'[12]Table 10 CWTs exp'!$AA33," ")</f>
        <v>0.24280429152793193</v>
      </c>
      <c r="P33" s="146">
        <f>IF('[12]Table 10 CWTs exp'!P33/'[12]Table 10 CWTs exp'!$AA33&gt;0,'[12]Table 10 CWTs exp'!P33/'[12]Table 10 CWTs exp'!$AA33," ")</f>
        <v>0.34491305956344803</v>
      </c>
      <c r="Q33" s="144">
        <f>IF('[12]Table 10 CWTs exp'!Q33/'[12]Table 10 CWTs exp'!$AA33&gt;0,'[12]Table 10 CWTs exp'!Q33/'[12]Table 10 CWTs exp'!$AA33," ")</f>
        <v>7.7691453940066592E-4</v>
      </c>
      <c r="R33" s="144">
        <f>IF('[12]Table 10 CWTs exp'!R33/'[12]Table 10 CWTs exp'!$AA33&gt;0,'[12]Table 10 CWTs exp'!R33/'[12]Table 10 CWTs exp'!$AA33," ")</f>
        <v>0.17147613762486127</v>
      </c>
      <c r="S33" s="144">
        <f>IF('[12]Table 10 CWTs exp'!S33/'[12]Table 10 CWTs exp'!$AA33&gt;0,'[12]Table 10 CWTs exp'!S33/'[12]Table 10 CWTs exp'!$AA33," ")</f>
        <v>3.5405105438401772E-2</v>
      </c>
      <c r="T33" s="146">
        <f>IF('[12]Table 10 CWTs exp'!T33/'[12]Table 10 CWTs exp'!$AA33&gt;0,'[12]Table 10 CWTs exp'!T33/'[12]Table 10 CWTs exp'!$AA33," ")</f>
        <v>2.3936366999630039E-2</v>
      </c>
      <c r="U33" s="144">
        <f>IF('[12]Table 10 CWTs exp'!U33/'[12]Table 10 CWTs exp'!$AA33&gt;0,'[12]Table 10 CWTs exp'!U33/'[12]Table 10 CWTs exp'!$AA33," ")</f>
        <v>4.4395116537180912E-4</v>
      </c>
      <c r="V33" s="146">
        <f>IF('[12]Table 10 CWTs exp'!V33/'[12]Table 10 CWTs exp'!$AA33&gt;0,'[12]Table 10 CWTs exp'!V33/'[12]Table 10 CWTs exp'!$AA33," ")</f>
        <v>3.3962264150943396E-2</v>
      </c>
      <c r="W33" s="146" t="str">
        <f>IF('[12]Table 10 CWTs exp'!W33/'[12]Table 10 CWTs exp'!$AA33&gt;0,'[12]Table 10 CWTs exp'!W33/'[12]Table 10 CWTs exp'!$AA33," ")</f>
        <v xml:space="preserve"> </v>
      </c>
      <c r="X33" s="144" t="str">
        <f>IF('[12]Table 10 CWTs exp'!X33/'[12]Table 10 CWTs exp'!$AA33&gt;0,'[12]Table 10 CWTs exp'!X33/'[12]Table 10 CWTs exp'!$AA33," ")</f>
        <v xml:space="preserve"> </v>
      </c>
      <c r="Y33" s="147">
        <f t="shared" si="4"/>
        <v>0.93714391416944143</v>
      </c>
      <c r="Z33" s="148">
        <f t="shared" si="5"/>
        <v>6.2856085830558572E-2</v>
      </c>
      <c r="AA33" s="38">
        <f>'[12]Table 10 CWTs exp'!AA33</f>
        <v>27030</v>
      </c>
      <c r="AC33" s="592">
        <f>'[12]Table 10 CWTs exp'!AD33</f>
        <v>0.93700000000000006</v>
      </c>
      <c r="AD33" s="592">
        <f t="shared" si="2"/>
        <v>1.4391416944137259E-4</v>
      </c>
      <c r="AE33" s="593" t="str">
        <f t="shared" si="3"/>
        <v>LARC543</v>
      </c>
      <c r="AF33" s="442"/>
      <c r="AG33" s="442"/>
      <c r="AH33" s="648"/>
      <c r="AI33" s="454"/>
      <c r="AJ33" s="442"/>
      <c r="AK33" s="442"/>
      <c r="AL33" s="442"/>
    </row>
    <row r="34" spans="1:38" ht="14.25" hidden="1" customHeight="1" x14ac:dyDescent="0.25">
      <c r="A34" s="54" t="str">
        <f>'[12]Table 10 CWTs exp'!A34</f>
        <v>NIMW593</v>
      </c>
      <c r="B34" s="75" t="str">
        <f>'[12]Table 10 CWTs exp'!B34</f>
        <v>NIMW</v>
      </c>
      <c r="C34" s="75">
        <f>'[12]Table 10 CWTs exp'!C34</f>
        <v>59</v>
      </c>
      <c r="D34" s="75">
        <f>'[12]Table 10 CWTs exp'!D34</f>
        <v>3</v>
      </c>
      <c r="E34" t="str">
        <f>'[12]Table 10 CWTs exp'!E34</f>
        <v>Nimbus Fish Hatchery Weir</v>
      </c>
      <c r="F34" s="37" t="str">
        <f>'[12]Table 10 CWTs exp'!F34</f>
        <v>Fall</v>
      </c>
      <c r="G34" s="144" t="e">
        <f>IF('[12]Table 10 CWTs exp'!G34/'[12]Table 10 CWTs exp'!$AA34&gt;0,'[12]Table 10 CWTs exp'!G34/'[12]Table 10 CWTs exp'!$AA34," ")</f>
        <v>#DIV/0!</v>
      </c>
      <c r="H34" s="145" t="e">
        <f>IF('[12]Table 10 CWTs exp'!H34/'[12]Table 10 CWTs exp'!$AA34&gt;0,'[12]Table 10 CWTs exp'!H34/'[12]Table 10 CWTs exp'!$AA34," ")</f>
        <v>#DIV/0!</v>
      </c>
      <c r="I34" s="144" t="e">
        <f>IF('[12]Table 10 CWTs exp'!I34/'[12]Table 10 CWTs exp'!$AA34&gt;0,'[12]Table 10 CWTs exp'!I34/'[12]Table 10 CWTs exp'!$AA34," ")</f>
        <v>#DIV/0!</v>
      </c>
      <c r="J34" s="146" t="e">
        <f>IF('[12]Table 10 CWTs exp'!J34/'[12]Table 10 CWTs exp'!$AA34&gt;0,'[12]Table 10 CWTs exp'!J34/'[12]Table 10 CWTs exp'!$AA34," ")</f>
        <v>#DIV/0!</v>
      </c>
      <c r="K34" s="144" t="e">
        <f>IF('[12]Table 10 CWTs exp'!K34/'[12]Table 10 CWTs exp'!$AA34&gt;0,'[12]Table 10 CWTs exp'!K34/'[12]Table 10 CWTs exp'!$AA34," ")</f>
        <v>#DIV/0!</v>
      </c>
      <c r="L34" s="144" t="e">
        <f>IF('[12]Table 10 CWTs exp'!L34/'[12]Table 10 CWTs exp'!$AA34&gt;0,'[12]Table 10 CWTs exp'!L34/'[12]Table 10 CWTs exp'!$AA34," ")</f>
        <v>#DIV/0!</v>
      </c>
      <c r="M34" s="144" t="e">
        <f>IF('[12]Table 10 CWTs exp'!M34/'[12]Table 10 CWTs exp'!$AA34&gt;0,'[12]Table 10 CWTs exp'!M34/'[12]Table 10 CWTs exp'!$AA34," ")</f>
        <v>#DIV/0!</v>
      </c>
      <c r="N34" s="146" t="e">
        <f>IF('[12]Table 10 CWTs exp'!N34/'[12]Table 10 CWTs exp'!$AA34&gt;0,'[12]Table 10 CWTs exp'!N34/'[12]Table 10 CWTs exp'!$AA34," ")</f>
        <v>#DIV/0!</v>
      </c>
      <c r="O34" s="144" t="e">
        <f>IF('[12]Table 10 CWTs exp'!O34/'[12]Table 10 CWTs exp'!$AA34&gt;0,'[12]Table 10 CWTs exp'!O34/'[12]Table 10 CWTs exp'!$AA34," ")</f>
        <v>#DIV/0!</v>
      </c>
      <c r="P34" s="146" t="e">
        <f>IF('[12]Table 10 CWTs exp'!P34/'[12]Table 10 CWTs exp'!$AA34&gt;0,'[12]Table 10 CWTs exp'!P34/'[12]Table 10 CWTs exp'!$AA34," ")</f>
        <v>#DIV/0!</v>
      </c>
      <c r="Q34" s="144" t="e">
        <f>IF('[12]Table 10 CWTs exp'!Q34/'[12]Table 10 CWTs exp'!$AA34&gt;0,'[12]Table 10 CWTs exp'!Q34/'[12]Table 10 CWTs exp'!$AA34," ")</f>
        <v>#DIV/0!</v>
      </c>
      <c r="R34" s="144" t="e">
        <f>IF('[12]Table 10 CWTs exp'!R34/'[12]Table 10 CWTs exp'!$AA34&gt;0,'[12]Table 10 CWTs exp'!R34/'[12]Table 10 CWTs exp'!$AA34," ")</f>
        <v>#DIV/0!</v>
      </c>
      <c r="S34" s="144" t="e">
        <f>IF('[12]Table 10 CWTs exp'!S34/'[12]Table 10 CWTs exp'!$AA34&gt;0,'[12]Table 10 CWTs exp'!S34/'[12]Table 10 CWTs exp'!$AA34," ")</f>
        <v>#DIV/0!</v>
      </c>
      <c r="T34" s="146" t="e">
        <f>IF('[12]Table 10 CWTs exp'!T34/'[12]Table 10 CWTs exp'!$AA34&gt;0,'[12]Table 10 CWTs exp'!T34/'[12]Table 10 CWTs exp'!$AA34," ")</f>
        <v>#DIV/0!</v>
      </c>
      <c r="U34" s="144" t="e">
        <f>IF('[12]Table 10 CWTs exp'!U34/'[12]Table 10 CWTs exp'!$AA34&gt;0,'[12]Table 10 CWTs exp'!U34/'[12]Table 10 CWTs exp'!$AA34," ")</f>
        <v>#DIV/0!</v>
      </c>
      <c r="V34" s="146" t="e">
        <f>IF('[12]Table 10 CWTs exp'!V34/'[12]Table 10 CWTs exp'!$AA34&gt;0,'[12]Table 10 CWTs exp'!V34/'[12]Table 10 CWTs exp'!$AA34," ")</f>
        <v>#DIV/0!</v>
      </c>
      <c r="W34" s="146" t="e">
        <f>IF('[12]Table 10 CWTs exp'!W34/'[12]Table 10 CWTs exp'!$AA34&gt;0,'[12]Table 10 CWTs exp'!W34/'[12]Table 10 CWTs exp'!$AA34," ")</f>
        <v>#DIV/0!</v>
      </c>
      <c r="X34" s="144" t="e">
        <f>IF('[12]Table 10 CWTs exp'!X34/'[12]Table 10 CWTs exp'!$AA34&gt;0,'[12]Table 10 CWTs exp'!X34/'[12]Table 10 CWTs exp'!$AA34," ")</f>
        <v>#DIV/0!</v>
      </c>
      <c r="Y34" s="147" t="e">
        <f t="shared" si="4"/>
        <v>#DIV/0!</v>
      </c>
      <c r="Z34" s="148" t="e">
        <f t="shared" si="5"/>
        <v>#DIV/0!</v>
      </c>
      <c r="AA34" s="38">
        <f>'[12]Table 10 CWTs exp'!AA34</f>
        <v>0</v>
      </c>
      <c r="AC34" s="592">
        <f>'[12]Table 10 CWTs exp'!AD34</f>
        <v>0</v>
      </c>
      <c r="AD34" s="592" t="e">
        <f t="shared" si="2"/>
        <v>#DIV/0!</v>
      </c>
      <c r="AE34" s="593" t="str">
        <f t="shared" si="3"/>
        <v>NIMW593</v>
      </c>
      <c r="AF34" s="442"/>
      <c r="AG34" s="442"/>
      <c r="AH34" s="648"/>
      <c r="AI34" s="454"/>
      <c r="AJ34" s="442"/>
      <c r="AK34" s="442"/>
      <c r="AL34" s="442"/>
    </row>
    <row r="35" spans="1:38" ht="14.5" customHeight="1" x14ac:dyDescent="0.25">
      <c r="A35" s="54" t="str">
        <f>'[12]Table 10 CWTs exp'!A35</f>
        <v>MOKE543</v>
      </c>
      <c r="B35" s="75" t="str">
        <f>'[12]Table 10 CWTs exp'!B35</f>
        <v>MOKE</v>
      </c>
      <c r="C35" s="75">
        <f>'[12]Table 10 CWTs exp'!C35</f>
        <v>54</v>
      </c>
      <c r="D35" s="75">
        <f>'[12]Table 10 CWTs exp'!D35</f>
        <v>3</v>
      </c>
      <c r="E35" t="str">
        <f>'[12]Table 10 CWTs exp'!E35</f>
        <v>Mokelumne River</v>
      </c>
      <c r="F35" s="37" t="str">
        <f>'[12]Table 10 CWTs exp'!F35</f>
        <v>Fall</v>
      </c>
      <c r="G35" s="144" t="str">
        <f>IF('[12]Table 10 CWTs exp'!G35/'[12]Table 10 CWTs exp'!$AA35&gt;0,'[12]Table 10 CWTs exp'!G35/'[12]Table 10 CWTs exp'!$AA35," ")</f>
        <v xml:space="preserve"> </v>
      </c>
      <c r="H35" s="145" t="str">
        <f>IF('[12]Table 10 CWTs exp'!H35/'[12]Table 10 CWTs exp'!$AA35&gt;0,'[12]Table 10 CWTs exp'!H35/'[12]Table 10 CWTs exp'!$AA35," ")</f>
        <v xml:space="preserve"> </v>
      </c>
      <c r="I35" s="144">
        <f>IF('[12]Table 10 CWTs exp'!I35/'[12]Table 10 CWTs exp'!$AA35&gt;0,'[12]Table 10 CWTs exp'!I35/'[12]Table 10 CWTs exp'!$AA35," ")</f>
        <v>7.556675062972292E-3</v>
      </c>
      <c r="J35" s="146" t="str">
        <f>IF('[12]Table 10 CWTs exp'!J35/'[12]Table 10 CWTs exp'!$AA35&gt;0,'[12]Table 10 CWTs exp'!J35/'[12]Table 10 CWTs exp'!$AA35," ")</f>
        <v xml:space="preserve"> </v>
      </c>
      <c r="K35" s="144" t="str">
        <f>IF('[12]Table 10 CWTs exp'!K35/'[12]Table 10 CWTs exp'!$AA35&gt;0,'[12]Table 10 CWTs exp'!K35/'[12]Table 10 CWTs exp'!$AA35," ")</f>
        <v xml:space="preserve"> </v>
      </c>
      <c r="L35" s="144" t="str">
        <f>IF('[12]Table 10 CWTs exp'!L35/'[12]Table 10 CWTs exp'!$AA35&gt;0,'[12]Table 10 CWTs exp'!L35/'[12]Table 10 CWTs exp'!$AA35," ")</f>
        <v xml:space="preserve"> </v>
      </c>
      <c r="M35" s="144">
        <f>IF('[12]Table 10 CWTs exp'!M35/'[12]Table 10 CWTs exp'!$AA35&gt;0,'[12]Table 10 CWTs exp'!M35/'[12]Table 10 CWTs exp'!$AA35," ")</f>
        <v>1.5113350125944584E-2</v>
      </c>
      <c r="N35" s="146">
        <f>IF('[12]Table 10 CWTs exp'!N35/'[12]Table 10 CWTs exp'!$AA35&gt;0,'[12]Table 10 CWTs exp'!N35/'[12]Table 10 CWTs exp'!$AA35," ")</f>
        <v>2.2899015342340279E-2</v>
      </c>
      <c r="O35" s="144" t="str">
        <f>IF('[12]Table 10 CWTs exp'!O35/'[12]Table 10 CWTs exp'!$AA35&gt;0,'[12]Table 10 CWTs exp'!O35/'[12]Table 10 CWTs exp'!$AA35," ")</f>
        <v xml:space="preserve"> </v>
      </c>
      <c r="P35" s="146">
        <f>IF('[12]Table 10 CWTs exp'!P35/'[12]Table 10 CWTs exp'!$AA35&gt;0,'[12]Table 10 CWTs exp'!P35/'[12]Table 10 CWTs exp'!$AA35," ")</f>
        <v>6.068239065720174E-2</v>
      </c>
      <c r="Q35" s="144">
        <f>IF('[12]Table 10 CWTs exp'!Q35/'[12]Table 10 CWTs exp'!$AA35&gt;0,'[12]Table 10 CWTs exp'!Q35/'[12]Table 10 CWTs exp'!$AA35," ")</f>
        <v>7.556675062972292E-3</v>
      </c>
      <c r="R35" s="144">
        <f>IF('[12]Table 10 CWTs exp'!R35/'[12]Table 10 CWTs exp'!$AA35&gt;0,'[12]Table 10 CWTs exp'!R35/'[12]Table 10 CWTs exp'!$AA35," ")</f>
        <v>0.54774444698877944</v>
      </c>
      <c r="S35" s="144">
        <f>IF('[12]Table 10 CWTs exp'!S35/'[12]Table 10 CWTs exp'!$AA35&gt;0,'[12]Table 10 CWTs exp'!S35/'[12]Table 10 CWTs exp'!$AA35," ")</f>
        <v>2.2899015342340279E-2</v>
      </c>
      <c r="T35" s="146">
        <f>IF('[12]Table 10 CWTs exp'!T35/'[12]Table 10 CWTs exp'!$AA35&gt;0,'[12]Table 10 CWTs exp'!T35/'[12]Table 10 CWTs exp'!$AA35," ")</f>
        <v>2.6562857797114724E-2</v>
      </c>
      <c r="U35" s="144" t="str">
        <f>IF('[12]Table 10 CWTs exp'!U35/'[12]Table 10 CWTs exp'!$AA35&gt;0,'[12]Table 10 CWTs exp'!U35/'[12]Table 10 CWTs exp'!$AA35," ")</f>
        <v xml:space="preserve"> </v>
      </c>
      <c r="V35" s="146">
        <f>IF('[12]Table 10 CWTs exp'!V35/'[12]Table 10 CWTs exp'!$AA35&gt;0,'[12]Table 10 CWTs exp'!V35/'[12]Table 10 CWTs exp'!$AA35," ")</f>
        <v>1.877719258071903E-2</v>
      </c>
      <c r="W35" s="146" t="str">
        <f>IF('[12]Table 10 CWTs exp'!W35/'[12]Table 10 CWTs exp'!$AA35&gt;0,'[12]Table 10 CWTs exp'!W35/'[12]Table 10 CWTs exp'!$AA35," ")</f>
        <v xml:space="preserve"> </v>
      </c>
      <c r="X35" s="144" t="str">
        <f>IF('[12]Table 10 CWTs exp'!X35/'[12]Table 10 CWTs exp'!$AA35&gt;0,'[12]Table 10 CWTs exp'!X35/'[12]Table 10 CWTs exp'!$AA35," ")</f>
        <v xml:space="preserve"> </v>
      </c>
      <c r="Y35" s="147">
        <f t="shared" si="4"/>
        <v>0.7297916189603848</v>
      </c>
      <c r="Z35" s="148">
        <f t="shared" si="5"/>
        <v>0.2702083810396152</v>
      </c>
      <c r="AA35" s="38">
        <f>'[12]Table 10 CWTs exp'!AA35</f>
        <v>4367</v>
      </c>
      <c r="AC35" s="592">
        <f>'[12]Table 10 CWTs exp'!AD35</f>
        <v>0.73</v>
      </c>
      <c r="AD35" s="592">
        <f t="shared" si="2"/>
        <v>-2.0838103961517973E-4</v>
      </c>
      <c r="AE35" s="593" t="str">
        <f t="shared" si="3"/>
        <v>MOKE543</v>
      </c>
      <c r="AF35" s="442"/>
      <c r="AG35" s="442"/>
      <c r="AH35" s="648"/>
      <c r="AI35" s="454"/>
      <c r="AJ35" s="442"/>
      <c r="AK35" s="442"/>
      <c r="AL35" s="442"/>
    </row>
    <row r="36" spans="1:38" ht="14.25" hidden="1" customHeight="1" x14ac:dyDescent="0.25">
      <c r="A36" s="54" t="str">
        <f>'[12]Table 10 CWTs exp'!A36</f>
        <v>COSU543</v>
      </c>
      <c r="B36" s="75" t="str">
        <f>'[12]Table 10 CWTs exp'!B36</f>
        <v>COSU</v>
      </c>
      <c r="C36" s="75">
        <f>'[12]Table 10 CWTs exp'!C36</f>
        <v>54</v>
      </c>
      <c r="D36" s="75">
        <f>'[12]Table 10 CWTs exp'!D36</f>
        <v>3</v>
      </c>
      <c r="E36" t="str">
        <f>'[12]Table 10 CWTs exp'!E36</f>
        <v>Cosumnes River</v>
      </c>
      <c r="F36" s="37" t="str">
        <f>'[12]Table 10 CWTs exp'!F36</f>
        <v>Fall</v>
      </c>
      <c r="G36" s="144" t="e">
        <f>IF('[12]Table 10 CWTs exp'!G36/'[12]Table 10 CWTs exp'!$AA36&gt;0,'[12]Table 10 CWTs exp'!G36/'[12]Table 10 CWTs exp'!$AA36," ")</f>
        <v>#DIV/0!</v>
      </c>
      <c r="H36" s="145" t="e">
        <f>IF('[12]Table 10 CWTs exp'!H36/'[12]Table 10 CWTs exp'!$AA36&gt;0,'[12]Table 10 CWTs exp'!H36/'[12]Table 10 CWTs exp'!$AA36," ")</f>
        <v>#DIV/0!</v>
      </c>
      <c r="I36" s="144" t="e">
        <f>IF('[12]Table 10 CWTs exp'!I36/'[12]Table 10 CWTs exp'!$AA36&gt;0,'[12]Table 10 CWTs exp'!I36/'[12]Table 10 CWTs exp'!$AA36," ")</f>
        <v>#DIV/0!</v>
      </c>
      <c r="J36" s="146" t="e">
        <f>IF('[12]Table 10 CWTs exp'!J36/'[12]Table 10 CWTs exp'!$AA36&gt;0,'[12]Table 10 CWTs exp'!J36/'[12]Table 10 CWTs exp'!$AA36," ")</f>
        <v>#DIV/0!</v>
      </c>
      <c r="K36" s="144" t="e">
        <f>IF('[12]Table 10 CWTs exp'!K36/'[12]Table 10 CWTs exp'!$AA36&gt;0,'[12]Table 10 CWTs exp'!K36/'[12]Table 10 CWTs exp'!$AA36," ")</f>
        <v>#DIV/0!</v>
      </c>
      <c r="L36" s="144" t="e">
        <f>IF('[12]Table 10 CWTs exp'!L36/'[12]Table 10 CWTs exp'!$AA36&gt;0,'[12]Table 10 CWTs exp'!L36/'[12]Table 10 CWTs exp'!$AA36," ")</f>
        <v>#DIV/0!</v>
      </c>
      <c r="M36" s="144" t="e">
        <f>IF('[12]Table 10 CWTs exp'!M36/'[12]Table 10 CWTs exp'!$AA36&gt;0,'[12]Table 10 CWTs exp'!M36/'[12]Table 10 CWTs exp'!$AA36," ")</f>
        <v>#DIV/0!</v>
      </c>
      <c r="N36" s="146" t="e">
        <f>IF('[12]Table 10 CWTs exp'!N36/'[12]Table 10 CWTs exp'!$AA36&gt;0,'[12]Table 10 CWTs exp'!N36/'[12]Table 10 CWTs exp'!$AA36," ")</f>
        <v>#DIV/0!</v>
      </c>
      <c r="O36" s="144" t="e">
        <f>IF('[12]Table 10 CWTs exp'!O36/'[12]Table 10 CWTs exp'!$AA36&gt;0,'[12]Table 10 CWTs exp'!O36/'[12]Table 10 CWTs exp'!$AA36," ")</f>
        <v>#DIV/0!</v>
      </c>
      <c r="P36" s="146" t="e">
        <f>IF('[12]Table 10 CWTs exp'!P36/'[12]Table 10 CWTs exp'!$AA36&gt;0,'[12]Table 10 CWTs exp'!P36/'[12]Table 10 CWTs exp'!$AA36," ")</f>
        <v>#DIV/0!</v>
      </c>
      <c r="Q36" s="144" t="e">
        <f>IF('[12]Table 10 CWTs exp'!Q36/'[12]Table 10 CWTs exp'!$AA36&gt;0,'[12]Table 10 CWTs exp'!Q36/'[12]Table 10 CWTs exp'!$AA36," ")</f>
        <v>#DIV/0!</v>
      </c>
      <c r="R36" s="144" t="e">
        <f>IF('[12]Table 10 CWTs exp'!R36/'[12]Table 10 CWTs exp'!$AA36&gt;0,'[12]Table 10 CWTs exp'!R36/'[12]Table 10 CWTs exp'!$AA36," ")</f>
        <v>#DIV/0!</v>
      </c>
      <c r="S36" s="144" t="e">
        <f>IF('[12]Table 10 CWTs exp'!S36/'[12]Table 10 CWTs exp'!$AA36&gt;0,'[12]Table 10 CWTs exp'!S36/'[12]Table 10 CWTs exp'!$AA36," ")</f>
        <v>#DIV/0!</v>
      </c>
      <c r="T36" s="146" t="e">
        <f>IF('[12]Table 10 CWTs exp'!T36/'[12]Table 10 CWTs exp'!$AA36&gt;0,'[12]Table 10 CWTs exp'!T36/'[12]Table 10 CWTs exp'!$AA36," ")</f>
        <v>#DIV/0!</v>
      </c>
      <c r="U36" s="144" t="e">
        <f>IF('[12]Table 10 CWTs exp'!U36/'[12]Table 10 CWTs exp'!$AA36&gt;0,'[12]Table 10 CWTs exp'!U36/'[12]Table 10 CWTs exp'!$AA36," ")</f>
        <v>#DIV/0!</v>
      </c>
      <c r="V36" s="146" t="e">
        <f>IF('[12]Table 10 CWTs exp'!V36/'[12]Table 10 CWTs exp'!$AA36&gt;0,'[12]Table 10 CWTs exp'!V36/'[12]Table 10 CWTs exp'!$AA36," ")</f>
        <v>#DIV/0!</v>
      </c>
      <c r="W36" s="146" t="e">
        <f>IF('[12]Table 10 CWTs exp'!W36/'[12]Table 10 CWTs exp'!$AA36&gt;0,'[12]Table 10 CWTs exp'!W36/'[12]Table 10 CWTs exp'!$AA36," ")</f>
        <v>#DIV/0!</v>
      </c>
      <c r="X36" s="144" t="e">
        <f>IF('[12]Table 10 CWTs exp'!X36/'[12]Table 10 CWTs exp'!$AA36&gt;0,'[12]Table 10 CWTs exp'!X36/'[12]Table 10 CWTs exp'!$AA36," ")</f>
        <v>#DIV/0!</v>
      </c>
      <c r="Y36" s="147" t="e">
        <f t="shared" si="4"/>
        <v>#DIV/0!</v>
      </c>
      <c r="Z36" s="148" t="e">
        <f t="shared" si="5"/>
        <v>#DIV/0!</v>
      </c>
      <c r="AA36" s="38">
        <f>'[12]Table 10 CWTs exp'!AA36</f>
        <v>0</v>
      </c>
      <c r="AC36" s="592">
        <f>'[12]Table 10 CWTs exp'!AD36</f>
        <v>0</v>
      </c>
      <c r="AD36" s="592" t="e">
        <f t="shared" si="2"/>
        <v>#DIV/0!</v>
      </c>
      <c r="AE36" s="593" t="str">
        <f t="shared" si="3"/>
        <v>COSU543</v>
      </c>
      <c r="AF36" s="442"/>
      <c r="AG36" s="442"/>
      <c r="AH36" s="648"/>
      <c r="AI36" s="454"/>
      <c r="AJ36" s="442"/>
      <c r="AK36" s="442"/>
      <c r="AL36" s="442"/>
    </row>
    <row r="37" spans="1:38" ht="14.25" hidden="1" customHeight="1" x14ac:dyDescent="0.25">
      <c r="A37" s="54" t="str">
        <f>'[12]Table 10 CWTs exp'!A37</f>
        <v>CAL543</v>
      </c>
      <c r="B37" s="75" t="str">
        <f>'[12]Table 10 CWTs exp'!B37</f>
        <v>CAL</v>
      </c>
      <c r="C37" s="75">
        <f>'[12]Table 10 CWTs exp'!C37</f>
        <v>54</v>
      </c>
      <c r="D37" s="75">
        <f>'[12]Table 10 CWTs exp'!D37</f>
        <v>3</v>
      </c>
      <c r="E37" t="str">
        <f>'[12]Table 10 CWTs exp'!E37</f>
        <v>Calaveras River</v>
      </c>
      <c r="F37" s="37" t="str">
        <f>'[12]Table 10 CWTs exp'!F37</f>
        <v>Fall</v>
      </c>
      <c r="G37" s="144" t="e">
        <f>IF('[12]Table 10 CWTs exp'!G37/'[12]Table 10 CWTs exp'!$AA37&gt;0,'[12]Table 10 CWTs exp'!G37/'[12]Table 10 CWTs exp'!$AA37," ")</f>
        <v>#DIV/0!</v>
      </c>
      <c r="H37" s="145" t="e">
        <f>IF('[12]Table 10 CWTs exp'!H37/'[12]Table 10 CWTs exp'!$AA37&gt;0,'[12]Table 10 CWTs exp'!H37/'[12]Table 10 CWTs exp'!$AA37," ")</f>
        <v>#DIV/0!</v>
      </c>
      <c r="I37" s="144" t="e">
        <f>IF('[12]Table 10 CWTs exp'!I37/'[12]Table 10 CWTs exp'!$AA37&gt;0,'[12]Table 10 CWTs exp'!I37/'[12]Table 10 CWTs exp'!$AA37," ")</f>
        <v>#DIV/0!</v>
      </c>
      <c r="J37" s="146" t="e">
        <f>IF('[12]Table 10 CWTs exp'!J37/'[12]Table 10 CWTs exp'!$AA37&gt;0,'[12]Table 10 CWTs exp'!J37/'[12]Table 10 CWTs exp'!$AA37," ")</f>
        <v>#DIV/0!</v>
      </c>
      <c r="K37" s="144" t="e">
        <f>IF('[12]Table 10 CWTs exp'!K37/'[12]Table 10 CWTs exp'!$AA37&gt;0,'[12]Table 10 CWTs exp'!K37/'[12]Table 10 CWTs exp'!$AA37," ")</f>
        <v>#DIV/0!</v>
      </c>
      <c r="L37" s="144" t="e">
        <f>IF('[12]Table 10 CWTs exp'!L37/'[12]Table 10 CWTs exp'!$AA37&gt;0,'[12]Table 10 CWTs exp'!L37/'[12]Table 10 CWTs exp'!$AA37," ")</f>
        <v>#DIV/0!</v>
      </c>
      <c r="M37" s="144" t="e">
        <f>IF('[12]Table 10 CWTs exp'!M37/'[12]Table 10 CWTs exp'!$AA37&gt;0,'[12]Table 10 CWTs exp'!M37/'[12]Table 10 CWTs exp'!$AA37," ")</f>
        <v>#DIV/0!</v>
      </c>
      <c r="N37" s="146" t="e">
        <f>IF('[12]Table 10 CWTs exp'!N37/'[12]Table 10 CWTs exp'!$AA37&gt;0,'[12]Table 10 CWTs exp'!N37/'[12]Table 10 CWTs exp'!$AA37," ")</f>
        <v>#DIV/0!</v>
      </c>
      <c r="O37" s="144" t="e">
        <f>IF('[12]Table 10 CWTs exp'!O37/'[12]Table 10 CWTs exp'!$AA37&gt;0,'[12]Table 10 CWTs exp'!O37/'[12]Table 10 CWTs exp'!$AA37," ")</f>
        <v>#DIV/0!</v>
      </c>
      <c r="P37" s="146" t="e">
        <f>IF('[12]Table 10 CWTs exp'!P37/'[12]Table 10 CWTs exp'!$AA37&gt;0,'[12]Table 10 CWTs exp'!P37/'[12]Table 10 CWTs exp'!$AA37," ")</f>
        <v>#DIV/0!</v>
      </c>
      <c r="Q37" s="144" t="e">
        <f>IF('[12]Table 10 CWTs exp'!Q37/'[12]Table 10 CWTs exp'!$AA37&gt;0,'[12]Table 10 CWTs exp'!Q37/'[12]Table 10 CWTs exp'!$AA37," ")</f>
        <v>#DIV/0!</v>
      </c>
      <c r="R37" s="144" t="e">
        <f>IF('[12]Table 10 CWTs exp'!R37/'[12]Table 10 CWTs exp'!$AA37&gt;0,'[12]Table 10 CWTs exp'!R37/'[12]Table 10 CWTs exp'!$AA37," ")</f>
        <v>#DIV/0!</v>
      </c>
      <c r="S37" s="144" t="e">
        <f>IF('[12]Table 10 CWTs exp'!S37/'[12]Table 10 CWTs exp'!$AA37&gt;0,'[12]Table 10 CWTs exp'!S37/'[12]Table 10 CWTs exp'!$AA37," ")</f>
        <v>#DIV/0!</v>
      </c>
      <c r="T37" s="146" t="e">
        <f>IF('[12]Table 10 CWTs exp'!T37/'[12]Table 10 CWTs exp'!$AA37&gt;0,'[12]Table 10 CWTs exp'!T37/'[12]Table 10 CWTs exp'!$AA37," ")</f>
        <v>#DIV/0!</v>
      </c>
      <c r="U37" s="144" t="e">
        <f>IF('[12]Table 10 CWTs exp'!U37/'[12]Table 10 CWTs exp'!$AA37&gt;0,'[12]Table 10 CWTs exp'!U37/'[12]Table 10 CWTs exp'!$AA37," ")</f>
        <v>#DIV/0!</v>
      </c>
      <c r="V37" s="146" t="e">
        <f>IF('[12]Table 10 CWTs exp'!V37/'[12]Table 10 CWTs exp'!$AA37&gt;0,'[12]Table 10 CWTs exp'!V37/'[12]Table 10 CWTs exp'!$AA37," ")</f>
        <v>#DIV/0!</v>
      </c>
      <c r="W37" s="146" t="e">
        <f>IF('[12]Table 10 CWTs exp'!W37/'[12]Table 10 CWTs exp'!$AA37&gt;0,'[12]Table 10 CWTs exp'!W37/'[12]Table 10 CWTs exp'!$AA37," ")</f>
        <v>#DIV/0!</v>
      </c>
      <c r="X37" s="144" t="e">
        <f>IF('[12]Table 10 CWTs exp'!X37/'[12]Table 10 CWTs exp'!$AA37&gt;0,'[12]Table 10 CWTs exp'!X37/'[12]Table 10 CWTs exp'!$AA37," ")</f>
        <v>#DIV/0!</v>
      </c>
      <c r="Y37" s="147" t="e">
        <f t="shared" si="4"/>
        <v>#DIV/0!</v>
      </c>
      <c r="Z37" s="148" t="e">
        <f t="shared" si="5"/>
        <v>#DIV/0!</v>
      </c>
      <c r="AA37" s="38">
        <f>'[12]Table 10 CWTs exp'!AA37</f>
        <v>0</v>
      </c>
      <c r="AC37" s="592">
        <f>'[12]Table 10 CWTs exp'!AD37</f>
        <v>0</v>
      </c>
      <c r="AD37" s="592" t="e">
        <f t="shared" si="2"/>
        <v>#DIV/0!</v>
      </c>
      <c r="AE37" s="593" t="str">
        <f t="shared" si="3"/>
        <v>CAL543</v>
      </c>
      <c r="AF37" s="442"/>
      <c r="AG37" s="442"/>
      <c r="AH37" s="648"/>
      <c r="AI37" s="454"/>
      <c r="AJ37" s="442"/>
      <c r="AK37" s="442"/>
      <c r="AL37" s="442"/>
    </row>
    <row r="38" spans="1:38" ht="14.5" customHeight="1" x14ac:dyDescent="0.25">
      <c r="A38" s="54" t="str">
        <f>'[12]Table 10 CWTs exp'!A38</f>
        <v>STA543</v>
      </c>
      <c r="B38" s="75" t="str">
        <f>'[12]Table 10 CWTs exp'!B38</f>
        <v>STA</v>
      </c>
      <c r="C38" s="75">
        <f>'[12]Table 10 CWTs exp'!C38</f>
        <v>54</v>
      </c>
      <c r="D38" s="75">
        <f>'[12]Table 10 CWTs exp'!D38</f>
        <v>3</v>
      </c>
      <c r="E38" t="str">
        <f>'[12]Table 10 CWTs exp'!E38</f>
        <v>Stanislaus River</v>
      </c>
      <c r="F38" s="37" t="str">
        <f>'[12]Table 10 CWTs exp'!F38</f>
        <v>Fall</v>
      </c>
      <c r="G38" s="144" t="str">
        <f>IF('[12]Table 10 CWTs exp'!G38/'[12]Table 10 CWTs exp'!$AA38&gt;0,'[12]Table 10 CWTs exp'!G38/'[12]Table 10 CWTs exp'!$AA38," ")</f>
        <v xml:space="preserve"> </v>
      </c>
      <c r="H38" s="145">
        <f>IF('[12]Table 10 CWTs exp'!H38/'[12]Table 10 CWTs exp'!$AA38&gt;0,'[12]Table 10 CWTs exp'!H38/'[12]Table 10 CWTs exp'!$AA38," ")</f>
        <v>5.3191489361702126E-3</v>
      </c>
      <c r="I38" s="144" t="str">
        <f>IF('[12]Table 10 CWTs exp'!I38/'[12]Table 10 CWTs exp'!$AA38&gt;0,'[12]Table 10 CWTs exp'!I38/'[12]Table 10 CWTs exp'!$AA38," ")</f>
        <v xml:space="preserve"> </v>
      </c>
      <c r="J38" s="146" t="str">
        <f>IF('[12]Table 10 CWTs exp'!J38/'[12]Table 10 CWTs exp'!$AA38&gt;0,'[12]Table 10 CWTs exp'!J38/'[12]Table 10 CWTs exp'!$AA38," ")</f>
        <v xml:space="preserve"> </v>
      </c>
      <c r="K38" s="144" t="str">
        <f>IF('[12]Table 10 CWTs exp'!K38/'[12]Table 10 CWTs exp'!$AA38&gt;0,'[12]Table 10 CWTs exp'!K38/'[12]Table 10 CWTs exp'!$AA38," ")</f>
        <v xml:space="preserve"> </v>
      </c>
      <c r="L38" s="144" t="str">
        <f>IF('[12]Table 10 CWTs exp'!L38/'[12]Table 10 CWTs exp'!$AA38&gt;0,'[12]Table 10 CWTs exp'!L38/'[12]Table 10 CWTs exp'!$AA38," ")</f>
        <v xml:space="preserve"> </v>
      </c>
      <c r="M38" s="144">
        <f>IF('[12]Table 10 CWTs exp'!M38/'[12]Table 10 CWTs exp'!$AA38&gt;0,'[12]Table 10 CWTs exp'!M38/'[12]Table 10 CWTs exp'!$AA38," ")</f>
        <v>4.2553191489361701E-2</v>
      </c>
      <c r="N38" s="146">
        <f>IF('[12]Table 10 CWTs exp'!N38/'[12]Table 10 CWTs exp'!$AA38&gt;0,'[12]Table 10 CWTs exp'!N38/'[12]Table 10 CWTs exp'!$AA38," ")</f>
        <v>4.3218085106382982E-2</v>
      </c>
      <c r="O38" s="144" t="str">
        <f>IF('[12]Table 10 CWTs exp'!O38/'[12]Table 10 CWTs exp'!$AA38&gt;0,'[12]Table 10 CWTs exp'!O38/'[12]Table 10 CWTs exp'!$AA38," ")</f>
        <v xml:space="preserve"> </v>
      </c>
      <c r="P38" s="146">
        <f>IF('[12]Table 10 CWTs exp'!P38/'[12]Table 10 CWTs exp'!$AA38&gt;0,'[12]Table 10 CWTs exp'!P38/'[12]Table 10 CWTs exp'!$AA38," ")</f>
        <v>2.1941489361702128E-2</v>
      </c>
      <c r="Q38" s="144" t="str">
        <f>IF('[12]Table 10 CWTs exp'!Q38/'[12]Table 10 CWTs exp'!$AA38&gt;0,'[12]Table 10 CWTs exp'!Q38/'[12]Table 10 CWTs exp'!$AA38," ")</f>
        <v xml:space="preserve"> </v>
      </c>
      <c r="R38" s="144">
        <f>IF('[12]Table 10 CWTs exp'!R38/'[12]Table 10 CWTs exp'!$AA38&gt;0,'[12]Table 10 CWTs exp'!R38/'[12]Table 10 CWTs exp'!$AA38," ")</f>
        <v>0.36635638297872342</v>
      </c>
      <c r="S38" s="144">
        <f>IF('[12]Table 10 CWTs exp'!S38/'[12]Table 10 CWTs exp'!$AA38&gt;0,'[12]Table 10 CWTs exp'!S38/'[12]Table 10 CWTs exp'!$AA38," ")</f>
        <v>1.1303191489361703E-2</v>
      </c>
      <c r="T38" s="146">
        <f>IF('[12]Table 10 CWTs exp'!T38/'[12]Table 10 CWTs exp'!$AA38&gt;0,'[12]Table 10 CWTs exp'!T38/'[12]Table 10 CWTs exp'!$AA38," ")</f>
        <v>3.7898936170212769E-2</v>
      </c>
      <c r="U38" s="144" t="str">
        <f>IF('[12]Table 10 CWTs exp'!U38/'[12]Table 10 CWTs exp'!$AA38&gt;0,'[12]Table 10 CWTs exp'!U38/'[12]Table 10 CWTs exp'!$AA38," ")</f>
        <v xml:space="preserve"> </v>
      </c>
      <c r="V38" s="146">
        <f>IF('[12]Table 10 CWTs exp'!V38/'[12]Table 10 CWTs exp'!$AA38&gt;0,'[12]Table 10 CWTs exp'!V38/'[12]Table 10 CWTs exp'!$AA38," ")</f>
        <v>1.5292553191489361E-2</v>
      </c>
      <c r="W38" s="146" t="str">
        <f>IF('[12]Table 10 CWTs exp'!W38/'[12]Table 10 CWTs exp'!$AA38&gt;0,'[12]Table 10 CWTs exp'!W38/'[12]Table 10 CWTs exp'!$AA38," ")</f>
        <v xml:space="preserve"> </v>
      </c>
      <c r="X38" s="144" t="str">
        <f>IF('[12]Table 10 CWTs exp'!X38/'[12]Table 10 CWTs exp'!$AA38&gt;0,'[12]Table 10 CWTs exp'!X38/'[12]Table 10 CWTs exp'!$AA38," ")</f>
        <v xml:space="preserve"> </v>
      </c>
      <c r="Y38" s="147">
        <f t="shared" si="4"/>
        <v>0.5438829787234043</v>
      </c>
      <c r="Z38" s="148">
        <f t="shared" si="5"/>
        <v>0.4561170212765957</v>
      </c>
      <c r="AA38" s="38">
        <f>'[12]Table 10 CWTs exp'!AA38</f>
        <v>1504</v>
      </c>
      <c r="AC38" s="592">
        <f>'[12]Table 10 CWTs exp'!AD38</f>
        <v>0.54400000000000004</v>
      </c>
      <c r="AD38" s="592">
        <f t="shared" si="2"/>
        <v>-1.1702127659574124E-4</v>
      </c>
      <c r="AE38" s="593" t="str">
        <f t="shared" si="3"/>
        <v>STA543</v>
      </c>
      <c r="AF38" s="442"/>
      <c r="AG38" s="442"/>
      <c r="AH38" s="648"/>
      <c r="AI38" s="454"/>
      <c r="AJ38" s="442"/>
      <c r="AK38" s="442"/>
      <c r="AL38" s="442"/>
    </row>
    <row r="39" spans="1:38" ht="14.5" customHeight="1" x14ac:dyDescent="0.25">
      <c r="A39" s="54" t="str">
        <f>'[12]Table 10 CWTs exp'!A39</f>
        <v>TUO543</v>
      </c>
      <c r="B39" s="75" t="str">
        <f>'[12]Table 10 CWTs exp'!B39</f>
        <v>TUO</v>
      </c>
      <c r="C39" s="75">
        <f>'[12]Table 10 CWTs exp'!C39</f>
        <v>54</v>
      </c>
      <c r="D39" s="75">
        <f>'[12]Table 10 CWTs exp'!D39</f>
        <v>3</v>
      </c>
      <c r="E39" t="str">
        <f>'[12]Table 10 CWTs exp'!E39</f>
        <v>Tuolumne River</v>
      </c>
      <c r="F39" s="37" t="str">
        <f>'[12]Table 10 CWTs exp'!F39</f>
        <v>Fall</v>
      </c>
      <c r="G39" s="144" t="str">
        <f>IF('[12]Table 10 CWTs exp'!G39/'[12]Table 10 CWTs exp'!$AA39&gt;0,'[12]Table 10 CWTs exp'!G39/'[12]Table 10 CWTs exp'!$AA39," ")</f>
        <v xml:space="preserve"> </v>
      </c>
      <c r="H39" s="145" t="str">
        <f>IF('[12]Table 10 CWTs exp'!H39/'[12]Table 10 CWTs exp'!$AA39&gt;0,'[12]Table 10 CWTs exp'!H39/'[12]Table 10 CWTs exp'!$AA39," ")</f>
        <v xml:space="preserve"> </v>
      </c>
      <c r="I39" s="144" t="str">
        <f>IF('[12]Table 10 CWTs exp'!I39/'[12]Table 10 CWTs exp'!$AA39&gt;0,'[12]Table 10 CWTs exp'!I39/'[12]Table 10 CWTs exp'!$AA39," ")</f>
        <v xml:space="preserve"> </v>
      </c>
      <c r="J39" s="146" t="str">
        <f>IF('[12]Table 10 CWTs exp'!J39/'[12]Table 10 CWTs exp'!$AA39&gt;0,'[12]Table 10 CWTs exp'!J39/'[12]Table 10 CWTs exp'!$AA39," ")</f>
        <v xml:space="preserve"> </v>
      </c>
      <c r="K39" s="144" t="str">
        <f>IF('[12]Table 10 CWTs exp'!K39/'[12]Table 10 CWTs exp'!$AA39&gt;0,'[12]Table 10 CWTs exp'!K39/'[12]Table 10 CWTs exp'!$AA39," ")</f>
        <v xml:space="preserve"> </v>
      </c>
      <c r="L39" s="144" t="str">
        <f>IF('[12]Table 10 CWTs exp'!L39/'[12]Table 10 CWTs exp'!$AA39&gt;0,'[12]Table 10 CWTs exp'!L39/'[12]Table 10 CWTs exp'!$AA39," ")</f>
        <v xml:space="preserve"> </v>
      </c>
      <c r="M39" s="144">
        <f>IF('[12]Table 10 CWTs exp'!M39/'[12]Table 10 CWTs exp'!$AA39&gt;0,'[12]Table 10 CWTs exp'!M39/'[12]Table 10 CWTs exp'!$AA39," ")</f>
        <v>2.0408163265306121E-2</v>
      </c>
      <c r="N39" s="146">
        <f>IF('[12]Table 10 CWTs exp'!N39/'[12]Table 10 CWTs exp'!$AA39&gt;0,'[12]Table 10 CWTs exp'!N39/'[12]Table 10 CWTs exp'!$AA39," ")</f>
        <v>2.1482277121374866E-2</v>
      </c>
      <c r="O39" s="144" t="str">
        <f>IF('[12]Table 10 CWTs exp'!O39/'[12]Table 10 CWTs exp'!$AA39&gt;0,'[12]Table 10 CWTs exp'!O39/'[12]Table 10 CWTs exp'!$AA39," ")</f>
        <v xml:space="preserve"> </v>
      </c>
      <c r="P39" s="146" t="str">
        <f>IF('[12]Table 10 CWTs exp'!P39/'[12]Table 10 CWTs exp'!$AA39&gt;0,'[12]Table 10 CWTs exp'!P39/'[12]Table 10 CWTs exp'!$AA39," ")</f>
        <v xml:space="preserve"> </v>
      </c>
      <c r="Q39" s="144" t="str">
        <f>IF('[12]Table 10 CWTs exp'!Q39/'[12]Table 10 CWTs exp'!$AA39&gt;0,'[12]Table 10 CWTs exp'!Q39/'[12]Table 10 CWTs exp'!$AA39," ")</f>
        <v xml:space="preserve"> </v>
      </c>
      <c r="R39" s="144">
        <f>IF('[12]Table 10 CWTs exp'!R39/'[12]Table 10 CWTs exp'!$AA39&gt;0,'[12]Table 10 CWTs exp'!R39/'[12]Table 10 CWTs exp'!$AA39," ")</f>
        <v>5.0483351235230935E-2</v>
      </c>
      <c r="S39" s="144">
        <f>IF('[12]Table 10 CWTs exp'!S39/'[12]Table 10 CWTs exp'!$AA39&gt;0,'[12]Table 10 CWTs exp'!S39/'[12]Table 10 CWTs exp'!$AA39," ")</f>
        <v>8.5929108485499461E-3</v>
      </c>
      <c r="T39" s="146">
        <f>IF('[12]Table 10 CWTs exp'!T39/'[12]Table 10 CWTs exp'!$AA39&gt;0,'[12]Table 10 CWTs exp'!T39/'[12]Table 10 CWTs exp'!$AA39," ")</f>
        <v>3.22234156820623E-3</v>
      </c>
      <c r="U39" s="144" t="str">
        <f>IF('[12]Table 10 CWTs exp'!U39/'[12]Table 10 CWTs exp'!$AA39&gt;0,'[12]Table 10 CWTs exp'!U39/'[12]Table 10 CWTs exp'!$AA39," ")</f>
        <v xml:space="preserve"> </v>
      </c>
      <c r="V39" s="146">
        <f>IF('[12]Table 10 CWTs exp'!V39/'[12]Table 10 CWTs exp'!$AA39&gt;0,'[12]Table 10 CWTs exp'!V39/'[12]Table 10 CWTs exp'!$AA39," ")</f>
        <v>6.3372717508055856E-2</v>
      </c>
      <c r="W39" s="146" t="str">
        <f>IF('[12]Table 10 CWTs exp'!W39/'[12]Table 10 CWTs exp'!$AA39&gt;0,'[12]Table 10 CWTs exp'!W39/'[12]Table 10 CWTs exp'!$AA39," ")</f>
        <v xml:space="preserve"> </v>
      </c>
      <c r="X39" s="144" t="str">
        <f>IF('[12]Table 10 CWTs exp'!X39/'[12]Table 10 CWTs exp'!$AA39&gt;0,'[12]Table 10 CWTs exp'!X39/'[12]Table 10 CWTs exp'!$AA39," ")</f>
        <v xml:space="preserve"> </v>
      </c>
      <c r="Y39" s="147">
        <f t="shared" si="4"/>
        <v>0.16756176154672398</v>
      </c>
      <c r="Z39" s="148">
        <f t="shared" si="5"/>
        <v>0.83243823845327602</v>
      </c>
      <c r="AA39" s="38">
        <f>'[12]Table 10 CWTs exp'!AA39</f>
        <v>931</v>
      </c>
      <c r="AC39" s="592">
        <f>'[12]Table 10 CWTs exp'!AD39</f>
        <v>0.16800000000000001</v>
      </c>
      <c r="AD39" s="592">
        <f t="shared" si="2"/>
        <v>-4.3823845327603528E-4</v>
      </c>
      <c r="AE39" s="593" t="str">
        <f t="shared" si="3"/>
        <v>TUO543</v>
      </c>
      <c r="AF39" s="442"/>
      <c r="AG39" s="442"/>
      <c r="AH39" s="648"/>
      <c r="AI39" s="454"/>
      <c r="AJ39" s="442"/>
      <c r="AK39" s="442"/>
      <c r="AL39" s="442"/>
    </row>
    <row r="40" spans="1:38" ht="14.25" customHeight="1" x14ac:dyDescent="0.25">
      <c r="A40" s="54" t="str">
        <f>'[12]Table 10 CWTs exp'!A40</f>
        <v>MER543</v>
      </c>
      <c r="B40" s="75" t="str">
        <f>'[12]Table 10 CWTs exp'!B40</f>
        <v>MER</v>
      </c>
      <c r="C40" s="75">
        <f>'[12]Table 10 CWTs exp'!C40</f>
        <v>54</v>
      </c>
      <c r="D40" s="75">
        <f>'[12]Table 10 CWTs exp'!D40</f>
        <v>3</v>
      </c>
      <c r="E40" t="str">
        <f>'[12]Table 10 CWTs exp'!E40</f>
        <v>Merced River</v>
      </c>
      <c r="F40" s="37" t="str">
        <f>'[12]Table 10 CWTs exp'!F40</f>
        <v>Fall</v>
      </c>
      <c r="G40" s="144" t="str">
        <f>IF('[12]Table 10 CWTs exp'!G40/'[12]Table 10 CWTs exp'!$AA40&gt;0,'[12]Table 10 CWTs exp'!G40/'[12]Table 10 CWTs exp'!$AA40," ")</f>
        <v xml:space="preserve"> </v>
      </c>
      <c r="H40" s="145" t="str">
        <f>IF('[12]Table 10 CWTs exp'!H40/'[12]Table 10 CWTs exp'!$AA40&gt;0,'[12]Table 10 CWTs exp'!H40/'[12]Table 10 CWTs exp'!$AA40," ")</f>
        <v xml:space="preserve"> </v>
      </c>
      <c r="I40" s="144" t="str">
        <f>IF('[12]Table 10 CWTs exp'!I40/'[12]Table 10 CWTs exp'!$AA40&gt;0,'[12]Table 10 CWTs exp'!I40/'[12]Table 10 CWTs exp'!$AA40," ")</f>
        <v xml:space="preserve"> </v>
      </c>
      <c r="J40" s="146" t="str">
        <f>IF('[12]Table 10 CWTs exp'!J40/'[12]Table 10 CWTs exp'!$AA40&gt;0,'[12]Table 10 CWTs exp'!J40/'[12]Table 10 CWTs exp'!$AA40," ")</f>
        <v xml:space="preserve"> </v>
      </c>
      <c r="K40" s="144" t="str">
        <f>IF('[12]Table 10 CWTs exp'!K40/'[12]Table 10 CWTs exp'!$AA40&gt;0,'[12]Table 10 CWTs exp'!K40/'[12]Table 10 CWTs exp'!$AA40," ")</f>
        <v xml:space="preserve"> </v>
      </c>
      <c r="L40" s="144" t="str">
        <f>IF('[12]Table 10 CWTs exp'!L40/'[12]Table 10 CWTs exp'!$AA40&gt;0,'[12]Table 10 CWTs exp'!L40/'[12]Table 10 CWTs exp'!$AA40," ")</f>
        <v xml:space="preserve"> </v>
      </c>
      <c r="M40" s="144" t="str">
        <f>IF('[12]Table 10 CWTs exp'!M40/'[12]Table 10 CWTs exp'!$AA40&gt;0,'[12]Table 10 CWTs exp'!M40/'[12]Table 10 CWTs exp'!$AA40," ")</f>
        <v xml:space="preserve"> </v>
      </c>
      <c r="N40" s="146">
        <f>IF('[12]Table 10 CWTs exp'!N40/'[12]Table 10 CWTs exp'!$AA40&gt;0,'[12]Table 10 CWTs exp'!N40/'[12]Table 10 CWTs exp'!$AA40," ")</f>
        <v>3.5278154681139755E-2</v>
      </c>
      <c r="O40" s="144" t="str">
        <f>IF('[12]Table 10 CWTs exp'!O40/'[12]Table 10 CWTs exp'!$AA40&gt;0,'[12]Table 10 CWTs exp'!O40/'[12]Table 10 CWTs exp'!$AA40," ")</f>
        <v xml:space="preserve"> </v>
      </c>
      <c r="P40" s="146" t="str">
        <f>IF('[12]Table 10 CWTs exp'!P40/'[12]Table 10 CWTs exp'!$AA40&gt;0,'[12]Table 10 CWTs exp'!P40/'[12]Table 10 CWTs exp'!$AA40," ")</f>
        <v xml:space="preserve"> </v>
      </c>
      <c r="Q40" s="144" t="str">
        <f>IF('[12]Table 10 CWTs exp'!Q40/'[12]Table 10 CWTs exp'!$AA40&gt;0,'[12]Table 10 CWTs exp'!Q40/'[12]Table 10 CWTs exp'!$AA40," ")</f>
        <v xml:space="preserve"> </v>
      </c>
      <c r="R40" s="144">
        <f>IF('[12]Table 10 CWTs exp'!R40/'[12]Table 10 CWTs exp'!$AA40&gt;0,'[12]Table 10 CWTs exp'!R40/'[12]Table 10 CWTs exp'!$AA40," ")</f>
        <v>7.0104025327905925E-2</v>
      </c>
      <c r="S40" s="144" t="str">
        <f>IF('[12]Table 10 CWTs exp'!S40/'[12]Table 10 CWTs exp'!$AA40&gt;0,'[12]Table 10 CWTs exp'!S40/'[12]Table 10 CWTs exp'!$AA40," ")</f>
        <v xml:space="preserve"> </v>
      </c>
      <c r="T40" s="146" t="str">
        <f>IF('[12]Table 10 CWTs exp'!T40/'[12]Table 10 CWTs exp'!$AA40&gt;0,'[12]Table 10 CWTs exp'!T40/'[12]Table 10 CWTs exp'!$AA40," ")</f>
        <v xml:space="preserve"> </v>
      </c>
      <c r="U40" s="144">
        <f>IF('[12]Table 10 CWTs exp'!U40/'[12]Table 10 CWTs exp'!$AA40&gt;0,'[12]Table 10 CWTs exp'!U40/'[12]Table 10 CWTs exp'!$AA40," ")</f>
        <v>1.5377657168701944E-2</v>
      </c>
      <c r="V40" s="146">
        <f>IF('[12]Table 10 CWTs exp'!V40/'[12]Table 10 CWTs exp'!$AA40&gt;0,'[12]Table 10 CWTs exp'!V40/'[12]Table 10 CWTs exp'!$AA40," ")</f>
        <v>0.11578471279963817</v>
      </c>
      <c r="W40" s="146" t="str">
        <f>IF('[12]Table 10 CWTs exp'!W40/'[12]Table 10 CWTs exp'!$AA40&gt;0,'[12]Table 10 CWTs exp'!W40/'[12]Table 10 CWTs exp'!$AA40," ")</f>
        <v xml:space="preserve"> </v>
      </c>
      <c r="X40" s="144" t="str">
        <f>IF('[12]Table 10 CWTs exp'!X40/'[12]Table 10 CWTs exp'!$AA40&gt;0,'[12]Table 10 CWTs exp'!X40/'[12]Table 10 CWTs exp'!$AA40," ")</f>
        <v xml:space="preserve"> </v>
      </c>
      <c r="Y40" s="147">
        <f t="shared" si="4"/>
        <v>0.23654454997738578</v>
      </c>
      <c r="Z40" s="148">
        <f t="shared" si="5"/>
        <v>0.76345545002261428</v>
      </c>
      <c r="AA40" s="38">
        <f>'[12]Table 10 CWTs exp'!AA40</f>
        <v>2211</v>
      </c>
      <c r="AC40" s="592">
        <f>'[12]Table 10 CWTs exp'!AD40</f>
        <v>0.23699999999999999</v>
      </c>
      <c r="AD40" s="592">
        <f t="shared" si="2"/>
        <v>-4.5545002261421219E-4</v>
      </c>
      <c r="AE40" s="593" t="str">
        <f t="shared" si="3"/>
        <v>MER543</v>
      </c>
      <c r="AF40" s="442"/>
      <c r="AG40" s="442"/>
      <c r="AH40" s="648"/>
      <c r="AI40" s="454"/>
      <c r="AJ40" s="442"/>
      <c r="AK40" s="442"/>
      <c r="AL40" s="442"/>
    </row>
    <row r="41" spans="1:38" ht="14.5" customHeight="1" x14ac:dyDescent="0.25">
      <c r="A41" s="54" t="str">
        <f>'[12]Table 10 CWTs exp'!A41</f>
        <v>USAC547</v>
      </c>
      <c r="B41" s="75" t="str">
        <f>'[12]Table 10 CWTs exp'!B41</f>
        <v>USAC</v>
      </c>
      <c r="C41" s="75">
        <f>'[12]Table 10 CWTs exp'!C41</f>
        <v>54</v>
      </c>
      <c r="D41" s="75">
        <f>'[12]Table 10 CWTs exp'!D41</f>
        <v>7</v>
      </c>
      <c r="E41" t="str">
        <f>'[12]Table 10 CWTs exp'!E41</f>
        <v>Upper Sacramento River</v>
      </c>
      <c r="F41" s="37" t="s">
        <v>133</v>
      </c>
      <c r="G41" s="144" t="str">
        <f>IF('[12]Table 10 CWTs exp'!G41/'[12]Table 10 CWTs exp'!$AA41&gt;0,'[12]Table 10 CWTs exp'!G41/'[12]Table 10 CWTs exp'!$AA41," ")</f>
        <v xml:space="preserve"> </v>
      </c>
      <c r="H41" s="145">
        <f>IF('[12]Table 10 CWTs exp'!H41/'[12]Table 10 CWTs exp'!$AA41&gt;0,'[12]Table 10 CWTs exp'!H41/'[12]Table 10 CWTs exp'!$AA41," ")</f>
        <v>0.13988808952837731</v>
      </c>
      <c r="I41" s="144" t="str">
        <f>IF('[12]Table 10 CWTs exp'!I41/'[12]Table 10 CWTs exp'!$AA41&gt;0,'[12]Table 10 CWTs exp'!I41/'[12]Table 10 CWTs exp'!$AA41," ")</f>
        <v xml:space="preserve"> </v>
      </c>
      <c r="J41" s="146" t="str">
        <f>IF('[12]Table 10 CWTs exp'!J41/'[12]Table 10 CWTs exp'!$AA41&gt;0,'[12]Table 10 CWTs exp'!J41/'[12]Table 10 CWTs exp'!$AA41," ")</f>
        <v xml:space="preserve"> </v>
      </c>
      <c r="K41" s="144" t="str">
        <f>IF('[12]Table 10 CWTs exp'!K41/'[12]Table 10 CWTs exp'!$AA41&gt;0,'[12]Table 10 CWTs exp'!K41/'[12]Table 10 CWTs exp'!$AA41," ")</f>
        <v xml:space="preserve"> </v>
      </c>
      <c r="L41" s="144" t="str">
        <f>IF('[12]Table 10 CWTs exp'!L41/'[12]Table 10 CWTs exp'!$AA41&gt;0,'[12]Table 10 CWTs exp'!L41/'[12]Table 10 CWTs exp'!$AA41," ")</f>
        <v xml:space="preserve"> </v>
      </c>
      <c r="M41" s="144" t="str">
        <f>IF('[12]Table 10 CWTs exp'!M41/'[12]Table 10 CWTs exp'!$AA41&gt;0,'[12]Table 10 CWTs exp'!M41/'[12]Table 10 CWTs exp'!$AA41," ")</f>
        <v xml:space="preserve"> </v>
      </c>
      <c r="N41" s="146" t="str">
        <f>IF('[12]Table 10 CWTs exp'!N41/'[12]Table 10 CWTs exp'!$AA41&gt;0,'[12]Table 10 CWTs exp'!N41/'[12]Table 10 CWTs exp'!$AA41," ")</f>
        <v xml:space="preserve"> </v>
      </c>
      <c r="O41" s="144" t="str">
        <f>IF('[12]Table 10 CWTs exp'!O41/'[12]Table 10 CWTs exp'!$AA41&gt;0,'[12]Table 10 CWTs exp'!O41/'[12]Table 10 CWTs exp'!$AA41," ")</f>
        <v xml:space="preserve"> </v>
      </c>
      <c r="P41" s="146" t="str">
        <f>IF('[12]Table 10 CWTs exp'!P41/'[12]Table 10 CWTs exp'!$AA41&gt;0,'[12]Table 10 CWTs exp'!P41/'[12]Table 10 CWTs exp'!$AA41," ")</f>
        <v xml:space="preserve"> </v>
      </c>
      <c r="Q41" s="144" t="str">
        <f>IF('[12]Table 10 CWTs exp'!Q41/'[12]Table 10 CWTs exp'!$AA41&gt;0,'[12]Table 10 CWTs exp'!Q41/'[12]Table 10 CWTs exp'!$AA41," ")</f>
        <v xml:space="preserve"> </v>
      </c>
      <c r="R41" s="144" t="str">
        <f>IF('[12]Table 10 CWTs exp'!R41/'[12]Table 10 CWTs exp'!$AA41&gt;0,'[12]Table 10 CWTs exp'!R41/'[12]Table 10 CWTs exp'!$AA41," ")</f>
        <v xml:space="preserve"> </v>
      </c>
      <c r="S41" s="144" t="str">
        <f>IF('[12]Table 10 CWTs exp'!S41/'[12]Table 10 CWTs exp'!$AA41&gt;0,'[12]Table 10 CWTs exp'!S41/'[12]Table 10 CWTs exp'!$AA41," ")</f>
        <v xml:space="preserve"> </v>
      </c>
      <c r="T41" s="146" t="str">
        <f>IF('[12]Table 10 CWTs exp'!T41/'[12]Table 10 CWTs exp'!$AA41&gt;0,'[12]Table 10 CWTs exp'!T41/'[12]Table 10 CWTs exp'!$AA41," ")</f>
        <v xml:space="preserve"> </v>
      </c>
      <c r="U41" s="144" t="str">
        <f>IF('[12]Table 10 CWTs exp'!U41/'[12]Table 10 CWTs exp'!$AA41&gt;0,'[12]Table 10 CWTs exp'!U41/'[12]Table 10 CWTs exp'!$AA41," ")</f>
        <v xml:space="preserve"> </v>
      </c>
      <c r="V41" s="146" t="str">
        <f>IF('[12]Table 10 CWTs exp'!V41/'[12]Table 10 CWTs exp'!$AA41&gt;0,'[12]Table 10 CWTs exp'!V41/'[12]Table 10 CWTs exp'!$AA41," ")</f>
        <v xml:space="preserve"> </v>
      </c>
      <c r="W41" s="146" t="str">
        <f>IF('[12]Table 10 CWTs exp'!W41/'[12]Table 10 CWTs exp'!$AA41&gt;0,'[12]Table 10 CWTs exp'!W41/'[12]Table 10 CWTs exp'!$AA41," ")</f>
        <v xml:space="preserve"> </v>
      </c>
      <c r="X41" s="144" t="str">
        <f>IF('[12]Table 10 CWTs exp'!X41/'[12]Table 10 CWTs exp'!$AA41&gt;0,'[12]Table 10 CWTs exp'!X41/'[12]Table 10 CWTs exp'!$AA41," ")</f>
        <v xml:space="preserve"> </v>
      </c>
      <c r="Y41" s="147">
        <f t="shared" si="4"/>
        <v>0.13988808952837731</v>
      </c>
      <c r="Z41" s="148">
        <f t="shared" si="5"/>
        <v>0.86011191047162272</v>
      </c>
      <c r="AA41" s="38">
        <f>'[12]Table 10 CWTs exp'!AA41</f>
        <v>1251</v>
      </c>
      <c r="AC41" s="592">
        <f>'[12]Table 10 CWTs exp'!AD41</f>
        <v>0.13988808952837731</v>
      </c>
      <c r="AD41" s="592">
        <f t="shared" si="2"/>
        <v>0</v>
      </c>
      <c r="AE41" s="593" t="str">
        <f t="shared" si="3"/>
        <v>USAC547</v>
      </c>
      <c r="AF41" s="442"/>
      <c r="AG41" s="442"/>
      <c r="AH41" s="648"/>
      <c r="AI41" s="454"/>
      <c r="AJ41" s="442"/>
      <c r="AK41" s="442"/>
      <c r="AL41" s="442"/>
    </row>
    <row r="42" spans="1:38" ht="14.15" customHeight="1" x14ac:dyDescent="0.25">
      <c r="E42" s="743" t="s">
        <v>101</v>
      </c>
      <c r="F42" s="743"/>
      <c r="G42" s="152" t="str">
        <f>IF('[12]Table 10 CWTs exp'!G42/'[12]Table 10 CWTs exp'!$AA42&gt;0,'[12]Table 10 CWTs exp'!G42/'[12]Table 10 CWTs exp'!$AA42," ")</f>
        <v xml:space="preserve"> </v>
      </c>
      <c r="H42" s="153">
        <f>IF('[12]Table 10 CWTs exp'!H42/'[12]Table 10 CWTs exp'!$AA42&gt;0,'[12]Table 10 CWTs exp'!H42/'[12]Table 10 CWTs exp'!$AA42," ")</f>
        <v>5.4634732665423725E-5</v>
      </c>
      <c r="I42" s="152">
        <f>IF('[12]Table 10 CWTs exp'!I42/'[12]Table 10 CWTs exp'!$AA42&gt;0,'[12]Table 10 CWTs exp'!I42/'[12]Table 10 CWTs exp'!$AA42," ")</f>
        <v>0.14862696087470206</v>
      </c>
      <c r="J42" s="154" t="str">
        <f>IF('[12]Table 10 CWTs exp'!J42/'[12]Table 10 CWTs exp'!$AA42&gt;0,'[12]Table 10 CWTs exp'!J42/'[12]Table 10 CWTs exp'!$AA42," ")</f>
        <v xml:space="preserve"> </v>
      </c>
      <c r="K42" s="152">
        <f>IF('[12]Table 10 CWTs exp'!K42/'[12]Table 10 CWTs exp'!$AA42&gt;0,'[12]Table 10 CWTs exp'!K42/'[12]Table 10 CWTs exp'!$AA42," ")</f>
        <v>2.4346602744029448E-2</v>
      </c>
      <c r="L42" s="152">
        <f>IF('[12]Table 10 CWTs exp'!L42/'[12]Table 10 CWTs exp'!$AA42&gt;0,'[12]Table 10 CWTs exp'!L42/'[12]Table 10 CWTs exp'!$AA42," ")</f>
        <v>1.4826500577079365E-2</v>
      </c>
      <c r="M42" s="152">
        <f>IF('[12]Table 10 CWTs exp'!M42/'[12]Table 10 CWTs exp'!$AA42&gt;0,'[12]Table 10 CWTs exp'!M42/'[12]Table 10 CWTs exp'!$AA42," ")</f>
        <v>8.9122907660472456E-2</v>
      </c>
      <c r="N42" s="154">
        <f>IF('[12]Table 10 CWTs exp'!N42/'[12]Table 10 CWTs exp'!$AA42&gt;0,'[12]Table 10 CWTs exp'!N42/'[12]Table 10 CWTs exp'!$AA42," ")</f>
        <v>5.7748912427352882E-2</v>
      </c>
      <c r="O42" s="152">
        <f>IF('[12]Table 10 CWTs exp'!O42/'[12]Table 10 CWTs exp'!$AA42&gt;0,'[12]Table 10 CWTs exp'!O42/'[12]Table 10 CWTs exp'!$AA42," ")</f>
        <v>4.5100971815307284E-2</v>
      </c>
      <c r="P42" s="154">
        <f>IF('[12]Table 10 CWTs exp'!P42/'[12]Table 10 CWTs exp'!$AA42&gt;0,'[12]Table 10 CWTs exp'!P42/'[12]Table 10 CWTs exp'!$AA42," ")</f>
        <v>6.6558763069652457E-2</v>
      </c>
      <c r="Q42" s="152">
        <f>IF('[12]Table 10 CWTs exp'!Q42/'[12]Table 10 CWTs exp'!$AA42&gt;0,'[12]Table 10 CWTs exp'!Q42/'[12]Table 10 CWTs exp'!$AA42," ")</f>
        <v>3.6878444549161017E-4</v>
      </c>
      <c r="R42" s="152">
        <f>IF('[12]Table 10 CWTs exp'!R42/'[12]Table 10 CWTs exp'!$AA42&gt;0,'[12]Table 10 CWTs exp'!R42/'[12]Table 10 CWTs exp'!$AA42," ")</f>
        <v>5.5665963244483599E-2</v>
      </c>
      <c r="S42" s="152">
        <f>IF('[12]Table 10 CWTs exp'!S42/'[12]Table 10 CWTs exp'!$AA42&gt;0,'[12]Table 10 CWTs exp'!S42/'[12]Table 10 CWTs exp'!$AA42," ")</f>
        <v>8.5844823700547031E-3</v>
      </c>
      <c r="T42" s="154">
        <f>IF('[12]Table 10 CWTs exp'!T42/'[12]Table 10 CWTs exp'!$AA42&gt;0,'[12]Table 10 CWTs exp'!T42/'[12]Table 10 CWTs exp'!$AA42," ")</f>
        <v>6.0507966426956777E-3</v>
      </c>
      <c r="U42" s="152">
        <f>IF('[12]Table 10 CWTs exp'!U42/'[12]Table 10 CWTs exp'!$AA42&gt;0,'[12]Table 10 CWTs exp'!U42/'[12]Table 10 CWTs exp'!$AA42," ")</f>
        <v>3.1414971282618643E-4</v>
      </c>
      <c r="V42" s="154">
        <f>IF('[12]Table 10 CWTs exp'!V42/'[12]Table 10 CWTs exp'!$AA42&gt;0,'[12]Table 10 CWTs exp'!V42/'[12]Table 10 CWTs exp'!$AA42," ")</f>
        <v>9.4518087511183055E-3</v>
      </c>
      <c r="W42" s="154" t="str">
        <f>IF('[12]Table 10 CWTs exp'!W42/'[12]Table 10 CWTs exp'!$AA42&gt;0,'[12]Table 10 CWTs exp'!W42/'[12]Table 10 CWTs exp'!$AA42," ")</f>
        <v xml:space="preserve"> </v>
      </c>
      <c r="X42" s="152" t="str">
        <f>IF('[12]Table 10 CWTs exp'!X42/'[12]Table 10 CWTs exp'!$AA42&gt;0,'[12]Table 10 CWTs exp'!X42/'[12]Table 10 CWTs exp'!$AA42," ")</f>
        <v xml:space="preserve"> </v>
      </c>
      <c r="Y42" s="155">
        <f t="shared" si="4"/>
        <v>0.52682223906793146</v>
      </c>
      <c r="Z42" s="156">
        <f>1-Y42</f>
        <v>0.47317776093206854</v>
      </c>
      <c r="AA42" s="63">
        <f>'[12]Table 10 CWTs exp'!AA42</f>
        <v>146427</v>
      </c>
      <c r="AB42" s="159"/>
      <c r="AC42" s="592">
        <f>'[12]Table 10 CWTs exp'!AD42</f>
        <v>0.52682223906793146</v>
      </c>
      <c r="AD42" s="592">
        <f t="shared" si="2"/>
        <v>0</v>
      </c>
      <c r="AE42" s="595"/>
      <c r="AF42" s="596"/>
      <c r="AG42" s="596"/>
      <c r="AH42" s="649"/>
      <c r="AI42" s="454"/>
      <c r="AJ42" s="442"/>
      <c r="AK42" s="442"/>
      <c r="AL42" s="442"/>
    </row>
    <row r="43" spans="1:38" ht="4.5" customHeight="1" x14ac:dyDescent="0.3">
      <c r="E43" s="83"/>
      <c r="F43"/>
      <c r="G43" s="161"/>
      <c r="H43" s="162"/>
      <c r="I43" s="161"/>
      <c r="J43" s="163"/>
      <c r="K43" s="161"/>
      <c r="L43" s="161"/>
      <c r="M43" s="161"/>
      <c r="N43" s="163"/>
      <c r="O43" s="161"/>
      <c r="P43" s="163"/>
      <c r="Q43" s="161"/>
      <c r="R43" s="161"/>
      <c r="S43" s="161"/>
      <c r="T43" s="163"/>
      <c r="U43" s="161"/>
      <c r="V43" s="163"/>
      <c r="W43" s="163"/>
      <c r="X43" s="161"/>
      <c r="Y43" s="164"/>
      <c r="Z43" s="165"/>
      <c r="AA43" s="64"/>
      <c r="AB43" s="159"/>
      <c r="AC43" s="592"/>
      <c r="AD43" s="592"/>
      <c r="AE43" s="595"/>
      <c r="AF43" s="596"/>
      <c r="AG43" s="596"/>
      <c r="AH43" s="649"/>
      <c r="AI43" s="454"/>
      <c r="AJ43" s="442"/>
      <c r="AK43" s="442"/>
      <c r="AL43" s="442"/>
    </row>
    <row r="44" spans="1:38" ht="14.9" customHeight="1" x14ac:dyDescent="0.25">
      <c r="E44" s="27" t="s">
        <v>103</v>
      </c>
      <c r="F44" s="37" t="s">
        <v>104</v>
      </c>
      <c r="G44" s="151">
        <f>IF('[12]Table 10 CWTs exp'!G44/'[12]Table 10 CWTs exp'!$AA44&gt;0,'[12]Table 10 CWTs exp'!G44/'[12]Table 10 CWTs exp'!$AA44," ")</f>
        <v>1.3185385070100943E-2</v>
      </c>
      <c r="H44" s="157">
        <f>IF('[12]Table 10 CWTs exp'!H44/'[12]Table 10 CWTs exp'!$AA44&gt;0,'[12]Table 10 CWTs exp'!H44/'[12]Table 10 CWTs exp'!$AA44," ")</f>
        <v>1.7431602507118393E-2</v>
      </c>
      <c r="I44" s="151">
        <f>IF('[12]Table 10 CWTs exp'!I44/'[12]Table 10 CWTs exp'!$AA44&gt;0,'[12]Table 10 CWTs exp'!I44/'[12]Table 10 CWTs exp'!$AA44," ")</f>
        <v>0.14625308538913132</v>
      </c>
      <c r="J44" s="158" t="str">
        <f>IF('[12]Table 10 CWTs exp'!J44/'[12]Table 10 CWTs exp'!$AA44&gt;0,'[12]Table 10 CWTs exp'!J44/'[12]Table 10 CWTs exp'!$AA44," ")</f>
        <v xml:space="preserve"> </v>
      </c>
      <c r="K44" s="151">
        <f>IF('[12]Table 10 CWTs exp'!K44/'[12]Table 10 CWTs exp'!$AA44&gt;0,'[12]Table 10 CWTs exp'!K44/'[12]Table 10 CWTs exp'!$AA44," ")</f>
        <v>4.4407041230274946E-2</v>
      </c>
      <c r="L44" s="151">
        <f>IF('[12]Table 10 CWTs exp'!L44/'[12]Table 10 CWTs exp'!$AA44&gt;0,'[12]Table 10 CWTs exp'!L44/'[12]Table 10 CWTs exp'!$AA44," ")</f>
        <v>1.5617596758254403E-2</v>
      </c>
      <c r="M44" s="151">
        <f>IF('[12]Table 10 CWTs exp'!M44/'[12]Table 10 CWTs exp'!$AA44&gt;0,'[12]Table 10 CWTs exp'!M44/'[12]Table 10 CWTs exp'!$AA44," ")</f>
        <v>9.0659675374195087E-2</v>
      </c>
      <c r="N44" s="158">
        <f>IF('[12]Table 10 CWTs exp'!N44/'[12]Table 10 CWTs exp'!$AA44&gt;0,'[12]Table 10 CWTs exp'!N44/'[12]Table 10 CWTs exp'!$AA44," ")</f>
        <v>5.6658348713274277E-2</v>
      </c>
      <c r="O44" s="151">
        <f>IF('[12]Table 10 CWTs exp'!O44/'[12]Table 10 CWTs exp'!$AA44&gt;0,'[12]Table 10 CWTs exp'!O44/'[12]Table 10 CWTs exp'!$AA44," ")</f>
        <v>4.2453149465951294E-2</v>
      </c>
      <c r="P44" s="158">
        <f>IF('[12]Table 10 CWTs exp'!P44/'[12]Table 10 CWTs exp'!$AA44&gt;0,'[12]Table 10 CWTs exp'!P44/'[12]Table 10 CWTs exp'!$AA44," ")</f>
        <v>5.9334232815454246E-2</v>
      </c>
      <c r="Q44" s="151">
        <f>IF('[12]Table 10 CWTs exp'!Q44/'[12]Table 10 CWTs exp'!$AA44&gt;0,'[12]Table 10 CWTs exp'!Q44/'[12]Table 10 CWTs exp'!$AA44," ")</f>
        <v>6.4528065195908104E-4</v>
      </c>
      <c r="R44" s="151">
        <f>IF('[12]Table 10 CWTs exp'!R44/'[12]Table 10 CWTs exp'!$AA44&gt;0,'[12]Table 10 CWTs exp'!R44/'[12]Table 10 CWTs exp'!$AA44," ")</f>
        <v>3.8861237585116129E-2</v>
      </c>
      <c r="S44" s="151">
        <f>IF('[12]Table 10 CWTs exp'!S44/'[12]Table 10 CWTs exp'!$AA44&gt;0,'[12]Table 10 CWTs exp'!S44/'[12]Table 10 CWTs exp'!$AA44," ")</f>
        <v>1.719244254520349E-3</v>
      </c>
      <c r="T44" s="158">
        <f>IF('[12]Table 10 CWTs exp'!T44/'[12]Table 10 CWTs exp'!$AA44&gt;0,'[12]Table 10 CWTs exp'!T44/'[12]Table 10 CWTs exp'!$AA44," ")</f>
        <v>1.5071590052750565E-3</v>
      </c>
      <c r="U44" s="151">
        <f>IF('[12]Table 10 CWTs exp'!U44/'[12]Table 10 CWTs exp'!$AA44&gt;0,'[12]Table 10 CWTs exp'!U44/'[12]Table 10 CWTs exp'!$AA44," ")</f>
        <v>6.8138026885189678E-4</v>
      </c>
      <c r="V44" s="158">
        <f>IF('[12]Table 10 CWTs exp'!V44/'[12]Table 10 CWTs exp'!$AA44&gt;0,'[12]Table 10 CWTs exp'!V44/'[12]Table 10 CWTs exp'!$AA44," ")</f>
        <v>2.2742758642473907E-3</v>
      </c>
      <c r="W44" s="158">
        <f>IF('[12]Table 10 CWTs exp'!W44/'[12]Table 10 CWTs exp'!$AA44&gt;0,'[12]Table 10 CWTs exp'!W44/'[12]Table 10 CWTs exp'!$AA44," ")</f>
        <v>6.5881800829388699E-4</v>
      </c>
      <c r="X44" s="151" t="str">
        <f>IF('[12]Table 10 CWTs exp'!X44/'[12]Table 10 CWTs exp'!$AA44&gt;0,'[12]Table 10 CWTs exp'!X44/'[12]Table 10 CWTs exp'!$AA44," ")</f>
        <v xml:space="preserve"> </v>
      </c>
      <c r="Y44" s="166">
        <f t="shared" ref="Y44:Y46" si="6">SUM(G44:X44)</f>
        <v>0.53234751296201877</v>
      </c>
      <c r="Z44" s="167">
        <f t="shared" ref="Z44:Z46" si="7">1-Y44</f>
        <v>0.46765248703798123</v>
      </c>
      <c r="AA44" s="38">
        <f>'[12]Table 10 CWTs exp'!AA44</f>
        <v>221609</v>
      </c>
      <c r="AB44" s="159"/>
      <c r="AC44" s="592">
        <f>'[12]Table 10 CWTs exp'!AD44</f>
        <v>0.53234751296201865</v>
      </c>
      <c r="AD44" s="592">
        <f>Y44-AC44</f>
        <v>0</v>
      </c>
      <c r="AE44" s="595"/>
      <c r="AF44" s="596"/>
      <c r="AG44" s="596"/>
      <c r="AH44" s="649"/>
      <c r="AI44" s="454"/>
      <c r="AJ44" s="442"/>
      <c r="AK44" s="442"/>
      <c r="AL44" s="442"/>
    </row>
    <row r="45" spans="1:38" ht="14.9" customHeight="1" x14ac:dyDescent="0.25">
      <c r="E45" s="27" t="s">
        <v>105</v>
      </c>
      <c r="F45" s="37" t="s">
        <v>104</v>
      </c>
      <c r="G45" s="151" t="str">
        <f>IF('[12]Table 10 CWTs exp'!G45/'[12]Table 10 CWTs exp'!$AA45&gt;0,'[12]Table 10 CWTs exp'!G45/'[12]Table 10 CWTs exp'!$AA45," ")</f>
        <v xml:space="preserve"> </v>
      </c>
      <c r="H45" s="157">
        <f>IF('[12]Table 10 CWTs exp'!H45/'[12]Table 10 CWTs exp'!$AA45&gt;0,'[12]Table 10 CWTs exp'!H45/'[12]Table 10 CWTs exp'!$AA45," ")</f>
        <v>5.2642661612971157E-4</v>
      </c>
      <c r="I45" s="151">
        <f>IF('[12]Table 10 CWTs exp'!I45/'[12]Table 10 CWTs exp'!$AA45&gt;0,'[12]Table 10 CWTs exp'!I45/'[12]Table 10 CWTs exp'!$AA45," ")</f>
        <v>0.11439250368498631</v>
      </c>
      <c r="J45" s="158" t="str">
        <f>IF('[12]Table 10 CWTs exp'!J45/'[12]Table 10 CWTs exp'!$AA45&gt;0,'[12]Table 10 CWTs exp'!J45/'[12]Table 10 CWTs exp'!$AA45," ")</f>
        <v xml:space="preserve"> </v>
      </c>
      <c r="K45" s="151">
        <f>IF('[12]Table 10 CWTs exp'!K45/'[12]Table 10 CWTs exp'!$AA45&gt;0,'[12]Table 10 CWTs exp'!K45/'[12]Table 10 CWTs exp'!$AA45," ")</f>
        <v>1.2107812170983365E-3</v>
      </c>
      <c r="L45" s="151">
        <f>IF('[12]Table 10 CWTs exp'!L45/'[12]Table 10 CWTs exp'!$AA45&gt;0,'[12]Table 10 CWTs exp'!L45/'[12]Table 10 CWTs exp'!$AA45," ")</f>
        <v>3.6849863129079805E-4</v>
      </c>
      <c r="M45" s="151">
        <f>IF('[12]Table 10 CWTs exp'!M45/'[12]Table 10 CWTs exp'!$AA45&gt;0,'[12]Table 10 CWTs exp'!M45/'[12]Table 10 CWTs exp'!$AA45," ")</f>
        <v>0.12513160665403242</v>
      </c>
      <c r="N45" s="158">
        <f>IF('[12]Table 10 CWTs exp'!N45/'[12]Table 10 CWTs exp'!$AA45&gt;0,'[12]Table 10 CWTs exp'!N45/'[12]Table 10 CWTs exp'!$AA45," ")</f>
        <v>9.902084649399874E-2</v>
      </c>
      <c r="O45" s="151">
        <f>IF('[12]Table 10 CWTs exp'!O45/'[12]Table 10 CWTs exp'!$AA45&gt;0,'[12]Table 10 CWTs exp'!O45/'[12]Table 10 CWTs exp'!$AA45," ")</f>
        <v>2.1583491261318172E-3</v>
      </c>
      <c r="P45" s="158">
        <f>IF('[12]Table 10 CWTs exp'!P45/'[12]Table 10 CWTs exp'!$AA45&gt;0,'[12]Table 10 CWTs exp'!P45/'[12]Table 10 CWTs exp'!$AA45," ")</f>
        <v>3.7060433775531691E-2</v>
      </c>
      <c r="Q45" s="151">
        <f>IF('[12]Table 10 CWTs exp'!Q45/'[12]Table 10 CWTs exp'!$AA45&gt;0,'[12]Table 10 CWTs exp'!Q45/'[12]Table 10 CWTs exp'!$AA45," ")</f>
        <v>2.0004211412929036E-3</v>
      </c>
      <c r="R45" s="151">
        <f>IF('[12]Table 10 CWTs exp'!R45/'[12]Table 10 CWTs exp'!$AA45&gt;0,'[12]Table 10 CWTs exp'!R45/'[12]Table 10 CWTs exp'!$AA45," ")</f>
        <v>0.40392714255632767</v>
      </c>
      <c r="S45" s="151">
        <f>IF('[12]Table 10 CWTs exp'!S45/'[12]Table 10 CWTs exp'!$AA45&gt;0,'[12]Table 10 CWTs exp'!S45/'[12]Table 10 CWTs exp'!$AA45," ")</f>
        <v>7.5226363444935773E-2</v>
      </c>
      <c r="T45" s="158">
        <f>IF('[12]Table 10 CWTs exp'!T45/'[12]Table 10 CWTs exp'!$AA45&gt;0,'[12]Table 10 CWTs exp'!T45/'[12]Table 10 CWTs exp'!$AA45," ")</f>
        <v>5.6801431880395874E-2</v>
      </c>
      <c r="U45" s="151">
        <f>IF('[12]Table 10 CWTs exp'!U45/'[12]Table 10 CWTs exp'!$AA45&gt;0,'[12]Table 10 CWTs exp'!U45/'[12]Table 10 CWTs exp'!$AA45," ")</f>
        <v>9.4756790903348072E-4</v>
      </c>
      <c r="V45" s="158">
        <f>IF('[12]Table 10 CWTs exp'!V45/'[12]Table 10 CWTs exp'!$AA45&gt;0,'[12]Table 10 CWTs exp'!V45/'[12]Table 10 CWTs exp'!$AA45," ")</f>
        <v>8.0859128237523684E-2</v>
      </c>
      <c r="W45" s="158">
        <f>IF('[12]Table 10 CWTs exp'!W45/'[12]Table 10 CWTs exp'!$AA45&gt;0,'[12]Table 10 CWTs exp'!W45/'[12]Table 10 CWTs exp'!$AA45," ")</f>
        <v>3.6849863129079805E-4</v>
      </c>
      <c r="X45" s="151" t="str">
        <f>IF('[12]Table 10 CWTs exp'!X45/'[12]Table 10 CWTs exp'!$AA45&gt;0,'[12]Table 10 CWTs exp'!X45/'[12]Table 10 CWTs exp'!$AA45," ")</f>
        <v xml:space="preserve"> </v>
      </c>
      <c r="Y45" s="166">
        <f>SUM(G45:X45)</f>
        <v>1</v>
      </c>
      <c r="Z45" s="167"/>
      <c r="AA45" s="38">
        <f>'[12]Table 10 CWTs exp'!AA45</f>
        <v>18996</v>
      </c>
      <c r="AB45" s="159"/>
      <c r="AC45" s="592">
        <f>'[12]Table 10 CWTs exp'!AD45</f>
        <v>1</v>
      </c>
      <c r="AD45" s="592">
        <f t="shared" si="2"/>
        <v>0</v>
      </c>
      <c r="AE45" s="595"/>
      <c r="AF45" s="596"/>
      <c r="AG45" s="596"/>
      <c r="AH45" s="649"/>
      <c r="AI45" s="454"/>
      <c r="AJ45" s="442"/>
      <c r="AK45" s="442"/>
      <c r="AL45" s="442"/>
    </row>
    <row r="46" spans="1:38" ht="18" customHeight="1" x14ac:dyDescent="0.3">
      <c r="E46" s="27"/>
      <c r="F46" s="88" t="s">
        <v>109</v>
      </c>
      <c r="G46" s="168">
        <f>IF('[12]Table 10 CWTs exp'!G46/'[12]Table 10 CWTs exp'!$AA46&gt;0,'[12]Table 10 CWTs exp'!G46/'[12]Table 10 CWTs exp'!$AA46," ")</f>
        <v>1.2144386026890547E-2</v>
      </c>
      <c r="H46" s="169">
        <f>IF('[12]Table 10 CWTs exp'!H46/'[12]Table 10 CWTs exp'!$AA46&gt;0,'[12]Table 10 CWTs exp'!H46/'[12]Table 10 CWTs exp'!$AA46," ")</f>
        <v>1.6096922341597222E-2</v>
      </c>
      <c r="I46" s="168">
        <f>IF('[12]Table 10 CWTs exp'!I46/'[12]Table 10 CWTs exp'!$AA46&gt;0,'[12]Table 10 CWTs exp'!I46/'[12]Table 10 CWTs exp'!$AA46," ")</f>
        <v>0.14373766131210905</v>
      </c>
      <c r="J46" s="170" t="str">
        <f>IF('[12]Table 10 CWTs exp'!J46/'[12]Table 10 CWTs exp'!$AA46&gt;0,'[12]Table 10 CWTs exp'!J46/'[12]Table 10 CWTs exp'!$AA46," ")</f>
        <v xml:space="preserve"> </v>
      </c>
      <c r="K46" s="168">
        <f>IF('[12]Table 10 CWTs exp'!K46/'[12]Table 10 CWTs exp'!$AA46&gt;0,'[12]Table 10 CWTs exp'!K46/'[12]Table 10 CWTs exp'!$AA46," ")</f>
        <v>4.0996654267367677E-2</v>
      </c>
      <c r="L46" s="168">
        <f>IF('[12]Table 10 CWTs exp'!L46/'[12]Table 10 CWTs exp'!$AA46&gt;0,'[12]Table 10 CWTs exp'!L46/'[12]Table 10 CWTs exp'!$AA46," ")</f>
        <v>1.4413665551422455E-2</v>
      </c>
      <c r="M46" s="168">
        <f>IF('[12]Table 10 CWTs exp'!M46/'[12]Table 10 CWTs exp'!$AA46&gt;0,'[12]Table 10 CWTs exp'!M46/'[12]Table 10 CWTs exp'!$AA46," ")</f>
        <v>9.3381268053448596E-2</v>
      </c>
      <c r="N46" s="170">
        <f>IF('[12]Table 10 CWTs exp'!N46/'[12]Table 10 CWTs exp'!$AA46&gt;0,'[12]Table 10 CWTs exp'!N46/'[12]Table 10 CWTs exp'!$AA46," ")</f>
        <v>6.0002909332723758E-2</v>
      </c>
      <c r="O46" s="168">
        <f>IF('[12]Table 10 CWTs exp'!O46/'[12]Table 10 CWTs exp'!$AA46&gt;0,'[12]Table 10 CWTs exp'!O46/'[12]Table 10 CWTs exp'!$AA46," ")</f>
        <v>3.9271835581139211E-2</v>
      </c>
      <c r="P46" s="170">
        <f>IF('[12]Table 10 CWTs exp'!P46/'[12]Table 10 CWTs exp'!$AA46&gt;0,'[12]Table 10 CWTs exp'!P46/'[12]Table 10 CWTs exp'!$AA46," ")</f>
        <v>5.7575694603187795E-2</v>
      </c>
      <c r="Q46" s="168">
        <f>IF('[12]Table 10 CWTs exp'!Q46/'[12]Table 10 CWTs exp'!$AA46&gt;0,'[12]Table 10 CWTs exp'!Q46/'[12]Table 10 CWTs exp'!$AA46," ")</f>
        <v>7.5227031857193324E-4</v>
      </c>
      <c r="R46" s="168">
        <f>IF('[12]Table 10 CWTs exp'!R46/'[12]Table 10 CWTs exp'!$AA46&gt;0,'[12]Table 10 CWTs exp'!R46/'[12]Table 10 CWTs exp'!$AA46," ")</f>
        <v>6.7683547723447146E-2</v>
      </c>
      <c r="S46" s="168">
        <f>IF('[12]Table 10 CWTs exp'!S46/'[12]Table 10 CWTs exp'!$AA46&gt;0,'[12]Table 10 CWTs exp'!S46/'[12]Table 10 CWTs exp'!$AA46," ")</f>
        <v>7.5227031857193326E-3</v>
      </c>
      <c r="T46" s="170">
        <f>IF('[12]Table 10 CWTs exp'!T46/'[12]Table 10 CWTs exp'!$AA46&gt;0,'[12]Table 10 CWTs exp'!T46/'[12]Table 10 CWTs exp'!$AA46," ")</f>
        <v>5.872695912387523E-3</v>
      </c>
      <c r="U46" s="168">
        <f>IF('[12]Table 10 CWTs exp'!U46/'[12]Table 10 CWTs exp'!$AA46&gt;0,'[12]Table 10 CWTs exp'!U46/'[12]Table 10 CWTs exp'!$AA46," ")</f>
        <v>7.0239604330749571E-4</v>
      </c>
      <c r="V46" s="170">
        <f>IF('[12]Table 10 CWTs exp'!V46/'[12]Table 10 CWTs exp'!$AA46&gt;0,'[12]Table 10 CWTs exp'!V46/'[12]Table 10 CWTs exp'!$AA46," ")</f>
        <v>8.4786267949543866E-3</v>
      </c>
      <c r="W46" s="170">
        <f>IF('[12]Table 10 CWTs exp'!W46/'[12]Table 10 CWTs exp'!$AA46&gt;0,'[12]Table 10 CWTs exp'!W46/'[12]Table 10 CWTs exp'!$AA46," ")</f>
        <v>6.3589700962157888E-4</v>
      </c>
      <c r="X46" s="168" t="str">
        <f>IF('[12]Table 10 CWTs exp'!X46/'[12]Table 10 CWTs exp'!$AA46&gt;0,'[12]Table 10 CWTs exp'!X46/'[12]Table 10 CWTs exp'!$AA46," ")</f>
        <v xml:space="preserve"> </v>
      </c>
      <c r="Y46" s="171">
        <f t="shared" si="6"/>
        <v>0.5692691340578957</v>
      </c>
      <c r="Z46" s="172">
        <f t="shared" si="7"/>
        <v>0.4307308659421043</v>
      </c>
      <c r="AA46" s="89">
        <f>'[12]Table 10 CWTs exp'!AA46</f>
        <v>240605</v>
      </c>
      <c r="AB46" s="159"/>
      <c r="AC46" s="592">
        <f>'[12]Table 10 CWTs exp'!AD46</f>
        <v>0.5692691340578957</v>
      </c>
      <c r="AD46" s="592">
        <f t="shared" si="2"/>
        <v>0</v>
      </c>
      <c r="AE46" s="595"/>
      <c r="AF46" s="596"/>
      <c r="AG46" s="596"/>
      <c r="AH46" s="649"/>
      <c r="AI46" s="454"/>
      <c r="AJ46" s="442"/>
      <c r="AK46" s="442"/>
      <c r="AL46" s="442"/>
    </row>
    <row r="47" spans="1:38" ht="3.75" customHeight="1" x14ac:dyDescent="0.25">
      <c r="E47" s="173"/>
      <c r="F47" s="173"/>
      <c r="G47" s="161"/>
      <c r="H47" s="162"/>
      <c r="I47" s="161"/>
      <c r="J47" s="163"/>
      <c r="K47" s="161"/>
      <c r="L47" s="161"/>
      <c r="M47" s="161"/>
      <c r="N47" s="163"/>
      <c r="O47" s="161"/>
      <c r="P47" s="163"/>
      <c r="Q47" s="161"/>
      <c r="R47" s="161"/>
      <c r="S47" s="161"/>
      <c r="T47" s="163"/>
      <c r="U47" s="161"/>
      <c r="V47" s="163"/>
      <c r="W47" s="163"/>
      <c r="X47" s="161"/>
      <c r="Y47" s="164"/>
      <c r="Z47" s="165"/>
      <c r="AA47" s="64"/>
      <c r="AB47" s="159"/>
      <c r="AC47" s="592"/>
      <c r="AD47" s="592"/>
      <c r="AE47" s="595"/>
      <c r="AF47" s="596"/>
      <c r="AG47" s="596"/>
      <c r="AH47" s="649"/>
      <c r="AI47" s="454"/>
      <c r="AJ47" s="442"/>
      <c r="AK47" s="442"/>
      <c r="AL47" s="442"/>
    </row>
    <row r="48" spans="1:38" ht="14.25" customHeight="1" x14ac:dyDescent="0.3">
      <c r="E48" s="26" t="s">
        <v>113</v>
      </c>
      <c r="F48"/>
      <c r="G48" s="144"/>
      <c r="H48" s="145"/>
      <c r="I48" s="144"/>
      <c r="J48" s="146"/>
      <c r="K48" s="144"/>
      <c r="L48" s="144"/>
      <c r="M48" s="144"/>
      <c r="N48" s="146"/>
      <c r="O48" s="144"/>
      <c r="P48" s="146"/>
      <c r="Q48" s="144"/>
      <c r="R48" s="144"/>
      <c r="S48" s="144"/>
      <c r="T48" s="146"/>
      <c r="U48" s="144"/>
      <c r="V48" s="146"/>
      <c r="W48" s="146"/>
      <c r="X48" s="144"/>
      <c r="Y48" s="147"/>
      <c r="Z48" s="148"/>
      <c r="AA48" s="38"/>
      <c r="AC48" s="592"/>
      <c r="AD48" s="592"/>
      <c r="AE48" s="442"/>
      <c r="AF48" s="442"/>
      <c r="AG48" s="442"/>
      <c r="AH48" s="648"/>
      <c r="AI48" s="454"/>
      <c r="AJ48" s="442"/>
      <c r="AK48" s="442"/>
      <c r="AL48" s="442"/>
    </row>
    <row r="49" spans="1:38" ht="14.25" customHeight="1" x14ac:dyDescent="0.25">
      <c r="A49" t="str">
        <f>'[12]Table 10 CWTs exp'!A49</f>
        <v>USAC463</v>
      </c>
      <c r="B49" s="4" t="str">
        <f>'[12]Table 10 CWTs exp'!B49</f>
        <v>USAC</v>
      </c>
      <c r="C49" s="4">
        <f>'[12]Table 10 CWTs exp'!C49</f>
        <v>46</v>
      </c>
      <c r="D49" s="4">
        <f>'[12]Table 10 CWTs exp'!D49</f>
        <v>3</v>
      </c>
      <c r="E49" t="str">
        <f>'[12]Table 10 CWTs exp'!E49</f>
        <v xml:space="preserve">Upper Sacramento River </v>
      </c>
      <c r="F49" s="37" t="str">
        <f>'[12]Table 10 CWTs exp'!F49</f>
        <v>Fall</v>
      </c>
      <c r="G49" s="144" t="str">
        <f>IF('[12]Table 10 CWTs exp'!G49/'[12]Table 10 CWTs exp'!$AA49&gt;0,'[12]Table 10 CWTs exp'!G49/'[12]Table 10 CWTs exp'!$AA49," ")</f>
        <v xml:space="preserve"> </v>
      </c>
      <c r="H49" s="145" t="str">
        <f>IF('[12]Table 10 CWTs exp'!H49/'[12]Table 10 CWTs exp'!$AA49&gt;0,'[12]Table 10 CWTs exp'!H49/'[12]Table 10 CWTs exp'!$AA49," ")</f>
        <v xml:space="preserve"> </v>
      </c>
      <c r="I49" s="144">
        <f>IF('[12]Table 10 CWTs exp'!I49/'[12]Table 10 CWTs exp'!$AA49&gt;0,'[12]Table 10 CWTs exp'!I49/'[12]Table 10 CWTs exp'!$AA49," ")</f>
        <v>0.53668239430104547</v>
      </c>
      <c r="J49" s="146" t="str">
        <f>IF('[12]Table 10 CWTs exp'!J49/'[12]Table 10 CWTs exp'!$AA49&gt;0,'[12]Table 10 CWTs exp'!J49/'[12]Table 10 CWTs exp'!$AA49," ")</f>
        <v xml:space="preserve"> </v>
      </c>
      <c r="K49" s="144">
        <f>IF('[12]Table 10 CWTs exp'!K49/'[12]Table 10 CWTs exp'!$AA49&gt;0,'[12]Table 10 CWTs exp'!K49/'[12]Table 10 CWTs exp'!$AA49," ")</f>
        <v>1.2027014524932926E-3</v>
      </c>
      <c r="L49" s="144" t="str">
        <f>IF('[12]Table 10 CWTs exp'!L49/'[12]Table 10 CWTs exp'!$AA49&gt;0,'[12]Table 10 CWTs exp'!L49/'[12]Table 10 CWTs exp'!$AA49," ")</f>
        <v xml:space="preserve"> </v>
      </c>
      <c r="M49" s="144">
        <f>IF('[12]Table 10 CWTs exp'!M49/'[12]Table 10 CWTs exp'!$AA49&gt;0,'[12]Table 10 CWTs exp'!M49/'[12]Table 10 CWTs exp'!$AA49," ")</f>
        <v>4.8108058099731706E-3</v>
      </c>
      <c r="N49" s="146">
        <f>IF('[12]Table 10 CWTs exp'!N49/'[12]Table 10 CWTs exp'!$AA49&gt;0,'[12]Table 10 CWTs exp'!N49/'[12]Table 10 CWTs exp'!$AA49," ")</f>
        <v>4.8108058099731706E-3</v>
      </c>
      <c r="O49" s="144" t="str">
        <f>IF('[12]Table 10 CWTs exp'!O49/'[12]Table 10 CWTs exp'!$AA49&gt;0,'[12]Table 10 CWTs exp'!O49/'[12]Table 10 CWTs exp'!$AA49," ")</f>
        <v xml:space="preserve"> </v>
      </c>
      <c r="P49" s="146" t="str">
        <f>IF('[12]Table 10 CWTs exp'!P49/'[12]Table 10 CWTs exp'!$AA49&gt;0,'[12]Table 10 CWTs exp'!P49/'[12]Table 10 CWTs exp'!$AA49," ")</f>
        <v xml:space="preserve"> </v>
      </c>
      <c r="Q49" s="144" t="str">
        <f>IF('[12]Table 10 CWTs exp'!Q49/'[12]Table 10 CWTs exp'!$AA49&gt;0,'[12]Table 10 CWTs exp'!Q49/'[12]Table 10 CWTs exp'!$AA49," ")</f>
        <v xml:space="preserve"> </v>
      </c>
      <c r="R49" s="144" t="str">
        <f>IF('[12]Table 10 CWTs exp'!R49/'[12]Table 10 CWTs exp'!$AA49&gt;0,'[12]Table 10 CWTs exp'!R49/'[12]Table 10 CWTs exp'!$AA49," ")</f>
        <v xml:space="preserve"> </v>
      </c>
      <c r="S49" s="144" t="str">
        <f>IF('[12]Table 10 CWTs exp'!S49/'[12]Table 10 CWTs exp'!$AA49&gt;0,'[12]Table 10 CWTs exp'!S49/'[12]Table 10 CWTs exp'!$AA49," ")</f>
        <v xml:space="preserve"> </v>
      </c>
      <c r="T49" s="146" t="str">
        <f>IF('[12]Table 10 CWTs exp'!T49/'[12]Table 10 CWTs exp'!$AA49&gt;0,'[12]Table 10 CWTs exp'!T49/'[12]Table 10 CWTs exp'!$AA49," ")</f>
        <v xml:space="preserve"> </v>
      </c>
      <c r="U49" s="144" t="str">
        <f>IF('[12]Table 10 CWTs exp'!U49/'[12]Table 10 CWTs exp'!$AA49&gt;0,'[12]Table 10 CWTs exp'!U49/'[12]Table 10 CWTs exp'!$AA49," ")</f>
        <v xml:space="preserve"> </v>
      </c>
      <c r="V49" s="146" t="str">
        <f>IF('[12]Table 10 CWTs exp'!V49/'[12]Table 10 CWTs exp'!$AA49&gt;0,'[12]Table 10 CWTs exp'!V49/'[12]Table 10 CWTs exp'!$AA49," ")</f>
        <v xml:space="preserve"> </v>
      </c>
      <c r="W49" s="146" t="str">
        <f>IF('[12]Table 10 CWTs exp'!W49/'[12]Table 10 CWTs exp'!$AA49&gt;0,'[12]Table 10 CWTs exp'!W49/'[12]Table 10 CWTs exp'!$AA49," ")</f>
        <v xml:space="preserve"> </v>
      </c>
      <c r="X49" s="144" t="str">
        <f>IF('[12]Table 10 CWTs exp'!X49/'[12]Table 10 CWTs exp'!$AA49&gt;0,'[12]Table 10 CWTs exp'!X49/'[12]Table 10 CWTs exp'!$AA49," ")</f>
        <v xml:space="preserve"> </v>
      </c>
      <c r="Y49" s="147">
        <f>AC49</f>
        <v>0.54800000000000004</v>
      </c>
      <c r="Z49" s="148">
        <f>1-ROUND(Y49,2)</f>
        <v>0.44999999999999996</v>
      </c>
      <c r="AA49" s="38">
        <f>'[12]Table 10 CWTs exp'!AA49</f>
        <v>10809</v>
      </c>
      <c r="AC49" s="592">
        <f>'[12]Table 10 CWTs exp'!AD49</f>
        <v>0.54800000000000004</v>
      </c>
      <c r="AD49" s="592">
        <f t="shared" si="2"/>
        <v>0</v>
      </c>
      <c r="AE49" s="593" t="str">
        <f t="shared" ref="AE49:AE54" si="8">A49</f>
        <v>USAC463</v>
      </c>
      <c r="AF49" s="442"/>
      <c r="AG49" s="442"/>
      <c r="AH49" s="648"/>
      <c r="AI49" s="454"/>
      <c r="AJ49" s="442"/>
      <c r="AK49" s="442"/>
      <c r="AL49" s="442"/>
    </row>
    <row r="50" spans="1:38" ht="14.25" customHeight="1" x14ac:dyDescent="0.25">
      <c r="A50" t="str">
        <f>'[12]Table 10 CWTs exp'!A50</f>
        <v>LSAC463</v>
      </c>
      <c r="B50" s="4" t="str">
        <f>'[12]Table 10 CWTs exp'!B50</f>
        <v>LSAC</v>
      </c>
      <c r="C50" s="4">
        <f>'[12]Table 10 CWTs exp'!C50</f>
        <v>46</v>
      </c>
      <c r="D50" s="4">
        <f>'[12]Table 10 CWTs exp'!D50</f>
        <v>3</v>
      </c>
      <c r="E50" t="str">
        <f>'[12]Table 10 CWTs exp'!E50</f>
        <v xml:space="preserve">Lower Sacramento River </v>
      </c>
      <c r="F50" s="37" t="str">
        <f>'[12]Table 10 CWTs exp'!F50</f>
        <v>Fall</v>
      </c>
      <c r="G50" s="144">
        <f>IF('[12]Table 10 CWTs exp'!G50/'[12]Table 10 CWTs exp'!$AA50&gt;0,'[12]Table 10 CWTs exp'!G50/'[12]Table 10 CWTs exp'!$AA50," ")</f>
        <v>3.6358739563695126E-3</v>
      </c>
      <c r="H50" s="145">
        <f>IF('[12]Table 10 CWTs exp'!H50/'[12]Table 10 CWTs exp'!$AA50&gt;0,'[12]Table 10 CWTs exp'!H50/'[12]Table 10 CWTs exp'!$AA50," ")</f>
        <v>2.2488553730137355E-2</v>
      </c>
      <c r="I50" s="144">
        <f>IF('[12]Table 10 CWTs exp'!I50/'[12]Table 10 CWTs exp'!$AA50&gt;0,'[12]Table 10 CWTs exp'!I50/'[12]Table 10 CWTs exp'!$AA50," ")</f>
        <v>5.8173983301912202E-2</v>
      </c>
      <c r="J50" s="146" t="str">
        <f>IF('[12]Table 10 CWTs exp'!J50/'[12]Table 10 CWTs exp'!$AA50&gt;0,'[12]Table 10 CWTs exp'!J50/'[12]Table 10 CWTs exp'!$AA50," ")</f>
        <v xml:space="preserve"> </v>
      </c>
      <c r="K50" s="144" t="str">
        <f>IF('[12]Table 10 CWTs exp'!K50/'[12]Table 10 CWTs exp'!$AA50&gt;0,'[12]Table 10 CWTs exp'!K50/'[12]Table 10 CWTs exp'!$AA50," ")</f>
        <v xml:space="preserve"> </v>
      </c>
      <c r="L50" s="144">
        <f>IF('[12]Table 10 CWTs exp'!L50/'[12]Table 10 CWTs exp'!$AA50&gt;0,'[12]Table 10 CWTs exp'!L50/'[12]Table 10 CWTs exp'!$AA50," ")</f>
        <v>3.6358739563695126E-3</v>
      </c>
      <c r="M50" s="144">
        <f>IF('[12]Table 10 CWTs exp'!M50/'[12]Table 10 CWTs exp'!$AA50&gt;0,'[12]Table 10 CWTs exp'!M50/'[12]Table 10 CWTs exp'!$AA50," ")</f>
        <v>5.7904659305144088E-2</v>
      </c>
      <c r="N50" s="146">
        <f>IF('[12]Table 10 CWTs exp'!N50/'[12]Table 10 CWTs exp'!$AA50&gt;0,'[12]Table 10 CWTs exp'!N50/'[12]Table 10 CWTs exp'!$AA50," ")</f>
        <v>0.16065176407217882</v>
      </c>
      <c r="O50" s="144">
        <f>IF('[12]Table 10 CWTs exp'!O50/'[12]Table 10 CWTs exp'!$AA50&gt;0,'[12]Table 10 CWTs exp'!O50/'[12]Table 10 CWTs exp'!$AA50," ")</f>
        <v>5.8039321303528145E-2</v>
      </c>
      <c r="P50" s="146">
        <f>IF('[12]Table 10 CWTs exp'!P50/'[12]Table 10 CWTs exp'!$AA50&gt;0,'[12]Table 10 CWTs exp'!P50/'[12]Table 10 CWTs exp'!$AA50," ")</f>
        <v>0.13089146242930244</v>
      </c>
      <c r="Q50" s="144" t="str">
        <f>IF('[12]Table 10 CWTs exp'!Q50/'[12]Table 10 CWTs exp'!$AA50&gt;0,'[12]Table 10 CWTs exp'!Q50/'[12]Table 10 CWTs exp'!$AA50," ")</f>
        <v xml:space="preserve"> </v>
      </c>
      <c r="R50" s="144">
        <f>IF('[12]Table 10 CWTs exp'!R50/'[12]Table 10 CWTs exp'!$AA50&gt;0,'[12]Table 10 CWTs exp'!R50/'[12]Table 10 CWTs exp'!$AA50," ")</f>
        <v>0.15970913008349044</v>
      </c>
      <c r="S50" s="144" t="str">
        <f>IF('[12]Table 10 CWTs exp'!S50/'[12]Table 10 CWTs exp'!$AA50&gt;0,'[12]Table 10 CWTs exp'!S50/'[12]Table 10 CWTs exp'!$AA50," ")</f>
        <v xml:space="preserve"> </v>
      </c>
      <c r="T50" s="146">
        <f>IF('[12]Table 10 CWTs exp'!T50/'[12]Table 10 CWTs exp'!$AA50&gt;0,'[12]Table 10 CWTs exp'!T50/'[12]Table 10 CWTs exp'!$AA50," ")</f>
        <v>1.1042283867492593E-2</v>
      </c>
      <c r="U50" s="144" t="str">
        <f>IF('[12]Table 10 CWTs exp'!U50/'[12]Table 10 CWTs exp'!$AA50&gt;0,'[12]Table 10 CWTs exp'!U50/'[12]Table 10 CWTs exp'!$AA50," ")</f>
        <v xml:space="preserve"> </v>
      </c>
      <c r="V50" s="146" t="str">
        <f>IF('[12]Table 10 CWTs exp'!V50/'[12]Table 10 CWTs exp'!$AA50&gt;0,'[12]Table 10 CWTs exp'!V50/'[12]Table 10 CWTs exp'!$AA50," ")</f>
        <v xml:space="preserve"> </v>
      </c>
      <c r="W50" s="146" t="str">
        <f>IF('[12]Table 10 CWTs exp'!W50/'[12]Table 10 CWTs exp'!$AA50&gt;0,'[12]Table 10 CWTs exp'!W50/'[12]Table 10 CWTs exp'!$AA50," ")</f>
        <v xml:space="preserve"> </v>
      </c>
      <c r="X50" s="144" t="str">
        <f>IF('[12]Table 10 CWTs exp'!X50/'[12]Table 10 CWTs exp'!$AA50&gt;0,'[12]Table 10 CWTs exp'!X50/'[12]Table 10 CWTs exp'!$AA50," ")</f>
        <v xml:space="preserve"> </v>
      </c>
      <c r="Y50" s="147">
        <f t="shared" ref="Y50:Y55" si="9">SUM(G50:X50)</f>
        <v>0.66617290600592505</v>
      </c>
      <c r="Z50" s="148">
        <f t="shared" ref="Z50:Z55" si="10">1-Y50</f>
        <v>0.33382709399407495</v>
      </c>
      <c r="AA50" s="38">
        <f>'[12]Table 10 CWTs exp'!AA50</f>
        <v>7426</v>
      </c>
      <c r="AC50" s="592">
        <f>'[12]Table 10 CWTs exp'!AD50</f>
        <v>0.66600000000000004</v>
      </c>
      <c r="AD50" s="592">
        <f t="shared" si="2"/>
        <v>1.7290600592501093E-4</v>
      </c>
      <c r="AE50" s="593" t="str">
        <f t="shared" si="8"/>
        <v>LSAC463</v>
      </c>
      <c r="AF50" s="442"/>
      <c r="AG50" s="442"/>
      <c r="AH50" s="648"/>
      <c r="AI50" s="454"/>
      <c r="AJ50" s="442"/>
      <c r="AK50" s="442"/>
      <c r="AL50" s="442"/>
    </row>
    <row r="51" spans="1:38" ht="14.25" customHeight="1" x14ac:dyDescent="0.25">
      <c r="A51" t="str">
        <f>'[12]Table 10 CWTs exp'!A51</f>
        <v>FEA463</v>
      </c>
      <c r="B51" s="4" t="str">
        <f>'[12]Table 10 CWTs exp'!B51</f>
        <v>FEA</v>
      </c>
      <c r="C51" s="4">
        <f>'[12]Table 10 CWTs exp'!C51</f>
        <v>46</v>
      </c>
      <c r="D51" s="4">
        <f>'[12]Table 10 CWTs exp'!D51</f>
        <v>3</v>
      </c>
      <c r="E51" t="str">
        <f>'[12]Table 10 CWTs exp'!E51</f>
        <v xml:space="preserve">Feather River </v>
      </c>
      <c r="F51" s="37" t="str">
        <f>'[12]Table 10 CWTs exp'!F51</f>
        <v>Fall</v>
      </c>
      <c r="G51" s="144" t="str">
        <f>IF('[12]Table 10 CWTs exp'!G51/'[12]Table 10 CWTs exp'!$AA51&gt;0,'[12]Table 10 CWTs exp'!G51/'[12]Table 10 CWTs exp'!$AA51," ")</f>
        <v xml:space="preserve"> </v>
      </c>
      <c r="H51" s="145" t="str">
        <f>IF('[12]Table 10 CWTs exp'!H51/'[12]Table 10 CWTs exp'!$AA51&gt;0,'[12]Table 10 CWTs exp'!H51/'[12]Table 10 CWTs exp'!$AA51," ")</f>
        <v xml:space="preserve"> </v>
      </c>
      <c r="I51" s="144">
        <f>IF('[12]Table 10 CWTs exp'!I51/'[12]Table 10 CWTs exp'!$AA51&gt;0,'[12]Table 10 CWTs exp'!I51/'[12]Table 10 CWTs exp'!$AA51," ")</f>
        <v>1.0401188707280832E-2</v>
      </c>
      <c r="J51" s="146" t="str">
        <f>IF('[12]Table 10 CWTs exp'!J51/'[12]Table 10 CWTs exp'!$AA51&gt;0,'[12]Table 10 CWTs exp'!J51/'[12]Table 10 CWTs exp'!$AA51," ")</f>
        <v xml:space="preserve"> </v>
      </c>
      <c r="K51" s="144">
        <f>IF('[12]Table 10 CWTs exp'!K51/'[12]Table 10 CWTs exp'!$AA51&gt;0,'[12]Table 10 CWTs exp'!K51/'[12]Table 10 CWTs exp'!$AA51," ")</f>
        <v>5.0817236255572065E-2</v>
      </c>
      <c r="L51" s="144">
        <f>IF('[12]Table 10 CWTs exp'!L51/'[12]Table 10 CWTs exp'!$AA51&gt;0,'[12]Table 10 CWTs exp'!L51/'[12]Table 10 CWTs exp'!$AA51," ")</f>
        <v>2.9717682020802376E-2</v>
      </c>
      <c r="M51" s="144">
        <f>IF('[12]Table 10 CWTs exp'!M51/'[12]Table 10 CWTs exp'!$AA51&gt;0,'[12]Table 10 CWTs exp'!M51/'[12]Table 10 CWTs exp'!$AA51," ")</f>
        <v>0.2804358593363051</v>
      </c>
      <c r="N51" s="146">
        <f>IF('[12]Table 10 CWTs exp'!N51/'[12]Table 10 CWTs exp'!$AA51&gt;0,'[12]Table 10 CWTs exp'!N51/'[12]Table 10 CWTs exp'!$AA51," ")</f>
        <v>0.22872709262010896</v>
      </c>
      <c r="O51" s="144" t="str">
        <f>IF('[12]Table 10 CWTs exp'!O51/'[12]Table 10 CWTs exp'!$AA51&gt;0,'[12]Table 10 CWTs exp'!O51/'[12]Table 10 CWTs exp'!$AA51," ")</f>
        <v xml:space="preserve"> </v>
      </c>
      <c r="P51" s="146">
        <f>IF('[12]Table 10 CWTs exp'!P51/'[12]Table 10 CWTs exp'!$AA51&gt;0,'[12]Table 10 CWTs exp'!P51/'[12]Table 10 CWTs exp'!$AA51," ")</f>
        <v>5.1510648836057453E-3</v>
      </c>
      <c r="Q51" s="144" t="str">
        <f>IF('[12]Table 10 CWTs exp'!Q51/'[12]Table 10 CWTs exp'!$AA51&gt;0,'[12]Table 10 CWTs exp'!Q51/'[12]Table 10 CWTs exp'!$AA51," ")</f>
        <v xml:space="preserve"> </v>
      </c>
      <c r="R51" s="144" t="str">
        <f>IF('[12]Table 10 CWTs exp'!R51/'[12]Table 10 CWTs exp'!$AA51&gt;0,'[12]Table 10 CWTs exp'!R51/'[12]Table 10 CWTs exp'!$AA51," ")</f>
        <v xml:space="preserve"> </v>
      </c>
      <c r="S51" s="144">
        <f>IF('[12]Table 10 CWTs exp'!S51/'[12]Table 10 CWTs exp'!$AA51&gt;0,'[12]Table 10 CWTs exp'!S51/'[12]Table 10 CWTs exp'!$AA51," ")</f>
        <v>3.9623576027736501E-3</v>
      </c>
      <c r="T51" s="146" t="str">
        <f>IF('[12]Table 10 CWTs exp'!T51/'[12]Table 10 CWTs exp'!$AA51&gt;0,'[12]Table 10 CWTs exp'!T51/'[12]Table 10 CWTs exp'!$AA51," ")</f>
        <v xml:space="preserve"> </v>
      </c>
      <c r="U51" s="144" t="str">
        <f>IF('[12]Table 10 CWTs exp'!U51/'[12]Table 10 CWTs exp'!$AA51&gt;0,'[12]Table 10 CWTs exp'!U51/'[12]Table 10 CWTs exp'!$AA51," ")</f>
        <v xml:space="preserve"> </v>
      </c>
      <c r="V51" s="146">
        <f>IF('[12]Table 10 CWTs exp'!V51/'[12]Table 10 CWTs exp'!$AA51&gt;0,'[12]Table 10 CWTs exp'!V51/'[12]Table 10 CWTs exp'!$AA51," ")</f>
        <v>5.9435364041604752E-3</v>
      </c>
      <c r="W51" s="146" t="str">
        <f>IF('[12]Table 10 CWTs exp'!W51/'[12]Table 10 CWTs exp'!$AA51&gt;0,'[12]Table 10 CWTs exp'!W51/'[12]Table 10 CWTs exp'!$AA51," ")</f>
        <v xml:space="preserve"> </v>
      </c>
      <c r="X51" s="144" t="str">
        <f>IF('[12]Table 10 CWTs exp'!X51/'[12]Table 10 CWTs exp'!$AA51&gt;0,'[12]Table 10 CWTs exp'!X51/'[12]Table 10 CWTs exp'!$AA51," ")</f>
        <v xml:space="preserve"> </v>
      </c>
      <c r="Y51" s="147">
        <f t="shared" si="9"/>
        <v>0.61515601783060914</v>
      </c>
      <c r="Z51" s="148">
        <f t="shared" si="10"/>
        <v>0.38484398216939086</v>
      </c>
      <c r="AA51" s="38">
        <f>'[12]Table 10 CWTs exp'!AA51</f>
        <v>10095</v>
      </c>
      <c r="AC51" s="592">
        <f>'[12]Table 10 CWTs exp'!AD51</f>
        <v>0.61499999999999999</v>
      </c>
      <c r="AD51" s="592">
        <f t="shared" si="2"/>
        <v>1.5601783060914531E-4</v>
      </c>
      <c r="AE51" s="593" t="str">
        <f t="shared" si="8"/>
        <v>FEA463</v>
      </c>
      <c r="AF51" s="442"/>
      <c r="AG51" s="442"/>
      <c r="AH51" s="648"/>
      <c r="AI51" s="454"/>
      <c r="AJ51" s="442"/>
      <c r="AK51" s="442"/>
      <c r="AL51" s="442"/>
    </row>
    <row r="52" spans="1:38" ht="14.25" customHeight="1" x14ac:dyDescent="0.25">
      <c r="A52" t="str">
        <f>'[12]Table 10 CWTs exp'!A52</f>
        <v>AMN463</v>
      </c>
      <c r="B52" s="4" t="str">
        <f>'[12]Table 10 CWTs exp'!B52</f>
        <v>AMN</v>
      </c>
      <c r="C52" s="4">
        <f>'[12]Table 10 CWTs exp'!C52</f>
        <v>46</v>
      </c>
      <c r="D52" s="4">
        <f>'[12]Table 10 CWTs exp'!D52</f>
        <v>3</v>
      </c>
      <c r="E52" t="str">
        <f>'[12]Table 10 CWTs exp'!E52</f>
        <v xml:space="preserve">American River </v>
      </c>
      <c r="F52" s="37" t="str">
        <f>'[12]Table 10 CWTs exp'!F52</f>
        <v>Fall</v>
      </c>
      <c r="G52" s="144" t="str">
        <f>IF('[12]Table 10 CWTs exp'!G52/'[12]Table 10 CWTs exp'!$AA52&gt;0,'[12]Table 10 CWTs exp'!G52/'[12]Table 10 CWTs exp'!$AA52," ")</f>
        <v xml:space="preserve"> </v>
      </c>
      <c r="H52" s="145" t="str">
        <f>IF('[12]Table 10 CWTs exp'!H52/'[12]Table 10 CWTs exp'!$AA52&gt;0,'[12]Table 10 CWTs exp'!H52/'[12]Table 10 CWTs exp'!$AA52," ")</f>
        <v xml:space="preserve"> </v>
      </c>
      <c r="I52" s="144" t="str">
        <f>IF('[12]Table 10 CWTs exp'!I52/'[12]Table 10 CWTs exp'!$AA52&gt;0,'[12]Table 10 CWTs exp'!I52/'[12]Table 10 CWTs exp'!$AA52," ")</f>
        <v xml:space="preserve"> </v>
      </c>
      <c r="J52" s="146" t="str">
        <f>IF('[12]Table 10 CWTs exp'!J52/'[12]Table 10 CWTs exp'!$AA52&gt;0,'[12]Table 10 CWTs exp'!J52/'[12]Table 10 CWTs exp'!$AA52," ")</f>
        <v xml:space="preserve"> </v>
      </c>
      <c r="K52" s="144" t="str">
        <f>IF('[12]Table 10 CWTs exp'!K52/'[12]Table 10 CWTs exp'!$AA52&gt;0,'[12]Table 10 CWTs exp'!K52/'[12]Table 10 CWTs exp'!$AA52," ")</f>
        <v xml:space="preserve"> </v>
      </c>
      <c r="L52" s="144" t="str">
        <f>IF('[12]Table 10 CWTs exp'!L52/'[12]Table 10 CWTs exp'!$AA52&gt;0,'[12]Table 10 CWTs exp'!L52/'[12]Table 10 CWTs exp'!$AA52," ")</f>
        <v xml:space="preserve"> </v>
      </c>
      <c r="M52" s="144">
        <f>IF('[12]Table 10 CWTs exp'!M52/'[12]Table 10 CWTs exp'!$AA52&gt;0,'[12]Table 10 CWTs exp'!M52/'[12]Table 10 CWTs exp'!$AA52," ")</f>
        <v>3.4463894967177243E-2</v>
      </c>
      <c r="N52" s="146">
        <f>IF('[12]Table 10 CWTs exp'!N52/'[12]Table 10 CWTs exp'!$AA52&gt;0,'[12]Table 10 CWTs exp'!N52/'[12]Table 10 CWTs exp'!$AA52," ")</f>
        <v>0.11597374179431072</v>
      </c>
      <c r="O52" s="144">
        <f>IF('[12]Table 10 CWTs exp'!O52/'[12]Table 10 CWTs exp'!$AA52&gt;0,'[12]Table 10 CWTs exp'!O52/'[12]Table 10 CWTs exp'!$AA52," ")</f>
        <v>0.15426695842450766</v>
      </c>
      <c r="P52" s="146">
        <f>IF('[12]Table 10 CWTs exp'!P52/'[12]Table 10 CWTs exp'!$AA52&gt;0,'[12]Table 10 CWTs exp'!P52/'[12]Table 10 CWTs exp'!$AA52," ")</f>
        <v>0.11597374179431072</v>
      </c>
      <c r="Q52" s="144" t="str">
        <f>IF('[12]Table 10 CWTs exp'!Q52/'[12]Table 10 CWTs exp'!$AA52&gt;0,'[12]Table 10 CWTs exp'!Q52/'[12]Table 10 CWTs exp'!$AA52," ")</f>
        <v xml:space="preserve"> </v>
      </c>
      <c r="R52" s="144">
        <f>IF('[12]Table 10 CWTs exp'!R52/'[12]Table 10 CWTs exp'!$AA52&gt;0,'[12]Table 10 CWTs exp'!R52/'[12]Table 10 CWTs exp'!$AA52," ")</f>
        <v>0.1936542669584245</v>
      </c>
      <c r="S52" s="144">
        <f>IF('[12]Table 10 CWTs exp'!S52/'[12]Table 10 CWTs exp'!$AA52&gt;0,'[12]Table 10 CWTs exp'!S52/'[12]Table 10 CWTs exp'!$AA52," ")</f>
        <v>2.9540481400437638E-2</v>
      </c>
      <c r="T52" s="146" t="str">
        <f>IF('[12]Table 10 CWTs exp'!T52/'[12]Table 10 CWTs exp'!$AA52&gt;0,'[12]Table 10 CWTs exp'!T52/'[12]Table 10 CWTs exp'!$AA52," ")</f>
        <v xml:space="preserve"> </v>
      </c>
      <c r="U52" s="144" t="str">
        <f>IF('[12]Table 10 CWTs exp'!U52/'[12]Table 10 CWTs exp'!$AA52&gt;0,'[12]Table 10 CWTs exp'!U52/'[12]Table 10 CWTs exp'!$AA52," ")</f>
        <v xml:space="preserve"> </v>
      </c>
      <c r="V52" s="146" t="str">
        <f>IF('[12]Table 10 CWTs exp'!V52/'[12]Table 10 CWTs exp'!$AA52&gt;0,'[12]Table 10 CWTs exp'!V52/'[12]Table 10 CWTs exp'!$AA52," ")</f>
        <v xml:space="preserve"> </v>
      </c>
      <c r="W52" s="146" t="str">
        <f>IF('[12]Table 10 CWTs exp'!W52/'[12]Table 10 CWTs exp'!$AA52&gt;0,'[12]Table 10 CWTs exp'!W52/'[12]Table 10 CWTs exp'!$AA52," ")</f>
        <v xml:space="preserve"> </v>
      </c>
      <c r="X52" s="144" t="str">
        <f>IF('[12]Table 10 CWTs exp'!X52/'[12]Table 10 CWTs exp'!$AA52&gt;0,'[12]Table 10 CWTs exp'!X52/'[12]Table 10 CWTs exp'!$AA52," ")</f>
        <v xml:space="preserve"> </v>
      </c>
      <c r="Y52" s="147">
        <f t="shared" si="9"/>
        <v>0.64387308533916843</v>
      </c>
      <c r="Z52" s="148">
        <f t="shared" si="10"/>
        <v>0.35612691466083157</v>
      </c>
      <c r="AA52" s="38">
        <f>'[12]Table 10 CWTs exp'!AA52</f>
        <v>1828</v>
      </c>
      <c r="AC52" s="592">
        <f>'[12]Table 10 CWTs exp'!AD52</f>
        <v>0.64400000000000002</v>
      </c>
      <c r="AD52" s="592">
        <f t="shared" si="2"/>
        <v>-1.2691466083158964E-4</v>
      </c>
      <c r="AE52" s="593" t="str">
        <f t="shared" si="8"/>
        <v>AMN463</v>
      </c>
      <c r="AF52" s="442"/>
      <c r="AG52" s="442"/>
      <c r="AH52" s="648"/>
      <c r="AI52" s="454"/>
      <c r="AJ52" s="442"/>
      <c r="AK52" s="442"/>
      <c r="AL52" s="442"/>
    </row>
    <row r="53" spans="1:38" ht="14.25" hidden="1" customHeight="1" x14ac:dyDescent="0.25">
      <c r="A53" t="str">
        <f>'[12]Table 10 CWTs exp'!A53</f>
        <v>MOKE463</v>
      </c>
      <c r="B53" s="4" t="str">
        <f>'[12]Table 10 CWTs exp'!B53</f>
        <v>MOKE</v>
      </c>
      <c r="C53" s="4">
        <f>'[12]Table 10 CWTs exp'!C53</f>
        <v>46</v>
      </c>
      <c r="D53" s="4">
        <f>'[12]Table 10 CWTs exp'!D53</f>
        <v>3</v>
      </c>
      <c r="E53" t="str">
        <f>'[12]Table 10 CWTs exp'!E53</f>
        <v>Mokelumne River</v>
      </c>
      <c r="F53" s="37" t="str">
        <f>'[12]Table 10 CWTs exp'!F53</f>
        <v>Fall</v>
      </c>
      <c r="G53" s="144" t="e">
        <f>IF('[12]Table 10 CWTs exp'!G53/'[12]Table 10 CWTs exp'!$AA53&gt;0,'[12]Table 10 CWTs exp'!G53/'[12]Table 10 CWTs exp'!$AA53," ")</f>
        <v>#DIV/0!</v>
      </c>
      <c r="H53" s="145" t="e">
        <f>IF('[12]Table 10 CWTs exp'!H53/'[12]Table 10 CWTs exp'!$AA53&gt;0,'[12]Table 10 CWTs exp'!H53/'[12]Table 10 CWTs exp'!$AA53," ")</f>
        <v>#DIV/0!</v>
      </c>
      <c r="I53" s="144" t="e">
        <f>IF('[12]Table 10 CWTs exp'!I53/'[12]Table 10 CWTs exp'!$AA53&gt;0,'[12]Table 10 CWTs exp'!I53/'[12]Table 10 CWTs exp'!$AA53," ")</f>
        <v>#DIV/0!</v>
      </c>
      <c r="J53" s="146" t="e">
        <f>IF('[12]Table 10 CWTs exp'!J53/'[12]Table 10 CWTs exp'!$AA53&gt;0,'[12]Table 10 CWTs exp'!J53/'[12]Table 10 CWTs exp'!$AA53," ")</f>
        <v>#DIV/0!</v>
      </c>
      <c r="K53" s="144" t="e">
        <f>IF('[12]Table 10 CWTs exp'!K53/'[12]Table 10 CWTs exp'!$AA53&gt;0,'[12]Table 10 CWTs exp'!K53/'[12]Table 10 CWTs exp'!$AA53," ")</f>
        <v>#DIV/0!</v>
      </c>
      <c r="L53" s="144" t="e">
        <f>IF('[12]Table 10 CWTs exp'!L53/'[12]Table 10 CWTs exp'!$AA53&gt;0,'[12]Table 10 CWTs exp'!L53/'[12]Table 10 CWTs exp'!$AA53," ")</f>
        <v>#DIV/0!</v>
      </c>
      <c r="M53" s="144" t="e">
        <f>IF('[12]Table 10 CWTs exp'!M53/'[12]Table 10 CWTs exp'!$AA53&gt;0,'[12]Table 10 CWTs exp'!M53/'[12]Table 10 CWTs exp'!$AA53," ")</f>
        <v>#DIV/0!</v>
      </c>
      <c r="N53" s="146" t="e">
        <f>IF('[12]Table 10 CWTs exp'!N53/'[12]Table 10 CWTs exp'!$AA53&gt;0,'[12]Table 10 CWTs exp'!N53/'[12]Table 10 CWTs exp'!$AA53," ")</f>
        <v>#DIV/0!</v>
      </c>
      <c r="O53" s="144" t="e">
        <f>IF('[12]Table 10 CWTs exp'!O53/'[12]Table 10 CWTs exp'!$AA53&gt;0,'[12]Table 10 CWTs exp'!O53/'[12]Table 10 CWTs exp'!$AA53," ")</f>
        <v>#DIV/0!</v>
      </c>
      <c r="P53" s="146" t="e">
        <f>IF('[12]Table 10 CWTs exp'!P53/'[12]Table 10 CWTs exp'!$AA53&gt;0,'[12]Table 10 CWTs exp'!P53/'[12]Table 10 CWTs exp'!$AA53," ")</f>
        <v>#DIV/0!</v>
      </c>
      <c r="Q53" s="144" t="e">
        <f>IF('[12]Table 10 CWTs exp'!Q53/'[12]Table 10 CWTs exp'!$AA53&gt;0,'[12]Table 10 CWTs exp'!Q53/'[12]Table 10 CWTs exp'!$AA53," ")</f>
        <v>#DIV/0!</v>
      </c>
      <c r="R53" s="144" t="e">
        <f>IF('[12]Table 10 CWTs exp'!R53/'[12]Table 10 CWTs exp'!$AA53&gt;0,'[12]Table 10 CWTs exp'!R53/'[12]Table 10 CWTs exp'!$AA53," ")</f>
        <v>#DIV/0!</v>
      </c>
      <c r="S53" s="144" t="e">
        <f>IF('[12]Table 10 CWTs exp'!S53/'[12]Table 10 CWTs exp'!$AA53&gt;0,'[12]Table 10 CWTs exp'!S53/'[12]Table 10 CWTs exp'!$AA53," ")</f>
        <v>#DIV/0!</v>
      </c>
      <c r="T53" s="146" t="e">
        <f>IF('[12]Table 10 CWTs exp'!T53/'[12]Table 10 CWTs exp'!$AA53&gt;0,'[12]Table 10 CWTs exp'!T53/'[12]Table 10 CWTs exp'!$AA53," ")</f>
        <v>#DIV/0!</v>
      </c>
      <c r="U53" s="144" t="e">
        <f>IF('[12]Table 10 CWTs exp'!U53/'[12]Table 10 CWTs exp'!$AA53&gt;0,'[12]Table 10 CWTs exp'!U53/'[12]Table 10 CWTs exp'!$AA53," ")</f>
        <v>#DIV/0!</v>
      </c>
      <c r="V53" s="146" t="e">
        <f>IF('[12]Table 10 CWTs exp'!V53/'[12]Table 10 CWTs exp'!$AA53&gt;0,'[12]Table 10 CWTs exp'!V53/'[12]Table 10 CWTs exp'!$AA53," ")</f>
        <v>#DIV/0!</v>
      </c>
      <c r="W53" s="146" t="e">
        <f>IF('[12]Table 10 CWTs exp'!W53/'[12]Table 10 CWTs exp'!$AA53&gt;0,'[12]Table 10 CWTs exp'!W53/'[12]Table 10 CWTs exp'!$AA53," ")</f>
        <v>#DIV/0!</v>
      </c>
      <c r="X53" s="144" t="e">
        <f>IF('[12]Table 10 CWTs exp'!X53/'[12]Table 10 CWTs exp'!$AA53&gt;0,'[12]Table 10 CWTs exp'!X53/'[12]Table 10 CWTs exp'!$AA53," ")</f>
        <v>#DIV/0!</v>
      </c>
      <c r="Y53" s="147" t="e">
        <f t="shared" si="9"/>
        <v>#DIV/0!</v>
      </c>
      <c r="Z53" s="148" t="e">
        <f t="shared" si="10"/>
        <v>#DIV/0!</v>
      </c>
      <c r="AA53" s="38">
        <f>'[12]Table 10 CWTs exp'!AA53</f>
        <v>0</v>
      </c>
      <c r="AC53" s="592">
        <f>'[12]Table 10 CWTs exp'!AD53</f>
        <v>0</v>
      </c>
      <c r="AD53" s="592" t="e">
        <f t="shared" si="2"/>
        <v>#DIV/0!</v>
      </c>
      <c r="AE53" s="593" t="str">
        <f t="shared" si="8"/>
        <v>MOKE463</v>
      </c>
      <c r="AF53" s="442"/>
      <c r="AG53" s="442"/>
      <c r="AH53" s="648"/>
      <c r="AI53" s="454"/>
      <c r="AJ53" s="442"/>
      <c r="AK53" s="442"/>
      <c r="AL53" s="442"/>
    </row>
    <row r="54" spans="1:38" ht="14.25" customHeight="1" x14ac:dyDescent="0.25">
      <c r="A54" t="str">
        <f>'[12]Table 10 CWTs exp'!A54</f>
        <v>USAC467</v>
      </c>
      <c r="B54" s="4" t="str">
        <f>'[12]Table 10 CWTs exp'!B54</f>
        <v>USAC</v>
      </c>
      <c r="C54" s="4">
        <f>'[12]Table 10 CWTs exp'!C54</f>
        <v>46</v>
      </c>
      <c r="D54" s="4">
        <f>'[12]Table 10 CWTs exp'!D54</f>
        <v>7</v>
      </c>
      <c r="E54" t="str">
        <f>'[12]Table 10 CWTs exp'!E54</f>
        <v xml:space="preserve">Upper Sacramento River </v>
      </c>
      <c r="F54" s="37" t="s">
        <v>49</v>
      </c>
      <c r="G54" s="144">
        <f>IF('[12]Table 10 CWTs exp'!G54/'[12]Table 10 CWTs exp'!$AA54&gt;0,'[12]Table 10 CWTs exp'!G54/'[12]Table 10 CWTs exp'!$AA54," ")</f>
        <v>2.0833333333333332E-2</v>
      </c>
      <c r="H54" s="145">
        <f>IF('[12]Table 10 CWTs exp'!H54/'[12]Table 10 CWTs exp'!$AA54&gt;0,'[12]Table 10 CWTs exp'!H54/'[12]Table 10 CWTs exp'!$AA54," ")</f>
        <v>0.42261904761904762</v>
      </c>
      <c r="I54" s="144">
        <f>IF('[12]Table 10 CWTs exp'!I54/'[12]Table 10 CWTs exp'!$AA54&gt;0,'[12]Table 10 CWTs exp'!I54/'[12]Table 10 CWTs exp'!$AA54," ")</f>
        <v>8.3333333333333329E-2</v>
      </c>
      <c r="J54" s="146" t="str">
        <f>IF('[12]Table 10 CWTs exp'!J54/'[12]Table 10 CWTs exp'!$AA54&gt;0,'[12]Table 10 CWTs exp'!J54/'[12]Table 10 CWTs exp'!$AA54," ")</f>
        <v xml:space="preserve"> </v>
      </c>
      <c r="K54" s="144" t="str">
        <f>IF('[12]Table 10 CWTs exp'!K54/'[12]Table 10 CWTs exp'!$AA54&gt;0,'[12]Table 10 CWTs exp'!K54/'[12]Table 10 CWTs exp'!$AA54," ")</f>
        <v xml:space="preserve"> </v>
      </c>
      <c r="L54" s="144" t="str">
        <f>IF('[12]Table 10 CWTs exp'!L54/'[12]Table 10 CWTs exp'!$AA54&gt;0,'[12]Table 10 CWTs exp'!L54/'[12]Table 10 CWTs exp'!$AA54," ")</f>
        <v xml:space="preserve"> </v>
      </c>
      <c r="M54" s="144" t="str">
        <f>IF('[12]Table 10 CWTs exp'!M54/'[12]Table 10 CWTs exp'!$AA54&gt;0,'[12]Table 10 CWTs exp'!M54/'[12]Table 10 CWTs exp'!$AA54," ")</f>
        <v xml:space="preserve"> </v>
      </c>
      <c r="N54" s="146" t="str">
        <f>IF('[12]Table 10 CWTs exp'!N54/'[12]Table 10 CWTs exp'!$AA54&gt;0,'[12]Table 10 CWTs exp'!N54/'[12]Table 10 CWTs exp'!$AA54," ")</f>
        <v xml:space="preserve"> </v>
      </c>
      <c r="O54" s="144" t="str">
        <f>IF('[12]Table 10 CWTs exp'!O54/'[12]Table 10 CWTs exp'!$AA54&gt;0,'[12]Table 10 CWTs exp'!O54/'[12]Table 10 CWTs exp'!$AA54," ")</f>
        <v xml:space="preserve"> </v>
      </c>
      <c r="P54" s="146" t="str">
        <f>IF('[12]Table 10 CWTs exp'!P54/'[12]Table 10 CWTs exp'!$AA54&gt;0,'[12]Table 10 CWTs exp'!P54/'[12]Table 10 CWTs exp'!$AA54," ")</f>
        <v xml:space="preserve"> </v>
      </c>
      <c r="Q54" s="144" t="str">
        <f>IF('[12]Table 10 CWTs exp'!Q54/'[12]Table 10 CWTs exp'!$AA54&gt;0,'[12]Table 10 CWTs exp'!Q54/'[12]Table 10 CWTs exp'!$AA54," ")</f>
        <v xml:space="preserve"> </v>
      </c>
      <c r="R54" s="144" t="str">
        <f>IF('[12]Table 10 CWTs exp'!R54/'[12]Table 10 CWTs exp'!$AA54&gt;0,'[12]Table 10 CWTs exp'!R54/'[12]Table 10 CWTs exp'!$AA54," ")</f>
        <v xml:space="preserve"> </v>
      </c>
      <c r="S54" s="144" t="str">
        <f>IF('[12]Table 10 CWTs exp'!S54/'[12]Table 10 CWTs exp'!$AA54&gt;0,'[12]Table 10 CWTs exp'!S54/'[12]Table 10 CWTs exp'!$AA54," ")</f>
        <v xml:space="preserve"> </v>
      </c>
      <c r="T54" s="146">
        <f>IF('[12]Table 10 CWTs exp'!T54/'[12]Table 10 CWTs exp'!$AA54&gt;0,'[12]Table 10 CWTs exp'!T54/'[12]Table 10 CWTs exp'!$AA54," ")</f>
        <v>2.0833333333333332E-2</v>
      </c>
      <c r="U54" s="144" t="str">
        <f>IF('[12]Table 10 CWTs exp'!U54/'[12]Table 10 CWTs exp'!$AA54&gt;0,'[12]Table 10 CWTs exp'!U54/'[12]Table 10 CWTs exp'!$AA54," ")</f>
        <v xml:space="preserve"> </v>
      </c>
      <c r="V54" s="146" t="str">
        <f>IF('[12]Table 10 CWTs exp'!V54/'[12]Table 10 CWTs exp'!$AA54&gt;0,'[12]Table 10 CWTs exp'!V54/'[12]Table 10 CWTs exp'!$AA54," ")</f>
        <v xml:space="preserve"> </v>
      </c>
      <c r="W54" s="146" t="str">
        <f>IF('[12]Table 10 CWTs exp'!W54/'[12]Table 10 CWTs exp'!$AA54&gt;0,'[12]Table 10 CWTs exp'!W54/'[12]Table 10 CWTs exp'!$AA54," ")</f>
        <v xml:space="preserve"> </v>
      </c>
      <c r="X54" s="144" t="str">
        <f>IF('[12]Table 10 CWTs exp'!X54/'[12]Table 10 CWTs exp'!$AA54&gt;0,'[12]Table 10 CWTs exp'!X54/'[12]Table 10 CWTs exp'!$AA54," ")</f>
        <v xml:space="preserve"> </v>
      </c>
      <c r="Y54" s="147">
        <f t="shared" si="9"/>
        <v>0.54761904761904767</v>
      </c>
      <c r="Z54" s="148">
        <f t="shared" si="10"/>
        <v>0.45238095238095233</v>
      </c>
      <c r="AA54" s="38">
        <f>'[12]Table 10 CWTs exp'!AA54</f>
        <v>336</v>
      </c>
      <c r="AC54" s="592">
        <f>'[12]Table 10 CWTs exp'!AD54</f>
        <v>0.54800000000000004</v>
      </c>
      <c r="AD54" s="592">
        <f t="shared" si="2"/>
        <v>-3.8095238095237072E-4</v>
      </c>
      <c r="AE54" s="593" t="str">
        <f t="shared" si="8"/>
        <v>USAC467</v>
      </c>
      <c r="AF54" s="442"/>
      <c r="AG54" s="442"/>
      <c r="AH54" s="648"/>
      <c r="AI54" s="454"/>
      <c r="AJ54" s="442"/>
      <c r="AK54" s="442"/>
      <c r="AL54" s="442"/>
    </row>
    <row r="55" spans="1:38" ht="15.65" customHeight="1" x14ac:dyDescent="0.3">
      <c r="E55" s="716" t="s">
        <v>120</v>
      </c>
      <c r="F55" s="716"/>
      <c r="G55" s="168">
        <f>IF('[12]Table 10 CWTs exp'!G55/'[12]Table 10 CWTs exp'!$AA55&gt;0,'[12]Table 10 CWTs exp'!G55/'[12]Table 10 CWTs exp'!$AA55," ")</f>
        <v>1.1149734373975208E-3</v>
      </c>
      <c r="H55" s="169">
        <f>IF('[12]Table 10 CWTs exp'!H55/'[12]Table 10 CWTs exp'!$AA55&gt;0,'[12]Table 10 CWTs exp'!H55/'[12]Table 10 CWTs exp'!$AA55," ")</f>
        <v>1.0133140945759822E-2</v>
      </c>
      <c r="I55" s="168">
        <f>IF('[12]Table 10 CWTs exp'!I55/'[12]Table 10 CWTs exp'!$AA55&gt;0,'[12]Table 10 CWTs exp'!I55/'[12]Table 10 CWTs exp'!$AA55," ")</f>
        <v>0.20876237948448875</v>
      </c>
      <c r="J55" s="170" t="str">
        <f>IF('[12]Table 10 CWTs exp'!J55/'[12]Table 10 CWTs exp'!$AA55&gt;0,'[12]Table 10 CWTs exp'!J55/'[12]Table 10 CWTs exp'!$AA55," ")</f>
        <v xml:space="preserve"> </v>
      </c>
      <c r="K55" s="168">
        <f>IF('[12]Table 10 CWTs exp'!K55/'[12]Table 10 CWTs exp'!$AA55&gt;0,'[12]Table 10 CWTs exp'!K55/'[12]Table 10 CWTs exp'!$AA55," ")</f>
        <v>1.7249294943267528E-2</v>
      </c>
      <c r="L55" s="168">
        <f>IF('[12]Table 10 CWTs exp'!L55/'[12]Table 10 CWTs exp'!$AA55&gt;0,'[12]Table 10 CWTs exp'!L55/'[12]Table 10 CWTs exp'!$AA55," ")</f>
        <v>1.0723421000852627E-2</v>
      </c>
      <c r="M55" s="168">
        <f>IF('[12]Table 10 CWTs exp'!M55/'[12]Table 10 CWTs exp'!$AA55&gt;0,'[12]Table 10 CWTs exp'!M55/'[12]Table 10 CWTs exp'!$AA55," ")</f>
        <v>0.11071030366629502</v>
      </c>
      <c r="N55" s="170">
        <f>IF('[12]Table 10 CWTs exp'!N55/'[12]Table 10 CWTs exp'!$AA55&gt;0,'[12]Table 10 CWTs exp'!N55/'[12]Table 10 CWTs exp'!$AA55," ")</f>
        <v>0.12349970485997246</v>
      </c>
      <c r="O55" s="168">
        <f>IF('[12]Table 10 CWTs exp'!O55/'[12]Table 10 CWTs exp'!$AA55&gt;0,'[12]Table 10 CWTs exp'!O55/'[12]Table 10 CWTs exp'!$AA55," ")</f>
        <v>2.3381648848953891E-2</v>
      </c>
      <c r="P55" s="170">
        <f>IF('[12]Table 10 CWTs exp'!P55/'[12]Table 10 CWTs exp'!$AA55&gt;0,'[12]Table 10 CWTs exp'!P55/'[12]Table 10 CWTs exp'!$AA55," ")</f>
        <v>4.0532563783039287E-2</v>
      </c>
      <c r="Q55" s="168" t="str">
        <f>IF('[12]Table 10 CWTs exp'!Q55/'[12]Table 10 CWTs exp'!$AA55&gt;0,'[12]Table 10 CWTs exp'!Q55/'[12]Table 10 CWTs exp'!$AA55," ")</f>
        <v xml:space="preserve"> </v>
      </c>
      <c r="R55" s="168">
        <f>IF('[12]Table 10 CWTs exp'!R55/'[12]Table 10 CWTs exp'!$AA55&gt;0,'[12]Table 10 CWTs exp'!R55/'[12]Table 10 CWTs exp'!$AA55," ")</f>
        <v>5.0501738046828885E-2</v>
      </c>
      <c r="S55" s="168">
        <f>IF('[12]Table 10 CWTs exp'!S55/'[12]Table 10 CWTs exp'!$AA55&gt;0,'[12]Table 10 CWTs exp'!S55/'[12]Table 10 CWTs exp'!$AA55," ")</f>
        <v>3.0825736210402044E-3</v>
      </c>
      <c r="T55" s="170">
        <f>IF('[12]Table 10 CWTs exp'!T55/'[12]Table 10 CWTs exp'!$AA55&gt;0,'[12]Table 10 CWTs exp'!T55/'[12]Table 10 CWTs exp'!$AA55," ")</f>
        <v>2.9186069390699809E-3</v>
      </c>
      <c r="U55" s="168" t="str">
        <f>IF('[12]Table 10 CWTs exp'!U55/'[12]Table 10 CWTs exp'!$AA55&gt;0,'[12]Table 10 CWTs exp'!U55/'[12]Table 10 CWTs exp'!$AA55," ")</f>
        <v xml:space="preserve"> </v>
      </c>
      <c r="V55" s="170">
        <f>IF('[12]Table 10 CWTs exp'!V55/'[12]Table 10 CWTs exp'!$AA55&gt;0,'[12]Table 10 CWTs exp'!V55/'[12]Table 10 CWTs exp'!$AA55," ")</f>
        <v>1.9676001836426839E-3</v>
      </c>
      <c r="W55" s="170" t="str">
        <f>IF('[12]Table 10 CWTs exp'!W55/'[12]Table 10 CWTs exp'!$AA55&gt;0,'[12]Table 10 CWTs exp'!W55/'[12]Table 10 CWTs exp'!$AA55," ")</f>
        <v xml:space="preserve"> </v>
      </c>
      <c r="X55" s="168" t="str">
        <f>IF('[12]Table 10 CWTs exp'!X55/'[12]Table 10 CWTs exp'!$AA55&gt;0,'[12]Table 10 CWTs exp'!X55/'[12]Table 10 CWTs exp'!$AA55," ")</f>
        <v xml:space="preserve"> </v>
      </c>
      <c r="Y55" s="171">
        <f t="shared" si="9"/>
        <v>0.60457794976060875</v>
      </c>
      <c r="Z55" s="172">
        <f t="shared" si="10"/>
        <v>0.39542205023939125</v>
      </c>
      <c r="AA55" s="89">
        <f>'[12]Table 10 CWTs exp'!AA55</f>
        <v>30494</v>
      </c>
      <c r="AB55" s="159"/>
      <c r="AC55" s="592">
        <f>'[12]Table 10 CWTs exp'!AD55</f>
        <v>0.60457794976060864</v>
      </c>
      <c r="AD55" s="592">
        <f t="shared" si="2"/>
        <v>0</v>
      </c>
      <c r="AE55" s="442"/>
      <c r="AF55" s="442"/>
      <c r="AG55" s="442"/>
      <c r="AH55" s="648"/>
      <c r="AI55" s="454"/>
      <c r="AJ55" s="442"/>
      <c r="AK55" s="442"/>
      <c r="AL55" s="442"/>
    </row>
    <row r="56" spans="1:38" ht="4" customHeight="1" x14ac:dyDescent="0.25">
      <c r="E56" s="110"/>
      <c r="F56" s="111"/>
      <c r="G56" s="25"/>
      <c r="H56" s="174"/>
      <c r="I56" s="175"/>
      <c r="J56" s="176"/>
      <c r="K56" s="175"/>
      <c r="L56" s="175"/>
      <c r="M56" s="175"/>
      <c r="N56" s="176"/>
      <c r="O56" s="175"/>
      <c r="P56" s="176"/>
      <c r="Q56" s="175"/>
      <c r="R56" s="175"/>
      <c r="S56" s="175"/>
      <c r="T56" s="176"/>
      <c r="U56" s="175"/>
      <c r="V56" s="176"/>
      <c r="W56" s="176"/>
      <c r="X56" s="175"/>
      <c r="Y56" s="177"/>
      <c r="Z56" s="178"/>
      <c r="AA56" s="179"/>
      <c r="AC56" s="442"/>
      <c r="AD56" s="453"/>
      <c r="AE56" s="442"/>
      <c r="AF56" s="442"/>
      <c r="AG56" s="442"/>
      <c r="AH56" s="442"/>
      <c r="AI56" s="442"/>
      <c r="AJ56" s="442"/>
      <c r="AK56" s="442"/>
      <c r="AL56" s="442"/>
    </row>
    <row r="57" spans="1:38" ht="14.25" customHeight="1" x14ac:dyDescent="0.25">
      <c r="E57" s="181" t="s">
        <v>139</v>
      </c>
      <c r="F57" s="181"/>
      <c r="G57" s="181"/>
      <c r="H57" s="181"/>
      <c r="I57" s="181"/>
      <c r="J57" s="181"/>
      <c r="K57" s="181"/>
      <c r="L57" s="181"/>
      <c r="M57" s="181"/>
      <c r="N57" s="181"/>
      <c r="O57" s="181"/>
      <c r="P57" s="182"/>
      <c r="Q57" s="182"/>
      <c r="R57" s="182"/>
      <c r="S57" s="182"/>
      <c r="T57" s="182"/>
      <c r="U57" s="182"/>
      <c r="V57" s="182"/>
      <c r="W57" s="181"/>
      <c r="X57" s="181"/>
      <c r="Y57" s="181"/>
      <c r="Z57" s="181"/>
      <c r="AA57" s="181"/>
      <c r="AC57" s="442"/>
      <c r="AD57" s="442"/>
      <c r="AE57" s="442"/>
      <c r="AF57" s="442"/>
      <c r="AG57" s="442"/>
      <c r="AH57" s="442"/>
      <c r="AI57" s="442"/>
      <c r="AJ57" s="442"/>
      <c r="AK57" s="442"/>
      <c r="AL57" s="442"/>
    </row>
    <row r="58" spans="1:38" ht="14.25" customHeight="1" x14ac:dyDescent="0.25">
      <c r="E58" s="27" t="s">
        <v>154</v>
      </c>
      <c r="F58" s="27"/>
      <c r="G58" s="27"/>
      <c r="H58" s="27"/>
      <c r="I58" s="27"/>
      <c r="J58" s="27"/>
      <c r="K58" s="27"/>
      <c r="L58" s="27"/>
      <c r="M58" s="27"/>
      <c r="N58" s="27"/>
      <c r="O58" s="27"/>
      <c r="P58" s="27"/>
      <c r="Q58" s="27"/>
      <c r="R58" s="27"/>
      <c r="S58" s="27"/>
      <c r="T58" s="27"/>
      <c r="U58" s="27"/>
      <c r="V58" s="27"/>
      <c r="W58" s="27"/>
      <c r="X58" s="27"/>
      <c r="Y58" s="27"/>
      <c r="Z58" s="27"/>
      <c r="AA58" s="27"/>
      <c r="AC58" s="442"/>
      <c r="AD58" s="442"/>
      <c r="AE58" s="442"/>
      <c r="AF58" s="442"/>
      <c r="AG58" s="442"/>
      <c r="AH58" s="442"/>
      <c r="AI58" s="442"/>
      <c r="AJ58" s="442"/>
      <c r="AK58" s="442"/>
      <c r="AL58" s="442"/>
    </row>
    <row r="59" spans="1:38" ht="14.25" customHeight="1" x14ac:dyDescent="0.25">
      <c r="E59" s="27" t="s">
        <v>149</v>
      </c>
      <c r="F59" s="27"/>
      <c r="G59" s="27"/>
      <c r="H59" s="27"/>
      <c r="I59" s="27"/>
      <c r="J59" s="27"/>
      <c r="K59" s="27"/>
      <c r="L59" s="27"/>
      <c r="M59" s="27"/>
      <c r="N59" s="27"/>
      <c r="O59" s="27"/>
      <c r="P59" s="27"/>
      <c r="Q59" s="182"/>
      <c r="R59" s="182"/>
      <c r="S59" s="182"/>
      <c r="T59" s="182"/>
      <c r="U59" s="182"/>
      <c r="V59" s="182"/>
      <c r="W59" s="182"/>
      <c r="X59" s="182"/>
      <c r="Y59" s="182"/>
      <c r="Z59" s="182"/>
      <c r="AA59" s="182"/>
      <c r="AC59" s="442"/>
      <c r="AD59" s="442"/>
      <c r="AE59" s="442"/>
      <c r="AF59" s="442"/>
      <c r="AG59" s="442"/>
      <c r="AH59" s="442"/>
      <c r="AI59" s="442"/>
      <c r="AJ59" s="442"/>
      <c r="AK59" s="442"/>
      <c r="AL59" s="442"/>
    </row>
    <row r="60" spans="1:38" hidden="1" x14ac:dyDescent="0.25">
      <c r="E60" s="183" t="s">
        <v>142</v>
      </c>
      <c r="F60" s="183"/>
      <c r="G60" s="183"/>
      <c r="H60" s="183"/>
      <c r="I60" s="183"/>
      <c r="J60" s="183"/>
      <c r="K60" s="183"/>
      <c r="L60" s="183"/>
      <c r="M60" s="183"/>
      <c r="N60" s="183"/>
      <c r="O60" s="183"/>
      <c r="P60" s="183"/>
      <c r="Q60" s="183"/>
      <c r="R60" s="183"/>
      <c r="S60" s="183"/>
      <c r="T60" s="183"/>
      <c r="U60" s="183"/>
      <c r="V60" s="183"/>
      <c r="W60" s="183"/>
      <c r="X60" s="183"/>
      <c r="Y60" s="183"/>
      <c r="Z60" s="183"/>
      <c r="AA60" s="183"/>
      <c r="AC60" s="442"/>
      <c r="AD60" s="442"/>
      <c r="AE60" s="442"/>
      <c r="AF60" s="442"/>
      <c r="AG60" s="442"/>
      <c r="AH60" s="442"/>
      <c r="AI60" s="442"/>
      <c r="AJ60" s="442"/>
      <c r="AK60" s="442"/>
      <c r="AL60" s="442"/>
    </row>
    <row r="61" spans="1:38" ht="14.25" customHeight="1" x14ac:dyDescent="0.25">
      <c r="E61" s="27" t="s">
        <v>143</v>
      </c>
      <c r="F61" s="34"/>
      <c r="G61" s="34"/>
      <c r="H61" s="27"/>
      <c r="I61" s="27"/>
      <c r="J61" s="27"/>
      <c r="K61" s="27"/>
      <c r="L61" s="27"/>
      <c r="M61" s="27"/>
      <c r="N61" s="27"/>
      <c r="O61" s="27"/>
      <c r="P61" s="27"/>
      <c r="Q61" s="27"/>
      <c r="R61" s="27"/>
      <c r="S61" s="27"/>
      <c r="T61" s="27"/>
      <c r="U61" s="27"/>
      <c r="V61" s="27"/>
      <c r="W61" s="27"/>
      <c r="X61" s="27"/>
      <c r="Y61" s="27"/>
      <c r="Z61" s="27"/>
      <c r="AA61" s="27"/>
      <c r="AC61" s="442"/>
      <c r="AD61" s="442"/>
      <c r="AE61" s="442"/>
      <c r="AF61" s="442"/>
      <c r="AG61" s="442"/>
      <c r="AH61" s="442"/>
      <c r="AI61" s="442"/>
      <c r="AJ61" s="442"/>
      <c r="AK61" s="442"/>
      <c r="AL61" s="442"/>
    </row>
    <row r="62" spans="1:38" ht="14.25" customHeight="1" x14ac:dyDescent="0.25">
      <c r="AC62" s="442"/>
      <c r="AD62" s="442"/>
      <c r="AE62" s="442"/>
      <c r="AF62" s="442"/>
      <c r="AG62" s="442"/>
      <c r="AH62" s="442"/>
      <c r="AI62" s="442"/>
      <c r="AJ62" s="442"/>
      <c r="AK62" s="442"/>
      <c r="AL62" s="442"/>
    </row>
    <row r="63" spans="1:38" x14ac:dyDescent="0.25">
      <c r="AC63" s="442"/>
      <c r="AD63" s="442"/>
      <c r="AE63" s="442"/>
      <c r="AF63" s="442"/>
      <c r="AG63" s="442"/>
      <c r="AH63" s="442"/>
      <c r="AI63" s="442"/>
      <c r="AJ63" s="442"/>
      <c r="AK63" s="442"/>
      <c r="AL63" s="442"/>
    </row>
    <row r="64" spans="1:38" x14ac:dyDescent="0.25">
      <c r="AC64" s="442"/>
      <c r="AD64" s="442"/>
      <c r="AE64" s="442"/>
      <c r="AF64" s="442"/>
      <c r="AG64" s="442"/>
      <c r="AH64" s="442"/>
      <c r="AI64" s="442"/>
      <c r="AJ64" s="442"/>
      <c r="AK64" s="442"/>
      <c r="AL64" s="442"/>
    </row>
    <row r="65" spans="5:38" x14ac:dyDescent="0.25">
      <c r="AC65" s="442"/>
      <c r="AD65" s="442"/>
      <c r="AE65" s="442"/>
      <c r="AF65" s="442"/>
      <c r="AG65" s="442"/>
      <c r="AH65" s="442"/>
      <c r="AI65" s="442"/>
      <c r="AJ65" s="442"/>
      <c r="AK65" s="442"/>
      <c r="AL65" s="442"/>
    </row>
    <row r="66" spans="5:38" x14ac:dyDescent="0.25">
      <c r="AC66" s="442"/>
      <c r="AD66" s="442"/>
      <c r="AE66" s="442"/>
      <c r="AF66" s="442"/>
      <c r="AG66" s="442"/>
      <c r="AH66" s="442"/>
      <c r="AI66" s="442"/>
      <c r="AJ66" s="442"/>
      <c r="AK66" s="442"/>
      <c r="AL66" s="442"/>
    </row>
    <row r="67" spans="5:38" x14ac:dyDescent="0.25">
      <c r="AC67" s="442"/>
      <c r="AD67" s="442"/>
      <c r="AE67" s="442"/>
      <c r="AF67" s="442"/>
      <c r="AG67" s="442"/>
      <c r="AH67" s="442"/>
      <c r="AI67" s="442"/>
      <c r="AJ67" s="442"/>
      <c r="AK67" s="442"/>
      <c r="AL67" s="442"/>
    </row>
    <row r="68" spans="5:38" x14ac:dyDescent="0.25">
      <c r="E68" s="128" t="s">
        <v>145</v>
      </c>
      <c r="F68" s="184"/>
      <c r="G68" s="184"/>
      <c r="H68" s="185"/>
      <c r="I68" s="185"/>
      <c r="J68" s="185"/>
      <c r="K68" s="185"/>
      <c r="L68" s="185"/>
      <c r="M68" s="185"/>
      <c r="N68" s="185"/>
    </row>
  </sheetData>
  <mergeCells count="11">
    <mergeCell ref="Y3:Z3"/>
    <mergeCell ref="E18:F18"/>
    <mergeCell ref="AF31:AJ32"/>
    <mergeCell ref="E42:F42"/>
    <mergeCell ref="E55:F55"/>
    <mergeCell ref="H3:J3"/>
    <mergeCell ref="K3:N3"/>
    <mergeCell ref="O3:P3"/>
    <mergeCell ref="Q3:T3"/>
    <mergeCell ref="U3:V3"/>
    <mergeCell ref="X3:X4"/>
  </mergeCells>
  <pageMargins left="0.5" right="0.25" top="0.5" bottom="0" header="0.5" footer="0.5"/>
  <pageSetup scale="55" fitToHeight="0" orientation="landscape"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B49F5-BC51-44A9-B5EF-00FAC332A233}">
  <sheetPr>
    <pageSetUpPr fitToPage="1"/>
  </sheetPr>
  <dimension ref="A1:BH112"/>
  <sheetViews>
    <sheetView showGridLines="0" showZeros="0" zoomScaleNormal="100" zoomScaleSheetLayoutView="100" workbookViewId="0">
      <selection activeCell="BG3" sqref="AB3:BG93"/>
    </sheetView>
  </sheetViews>
  <sheetFormatPr defaultRowHeight="12.5" x14ac:dyDescent="0.25"/>
  <cols>
    <col min="1" max="1" width="8" customWidth="1"/>
    <col min="2" max="4" width="1.81640625" style="1" customWidth="1"/>
    <col min="5" max="5" width="28.7265625" customWidth="1"/>
    <col min="6" max="6" width="7.54296875" customWidth="1"/>
    <col min="7" max="7" width="7.1796875" style="4" customWidth="1"/>
    <col min="8" max="18" width="7.1796875" customWidth="1"/>
    <col min="19" max="20" width="7.54296875" customWidth="1"/>
    <col min="21" max="23" width="7.1796875" customWidth="1"/>
    <col min="24" max="24" width="6.26953125" customWidth="1"/>
    <col min="25" max="25" width="9" customWidth="1"/>
    <col min="26" max="29" width="8.54296875" customWidth="1"/>
    <col min="30" max="32" width="8" customWidth="1"/>
    <col min="33" max="33" width="12" customWidth="1"/>
    <col min="34" max="34" width="9.1796875" customWidth="1"/>
    <col min="35" max="35" width="10.54296875" customWidth="1"/>
    <col min="36" max="36" width="6.54296875" style="1" customWidth="1"/>
    <col min="37" max="37" width="11.54296875" style="1" customWidth="1"/>
    <col min="38" max="38" width="9.54296875" style="1" customWidth="1"/>
    <col min="39" max="39" width="6.54296875" customWidth="1"/>
    <col min="40" max="40" width="2" customWidth="1"/>
    <col min="43" max="43" width="3.54296875" customWidth="1"/>
    <col min="44" max="44" width="4.453125" customWidth="1"/>
    <col min="45" max="45" width="10.54296875" customWidth="1"/>
    <col min="46" max="46" width="6.54296875" customWidth="1"/>
    <col min="47" max="47" width="11.54296875" customWidth="1"/>
    <col min="48" max="48" width="9.54296875" customWidth="1"/>
    <col min="49" max="49" width="3.54296875" customWidth="1"/>
    <col min="50" max="50" width="2" customWidth="1"/>
  </cols>
  <sheetData>
    <row r="1" spans="1:60" x14ac:dyDescent="0.25">
      <c r="G1" s="451" t="str">
        <f>'[12]inland_taf_hatchgrp_tableraw&amp;yy'!G2</f>
        <v>sacw</v>
      </c>
      <c r="H1" s="451" t="str">
        <f>'[12]inland_taf_hatchgrp_tableraw&amp;yy'!H2</f>
        <v>cfhl</v>
      </c>
      <c r="I1" s="451" t="str">
        <f>'[12]inland_taf_hatchgrp_tableraw&amp;yy'!I2</f>
        <v>cfhf</v>
      </c>
      <c r="J1" s="451" t="str">
        <f>'[12]inland_taf_hatchgrp_tableraw&amp;yy'!J2</f>
        <v>cfhfn</v>
      </c>
      <c r="K1" s="451" t="str">
        <f>'[12]inland_taf_hatchgrp_tableraw&amp;yy'!K2</f>
        <v>frhs</v>
      </c>
      <c r="L1" s="451" t="str">
        <f>'[12]inland_taf_hatchgrp_tableraw&amp;yy'!L2</f>
        <v>frhf</v>
      </c>
      <c r="M1" s="451" t="str">
        <f>'[12]inland_taf_hatchgrp_tableraw&amp;yy'!M2</f>
        <v>frhfn</v>
      </c>
      <c r="N1" s="451" t="str">
        <f>'[12]inland_taf_hatchgrp_tableraw&amp;yy'!N2</f>
        <v>frhfgg</v>
      </c>
      <c r="O1" s="451" t="str">
        <f>'[12]inland_taf_hatchgrp_tableraw&amp;yy'!O2</f>
        <v>nimf</v>
      </c>
      <c r="P1" s="451" t="str">
        <f>'[12]inland_taf_hatchgrp_tableraw&amp;yy'!P2</f>
        <v>nimfn</v>
      </c>
      <c r="Q1" s="451" t="str">
        <f>'[12]inland_taf_hatchgrp_tableraw&amp;yy'!Q2</f>
        <v>mokf</v>
      </c>
      <c r="R1" s="451" t="str">
        <f>'[12]inland_taf_hatchgrp_tableraw&amp;yy'!R2</f>
        <v>mokfn</v>
      </c>
      <c r="S1" s="451" t="str">
        <f>'[12]inland_taf_hatchgrp_tableraw&amp;yy'!S2</f>
        <v>mokfnc</v>
      </c>
      <c r="T1" s="451" t="str">
        <f>'[12]inland_taf_hatchgrp_tableraw&amp;yy'!T2</f>
        <v>mokfgg</v>
      </c>
      <c r="U1" s="451" t="str">
        <f>'[12]inland_taf_hatchgrp_tableraw&amp;yy'!U2</f>
        <v>merf</v>
      </c>
      <c r="V1" s="451" t="str">
        <f>'[12]inland_taf_hatchgrp_tableraw&amp;yy'!V2</f>
        <v>merfn</v>
      </c>
      <c r="W1" s="451" t="str">
        <f>'[12]inland_taf_hatchgrp_tableraw&amp;yy'!W2</f>
        <v>sjosx</v>
      </c>
      <c r="X1" s="451" t="str">
        <f>'[12]inland_taf_hatchgrp_tableraw&amp;yy'!X2</f>
        <v>noncv</v>
      </c>
      <c r="Y1" s="442"/>
    </row>
    <row r="2" spans="1:60" ht="23.9" customHeight="1" x14ac:dyDescent="0.25">
      <c r="E2" s="2" t="s">
        <v>155</v>
      </c>
      <c r="F2" s="3"/>
      <c r="AG2" s="5"/>
      <c r="AH2" s="5"/>
    </row>
    <row r="3" spans="1:60" ht="14.9" customHeight="1" x14ac:dyDescent="0.3">
      <c r="E3" s="6"/>
      <c r="F3" s="7"/>
      <c r="G3" s="8"/>
      <c r="H3" s="727" t="s">
        <v>1</v>
      </c>
      <c r="I3" s="727"/>
      <c r="J3" s="727"/>
      <c r="K3" s="727" t="s">
        <v>2</v>
      </c>
      <c r="L3" s="727"/>
      <c r="M3" s="727"/>
      <c r="N3" s="727"/>
      <c r="O3" s="727" t="s">
        <v>3</v>
      </c>
      <c r="P3" s="727"/>
      <c r="Q3" s="727" t="s">
        <v>4</v>
      </c>
      <c r="R3" s="727"/>
      <c r="S3" s="727"/>
      <c r="T3" s="727"/>
      <c r="U3" s="727" t="s">
        <v>5</v>
      </c>
      <c r="V3" s="727"/>
      <c r="W3" s="9" t="s">
        <v>6</v>
      </c>
      <c r="X3" s="747" t="s">
        <v>7</v>
      </c>
      <c r="Y3" s="745" t="s">
        <v>8</v>
      </c>
      <c r="Z3" s="746"/>
      <c r="AA3" s="10" t="s">
        <v>9</v>
      </c>
      <c r="AB3" s="632"/>
      <c r="AC3" s="451"/>
      <c r="AD3" s="598" t="s">
        <v>10</v>
      </c>
      <c r="AE3" s="598"/>
      <c r="AF3" s="598"/>
      <c r="AG3" s="599"/>
      <c r="AH3" s="597"/>
      <c r="AI3" s="597" t="s">
        <v>11</v>
      </c>
      <c r="AJ3" s="599" t="s">
        <v>12</v>
      </c>
      <c r="AK3" s="451"/>
      <c r="AL3" s="451"/>
      <c r="AM3" s="442"/>
      <c r="AN3" s="442"/>
      <c r="AO3" s="444">
        <f>$G$45</f>
        <v>0</v>
      </c>
      <c r="AP3" s="444">
        <f>$H$45</f>
        <v>10</v>
      </c>
      <c r="AQ3" s="444">
        <f>$I$45</f>
        <v>2173</v>
      </c>
      <c r="AR3" s="444">
        <f>$J$45</f>
        <v>0</v>
      </c>
      <c r="AS3" s="444">
        <f>$K$45</f>
        <v>23</v>
      </c>
      <c r="AT3" s="444"/>
      <c r="AU3" s="444">
        <f>$L$45</f>
        <v>7</v>
      </c>
      <c r="AV3" s="444">
        <f>$M$45</f>
        <v>2377</v>
      </c>
      <c r="AW3" s="444">
        <f>$O$45</f>
        <v>41</v>
      </c>
      <c r="AX3" s="444">
        <f>$P$45</f>
        <v>704</v>
      </c>
      <c r="AY3" s="444">
        <f>$N$45</f>
        <v>1881</v>
      </c>
      <c r="AZ3" s="444">
        <f>$Q$45</f>
        <v>38</v>
      </c>
      <c r="BA3" s="444">
        <f>$R$45</f>
        <v>7673</v>
      </c>
      <c r="BB3" s="444">
        <f>$S$45</f>
        <v>1429</v>
      </c>
      <c r="BC3" s="444">
        <f>$T$45</f>
        <v>1079</v>
      </c>
      <c r="BD3" s="444">
        <f>$U$45</f>
        <v>18</v>
      </c>
      <c r="BE3" s="444">
        <f>$V$45</f>
        <v>1536</v>
      </c>
      <c r="BF3" s="444">
        <f>$W$45</f>
        <v>7</v>
      </c>
      <c r="BG3" s="444">
        <f>$X$45</f>
        <v>0</v>
      </c>
    </row>
    <row r="4" spans="1:60" ht="14.9" customHeight="1" x14ac:dyDescent="0.3">
      <c r="A4" s="15" t="s">
        <v>13</v>
      </c>
      <c r="B4" s="16" t="s">
        <v>14</v>
      </c>
      <c r="C4" s="16" t="s">
        <v>15</v>
      </c>
      <c r="D4" s="16" t="s">
        <v>16</v>
      </c>
      <c r="E4" s="17" t="s">
        <v>17</v>
      </c>
      <c r="F4" s="18" t="s">
        <v>18</v>
      </c>
      <c r="G4" s="19" t="s">
        <v>19</v>
      </c>
      <c r="H4" s="20" t="s">
        <v>20</v>
      </c>
      <c r="I4" s="19" t="s">
        <v>21</v>
      </c>
      <c r="J4" s="21" t="s">
        <v>22</v>
      </c>
      <c r="K4" s="19" t="s">
        <v>23</v>
      </c>
      <c r="L4" s="19" t="s">
        <v>24</v>
      </c>
      <c r="M4" s="19" t="s">
        <v>25</v>
      </c>
      <c r="N4" s="21" t="s">
        <v>26</v>
      </c>
      <c r="O4" s="19" t="s">
        <v>27</v>
      </c>
      <c r="P4" s="21" t="s">
        <v>28</v>
      </c>
      <c r="Q4" s="19" t="s">
        <v>29</v>
      </c>
      <c r="R4" s="19" t="s">
        <v>30</v>
      </c>
      <c r="S4" s="19" t="s">
        <v>31</v>
      </c>
      <c r="T4" s="21" t="s">
        <v>32</v>
      </c>
      <c r="U4" s="19" t="s">
        <v>33</v>
      </c>
      <c r="V4" s="21" t="s">
        <v>34</v>
      </c>
      <c r="W4" s="21" t="s">
        <v>35</v>
      </c>
      <c r="X4" s="748"/>
      <c r="Y4" s="22" t="s">
        <v>36</v>
      </c>
      <c r="Z4" s="23" t="s">
        <v>37</v>
      </c>
      <c r="AA4" s="24" t="s">
        <v>18</v>
      </c>
      <c r="AB4" s="632"/>
      <c r="AC4" s="451"/>
      <c r="AD4" s="598" t="s">
        <v>38</v>
      </c>
      <c r="AE4" s="598"/>
      <c r="AF4" s="598"/>
      <c r="AG4" s="599"/>
      <c r="AH4" s="597"/>
      <c r="AI4" s="600"/>
      <c r="AJ4" s="599"/>
      <c r="AK4" s="451"/>
      <c r="AL4" s="451"/>
      <c r="AM4" s="442"/>
      <c r="AN4" s="442"/>
      <c r="AO4" s="442"/>
      <c r="AP4" s="442"/>
      <c r="AQ4" s="442"/>
      <c r="AR4" s="442"/>
      <c r="AS4" s="442"/>
      <c r="AT4" s="442"/>
      <c r="AU4" s="442"/>
      <c r="AV4" s="442"/>
      <c r="AW4" s="442"/>
      <c r="AX4" s="442"/>
      <c r="AY4" s="442"/>
      <c r="AZ4" s="442"/>
      <c r="BA4" s="442"/>
      <c r="BB4" s="442"/>
      <c r="BC4" s="442"/>
      <c r="BD4" s="442"/>
      <c r="BE4" s="442"/>
      <c r="BF4" s="442"/>
      <c r="BG4" s="442"/>
    </row>
    <row r="5" spans="1:60" ht="15.65" customHeight="1" x14ac:dyDescent="0.3">
      <c r="A5" s="15" t="s">
        <v>36</v>
      </c>
      <c r="B5" s="13"/>
      <c r="C5" s="13"/>
      <c r="D5" s="13"/>
      <c r="E5" s="26" t="s">
        <v>39</v>
      </c>
      <c r="F5" s="27"/>
      <c r="G5" s="28"/>
      <c r="H5" s="29"/>
      <c r="I5" s="30"/>
      <c r="J5" s="31"/>
      <c r="K5" s="30"/>
      <c r="L5" s="30"/>
      <c r="M5" s="30"/>
      <c r="N5" s="31"/>
      <c r="O5" s="30"/>
      <c r="P5" s="31"/>
      <c r="Q5" s="30"/>
      <c r="R5" s="30"/>
      <c r="S5" s="30"/>
      <c r="T5" s="31"/>
      <c r="U5" s="30"/>
      <c r="V5" s="31"/>
      <c r="W5" s="31"/>
      <c r="X5" s="30"/>
      <c r="Y5" s="32"/>
      <c r="Z5" s="33"/>
      <c r="AA5" s="30"/>
      <c r="AB5" s="633"/>
      <c r="AC5" s="633"/>
      <c r="AD5" s="601"/>
      <c r="AE5" s="601"/>
      <c r="AF5" s="601"/>
      <c r="AG5" s="602"/>
      <c r="AH5" s="597"/>
      <c r="AI5" s="600"/>
      <c r="AJ5" s="599"/>
      <c r="AK5" s="451"/>
      <c r="AL5" s="451"/>
      <c r="AM5" s="442"/>
      <c r="AN5" s="442"/>
      <c r="AO5" s="442"/>
      <c r="AP5" s="442"/>
      <c r="AQ5" s="442"/>
      <c r="AR5" s="442"/>
      <c r="AS5" s="442"/>
      <c r="AT5" s="442"/>
      <c r="AU5" s="442"/>
      <c r="AV5" s="442"/>
      <c r="AW5" s="442"/>
      <c r="AX5" s="442"/>
      <c r="AY5" s="442"/>
      <c r="AZ5" s="442"/>
      <c r="BA5" s="442"/>
      <c r="BB5" s="442"/>
      <c r="BC5" s="442"/>
      <c r="BD5" s="442"/>
      <c r="BE5" s="442"/>
      <c r="BF5" s="442"/>
      <c r="BG5" s="442"/>
    </row>
    <row r="6" spans="1:60" ht="14.25" customHeight="1" x14ac:dyDescent="0.25">
      <c r="A6" s="36" t="str">
        <f t="shared" ref="A6:A17" si="0">CONCATENATE(B6,C6,D6)</f>
        <v>CNFH504</v>
      </c>
      <c r="B6" s="13" t="s">
        <v>40</v>
      </c>
      <c r="C6" s="13">
        <v>50</v>
      </c>
      <c r="D6" s="13">
        <v>4</v>
      </c>
      <c r="E6" s="3" t="s">
        <v>41</v>
      </c>
      <c r="F6" s="37" t="s">
        <v>42</v>
      </c>
      <c r="G6" s="38">
        <f>SUMIFS('[12]inland_taf_hatchgrp_tableraw&amp;yy'!G$3:G$38,'[12]inland_taf_hatchgrp_tableraw&amp;yy'!$AC$3:$AC$38,'2019 Table 10 CWTs exp'!$A6)</f>
        <v>95</v>
      </c>
      <c r="H6" s="39">
        <f>SUMIFS('[12]inland_taf_hatchgrp_tableraw&amp;yy'!H$3:H$38,'[12]inland_taf_hatchgrp_tableraw&amp;yy'!$AC$3:$AC$38,'2019 Table 10 CWTs exp'!$A6)</f>
        <v>0</v>
      </c>
      <c r="I6" s="38">
        <f>SUMIFS('[12]inland_taf_hatchgrp_tableraw&amp;yy'!I$3:I$38,'[12]inland_taf_hatchgrp_tableraw&amp;yy'!$AC$3:$AC$38,'2019 Table 10 CWTs exp'!$A6)</f>
        <v>0</v>
      </c>
      <c r="J6" s="40">
        <f>SUMIFS('[12]inland_taf_hatchgrp_tableraw&amp;yy'!J$3:J$38,'[12]inland_taf_hatchgrp_tableraw&amp;yy'!$AC$3:$AC$38,'2019 Table 10 CWTs exp'!$A6)</f>
        <v>0</v>
      </c>
      <c r="K6" s="38">
        <f>SUMIFS('[12]inland_taf_hatchgrp_tableraw&amp;yy'!K$3:K$38,'[12]inland_taf_hatchgrp_tableraw&amp;yy'!$AC$3:$AC$38,'2019 Table 10 CWTs exp'!$A6)</f>
        <v>0</v>
      </c>
      <c r="L6" s="38">
        <f>SUMIFS('[12]inland_taf_hatchgrp_tableraw&amp;yy'!L$3:L$38,'[12]inland_taf_hatchgrp_tableraw&amp;yy'!$AC$3:$AC$38,'2019 Table 10 CWTs exp'!$A6)</f>
        <v>0</v>
      </c>
      <c r="M6" s="38">
        <f>SUMIFS('[12]inland_taf_hatchgrp_tableraw&amp;yy'!M$3:M$38,'[12]inland_taf_hatchgrp_tableraw&amp;yy'!$AC$3:$AC$38,'2019 Table 10 CWTs exp'!$A6)</f>
        <v>0</v>
      </c>
      <c r="N6" s="40">
        <f>SUMIFS('[12]inland_taf_hatchgrp_tableraw&amp;yy'!N$3:N$38,'[12]inland_taf_hatchgrp_tableraw&amp;yy'!$AC$3:$AC$38,'2019 Table 10 CWTs exp'!$A6)</f>
        <v>0</v>
      </c>
      <c r="O6" s="38">
        <f>SUMIFS('[12]inland_taf_hatchgrp_tableraw&amp;yy'!O$3:O$38,'[12]inland_taf_hatchgrp_tableraw&amp;yy'!$AC$3:$AC$38,'2019 Table 10 CWTs exp'!$A6)</f>
        <v>0</v>
      </c>
      <c r="P6" s="40">
        <f>SUMIFS('[12]inland_taf_hatchgrp_tableraw&amp;yy'!P$3:P$38,'[12]inland_taf_hatchgrp_tableraw&amp;yy'!$AC$3:$AC$38,'2019 Table 10 CWTs exp'!$A6)</f>
        <v>0</v>
      </c>
      <c r="Q6" s="38">
        <f>SUMIFS('[12]inland_taf_hatchgrp_tableraw&amp;yy'!Q$3:Q$38,'[12]inland_taf_hatchgrp_tableraw&amp;yy'!$AC$3:$AC$38,'2019 Table 10 CWTs exp'!$A6)</f>
        <v>0</v>
      </c>
      <c r="R6" s="38">
        <f>SUMIFS('[12]inland_taf_hatchgrp_tableraw&amp;yy'!R$3:R$38,'[12]inland_taf_hatchgrp_tableraw&amp;yy'!$AC$3:$AC$38,'2019 Table 10 CWTs exp'!$A6)</f>
        <v>0</v>
      </c>
      <c r="S6" s="38">
        <f>SUMIFS('[12]inland_taf_hatchgrp_tableraw&amp;yy'!S$3:S$38,'[12]inland_taf_hatchgrp_tableraw&amp;yy'!$AC$3:$AC$38,'2019 Table 10 CWTs exp'!$A6)</f>
        <v>0</v>
      </c>
      <c r="T6" s="40">
        <f>SUMIFS('[12]inland_taf_hatchgrp_tableraw&amp;yy'!T$3:T$38,'[12]inland_taf_hatchgrp_tableraw&amp;yy'!$AC$3:$AC$38,'2019 Table 10 CWTs exp'!$A6)</f>
        <v>0</v>
      </c>
      <c r="U6" s="38">
        <f>SUMIFS('[12]inland_taf_hatchgrp_tableraw&amp;yy'!U$3:U$38,'[12]inland_taf_hatchgrp_tableraw&amp;yy'!$AC$3:$AC$38,'2019 Table 10 CWTs exp'!$A6)</f>
        <v>0</v>
      </c>
      <c r="V6" s="40">
        <f>SUMIFS('[12]inland_taf_hatchgrp_tableraw&amp;yy'!V$3:V$38,'[12]inland_taf_hatchgrp_tableraw&amp;yy'!$AC$3:$AC$38,'2019 Table 10 CWTs exp'!$A6)</f>
        <v>0</v>
      </c>
      <c r="W6" s="40">
        <f>SUMIFS('[12]inland_taf_hatchgrp_tableraw&amp;yy'!W$3:W$38,'[12]inland_taf_hatchgrp_tableraw&amp;yy'!$AC$3:$AC$38,'2019 Table 10 CWTs exp'!$A6)</f>
        <v>0</v>
      </c>
      <c r="X6" s="38">
        <f>SUMIFS('[12]inland_taf_hatchgrp_tableraw&amp;yy'!X$3:X$38,'[12]inland_taf_hatchgrp_tableraw&amp;yy'!$AC$3:$AC$38,'2019 Table 10 CWTs exp'!$A6)</f>
        <v>0</v>
      </c>
      <c r="Y6" s="41">
        <f>SUMIFS('[12]inland_taf_hatchgrp_tableraw&amp;yy'!Y$3:Y$38,'[12]inland_taf_hatchgrp_tableraw&amp;yy'!$AC$3:$AC$38,'2019 Table 10 CWTs exp'!$A6)</f>
        <v>95</v>
      </c>
      <c r="Z6" s="42">
        <f>SUMIFS('[12]inland_taf_hatchgrp_tableraw&amp;yy'!Z$3:Z$38,'[12]inland_taf_hatchgrp_tableraw&amp;yy'!$AC$3:$AC$38,'2019 Table 10 CWTs exp'!$A6)</f>
        <v>0</v>
      </c>
      <c r="AA6" s="38">
        <f>SUMIFS('[12]inland_taf_hatchgrp_tableraw&amp;yy'!AA$3:AA$38,'[12]inland_taf_hatchgrp_tableraw&amp;yy'!$AC$3:$AC$38,'2019 Table 10 CWTs exp'!$A6)</f>
        <v>95</v>
      </c>
      <c r="AB6" s="633"/>
      <c r="AC6" s="633"/>
      <c r="AD6" s="603">
        <f>SUMIFS('[12]inland_taf_hatchgrp_tableraw&amp;yy'!AB$3:AB$38,'[12]inland_taf_hatchgrp_tableraw&amp;yy'!$AC$3:$AC$38,'2019 Table 10 CWTs exp'!$A6)</f>
        <v>1</v>
      </c>
      <c r="AE6" s="604" t="str">
        <f t="shared" ref="AE6:AE17" si="1">A6</f>
        <v>CNFH504</v>
      </c>
      <c r="AF6" s="444"/>
      <c r="AG6" s="622">
        <f>Y6/AA6</f>
        <v>1</v>
      </c>
      <c r="AH6" s="597"/>
      <c r="AI6" s="600"/>
      <c r="AJ6" s="599"/>
      <c r="AK6" s="451"/>
      <c r="AL6" s="451"/>
      <c r="AM6" s="442"/>
      <c r="AN6" s="442"/>
      <c r="AO6" s="442"/>
      <c r="AP6" s="442"/>
      <c r="AQ6" s="442"/>
      <c r="AR6" s="442"/>
      <c r="AS6" s="442"/>
      <c r="AT6" s="442"/>
      <c r="AU6" s="442"/>
      <c r="AV6" s="442"/>
      <c r="AW6" s="442"/>
      <c r="AX6" s="442"/>
      <c r="AY6" s="442"/>
      <c r="AZ6" s="442"/>
      <c r="BA6" s="442"/>
      <c r="BB6" s="442"/>
      <c r="BC6" s="442"/>
      <c r="BD6" s="442"/>
      <c r="BE6" s="442"/>
      <c r="BF6" s="442"/>
      <c r="BG6" s="442"/>
    </row>
    <row r="7" spans="1:60" ht="14.25" customHeight="1" x14ac:dyDescent="0.25">
      <c r="A7" s="36" t="str">
        <f t="shared" si="0"/>
        <v>KESW504</v>
      </c>
      <c r="B7" s="13" t="s">
        <v>43</v>
      </c>
      <c r="C7" s="13">
        <v>50</v>
      </c>
      <c r="D7" s="13">
        <v>4</v>
      </c>
      <c r="E7" s="3" t="s">
        <v>44</v>
      </c>
      <c r="F7" s="37" t="s">
        <v>42</v>
      </c>
      <c r="G7" s="38">
        <f>SUMIFS('[12]inland_taf_hatchgrp_tableraw&amp;yy'!G$3:G$38,'[12]inland_taf_hatchgrp_tableraw&amp;yy'!$AC$3:$AC$38,'2019 Table 10 CWTs exp'!$A7)</f>
        <v>111</v>
      </c>
      <c r="H7" s="39">
        <f>SUMIFS('[12]inland_taf_hatchgrp_tableraw&amp;yy'!H$3:H$38,'[12]inland_taf_hatchgrp_tableraw&amp;yy'!$AC$3:$AC$38,'2019 Table 10 CWTs exp'!$A7)</f>
        <v>0</v>
      </c>
      <c r="I7" s="38">
        <f>SUMIFS('[12]inland_taf_hatchgrp_tableraw&amp;yy'!I$3:I$38,'[12]inland_taf_hatchgrp_tableraw&amp;yy'!$AC$3:$AC$38,'2019 Table 10 CWTs exp'!$A7)</f>
        <v>0</v>
      </c>
      <c r="J7" s="40">
        <f>SUMIFS('[12]inland_taf_hatchgrp_tableraw&amp;yy'!J$3:J$38,'[12]inland_taf_hatchgrp_tableraw&amp;yy'!$AC$3:$AC$38,'2019 Table 10 CWTs exp'!$A7)</f>
        <v>0</v>
      </c>
      <c r="K7" s="38">
        <f>SUMIFS('[12]inland_taf_hatchgrp_tableraw&amp;yy'!K$3:K$38,'[12]inland_taf_hatchgrp_tableraw&amp;yy'!$AC$3:$AC$38,'2019 Table 10 CWTs exp'!$A7)</f>
        <v>0</v>
      </c>
      <c r="L7" s="38">
        <f>SUMIFS('[12]inland_taf_hatchgrp_tableraw&amp;yy'!L$3:L$38,'[12]inland_taf_hatchgrp_tableraw&amp;yy'!$AC$3:$AC$38,'2019 Table 10 CWTs exp'!$A7)</f>
        <v>0</v>
      </c>
      <c r="M7" s="38">
        <f>SUMIFS('[12]inland_taf_hatchgrp_tableraw&amp;yy'!M$3:M$38,'[12]inland_taf_hatchgrp_tableraw&amp;yy'!$AC$3:$AC$38,'2019 Table 10 CWTs exp'!$A7)</f>
        <v>0</v>
      </c>
      <c r="N7" s="40">
        <f>SUMIFS('[12]inland_taf_hatchgrp_tableraw&amp;yy'!N$3:N$38,'[12]inland_taf_hatchgrp_tableraw&amp;yy'!$AC$3:$AC$38,'2019 Table 10 CWTs exp'!$A7)</f>
        <v>0</v>
      </c>
      <c r="O7" s="38">
        <f>SUMIFS('[12]inland_taf_hatchgrp_tableraw&amp;yy'!O$3:O$38,'[12]inland_taf_hatchgrp_tableraw&amp;yy'!$AC$3:$AC$38,'2019 Table 10 CWTs exp'!$A7)</f>
        <v>0</v>
      </c>
      <c r="P7" s="40">
        <f>SUMIFS('[12]inland_taf_hatchgrp_tableraw&amp;yy'!P$3:P$38,'[12]inland_taf_hatchgrp_tableraw&amp;yy'!$AC$3:$AC$38,'2019 Table 10 CWTs exp'!$A7)</f>
        <v>0</v>
      </c>
      <c r="Q7" s="38">
        <f>SUMIFS('[12]inland_taf_hatchgrp_tableraw&amp;yy'!Q$3:Q$38,'[12]inland_taf_hatchgrp_tableraw&amp;yy'!$AC$3:$AC$38,'2019 Table 10 CWTs exp'!$A7)</f>
        <v>0</v>
      </c>
      <c r="R7" s="38">
        <f>SUMIFS('[12]inland_taf_hatchgrp_tableraw&amp;yy'!R$3:R$38,'[12]inland_taf_hatchgrp_tableraw&amp;yy'!$AC$3:$AC$38,'2019 Table 10 CWTs exp'!$A7)</f>
        <v>0</v>
      </c>
      <c r="S7" s="38">
        <f>SUMIFS('[12]inland_taf_hatchgrp_tableraw&amp;yy'!S$3:S$38,'[12]inland_taf_hatchgrp_tableraw&amp;yy'!$AC$3:$AC$38,'2019 Table 10 CWTs exp'!$A7)</f>
        <v>0</v>
      </c>
      <c r="T7" s="40">
        <f>SUMIFS('[12]inland_taf_hatchgrp_tableraw&amp;yy'!T$3:T$38,'[12]inland_taf_hatchgrp_tableraw&amp;yy'!$AC$3:$AC$38,'2019 Table 10 CWTs exp'!$A7)</f>
        <v>0</v>
      </c>
      <c r="U7" s="38">
        <f>SUMIFS('[12]inland_taf_hatchgrp_tableraw&amp;yy'!U$3:U$38,'[12]inland_taf_hatchgrp_tableraw&amp;yy'!$AC$3:$AC$38,'2019 Table 10 CWTs exp'!$A7)</f>
        <v>0</v>
      </c>
      <c r="V7" s="40">
        <f>SUMIFS('[12]inland_taf_hatchgrp_tableraw&amp;yy'!V$3:V$38,'[12]inland_taf_hatchgrp_tableraw&amp;yy'!$AC$3:$AC$38,'2019 Table 10 CWTs exp'!$A7)</f>
        <v>0</v>
      </c>
      <c r="W7" s="40">
        <f>SUMIFS('[12]inland_taf_hatchgrp_tableraw&amp;yy'!W$3:W$38,'[12]inland_taf_hatchgrp_tableraw&amp;yy'!$AC$3:$AC$38,'2019 Table 10 CWTs exp'!$A7)</f>
        <v>0</v>
      </c>
      <c r="X7" s="38">
        <f>SUMIFS('[12]inland_taf_hatchgrp_tableraw&amp;yy'!X$3:X$38,'[12]inland_taf_hatchgrp_tableraw&amp;yy'!$AC$3:$AC$38,'2019 Table 10 CWTs exp'!$A7)</f>
        <v>0</v>
      </c>
      <c r="Y7" s="41">
        <f>SUMIFS('[12]inland_taf_hatchgrp_tableraw&amp;yy'!Y$3:Y$38,'[12]inland_taf_hatchgrp_tableraw&amp;yy'!$AC$3:$AC$38,'2019 Table 10 CWTs exp'!$A7)</f>
        <v>111</v>
      </c>
      <c r="Z7" s="42">
        <f>SUMIFS('[12]inland_taf_hatchgrp_tableraw&amp;yy'!Z$3:Z$38,'[12]inland_taf_hatchgrp_tableraw&amp;yy'!$AC$3:$AC$38,'2019 Table 10 CWTs exp'!$A7)</f>
        <v>69</v>
      </c>
      <c r="AA7" s="38">
        <f>SUMIFS('[12]inland_taf_hatchgrp_tableraw&amp;yy'!AA$3:AA$38,'[12]inland_taf_hatchgrp_tableraw&amp;yy'!$AC$3:$AC$38,'2019 Table 10 CWTs exp'!$A7)</f>
        <v>180</v>
      </c>
      <c r="AB7" s="634"/>
      <c r="AC7" s="634"/>
      <c r="AD7" s="603">
        <f>SUMIFS('[12]inland_taf_hatchgrp_tableraw&amp;yy'!AB$3:AB$38,'[12]inland_taf_hatchgrp_tableraw&amp;yy'!$AC$3:$AC$38,'2019 Table 10 CWTs exp'!$A7)</f>
        <v>0.61699999999999999</v>
      </c>
      <c r="AE7" s="604" t="str">
        <f t="shared" si="1"/>
        <v>KESW504</v>
      </c>
      <c r="AF7" s="444"/>
      <c r="AG7" s="622">
        <f>Y7/AA7</f>
        <v>0.6166666666666667</v>
      </c>
      <c r="AH7" s="597"/>
      <c r="AI7" s="600"/>
      <c r="AJ7" s="599"/>
      <c r="AK7" s="451"/>
      <c r="AL7" s="451"/>
      <c r="AM7" s="442"/>
      <c r="AN7" s="442"/>
      <c r="AO7" s="442"/>
      <c r="AP7" s="442"/>
      <c r="AQ7" s="442"/>
      <c r="AR7" s="442"/>
      <c r="AS7" s="442"/>
      <c r="AT7" s="442"/>
      <c r="AU7" s="442"/>
      <c r="AV7" s="442"/>
      <c r="AW7" s="442"/>
      <c r="AX7" s="442"/>
      <c r="AY7" s="442"/>
      <c r="AZ7" s="442"/>
      <c r="BA7" s="442"/>
      <c r="BB7" s="442"/>
      <c r="BC7" s="442"/>
      <c r="BD7" s="442"/>
      <c r="BE7" s="442"/>
      <c r="BF7" s="442"/>
      <c r="BG7" s="442"/>
    </row>
    <row r="8" spans="1:60" s="47" customFormat="1" ht="14.5" customHeight="1" x14ac:dyDescent="0.25">
      <c r="A8" s="36" t="str">
        <f t="shared" si="0"/>
        <v>FRFH501</v>
      </c>
      <c r="B8" s="35" t="s">
        <v>45</v>
      </c>
      <c r="C8" s="35">
        <v>50</v>
      </c>
      <c r="D8" s="35">
        <v>1</v>
      </c>
      <c r="E8" s="3" t="s">
        <v>46</v>
      </c>
      <c r="F8" s="43" t="str">
        <f t="shared" ref="F8:F14" si="2">LOOKUP(D8,$AL$8:$AL$11,$AM$8:$AM$11)</f>
        <v>Spring</v>
      </c>
      <c r="G8" s="44">
        <f>SUMIFS('[12]inland_taf_hatchgrp_tableraw&amp;yy'!G$3:G$38,'[12]inland_taf_hatchgrp_tableraw&amp;yy'!$AC$3:$AC$38,'2019 Table 10 CWTs exp'!$A8)</f>
        <v>0</v>
      </c>
      <c r="H8" s="45">
        <f>SUMIFS('[12]inland_taf_hatchgrp_tableraw&amp;yy'!H$3:H$38,'[12]inland_taf_hatchgrp_tableraw&amp;yy'!$AC$3:$AC$38,'2019 Table 10 CWTs exp'!$A8)</f>
        <v>0</v>
      </c>
      <c r="I8" s="44">
        <f>SUMIFS('[12]inland_taf_hatchgrp_tableraw&amp;yy'!I$3:I$38,'[12]inland_taf_hatchgrp_tableraw&amp;yy'!$AC$3:$AC$38,'2019 Table 10 CWTs exp'!$A8)</f>
        <v>0</v>
      </c>
      <c r="J8" s="46">
        <f>SUMIFS('[12]inland_taf_hatchgrp_tableraw&amp;yy'!J$3:J$38,'[12]inland_taf_hatchgrp_tableraw&amp;yy'!$AC$3:$AC$38,'2019 Table 10 CWTs exp'!$A8)</f>
        <v>0</v>
      </c>
      <c r="K8" s="44">
        <f>SUMIFS('[12]inland_taf_hatchgrp_tableraw&amp;yy'!K$3:K$38,'[12]inland_taf_hatchgrp_tableraw&amp;yy'!$AC$3:$AC$38,'2019 Table 10 CWTs exp'!$A8)</f>
        <v>3643</v>
      </c>
      <c r="L8" s="44">
        <f>SUMIFS('[12]inland_taf_hatchgrp_tableraw&amp;yy'!L$3:L$38,'[12]inland_taf_hatchgrp_tableraw&amp;yy'!$AC$3:$AC$38,'2019 Table 10 CWTs exp'!$A8)</f>
        <v>0</v>
      </c>
      <c r="M8" s="44">
        <f>SUMIFS('[12]inland_taf_hatchgrp_tableraw&amp;yy'!M$3:M$38,'[12]inland_taf_hatchgrp_tableraw&amp;yy'!$AC$3:$AC$38,'2019 Table 10 CWTs exp'!$A8)</f>
        <v>13</v>
      </c>
      <c r="N8" s="46">
        <f>SUMIFS('[12]inland_taf_hatchgrp_tableraw&amp;yy'!N$3:N$38,'[12]inland_taf_hatchgrp_tableraw&amp;yy'!$AC$3:$AC$38,'2019 Table 10 CWTs exp'!$A8)</f>
        <v>4</v>
      </c>
      <c r="O8" s="44">
        <f>SUMIFS('[12]inland_taf_hatchgrp_tableraw&amp;yy'!O$3:O$38,'[12]inland_taf_hatchgrp_tableraw&amp;yy'!$AC$3:$AC$38,'2019 Table 10 CWTs exp'!$A8)</f>
        <v>0</v>
      </c>
      <c r="P8" s="46">
        <f>SUMIFS('[12]inland_taf_hatchgrp_tableraw&amp;yy'!P$3:P$38,'[12]inland_taf_hatchgrp_tableraw&amp;yy'!$AC$3:$AC$38,'2019 Table 10 CWTs exp'!$A8)</f>
        <v>0</v>
      </c>
      <c r="Q8" s="44">
        <f>SUMIFS('[12]inland_taf_hatchgrp_tableraw&amp;yy'!Q$3:Q$38,'[12]inland_taf_hatchgrp_tableraw&amp;yy'!$AC$3:$AC$38,'2019 Table 10 CWTs exp'!$A8)</f>
        <v>0</v>
      </c>
      <c r="R8" s="44">
        <f>SUMIFS('[12]inland_taf_hatchgrp_tableraw&amp;yy'!R$3:R$38,'[12]inland_taf_hatchgrp_tableraw&amp;yy'!$AC$3:$AC$38,'2019 Table 10 CWTs exp'!$A8)</f>
        <v>0</v>
      </c>
      <c r="S8" s="44">
        <f>SUMIFS('[12]inland_taf_hatchgrp_tableraw&amp;yy'!S$3:S$38,'[12]inland_taf_hatchgrp_tableraw&amp;yy'!$AC$3:$AC$38,'2019 Table 10 CWTs exp'!$A8)</f>
        <v>0</v>
      </c>
      <c r="T8" s="46">
        <f>SUMIFS('[12]inland_taf_hatchgrp_tableraw&amp;yy'!T$3:T$38,'[12]inland_taf_hatchgrp_tableraw&amp;yy'!$AC$3:$AC$38,'2019 Table 10 CWTs exp'!$A8)</f>
        <v>0</v>
      </c>
      <c r="U8" s="44">
        <f>SUMIFS('[12]inland_taf_hatchgrp_tableraw&amp;yy'!U$3:U$38,'[12]inland_taf_hatchgrp_tableraw&amp;yy'!$AC$3:$AC$38,'2019 Table 10 CWTs exp'!$A8)</f>
        <v>0</v>
      </c>
      <c r="V8" s="46">
        <f>SUMIFS('[12]inland_taf_hatchgrp_tableraw&amp;yy'!V$3:V$38,'[12]inland_taf_hatchgrp_tableraw&amp;yy'!$AC$3:$AC$38,'2019 Table 10 CWTs exp'!$A8)</f>
        <v>0</v>
      </c>
      <c r="W8" s="46">
        <f>SUMIFS('[12]inland_taf_hatchgrp_tableraw&amp;yy'!W$3:W$38,'[12]inland_taf_hatchgrp_tableraw&amp;yy'!$AC$3:$AC$38,'2019 Table 10 CWTs exp'!$A8)</f>
        <v>2</v>
      </c>
      <c r="X8" s="44">
        <f>SUMIFS('[12]inland_taf_hatchgrp_tableraw&amp;yy'!X$3:X$38,'[12]inland_taf_hatchgrp_tableraw&amp;yy'!$AC$3:$AC$38,'2019 Table 10 CWTs exp'!$A8)</f>
        <v>0</v>
      </c>
      <c r="Y8" s="41">
        <f>SUMIFS('[12]inland_taf_hatchgrp_tableraw&amp;yy'!Y$3:Y$38,'[12]inland_taf_hatchgrp_tableraw&amp;yy'!$AC$3:$AC$38,'2019 Table 10 CWTs exp'!$A8)</f>
        <v>3662</v>
      </c>
      <c r="Z8" s="42">
        <f>SUMIFS('[12]inland_taf_hatchgrp_tableraw&amp;yy'!Z$3:Z$38,'[12]inland_taf_hatchgrp_tableraw&amp;yy'!$AC$3:$AC$38,'2019 Table 10 CWTs exp'!$A8)</f>
        <v>205</v>
      </c>
      <c r="AA8" s="38">
        <f>SUMIFS('[12]inland_taf_hatchgrp_tableraw&amp;yy'!AA$3:AA$38,'[12]inland_taf_hatchgrp_tableraw&amp;yy'!$AC$3:$AC$38,'2019 Table 10 CWTs exp'!$A8)</f>
        <v>3867</v>
      </c>
      <c r="AB8" s="636"/>
      <c r="AC8" s="636"/>
      <c r="AD8" s="603">
        <f>SUMIFS('[12]inland_taf_hatchgrp_tableraw&amp;yy'!AB$3:AB$38,'[12]inland_taf_hatchgrp_tableraw&amp;yy'!$AC$3:$AC$38,'2019 Table 10 CWTs exp'!$A8)</f>
        <v>0.94699999999999995</v>
      </c>
      <c r="AE8" s="604" t="str">
        <f t="shared" si="1"/>
        <v>FRFH501</v>
      </c>
      <c r="AF8" s="594"/>
      <c r="AG8" s="622">
        <f>Y8/AA8</f>
        <v>0.94698732867856217</v>
      </c>
      <c r="AH8" s="616"/>
      <c r="AI8" s="616"/>
      <c r="AJ8" s="602"/>
      <c r="AK8" s="601"/>
      <c r="AL8" s="601">
        <v>1</v>
      </c>
      <c r="AM8" s="594" t="s">
        <v>47</v>
      </c>
      <c r="AN8" s="594"/>
      <c r="AO8" s="594"/>
      <c r="AP8" s="594"/>
      <c r="AQ8" s="594"/>
      <c r="AR8" s="594"/>
      <c r="AS8" s="594"/>
      <c r="AT8" s="594"/>
      <c r="AU8" s="594"/>
      <c r="AV8" s="594"/>
      <c r="AW8" s="594"/>
      <c r="AX8" s="594"/>
      <c r="AY8" s="594"/>
      <c r="AZ8" s="594"/>
      <c r="BA8" s="594"/>
      <c r="BB8" s="594"/>
      <c r="BC8" s="594"/>
      <c r="BD8" s="594"/>
      <c r="BE8" s="594"/>
      <c r="BF8" s="594"/>
      <c r="BG8" s="594"/>
      <c r="BH8" s="49"/>
    </row>
    <row r="9" spans="1:60" ht="12.75" hidden="1" customHeight="1" x14ac:dyDescent="0.25">
      <c r="A9" s="50" t="str">
        <f>CONCATENATE(B9,C9,D9)</f>
        <v>KESW503</v>
      </c>
      <c r="B9" s="13" t="s">
        <v>43</v>
      </c>
      <c r="C9" s="13">
        <v>50</v>
      </c>
      <c r="D9" s="13">
        <v>3</v>
      </c>
      <c r="E9" s="3" t="s">
        <v>44</v>
      </c>
      <c r="F9" s="43" t="str">
        <f t="shared" si="2"/>
        <v>Fall</v>
      </c>
      <c r="G9" s="38">
        <f>SUMIFS('[12]inland_taf_hatchgrp_tableraw&amp;yy'!G$3:G$38,'[12]inland_taf_hatchgrp_tableraw&amp;yy'!$AC$3:$AC$38,'2019 Table 10 CWTs exp'!$A9)</f>
        <v>0</v>
      </c>
      <c r="H9" s="39">
        <f>SUMIFS('[12]inland_taf_hatchgrp_tableraw&amp;yy'!H$3:H$38,'[12]inland_taf_hatchgrp_tableraw&amp;yy'!$AC$3:$AC$38,'2019 Table 10 CWTs exp'!$A9)</f>
        <v>0</v>
      </c>
      <c r="I9" s="38">
        <f>SUMIFS('[12]inland_taf_hatchgrp_tableraw&amp;yy'!I$3:I$38,'[12]inland_taf_hatchgrp_tableraw&amp;yy'!$AC$3:$AC$38,'2019 Table 10 CWTs exp'!$A9)</f>
        <v>0</v>
      </c>
      <c r="J9" s="40">
        <f>SUMIFS('[12]inland_taf_hatchgrp_tableraw&amp;yy'!J$3:J$38,'[12]inland_taf_hatchgrp_tableraw&amp;yy'!$AC$3:$AC$38,'2019 Table 10 CWTs exp'!$A9)</f>
        <v>0</v>
      </c>
      <c r="K9" s="38">
        <f>SUMIFS('[12]inland_taf_hatchgrp_tableraw&amp;yy'!K$3:K$38,'[12]inland_taf_hatchgrp_tableraw&amp;yy'!$AC$3:$AC$38,'2019 Table 10 CWTs exp'!$A9)</f>
        <v>0</v>
      </c>
      <c r="L9" s="38">
        <f>SUMIFS('[12]inland_taf_hatchgrp_tableraw&amp;yy'!L$3:L$38,'[12]inland_taf_hatchgrp_tableraw&amp;yy'!$AC$3:$AC$38,'2019 Table 10 CWTs exp'!$A9)</f>
        <v>0</v>
      </c>
      <c r="M9" s="38">
        <f>SUMIFS('[12]inland_taf_hatchgrp_tableraw&amp;yy'!M$3:M$38,'[12]inland_taf_hatchgrp_tableraw&amp;yy'!$AC$3:$AC$38,'2019 Table 10 CWTs exp'!$A9)</f>
        <v>0</v>
      </c>
      <c r="N9" s="40">
        <f>SUMIFS('[12]inland_taf_hatchgrp_tableraw&amp;yy'!N$3:N$38,'[12]inland_taf_hatchgrp_tableraw&amp;yy'!$AC$3:$AC$38,'2019 Table 10 CWTs exp'!$A9)</f>
        <v>0</v>
      </c>
      <c r="O9" s="38">
        <f>SUMIFS('[12]inland_taf_hatchgrp_tableraw&amp;yy'!O$3:O$38,'[12]inland_taf_hatchgrp_tableraw&amp;yy'!$AC$3:$AC$38,'2019 Table 10 CWTs exp'!$A9)</f>
        <v>0</v>
      </c>
      <c r="P9" s="40">
        <f>SUMIFS('[12]inland_taf_hatchgrp_tableraw&amp;yy'!P$3:P$38,'[12]inland_taf_hatchgrp_tableraw&amp;yy'!$AC$3:$AC$38,'2019 Table 10 CWTs exp'!$A9)</f>
        <v>0</v>
      </c>
      <c r="Q9" s="38">
        <f>SUMIFS('[12]inland_taf_hatchgrp_tableraw&amp;yy'!Q$3:Q$38,'[12]inland_taf_hatchgrp_tableraw&amp;yy'!$AC$3:$AC$38,'2019 Table 10 CWTs exp'!$A9)</f>
        <v>0</v>
      </c>
      <c r="R9" s="38">
        <f>SUMIFS('[12]inland_taf_hatchgrp_tableraw&amp;yy'!R$3:R$38,'[12]inland_taf_hatchgrp_tableraw&amp;yy'!$AC$3:$AC$38,'2019 Table 10 CWTs exp'!$A9)</f>
        <v>0</v>
      </c>
      <c r="S9" s="38">
        <f>SUMIFS('[12]inland_taf_hatchgrp_tableraw&amp;yy'!S$3:S$38,'[12]inland_taf_hatchgrp_tableraw&amp;yy'!$AC$3:$AC$38,'2019 Table 10 CWTs exp'!$A9)</f>
        <v>0</v>
      </c>
      <c r="T9" s="40">
        <f>SUMIFS('[12]inland_taf_hatchgrp_tableraw&amp;yy'!T$3:T$38,'[12]inland_taf_hatchgrp_tableraw&amp;yy'!$AC$3:$AC$38,'2019 Table 10 CWTs exp'!$A9)</f>
        <v>0</v>
      </c>
      <c r="U9" s="38">
        <f>SUMIFS('[12]inland_taf_hatchgrp_tableraw&amp;yy'!U$3:U$38,'[12]inland_taf_hatchgrp_tableraw&amp;yy'!$AC$3:$AC$38,'2019 Table 10 CWTs exp'!$A9)</f>
        <v>0</v>
      </c>
      <c r="V9" s="40">
        <f>SUMIFS('[12]inland_taf_hatchgrp_tableraw&amp;yy'!V$3:V$38,'[12]inland_taf_hatchgrp_tableraw&amp;yy'!$AC$3:$AC$38,'2019 Table 10 CWTs exp'!$A9)</f>
        <v>0</v>
      </c>
      <c r="W9" s="40">
        <f>SUMIFS('[12]inland_taf_hatchgrp_tableraw&amp;yy'!W$3:W$38,'[12]inland_taf_hatchgrp_tableraw&amp;yy'!$AC$3:$AC$38,'2019 Table 10 CWTs exp'!$A9)</f>
        <v>0</v>
      </c>
      <c r="X9" s="38">
        <f>SUMIFS('[12]inland_taf_hatchgrp_tableraw&amp;yy'!X$3:X$38,'[12]inland_taf_hatchgrp_tableraw&amp;yy'!$AC$3:$AC$38,'2019 Table 10 CWTs exp'!$A9)</f>
        <v>0</v>
      </c>
      <c r="Y9" s="41">
        <f>SUMIFS('[12]inland_taf_hatchgrp_tableraw&amp;yy'!Y$3:Y$38,'[12]inland_taf_hatchgrp_tableraw&amp;yy'!$AC$3:$AC$38,'2019 Table 10 CWTs exp'!$A9)</f>
        <v>0</v>
      </c>
      <c r="Z9" s="42">
        <f>SUMIFS('[12]inland_taf_hatchgrp_tableraw&amp;yy'!Z$3:Z$38,'[12]inland_taf_hatchgrp_tableraw&amp;yy'!$AC$3:$AC$38,'2019 Table 10 CWTs exp'!$A9)</f>
        <v>0</v>
      </c>
      <c r="AA9" s="38">
        <f>SUMIFS('[12]inland_taf_hatchgrp_tableraw&amp;yy'!AA$3:AA$38,'[12]inland_taf_hatchgrp_tableraw&amp;yy'!$AC$3:$AC$38,'2019 Table 10 CWTs exp'!$A9)</f>
        <v>0</v>
      </c>
      <c r="AB9" s="634"/>
      <c r="AC9" s="634"/>
      <c r="AD9" s="603">
        <f>SUMIFS('[12]inland_taf_hatchgrp_tableraw&amp;yy'!AB$3:AB$38,'[12]inland_taf_hatchgrp_tableraw&amp;yy'!$AC$3:$AC$38,'2019 Table 10 CWTs exp'!$A9)</f>
        <v>0</v>
      </c>
      <c r="AE9" s="604" t="str">
        <f t="shared" si="1"/>
        <v>KESW503</v>
      </c>
      <c r="AF9" s="603"/>
      <c r="AG9" s="622" t="e">
        <f>Y9/AA9</f>
        <v>#DIV/0!</v>
      </c>
      <c r="AH9" s="597"/>
      <c r="AI9" s="605">
        <f>1-AD9</f>
        <v>1</v>
      </c>
      <c r="AJ9" s="447">
        <f>Z9</f>
        <v>0</v>
      </c>
      <c r="AK9" s="650" t="e">
        <f t="shared" ref="AK9:AK14" si="3">AJ9/AA9</f>
        <v>#DIV/0!</v>
      </c>
      <c r="AL9" s="451">
        <v>3</v>
      </c>
      <c r="AM9" s="442" t="s">
        <v>48</v>
      </c>
      <c r="AN9" s="442"/>
      <c r="AO9" s="442"/>
      <c r="AP9" s="442"/>
      <c r="AQ9" s="442"/>
      <c r="AR9" s="442"/>
      <c r="AS9" s="442"/>
      <c r="AT9" s="442"/>
      <c r="AU9" s="442"/>
      <c r="AV9" s="442"/>
      <c r="AW9" s="442"/>
      <c r="AX9" s="442"/>
      <c r="AY9" s="442"/>
      <c r="AZ9" s="442"/>
      <c r="BA9" s="442"/>
      <c r="BB9" s="442"/>
      <c r="BC9" s="442"/>
      <c r="BD9" s="442"/>
      <c r="BE9" s="442"/>
      <c r="BF9" s="442"/>
      <c r="BG9" s="442"/>
    </row>
    <row r="10" spans="1:60" ht="14.5" customHeight="1" x14ac:dyDescent="0.25">
      <c r="A10" s="50" t="str">
        <f t="shared" si="0"/>
        <v>CNFH503</v>
      </c>
      <c r="B10" s="13" t="s">
        <v>40</v>
      </c>
      <c r="C10" s="13">
        <v>50</v>
      </c>
      <c r="D10" s="13">
        <v>3</v>
      </c>
      <c r="E10" s="3" t="s">
        <v>41</v>
      </c>
      <c r="F10" s="43" t="str">
        <f t="shared" si="2"/>
        <v>Fall</v>
      </c>
      <c r="G10" s="38">
        <f>SUMIFS('[12]inland_taf_hatchgrp_tableraw&amp;yy'!G$3:G$38,'[12]inland_taf_hatchgrp_tableraw&amp;yy'!$AC$3:$AC$38,'2019 Table 10 CWTs exp'!$A10)</f>
        <v>0</v>
      </c>
      <c r="H10" s="39">
        <f>SUMIFS('[12]inland_taf_hatchgrp_tableraw&amp;yy'!H$3:H$38,'[12]inland_taf_hatchgrp_tableraw&amp;yy'!$AC$3:$AC$38,'2019 Table 10 CWTs exp'!$A10)</f>
        <v>0</v>
      </c>
      <c r="I10" s="38">
        <f>SUMIFS('[12]inland_taf_hatchgrp_tableraw&amp;yy'!I$3:I$38,'[12]inland_taf_hatchgrp_tableraw&amp;yy'!$AC$3:$AC$38,'2019 Table 10 CWTs exp'!$A10)</f>
        <v>12789</v>
      </c>
      <c r="J10" s="40">
        <f>SUMIFS('[12]inland_taf_hatchgrp_tableraw&amp;yy'!J$3:J$38,'[12]inland_taf_hatchgrp_tableraw&amp;yy'!$AC$3:$AC$38,'2019 Table 10 CWTs exp'!$A10)</f>
        <v>0</v>
      </c>
      <c r="K10" s="38">
        <f>SUMIFS('[12]inland_taf_hatchgrp_tableraw&amp;yy'!K$3:K$38,'[12]inland_taf_hatchgrp_tableraw&amp;yy'!$AC$3:$AC$38,'2019 Table 10 CWTs exp'!$A10)</f>
        <v>0</v>
      </c>
      <c r="L10" s="38">
        <f>SUMIFS('[12]inland_taf_hatchgrp_tableraw&amp;yy'!L$3:L$38,'[12]inland_taf_hatchgrp_tableraw&amp;yy'!$AC$3:$AC$38,'2019 Table 10 CWTs exp'!$A10)</f>
        <v>2</v>
      </c>
      <c r="M10" s="38">
        <f>SUMIFS('[12]inland_taf_hatchgrp_tableraw&amp;yy'!M$3:M$38,'[12]inland_taf_hatchgrp_tableraw&amp;yy'!$AC$3:$AC$38,'2019 Table 10 CWTs exp'!$A10)</f>
        <v>8</v>
      </c>
      <c r="N10" s="40">
        <f>SUMIFS('[12]inland_taf_hatchgrp_tableraw&amp;yy'!N$3:N$38,'[12]inland_taf_hatchgrp_tableraw&amp;yy'!$AC$3:$AC$38,'2019 Table 10 CWTs exp'!$A10)</f>
        <v>4</v>
      </c>
      <c r="O10" s="38">
        <f>SUMIFS('[12]inland_taf_hatchgrp_tableraw&amp;yy'!O$3:O$38,'[12]inland_taf_hatchgrp_tableraw&amp;yy'!$AC$3:$AC$38,'2019 Table 10 CWTs exp'!$A10)</f>
        <v>0</v>
      </c>
      <c r="P10" s="40">
        <f>SUMIFS('[12]inland_taf_hatchgrp_tableraw&amp;yy'!P$3:P$38,'[12]inland_taf_hatchgrp_tableraw&amp;yy'!$AC$3:$AC$38,'2019 Table 10 CWTs exp'!$A10)</f>
        <v>0</v>
      </c>
      <c r="Q10" s="38">
        <f>SUMIFS('[12]inland_taf_hatchgrp_tableraw&amp;yy'!Q$3:Q$38,'[12]inland_taf_hatchgrp_tableraw&amp;yy'!$AC$3:$AC$38,'2019 Table 10 CWTs exp'!$A10)</f>
        <v>0</v>
      </c>
      <c r="R10" s="38">
        <f>SUMIFS('[12]inland_taf_hatchgrp_tableraw&amp;yy'!R$3:R$38,'[12]inland_taf_hatchgrp_tableraw&amp;yy'!$AC$3:$AC$38,'2019 Table 10 CWTs exp'!$A10)</f>
        <v>0</v>
      </c>
      <c r="S10" s="38">
        <f>SUMIFS('[12]inland_taf_hatchgrp_tableraw&amp;yy'!S$3:S$38,'[12]inland_taf_hatchgrp_tableraw&amp;yy'!$AC$3:$AC$38,'2019 Table 10 CWTs exp'!$A10)</f>
        <v>2</v>
      </c>
      <c r="T10" s="40">
        <f>SUMIFS('[12]inland_taf_hatchgrp_tableraw&amp;yy'!T$3:T$38,'[12]inland_taf_hatchgrp_tableraw&amp;yy'!$AC$3:$AC$38,'2019 Table 10 CWTs exp'!$A10)</f>
        <v>0</v>
      </c>
      <c r="U10" s="38">
        <f>SUMIFS('[12]inland_taf_hatchgrp_tableraw&amp;yy'!U$3:U$38,'[12]inland_taf_hatchgrp_tableraw&amp;yy'!$AC$3:$AC$38,'2019 Table 10 CWTs exp'!$A10)</f>
        <v>0</v>
      </c>
      <c r="V10" s="40">
        <f>SUMIFS('[12]inland_taf_hatchgrp_tableraw&amp;yy'!V$3:V$38,'[12]inland_taf_hatchgrp_tableraw&amp;yy'!$AC$3:$AC$38,'2019 Table 10 CWTs exp'!$A10)</f>
        <v>0</v>
      </c>
      <c r="W10" s="40">
        <f>SUMIFS('[12]inland_taf_hatchgrp_tableraw&amp;yy'!W$3:W$38,'[12]inland_taf_hatchgrp_tableraw&amp;yy'!$AC$3:$AC$38,'2019 Table 10 CWTs exp'!$A10)</f>
        <v>0</v>
      </c>
      <c r="X10" s="38">
        <f>SUMIFS('[12]inland_taf_hatchgrp_tableraw&amp;yy'!X$3:X$38,'[12]inland_taf_hatchgrp_tableraw&amp;yy'!$AC$3:$AC$38,'2019 Table 10 CWTs exp'!$A10)</f>
        <v>0</v>
      </c>
      <c r="Y10" s="41">
        <f>SUMIFS('[12]inland_taf_hatchgrp_tableraw&amp;yy'!Y$3:Y$38,'[12]inland_taf_hatchgrp_tableraw&amp;yy'!$AC$3:$AC$38,'2019 Table 10 CWTs exp'!$A10)</f>
        <v>12805</v>
      </c>
      <c r="Z10" s="42">
        <f>SUMIFS('[12]inland_taf_hatchgrp_tableraw&amp;yy'!Z$3:Z$38,'[12]inland_taf_hatchgrp_tableraw&amp;yy'!$AC$3:$AC$38,'2019 Table 10 CWTs exp'!$A10)</f>
        <v>1464</v>
      </c>
      <c r="AA10" s="38">
        <f>SUMIFS('[12]inland_taf_hatchgrp_tableraw&amp;yy'!AA$3:AA$38,'[12]inland_taf_hatchgrp_tableraw&amp;yy'!$AC$3:$AC$38,'2019 Table 10 CWTs exp'!$A10)</f>
        <v>14269</v>
      </c>
      <c r="AB10" s="634"/>
      <c r="AC10" s="634"/>
      <c r="AD10" s="603">
        <f>SUMIFS('[12]inland_taf_hatchgrp_tableraw&amp;yy'!AB$3:AB$38,'[12]inland_taf_hatchgrp_tableraw&amp;yy'!$AC$3:$AC$38,'2019 Table 10 CWTs exp'!$A10)</f>
        <v>0.89700000000000002</v>
      </c>
      <c r="AE10" s="604" t="str">
        <f t="shared" si="1"/>
        <v>CNFH503</v>
      </c>
      <c r="AF10" s="603"/>
      <c r="AG10" s="622">
        <f t="shared" ref="AG10:AG17" si="4">Y10/AA10</f>
        <v>0.89739995795080241</v>
      </c>
      <c r="AH10" s="597"/>
      <c r="AI10" s="605">
        <f>1-AD10</f>
        <v>0.10299999999999998</v>
      </c>
      <c r="AJ10" s="447">
        <f>Z10</f>
        <v>1464</v>
      </c>
      <c r="AK10" s="650">
        <f t="shared" si="3"/>
        <v>0.10260004204919757</v>
      </c>
      <c r="AL10" s="451">
        <v>4</v>
      </c>
      <c r="AM10" s="442" t="s">
        <v>42</v>
      </c>
      <c r="AN10" s="442"/>
      <c r="AO10" s="442"/>
      <c r="AP10" s="442"/>
      <c r="AQ10" s="442"/>
      <c r="AR10" s="442"/>
      <c r="AS10" s="442"/>
      <c r="AT10" s="442"/>
      <c r="AU10" s="442"/>
      <c r="AV10" s="442"/>
      <c r="AW10" s="442"/>
      <c r="AX10" s="442"/>
      <c r="AY10" s="442"/>
      <c r="AZ10" s="442"/>
      <c r="BA10" s="442"/>
      <c r="BB10" s="442"/>
      <c r="BC10" s="442"/>
      <c r="BD10" s="442"/>
      <c r="BE10" s="442"/>
      <c r="BF10" s="442"/>
      <c r="BG10" s="442"/>
    </row>
    <row r="11" spans="1:60" ht="14.5" customHeight="1" x14ac:dyDescent="0.25">
      <c r="A11" s="50" t="str">
        <f t="shared" si="0"/>
        <v>FRFH503</v>
      </c>
      <c r="B11" s="13" t="s">
        <v>45</v>
      </c>
      <c r="C11" s="13">
        <v>50</v>
      </c>
      <c r="D11" s="13">
        <v>3</v>
      </c>
      <c r="E11" s="3" t="s">
        <v>46</v>
      </c>
      <c r="F11" s="43" t="str">
        <f t="shared" si="2"/>
        <v>Fall</v>
      </c>
      <c r="G11" s="38">
        <f>SUMIFS('[12]inland_taf_hatchgrp_tableraw&amp;yy'!G$3:G$38,'[12]inland_taf_hatchgrp_tableraw&amp;yy'!$AC$3:$AC$38,'2019 Table 10 CWTs exp'!$A11)</f>
        <v>0</v>
      </c>
      <c r="H11" s="39">
        <f>SUMIFS('[12]inland_taf_hatchgrp_tableraw&amp;yy'!H$3:H$38,'[12]inland_taf_hatchgrp_tableraw&amp;yy'!$AC$3:$AC$38,'2019 Table 10 CWTs exp'!$A11)</f>
        <v>1</v>
      </c>
      <c r="I11" s="38">
        <f>SUMIFS('[12]inland_taf_hatchgrp_tableraw&amp;yy'!I$3:I$38,'[12]inland_taf_hatchgrp_tableraw&amp;yy'!$AC$3:$AC$38,'2019 Table 10 CWTs exp'!$A11)</f>
        <v>32</v>
      </c>
      <c r="J11" s="40">
        <f>SUMIFS('[12]inland_taf_hatchgrp_tableraw&amp;yy'!J$3:J$38,'[12]inland_taf_hatchgrp_tableraw&amp;yy'!$AC$3:$AC$38,'2019 Table 10 CWTs exp'!$A11)</f>
        <v>0</v>
      </c>
      <c r="K11" s="38">
        <f>SUMIFS('[12]inland_taf_hatchgrp_tableraw&amp;yy'!K$3:K$38,'[12]inland_taf_hatchgrp_tableraw&amp;yy'!$AC$3:$AC$38,'2019 Table 10 CWTs exp'!$A11)</f>
        <v>2656</v>
      </c>
      <c r="L11" s="38">
        <f>SUMIFS('[12]inland_taf_hatchgrp_tableraw&amp;yy'!L$3:L$38,'[12]inland_taf_hatchgrp_tableraw&amp;yy'!$AC$3:$AC$38,'2019 Table 10 CWTs exp'!$A11)</f>
        <v>1293</v>
      </c>
      <c r="M11" s="38">
        <f>SUMIFS('[12]inland_taf_hatchgrp_tableraw&amp;yy'!M$3:M$38,'[12]inland_taf_hatchgrp_tableraw&amp;yy'!$AC$3:$AC$38,'2019 Table 10 CWTs exp'!$A11)</f>
        <v>8842</v>
      </c>
      <c r="N11" s="40">
        <f>SUMIFS('[12]inland_taf_hatchgrp_tableraw&amp;yy'!N$3:N$38,'[12]inland_taf_hatchgrp_tableraw&amp;yy'!$AC$3:$AC$38,'2019 Table 10 CWTs exp'!$A11)</f>
        <v>5453</v>
      </c>
      <c r="O11" s="38">
        <f>SUMIFS('[12]inland_taf_hatchgrp_tableraw&amp;yy'!O$3:O$38,'[12]inland_taf_hatchgrp_tableraw&amp;yy'!$AC$3:$AC$38,'2019 Table 10 CWTs exp'!$A11)</f>
        <v>0</v>
      </c>
      <c r="P11" s="40">
        <f>SUMIFS('[12]inland_taf_hatchgrp_tableraw&amp;yy'!P$3:P$38,'[12]inland_taf_hatchgrp_tableraw&amp;yy'!$AC$3:$AC$38,'2019 Table 10 CWTs exp'!$A11)</f>
        <v>20</v>
      </c>
      <c r="Q11" s="38">
        <f>SUMIFS('[12]inland_taf_hatchgrp_tableraw&amp;yy'!Q$3:Q$38,'[12]inland_taf_hatchgrp_tableraw&amp;yy'!$AC$3:$AC$38,'2019 Table 10 CWTs exp'!$A11)</f>
        <v>0</v>
      </c>
      <c r="R11" s="38">
        <f>SUMIFS('[12]inland_taf_hatchgrp_tableraw&amp;yy'!R$3:R$38,'[12]inland_taf_hatchgrp_tableraw&amp;yy'!$AC$3:$AC$38,'2019 Table 10 CWTs exp'!$A11)</f>
        <v>24</v>
      </c>
      <c r="S11" s="38">
        <f>SUMIFS('[12]inland_taf_hatchgrp_tableraw&amp;yy'!S$3:S$38,'[12]inland_taf_hatchgrp_tableraw&amp;yy'!$AC$3:$AC$38,'2019 Table 10 CWTs exp'!$A11)</f>
        <v>64</v>
      </c>
      <c r="T11" s="40">
        <f>SUMIFS('[12]inland_taf_hatchgrp_tableraw&amp;yy'!T$3:T$38,'[12]inland_taf_hatchgrp_tableraw&amp;yy'!$AC$3:$AC$38,'2019 Table 10 CWTs exp'!$A11)</f>
        <v>7</v>
      </c>
      <c r="U11" s="38">
        <f>SUMIFS('[12]inland_taf_hatchgrp_tableraw&amp;yy'!U$3:U$38,'[12]inland_taf_hatchgrp_tableraw&amp;yy'!$AC$3:$AC$38,'2019 Table 10 CWTs exp'!$A11)</f>
        <v>0</v>
      </c>
      <c r="V11" s="40">
        <f>SUMIFS('[12]inland_taf_hatchgrp_tableraw&amp;yy'!V$3:V$38,'[12]inland_taf_hatchgrp_tableraw&amp;yy'!$AC$3:$AC$38,'2019 Table 10 CWTs exp'!$A11)</f>
        <v>95</v>
      </c>
      <c r="W11" s="40">
        <f>SUMIFS('[12]inland_taf_hatchgrp_tableraw&amp;yy'!W$3:W$38,'[12]inland_taf_hatchgrp_tableraw&amp;yy'!$AC$3:$AC$38,'2019 Table 10 CWTs exp'!$A11)</f>
        <v>5</v>
      </c>
      <c r="X11" s="38">
        <f>SUMIFS('[12]inland_taf_hatchgrp_tableraw&amp;yy'!X$3:X$38,'[12]inland_taf_hatchgrp_tableraw&amp;yy'!$AC$3:$AC$38,'2019 Table 10 CWTs exp'!$A11)</f>
        <v>0</v>
      </c>
      <c r="Y11" s="41">
        <f>SUMIFS('[12]inland_taf_hatchgrp_tableraw&amp;yy'!Y$3:Y$38,'[12]inland_taf_hatchgrp_tableraw&amp;yy'!$AC$3:$AC$38,'2019 Table 10 CWTs exp'!$A11)</f>
        <v>18492</v>
      </c>
      <c r="Z11" s="42">
        <f>SUMIFS('[12]inland_taf_hatchgrp_tableraw&amp;yy'!Z$3:Z$38,'[12]inland_taf_hatchgrp_tableraw&amp;yy'!$AC$3:$AC$38,'2019 Table 10 CWTs exp'!$A11)</f>
        <v>8611</v>
      </c>
      <c r="AA11" s="38">
        <f>SUMIFS('[12]inland_taf_hatchgrp_tableraw&amp;yy'!AA$3:AA$38,'[12]inland_taf_hatchgrp_tableraw&amp;yy'!$AC$3:$AC$38,'2019 Table 10 CWTs exp'!$A11)</f>
        <v>27103</v>
      </c>
      <c r="AB11" s="634"/>
      <c r="AC11" s="634"/>
      <c r="AD11" s="603">
        <f>SUMIFS('[12]inland_taf_hatchgrp_tableraw&amp;yy'!AB$3:AB$38,'[12]inland_taf_hatchgrp_tableraw&amp;yy'!$AC$3:$AC$38,'2019 Table 10 CWTs exp'!$A11)</f>
        <v>0.68200000000000005</v>
      </c>
      <c r="AE11" s="604" t="str">
        <f t="shared" si="1"/>
        <v>FRFH503</v>
      </c>
      <c r="AF11" s="603"/>
      <c r="AG11" s="622">
        <f t="shared" si="4"/>
        <v>0.68228609379035532</v>
      </c>
      <c r="AH11" s="597"/>
      <c r="AI11" s="605">
        <f t="shared" ref="AI11:AI14" si="5">1-AD11</f>
        <v>0.31799999999999995</v>
      </c>
      <c r="AJ11" s="447">
        <f t="shared" ref="AJ11:AJ14" si="6">Z11</f>
        <v>8611</v>
      </c>
      <c r="AK11" s="650">
        <f t="shared" si="3"/>
        <v>0.31771390620964468</v>
      </c>
      <c r="AL11" s="451">
        <v>7</v>
      </c>
      <c r="AM11" s="442" t="s">
        <v>49</v>
      </c>
      <c r="AN11" s="442"/>
      <c r="AO11" s="442"/>
      <c r="AP11" s="442"/>
      <c r="AQ11" s="442"/>
      <c r="AR11" s="442"/>
      <c r="AS11" s="442"/>
      <c r="AT11" s="442"/>
      <c r="AU11" s="442"/>
      <c r="AV11" s="442"/>
      <c r="AW11" s="442"/>
      <c r="AX11" s="442"/>
      <c r="AY11" s="442"/>
      <c r="AZ11" s="442"/>
      <c r="BA11" s="442"/>
      <c r="BB11" s="442"/>
      <c r="BC11" s="442"/>
      <c r="BD11" s="442"/>
      <c r="BE11" s="442"/>
      <c r="BF11" s="442"/>
      <c r="BG11" s="442"/>
    </row>
    <row r="12" spans="1:60" ht="14.5" customHeight="1" x14ac:dyDescent="0.25">
      <c r="A12" s="50" t="str">
        <f t="shared" si="0"/>
        <v>NBFH503</v>
      </c>
      <c r="B12" s="13" t="s">
        <v>50</v>
      </c>
      <c r="C12" s="13">
        <v>50</v>
      </c>
      <c r="D12" s="13">
        <v>3</v>
      </c>
      <c r="E12" s="3" t="s">
        <v>51</v>
      </c>
      <c r="F12" s="43" t="str">
        <f t="shared" si="2"/>
        <v>Fall</v>
      </c>
      <c r="G12" s="38">
        <f>SUMIFS('[12]inland_taf_hatchgrp_tableraw&amp;yy'!G$3:G$38,'[12]inland_taf_hatchgrp_tableraw&amp;yy'!$AC$3:$AC$38,'2019 Table 10 CWTs exp'!$A12)</f>
        <v>0</v>
      </c>
      <c r="H12" s="39">
        <f>SUMIFS('[12]inland_taf_hatchgrp_tableraw&amp;yy'!H$3:H$38,'[12]inland_taf_hatchgrp_tableraw&amp;yy'!$AC$3:$AC$38,'2019 Table 10 CWTs exp'!$A12)</f>
        <v>0</v>
      </c>
      <c r="I12" s="38">
        <f>SUMIFS('[12]inland_taf_hatchgrp_tableraw&amp;yy'!I$3:I$38,'[12]inland_taf_hatchgrp_tableraw&amp;yy'!$AC$3:$AC$38,'2019 Table 10 CWTs exp'!$A12)</f>
        <v>0</v>
      </c>
      <c r="J12" s="40">
        <f>SUMIFS('[12]inland_taf_hatchgrp_tableraw&amp;yy'!J$3:J$38,'[12]inland_taf_hatchgrp_tableraw&amp;yy'!$AC$3:$AC$38,'2019 Table 10 CWTs exp'!$A12)</f>
        <v>0</v>
      </c>
      <c r="K12" s="38">
        <f>SUMIFS('[12]inland_taf_hatchgrp_tableraw&amp;yy'!K$3:K$38,'[12]inland_taf_hatchgrp_tableraw&amp;yy'!$AC$3:$AC$38,'2019 Table 10 CWTs exp'!$A12)</f>
        <v>0</v>
      </c>
      <c r="L12" s="38">
        <f>SUMIFS('[12]inland_taf_hatchgrp_tableraw&amp;yy'!L$3:L$38,'[12]inland_taf_hatchgrp_tableraw&amp;yy'!$AC$3:$AC$38,'2019 Table 10 CWTs exp'!$A12)</f>
        <v>1</v>
      </c>
      <c r="M12" s="38">
        <f>SUMIFS('[12]inland_taf_hatchgrp_tableraw&amp;yy'!M$3:M$38,'[12]inland_taf_hatchgrp_tableraw&amp;yy'!$AC$3:$AC$38,'2019 Table 10 CWTs exp'!$A12)</f>
        <v>390</v>
      </c>
      <c r="N12" s="40">
        <f>SUMIFS('[12]inland_taf_hatchgrp_tableraw&amp;yy'!N$3:N$38,'[12]inland_taf_hatchgrp_tableraw&amp;yy'!$AC$3:$AC$38,'2019 Table 10 CWTs exp'!$A12)</f>
        <v>366</v>
      </c>
      <c r="O12" s="38">
        <f>SUMIFS('[12]inland_taf_hatchgrp_tableraw&amp;yy'!O$3:O$38,'[12]inland_taf_hatchgrp_tableraw&amp;yy'!$AC$3:$AC$38,'2019 Table 10 CWTs exp'!$A12)</f>
        <v>2845</v>
      </c>
      <c r="P12" s="40">
        <f>SUMIFS('[12]inland_taf_hatchgrp_tableraw&amp;yy'!P$3:P$38,'[12]inland_taf_hatchgrp_tableraw&amp;yy'!$AC$3:$AC$38,'2019 Table 10 CWTs exp'!$A12)</f>
        <v>3826</v>
      </c>
      <c r="Q12" s="38">
        <f>SUMIFS('[12]inland_taf_hatchgrp_tableraw&amp;yy'!Q$3:Q$38,'[12]inland_taf_hatchgrp_tableraw&amp;yy'!$AC$3:$AC$38,'2019 Table 10 CWTs exp'!$A12)</f>
        <v>17</v>
      </c>
      <c r="R12" s="38">
        <f>SUMIFS('[12]inland_taf_hatchgrp_tableraw&amp;yy'!R$3:R$38,'[12]inland_taf_hatchgrp_tableraw&amp;yy'!$AC$3:$AC$38,'2019 Table 10 CWTs exp'!$A12)</f>
        <v>1806</v>
      </c>
      <c r="S12" s="38">
        <f>SUMIFS('[12]inland_taf_hatchgrp_tableraw&amp;yy'!S$3:S$38,'[12]inland_taf_hatchgrp_tableraw&amp;yy'!$AC$3:$AC$38,'2019 Table 10 CWTs exp'!$A12)</f>
        <v>192</v>
      </c>
      <c r="T12" s="40">
        <f>SUMIFS('[12]inland_taf_hatchgrp_tableraw&amp;yy'!T$3:T$38,'[12]inland_taf_hatchgrp_tableraw&amp;yy'!$AC$3:$AC$38,'2019 Table 10 CWTs exp'!$A12)</f>
        <v>294</v>
      </c>
      <c r="U12" s="38">
        <f>SUMIFS('[12]inland_taf_hatchgrp_tableraw&amp;yy'!U$3:U$38,'[12]inland_taf_hatchgrp_tableraw&amp;yy'!$AC$3:$AC$38,'2019 Table 10 CWTs exp'!$A12)</f>
        <v>0</v>
      </c>
      <c r="V12" s="40">
        <f>SUMIFS('[12]inland_taf_hatchgrp_tableraw&amp;yy'!V$3:V$38,'[12]inland_taf_hatchgrp_tableraw&amp;yy'!$AC$3:$AC$38,'2019 Table 10 CWTs exp'!$A12)</f>
        <v>86</v>
      </c>
      <c r="W12" s="40">
        <f>SUMIFS('[12]inland_taf_hatchgrp_tableraw&amp;yy'!W$3:W$38,'[12]inland_taf_hatchgrp_tableraw&amp;yy'!$AC$3:$AC$38,'2019 Table 10 CWTs exp'!$A12)</f>
        <v>0</v>
      </c>
      <c r="X12" s="38">
        <f>SUMIFS('[12]inland_taf_hatchgrp_tableraw&amp;yy'!X$3:X$38,'[12]inland_taf_hatchgrp_tableraw&amp;yy'!$AC$3:$AC$38,'2019 Table 10 CWTs exp'!$A12)</f>
        <v>0</v>
      </c>
      <c r="Y12" s="41">
        <f>SUMIFS('[12]inland_taf_hatchgrp_tableraw&amp;yy'!Y$3:Y$38,'[12]inland_taf_hatchgrp_tableraw&amp;yy'!$AC$3:$AC$38,'2019 Table 10 CWTs exp'!$A12)</f>
        <v>9823</v>
      </c>
      <c r="Z12" s="42">
        <f>SUMIFS('[12]inland_taf_hatchgrp_tableraw&amp;yy'!Z$3:Z$38,'[12]inland_taf_hatchgrp_tableraw&amp;yy'!$AC$3:$AC$38,'2019 Table 10 CWTs exp'!$A12)</f>
        <v>1473</v>
      </c>
      <c r="AA12" s="38">
        <f>SUMIFS('[12]inland_taf_hatchgrp_tableraw&amp;yy'!AA$3:AA$38,'[12]inland_taf_hatchgrp_tableraw&amp;yy'!$AC$3:$AC$38,'2019 Table 10 CWTs exp'!$A12)</f>
        <v>11296</v>
      </c>
      <c r="AB12" s="634"/>
      <c r="AC12" s="634"/>
      <c r="AD12" s="603">
        <f>SUMIFS('[12]inland_taf_hatchgrp_tableraw&amp;yy'!AB$3:AB$38,'[12]inland_taf_hatchgrp_tableraw&amp;yy'!$AC$3:$AC$38,'2019 Table 10 CWTs exp'!$A12)</f>
        <v>0.87</v>
      </c>
      <c r="AE12" s="604" t="str">
        <f t="shared" si="1"/>
        <v>NBFH503</v>
      </c>
      <c r="AF12" s="603"/>
      <c r="AG12" s="622">
        <f t="shared" si="4"/>
        <v>0.86959985835694054</v>
      </c>
      <c r="AH12" s="597"/>
      <c r="AI12" s="605">
        <f t="shared" si="5"/>
        <v>0.13</v>
      </c>
      <c r="AJ12" s="447">
        <f t="shared" si="6"/>
        <v>1473</v>
      </c>
      <c r="AK12" s="650">
        <f t="shared" si="3"/>
        <v>0.13040014164305949</v>
      </c>
      <c r="AL12" s="451"/>
      <c r="AM12" s="442"/>
      <c r="AN12" s="442"/>
      <c r="AO12" s="442"/>
      <c r="AP12" s="442"/>
      <c r="AQ12" s="442"/>
      <c r="AR12" s="442"/>
      <c r="AS12" s="442"/>
      <c r="AT12" s="442"/>
      <c r="AU12" s="442"/>
      <c r="AV12" s="442"/>
      <c r="AW12" s="442"/>
      <c r="AX12" s="442"/>
      <c r="AY12" s="442"/>
      <c r="AZ12" s="442"/>
      <c r="BA12" s="442"/>
      <c r="BB12" s="442"/>
      <c r="BC12" s="442"/>
      <c r="BD12" s="442"/>
      <c r="BE12" s="442"/>
      <c r="BF12" s="442"/>
      <c r="BG12" s="442"/>
    </row>
    <row r="13" spans="1:60" ht="14.5" customHeight="1" x14ac:dyDescent="0.25">
      <c r="A13" s="50" t="str">
        <f t="shared" si="0"/>
        <v>MRFI503</v>
      </c>
      <c r="B13" s="13" t="s">
        <v>52</v>
      </c>
      <c r="C13" s="13">
        <v>50</v>
      </c>
      <c r="D13" s="13">
        <v>3</v>
      </c>
      <c r="E13" s="3" t="s">
        <v>53</v>
      </c>
      <c r="F13" s="43" t="str">
        <f t="shared" si="2"/>
        <v>Fall</v>
      </c>
      <c r="G13" s="38">
        <f>SUMIFS('[12]inland_taf_hatchgrp_tableraw&amp;yy'!G$3:G$38,'[12]inland_taf_hatchgrp_tableraw&amp;yy'!$AC$3:$AC$38,'2019 Table 10 CWTs exp'!$A13)</f>
        <v>0</v>
      </c>
      <c r="H13" s="39">
        <f>SUMIFS('[12]inland_taf_hatchgrp_tableraw&amp;yy'!H$3:H$38,'[12]inland_taf_hatchgrp_tableraw&amp;yy'!$AC$3:$AC$38,'2019 Table 10 CWTs exp'!$A13)</f>
        <v>1</v>
      </c>
      <c r="I13" s="38">
        <f>SUMIFS('[12]inland_taf_hatchgrp_tableraw&amp;yy'!I$3:I$38,'[12]inland_taf_hatchgrp_tableraw&amp;yy'!$AC$3:$AC$38,'2019 Table 10 CWTs exp'!$A13)</f>
        <v>0</v>
      </c>
      <c r="J13" s="40">
        <f>SUMIFS('[12]inland_taf_hatchgrp_tableraw&amp;yy'!J$3:J$38,'[12]inland_taf_hatchgrp_tableraw&amp;yy'!$AC$3:$AC$38,'2019 Table 10 CWTs exp'!$A13)</f>
        <v>0</v>
      </c>
      <c r="K13" s="38">
        <f>SUMIFS('[12]inland_taf_hatchgrp_tableraw&amp;yy'!K$3:K$38,'[12]inland_taf_hatchgrp_tableraw&amp;yy'!$AC$3:$AC$38,'2019 Table 10 CWTs exp'!$A13)</f>
        <v>0</v>
      </c>
      <c r="L13" s="38">
        <f>SUMIFS('[12]inland_taf_hatchgrp_tableraw&amp;yy'!L$3:L$38,'[12]inland_taf_hatchgrp_tableraw&amp;yy'!$AC$3:$AC$38,'2019 Table 10 CWTs exp'!$A13)</f>
        <v>1</v>
      </c>
      <c r="M13" s="38">
        <f>SUMIFS('[12]inland_taf_hatchgrp_tableraw&amp;yy'!M$3:M$38,'[12]inland_taf_hatchgrp_tableraw&amp;yy'!$AC$3:$AC$38,'2019 Table 10 CWTs exp'!$A13)</f>
        <v>157</v>
      </c>
      <c r="N13" s="40">
        <f>SUMIFS('[12]inland_taf_hatchgrp_tableraw&amp;yy'!N$3:N$38,'[12]inland_taf_hatchgrp_tableraw&amp;yy'!$AC$3:$AC$38,'2019 Table 10 CWTs exp'!$A13)</f>
        <v>125</v>
      </c>
      <c r="O13" s="38">
        <f>SUMIFS('[12]inland_taf_hatchgrp_tableraw&amp;yy'!O$3:O$38,'[12]inland_taf_hatchgrp_tableraw&amp;yy'!$AC$3:$AC$38,'2019 Table 10 CWTs exp'!$A13)</f>
        <v>0</v>
      </c>
      <c r="P13" s="40">
        <f>SUMIFS('[12]inland_taf_hatchgrp_tableraw&amp;yy'!P$3:P$38,'[12]inland_taf_hatchgrp_tableraw&amp;yy'!$AC$3:$AC$38,'2019 Table 10 CWTs exp'!$A13)</f>
        <v>253</v>
      </c>
      <c r="Q13" s="38">
        <f>SUMIFS('[12]inland_taf_hatchgrp_tableraw&amp;yy'!Q$3:Q$38,'[12]inland_taf_hatchgrp_tableraw&amp;yy'!$AC$3:$AC$38,'2019 Table 10 CWTs exp'!$A13)</f>
        <v>110</v>
      </c>
      <c r="R13" s="38">
        <f>SUMIFS('[12]inland_taf_hatchgrp_tableraw&amp;yy'!R$3:R$38,'[12]inland_taf_hatchgrp_tableraw&amp;yy'!$AC$3:$AC$38,'2019 Table 10 CWTs exp'!$A13)</f>
        <v>6220</v>
      </c>
      <c r="S13" s="38">
        <f>SUMIFS('[12]inland_taf_hatchgrp_tableraw&amp;yy'!S$3:S$38,'[12]inland_taf_hatchgrp_tableraw&amp;yy'!$AC$3:$AC$38,'2019 Table 10 CWTs exp'!$A13)</f>
        <v>281</v>
      </c>
      <c r="T13" s="40">
        <f>SUMIFS('[12]inland_taf_hatchgrp_tableraw&amp;yy'!T$3:T$38,'[12]inland_taf_hatchgrp_tableraw&amp;yy'!$AC$3:$AC$38,'2019 Table 10 CWTs exp'!$A13)</f>
        <v>218</v>
      </c>
      <c r="U13" s="38">
        <f>SUMIFS('[12]inland_taf_hatchgrp_tableraw&amp;yy'!U$3:U$38,'[12]inland_taf_hatchgrp_tableraw&amp;yy'!$AC$3:$AC$38,'2019 Table 10 CWTs exp'!$A13)</f>
        <v>6</v>
      </c>
      <c r="V13" s="40">
        <f>SUMIFS('[12]inland_taf_hatchgrp_tableraw&amp;yy'!V$3:V$38,'[12]inland_taf_hatchgrp_tableraw&amp;yy'!$AC$3:$AC$38,'2019 Table 10 CWTs exp'!$A13)</f>
        <v>227</v>
      </c>
      <c r="W13" s="40">
        <f>SUMIFS('[12]inland_taf_hatchgrp_tableraw&amp;yy'!W$3:W$38,'[12]inland_taf_hatchgrp_tableraw&amp;yy'!$AC$3:$AC$38,'2019 Table 10 CWTs exp'!$A13)</f>
        <v>0</v>
      </c>
      <c r="X13" s="38">
        <f>SUMIFS('[12]inland_taf_hatchgrp_tableraw&amp;yy'!X$3:X$38,'[12]inland_taf_hatchgrp_tableraw&amp;yy'!$AC$3:$AC$38,'2019 Table 10 CWTs exp'!$A13)</f>
        <v>0</v>
      </c>
      <c r="Y13" s="41">
        <f>SUMIFS('[12]inland_taf_hatchgrp_tableraw&amp;yy'!Y$3:Y$38,'[12]inland_taf_hatchgrp_tableraw&amp;yy'!$AC$3:$AC$38,'2019 Table 10 CWTs exp'!$A13)</f>
        <v>7599</v>
      </c>
      <c r="Z13" s="42">
        <f>SUMIFS('[12]inland_taf_hatchgrp_tableraw&amp;yy'!Z$3:Z$38,'[12]inland_taf_hatchgrp_tableraw&amp;yy'!$AC$3:$AC$38,'2019 Table 10 CWTs exp'!$A13)</f>
        <v>904</v>
      </c>
      <c r="AA13" s="38">
        <f>SUMIFS('[12]inland_taf_hatchgrp_tableraw&amp;yy'!AA$3:AA$38,'[12]inland_taf_hatchgrp_tableraw&amp;yy'!$AC$3:$AC$38,'2019 Table 10 CWTs exp'!$A13)</f>
        <v>8503</v>
      </c>
      <c r="AB13" s="634"/>
      <c r="AC13" s="634"/>
      <c r="AD13" s="603">
        <f>SUMIFS('[12]inland_taf_hatchgrp_tableraw&amp;yy'!AB$3:AB$38,'[12]inland_taf_hatchgrp_tableraw&amp;yy'!$AC$3:$AC$38,'2019 Table 10 CWTs exp'!$A13)</f>
        <v>0.89400000000000002</v>
      </c>
      <c r="AE13" s="604" t="str">
        <f t="shared" si="1"/>
        <v>MRFI503</v>
      </c>
      <c r="AF13" s="603"/>
      <c r="AG13" s="622">
        <f t="shared" si="4"/>
        <v>0.8936845819122663</v>
      </c>
      <c r="AH13" s="597"/>
      <c r="AI13" s="605">
        <f t="shared" si="5"/>
        <v>0.10599999999999998</v>
      </c>
      <c r="AJ13" s="447">
        <f t="shared" si="6"/>
        <v>904</v>
      </c>
      <c r="AK13" s="650">
        <f t="shared" si="3"/>
        <v>0.10631541808773375</v>
      </c>
      <c r="AL13" s="451"/>
      <c r="AM13" s="442"/>
      <c r="AN13" s="442"/>
      <c r="AO13" s="442"/>
      <c r="AP13" s="442"/>
      <c r="AQ13" s="442"/>
      <c r="AR13" s="442"/>
      <c r="AS13" s="442"/>
      <c r="AT13" s="442"/>
      <c r="AU13" s="442"/>
      <c r="AV13" s="442"/>
      <c r="AW13" s="442"/>
      <c r="AX13" s="442"/>
      <c r="AY13" s="442"/>
      <c r="AZ13" s="442"/>
      <c r="BA13" s="442"/>
      <c r="BB13" s="442"/>
      <c r="BC13" s="442"/>
      <c r="BD13" s="442"/>
      <c r="BE13" s="442"/>
      <c r="BF13" s="442"/>
      <c r="BG13" s="442"/>
    </row>
    <row r="14" spans="1:60" ht="14.5" customHeight="1" x14ac:dyDescent="0.25">
      <c r="A14" s="50" t="str">
        <f t="shared" si="0"/>
        <v>MRFF503</v>
      </c>
      <c r="B14" s="13" t="s">
        <v>54</v>
      </c>
      <c r="C14" s="13">
        <v>50</v>
      </c>
      <c r="D14" s="13">
        <v>3</v>
      </c>
      <c r="E14" s="3" t="s">
        <v>55</v>
      </c>
      <c r="F14" s="43" t="str">
        <f t="shared" si="2"/>
        <v>Fall</v>
      </c>
      <c r="G14" s="38">
        <f>SUMIFS('[12]inland_taf_hatchgrp_tableraw&amp;yy'!G$3:G$38,'[12]inland_taf_hatchgrp_tableraw&amp;yy'!$AC$3:$AC$38,'2019 Table 10 CWTs exp'!$A14)</f>
        <v>0</v>
      </c>
      <c r="H14" s="39">
        <f>SUMIFS('[12]inland_taf_hatchgrp_tableraw&amp;yy'!H$3:H$38,'[12]inland_taf_hatchgrp_tableraw&amp;yy'!$AC$3:$AC$38,'2019 Table 10 CWTs exp'!$A14)</f>
        <v>0</v>
      </c>
      <c r="I14" s="38">
        <f>SUMIFS('[12]inland_taf_hatchgrp_tableraw&amp;yy'!I$3:I$38,'[12]inland_taf_hatchgrp_tableraw&amp;yy'!$AC$3:$AC$38,'2019 Table 10 CWTs exp'!$A14)</f>
        <v>0</v>
      </c>
      <c r="J14" s="40">
        <f>SUMIFS('[12]inland_taf_hatchgrp_tableraw&amp;yy'!J$3:J$38,'[12]inland_taf_hatchgrp_tableraw&amp;yy'!$AC$3:$AC$38,'2019 Table 10 CWTs exp'!$A14)</f>
        <v>0</v>
      </c>
      <c r="K14" s="38">
        <f>SUMIFS('[12]inland_taf_hatchgrp_tableraw&amp;yy'!K$3:K$38,'[12]inland_taf_hatchgrp_tableraw&amp;yy'!$AC$3:$AC$38,'2019 Table 10 CWTs exp'!$A14)</f>
        <v>0</v>
      </c>
      <c r="L14" s="38">
        <f>SUMIFS('[12]inland_taf_hatchgrp_tableraw&amp;yy'!L$3:L$38,'[12]inland_taf_hatchgrp_tableraw&amp;yy'!$AC$3:$AC$38,'2019 Table 10 CWTs exp'!$A14)</f>
        <v>0</v>
      </c>
      <c r="M14" s="38">
        <f>SUMIFS('[12]inland_taf_hatchgrp_tableraw&amp;yy'!M$3:M$38,'[12]inland_taf_hatchgrp_tableraw&amp;yy'!$AC$3:$AC$38,'2019 Table 10 CWTs exp'!$A14)</f>
        <v>8</v>
      </c>
      <c r="N14" s="40">
        <f>SUMIFS('[12]inland_taf_hatchgrp_tableraw&amp;yy'!N$3:N$38,'[12]inland_taf_hatchgrp_tableraw&amp;yy'!$AC$3:$AC$38,'2019 Table 10 CWTs exp'!$A14)</f>
        <v>29</v>
      </c>
      <c r="O14" s="38">
        <f>SUMIFS('[12]inland_taf_hatchgrp_tableraw&amp;yy'!O$3:O$38,'[12]inland_taf_hatchgrp_tableraw&amp;yy'!$AC$3:$AC$38,'2019 Table 10 CWTs exp'!$A14)</f>
        <v>0</v>
      </c>
      <c r="P14" s="40">
        <f>SUMIFS('[12]inland_taf_hatchgrp_tableraw&amp;yy'!P$3:P$38,'[12]inland_taf_hatchgrp_tableraw&amp;yy'!$AC$3:$AC$38,'2019 Table 10 CWTs exp'!$A14)</f>
        <v>8</v>
      </c>
      <c r="Q14" s="38">
        <f>SUMIFS('[12]inland_taf_hatchgrp_tableraw&amp;yy'!Q$3:Q$38,'[12]inland_taf_hatchgrp_tableraw&amp;yy'!$AC$3:$AC$38,'2019 Table 10 CWTs exp'!$A14)</f>
        <v>0</v>
      </c>
      <c r="R14" s="38">
        <f>SUMIFS('[12]inland_taf_hatchgrp_tableraw&amp;yy'!R$3:R$38,'[12]inland_taf_hatchgrp_tableraw&amp;yy'!$AC$3:$AC$38,'2019 Table 10 CWTs exp'!$A14)</f>
        <v>84</v>
      </c>
      <c r="S14" s="38">
        <f>SUMIFS('[12]inland_taf_hatchgrp_tableraw&amp;yy'!S$3:S$38,'[12]inland_taf_hatchgrp_tableraw&amp;yy'!$AC$3:$AC$38,'2019 Table 10 CWTs exp'!$A14)</f>
        <v>14</v>
      </c>
      <c r="T14" s="40">
        <f>SUMIFS('[12]inland_taf_hatchgrp_tableraw&amp;yy'!T$3:T$38,'[12]inland_taf_hatchgrp_tableraw&amp;yy'!$AC$3:$AC$38,'2019 Table 10 CWTs exp'!$A14)</f>
        <v>8</v>
      </c>
      <c r="U14" s="38">
        <f>SUMIFS('[12]inland_taf_hatchgrp_tableraw&amp;yy'!U$3:U$38,'[12]inland_taf_hatchgrp_tableraw&amp;yy'!$AC$3:$AC$38,'2019 Table 10 CWTs exp'!$A14)</f>
        <v>117</v>
      </c>
      <c r="V14" s="40">
        <f>SUMIFS('[12]inland_taf_hatchgrp_tableraw&amp;yy'!V$3:V$38,'[12]inland_taf_hatchgrp_tableraw&amp;yy'!$AC$3:$AC$38,'2019 Table 10 CWTs exp'!$A14)</f>
        <v>248</v>
      </c>
      <c r="W14" s="40">
        <f>SUMIFS('[12]inland_taf_hatchgrp_tableraw&amp;yy'!W$3:W$38,'[12]inland_taf_hatchgrp_tableraw&amp;yy'!$AC$3:$AC$38,'2019 Table 10 CWTs exp'!$A14)</f>
        <v>0</v>
      </c>
      <c r="X14" s="38">
        <f>SUMIFS('[12]inland_taf_hatchgrp_tableraw&amp;yy'!X$3:X$38,'[12]inland_taf_hatchgrp_tableraw&amp;yy'!$AC$3:$AC$38,'2019 Table 10 CWTs exp'!$A14)</f>
        <v>0</v>
      </c>
      <c r="Y14" s="41">
        <f>SUMIFS('[12]inland_taf_hatchgrp_tableraw&amp;yy'!Y$3:Y$38,'[12]inland_taf_hatchgrp_tableraw&amp;yy'!$AC$3:$AC$38,'2019 Table 10 CWTs exp'!$A14)</f>
        <v>516</v>
      </c>
      <c r="Z14" s="42">
        <f>SUMIFS('[12]inland_taf_hatchgrp_tableraw&amp;yy'!Z$3:Z$38,'[12]inland_taf_hatchgrp_tableraw&amp;yy'!$AC$3:$AC$38,'2019 Table 10 CWTs exp'!$A14)</f>
        <v>451</v>
      </c>
      <c r="AA14" s="38">
        <f>SUMIFS('[12]inland_taf_hatchgrp_tableraw&amp;yy'!AA$3:AA$38,'[12]inland_taf_hatchgrp_tableraw&amp;yy'!$AC$3:$AC$38,'2019 Table 10 CWTs exp'!$A14)</f>
        <v>967</v>
      </c>
      <c r="AB14" s="651">
        <f>W14/AA14</f>
        <v>0</v>
      </c>
      <c r="AC14" s="651"/>
      <c r="AD14" s="603">
        <f>SUMIFS('[12]inland_taf_hatchgrp_tableraw&amp;yy'!AB$3:AB$38,'[12]inland_taf_hatchgrp_tableraw&amp;yy'!$AC$3:$AC$38,'2019 Table 10 CWTs exp'!$A14)</f>
        <v>0.53400000000000003</v>
      </c>
      <c r="AE14" s="604" t="str">
        <f t="shared" si="1"/>
        <v>MRFF503</v>
      </c>
      <c r="AF14" s="603"/>
      <c r="AG14" s="622">
        <f t="shared" si="4"/>
        <v>0.53360910031023789</v>
      </c>
      <c r="AH14" s="597"/>
      <c r="AI14" s="605">
        <f t="shared" si="5"/>
        <v>0.46599999999999997</v>
      </c>
      <c r="AJ14" s="447">
        <f t="shared" si="6"/>
        <v>451</v>
      </c>
      <c r="AK14" s="650">
        <f t="shared" si="3"/>
        <v>0.46639089968976216</v>
      </c>
      <c r="AL14" s="451"/>
      <c r="AM14" s="442"/>
      <c r="AN14" s="442"/>
      <c r="AO14" s="442"/>
      <c r="AP14" s="442"/>
      <c r="AQ14" s="442"/>
      <c r="AR14" s="442"/>
      <c r="AS14" s="442"/>
      <c r="AT14" s="442"/>
      <c r="AU14" s="442"/>
      <c r="AV14" s="442"/>
      <c r="AW14" s="442"/>
      <c r="AX14" s="442"/>
      <c r="AY14" s="442"/>
      <c r="AZ14" s="442"/>
      <c r="BA14" s="442"/>
      <c r="BB14" s="442"/>
      <c r="BC14" s="442"/>
      <c r="BD14" s="442"/>
      <c r="BE14" s="442"/>
      <c r="BF14" s="442"/>
      <c r="BG14" s="442"/>
    </row>
    <row r="15" spans="1:60" ht="14.5" customHeight="1" x14ac:dyDescent="0.25">
      <c r="A15" s="50" t="str">
        <f t="shared" si="0"/>
        <v>CNFH507</v>
      </c>
      <c r="B15" s="13" t="s">
        <v>40</v>
      </c>
      <c r="C15" s="13">
        <v>50</v>
      </c>
      <c r="D15" s="13">
        <v>7</v>
      </c>
      <c r="E15" s="3" t="s">
        <v>56</v>
      </c>
      <c r="F15" s="37" t="s">
        <v>57</v>
      </c>
      <c r="G15" s="38">
        <f>SUMIFS('[12]inland_taf_hatchgrp_tableraw&amp;yy'!G$3:G$38,'[12]inland_taf_hatchgrp_tableraw&amp;yy'!$AC$3:$AC$38,'2019 Table 10 CWTs exp'!$A15)</f>
        <v>0</v>
      </c>
      <c r="H15" s="39">
        <f>SUMIFS('[12]inland_taf_hatchgrp_tableraw&amp;yy'!H$3:H$38,'[12]inland_taf_hatchgrp_tableraw&amp;yy'!$AC$3:$AC$38,'2019 Table 10 CWTs exp'!$A15)</f>
        <v>3315</v>
      </c>
      <c r="I15" s="38">
        <f>SUMIFS('[12]inland_taf_hatchgrp_tableraw&amp;yy'!I$3:I$38,'[12]inland_taf_hatchgrp_tableraw&amp;yy'!$AC$3:$AC$38,'2019 Table 10 CWTs exp'!$A15)</f>
        <v>0</v>
      </c>
      <c r="J15" s="40">
        <f>SUMIFS('[12]inland_taf_hatchgrp_tableraw&amp;yy'!J$3:J$38,'[12]inland_taf_hatchgrp_tableraw&amp;yy'!$AC$3:$AC$38,'2019 Table 10 CWTs exp'!$A15)</f>
        <v>0</v>
      </c>
      <c r="K15" s="38">
        <f>SUMIFS('[12]inland_taf_hatchgrp_tableraw&amp;yy'!K$3:K$38,'[12]inland_taf_hatchgrp_tableraw&amp;yy'!$AC$3:$AC$38,'2019 Table 10 CWTs exp'!$A15)</f>
        <v>0</v>
      </c>
      <c r="L15" s="38">
        <f>SUMIFS('[12]inland_taf_hatchgrp_tableraw&amp;yy'!L$3:L$38,'[12]inland_taf_hatchgrp_tableraw&amp;yy'!$AC$3:$AC$38,'2019 Table 10 CWTs exp'!$A15)</f>
        <v>0</v>
      </c>
      <c r="M15" s="38">
        <f>SUMIFS('[12]inland_taf_hatchgrp_tableraw&amp;yy'!M$3:M$38,'[12]inland_taf_hatchgrp_tableraw&amp;yy'!$AC$3:$AC$38,'2019 Table 10 CWTs exp'!$A15)</f>
        <v>0</v>
      </c>
      <c r="N15" s="40">
        <f>SUMIFS('[12]inland_taf_hatchgrp_tableraw&amp;yy'!N$3:N$38,'[12]inland_taf_hatchgrp_tableraw&amp;yy'!$AC$3:$AC$38,'2019 Table 10 CWTs exp'!$A15)</f>
        <v>0</v>
      </c>
      <c r="O15" s="38">
        <f>SUMIFS('[12]inland_taf_hatchgrp_tableraw&amp;yy'!O$3:O$38,'[12]inland_taf_hatchgrp_tableraw&amp;yy'!$AC$3:$AC$38,'2019 Table 10 CWTs exp'!$A15)</f>
        <v>0</v>
      </c>
      <c r="P15" s="40">
        <f>SUMIFS('[12]inland_taf_hatchgrp_tableraw&amp;yy'!P$3:P$38,'[12]inland_taf_hatchgrp_tableraw&amp;yy'!$AC$3:$AC$38,'2019 Table 10 CWTs exp'!$A15)</f>
        <v>0</v>
      </c>
      <c r="Q15" s="38">
        <f>SUMIFS('[12]inland_taf_hatchgrp_tableraw&amp;yy'!Q$3:Q$38,'[12]inland_taf_hatchgrp_tableraw&amp;yy'!$AC$3:$AC$38,'2019 Table 10 CWTs exp'!$A15)</f>
        <v>0</v>
      </c>
      <c r="R15" s="38">
        <f>SUMIFS('[12]inland_taf_hatchgrp_tableraw&amp;yy'!R$3:R$38,'[12]inland_taf_hatchgrp_tableraw&amp;yy'!$AC$3:$AC$38,'2019 Table 10 CWTs exp'!$A15)</f>
        <v>0</v>
      </c>
      <c r="S15" s="38">
        <f>SUMIFS('[12]inland_taf_hatchgrp_tableraw&amp;yy'!S$3:S$38,'[12]inland_taf_hatchgrp_tableraw&amp;yy'!$AC$3:$AC$38,'2019 Table 10 CWTs exp'!$A15)</f>
        <v>0</v>
      </c>
      <c r="T15" s="40">
        <f>SUMIFS('[12]inland_taf_hatchgrp_tableraw&amp;yy'!T$3:T$38,'[12]inland_taf_hatchgrp_tableraw&amp;yy'!$AC$3:$AC$38,'2019 Table 10 CWTs exp'!$A15)</f>
        <v>0</v>
      </c>
      <c r="U15" s="38">
        <f>SUMIFS('[12]inland_taf_hatchgrp_tableraw&amp;yy'!U$3:U$38,'[12]inland_taf_hatchgrp_tableraw&amp;yy'!$AC$3:$AC$38,'2019 Table 10 CWTs exp'!$A15)</f>
        <v>0</v>
      </c>
      <c r="V15" s="40">
        <f>SUMIFS('[12]inland_taf_hatchgrp_tableraw&amp;yy'!V$3:V$38,'[12]inland_taf_hatchgrp_tableraw&amp;yy'!$AC$3:$AC$38,'2019 Table 10 CWTs exp'!$A15)</f>
        <v>0</v>
      </c>
      <c r="W15" s="40">
        <f>SUMIFS('[12]inland_taf_hatchgrp_tableraw&amp;yy'!W$3:W$38,'[12]inland_taf_hatchgrp_tableraw&amp;yy'!$AC$3:$AC$38,'2019 Table 10 CWTs exp'!$A15)</f>
        <v>0</v>
      </c>
      <c r="X15" s="38">
        <f>SUMIFS('[12]inland_taf_hatchgrp_tableraw&amp;yy'!X$3:X$38,'[12]inland_taf_hatchgrp_tableraw&amp;yy'!$AC$3:$AC$38,'2019 Table 10 CWTs exp'!$A15)</f>
        <v>0</v>
      </c>
      <c r="Y15" s="41">
        <f>SUMIFS('[12]inland_taf_hatchgrp_tableraw&amp;yy'!Y$3:Y$38,'[12]inland_taf_hatchgrp_tableraw&amp;yy'!$AC$3:$AC$38,'2019 Table 10 CWTs exp'!$A15)</f>
        <v>3315</v>
      </c>
      <c r="Z15" s="42">
        <f>SUMIFS('[12]inland_taf_hatchgrp_tableraw&amp;yy'!Z$3:Z$38,'[12]inland_taf_hatchgrp_tableraw&amp;yy'!$AC$3:$AC$38,'2019 Table 10 CWTs exp'!$A15)</f>
        <v>76</v>
      </c>
      <c r="AA15" s="38">
        <f>SUMIFS('[12]inland_taf_hatchgrp_tableraw&amp;yy'!AA$3:AA$38,'[12]inland_taf_hatchgrp_tableraw&amp;yy'!$AC$3:$AC$38,'2019 Table 10 CWTs exp'!$A15)</f>
        <v>3391</v>
      </c>
      <c r="AB15" s="634"/>
      <c r="AC15" s="634"/>
      <c r="AD15" s="603">
        <f>SUMIFS('[12]inland_taf_hatchgrp_tableraw&amp;yy'!AB$3:AB$38,'[12]inland_taf_hatchgrp_tableraw&amp;yy'!$AC$3:$AC$38,'2019 Table 10 CWTs exp'!$A15)</f>
        <v>0.97799999999999998</v>
      </c>
      <c r="AE15" s="604" t="str">
        <f t="shared" si="1"/>
        <v>CNFH507</v>
      </c>
      <c r="AF15" s="603"/>
      <c r="AG15" s="622">
        <f t="shared" si="4"/>
        <v>0.97758773223237982</v>
      </c>
      <c r="AH15" s="600" t="s">
        <v>58</v>
      </c>
      <c r="AI15" s="592">
        <f>AVERAGE(AI9:AI14)</f>
        <v>0.35383333333333322</v>
      </c>
      <c r="AJ15" s="447">
        <f>SUM(AJ9:AJ14)</f>
        <v>12903</v>
      </c>
      <c r="AK15" s="640" t="e">
        <f>AVERAGE(AK9:AK14)</f>
        <v>#DIV/0!</v>
      </c>
      <c r="AL15" s="451"/>
      <c r="AM15" s="442"/>
      <c r="AN15" s="442"/>
      <c r="AO15" s="442"/>
      <c r="AP15" s="442"/>
      <c r="AQ15" s="442"/>
      <c r="AR15" s="442"/>
      <c r="AS15" s="442"/>
      <c r="AT15" s="442"/>
      <c r="AU15" s="442"/>
      <c r="AV15" s="442"/>
      <c r="AW15" s="442"/>
      <c r="AX15" s="442"/>
      <c r="AY15" s="442"/>
      <c r="AZ15" s="442"/>
      <c r="BA15" s="442"/>
      <c r="BB15" s="442"/>
      <c r="BC15" s="442"/>
      <c r="BD15" s="442"/>
      <c r="BE15" s="442"/>
      <c r="BF15" s="442"/>
      <c r="BG15" s="442"/>
    </row>
    <row r="16" spans="1:60" ht="13.5" x14ac:dyDescent="0.25">
      <c r="A16" s="50" t="str">
        <f t="shared" si="0"/>
        <v>CNFW527</v>
      </c>
      <c r="B16" s="13" t="s">
        <v>59</v>
      </c>
      <c r="C16" s="13">
        <v>52</v>
      </c>
      <c r="D16" s="13">
        <v>7</v>
      </c>
      <c r="E16" s="3" t="s">
        <v>60</v>
      </c>
      <c r="F16" s="37" t="s">
        <v>57</v>
      </c>
      <c r="G16" s="38">
        <f>SUMIFS('[12]inland_taf_hatchgrp_tableraw&amp;yy'!G$3:G$38,'[12]inland_taf_hatchgrp_tableraw&amp;yy'!$AC$3:$AC$38,'2019 Table 10 CWTs exp'!$A16)</f>
        <v>4</v>
      </c>
      <c r="H16" s="39">
        <f>SUMIFS('[12]inland_taf_hatchgrp_tableraw&amp;yy'!H$3:H$38,'[12]inland_taf_hatchgrp_tableraw&amp;yy'!$AC$3:$AC$38,'2019 Table 10 CWTs exp'!$A16)</f>
        <v>356</v>
      </c>
      <c r="I16" s="38">
        <f>SUMIFS('[12]inland_taf_hatchgrp_tableraw&amp;yy'!I$3:I$38,'[12]inland_taf_hatchgrp_tableraw&amp;yy'!$AC$3:$AC$38,'2019 Table 10 CWTs exp'!$A16)</f>
        <v>0</v>
      </c>
      <c r="J16" s="40">
        <f>SUMIFS('[12]inland_taf_hatchgrp_tableraw&amp;yy'!J$3:J$38,'[12]inland_taf_hatchgrp_tableraw&amp;yy'!$AC$3:$AC$38,'2019 Table 10 CWTs exp'!$A16)</f>
        <v>0</v>
      </c>
      <c r="K16" s="38">
        <f>SUMIFS('[12]inland_taf_hatchgrp_tableraw&amp;yy'!K$3:K$38,'[12]inland_taf_hatchgrp_tableraw&amp;yy'!$AC$3:$AC$38,'2019 Table 10 CWTs exp'!$A16)</f>
        <v>0</v>
      </c>
      <c r="L16" s="38">
        <f>SUMIFS('[12]inland_taf_hatchgrp_tableraw&amp;yy'!L$3:L$38,'[12]inland_taf_hatchgrp_tableraw&amp;yy'!$AC$3:$AC$38,'2019 Table 10 CWTs exp'!$A16)</f>
        <v>0</v>
      </c>
      <c r="M16" s="38">
        <f>SUMIFS('[12]inland_taf_hatchgrp_tableraw&amp;yy'!M$3:M$38,'[12]inland_taf_hatchgrp_tableraw&amp;yy'!$AC$3:$AC$38,'2019 Table 10 CWTs exp'!$A16)</f>
        <v>0</v>
      </c>
      <c r="N16" s="40">
        <f>SUMIFS('[12]inland_taf_hatchgrp_tableraw&amp;yy'!N$3:N$38,'[12]inland_taf_hatchgrp_tableraw&amp;yy'!$AC$3:$AC$38,'2019 Table 10 CWTs exp'!$A16)</f>
        <v>0</v>
      </c>
      <c r="O16" s="38">
        <f>SUMIFS('[12]inland_taf_hatchgrp_tableraw&amp;yy'!O$3:O$38,'[12]inland_taf_hatchgrp_tableraw&amp;yy'!$AC$3:$AC$38,'2019 Table 10 CWTs exp'!$A16)</f>
        <v>0</v>
      </c>
      <c r="P16" s="40">
        <f>SUMIFS('[12]inland_taf_hatchgrp_tableraw&amp;yy'!P$3:P$38,'[12]inland_taf_hatchgrp_tableraw&amp;yy'!$AC$3:$AC$38,'2019 Table 10 CWTs exp'!$A16)</f>
        <v>0</v>
      </c>
      <c r="Q16" s="38">
        <f>SUMIFS('[12]inland_taf_hatchgrp_tableraw&amp;yy'!Q$3:Q$38,'[12]inland_taf_hatchgrp_tableraw&amp;yy'!$AC$3:$AC$38,'2019 Table 10 CWTs exp'!$A16)</f>
        <v>0</v>
      </c>
      <c r="R16" s="38">
        <f>SUMIFS('[12]inland_taf_hatchgrp_tableraw&amp;yy'!R$3:R$38,'[12]inland_taf_hatchgrp_tableraw&amp;yy'!$AC$3:$AC$38,'2019 Table 10 CWTs exp'!$A16)</f>
        <v>0</v>
      </c>
      <c r="S16" s="38">
        <f>SUMIFS('[12]inland_taf_hatchgrp_tableraw&amp;yy'!S$3:S$38,'[12]inland_taf_hatchgrp_tableraw&amp;yy'!$AC$3:$AC$38,'2019 Table 10 CWTs exp'!$A16)</f>
        <v>0</v>
      </c>
      <c r="T16" s="40">
        <f>SUMIFS('[12]inland_taf_hatchgrp_tableraw&amp;yy'!T$3:T$38,'[12]inland_taf_hatchgrp_tableraw&amp;yy'!$AC$3:$AC$38,'2019 Table 10 CWTs exp'!$A16)</f>
        <v>0</v>
      </c>
      <c r="U16" s="38">
        <f>SUMIFS('[12]inland_taf_hatchgrp_tableraw&amp;yy'!U$3:U$38,'[12]inland_taf_hatchgrp_tableraw&amp;yy'!$AC$3:$AC$38,'2019 Table 10 CWTs exp'!$A16)</f>
        <v>0</v>
      </c>
      <c r="V16" s="40">
        <f>SUMIFS('[12]inland_taf_hatchgrp_tableraw&amp;yy'!V$3:V$38,'[12]inland_taf_hatchgrp_tableraw&amp;yy'!$AC$3:$AC$38,'2019 Table 10 CWTs exp'!$A16)</f>
        <v>0</v>
      </c>
      <c r="W16" s="40">
        <f>SUMIFS('[12]inland_taf_hatchgrp_tableraw&amp;yy'!W$3:W$38,'[12]inland_taf_hatchgrp_tableraw&amp;yy'!$AC$3:$AC$38,'2019 Table 10 CWTs exp'!$A16)</f>
        <v>0</v>
      </c>
      <c r="X16" s="38">
        <f>SUMIFS('[12]inland_taf_hatchgrp_tableraw&amp;yy'!X$3:X$38,'[12]inland_taf_hatchgrp_tableraw&amp;yy'!$AC$3:$AC$38,'2019 Table 10 CWTs exp'!$A16)</f>
        <v>0</v>
      </c>
      <c r="Y16" s="41">
        <f>SUMIFS('[12]inland_taf_hatchgrp_tableraw&amp;yy'!Y$3:Y$38,'[12]inland_taf_hatchgrp_tableraw&amp;yy'!$AC$3:$AC$38,'2019 Table 10 CWTs exp'!$A16)</f>
        <v>360</v>
      </c>
      <c r="Z16" s="42">
        <f>SUMIFS('[12]inland_taf_hatchgrp_tableraw&amp;yy'!Z$3:Z$38,'[12]inland_taf_hatchgrp_tableraw&amp;yy'!$AC$3:$AC$38,'2019 Table 10 CWTs exp'!$A16)</f>
        <v>5</v>
      </c>
      <c r="AA16" s="38">
        <f>SUMIFS('[12]inland_taf_hatchgrp_tableraw&amp;yy'!AA$3:AA$38,'[12]inland_taf_hatchgrp_tableraw&amp;yy'!$AC$3:$AC$38,'2019 Table 10 CWTs exp'!$A16)</f>
        <v>365</v>
      </c>
      <c r="AB16" s="634"/>
      <c r="AC16" s="634"/>
      <c r="AD16" s="603">
        <f>SUMIFS('[12]inland_taf_hatchgrp_tableraw&amp;yy'!AB$3:AB$38,'[12]inland_taf_hatchgrp_tableraw&amp;yy'!$AC$3:$AC$38,'2019 Table 10 CWTs exp'!$A16)</f>
        <v>0.98599999999999999</v>
      </c>
      <c r="AE16" s="604" t="str">
        <f t="shared" si="1"/>
        <v>CNFW527</v>
      </c>
      <c r="AF16" s="444"/>
      <c r="AG16" s="622">
        <f t="shared" si="4"/>
        <v>0.98630136986301364</v>
      </c>
      <c r="AH16" s="606"/>
      <c r="AI16" s="600"/>
      <c r="AJ16" s="599"/>
      <c r="AK16" s="451"/>
      <c r="AL16" s="451"/>
      <c r="AM16" s="442"/>
      <c r="AN16" s="442"/>
      <c r="AO16" s="442"/>
      <c r="AP16" s="442"/>
      <c r="AQ16" s="442"/>
      <c r="AR16" s="442"/>
      <c r="AS16" s="442"/>
      <c r="AT16" s="442"/>
      <c r="AU16" s="442"/>
      <c r="AV16" s="442"/>
      <c r="AW16" s="442"/>
      <c r="AX16" s="442"/>
      <c r="AY16" s="442"/>
      <c r="AZ16" s="442"/>
      <c r="BA16" s="442"/>
      <c r="BB16" s="442"/>
      <c r="BC16" s="442"/>
      <c r="BD16" s="442"/>
      <c r="BE16" s="442"/>
      <c r="BF16" s="442"/>
      <c r="BG16" s="442"/>
    </row>
    <row r="17" spans="1:59" ht="14.5" customHeight="1" x14ac:dyDescent="0.25">
      <c r="A17" s="50" t="str">
        <f t="shared" si="0"/>
        <v>KESW507</v>
      </c>
      <c r="B17" s="13" t="s">
        <v>43</v>
      </c>
      <c r="C17" s="13">
        <v>50</v>
      </c>
      <c r="D17" s="13">
        <v>7</v>
      </c>
      <c r="E17" s="3" t="s">
        <v>44</v>
      </c>
      <c r="F17" s="37" t="s">
        <v>57</v>
      </c>
      <c r="G17" s="38"/>
      <c r="H17" s="39">
        <f>SUMIFS('[12]inland_taf_hatchgrp_tableraw&amp;yy'!H$3:H$38,'[12]inland_taf_hatchgrp_tableraw&amp;yy'!$AC$3:$AC$38,'2019 Table 10 CWTs exp'!$A17)</f>
        <v>17</v>
      </c>
      <c r="I17" s="38">
        <f>SUMIFS('[12]inland_taf_hatchgrp_tableraw&amp;yy'!I$3:I$38,'[12]inland_taf_hatchgrp_tableraw&amp;yy'!$AC$3:$AC$38,'2019 Table 10 CWTs exp'!$A17)</f>
        <v>0</v>
      </c>
      <c r="J17" s="40">
        <f>SUMIFS('[12]inland_taf_hatchgrp_tableraw&amp;yy'!J$3:J$38,'[12]inland_taf_hatchgrp_tableraw&amp;yy'!$AC$3:$AC$38,'2019 Table 10 CWTs exp'!$A17)</f>
        <v>0</v>
      </c>
      <c r="K17" s="38">
        <f>SUMIFS('[12]inland_taf_hatchgrp_tableraw&amp;yy'!K$3:K$38,'[12]inland_taf_hatchgrp_tableraw&amp;yy'!$AC$3:$AC$38,'2019 Table 10 CWTs exp'!$A17)</f>
        <v>0</v>
      </c>
      <c r="L17" s="38">
        <f>SUMIFS('[12]inland_taf_hatchgrp_tableraw&amp;yy'!L$3:L$38,'[12]inland_taf_hatchgrp_tableraw&amp;yy'!$AC$3:$AC$38,'2019 Table 10 CWTs exp'!$A17)</f>
        <v>0</v>
      </c>
      <c r="M17" s="38">
        <f>SUMIFS('[12]inland_taf_hatchgrp_tableraw&amp;yy'!M$3:M$38,'[12]inland_taf_hatchgrp_tableraw&amp;yy'!$AC$3:$AC$38,'2019 Table 10 CWTs exp'!$A17)</f>
        <v>0</v>
      </c>
      <c r="N17" s="40">
        <f>SUMIFS('[12]inland_taf_hatchgrp_tableraw&amp;yy'!N$3:N$38,'[12]inland_taf_hatchgrp_tableraw&amp;yy'!$AC$3:$AC$38,'2019 Table 10 CWTs exp'!$A17)</f>
        <v>0</v>
      </c>
      <c r="O17" s="38">
        <f>SUMIFS('[12]inland_taf_hatchgrp_tableraw&amp;yy'!O$3:O$38,'[12]inland_taf_hatchgrp_tableraw&amp;yy'!$AC$3:$AC$38,'2019 Table 10 CWTs exp'!$A17)</f>
        <v>0</v>
      </c>
      <c r="P17" s="40">
        <f>SUMIFS('[12]inland_taf_hatchgrp_tableraw&amp;yy'!P$3:P$38,'[12]inland_taf_hatchgrp_tableraw&amp;yy'!$AC$3:$AC$38,'2019 Table 10 CWTs exp'!$A17)</f>
        <v>0</v>
      </c>
      <c r="Q17" s="38">
        <f>SUMIFS('[12]inland_taf_hatchgrp_tableraw&amp;yy'!Q$3:Q$38,'[12]inland_taf_hatchgrp_tableraw&amp;yy'!$AC$3:$AC$38,'2019 Table 10 CWTs exp'!$A17)</f>
        <v>0</v>
      </c>
      <c r="R17" s="38">
        <f>SUMIFS('[12]inland_taf_hatchgrp_tableraw&amp;yy'!R$3:R$38,'[12]inland_taf_hatchgrp_tableraw&amp;yy'!$AC$3:$AC$38,'2019 Table 10 CWTs exp'!$A17)</f>
        <v>0</v>
      </c>
      <c r="S17" s="38">
        <f>SUMIFS('[12]inland_taf_hatchgrp_tableraw&amp;yy'!S$3:S$38,'[12]inland_taf_hatchgrp_tableraw&amp;yy'!$AC$3:$AC$38,'2019 Table 10 CWTs exp'!$A17)</f>
        <v>0</v>
      </c>
      <c r="T17" s="40">
        <f>SUMIFS('[12]inland_taf_hatchgrp_tableraw&amp;yy'!T$3:T$38,'[12]inland_taf_hatchgrp_tableraw&amp;yy'!$AC$3:$AC$38,'2019 Table 10 CWTs exp'!$A17)</f>
        <v>0</v>
      </c>
      <c r="U17" s="38">
        <f>SUMIFS('[12]inland_taf_hatchgrp_tableraw&amp;yy'!U$3:U$38,'[12]inland_taf_hatchgrp_tableraw&amp;yy'!$AC$3:$AC$38,'2019 Table 10 CWTs exp'!$A17)</f>
        <v>0</v>
      </c>
      <c r="V17" s="40">
        <f>SUMIFS('[12]inland_taf_hatchgrp_tableraw&amp;yy'!V$3:V$38,'[12]inland_taf_hatchgrp_tableraw&amp;yy'!$AC$3:$AC$38,'2019 Table 10 CWTs exp'!$A17)</f>
        <v>0</v>
      </c>
      <c r="W17" s="40">
        <f>SUMIFS('[12]inland_taf_hatchgrp_tableraw&amp;yy'!W$3:W$38,'[12]inland_taf_hatchgrp_tableraw&amp;yy'!$AC$3:$AC$38,'2019 Table 10 CWTs exp'!$A17)</f>
        <v>0</v>
      </c>
      <c r="X17" s="38">
        <f>SUMIFS('[12]inland_taf_hatchgrp_tableraw&amp;yy'!X$3:X$38,'[12]inland_taf_hatchgrp_tableraw&amp;yy'!$AC$3:$AC$38,'2019 Table 10 CWTs exp'!$A17)</f>
        <v>0</v>
      </c>
      <c r="Y17" s="41">
        <f>SUMIFS('[12]inland_taf_hatchgrp_tableraw&amp;yy'!Y$3:Y$38,'[12]inland_taf_hatchgrp_tableraw&amp;yy'!$AC$3:$AC$38,'2019 Table 10 CWTs exp'!$A17)</f>
        <v>17</v>
      </c>
      <c r="Z17" s="42">
        <f>SUMIFS('[12]inland_taf_hatchgrp_tableraw&amp;yy'!Z$3:Z$38,'[12]inland_taf_hatchgrp_tableraw&amp;yy'!$AC$3:$AC$38,'2019 Table 10 CWTs exp'!$A17)</f>
        <v>6</v>
      </c>
      <c r="AA17" s="38">
        <f>SUMIFS('[12]inland_taf_hatchgrp_tableraw&amp;yy'!AA$3:AA$38,'[12]inland_taf_hatchgrp_tableraw&amp;yy'!$AC$3:$AC$38,'2019 Table 10 CWTs exp'!$A17)</f>
        <v>23</v>
      </c>
      <c r="AB17" s="634"/>
      <c r="AC17" s="634"/>
      <c r="AD17" s="603">
        <f>SUMIFS('[12]inland_taf_hatchgrp_tableraw&amp;yy'!AB$3:AB$38,'[12]inland_taf_hatchgrp_tableraw&amp;yy'!$AC$3:$AC$38,'2019 Table 10 CWTs exp'!$A17)</f>
        <v>0.73899999999999999</v>
      </c>
      <c r="AE17" s="604" t="str">
        <f t="shared" si="1"/>
        <v>KESW507</v>
      </c>
      <c r="AF17" s="444"/>
      <c r="AG17" s="622">
        <f t="shared" si="4"/>
        <v>0.73913043478260865</v>
      </c>
      <c r="AH17" s="606"/>
      <c r="AI17" s="600"/>
      <c r="AJ17" s="599"/>
      <c r="AK17" s="451"/>
      <c r="AL17" s="451"/>
      <c r="AM17" s="442"/>
      <c r="AN17" s="442"/>
      <c r="AO17" s="442"/>
      <c r="AP17" s="442"/>
      <c r="AQ17" s="442"/>
      <c r="AR17" s="442"/>
      <c r="AS17" s="442"/>
      <c r="AT17" s="442"/>
      <c r="AU17" s="442"/>
      <c r="AV17" s="442"/>
      <c r="AW17" s="442"/>
      <c r="AX17" s="442"/>
      <c r="AY17" s="442"/>
      <c r="AZ17" s="442"/>
      <c r="BA17" s="442"/>
      <c r="BB17" s="442"/>
      <c r="BC17" s="442"/>
      <c r="BD17" s="442"/>
      <c r="BE17" s="442"/>
      <c r="BF17" s="442"/>
      <c r="BG17" s="442"/>
    </row>
    <row r="18" spans="1:59" ht="14.15" customHeight="1" x14ac:dyDescent="0.3">
      <c r="A18" s="55"/>
      <c r="B18" s="56"/>
      <c r="C18" s="56"/>
      <c r="D18" s="56"/>
      <c r="E18" s="743" t="s">
        <v>61</v>
      </c>
      <c r="F18" s="743"/>
      <c r="G18" s="57">
        <f>SUM(G9:G14)</f>
        <v>0</v>
      </c>
      <c r="H18" s="58">
        <f t="shared" ref="H18:Z18" si="7">SUM(H9:H14)</f>
        <v>2</v>
      </c>
      <c r="I18" s="59">
        <f t="shared" si="7"/>
        <v>12821</v>
      </c>
      <c r="J18" s="60">
        <f t="shared" si="7"/>
        <v>0</v>
      </c>
      <c r="K18" s="59">
        <f t="shared" si="7"/>
        <v>2656</v>
      </c>
      <c r="L18" s="59">
        <f t="shared" si="7"/>
        <v>1297</v>
      </c>
      <c r="M18" s="59">
        <f t="shared" si="7"/>
        <v>9405</v>
      </c>
      <c r="N18" s="60">
        <f t="shared" si="7"/>
        <v>5977</v>
      </c>
      <c r="O18" s="59">
        <f t="shared" si="7"/>
        <v>2845</v>
      </c>
      <c r="P18" s="60">
        <f t="shared" si="7"/>
        <v>4107</v>
      </c>
      <c r="Q18" s="59">
        <f t="shared" si="7"/>
        <v>127</v>
      </c>
      <c r="R18" s="59">
        <f t="shared" si="7"/>
        <v>8134</v>
      </c>
      <c r="S18" s="59">
        <f t="shared" si="7"/>
        <v>553</v>
      </c>
      <c r="T18" s="60">
        <f t="shared" si="7"/>
        <v>527</v>
      </c>
      <c r="U18" s="59">
        <f t="shared" si="7"/>
        <v>123</v>
      </c>
      <c r="V18" s="60">
        <f t="shared" si="7"/>
        <v>656</v>
      </c>
      <c r="W18" s="60">
        <f t="shared" si="7"/>
        <v>5</v>
      </c>
      <c r="X18" s="59">
        <f t="shared" si="7"/>
        <v>0</v>
      </c>
      <c r="Y18" s="61">
        <f t="shared" si="7"/>
        <v>49235</v>
      </c>
      <c r="Z18" s="62">
        <f t="shared" si="7"/>
        <v>12903</v>
      </c>
      <c r="AA18" s="63">
        <f>SUM(AA9:AA14)</f>
        <v>62138</v>
      </c>
      <c r="AB18" s="630"/>
      <c r="AC18" s="630"/>
      <c r="AD18" s="445">
        <f>Y18/AA18</f>
        <v>0.79234928707071361</v>
      </c>
      <c r="AE18" s="445"/>
      <c r="AF18" s="607"/>
      <c r="AG18" s="622">
        <f>Y18/AA18</f>
        <v>0.79234928707071361</v>
      </c>
      <c r="AH18" s="608"/>
      <c r="AI18" s="608"/>
      <c r="AJ18" s="609"/>
      <c r="AK18" s="610"/>
      <c r="AL18" s="610"/>
      <c r="AM18" s="442"/>
      <c r="AN18" s="442"/>
      <c r="AO18" s="442"/>
      <c r="AP18" s="442"/>
      <c r="AQ18" s="442"/>
      <c r="AR18" s="442"/>
      <c r="AS18" s="442"/>
      <c r="AT18" s="442"/>
      <c r="AU18" s="442"/>
      <c r="AV18" s="442"/>
      <c r="AW18" s="442"/>
      <c r="AX18" s="442"/>
      <c r="AY18" s="442"/>
      <c r="AZ18" s="442"/>
      <c r="BA18" s="442"/>
      <c r="BB18" s="442"/>
      <c r="BC18" s="442"/>
      <c r="BD18" s="442"/>
      <c r="BE18" s="442"/>
      <c r="BF18" s="442"/>
      <c r="BG18" s="442"/>
    </row>
    <row r="19" spans="1:59" ht="14.15" customHeight="1" x14ac:dyDescent="0.3">
      <c r="A19" s="50" t="s">
        <v>62</v>
      </c>
      <c r="B19" s="13"/>
      <c r="C19" s="13"/>
      <c r="D19" s="13"/>
      <c r="E19" s="26" t="s">
        <v>63</v>
      </c>
      <c r="F19" s="47"/>
      <c r="G19" s="68"/>
      <c r="H19" s="69"/>
      <c r="I19" s="68"/>
      <c r="J19" s="70"/>
      <c r="K19" s="68"/>
      <c r="L19" s="68"/>
      <c r="M19" s="68"/>
      <c r="N19" s="70"/>
      <c r="O19" s="68"/>
      <c r="P19" s="70"/>
      <c r="Q19" s="68"/>
      <c r="R19" s="68"/>
      <c r="S19" s="68"/>
      <c r="T19" s="70"/>
      <c r="U19" s="68"/>
      <c r="V19" s="70"/>
      <c r="W19" s="70"/>
      <c r="X19" s="68"/>
      <c r="Y19" s="71"/>
      <c r="Z19" s="72"/>
      <c r="AA19" s="73"/>
      <c r="AB19" s="611"/>
      <c r="AC19" s="611"/>
      <c r="AD19" s="611"/>
      <c r="AE19" s="611"/>
      <c r="AF19" s="442"/>
      <c r="AG19" s="597"/>
      <c r="AH19" s="597"/>
      <c r="AI19" s="597"/>
      <c r="AJ19" s="599"/>
      <c r="AK19" s="451"/>
      <c r="AL19" s="451"/>
      <c r="AM19" s="442"/>
      <c r="AN19" s="442"/>
      <c r="AO19" s="442"/>
      <c r="AP19" s="442"/>
      <c r="AQ19" s="442"/>
      <c r="AR19" s="442"/>
      <c r="AS19" s="442"/>
      <c r="AT19" s="442"/>
      <c r="AU19" s="442"/>
      <c r="AV19" s="442"/>
      <c r="AW19" s="442"/>
      <c r="AX19" s="442"/>
      <c r="AY19" s="442"/>
      <c r="AZ19" s="442"/>
      <c r="BA19" s="442"/>
      <c r="BB19" s="442"/>
      <c r="BC19" s="442"/>
      <c r="BD19" s="442"/>
      <c r="BE19" s="442"/>
      <c r="BF19" s="442"/>
      <c r="BG19" s="442"/>
    </row>
    <row r="20" spans="1:59" ht="14.5" customHeight="1" x14ac:dyDescent="0.25">
      <c r="A20" s="50" t="str">
        <f t="shared" ref="A20:A41" si="8">CONCATENATE(B20,C20,D20)</f>
        <v>USAC544</v>
      </c>
      <c r="B20" s="13" t="s">
        <v>64</v>
      </c>
      <c r="C20" s="13">
        <v>54</v>
      </c>
      <c r="D20" s="13">
        <v>4</v>
      </c>
      <c r="E20" s="3" t="s">
        <v>65</v>
      </c>
      <c r="F20" s="43" t="str">
        <f>LOOKUP(D20,$AL$8:$AL$11,$AM$8:$AM$11)</f>
        <v>Winter</v>
      </c>
      <c r="G20" s="38">
        <f>SUMIFS('[12]inland_taf_hatchgrp_tableraw&amp;yy'!G$3:G$38,'[12]inland_taf_hatchgrp_tableraw&amp;yy'!$AC$3:$AC$38,'2019 Table 10 CWTs exp'!$A20)</f>
        <v>2712</v>
      </c>
      <c r="H20" s="39">
        <f>SUMIFS('[12]inland_taf_hatchgrp_tableraw&amp;yy'!H$3:H$38,'[12]inland_taf_hatchgrp_tableraw&amp;yy'!$AC$3:$AC$38,'2019 Table 10 CWTs exp'!$A20)</f>
        <v>0</v>
      </c>
      <c r="I20" s="38">
        <f>SUMIFS('[12]inland_taf_hatchgrp_tableraw&amp;yy'!I$3:I$38,'[12]inland_taf_hatchgrp_tableraw&amp;yy'!$AC$3:$AC$38,'2019 Table 10 CWTs exp'!$A20)</f>
        <v>0</v>
      </c>
      <c r="J20" s="40">
        <f>SUMIFS('[12]inland_taf_hatchgrp_tableraw&amp;yy'!J$3:J$38,'[12]inland_taf_hatchgrp_tableraw&amp;yy'!$AC$3:$AC$38,'2019 Table 10 CWTs exp'!$A20)</f>
        <v>0</v>
      </c>
      <c r="K20" s="38">
        <f>SUMIFS('[12]inland_taf_hatchgrp_tableraw&amp;yy'!K$3:K$38,'[12]inland_taf_hatchgrp_tableraw&amp;yy'!$AC$3:$AC$38,'2019 Table 10 CWTs exp'!$A20)</f>
        <v>0</v>
      </c>
      <c r="L20" s="38">
        <f>SUMIFS('[12]inland_taf_hatchgrp_tableraw&amp;yy'!L$3:L$38,'[12]inland_taf_hatchgrp_tableraw&amp;yy'!$AC$3:$AC$38,'2019 Table 10 CWTs exp'!$A20)</f>
        <v>0</v>
      </c>
      <c r="M20" s="38">
        <f>SUMIFS('[12]inland_taf_hatchgrp_tableraw&amp;yy'!M$3:M$38,'[12]inland_taf_hatchgrp_tableraw&amp;yy'!$AC$3:$AC$38,'2019 Table 10 CWTs exp'!$A20)</f>
        <v>0</v>
      </c>
      <c r="N20" s="40">
        <f>SUMIFS('[12]inland_taf_hatchgrp_tableraw&amp;yy'!N$3:N$38,'[12]inland_taf_hatchgrp_tableraw&amp;yy'!$AC$3:$AC$38,'2019 Table 10 CWTs exp'!$A20)</f>
        <v>0</v>
      </c>
      <c r="O20" s="38">
        <f>SUMIFS('[12]inland_taf_hatchgrp_tableraw&amp;yy'!O$3:O$38,'[12]inland_taf_hatchgrp_tableraw&amp;yy'!$AC$3:$AC$38,'2019 Table 10 CWTs exp'!$A20)</f>
        <v>0</v>
      </c>
      <c r="P20" s="40">
        <f>SUMIFS('[12]inland_taf_hatchgrp_tableraw&amp;yy'!P$3:P$38,'[12]inland_taf_hatchgrp_tableraw&amp;yy'!$AC$3:$AC$38,'2019 Table 10 CWTs exp'!$A20)</f>
        <v>0</v>
      </c>
      <c r="Q20" s="38">
        <f>SUMIFS('[12]inland_taf_hatchgrp_tableraw&amp;yy'!Q$3:Q$38,'[12]inland_taf_hatchgrp_tableraw&amp;yy'!$AC$3:$AC$38,'2019 Table 10 CWTs exp'!$A20)</f>
        <v>0</v>
      </c>
      <c r="R20" s="38">
        <f>SUMIFS('[12]inland_taf_hatchgrp_tableraw&amp;yy'!R$3:R$38,'[12]inland_taf_hatchgrp_tableraw&amp;yy'!$AC$3:$AC$38,'2019 Table 10 CWTs exp'!$A20)</f>
        <v>0</v>
      </c>
      <c r="S20" s="38">
        <f>SUMIFS('[12]inland_taf_hatchgrp_tableraw&amp;yy'!S$3:S$38,'[12]inland_taf_hatchgrp_tableraw&amp;yy'!$AC$3:$AC$38,'2019 Table 10 CWTs exp'!$A20)</f>
        <v>0</v>
      </c>
      <c r="T20" s="40">
        <f>SUMIFS('[12]inland_taf_hatchgrp_tableraw&amp;yy'!T$3:T$38,'[12]inland_taf_hatchgrp_tableraw&amp;yy'!$AC$3:$AC$38,'2019 Table 10 CWTs exp'!$A20)</f>
        <v>0</v>
      </c>
      <c r="U20" s="38">
        <f>SUMIFS('[12]inland_taf_hatchgrp_tableraw&amp;yy'!U$3:U$38,'[12]inland_taf_hatchgrp_tableraw&amp;yy'!$AC$3:$AC$38,'2019 Table 10 CWTs exp'!$A20)</f>
        <v>0</v>
      </c>
      <c r="V20" s="40">
        <f>SUMIFS('[12]inland_taf_hatchgrp_tableraw&amp;yy'!V$3:V$38,'[12]inland_taf_hatchgrp_tableraw&amp;yy'!$AC$3:$AC$38,'2019 Table 10 CWTs exp'!$A20)</f>
        <v>0</v>
      </c>
      <c r="W20" s="40">
        <f>SUMIFS('[12]inland_taf_hatchgrp_tableraw&amp;yy'!W$3:W$38,'[12]inland_taf_hatchgrp_tableraw&amp;yy'!$AC$3:$AC$38,'2019 Table 10 CWTs exp'!$A20)</f>
        <v>0</v>
      </c>
      <c r="X20" s="38">
        <f>SUMIFS('[12]inland_taf_hatchgrp_tableraw&amp;yy'!X$3:X$38,'[12]inland_taf_hatchgrp_tableraw&amp;yy'!$AC$3:$AC$38,'2019 Table 10 CWTs exp'!$A20)</f>
        <v>0</v>
      </c>
      <c r="Y20" s="41">
        <f>SUMIFS('[12]inland_taf_hatchgrp_tableraw&amp;yy'!Y$3:Y$38,'[12]inland_taf_hatchgrp_tableraw&amp;yy'!$AC$3:$AC$38,'2019 Table 10 CWTs exp'!$A20)</f>
        <v>2712</v>
      </c>
      <c r="Z20" s="42">
        <f>SUMIFS('[12]inland_taf_hatchgrp_tableraw&amp;yy'!Z$3:Z$38,'[12]inland_taf_hatchgrp_tableraw&amp;yy'!$AC$3:$AC$38,'2019 Table 10 CWTs exp'!$A20)</f>
        <v>5141</v>
      </c>
      <c r="AA20" s="38">
        <f>SUMIFS('[12]inland_taf_hatchgrp_tableraw&amp;yy'!AA$3:AA$38,'[12]inland_taf_hatchgrp_tableraw&amp;yy'!$AC$3:$AC$38,'2019 Table 10 CWTs exp'!$A20)</f>
        <v>7853</v>
      </c>
      <c r="AB20" s="636"/>
      <c r="AC20" s="636"/>
      <c r="AD20" s="567">
        <f>SUMIFS('[12]inland_taf_hatchgrp_tableraw&amp;yy'!AB$3:AB$38,'[12]inland_taf_hatchgrp_tableraw&amp;yy'!$AC$3:$AC$38,'2019 Table 10 CWTs exp'!$A20)</f>
        <v>0.34499999999999997</v>
      </c>
      <c r="AE20" s="604" t="str">
        <f t="shared" ref="AE20:AE41" si="9">A20</f>
        <v>USAC544</v>
      </c>
      <c r="AF20" s="442"/>
      <c r="AG20" s="622">
        <f t="shared" ref="AG20:AG41" si="10">Y20/AA20</f>
        <v>0.34534572774735772</v>
      </c>
      <c r="AH20" s="652">
        <f t="shared" ref="AH20:AH39" si="11">Z20/AA20</f>
        <v>0.65465427225264228</v>
      </c>
      <c r="AI20" s="597"/>
      <c r="AJ20" s="599"/>
      <c r="AK20" s="451"/>
      <c r="AL20" s="451"/>
      <c r="AM20" s="442"/>
      <c r="AN20" s="442"/>
      <c r="AO20" s="442"/>
      <c r="AP20" s="442"/>
      <c r="AQ20" s="442"/>
      <c r="AR20" s="442"/>
      <c r="AS20" s="442"/>
      <c r="AT20" s="442"/>
      <c r="AU20" s="442"/>
      <c r="AV20" s="442"/>
      <c r="AW20" s="442"/>
      <c r="AX20" s="442"/>
      <c r="AY20" s="442"/>
      <c r="AZ20" s="442"/>
      <c r="BA20" s="442"/>
      <c r="BB20" s="442"/>
      <c r="BC20" s="442"/>
      <c r="BD20" s="442"/>
      <c r="BE20" s="442"/>
      <c r="BF20" s="442"/>
      <c r="BG20" s="442"/>
    </row>
    <row r="21" spans="1:59" ht="14.25" customHeight="1" x14ac:dyDescent="0.25">
      <c r="A21" s="50" t="str">
        <f>CONCATENATE(B21,C21,D21)</f>
        <v>BUTT541</v>
      </c>
      <c r="B21" s="13" t="s">
        <v>66</v>
      </c>
      <c r="C21" s="13">
        <v>54</v>
      </c>
      <c r="D21" s="13">
        <v>1</v>
      </c>
      <c r="E21" s="3" t="s">
        <v>67</v>
      </c>
      <c r="F21" s="43" t="str">
        <f>LOOKUP(D21,$AL$8:$AL$11,$AM$8:$AM$11)</f>
        <v>Spring</v>
      </c>
      <c r="G21" s="38">
        <f>SUMIFS('[12]inland_taf_hatchgrp_tableraw&amp;yy'!G$3:G$38,'[12]inland_taf_hatchgrp_tableraw&amp;yy'!$AC$3:$AC$38,'2019 Table 10 CWTs exp'!$A21)</f>
        <v>0</v>
      </c>
      <c r="H21" s="39">
        <f>SUMIFS('[12]inland_taf_hatchgrp_tableraw&amp;yy'!H$3:H$38,'[12]inland_taf_hatchgrp_tableraw&amp;yy'!$AC$3:$AC$38,'2019 Table 10 CWTs exp'!$A21)</f>
        <v>0</v>
      </c>
      <c r="I21" s="38">
        <f>SUMIFS('[12]inland_taf_hatchgrp_tableraw&amp;yy'!I$3:I$38,'[12]inland_taf_hatchgrp_tableraw&amp;yy'!$AC$3:$AC$38,'2019 Table 10 CWTs exp'!$A21)</f>
        <v>0</v>
      </c>
      <c r="J21" s="40">
        <f>SUMIFS('[12]inland_taf_hatchgrp_tableraw&amp;yy'!J$3:J$38,'[12]inland_taf_hatchgrp_tableraw&amp;yy'!$AC$3:$AC$38,'2019 Table 10 CWTs exp'!$A21)</f>
        <v>0</v>
      </c>
      <c r="K21" s="38">
        <f>SUMIFS('[12]inland_taf_hatchgrp_tableraw&amp;yy'!K$3:K$38,'[12]inland_taf_hatchgrp_tableraw&amp;yy'!$AC$3:$AC$38,'2019 Table 10 CWTs exp'!$A21)</f>
        <v>0</v>
      </c>
      <c r="L21" s="38">
        <f>SUMIFS('[12]inland_taf_hatchgrp_tableraw&amp;yy'!L$3:L$38,'[12]inland_taf_hatchgrp_tableraw&amp;yy'!$AC$3:$AC$38,'2019 Table 10 CWTs exp'!$A21)</f>
        <v>0</v>
      </c>
      <c r="M21" s="38">
        <f>SUMIFS('[12]inland_taf_hatchgrp_tableraw&amp;yy'!M$3:M$38,'[12]inland_taf_hatchgrp_tableraw&amp;yy'!$AC$3:$AC$38,'2019 Table 10 CWTs exp'!$A21)</f>
        <v>0</v>
      </c>
      <c r="N21" s="40">
        <f>SUMIFS('[12]inland_taf_hatchgrp_tableraw&amp;yy'!N$3:N$38,'[12]inland_taf_hatchgrp_tableraw&amp;yy'!$AC$3:$AC$38,'2019 Table 10 CWTs exp'!$A21)</f>
        <v>0</v>
      </c>
      <c r="O21" s="38">
        <f>SUMIFS('[12]inland_taf_hatchgrp_tableraw&amp;yy'!O$3:O$38,'[12]inland_taf_hatchgrp_tableraw&amp;yy'!$AC$3:$AC$38,'2019 Table 10 CWTs exp'!$A21)</f>
        <v>0</v>
      </c>
      <c r="P21" s="40">
        <f>SUMIFS('[12]inland_taf_hatchgrp_tableraw&amp;yy'!P$3:P$38,'[12]inland_taf_hatchgrp_tableraw&amp;yy'!$AC$3:$AC$38,'2019 Table 10 CWTs exp'!$A21)</f>
        <v>0</v>
      </c>
      <c r="Q21" s="38">
        <f>SUMIFS('[12]inland_taf_hatchgrp_tableraw&amp;yy'!Q$3:Q$38,'[12]inland_taf_hatchgrp_tableraw&amp;yy'!$AC$3:$AC$38,'2019 Table 10 CWTs exp'!$A21)</f>
        <v>0</v>
      </c>
      <c r="R21" s="38">
        <f>SUMIFS('[12]inland_taf_hatchgrp_tableraw&amp;yy'!R$3:R$38,'[12]inland_taf_hatchgrp_tableraw&amp;yy'!$AC$3:$AC$38,'2019 Table 10 CWTs exp'!$A21)</f>
        <v>0</v>
      </c>
      <c r="S21" s="38">
        <f>SUMIFS('[12]inland_taf_hatchgrp_tableraw&amp;yy'!S$3:S$38,'[12]inland_taf_hatchgrp_tableraw&amp;yy'!$AC$3:$AC$38,'2019 Table 10 CWTs exp'!$A21)</f>
        <v>0</v>
      </c>
      <c r="T21" s="40">
        <f>SUMIFS('[12]inland_taf_hatchgrp_tableraw&amp;yy'!T$3:T$38,'[12]inland_taf_hatchgrp_tableraw&amp;yy'!$AC$3:$AC$38,'2019 Table 10 CWTs exp'!$A21)</f>
        <v>0</v>
      </c>
      <c r="U21" s="38">
        <f>SUMIFS('[12]inland_taf_hatchgrp_tableraw&amp;yy'!U$3:U$38,'[12]inland_taf_hatchgrp_tableraw&amp;yy'!$AC$3:$AC$38,'2019 Table 10 CWTs exp'!$A21)</f>
        <v>0</v>
      </c>
      <c r="V21" s="40">
        <f>SUMIFS('[12]inland_taf_hatchgrp_tableraw&amp;yy'!V$3:V$38,'[12]inland_taf_hatchgrp_tableraw&amp;yy'!$AC$3:$AC$38,'2019 Table 10 CWTs exp'!$A21)</f>
        <v>0</v>
      </c>
      <c r="W21" s="40">
        <f>SUMIFS('[12]inland_taf_hatchgrp_tableraw&amp;yy'!W$3:W$38,'[12]inland_taf_hatchgrp_tableraw&amp;yy'!$AC$3:$AC$38,'2019 Table 10 CWTs exp'!$A21)</f>
        <v>0</v>
      </c>
      <c r="X21" s="38">
        <f>SUMIFS('[12]inland_taf_hatchgrp_tableraw&amp;yy'!X$3:X$38,'[12]inland_taf_hatchgrp_tableraw&amp;yy'!$AC$3:$AC$38,'2019 Table 10 CWTs exp'!$A21)</f>
        <v>0</v>
      </c>
      <c r="Y21" s="41">
        <f>SUM(G21:X21)</f>
        <v>0</v>
      </c>
      <c r="Z21" s="42">
        <f>SUMIFS('[12]inland_taf_hatchgrp_tableraw&amp;yy'!Z$3:Z$38,'[12]inland_taf_hatchgrp_tableraw&amp;yy'!$AC$3:$AC$38,'2019 Table 10 CWTs exp'!$A21)</f>
        <v>14860</v>
      </c>
      <c r="AA21" s="38">
        <f>SUMIFS('[12]inland_taf_hatchgrp_tableraw&amp;yy'!AA$3:AA$38,'[12]inland_taf_hatchgrp_tableraw&amp;yy'!$AC$3:$AC$38,'2019 Table 10 CWTs exp'!$A21)</f>
        <v>14860</v>
      </c>
      <c r="AB21" s="636"/>
      <c r="AC21" s="636"/>
      <c r="AD21" s="567">
        <v>0</v>
      </c>
      <c r="AE21" s="604" t="str">
        <f t="shared" si="9"/>
        <v>BUTT541</v>
      </c>
      <c r="AF21" s="442"/>
      <c r="AG21" s="622">
        <f t="shared" si="10"/>
        <v>0</v>
      </c>
      <c r="AH21" s="652">
        <f t="shared" si="11"/>
        <v>1</v>
      </c>
      <c r="AI21" s="597"/>
      <c r="AJ21" s="599"/>
      <c r="AK21" s="451"/>
      <c r="AL21" s="451"/>
      <c r="AM21" s="442"/>
      <c r="AN21" s="442"/>
      <c r="AO21" s="442"/>
      <c r="AP21" s="442"/>
      <c r="AQ21" s="442"/>
      <c r="AR21" s="442"/>
      <c r="AS21" s="442"/>
      <c r="AT21" s="442"/>
      <c r="AU21" s="442"/>
      <c r="AV21" s="442"/>
      <c r="AW21" s="442"/>
      <c r="AX21" s="442"/>
      <c r="AY21" s="442"/>
      <c r="AZ21" s="442"/>
      <c r="BA21" s="442"/>
      <c r="BB21" s="442"/>
      <c r="BC21" s="442"/>
      <c r="BD21" s="442"/>
      <c r="BE21" s="442"/>
      <c r="BF21" s="442"/>
      <c r="BG21" s="442"/>
    </row>
    <row r="22" spans="1:59" ht="14.25" customHeight="1" x14ac:dyDescent="0.25">
      <c r="A22" s="50" t="str">
        <f>CONCATENATE(B22,C22,D22)</f>
        <v>UPSJ541</v>
      </c>
      <c r="B22" s="13" t="s">
        <v>68</v>
      </c>
      <c r="C22" s="13">
        <v>54</v>
      </c>
      <c r="D22" s="13">
        <v>1</v>
      </c>
      <c r="E22" s="3" t="s">
        <v>69</v>
      </c>
      <c r="F22" s="43" t="s">
        <v>47</v>
      </c>
      <c r="G22" s="38">
        <f>SUMIFS('[12]inland_taf_hatchgrp_tableraw&amp;yy'!G$3:G$38,'[12]inland_taf_hatchgrp_tableraw&amp;yy'!$AC$3:$AC$38,'2019 Table 10 CWTs exp'!$A22)</f>
        <v>0</v>
      </c>
      <c r="H22" s="39">
        <f>SUMIFS('[12]inland_taf_hatchgrp_tableraw&amp;yy'!H$3:H$38,'[12]inland_taf_hatchgrp_tableraw&amp;yy'!$AC$3:$AC$38,'2019 Table 10 CWTs exp'!$A22)</f>
        <v>0</v>
      </c>
      <c r="I22" s="38">
        <f>SUMIFS('[12]inland_taf_hatchgrp_tableraw&amp;yy'!I$3:I$38,'[12]inland_taf_hatchgrp_tableraw&amp;yy'!$AC$3:$AC$38,'2019 Table 10 CWTs exp'!$A22)</f>
        <v>0</v>
      </c>
      <c r="J22" s="40">
        <f>SUMIFS('[12]inland_taf_hatchgrp_tableraw&amp;yy'!J$3:J$38,'[12]inland_taf_hatchgrp_tableraw&amp;yy'!$AC$3:$AC$38,'2019 Table 10 CWTs exp'!$A22)</f>
        <v>0</v>
      </c>
      <c r="K22" s="38">
        <f>SUMIFS('[12]inland_taf_hatchgrp_tableraw&amp;yy'!K$3:K$38,'[12]inland_taf_hatchgrp_tableraw&amp;yy'!$AC$3:$AC$38,'2019 Table 10 CWTs exp'!$A22)</f>
        <v>0</v>
      </c>
      <c r="L22" s="38">
        <f>SUMIFS('[12]inland_taf_hatchgrp_tableraw&amp;yy'!L$3:L$38,'[12]inland_taf_hatchgrp_tableraw&amp;yy'!$AC$3:$AC$38,'2019 Table 10 CWTs exp'!$A22)</f>
        <v>0</v>
      </c>
      <c r="M22" s="38">
        <f>SUMIFS('[12]inland_taf_hatchgrp_tableraw&amp;yy'!M$3:M$38,'[12]inland_taf_hatchgrp_tableraw&amp;yy'!$AC$3:$AC$38,'2019 Table 10 CWTs exp'!$A22)</f>
        <v>0</v>
      </c>
      <c r="N22" s="40">
        <f>SUMIFS('[12]inland_taf_hatchgrp_tableraw&amp;yy'!N$3:N$38,'[12]inland_taf_hatchgrp_tableraw&amp;yy'!$AC$3:$AC$38,'2019 Table 10 CWTs exp'!$A22)</f>
        <v>0</v>
      </c>
      <c r="O22" s="38">
        <f>SUMIFS('[12]inland_taf_hatchgrp_tableraw&amp;yy'!O$3:O$38,'[12]inland_taf_hatchgrp_tableraw&amp;yy'!$AC$3:$AC$38,'2019 Table 10 CWTs exp'!$A22)</f>
        <v>0</v>
      </c>
      <c r="P22" s="40">
        <f>SUMIFS('[12]inland_taf_hatchgrp_tableraw&amp;yy'!P$3:P$38,'[12]inland_taf_hatchgrp_tableraw&amp;yy'!$AC$3:$AC$38,'2019 Table 10 CWTs exp'!$A22)</f>
        <v>0</v>
      </c>
      <c r="Q22" s="38">
        <f>SUMIFS('[12]inland_taf_hatchgrp_tableraw&amp;yy'!Q$3:Q$38,'[12]inland_taf_hatchgrp_tableraw&amp;yy'!$AC$3:$AC$38,'2019 Table 10 CWTs exp'!$A22)</f>
        <v>0</v>
      </c>
      <c r="R22" s="38">
        <f>SUMIFS('[12]inland_taf_hatchgrp_tableraw&amp;yy'!R$3:R$38,'[12]inland_taf_hatchgrp_tableraw&amp;yy'!$AC$3:$AC$38,'2019 Table 10 CWTs exp'!$A22)</f>
        <v>0</v>
      </c>
      <c r="S22" s="38">
        <f>SUMIFS('[12]inland_taf_hatchgrp_tableraw&amp;yy'!S$3:S$38,'[12]inland_taf_hatchgrp_tableraw&amp;yy'!$AC$3:$AC$38,'2019 Table 10 CWTs exp'!$A22)</f>
        <v>0</v>
      </c>
      <c r="T22" s="40">
        <f>SUMIFS('[12]inland_taf_hatchgrp_tableraw&amp;yy'!T$3:T$38,'[12]inland_taf_hatchgrp_tableraw&amp;yy'!$AC$3:$AC$38,'2019 Table 10 CWTs exp'!$A22)</f>
        <v>0</v>
      </c>
      <c r="U22" s="38">
        <f>SUMIFS('[12]inland_taf_hatchgrp_tableraw&amp;yy'!U$3:U$38,'[12]inland_taf_hatchgrp_tableraw&amp;yy'!$AC$3:$AC$38,'2019 Table 10 CWTs exp'!$A22)</f>
        <v>0</v>
      </c>
      <c r="V22" s="40">
        <f>SUMIFS('[12]inland_taf_hatchgrp_tableraw&amp;yy'!V$3:V$38,'[12]inland_taf_hatchgrp_tableraw&amp;yy'!$AC$3:$AC$38,'2019 Table 10 CWTs exp'!$A22)</f>
        <v>0</v>
      </c>
      <c r="W22" s="40">
        <f>SUMIFS('[12]inland_taf_hatchgrp_tableraw&amp;yy'!W$3:W$38,'[12]inland_taf_hatchgrp_tableraw&amp;yy'!$AC$3:$AC$38,'2019 Table 10 CWTs exp'!$A22)</f>
        <v>146</v>
      </c>
      <c r="X22" s="38">
        <f>SUMIFS('[12]inland_taf_hatchgrp_tableraw&amp;yy'!X$3:X$38,'[12]inland_taf_hatchgrp_tableraw&amp;yy'!$AC$3:$AC$38,'2019 Table 10 CWTs exp'!$A22)</f>
        <v>0</v>
      </c>
      <c r="Y22" s="41">
        <f>SUM(G22:X22)</f>
        <v>146</v>
      </c>
      <c r="Z22" s="42">
        <f>SUMIFS('[12]inland_taf_hatchgrp_tableraw&amp;yy'!Z$3:Z$38,'[12]inland_taf_hatchgrp_tableraw&amp;yy'!$AC$3:$AC$38,'2019 Table 10 CWTs exp'!$A22)</f>
        <v>9</v>
      </c>
      <c r="AA22" s="38">
        <f>SUMIFS('[12]inland_taf_hatchgrp_tableraw&amp;yy'!AA$3:AA$38,'[12]inland_taf_hatchgrp_tableraw&amp;yy'!$AC$3:$AC$38,'2019 Table 10 CWTs exp'!$A22)</f>
        <v>155</v>
      </c>
      <c r="AB22" s="636"/>
      <c r="AC22" s="636"/>
      <c r="AD22" s="567">
        <f>SUMIFS('[12]inland_taf_hatchgrp_tableraw&amp;yy'!AB$3:AB$38,'[12]inland_taf_hatchgrp_tableraw&amp;yy'!$AC$3:$AC$38,'2019 Table 10 CWTs exp'!$A22)</f>
        <v>0.94199999999999995</v>
      </c>
      <c r="AE22" s="604" t="str">
        <f t="shared" si="9"/>
        <v>UPSJ541</v>
      </c>
      <c r="AF22" s="442"/>
      <c r="AG22" s="622">
        <f t="shared" si="10"/>
        <v>0.9419354838709677</v>
      </c>
      <c r="AH22" s="652"/>
      <c r="AI22" s="597"/>
      <c r="AJ22" s="599"/>
      <c r="AK22" s="451"/>
      <c r="AL22" s="451"/>
      <c r="AM22" s="442"/>
      <c r="AN22" s="442"/>
      <c r="AO22" s="442"/>
      <c r="AP22" s="442"/>
      <c r="AQ22" s="442"/>
      <c r="AR22" s="442"/>
      <c r="AS22" s="442"/>
      <c r="AT22" s="442"/>
      <c r="AU22" s="442"/>
      <c r="AV22" s="442"/>
      <c r="AW22" s="442"/>
      <c r="AX22" s="442"/>
      <c r="AY22" s="442"/>
      <c r="AZ22" s="442"/>
      <c r="BA22" s="442"/>
      <c r="BB22" s="442"/>
      <c r="BC22" s="442"/>
      <c r="BD22" s="442"/>
      <c r="BE22" s="442"/>
      <c r="BF22" s="442"/>
      <c r="BG22" s="442"/>
    </row>
    <row r="23" spans="1:59" ht="14.5" customHeight="1" x14ac:dyDescent="0.25">
      <c r="A23" s="50" t="str">
        <f t="shared" si="8"/>
        <v>USAC543</v>
      </c>
      <c r="B23" s="13" t="s">
        <v>64</v>
      </c>
      <c r="C23" s="13">
        <v>54</v>
      </c>
      <c r="D23" s="13">
        <v>3</v>
      </c>
      <c r="E23" s="3" t="s">
        <v>65</v>
      </c>
      <c r="F23" s="43" t="str">
        <f>LOOKUP(D23,$AL$8:$AL$11,$AM$8:$AM$11)</f>
        <v>Fall</v>
      </c>
      <c r="G23" s="38">
        <f>SUMIFS('[12]inland_taf_hatchgrp_tableraw&amp;yy'!G$3:G$38,'[12]inland_taf_hatchgrp_tableraw&amp;yy'!$AC$3:$AC$38,'2019 Table 10 CWTs exp'!$A23)</f>
        <v>0</v>
      </c>
      <c r="H23" s="39">
        <f>SUMIFS('[12]inland_taf_hatchgrp_tableraw&amp;yy'!H$3:H$38,'[12]inland_taf_hatchgrp_tableraw&amp;yy'!$AC$3:$AC$38,'2019 Table 10 CWTs exp'!$A23)</f>
        <v>0</v>
      </c>
      <c r="I23" s="38">
        <f>SUMIFS('[12]inland_taf_hatchgrp_tableraw&amp;yy'!I$3:I$38,'[12]inland_taf_hatchgrp_tableraw&amp;yy'!$AC$3:$AC$38,'2019 Table 10 CWTs exp'!$A23)</f>
        <v>900</v>
      </c>
      <c r="J23" s="40">
        <f>SUMIFS('[12]inland_taf_hatchgrp_tableraw&amp;yy'!J$3:J$38,'[12]inland_taf_hatchgrp_tableraw&amp;yy'!$AC$3:$AC$38,'2019 Table 10 CWTs exp'!$A23)</f>
        <v>0</v>
      </c>
      <c r="K23" s="38">
        <f>SUMIFS('[12]inland_taf_hatchgrp_tableraw&amp;yy'!K$3:K$38,'[12]inland_taf_hatchgrp_tableraw&amp;yy'!$AC$3:$AC$38,'2019 Table 10 CWTs exp'!$A23)</f>
        <v>13</v>
      </c>
      <c r="L23" s="38">
        <f>SUMIFS('[12]inland_taf_hatchgrp_tableraw&amp;yy'!L$3:L$38,'[12]inland_taf_hatchgrp_tableraw&amp;yy'!$AC$3:$AC$38,'2019 Table 10 CWTs exp'!$A23)</f>
        <v>0</v>
      </c>
      <c r="M23" s="38">
        <f>SUMIFS('[12]inland_taf_hatchgrp_tableraw&amp;yy'!M$3:M$38,'[12]inland_taf_hatchgrp_tableraw&amp;yy'!$AC$3:$AC$38,'2019 Table 10 CWTs exp'!$A23)</f>
        <v>193</v>
      </c>
      <c r="N23" s="40">
        <f>SUMIFS('[12]inland_taf_hatchgrp_tableraw&amp;yy'!N$3:N$38,'[12]inland_taf_hatchgrp_tableraw&amp;yy'!$AC$3:$AC$38,'2019 Table 10 CWTs exp'!$A23)</f>
        <v>150</v>
      </c>
      <c r="O23" s="38">
        <f>SUMIFS('[12]inland_taf_hatchgrp_tableraw&amp;yy'!O$3:O$38,'[12]inland_taf_hatchgrp_tableraw&amp;yy'!$AC$3:$AC$38,'2019 Table 10 CWTs exp'!$A23)</f>
        <v>0</v>
      </c>
      <c r="P23" s="40">
        <f>SUMIFS('[12]inland_taf_hatchgrp_tableraw&amp;yy'!P$3:P$38,'[12]inland_taf_hatchgrp_tableraw&amp;yy'!$AC$3:$AC$38,'2019 Table 10 CWTs exp'!$A23)</f>
        <v>0</v>
      </c>
      <c r="Q23" s="38">
        <f>SUMIFS('[12]inland_taf_hatchgrp_tableraw&amp;yy'!Q$3:Q$38,'[12]inland_taf_hatchgrp_tableraw&amp;yy'!$AC$3:$AC$38,'2019 Table 10 CWTs exp'!$A23)</f>
        <v>0</v>
      </c>
      <c r="R23" s="38">
        <f>SUMIFS('[12]inland_taf_hatchgrp_tableraw&amp;yy'!R$3:R$38,'[12]inland_taf_hatchgrp_tableraw&amp;yy'!$AC$3:$AC$38,'2019 Table 10 CWTs exp'!$A23)</f>
        <v>0</v>
      </c>
      <c r="S23" s="38">
        <f>SUMIFS('[12]inland_taf_hatchgrp_tableraw&amp;yy'!S$3:S$38,'[12]inland_taf_hatchgrp_tableraw&amp;yy'!$AC$3:$AC$38,'2019 Table 10 CWTs exp'!$A23)</f>
        <v>13</v>
      </c>
      <c r="T23" s="40">
        <f>SUMIFS('[12]inland_taf_hatchgrp_tableraw&amp;yy'!T$3:T$38,'[12]inland_taf_hatchgrp_tableraw&amp;yy'!$AC$3:$AC$38,'2019 Table 10 CWTs exp'!$A23)</f>
        <v>12</v>
      </c>
      <c r="U23" s="38">
        <f>SUMIFS('[12]inland_taf_hatchgrp_tableraw&amp;yy'!U$3:U$38,'[12]inland_taf_hatchgrp_tableraw&amp;yy'!$AC$3:$AC$38,'2019 Table 10 CWTs exp'!$A23)</f>
        <v>0</v>
      </c>
      <c r="V23" s="40">
        <f>SUMIFS('[12]inland_taf_hatchgrp_tableraw&amp;yy'!V$3:V$38,'[12]inland_taf_hatchgrp_tableraw&amp;yy'!$AC$3:$AC$38,'2019 Table 10 CWTs exp'!$A23)</f>
        <v>0</v>
      </c>
      <c r="W23" s="40">
        <f>SUMIFS('[12]inland_taf_hatchgrp_tableraw&amp;yy'!W$3:W$38,'[12]inland_taf_hatchgrp_tableraw&amp;yy'!$AC$3:$AC$38,'2019 Table 10 CWTs exp'!$A23)</f>
        <v>0</v>
      </c>
      <c r="X23" s="38">
        <f>SUMIFS('[12]inland_taf_hatchgrp_tableraw&amp;yy'!X$3:X$38,'[12]inland_taf_hatchgrp_tableraw&amp;yy'!$AC$3:$AC$38,'2019 Table 10 CWTs exp'!$A23)</f>
        <v>0</v>
      </c>
      <c r="Y23" s="41">
        <f>SUMIFS('[12]inland_taf_hatchgrp_tableraw&amp;yy'!Y$3:Y$38,'[12]inland_taf_hatchgrp_tableraw&amp;yy'!$AC$3:$AC$38,'2019 Table 10 CWTs exp'!$A23)</f>
        <v>1281</v>
      </c>
      <c r="Z23" s="42">
        <f>SUMIFS('[12]inland_taf_hatchgrp_tableraw&amp;yy'!Z$3:Z$38,'[12]inland_taf_hatchgrp_tableraw&amp;yy'!$AC$3:$AC$38,'2019 Table 10 CWTs exp'!$A23)</f>
        <v>23180</v>
      </c>
      <c r="AA23" s="38">
        <f>SUMIFS('[12]inland_taf_hatchgrp_tableraw&amp;yy'!AA$3:AA$38,'[12]inland_taf_hatchgrp_tableraw&amp;yy'!$AC$3:$AC$38,'2019 Table 10 CWTs exp'!$A23)</f>
        <v>24461</v>
      </c>
      <c r="AB23" s="636"/>
      <c r="AC23" s="636"/>
      <c r="AD23" s="567">
        <f>SUMIFS('[12]inland_taf_hatchgrp_tableraw&amp;yy'!AB$3:AB$38,'[12]inland_taf_hatchgrp_tableraw&amp;yy'!$AC$3:$AC$38,'2019 Table 10 CWTs exp'!$A23)</f>
        <v>5.1999999999999998E-2</v>
      </c>
      <c r="AE23" s="604" t="str">
        <f t="shared" si="9"/>
        <v>USAC543</v>
      </c>
      <c r="AF23" s="442"/>
      <c r="AG23" s="622">
        <f t="shared" si="10"/>
        <v>5.2369077306733167E-2</v>
      </c>
      <c r="AH23" s="652">
        <f t="shared" si="11"/>
        <v>0.94763092269326688</v>
      </c>
      <c r="AI23" s="605">
        <f>1-AD23</f>
        <v>0.94799999999999995</v>
      </c>
      <c r="AJ23" s="447">
        <f t="shared" ref="AJ23:AJ39" si="12">Z23</f>
        <v>23180</v>
      </c>
      <c r="AK23" s="650">
        <f>AJ23/AA23</f>
        <v>0.94763092269326688</v>
      </c>
      <c r="AL23" s="451"/>
      <c r="AM23" s="442"/>
      <c r="AN23" s="442"/>
      <c r="AO23" s="442"/>
      <c r="AP23" s="442"/>
      <c r="AQ23" s="442"/>
      <c r="AR23" s="442"/>
      <c r="AS23" s="442"/>
      <c r="AT23" s="442"/>
      <c r="AU23" s="442"/>
      <c r="AV23" s="442"/>
      <c r="AW23" s="442"/>
      <c r="AX23" s="442"/>
      <c r="AY23" s="442"/>
      <c r="AZ23" s="442"/>
      <c r="BA23" s="442"/>
      <c r="BB23" s="442"/>
      <c r="BC23" s="442"/>
      <c r="BD23" s="442"/>
      <c r="BE23" s="442"/>
      <c r="BF23" s="442"/>
      <c r="BG23" s="442"/>
    </row>
    <row r="24" spans="1:59" ht="14.25" customHeight="1" x14ac:dyDescent="0.25">
      <c r="A24" s="50" t="str">
        <f t="shared" si="8"/>
        <v>CLR543</v>
      </c>
      <c r="B24" s="13" t="s">
        <v>70</v>
      </c>
      <c r="C24" s="13">
        <v>54</v>
      </c>
      <c r="D24" s="13">
        <v>3</v>
      </c>
      <c r="E24" s="3" t="s">
        <v>71</v>
      </c>
      <c r="F24" s="43" t="str">
        <f>LOOKUP(D24,$AL$8:$AL$11,$AM$8:$AM$11)</f>
        <v>Fall</v>
      </c>
      <c r="G24" s="38">
        <f>SUMIFS('[12]inland_taf_hatchgrp_tableraw&amp;yy'!G$3:G$38,'[12]inland_taf_hatchgrp_tableraw&amp;yy'!$AC$3:$AC$38,'2019 Table 10 CWTs exp'!$A24)</f>
        <v>0</v>
      </c>
      <c r="H24" s="39">
        <f>SUMIFS('[12]inland_taf_hatchgrp_tableraw&amp;yy'!H$3:H$38,'[12]inland_taf_hatchgrp_tableraw&amp;yy'!$AC$3:$AC$38,'2019 Table 10 CWTs exp'!$A24)</f>
        <v>0</v>
      </c>
      <c r="I24" s="38">
        <f>SUMIFS('[12]inland_taf_hatchgrp_tableraw&amp;yy'!I$3:I$38,'[12]inland_taf_hatchgrp_tableraw&amp;yy'!$AC$3:$AC$38,'2019 Table 10 CWTs exp'!$A24)</f>
        <v>831</v>
      </c>
      <c r="J24" s="40">
        <f>SUMIFS('[12]inland_taf_hatchgrp_tableraw&amp;yy'!J$3:J$38,'[12]inland_taf_hatchgrp_tableraw&amp;yy'!$AC$3:$AC$38,'2019 Table 10 CWTs exp'!$A24)</f>
        <v>0</v>
      </c>
      <c r="K24" s="38">
        <f>SUMIFS('[12]inland_taf_hatchgrp_tableraw&amp;yy'!K$3:K$38,'[12]inland_taf_hatchgrp_tableraw&amp;yy'!$AC$3:$AC$38,'2019 Table 10 CWTs exp'!$A24)</f>
        <v>10</v>
      </c>
      <c r="L24" s="38">
        <f>SUMIFS('[12]inland_taf_hatchgrp_tableraw&amp;yy'!L$3:L$38,'[12]inland_taf_hatchgrp_tableraw&amp;yy'!$AC$3:$AC$38,'2019 Table 10 CWTs exp'!$A24)</f>
        <v>0</v>
      </c>
      <c r="M24" s="38">
        <f>SUMIFS('[12]inland_taf_hatchgrp_tableraw&amp;yy'!M$3:M$38,'[12]inland_taf_hatchgrp_tableraw&amp;yy'!$AC$3:$AC$38,'2019 Table 10 CWTs exp'!$A24)</f>
        <v>39</v>
      </c>
      <c r="N24" s="40">
        <f>SUMIFS('[12]inland_taf_hatchgrp_tableraw&amp;yy'!N$3:N$38,'[12]inland_taf_hatchgrp_tableraw&amp;yy'!$AC$3:$AC$38,'2019 Table 10 CWTs exp'!$A24)</f>
        <v>119</v>
      </c>
      <c r="O24" s="38">
        <f>SUMIFS('[12]inland_taf_hatchgrp_tableraw&amp;yy'!O$3:O$38,'[12]inland_taf_hatchgrp_tableraw&amp;yy'!$AC$3:$AC$38,'2019 Table 10 CWTs exp'!$A24)</f>
        <v>0</v>
      </c>
      <c r="P24" s="40">
        <f>SUMIFS('[12]inland_taf_hatchgrp_tableraw&amp;yy'!P$3:P$38,'[12]inland_taf_hatchgrp_tableraw&amp;yy'!$AC$3:$AC$38,'2019 Table 10 CWTs exp'!$A24)</f>
        <v>0</v>
      </c>
      <c r="Q24" s="38">
        <f>SUMIFS('[12]inland_taf_hatchgrp_tableraw&amp;yy'!Q$3:Q$38,'[12]inland_taf_hatchgrp_tableraw&amp;yy'!$AC$3:$AC$38,'2019 Table 10 CWTs exp'!$A24)</f>
        <v>0</v>
      </c>
      <c r="R24" s="38">
        <f>SUMIFS('[12]inland_taf_hatchgrp_tableraw&amp;yy'!R$3:R$38,'[12]inland_taf_hatchgrp_tableraw&amp;yy'!$AC$3:$AC$38,'2019 Table 10 CWTs exp'!$A24)</f>
        <v>39</v>
      </c>
      <c r="S24" s="38">
        <f>SUMIFS('[12]inland_taf_hatchgrp_tableraw&amp;yy'!S$3:S$38,'[12]inland_taf_hatchgrp_tableraw&amp;yy'!$AC$3:$AC$38,'2019 Table 10 CWTs exp'!$A24)</f>
        <v>0</v>
      </c>
      <c r="T24" s="40">
        <f>SUMIFS('[12]inland_taf_hatchgrp_tableraw&amp;yy'!T$3:T$38,'[12]inland_taf_hatchgrp_tableraw&amp;yy'!$AC$3:$AC$38,'2019 Table 10 CWTs exp'!$A24)</f>
        <v>10</v>
      </c>
      <c r="U24" s="38">
        <f>SUMIFS('[12]inland_taf_hatchgrp_tableraw&amp;yy'!U$3:U$38,'[12]inland_taf_hatchgrp_tableraw&amp;yy'!$AC$3:$AC$38,'2019 Table 10 CWTs exp'!$A24)</f>
        <v>0</v>
      </c>
      <c r="V24" s="40">
        <f>SUMIFS('[12]inland_taf_hatchgrp_tableraw&amp;yy'!V$3:V$38,'[12]inland_taf_hatchgrp_tableraw&amp;yy'!$AC$3:$AC$38,'2019 Table 10 CWTs exp'!$A24)</f>
        <v>0</v>
      </c>
      <c r="W24" s="40">
        <f>SUMIFS('[12]inland_taf_hatchgrp_tableraw&amp;yy'!W$3:W$38,'[12]inland_taf_hatchgrp_tableraw&amp;yy'!$AC$3:$AC$38,'2019 Table 10 CWTs exp'!$A24)</f>
        <v>0</v>
      </c>
      <c r="X24" s="38">
        <f>SUMIFS('[12]inland_taf_hatchgrp_tableraw&amp;yy'!X$3:X$38,'[12]inland_taf_hatchgrp_tableraw&amp;yy'!$AC$3:$AC$38,'2019 Table 10 CWTs exp'!$A24)</f>
        <v>0</v>
      </c>
      <c r="Y24" s="41">
        <f>SUMIFS('[12]inland_taf_hatchgrp_tableraw&amp;yy'!Y$3:Y$38,'[12]inland_taf_hatchgrp_tableraw&amp;yy'!$AC$3:$AC$38,'2019 Table 10 CWTs exp'!$A24)</f>
        <v>1048</v>
      </c>
      <c r="Z24" s="42">
        <f>SUMIFS('[12]inland_taf_hatchgrp_tableraw&amp;yy'!Z$3:Z$38,'[12]inland_taf_hatchgrp_tableraw&amp;yy'!$AC$3:$AC$38,'2019 Table 10 CWTs exp'!$A24)</f>
        <v>4664</v>
      </c>
      <c r="AA24" s="38">
        <f>SUMIFS('[12]inland_taf_hatchgrp_tableraw&amp;yy'!AA$3:AA$38,'[12]inland_taf_hatchgrp_tableraw&amp;yy'!$AC$3:$AC$38,'2019 Table 10 CWTs exp'!$A24)</f>
        <v>5712</v>
      </c>
      <c r="AB24" s="636"/>
      <c r="AC24" s="636"/>
      <c r="AD24" s="567">
        <f>SUMIFS('[12]inland_taf_hatchgrp_tableraw&amp;yy'!AB$3:AB$38,'[12]inland_taf_hatchgrp_tableraw&amp;yy'!$AC$3:$AC$38,'2019 Table 10 CWTs exp'!$A24)</f>
        <v>0.183</v>
      </c>
      <c r="AE24" s="604" t="str">
        <f t="shared" si="9"/>
        <v>CLR543</v>
      </c>
      <c r="AF24" s="613"/>
      <c r="AG24" s="622">
        <f t="shared" si="10"/>
        <v>0.18347338935574228</v>
      </c>
      <c r="AH24" s="652">
        <f t="shared" si="11"/>
        <v>0.81652661064425769</v>
      </c>
      <c r="AI24" s="605">
        <f t="shared" ref="AI24:AI40" si="13">1-AD24</f>
        <v>0.81699999999999995</v>
      </c>
      <c r="AJ24" s="447">
        <f t="shared" si="12"/>
        <v>4664</v>
      </c>
      <c r="AK24" s="650">
        <f t="shared" ref="AK24:AK40" si="14">AJ24/AA24</f>
        <v>0.81652661064425769</v>
      </c>
      <c r="AL24" s="451"/>
      <c r="AM24" s="442"/>
      <c r="AN24" s="442"/>
      <c r="AO24" s="442"/>
      <c r="AP24" s="442"/>
      <c r="AQ24" s="442"/>
      <c r="AR24" s="442"/>
      <c r="AS24" s="442"/>
      <c r="AT24" s="442"/>
      <c r="AU24" s="442"/>
      <c r="AV24" s="442"/>
      <c r="AW24" s="442"/>
      <c r="AX24" s="442"/>
      <c r="AY24" s="442"/>
      <c r="AZ24" s="442"/>
      <c r="BA24" s="442"/>
      <c r="BB24" s="442"/>
      <c r="BC24" s="442"/>
      <c r="BD24" s="442"/>
      <c r="BE24" s="442"/>
      <c r="BF24" s="442"/>
      <c r="BG24" s="442"/>
    </row>
    <row r="25" spans="1:59" ht="14.5" x14ac:dyDescent="0.25">
      <c r="A25" s="50" t="str">
        <f t="shared" si="8"/>
        <v>BATT543</v>
      </c>
      <c r="B25" s="13" t="s">
        <v>72</v>
      </c>
      <c r="C25" s="13">
        <v>54</v>
      </c>
      <c r="D25" s="13">
        <v>3</v>
      </c>
      <c r="E25" s="75" t="s">
        <v>73</v>
      </c>
      <c r="F25" s="43" t="s">
        <v>48</v>
      </c>
      <c r="G25" s="38">
        <f>SUMIFS('[12]inland_taf_hatchgrp_tableraw&amp;yy'!G$3:G$38,'[12]inland_taf_hatchgrp_tableraw&amp;yy'!$AC$3:$AC$38,'2019 Table 10 CWTs exp'!$A25)</f>
        <v>0</v>
      </c>
      <c r="H25" s="39">
        <f>SUMIFS('[12]inland_taf_hatchgrp_tableraw&amp;yy'!H$3:H$38,'[12]inland_taf_hatchgrp_tableraw&amp;yy'!$AC$3:$AC$38,'2019 Table 10 CWTs exp'!$A25)</f>
        <v>0</v>
      </c>
      <c r="I25" s="38">
        <f>SUMIFS('[12]inland_taf_hatchgrp_tableraw&amp;yy'!I$3:I$38,'[12]inland_taf_hatchgrp_tableraw&amp;yy'!$AC$3:$AC$38,'2019 Table 10 CWTs exp'!$A25)</f>
        <v>18722</v>
      </c>
      <c r="J25" s="40">
        <f>SUMIFS('[12]inland_taf_hatchgrp_tableraw&amp;yy'!J$3:J$38,'[12]inland_taf_hatchgrp_tableraw&amp;yy'!$AC$3:$AC$38,'2019 Table 10 CWTs exp'!$A25)</f>
        <v>0</v>
      </c>
      <c r="K25" s="38">
        <f>SUMIFS('[12]inland_taf_hatchgrp_tableraw&amp;yy'!K$3:K$38,'[12]inland_taf_hatchgrp_tableraw&amp;yy'!$AC$3:$AC$38,'2019 Table 10 CWTs exp'!$A25)</f>
        <v>0</v>
      </c>
      <c r="L25" s="38">
        <f>SUMIFS('[12]inland_taf_hatchgrp_tableraw&amp;yy'!L$3:L$38,'[12]inland_taf_hatchgrp_tableraw&amp;yy'!$AC$3:$AC$38,'2019 Table 10 CWTs exp'!$A25)</f>
        <v>3</v>
      </c>
      <c r="M25" s="38">
        <f>SUMIFS('[12]inland_taf_hatchgrp_tableraw&amp;yy'!M$3:M$38,'[12]inland_taf_hatchgrp_tableraw&amp;yy'!$AC$3:$AC$38,'2019 Table 10 CWTs exp'!$A25)</f>
        <v>12</v>
      </c>
      <c r="N25" s="40">
        <f>SUMIFS('[12]inland_taf_hatchgrp_tableraw&amp;yy'!N$3:N$38,'[12]inland_taf_hatchgrp_tableraw&amp;yy'!$AC$3:$AC$38,'2019 Table 10 CWTs exp'!$A25)</f>
        <v>6</v>
      </c>
      <c r="O25" s="38">
        <f>SUMIFS('[12]inland_taf_hatchgrp_tableraw&amp;yy'!O$3:O$38,'[12]inland_taf_hatchgrp_tableraw&amp;yy'!$AC$3:$AC$38,'2019 Table 10 CWTs exp'!$A25)</f>
        <v>0</v>
      </c>
      <c r="P25" s="40">
        <f>SUMIFS('[12]inland_taf_hatchgrp_tableraw&amp;yy'!P$3:P$38,'[12]inland_taf_hatchgrp_tableraw&amp;yy'!$AC$3:$AC$38,'2019 Table 10 CWTs exp'!$A25)</f>
        <v>0</v>
      </c>
      <c r="Q25" s="38">
        <f>SUMIFS('[12]inland_taf_hatchgrp_tableraw&amp;yy'!Q$3:Q$38,'[12]inland_taf_hatchgrp_tableraw&amp;yy'!$AC$3:$AC$38,'2019 Table 10 CWTs exp'!$A25)</f>
        <v>0</v>
      </c>
      <c r="R25" s="38">
        <f>SUMIFS('[12]inland_taf_hatchgrp_tableraw&amp;yy'!R$3:R$38,'[12]inland_taf_hatchgrp_tableraw&amp;yy'!$AC$3:$AC$38,'2019 Table 10 CWTs exp'!$A25)</f>
        <v>0</v>
      </c>
      <c r="S25" s="38">
        <f>SUMIFS('[12]inland_taf_hatchgrp_tableraw&amp;yy'!S$3:S$38,'[12]inland_taf_hatchgrp_tableraw&amp;yy'!$AC$3:$AC$38,'2019 Table 10 CWTs exp'!$A25)</f>
        <v>3</v>
      </c>
      <c r="T25" s="40">
        <f>SUMIFS('[12]inland_taf_hatchgrp_tableraw&amp;yy'!T$3:T$38,'[12]inland_taf_hatchgrp_tableraw&amp;yy'!$AC$3:$AC$38,'2019 Table 10 CWTs exp'!$A25)</f>
        <v>0</v>
      </c>
      <c r="U25" s="38">
        <f>SUMIFS('[12]inland_taf_hatchgrp_tableraw&amp;yy'!U$3:U$38,'[12]inland_taf_hatchgrp_tableraw&amp;yy'!$AC$3:$AC$38,'2019 Table 10 CWTs exp'!$A25)</f>
        <v>0</v>
      </c>
      <c r="V25" s="40">
        <f>SUMIFS('[12]inland_taf_hatchgrp_tableraw&amp;yy'!V$3:V$38,'[12]inland_taf_hatchgrp_tableraw&amp;yy'!$AC$3:$AC$38,'2019 Table 10 CWTs exp'!$A25)</f>
        <v>0</v>
      </c>
      <c r="W25" s="40">
        <f>SUMIFS('[12]inland_taf_hatchgrp_tableraw&amp;yy'!W$3:W$38,'[12]inland_taf_hatchgrp_tableraw&amp;yy'!$AC$3:$AC$38,'2019 Table 10 CWTs exp'!$A25)</f>
        <v>0</v>
      </c>
      <c r="X25" s="38">
        <f>SUMIFS('[12]inland_taf_hatchgrp_tableraw&amp;yy'!X$3:X$38,'[12]inland_taf_hatchgrp_tableraw&amp;yy'!$AC$3:$AC$38,'2019 Table 10 CWTs exp'!$A25)</f>
        <v>0</v>
      </c>
      <c r="Y25" s="41">
        <f>SUMIFS('[12]inland_taf_hatchgrp_tableraw&amp;yy'!Y$3:Y$38,'[12]inland_taf_hatchgrp_tableraw&amp;yy'!$AC$3:$AC$38,'2019 Table 10 CWTs exp'!$A25)</f>
        <v>18746</v>
      </c>
      <c r="Z25" s="42">
        <f>SUMIFS('[12]inland_taf_hatchgrp_tableraw&amp;yy'!Z$3:Z$38,'[12]inland_taf_hatchgrp_tableraw&amp;yy'!$AC$3:$AC$38,'2019 Table 10 CWTs exp'!$A25)</f>
        <v>2129</v>
      </c>
      <c r="AA25" s="38">
        <f>SUMIFS('[12]inland_taf_hatchgrp_tableraw&amp;yy'!AA$3:AA$38,'[12]inland_taf_hatchgrp_tableraw&amp;yy'!$AC$3:$AC$38,'2019 Table 10 CWTs exp'!$A25)</f>
        <v>20875</v>
      </c>
      <c r="AB25" s="636"/>
      <c r="AC25" s="636"/>
      <c r="AD25" s="567">
        <f>Y25/AA25</f>
        <v>0.89801197604790417</v>
      </c>
      <c r="AE25" s="604" t="str">
        <f t="shared" si="9"/>
        <v>BATT543</v>
      </c>
      <c r="AF25" s="442"/>
      <c r="AG25" s="622">
        <f t="shared" si="10"/>
        <v>0.89801197604790417</v>
      </c>
      <c r="AH25" s="652">
        <f t="shared" si="11"/>
        <v>0.1019880239520958</v>
      </c>
      <c r="AI25" s="605">
        <f t="shared" si="13"/>
        <v>0.10198802395209583</v>
      </c>
      <c r="AJ25" s="447">
        <f t="shared" si="12"/>
        <v>2129</v>
      </c>
      <c r="AK25" s="650">
        <f t="shared" si="14"/>
        <v>0.1019880239520958</v>
      </c>
      <c r="AL25" s="451"/>
      <c r="AM25" s="442"/>
      <c r="AN25" s="442"/>
      <c r="AO25" s="442"/>
      <c r="AP25" s="442"/>
      <c r="AQ25" s="442"/>
      <c r="AR25" s="442"/>
      <c r="AS25" s="442"/>
      <c r="AT25" s="442"/>
      <c r="AU25" s="442"/>
      <c r="AV25" s="442"/>
      <c r="AW25" s="442"/>
      <c r="AX25" s="442"/>
      <c r="AY25" s="442"/>
      <c r="AZ25" s="442"/>
      <c r="BA25" s="442"/>
      <c r="BB25" s="442"/>
      <c r="BC25" s="442"/>
      <c r="BD25" s="442"/>
      <c r="BE25" s="442"/>
      <c r="BF25" s="442"/>
      <c r="BG25" s="442"/>
    </row>
    <row r="26" spans="1:59" hidden="1" x14ac:dyDescent="0.25">
      <c r="A26" s="50" t="str">
        <f t="shared" si="8"/>
        <v>COT543</v>
      </c>
      <c r="B26" s="13" t="s">
        <v>74</v>
      </c>
      <c r="C26" s="13">
        <v>54</v>
      </c>
      <c r="D26" s="13">
        <v>3</v>
      </c>
      <c r="E26" s="3" t="s">
        <v>75</v>
      </c>
      <c r="F26" s="43" t="str">
        <f t="shared" ref="F26:F40" si="15">LOOKUP(D26,$AL$8:$AL$11,$AM$8:$AM$11)</f>
        <v>Fall</v>
      </c>
      <c r="G26" s="38">
        <f>SUMIFS('[12]inland_taf_hatchgrp_tableraw&amp;yy'!G$3:G$38,'[12]inland_taf_hatchgrp_tableraw&amp;yy'!$AC$3:$AC$38,'2019 Table 10 CWTs exp'!$A26)</f>
        <v>0</v>
      </c>
      <c r="H26" s="39">
        <f>SUMIFS('[12]inland_taf_hatchgrp_tableraw&amp;yy'!H$3:H$38,'[12]inland_taf_hatchgrp_tableraw&amp;yy'!$AC$3:$AC$38,'2019 Table 10 CWTs exp'!$A26)</f>
        <v>0</v>
      </c>
      <c r="I26" s="38">
        <f>SUMIFS('[12]inland_taf_hatchgrp_tableraw&amp;yy'!I$3:I$38,'[12]inland_taf_hatchgrp_tableraw&amp;yy'!$AC$3:$AC$38,'2019 Table 10 CWTs exp'!$A26)</f>
        <v>0</v>
      </c>
      <c r="J26" s="40">
        <f>SUMIFS('[12]inland_taf_hatchgrp_tableraw&amp;yy'!J$3:J$38,'[12]inland_taf_hatchgrp_tableraw&amp;yy'!$AC$3:$AC$38,'2019 Table 10 CWTs exp'!$A26)</f>
        <v>0</v>
      </c>
      <c r="K26" s="38">
        <f>SUMIFS('[12]inland_taf_hatchgrp_tableraw&amp;yy'!K$3:K$38,'[12]inland_taf_hatchgrp_tableraw&amp;yy'!$AC$3:$AC$38,'2019 Table 10 CWTs exp'!$A26)</f>
        <v>0</v>
      </c>
      <c r="L26" s="38">
        <f>SUMIFS('[12]inland_taf_hatchgrp_tableraw&amp;yy'!L$3:L$38,'[12]inland_taf_hatchgrp_tableraw&amp;yy'!$AC$3:$AC$38,'2019 Table 10 CWTs exp'!$A26)</f>
        <v>0</v>
      </c>
      <c r="M26" s="38">
        <f>SUMIFS('[12]inland_taf_hatchgrp_tableraw&amp;yy'!M$3:M$38,'[12]inland_taf_hatchgrp_tableraw&amp;yy'!$AC$3:$AC$38,'2019 Table 10 CWTs exp'!$A26)</f>
        <v>0</v>
      </c>
      <c r="N26" s="40">
        <f>SUMIFS('[12]inland_taf_hatchgrp_tableraw&amp;yy'!N$3:N$38,'[12]inland_taf_hatchgrp_tableraw&amp;yy'!$AC$3:$AC$38,'2019 Table 10 CWTs exp'!$A26)</f>
        <v>0</v>
      </c>
      <c r="O26" s="38">
        <f>SUMIFS('[12]inland_taf_hatchgrp_tableraw&amp;yy'!O$3:O$38,'[12]inland_taf_hatchgrp_tableraw&amp;yy'!$AC$3:$AC$38,'2019 Table 10 CWTs exp'!$A26)</f>
        <v>0</v>
      </c>
      <c r="P26" s="40">
        <f>SUMIFS('[12]inland_taf_hatchgrp_tableraw&amp;yy'!P$3:P$38,'[12]inland_taf_hatchgrp_tableraw&amp;yy'!$AC$3:$AC$38,'2019 Table 10 CWTs exp'!$A26)</f>
        <v>0</v>
      </c>
      <c r="Q26" s="38">
        <f>SUMIFS('[12]inland_taf_hatchgrp_tableraw&amp;yy'!Q$3:Q$38,'[12]inland_taf_hatchgrp_tableraw&amp;yy'!$AC$3:$AC$38,'2019 Table 10 CWTs exp'!$A26)</f>
        <v>0</v>
      </c>
      <c r="R26" s="38">
        <f>SUMIFS('[12]inland_taf_hatchgrp_tableraw&amp;yy'!R$3:R$38,'[12]inland_taf_hatchgrp_tableraw&amp;yy'!$AC$3:$AC$38,'2019 Table 10 CWTs exp'!$A26)</f>
        <v>0</v>
      </c>
      <c r="S26" s="38">
        <f>SUMIFS('[12]inland_taf_hatchgrp_tableraw&amp;yy'!S$3:S$38,'[12]inland_taf_hatchgrp_tableraw&amp;yy'!$AC$3:$AC$38,'2019 Table 10 CWTs exp'!$A26)</f>
        <v>0</v>
      </c>
      <c r="T26" s="40">
        <f>SUMIFS('[12]inland_taf_hatchgrp_tableraw&amp;yy'!T$3:T$38,'[12]inland_taf_hatchgrp_tableraw&amp;yy'!$AC$3:$AC$38,'2019 Table 10 CWTs exp'!$A26)</f>
        <v>0</v>
      </c>
      <c r="U26" s="38">
        <f>SUMIFS('[12]inland_taf_hatchgrp_tableraw&amp;yy'!U$3:U$38,'[12]inland_taf_hatchgrp_tableraw&amp;yy'!$AC$3:$AC$38,'2019 Table 10 CWTs exp'!$A26)</f>
        <v>0</v>
      </c>
      <c r="V26" s="40">
        <f>SUMIFS('[12]inland_taf_hatchgrp_tableraw&amp;yy'!V$3:V$38,'[12]inland_taf_hatchgrp_tableraw&amp;yy'!$AC$3:$AC$38,'2019 Table 10 CWTs exp'!$A26)</f>
        <v>0</v>
      </c>
      <c r="W26" s="40">
        <f>SUMIFS('[12]inland_taf_hatchgrp_tableraw&amp;yy'!W$3:W$38,'[12]inland_taf_hatchgrp_tableraw&amp;yy'!$AC$3:$AC$38,'2019 Table 10 CWTs exp'!$A26)</f>
        <v>0</v>
      </c>
      <c r="X26" s="38">
        <f>SUMIFS('[12]inland_taf_hatchgrp_tableraw&amp;yy'!X$3:X$38,'[12]inland_taf_hatchgrp_tableraw&amp;yy'!$AC$3:$AC$38,'2019 Table 10 CWTs exp'!$A26)</f>
        <v>0</v>
      </c>
      <c r="Y26" s="41">
        <f>SUMIFS('[12]inland_taf_hatchgrp_tableraw&amp;yy'!Y$3:Y$38,'[12]inland_taf_hatchgrp_tableraw&amp;yy'!$AC$3:$AC$38,'2019 Table 10 CWTs exp'!$A26)</f>
        <v>0</v>
      </c>
      <c r="Z26" s="42">
        <f>SUMIFS('[12]inland_taf_hatchgrp_tableraw&amp;yy'!Z$3:Z$38,'[12]inland_taf_hatchgrp_tableraw&amp;yy'!$AC$3:$AC$38,'2019 Table 10 CWTs exp'!$A26)</f>
        <v>0</v>
      </c>
      <c r="AA26" s="38">
        <f>SUMIFS('[12]inland_taf_hatchgrp_tableraw&amp;yy'!AA$3:AA$38,'[12]inland_taf_hatchgrp_tableraw&amp;yy'!$AC$3:$AC$38,'2019 Table 10 CWTs exp'!$A26)</f>
        <v>0</v>
      </c>
      <c r="AB26" s="636"/>
      <c r="AC26" s="636"/>
      <c r="AD26" s="567">
        <f>SUMIFS('[12]inland_taf_hatchgrp_tableraw&amp;yy'!AB$3:AB$38,'[12]inland_taf_hatchgrp_tableraw&amp;yy'!$AC$3:$AC$38,'2019 Table 10 CWTs exp'!$A26)</f>
        <v>0</v>
      </c>
      <c r="AE26" s="604" t="str">
        <f t="shared" si="9"/>
        <v>COT543</v>
      </c>
      <c r="AF26" s="442"/>
      <c r="AG26" s="622" t="e">
        <f t="shared" si="10"/>
        <v>#DIV/0!</v>
      </c>
      <c r="AH26" s="652" t="e">
        <f t="shared" si="11"/>
        <v>#DIV/0!</v>
      </c>
      <c r="AI26" s="605">
        <f t="shared" si="13"/>
        <v>1</v>
      </c>
      <c r="AJ26" s="447">
        <f t="shared" si="12"/>
        <v>0</v>
      </c>
      <c r="AK26" s="650" t="e">
        <f t="shared" si="14"/>
        <v>#DIV/0!</v>
      </c>
      <c r="AL26" s="451"/>
      <c r="AM26" s="442"/>
      <c r="AN26" s="442"/>
      <c r="AO26" s="442"/>
      <c r="AP26" s="442"/>
      <c r="AQ26" s="442"/>
      <c r="AR26" s="442"/>
      <c r="AS26" s="442"/>
      <c r="AT26" s="442"/>
      <c r="AU26" s="442"/>
      <c r="AV26" s="442"/>
      <c r="AW26" s="442"/>
      <c r="AX26" s="442"/>
      <c r="AY26" s="442"/>
      <c r="AZ26" s="442"/>
      <c r="BA26" s="442"/>
      <c r="BB26" s="442"/>
      <c r="BC26" s="442"/>
      <c r="BD26" s="442"/>
      <c r="BE26" s="442"/>
      <c r="BF26" s="442"/>
      <c r="BG26" s="442"/>
    </row>
    <row r="27" spans="1:59" hidden="1" x14ac:dyDescent="0.25">
      <c r="A27" s="50" t="str">
        <f t="shared" si="8"/>
        <v>COW543</v>
      </c>
      <c r="B27" s="13" t="s">
        <v>76</v>
      </c>
      <c r="C27" s="13">
        <v>54</v>
      </c>
      <c r="D27" s="13">
        <v>3</v>
      </c>
      <c r="E27" s="3" t="s">
        <v>77</v>
      </c>
      <c r="F27" s="43" t="str">
        <f t="shared" si="15"/>
        <v>Fall</v>
      </c>
      <c r="G27" s="38">
        <f>SUMIFS('[12]inland_taf_hatchgrp_tableraw&amp;yy'!G$3:G$38,'[12]inland_taf_hatchgrp_tableraw&amp;yy'!$AC$3:$AC$38,'2019 Table 10 CWTs exp'!$A27)</f>
        <v>0</v>
      </c>
      <c r="H27" s="39">
        <f>SUMIFS('[12]inland_taf_hatchgrp_tableraw&amp;yy'!H$3:H$38,'[12]inland_taf_hatchgrp_tableraw&amp;yy'!$AC$3:$AC$38,'2019 Table 10 CWTs exp'!$A27)</f>
        <v>0</v>
      </c>
      <c r="I27" s="38">
        <f>SUMIFS('[12]inland_taf_hatchgrp_tableraw&amp;yy'!I$3:I$38,'[12]inland_taf_hatchgrp_tableraw&amp;yy'!$AC$3:$AC$38,'2019 Table 10 CWTs exp'!$A27)</f>
        <v>0</v>
      </c>
      <c r="J27" s="40">
        <f>SUMIFS('[12]inland_taf_hatchgrp_tableraw&amp;yy'!J$3:J$38,'[12]inland_taf_hatchgrp_tableraw&amp;yy'!$AC$3:$AC$38,'2019 Table 10 CWTs exp'!$A27)</f>
        <v>0</v>
      </c>
      <c r="K27" s="38">
        <f>SUMIFS('[12]inland_taf_hatchgrp_tableraw&amp;yy'!K$3:K$38,'[12]inland_taf_hatchgrp_tableraw&amp;yy'!$AC$3:$AC$38,'2019 Table 10 CWTs exp'!$A27)</f>
        <v>0</v>
      </c>
      <c r="L27" s="38">
        <f>SUMIFS('[12]inland_taf_hatchgrp_tableraw&amp;yy'!L$3:L$38,'[12]inland_taf_hatchgrp_tableraw&amp;yy'!$AC$3:$AC$38,'2019 Table 10 CWTs exp'!$A27)</f>
        <v>0</v>
      </c>
      <c r="M27" s="38">
        <f>SUMIFS('[12]inland_taf_hatchgrp_tableraw&amp;yy'!M$3:M$38,'[12]inland_taf_hatchgrp_tableraw&amp;yy'!$AC$3:$AC$38,'2019 Table 10 CWTs exp'!$A27)</f>
        <v>0</v>
      </c>
      <c r="N27" s="40">
        <f>SUMIFS('[12]inland_taf_hatchgrp_tableraw&amp;yy'!N$3:N$38,'[12]inland_taf_hatchgrp_tableraw&amp;yy'!$AC$3:$AC$38,'2019 Table 10 CWTs exp'!$A27)</f>
        <v>0</v>
      </c>
      <c r="O27" s="38">
        <f>SUMIFS('[12]inland_taf_hatchgrp_tableraw&amp;yy'!O$3:O$38,'[12]inland_taf_hatchgrp_tableraw&amp;yy'!$AC$3:$AC$38,'2019 Table 10 CWTs exp'!$A27)</f>
        <v>0</v>
      </c>
      <c r="P27" s="40">
        <f>SUMIFS('[12]inland_taf_hatchgrp_tableraw&amp;yy'!P$3:P$38,'[12]inland_taf_hatchgrp_tableraw&amp;yy'!$AC$3:$AC$38,'2019 Table 10 CWTs exp'!$A27)</f>
        <v>0</v>
      </c>
      <c r="Q27" s="38">
        <f>SUMIFS('[12]inland_taf_hatchgrp_tableraw&amp;yy'!Q$3:Q$38,'[12]inland_taf_hatchgrp_tableraw&amp;yy'!$AC$3:$AC$38,'2019 Table 10 CWTs exp'!$A27)</f>
        <v>0</v>
      </c>
      <c r="R27" s="38">
        <f>SUMIFS('[12]inland_taf_hatchgrp_tableraw&amp;yy'!R$3:R$38,'[12]inland_taf_hatchgrp_tableraw&amp;yy'!$AC$3:$AC$38,'2019 Table 10 CWTs exp'!$A27)</f>
        <v>0</v>
      </c>
      <c r="S27" s="38">
        <f>SUMIFS('[12]inland_taf_hatchgrp_tableraw&amp;yy'!S$3:S$38,'[12]inland_taf_hatchgrp_tableraw&amp;yy'!$AC$3:$AC$38,'2019 Table 10 CWTs exp'!$A27)</f>
        <v>0</v>
      </c>
      <c r="T27" s="40">
        <f>SUMIFS('[12]inland_taf_hatchgrp_tableraw&amp;yy'!T$3:T$38,'[12]inland_taf_hatchgrp_tableraw&amp;yy'!$AC$3:$AC$38,'2019 Table 10 CWTs exp'!$A27)</f>
        <v>0</v>
      </c>
      <c r="U27" s="38">
        <f>SUMIFS('[12]inland_taf_hatchgrp_tableraw&amp;yy'!U$3:U$38,'[12]inland_taf_hatchgrp_tableraw&amp;yy'!$AC$3:$AC$38,'2019 Table 10 CWTs exp'!$A27)</f>
        <v>0</v>
      </c>
      <c r="V27" s="40">
        <f>SUMIFS('[12]inland_taf_hatchgrp_tableraw&amp;yy'!V$3:V$38,'[12]inland_taf_hatchgrp_tableraw&amp;yy'!$AC$3:$AC$38,'2019 Table 10 CWTs exp'!$A27)</f>
        <v>0</v>
      </c>
      <c r="W27" s="40">
        <f>SUMIFS('[12]inland_taf_hatchgrp_tableraw&amp;yy'!W$3:W$38,'[12]inland_taf_hatchgrp_tableraw&amp;yy'!$AC$3:$AC$38,'2019 Table 10 CWTs exp'!$A27)</f>
        <v>0</v>
      </c>
      <c r="X27" s="38">
        <f>SUMIFS('[12]inland_taf_hatchgrp_tableraw&amp;yy'!X$3:X$38,'[12]inland_taf_hatchgrp_tableraw&amp;yy'!$AC$3:$AC$38,'2019 Table 10 CWTs exp'!$A27)</f>
        <v>0</v>
      </c>
      <c r="Y27" s="41">
        <f>SUMIFS('[12]inland_taf_hatchgrp_tableraw&amp;yy'!Y$3:Y$38,'[12]inland_taf_hatchgrp_tableraw&amp;yy'!$AC$3:$AC$38,'2019 Table 10 CWTs exp'!$A27)</f>
        <v>0</v>
      </c>
      <c r="Z27" s="42">
        <f>SUMIFS('[12]inland_taf_hatchgrp_tableraw&amp;yy'!Z$3:Z$38,'[12]inland_taf_hatchgrp_tableraw&amp;yy'!$AC$3:$AC$38,'2019 Table 10 CWTs exp'!$A27)</f>
        <v>0</v>
      </c>
      <c r="AA27" s="38">
        <f>SUMIFS('[12]inland_taf_hatchgrp_tableraw&amp;yy'!AA$3:AA$38,'[12]inland_taf_hatchgrp_tableraw&amp;yy'!$AC$3:$AC$38,'2019 Table 10 CWTs exp'!$A27)</f>
        <v>0</v>
      </c>
      <c r="AB27" s="636"/>
      <c r="AC27" s="636"/>
      <c r="AD27" s="567">
        <f>SUMIFS('[12]inland_taf_hatchgrp_tableraw&amp;yy'!AB$3:AB$38,'[12]inland_taf_hatchgrp_tableraw&amp;yy'!$AC$3:$AC$38,'2019 Table 10 CWTs exp'!$A27)</f>
        <v>0</v>
      </c>
      <c r="AE27" s="604" t="str">
        <f t="shared" si="9"/>
        <v>COW543</v>
      </c>
      <c r="AF27" s="442"/>
      <c r="AG27" s="622" t="e">
        <f t="shared" si="10"/>
        <v>#DIV/0!</v>
      </c>
      <c r="AH27" s="652" t="e">
        <f t="shared" si="11"/>
        <v>#DIV/0!</v>
      </c>
      <c r="AI27" s="605">
        <f t="shared" si="13"/>
        <v>1</v>
      </c>
      <c r="AJ27" s="447">
        <f t="shared" si="12"/>
        <v>0</v>
      </c>
      <c r="AK27" s="650" t="e">
        <f t="shared" si="14"/>
        <v>#DIV/0!</v>
      </c>
      <c r="AL27" s="451"/>
      <c r="AM27" s="442"/>
      <c r="AN27" s="442"/>
      <c r="AO27" s="442"/>
      <c r="AP27" s="442"/>
      <c r="AQ27" s="442"/>
      <c r="AR27" s="442"/>
      <c r="AS27" s="442"/>
      <c r="AT27" s="442"/>
      <c r="AU27" s="442"/>
      <c r="AV27" s="442"/>
      <c r="AW27" s="442"/>
      <c r="AX27" s="442"/>
      <c r="AY27" s="442"/>
      <c r="AZ27" s="442"/>
      <c r="BA27" s="442"/>
      <c r="BB27" s="442"/>
      <c r="BC27" s="442"/>
      <c r="BD27" s="442"/>
      <c r="BE27" s="442"/>
      <c r="BF27" s="442"/>
      <c r="BG27" s="442"/>
    </row>
    <row r="28" spans="1:59" ht="14.25" customHeight="1" x14ac:dyDescent="0.25">
      <c r="A28" s="50" t="str">
        <f t="shared" si="8"/>
        <v>MLC543</v>
      </c>
      <c r="B28" s="13" t="s">
        <v>78</v>
      </c>
      <c r="C28" s="13">
        <v>54</v>
      </c>
      <c r="D28" s="13">
        <v>3</v>
      </c>
      <c r="E28" s="3" t="s">
        <v>79</v>
      </c>
      <c r="F28" s="43" t="str">
        <f t="shared" si="15"/>
        <v>Fall</v>
      </c>
      <c r="G28" s="38">
        <f>SUMIFS('[12]inland_taf_hatchgrp_tableraw&amp;yy'!G$3:G$38,'[12]inland_taf_hatchgrp_tableraw&amp;yy'!$AC$3:$AC$38,'2019 Table 10 CWTs exp'!$A28)</f>
        <v>0</v>
      </c>
      <c r="H28" s="39">
        <f>SUMIFS('[12]inland_taf_hatchgrp_tableraw&amp;yy'!H$3:H$38,'[12]inland_taf_hatchgrp_tableraw&amp;yy'!$AC$3:$AC$38,'2019 Table 10 CWTs exp'!$A28)</f>
        <v>0</v>
      </c>
      <c r="I28" s="38">
        <f>SUMIFS('[12]inland_taf_hatchgrp_tableraw&amp;yy'!I$3:I$38,'[12]inland_taf_hatchgrp_tableraw&amp;yy'!$AC$3:$AC$38,'2019 Table 10 CWTs exp'!$A28)</f>
        <v>1017</v>
      </c>
      <c r="J28" s="40">
        <f>SUMIFS('[12]inland_taf_hatchgrp_tableraw&amp;yy'!J$3:J$38,'[12]inland_taf_hatchgrp_tableraw&amp;yy'!$AC$3:$AC$38,'2019 Table 10 CWTs exp'!$A28)</f>
        <v>0</v>
      </c>
      <c r="K28" s="38">
        <f>SUMIFS('[12]inland_taf_hatchgrp_tableraw&amp;yy'!K$3:K$38,'[12]inland_taf_hatchgrp_tableraw&amp;yy'!$AC$3:$AC$38,'2019 Table 10 CWTs exp'!$A28)</f>
        <v>0</v>
      </c>
      <c r="L28" s="38">
        <f>SUMIFS('[12]inland_taf_hatchgrp_tableraw&amp;yy'!L$3:L$38,'[12]inland_taf_hatchgrp_tableraw&amp;yy'!$AC$3:$AC$38,'2019 Table 10 CWTs exp'!$A28)</f>
        <v>0</v>
      </c>
      <c r="M28" s="38">
        <f>SUMIFS('[12]inland_taf_hatchgrp_tableraw&amp;yy'!M$3:M$38,'[12]inland_taf_hatchgrp_tableraw&amp;yy'!$AC$3:$AC$38,'2019 Table 10 CWTs exp'!$A28)</f>
        <v>0</v>
      </c>
      <c r="N28" s="40">
        <f>SUMIFS('[12]inland_taf_hatchgrp_tableraw&amp;yy'!N$3:N$38,'[12]inland_taf_hatchgrp_tableraw&amp;yy'!$AC$3:$AC$38,'2019 Table 10 CWTs exp'!$A28)</f>
        <v>0</v>
      </c>
      <c r="O28" s="38">
        <f>SUMIFS('[12]inland_taf_hatchgrp_tableraw&amp;yy'!O$3:O$38,'[12]inland_taf_hatchgrp_tableraw&amp;yy'!$AC$3:$AC$38,'2019 Table 10 CWTs exp'!$A28)</f>
        <v>0</v>
      </c>
      <c r="P28" s="40">
        <f>SUMIFS('[12]inland_taf_hatchgrp_tableraw&amp;yy'!P$3:P$38,'[12]inland_taf_hatchgrp_tableraw&amp;yy'!$AC$3:$AC$38,'2019 Table 10 CWTs exp'!$A28)</f>
        <v>0</v>
      </c>
      <c r="Q28" s="38">
        <f>SUMIFS('[12]inland_taf_hatchgrp_tableraw&amp;yy'!Q$3:Q$38,'[12]inland_taf_hatchgrp_tableraw&amp;yy'!$AC$3:$AC$38,'2019 Table 10 CWTs exp'!$A28)</f>
        <v>0</v>
      </c>
      <c r="R28" s="38">
        <f>SUMIFS('[12]inland_taf_hatchgrp_tableraw&amp;yy'!R$3:R$38,'[12]inland_taf_hatchgrp_tableraw&amp;yy'!$AC$3:$AC$38,'2019 Table 10 CWTs exp'!$A28)</f>
        <v>0</v>
      </c>
      <c r="S28" s="38">
        <f>SUMIFS('[12]inland_taf_hatchgrp_tableraw&amp;yy'!S$3:S$38,'[12]inland_taf_hatchgrp_tableraw&amp;yy'!$AC$3:$AC$38,'2019 Table 10 CWTs exp'!$A28)</f>
        <v>0</v>
      </c>
      <c r="T28" s="40">
        <f>SUMIFS('[12]inland_taf_hatchgrp_tableraw&amp;yy'!T$3:T$38,'[12]inland_taf_hatchgrp_tableraw&amp;yy'!$AC$3:$AC$38,'2019 Table 10 CWTs exp'!$A28)</f>
        <v>0</v>
      </c>
      <c r="U28" s="38">
        <f>SUMIFS('[12]inland_taf_hatchgrp_tableraw&amp;yy'!U$3:U$38,'[12]inland_taf_hatchgrp_tableraw&amp;yy'!$AC$3:$AC$38,'2019 Table 10 CWTs exp'!$A28)</f>
        <v>0</v>
      </c>
      <c r="V28" s="40">
        <f>SUMIFS('[12]inland_taf_hatchgrp_tableraw&amp;yy'!V$3:V$38,'[12]inland_taf_hatchgrp_tableraw&amp;yy'!$AC$3:$AC$38,'2019 Table 10 CWTs exp'!$A28)</f>
        <v>0</v>
      </c>
      <c r="W28" s="40">
        <f>SUMIFS('[12]inland_taf_hatchgrp_tableraw&amp;yy'!W$3:W$38,'[12]inland_taf_hatchgrp_tableraw&amp;yy'!$AC$3:$AC$38,'2019 Table 10 CWTs exp'!$A28)</f>
        <v>0</v>
      </c>
      <c r="X28" s="38">
        <f>SUMIFS('[12]inland_taf_hatchgrp_tableraw&amp;yy'!X$3:X$38,'[12]inland_taf_hatchgrp_tableraw&amp;yy'!$AC$3:$AC$38,'2019 Table 10 CWTs exp'!$A28)</f>
        <v>0</v>
      </c>
      <c r="Y28" s="41">
        <f>SUMIFS('[12]inland_taf_hatchgrp_tableraw&amp;yy'!Y$3:Y$38,'[12]inland_taf_hatchgrp_tableraw&amp;yy'!$AC$3:$AC$38,'2019 Table 10 CWTs exp'!$A28)</f>
        <v>1017</v>
      </c>
      <c r="Z28" s="42">
        <f>SUMIFS('[12]inland_taf_hatchgrp_tableraw&amp;yy'!Z$3:Z$38,'[12]inland_taf_hatchgrp_tableraw&amp;yy'!$AC$3:$AC$38,'2019 Table 10 CWTs exp'!$A28)</f>
        <v>1506</v>
      </c>
      <c r="AA28" s="38">
        <f>SUMIFS('[12]inland_taf_hatchgrp_tableraw&amp;yy'!AA$3:AA$38,'[12]inland_taf_hatchgrp_tableraw&amp;yy'!$AC$3:$AC$38,'2019 Table 10 CWTs exp'!$A28)</f>
        <v>2523</v>
      </c>
      <c r="AB28" s="636"/>
      <c r="AC28" s="636"/>
      <c r="AD28" s="567">
        <f>SUMIFS('[12]inland_taf_hatchgrp_tableraw&amp;yy'!AB$3:AB$38,'[12]inland_taf_hatchgrp_tableraw&amp;yy'!$AC$3:$AC$38,'2019 Table 10 CWTs exp'!$A28)</f>
        <v>0.40300000000000002</v>
      </c>
      <c r="AE28" s="604" t="str">
        <f t="shared" si="9"/>
        <v>MLC543</v>
      </c>
      <c r="AF28" s="442"/>
      <c r="AG28" s="622">
        <f t="shared" si="10"/>
        <v>0.40309155766944116</v>
      </c>
      <c r="AH28" s="652">
        <f t="shared" si="11"/>
        <v>0.59690844233055884</v>
      </c>
      <c r="AI28" s="605">
        <f t="shared" si="13"/>
        <v>0.59699999999999998</v>
      </c>
      <c r="AJ28" s="447">
        <f t="shared" si="12"/>
        <v>1506</v>
      </c>
      <c r="AK28" s="650">
        <f t="shared" si="14"/>
        <v>0.59690844233055884</v>
      </c>
      <c r="AL28" s="451"/>
      <c r="AM28" s="442"/>
      <c r="AN28" s="442"/>
      <c r="AO28" s="442"/>
      <c r="AP28" s="442"/>
      <c r="AQ28" s="442"/>
      <c r="AR28" s="442"/>
      <c r="AS28" s="442"/>
      <c r="AT28" s="442"/>
      <c r="AU28" s="442"/>
      <c r="AV28" s="442"/>
      <c r="AW28" s="442"/>
      <c r="AX28" s="442"/>
      <c r="AY28" s="442"/>
      <c r="AZ28" s="442"/>
      <c r="BA28" s="442"/>
      <c r="BB28" s="442"/>
      <c r="BC28" s="442"/>
      <c r="BD28" s="442"/>
      <c r="BE28" s="442"/>
      <c r="BF28" s="442"/>
      <c r="BG28" s="442"/>
    </row>
    <row r="29" spans="1:59" ht="14.25" customHeight="1" x14ac:dyDescent="0.25">
      <c r="A29" s="50" t="str">
        <f t="shared" si="8"/>
        <v>BUTT543</v>
      </c>
      <c r="B29" s="13" t="s">
        <v>66</v>
      </c>
      <c r="C29" s="13">
        <v>54</v>
      </c>
      <c r="D29" s="13">
        <v>3</v>
      </c>
      <c r="E29" s="3" t="s">
        <v>67</v>
      </c>
      <c r="F29" s="43" t="str">
        <f t="shared" si="15"/>
        <v>Fall</v>
      </c>
      <c r="G29" s="38">
        <f>SUMIFS('[12]inland_taf_hatchgrp_tableraw&amp;yy'!G$3:G$38,'[12]inland_taf_hatchgrp_tableraw&amp;yy'!$AC$3:$AC$38,'2019 Table 10 CWTs exp'!$A29)</f>
        <v>0</v>
      </c>
      <c r="H29" s="39">
        <f>SUMIFS('[12]inland_taf_hatchgrp_tableraw&amp;yy'!H$3:H$38,'[12]inland_taf_hatchgrp_tableraw&amp;yy'!$AC$3:$AC$38,'2019 Table 10 CWTs exp'!$A29)</f>
        <v>0</v>
      </c>
      <c r="I29" s="38">
        <f>SUMIFS('[12]inland_taf_hatchgrp_tableraw&amp;yy'!I$3:I$38,'[12]inland_taf_hatchgrp_tableraw&amp;yy'!$AC$3:$AC$38,'2019 Table 10 CWTs exp'!$A29)</f>
        <v>0</v>
      </c>
      <c r="J29" s="40">
        <f>SUMIFS('[12]inland_taf_hatchgrp_tableraw&amp;yy'!J$3:J$38,'[12]inland_taf_hatchgrp_tableraw&amp;yy'!$AC$3:$AC$38,'2019 Table 10 CWTs exp'!$A29)</f>
        <v>0</v>
      </c>
      <c r="K29" s="38">
        <f>SUMIFS('[12]inland_taf_hatchgrp_tableraw&amp;yy'!K$3:K$38,'[12]inland_taf_hatchgrp_tableraw&amp;yy'!$AC$3:$AC$38,'2019 Table 10 CWTs exp'!$A29)</f>
        <v>0</v>
      </c>
      <c r="L29" s="38">
        <f>SUMIFS('[12]inland_taf_hatchgrp_tableraw&amp;yy'!L$3:L$38,'[12]inland_taf_hatchgrp_tableraw&amp;yy'!$AC$3:$AC$38,'2019 Table 10 CWTs exp'!$A29)</f>
        <v>0</v>
      </c>
      <c r="M29" s="38">
        <f>SUMIFS('[12]inland_taf_hatchgrp_tableraw&amp;yy'!M$3:M$38,'[12]inland_taf_hatchgrp_tableraw&amp;yy'!$AC$3:$AC$38,'2019 Table 10 CWTs exp'!$A29)</f>
        <v>0</v>
      </c>
      <c r="N29" s="40">
        <f>SUMIFS('[12]inland_taf_hatchgrp_tableraw&amp;yy'!N$3:N$38,'[12]inland_taf_hatchgrp_tableraw&amp;yy'!$AC$3:$AC$38,'2019 Table 10 CWTs exp'!$A29)</f>
        <v>0</v>
      </c>
      <c r="O29" s="38">
        <f>SUMIFS('[12]inland_taf_hatchgrp_tableraw&amp;yy'!O$3:O$38,'[12]inland_taf_hatchgrp_tableraw&amp;yy'!$AC$3:$AC$38,'2019 Table 10 CWTs exp'!$A29)</f>
        <v>0</v>
      </c>
      <c r="P29" s="40">
        <f>SUMIFS('[12]inland_taf_hatchgrp_tableraw&amp;yy'!P$3:P$38,'[12]inland_taf_hatchgrp_tableraw&amp;yy'!$AC$3:$AC$38,'2019 Table 10 CWTs exp'!$A29)</f>
        <v>0</v>
      </c>
      <c r="Q29" s="38">
        <f>SUMIFS('[12]inland_taf_hatchgrp_tableraw&amp;yy'!Q$3:Q$38,'[12]inland_taf_hatchgrp_tableraw&amp;yy'!$AC$3:$AC$38,'2019 Table 10 CWTs exp'!$A29)</f>
        <v>0</v>
      </c>
      <c r="R29" s="38">
        <f>SUMIFS('[12]inland_taf_hatchgrp_tableraw&amp;yy'!R$3:R$38,'[12]inland_taf_hatchgrp_tableraw&amp;yy'!$AC$3:$AC$38,'2019 Table 10 CWTs exp'!$A29)</f>
        <v>0</v>
      </c>
      <c r="S29" s="38">
        <f>SUMIFS('[12]inland_taf_hatchgrp_tableraw&amp;yy'!S$3:S$38,'[12]inland_taf_hatchgrp_tableraw&amp;yy'!$AC$3:$AC$38,'2019 Table 10 CWTs exp'!$A29)</f>
        <v>0</v>
      </c>
      <c r="T29" s="40">
        <f>SUMIFS('[12]inland_taf_hatchgrp_tableraw&amp;yy'!T$3:T$38,'[12]inland_taf_hatchgrp_tableraw&amp;yy'!$AC$3:$AC$38,'2019 Table 10 CWTs exp'!$A29)</f>
        <v>0</v>
      </c>
      <c r="U29" s="38">
        <f>SUMIFS('[12]inland_taf_hatchgrp_tableraw&amp;yy'!U$3:U$38,'[12]inland_taf_hatchgrp_tableraw&amp;yy'!$AC$3:$AC$38,'2019 Table 10 CWTs exp'!$A29)</f>
        <v>0</v>
      </c>
      <c r="V29" s="40">
        <f>SUMIFS('[12]inland_taf_hatchgrp_tableraw&amp;yy'!V$3:V$38,'[12]inland_taf_hatchgrp_tableraw&amp;yy'!$AC$3:$AC$38,'2019 Table 10 CWTs exp'!$A29)</f>
        <v>0</v>
      </c>
      <c r="W29" s="40">
        <f>SUMIFS('[12]inland_taf_hatchgrp_tableraw&amp;yy'!W$3:W$38,'[12]inland_taf_hatchgrp_tableraw&amp;yy'!$AC$3:$AC$38,'2019 Table 10 CWTs exp'!$A29)</f>
        <v>0</v>
      </c>
      <c r="X29" s="38">
        <f>SUMIFS('[12]inland_taf_hatchgrp_tableraw&amp;yy'!X$3:X$38,'[12]inland_taf_hatchgrp_tableraw&amp;yy'!$AC$3:$AC$38,'2019 Table 10 CWTs exp'!$A29)</f>
        <v>0</v>
      </c>
      <c r="Y29" s="41">
        <f>SUMIFS('[12]inland_taf_hatchgrp_tableraw&amp;yy'!Y$3:Y$38,'[12]inland_taf_hatchgrp_tableraw&amp;yy'!$AC$3:$AC$38,'2019 Table 10 CWTs exp'!$A29)</f>
        <v>0</v>
      </c>
      <c r="Z29" s="42">
        <f>SUMIFS('[12]inland_taf_hatchgrp_tableraw&amp;yy'!Z$3:Z$38,'[12]inland_taf_hatchgrp_tableraw&amp;yy'!$AC$3:$AC$38,'2019 Table 10 CWTs exp'!$A29)</f>
        <v>1481</v>
      </c>
      <c r="AA29" s="38">
        <f>SUMIFS('[12]inland_taf_hatchgrp_tableraw&amp;yy'!AA$3:AA$38,'[12]inland_taf_hatchgrp_tableraw&amp;yy'!$AC$3:$AC$38,'2019 Table 10 CWTs exp'!$A29)</f>
        <v>1481</v>
      </c>
      <c r="AB29" s="636"/>
      <c r="AC29" s="636"/>
      <c r="AD29" s="567">
        <f>SUMIFS('[12]inland_taf_hatchgrp_tableraw&amp;yy'!AB$3:AB$38,'[12]inland_taf_hatchgrp_tableraw&amp;yy'!$AC$3:$AC$38,'2019 Table 10 CWTs exp'!$A29)</f>
        <v>0</v>
      </c>
      <c r="AE29" s="604" t="str">
        <f t="shared" si="9"/>
        <v>BUTT543</v>
      </c>
      <c r="AF29" s="442"/>
      <c r="AG29" s="622">
        <f t="shared" si="10"/>
        <v>0</v>
      </c>
      <c r="AH29" s="652">
        <f t="shared" si="11"/>
        <v>1</v>
      </c>
      <c r="AI29" s="605">
        <f t="shared" si="13"/>
        <v>1</v>
      </c>
      <c r="AJ29" s="447">
        <f t="shared" si="12"/>
        <v>1481</v>
      </c>
      <c r="AK29" s="650">
        <f t="shared" si="14"/>
        <v>1</v>
      </c>
      <c r="AL29" s="451"/>
      <c r="AM29" s="442"/>
      <c r="AN29" s="442"/>
      <c r="AO29" s="442"/>
      <c r="AP29" s="442"/>
      <c r="AQ29" s="442"/>
      <c r="AR29" s="442"/>
      <c r="AS29" s="442"/>
      <c r="AT29" s="442"/>
      <c r="AU29" s="442"/>
      <c r="AV29" s="442"/>
      <c r="AW29" s="442"/>
      <c r="AX29" s="442"/>
      <c r="AY29" s="442"/>
      <c r="AZ29" s="442"/>
      <c r="BA29" s="442"/>
      <c r="BB29" s="442"/>
      <c r="BC29" s="442"/>
      <c r="BD29" s="442"/>
      <c r="BE29" s="442"/>
      <c r="BF29" s="442"/>
      <c r="BG29" s="442"/>
    </row>
    <row r="30" spans="1:59" ht="14.5" customHeight="1" x14ac:dyDescent="0.25">
      <c r="A30" s="50" t="str">
        <f t="shared" si="8"/>
        <v>FEA543</v>
      </c>
      <c r="B30" s="13" t="s">
        <v>80</v>
      </c>
      <c r="C30" s="13">
        <v>54</v>
      </c>
      <c r="D30" s="13">
        <v>3</v>
      </c>
      <c r="E30" s="3" t="s">
        <v>81</v>
      </c>
      <c r="F30" s="43" t="str">
        <f t="shared" si="15"/>
        <v>Fall</v>
      </c>
      <c r="G30" s="38">
        <f>SUMIFS('[12]inland_taf_hatchgrp_tableraw&amp;yy'!G$3:G$38,'[12]inland_taf_hatchgrp_tableraw&amp;yy'!$AC$3:$AC$38,'2019 Table 10 CWTs exp'!$A30)</f>
        <v>0</v>
      </c>
      <c r="H30" s="39">
        <f>SUMIFS('[12]inland_taf_hatchgrp_tableraw&amp;yy'!H$3:H$38,'[12]inland_taf_hatchgrp_tableraw&amp;yy'!$AC$3:$AC$38,'2019 Table 10 CWTs exp'!$A30)</f>
        <v>0</v>
      </c>
      <c r="I30" s="38">
        <f>SUMIFS('[12]inland_taf_hatchgrp_tableraw&amp;yy'!I$3:I$38,'[12]inland_taf_hatchgrp_tableraw&amp;yy'!$AC$3:$AC$38,'2019 Table 10 CWTs exp'!$A30)</f>
        <v>245</v>
      </c>
      <c r="J30" s="40">
        <f>SUMIFS('[12]inland_taf_hatchgrp_tableraw&amp;yy'!J$3:J$38,'[12]inland_taf_hatchgrp_tableraw&amp;yy'!$AC$3:$AC$38,'2019 Table 10 CWTs exp'!$A30)</f>
        <v>0</v>
      </c>
      <c r="K30" s="38">
        <f>SUMIFS('[12]inland_taf_hatchgrp_tableraw&amp;yy'!K$3:K$38,'[12]inland_taf_hatchgrp_tableraw&amp;yy'!$AC$3:$AC$38,'2019 Table 10 CWTs exp'!$A30)</f>
        <v>3352</v>
      </c>
      <c r="L30" s="38">
        <f>SUMIFS('[12]inland_taf_hatchgrp_tableraw&amp;yy'!L$3:L$38,'[12]inland_taf_hatchgrp_tableraw&amp;yy'!$AC$3:$AC$38,'2019 Table 10 CWTs exp'!$A30)</f>
        <v>2122</v>
      </c>
      <c r="M30" s="38">
        <f>SUMIFS('[12]inland_taf_hatchgrp_tableraw&amp;yy'!M$3:M$38,'[12]inland_taf_hatchgrp_tableraw&amp;yy'!$AC$3:$AC$38,'2019 Table 10 CWTs exp'!$A30)</f>
        <v>10246</v>
      </c>
      <c r="N30" s="40">
        <f>SUMIFS('[12]inland_taf_hatchgrp_tableraw&amp;yy'!N$3:N$38,'[12]inland_taf_hatchgrp_tableraw&amp;yy'!$AC$3:$AC$38,'2019 Table 10 CWTs exp'!$A30)</f>
        <v>6805</v>
      </c>
      <c r="O30" s="38">
        <f>SUMIFS('[12]inland_taf_hatchgrp_tableraw&amp;yy'!O$3:O$38,'[12]inland_taf_hatchgrp_tableraw&amp;yy'!$AC$3:$AC$38,'2019 Table 10 CWTs exp'!$A30)</f>
        <v>41</v>
      </c>
      <c r="P30" s="40">
        <f>SUMIFS('[12]inland_taf_hatchgrp_tableraw&amp;yy'!P$3:P$38,'[12]inland_taf_hatchgrp_tableraw&amp;yy'!$AC$3:$AC$38,'2019 Table 10 CWTs exp'!$A30)</f>
        <v>40</v>
      </c>
      <c r="Q30" s="38">
        <f>SUMIFS('[12]inland_taf_hatchgrp_tableraw&amp;yy'!Q$3:Q$38,'[12]inland_taf_hatchgrp_tableraw&amp;yy'!$AC$3:$AC$38,'2019 Table 10 CWTs exp'!$A30)</f>
        <v>0</v>
      </c>
      <c r="R30" s="38">
        <f>SUMIFS('[12]inland_taf_hatchgrp_tableraw&amp;yy'!R$3:R$38,'[12]inland_taf_hatchgrp_tableraw&amp;yy'!$AC$3:$AC$38,'2019 Table 10 CWTs exp'!$A30)</f>
        <v>122</v>
      </c>
      <c r="S30" s="38">
        <f>SUMIFS('[12]inland_taf_hatchgrp_tableraw&amp;yy'!S$3:S$38,'[12]inland_taf_hatchgrp_tableraw&amp;yy'!$AC$3:$AC$38,'2019 Table 10 CWTs exp'!$A30)</f>
        <v>123</v>
      </c>
      <c r="T30" s="40">
        <f>SUMIFS('[12]inland_taf_hatchgrp_tableraw&amp;yy'!T$3:T$38,'[12]inland_taf_hatchgrp_tableraw&amp;yy'!$AC$3:$AC$38,'2019 Table 10 CWTs exp'!$A30)</f>
        <v>41</v>
      </c>
      <c r="U30" s="38">
        <f>SUMIFS('[12]inland_taf_hatchgrp_tableraw&amp;yy'!U$3:U$38,'[12]inland_taf_hatchgrp_tableraw&amp;yy'!$AC$3:$AC$38,'2019 Table 10 CWTs exp'!$A30)</f>
        <v>0</v>
      </c>
      <c r="V30" s="40">
        <f>SUMIFS('[12]inland_taf_hatchgrp_tableraw&amp;yy'!V$3:V$38,'[12]inland_taf_hatchgrp_tableraw&amp;yy'!$AC$3:$AC$38,'2019 Table 10 CWTs exp'!$A30)</f>
        <v>46</v>
      </c>
      <c r="W30" s="40">
        <f>SUMIFS('[12]inland_taf_hatchgrp_tableraw&amp;yy'!W$3:W$38,'[12]inland_taf_hatchgrp_tableraw&amp;yy'!$AC$3:$AC$38,'2019 Table 10 CWTs exp'!$A30)</f>
        <v>0</v>
      </c>
      <c r="X30" s="38">
        <f>SUMIFS('[12]inland_taf_hatchgrp_tableraw&amp;yy'!X$3:X$38,'[12]inland_taf_hatchgrp_tableraw&amp;yy'!$AC$3:$AC$38,'2019 Table 10 CWTs exp'!$A30)</f>
        <v>0</v>
      </c>
      <c r="Y30" s="41">
        <f>SUMIFS('[12]inland_taf_hatchgrp_tableraw&amp;yy'!Y$3:Y$38,'[12]inland_taf_hatchgrp_tableraw&amp;yy'!$AC$3:$AC$38,'2019 Table 10 CWTs exp'!$A30)</f>
        <v>23183</v>
      </c>
      <c r="Z30" s="42">
        <f>SUMIFS('[12]inland_taf_hatchgrp_tableraw&amp;yy'!Z$3:Z$38,'[12]inland_taf_hatchgrp_tableraw&amp;yy'!$AC$3:$AC$38,'2019 Table 10 CWTs exp'!$A30)</f>
        <v>28780</v>
      </c>
      <c r="AA30" s="38">
        <f>SUMIFS('[12]inland_taf_hatchgrp_tableraw&amp;yy'!AA$3:AA$38,'[12]inland_taf_hatchgrp_tableraw&amp;yy'!$AC$3:$AC$38,'2019 Table 10 CWTs exp'!$A30)</f>
        <v>51963</v>
      </c>
      <c r="AB30" s="636"/>
      <c r="AC30" s="636"/>
      <c r="AD30" s="567">
        <f>SUMIFS('[12]inland_taf_hatchgrp_tableraw&amp;yy'!AB$3:AB$38,'[12]inland_taf_hatchgrp_tableraw&amp;yy'!$AC$3:$AC$38,'2019 Table 10 CWTs exp'!$A30)</f>
        <v>0.44600000000000001</v>
      </c>
      <c r="AE30" s="604" t="str">
        <f t="shared" si="9"/>
        <v>FEA543</v>
      </c>
      <c r="AF30" s="442"/>
      <c r="AG30" s="622">
        <f t="shared" si="10"/>
        <v>0.44614437195696938</v>
      </c>
      <c r="AH30" s="652">
        <f t="shared" si="11"/>
        <v>0.55385562804303057</v>
      </c>
      <c r="AI30" s="605">
        <f t="shared" si="13"/>
        <v>0.55400000000000005</v>
      </c>
      <c r="AJ30" s="447">
        <f t="shared" si="12"/>
        <v>28780</v>
      </c>
      <c r="AK30" s="650">
        <f t="shared" si="14"/>
        <v>0.55385562804303057</v>
      </c>
      <c r="AL30" s="451"/>
      <c r="AM30" s="442"/>
      <c r="AN30" s="442"/>
      <c r="AO30" s="442"/>
      <c r="AP30" s="442"/>
      <c r="AQ30" s="442"/>
      <c r="AR30" s="442"/>
      <c r="AS30" s="442"/>
      <c r="AT30" s="442"/>
      <c r="AU30" s="442"/>
      <c r="AV30" s="442"/>
      <c r="AW30" s="442"/>
      <c r="AX30" s="442"/>
      <c r="AY30" s="442"/>
      <c r="AZ30" s="442"/>
      <c r="BA30" s="442"/>
      <c r="BB30" s="442"/>
      <c r="BC30" s="442"/>
      <c r="BD30" s="442"/>
      <c r="BE30" s="442"/>
      <c r="BF30" s="442"/>
      <c r="BG30" s="442"/>
    </row>
    <row r="31" spans="1:59" ht="14.5" customHeight="1" x14ac:dyDescent="0.25">
      <c r="A31" s="50" t="str">
        <f t="shared" si="8"/>
        <v>YUBA543</v>
      </c>
      <c r="B31" s="13" t="s">
        <v>82</v>
      </c>
      <c r="C31" s="13">
        <v>54</v>
      </c>
      <c r="D31" s="13">
        <v>3</v>
      </c>
      <c r="E31" s="79" t="s">
        <v>147</v>
      </c>
      <c r="F31" s="43" t="str">
        <f t="shared" si="15"/>
        <v>Fall</v>
      </c>
      <c r="G31" s="38">
        <f>SUMIFS('[12]inland_taf_hatchgrp_tableraw&amp;yy'!G$3:G$38,'[12]inland_taf_hatchgrp_tableraw&amp;yy'!$AC$3:$AC$38,'2019 Table 10 CWTs exp'!$A31)</f>
        <v>0</v>
      </c>
      <c r="H31" s="39">
        <f>SUMIFS('[12]inland_taf_hatchgrp_tableraw&amp;yy'!H$3:H$38,'[12]inland_taf_hatchgrp_tableraw&amp;yy'!$AC$3:$AC$38,'2019 Table 10 CWTs exp'!$A31)</f>
        <v>0</v>
      </c>
      <c r="I31" s="38">
        <f>SUMIFS('[12]inland_taf_hatchgrp_tableraw&amp;yy'!I$3:I$38,'[12]inland_taf_hatchgrp_tableraw&amp;yy'!$AC$3:$AC$38,'2019 Table 10 CWTs exp'!$A31)</f>
        <v>0</v>
      </c>
      <c r="J31" s="40">
        <f>SUMIFS('[12]inland_taf_hatchgrp_tableraw&amp;yy'!J$3:J$38,'[12]inland_taf_hatchgrp_tableraw&amp;yy'!$AC$3:$AC$38,'2019 Table 10 CWTs exp'!$A31)</f>
        <v>0</v>
      </c>
      <c r="K31" s="38">
        <f>SUMIFS('[12]inland_taf_hatchgrp_tableraw&amp;yy'!K$3:K$38,'[12]inland_taf_hatchgrp_tableraw&amp;yy'!$AC$3:$AC$38,'2019 Table 10 CWTs exp'!$A31)</f>
        <v>158</v>
      </c>
      <c r="L31" s="38">
        <f>SUMIFS('[12]inland_taf_hatchgrp_tableraw&amp;yy'!L$3:L$38,'[12]inland_taf_hatchgrp_tableraw&amp;yy'!$AC$3:$AC$38,'2019 Table 10 CWTs exp'!$A31)</f>
        <v>35</v>
      </c>
      <c r="M31" s="38">
        <f>SUMIFS('[12]inland_taf_hatchgrp_tableraw&amp;yy'!M$3:M$38,'[12]inland_taf_hatchgrp_tableraw&amp;yy'!$AC$3:$AC$38,'2019 Table 10 CWTs exp'!$A31)</f>
        <v>690</v>
      </c>
      <c r="N31" s="40">
        <f>SUMIFS('[12]inland_taf_hatchgrp_tableraw&amp;yy'!N$3:N$38,'[12]inland_taf_hatchgrp_tableraw&amp;yy'!$AC$3:$AC$38,'2019 Table 10 CWTs exp'!$A31)</f>
        <v>209</v>
      </c>
      <c r="O31" s="38">
        <f>SUMIFS('[12]inland_taf_hatchgrp_tableraw&amp;yy'!O$3:O$38,'[12]inland_taf_hatchgrp_tableraw&amp;yy'!$AC$3:$AC$38,'2019 Table 10 CWTs exp'!$A31)</f>
        <v>0</v>
      </c>
      <c r="P31" s="40">
        <f>SUMIFS('[12]inland_taf_hatchgrp_tableraw&amp;yy'!P$3:P$38,'[12]inland_taf_hatchgrp_tableraw&amp;yy'!$AC$3:$AC$38,'2019 Table 10 CWTs exp'!$A31)</f>
        <v>0</v>
      </c>
      <c r="Q31" s="38">
        <f>SUMIFS('[12]inland_taf_hatchgrp_tableraw&amp;yy'!Q$3:Q$38,'[12]inland_taf_hatchgrp_tableraw&amp;yy'!$AC$3:$AC$38,'2019 Table 10 CWTs exp'!$A31)</f>
        <v>0</v>
      </c>
      <c r="R31" s="38">
        <f>SUMIFS('[12]inland_taf_hatchgrp_tableraw&amp;yy'!R$3:R$38,'[12]inland_taf_hatchgrp_tableraw&amp;yy'!$AC$3:$AC$38,'2019 Table 10 CWTs exp'!$A31)</f>
        <v>210</v>
      </c>
      <c r="S31" s="38">
        <f>SUMIFS('[12]inland_taf_hatchgrp_tableraw&amp;yy'!S$3:S$38,'[12]inland_taf_hatchgrp_tableraw&amp;yy'!$AC$3:$AC$38,'2019 Table 10 CWTs exp'!$A31)</f>
        <v>36</v>
      </c>
      <c r="T31" s="40">
        <f>SUMIFS('[12]inland_taf_hatchgrp_tableraw&amp;yy'!T$3:T$38,'[12]inland_taf_hatchgrp_tableraw&amp;yy'!$AC$3:$AC$38,'2019 Table 10 CWTs exp'!$A31)</f>
        <v>0</v>
      </c>
      <c r="U31" s="38">
        <f>SUMIFS('[12]inland_taf_hatchgrp_tableraw&amp;yy'!U$3:U$38,'[12]inland_taf_hatchgrp_tableraw&amp;yy'!$AC$3:$AC$38,'2019 Table 10 CWTs exp'!$A31)</f>
        <v>0</v>
      </c>
      <c r="V31" s="40">
        <f>SUMIFS('[12]inland_taf_hatchgrp_tableraw&amp;yy'!V$3:V$38,'[12]inland_taf_hatchgrp_tableraw&amp;yy'!$AC$3:$AC$38,'2019 Table 10 CWTs exp'!$A31)</f>
        <v>0</v>
      </c>
      <c r="W31" s="40">
        <f>SUMIFS('[12]inland_taf_hatchgrp_tableraw&amp;yy'!W$3:W$38,'[12]inland_taf_hatchgrp_tableraw&amp;yy'!$AC$3:$AC$38,'2019 Table 10 CWTs exp'!$A31)</f>
        <v>0</v>
      </c>
      <c r="X31" s="38">
        <f>SUMIFS('[12]inland_taf_hatchgrp_tableraw&amp;yy'!X$3:X$38,'[12]inland_taf_hatchgrp_tableraw&amp;yy'!$AC$3:$AC$38,'2019 Table 10 CWTs exp'!$A31)</f>
        <v>0</v>
      </c>
      <c r="Y31" s="41">
        <f>SUMIFS('[12]inland_taf_hatchgrp_tableraw&amp;yy'!Y$3:Y$38,'[12]inland_taf_hatchgrp_tableraw&amp;yy'!$AC$3:$AC$38,'2019 Table 10 CWTs exp'!$A31)</f>
        <v>1338</v>
      </c>
      <c r="Z31" s="42">
        <f>SUMIFS('[12]inland_taf_hatchgrp_tableraw&amp;yy'!Z$3:Z$38,'[12]inland_taf_hatchgrp_tableraw&amp;yy'!$AC$3:$AC$38,'2019 Table 10 CWTs exp'!$A31)</f>
        <v>1353</v>
      </c>
      <c r="AA31" s="38">
        <f>SUMIFS('[12]inland_taf_hatchgrp_tableraw&amp;yy'!AA$3:AA$38,'[12]inland_taf_hatchgrp_tableraw&amp;yy'!$AC$3:$AC$38,'2019 Table 10 CWTs exp'!$A31)</f>
        <v>2691</v>
      </c>
      <c r="AB31" s="636"/>
      <c r="AC31" s="636"/>
      <c r="AD31" s="567">
        <f>SUMIFS('[12]inland_taf_hatchgrp_tableraw&amp;yy'!AB$3:AB$38,'[12]inland_taf_hatchgrp_tableraw&amp;yy'!$AC$3:$AC$38,'2019 Table 10 CWTs exp'!$A31)</f>
        <v>0.497</v>
      </c>
      <c r="AE31" s="604" t="str">
        <f t="shared" si="9"/>
        <v>YUBA543</v>
      </c>
      <c r="AF31" s="442"/>
      <c r="AG31" s="622">
        <f t="shared" si="10"/>
        <v>0.49721293199554067</v>
      </c>
      <c r="AH31" s="652">
        <f t="shared" si="11"/>
        <v>0.50278706800445927</v>
      </c>
      <c r="AI31" s="605">
        <f t="shared" si="13"/>
        <v>0.503</v>
      </c>
      <c r="AJ31" s="447">
        <f t="shared" si="12"/>
        <v>1353</v>
      </c>
      <c r="AK31" s="650">
        <f t="shared" si="14"/>
        <v>0.50278706800445927</v>
      </c>
      <c r="AL31" s="451"/>
      <c r="AM31" s="442"/>
      <c r="AN31" s="442"/>
      <c r="AO31" s="442"/>
      <c r="AP31" s="442"/>
      <c r="AQ31" s="442"/>
      <c r="AR31" s="442"/>
      <c r="AS31" s="442"/>
      <c r="AT31" s="442"/>
      <c r="AU31" s="442"/>
      <c r="AV31" s="442"/>
      <c r="AW31" s="442"/>
      <c r="AX31" s="442"/>
      <c r="AY31" s="442"/>
      <c r="AZ31" s="442"/>
      <c r="BA31" s="442"/>
      <c r="BB31" s="442"/>
      <c r="BC31" s="442"/>
      <c r="BD31" s="442"/>
      <c r="BE31" s="442"/>
      <c r="BF31" s="442"/>
      <c r="BG31" s="442"/>
    </row>
    <row r="32" spans="1:59" ht="14.25" customHeight="1" x14ac:dyDescent="0.25">
      <c r="A32" s="50" t="str">
        <f t="shared" si="8"/>
        <v>YUBB543</v>
      </c>
      <c r="B32" s="13" t="s">
        <v>84</v>
      </c>
      <c r="C32" s="13">
        <v>54</v>
      </c>
      <c r="D32" s="13">
        <v>3</v>
      </c>
      <c r="E32" s="79" t="s">
        <v>85</v>
      </c>
      <c r="F32" s="43" t="str">
        <f t="shared" si="15"/>
        <v>Fall</v>
      </c>
      <c r="G32" s="38">
        <f>SUMIFS('[12]inland_taf_hatchgrp_tableraw&amp;yy'!G$3:G$38,'[12]inland_taf_hatchgrp_tableraw&amp;yy'!$AC$3:$AC$38,'2019 Table 10 CWTs exp'!$A32)</f>
        <v>0</v>
      </c>
      <c r="H32" s="39">
        <f>SUMIFS('[12]inland_taf_hatchgrp_tableraw&amp;yy'!H$3:H$38,'[12]inland_taf_hatchgrp_tableraw&amp;yy'!$AC$3:$AC$38,'2019 Table 10 CWTs exp'!$A32)</f>
        <v>0</v>
      </c>
      <c r="I32" s="38">
        <f>SUMIFS('[12]inland_taf_hatchgrp_tableraw&amp;yy'!I$3:I$38,'[12]inland_taf_hatchgrp_tableraw&amp;yy'!$AC$3:$AC$38,'2019 Table 10 CWTs exp'!$A32)</f>
        <v>0</v>
      </c>
      <c r="J32" s="40">
        <f>SUMIFS('[12]inland_taf_hatchgrp_tableraw&amp;yy'!J$3:J$38,'[12]inland_taf_hatchgrp_tableraw&amp;yy'!$AC$3:$AC$38,'2019 Table 10 CWTs exp'!$A32)</f>
        <v>0</v>
      </c>
      <c r="K32" s="38">
        <f>SUMIFS('[12]inland_taf_hatchgrp_tableraw&amp;yy'!K$3:K$38,'[12]inland_taf_hatchgrp_tableraw&amp;yy'!$AC$3:$AC$38,'2019 Table 10 CWTs exp'!$A32)</f>
        <v>32</v>
      </c>
      <c r="L32" s="38">
        <f>SUMIFS('[12]inland_taf_hatchgrp_tableraw&amp;yy'!L$3:L$38,'[12]inland_taf_hatchgrp_tableraw&amp;yy'!$AC$3:$AC$38,'2019 Table 10 CWTs exp'!$A32)</f>
        <v>11</v>
      </c>
      <c r="M32" s="38">
        <f>SUMIFS('[12]inland_taf_hatchgrp_tableraw&amp;yy'!M$3:M$38,'[12]inland_taf_hatchgrp_tableraw&amp;yy'!$AC$3:$AC$38,'2019 Table 10 CWTs exp'!$A32)</f>
        <v>300</v>
      </c>
      <c r="N32" s="40">
        <f>SUMIFS('[12]inland_taf_hatchgrp_tableraw&amp;yy'!N$3:N$38,'[12]inland_taf_hatchgrp_tableraw&amp;yy'!$AC$3:$AC$38,'2019 Table 10 CWTs exp'!$A32)</f>
        <v>85</v>
      </c>
      <c r="O32" s="38">
        <f>SUMIFS('[12]inland_taf_hatchgrp_tableraw&amp;yy'!O$3:O$38,'[12]inland_taf_hatchgrp_tableraw&amp;yy'!$AC$3:$AC$38,'2019 Table 10 CWTs exp'!$A32)</f>
        <v>0</v>
      </c>
      <c r="P32" s="40">
        <f>SUMIFS('[12]inland_taf_hatchgrp_tableraw&amp;yy'!P$3:P$38,'[12]inland_taf_hatchgrp_tableraw&amp;yy'!$AC$3:$AC$38,'2019 Table 10 CWTs exp'!$A32)</f>
        <v>85</v>
      </c>
      <c r="Q32" s="38">
        <f>SUMIFS('[12]inland_taf_hatchgrp_tableraw&amp;yy'!Q$3:Q$38,'[12]inland_taf_hatchgrp_tableraw&amp;yy'!$AC$3:$AC$38,'2019 Table 10 CWTs exp'!$A32)</f>
        <v>0</v>
      </c>
      <c r="R32" s="38">
        <f>SUMIFS('[12]inland_taf_hatchgrp_tableraw&amp;yy'!R$3:R$38,'[12]inland_taf_hatchgrp_tableraw&amp;yy'!$AC$3:$AC$38,'2019 Table 10 CWTs exp'!$A32)</f>
        <v>0</v>
      </c>
      <c r="S32" s="38">
        <f>SUMIFS('[12]inland_taf_hatchgrp_tableraw&amp;yy'!S$3:S$38,'[12]inland_taf_hatchgrp_tableraw&amp;yy'!$AC$3:$AC$38,'2019 Table 10 CWTs exp'!$A32)</f>
        <v>0</v>
      </c>
      <c r="T32" s="40">
        <f>SUMIFS('[12]inland_taf_hatchgrp_tableraw&amp;yy'!T$3:T$38,'[12]inland_taf_hatchgrp_tableraw&amp;yy'!$AC$3:$AC$38,'2019 Table 10 CWTs exp'!$A32)</f>
        <v>0</v>
      </c>
      <c r="U32" s="38">
        <f>SUMIFS('[12]inland_taf_hatchgrp_tableraw&amp;yy'!U$3:U$38,'[12]inland_taf_hatchgrp_tableraw&amp;yy'!$AC$3:$AC$38,'2019 Table 10 CWTs exp'!$A32)</f>
        <v>0</v>
      </c>
      <c r="V32" s="40">
        <f>SUMIFS('[12]inland_taf_hatchgrp_tableraw&amp;yy'!V$3:V$38,'[12]inland_taf_hatchgrp_tableraw&amp;yy'!$AC$3:$AC$38,'2019 Table 10 CWTs exp'!$A32)</f>
        <v>0</v>
      </c>
      <c r="W32" s="40">
        <f>SUMIFS('[12]inland_taf_hatchgrp_tableraw&amp;yy'!W$3:W$38,'[12]inland_taf_hatchgrp_tableraw&amp;yy'!$AC$3:$AC$38,'2019 Table 10 CWTs exp'!$A32)</f>
        <v>0</v>
      </c>
      <c r="X32" s="38">
        <f>SUMIFS('[12]inland_taf_hatchgrp_tableraw&amp;yy'!X$3:X$38,'[12]inland_taf_hatchgrp_tableraw&amp;yy'!$AC$3:$AC$38,'2019 Table 10 CWTs exp'!$A32)</f>
        <v>0</v>
      </c>
      <c r="Y32" s="41">
        <f>SUMIFS('[12]inland_taf_hatchgrp_tableraw&amp;yy'!Y$3:Y$38,'[12]inland_taf_hatchgrp_tableraw&amp;yy'!$AC$3:$AC$38,'2019 Table 10 CWTs exp'!$A32)</f>
        <v>513</v>
      </c>
      <c r="Z32" s="42">
        <f>SUMIFS('[12]inland_taf_hatchgrp_tableraw&amp;yy'!Z$3:Z$38,'[12]inland_taf_hatchgrp_tableraw&amp;yy'!$AC$3:$AC$38,'2019 Table 10 CWTs exp'!$A32)</f>
        <v>165</v>
      </c>
      <c r="AA32" s="38">
        <f>SUMIFS('[12]inland_taf_hatchgrp_tableraw&amp;yy'!AA$3:AA$38,'[12]inland_taf_hatchgrp_tableraw&amp;yy'!$AC$3:$AC$38,'2019 Table 10 CWTs exp'!$A32)</f>
        <v>678</v>
      </c>
      <c r="AB32" s="636"/>
      <c r="AC32" s="636"/>
      <c r="AD32" s="567">
        <f>SUMIFS('[12]inland_taf_hatchgrp_tableraw&amp;yy'!AB$3:AB$38,'[12]inland_taf_hatchgrp_tableraw&amp;yy'!$AC$3:$AC$38,'2019 Table 10 CWTs exp'!$A32)</f>
        <v>0.75700000000000001</v>
      </c>
      <c r="AE32" s="604" t="str">
        <f t="shared" si="9"/>
        <v>YUBB543</v>
      </c>
      <c r="AF32" s="442"/>
      <c r="AG32" s="622">
        <f t="shared" si="10"/>
        <v>0.75663716814159288</v>
      </c>
      <c r="AH32" s="652">
        <f t="shared" si="11"/>
        <v>0.24336283185840707</v>
      </c>
      <c r="AI32" s="605">
        <f t="shared" si="13"/>
        <v>0.24299999999999999</v>
      </c>
      <c r="AJ32" s="447">
        <f t="shared" si="12"/>
        <v>165</v>
      </c>
      <c r="AK32" s="650">
        <f t="shared" si="14"/>
        <v>0.24336283185840707</v>
      </c>
      <c r="AL32" s="451"/>
      <c r="AM32" s="442"/>
      <c r="AN32" s="442"/>
      <c r="AO32" s="442"/>
      <c r="AP32" s="442"/>
      <c r="AQ32" s="442"/>
      <c r="AR32" s="442"/>
      <c r="AS32" s="442"/>
      <c r="AT32" s="442"/>
      <c r="AU32" s="442"/>
      <c r="AV32" s="442"/>
      <c r="AW32" s="442"/>
      <c r="AX32" s="442"/>
      <c r="AY32" s="442"/>
      <c r="AZ32" s="442"/>
      <c r="BA32" s="442"/>
      <c r="BB32" s="442"/>
      <c r="BC32" s="442"/>
      <c r="BD32" s="442"/>
      <c r="BE32" s="442"/>
      <c r="BF32" s="442"/>
      <c r="BG32" s="442"/>
    </row>
    <row r="33" spans="1:59" ht="14.5" customHeight="1" x14ac:dyDescent="0.25">
      <c r="A33" s="50" t="str">
        <f t="shared" si="8"/>
        <v>LARC543</v>
      </c>
      <c r="B33" s="13" t="s">
        <v>86</v>
      </c>
      <c r="C33" s="13">
        <v>54</v>
      </c>
      <c r="D33" s="13">
        <v>3</v>
      </c>
      <c r="E33" s="3" t="s">
        <v>87</v>
      </c>
      <c r="F33" s="43" t="str">
        <f t="shared" si="15"/>
        <v>Fall</v>
      </c>
      <c r="G33" s="38">
        <f>SUMIFS('[12]inland_taf_hatchgrp_tableraw&amp;yy'!G$3:G$38,'[12]inland_taf_hatchgrp_tableraw&amp;yy'!$AC$3:$AC$38,'2019 Table 10 CWTs exp'!$A33)</f>
        <v>0</v>
      </c>
      <c r="H33" s="39">
        <f>SUMIFS('[12]inland_taf_hatchgrp_tableraw&amp;yy'!H$3:H$38,'[12]inland_taf_hatchgrp_tableraw&amp;yy'!$AC$3:$AC$38,'2019 Table 10 CWTs exp'!$A33)</f>
        <v>0</v>
      </c>
      <c r="I33" s="38">
        <f>SUMIFS('[12]inland_taf_hatchgrp_tableraw&amp;yy'!I$3:I$38,'[12]inland_taf_hatchgrp_tableraw&amp;yy'!$AC$3:$AC$38,'2019 Table 10 CWTs exp'!$A33)</f>
        <v>15</v>
      </c>
      <c r="J33" s="40">
        <f>SUMIFS('[12]inland_taf_hatchgrp_tableraw&amp;yy'!J$3:J$38,'[12]inland_taf_hatchgrp_tableraw&amp;yy'!$AC$3:$AC$38,'2019 Table 10 CWTs exp'!$A33)</f>
        <v>0</v>
      </c>
      <c r="K33" s="38">
        <f>SUMIFS('[12]inland_taf_hatchgrp_tableraw&amp;yy'!K$3:K$38,'[12]inland_taf_hatchgrp_tableraw&amp;yy'!$AC$3:$AC$38,'2019 Table 10 CWTs exp'!$A33)</f>
        <v>0</v>
      </c>
      <c r="L33" s="38">
        <f>SUMIFS('[12]inland_taf_hatchgrp_tableraw&amp;yy'!L$3:L$38,'[12]inland_taf_hatchgrp_tableraw&amp;yy'!$AC$3:$AC$38,'2019 Table 10 CWTs exp'!$A33)</f>
        <v>0</v>
      </c>
      <c r="M33" s="38">
        <f>SUMIFS('[12]inland_taf_hatchgrp_tableraw&amp;yy'!M$3:M$38,'[12]inland_taf_hatchgrp_tableraw&amp;yy'!$AC$3:$AC$38,'2019 Table 10 CWTs exp'!$A33)</f>
        <v>1421</v>
      </c>
      <c r="N33" s="40">
        <f>SUMIFS('[12]inland_taf_hatchgrp_tableraw&amp;yy'!N$3:N$38,'[12]inland_taf_hatchgrp_tableraw&amp;yy'!$AC$3:$AC$38,'2019 Table 10 CWTs exp'!$A33)</f>
        <v>819</v>
      </c>
      <c r="O33" s="38">
        <f>SUMIFS('[12]inland_taf_hatchgrp_tableraw&amp;yy'!O$3:O$38,'[12]inland_taf_hatchgrp_tableraw&amp;yy'!$AC$3:$AC$38,'2019 Table 10 CWTs exp'!$A33)</f>
        <v>6563</v>
      </c>
      <c r="P33" s="40">
        <f>SUMIFS('[12]inland_taf_hatchgrp_tableraw&amp;yy'!P$3:P$38,'[12]inland_taf_hatchgrp_tableraw&amp;yy'!$AC$3:$AC$38,'2019 Table 10 CWTs exp'!$A33)</f>
        <v>9323</v>
      </c>
      <c r="Q33" s="38">
        <f>SUMIFS('[12]inland_taf_hatchgrp_tableraw&amp;yy'!Q$3:Q$38,'[12]inland_taf_hatchgrp_tableraw&amp;yy'!$AC$3:$AC$38,'2019 Table 10 CWTs exp'!$A33)</f>
        <v>21</v>
      </c>
      <c r="R33" s="38">
        <f>SUMIFS('[12]inland_taf_hatchgrp_tableraw&amp;yy'!R$3:R$38,'[12]inland_taf_hatchgrp_tableraw&amp;yy'!$AC$3:$AC$38,'2019 Table 10 CWTs exp'!$A33)</f>
        <v>4635</v>
      </c>
      <c r="S33" s="38">
        <f>SUMIFS('[12]inland_taf_hatchgrp_tableraw&amp;yy'!S$3:S$38,'[12]inland_taf_hatchgrp_tableraw&amp;yy'!$AC$3:$AC$38,'2019 Table 10 CWTs exp'!$A33)</f>
        <v>957</v>
      </c>
      <c r="T33" s="40">
        <f>SUMIFS('[12]inland_taf_hatchgrp_tableraw&amp;yy'!T$3:T$38,'[12]inland_taf_hatchgrp_tableraw&amp;yy'!$AC$3:$AC$38,'2019 Table 10 CWTs exp'!$A33)</f>
        <v>647</v>
      </c>
      <c r="U33" s="38">
        <f>SUMIFS('[12]inland_taf_hatchgrp_tableraw&amp;yy'!U$3:U$38,'[12]inland_taf_hatchgrp_tableraw&amp;yy'!$AC$3:$AC$38,'2019 Table 10 CWTs exp'!$A33)</f>
        <v>12</v>
      </c>
      <c r="V33" s="40">
        <f>SUMIFS('[12]inland_taf_hatchgrp_tableraw&amp;yy'!V$3:V$38,'[12]inland_taf_hatchgrp_tableraw&amp;yy'!$AC$3:$AC$38,'2019 Table 10 CWTs exp'!$A33)</f>
        <v>918</v>
      </c>
      <c r="W33" s="40">
        <f>SUMIFS('[12]inland_taf_hatchgrp_tableraw&amp;yy'!W$3:W$38,'[12]inland_taf_hatchgrp_tableraw&amp;yy'!$AC$3:$AC$38,'2019 Table 10 CWTs exp'!$A33)</f>
        <v>0</v>
      </c>
      <c r="X33" s="38">
        <f>SUMIFS('[12]inland_taf_hatchgrp_tableraw&amp;yy'!X$3:X$38,'[12]inland_taf_hatchgrp_tableraw&amp;yy'!$AC$3:$AC$38,'2019 Table 10 CWTs exp'!$A33)</f>
        <v>0</v>
      </c>
      <c r="Y33" s="41">
        <f>SUMIFS('[12]inland_taf_hatchgrp_tableraw&amp;yy'!Y$3:Y$38,'[12]inland_taf_hatchgrp_tableraw&amp;yy'!$AC$3:$AC$38,'2019 Table 10 CWTs exp'!$A33)</f>
        <v>25331</v>
      </c>
      <c r="Z33" s="42">
        <f>SUMIFS('[12]inland_taf_hatchgrp_tableraw&amp;yy'!Z$3:Z$38,'[12]inland_taf_hatchgrp_tableraw&amp;yy'!$AC$3:$AC$38,'2019 Table 10 CWTs exp'!$A33)</f>
        <v>1699</v>
      </c>
      <c r="AA33" s="38">
        <f>SUMIFS('[12]inland_taf_hatchgrp_tableraw&amp;yy'!AA$3:AA$38,'[12]inland_taf_hatchgrp_tableraw&amp;yy'!$AC$3:$AC$38,'2019 Table 10 CWTs exp'!$A33)</f>
        <v>27030</v>
      </c>
      <c r="AB33" s="636"/>
      <c r="AC33" s="636"/>
      <c r="AD33" s="567">
        <f>SUMIFS('[12]inland_taf_hatchgrp_tableraw&amp;yy'!AB$3:AB$38,'[12]inland_taf_hatchgrp_tableraw&amp;yy'!$AC$3:$AC$38,'2019 Table 10 CWTs exp'!$A33)</f>
        <v>0.93700000000000006</v>
      </c>
      <c r="AE33" s="604" t="str">
        <f t="shared" si="9"/>
        <v>LARC543</v>
      </c>
      <c r="AF33" s="442"/>
      <c r="AG33" s="622">
        <f t="shared" si="10"/>
        <v>0.93714391416944132</v>
      </c>
      <c r="AH33" s="652">
        <f t="shared" si="11"/>
        <v>6.2856085830558642E-2</v>
      </c>
      <c r="AI33" s="605">
        <f t="shared" si="13"/>
        <v>6.2999999999999945E-2</v>
      </c>
      <c r="AJ33" s="447">
        <f t="shared" si="12"/>
        <v>1699</v>
      </c>
      <c r="AK33" s="650">
        <f t="shared" si="14"/>
        <v>6.2856085830558642E-2</v>
      </c>
      <c r="AL33" s="451"/>
      <c r="AM33" s="442"/>
      <c r="AN33" s="442"/>
      <c r="AO33" s="442"/>
      <c r="AP33" s="442"/>
      <c r="AQ33" s="442"/>
      <c r="AR33" s="442"/>
      <c r="AS33" s="442"/>
      <c r="AT33" s="442"/>
      <c r="AU33" s="442"/>
      <c r="AV33" s="442"/>
      <c r="AW33" s="442"/>
      <c r="AX33" s="442"/>
      <c r="AY33" s="442"/>
      <c r="AZ33" s="442"/>
      <c r="BA33" s="442"/>
      <c r="BB33" s="442"/>
      <c r="BC33" s="442"/>
      <c r="BD33" s="442"/>
      <c r="BE33" s="442"/>
      <c r="BF33" s="442"/>
      <c r="BG33" s="442"/>
    </row>
    <row r="34" spans="1:59" ht="14.25" hidden="1" customHeight="1" x14ac:dyDescent="0.25">
      <c r="A34" s="36" t="str">
        <f t="shared" si="8"/>
        <v>NIMW593</v>
      </c>
      <c r="B34" s="35" t="s">
        <v>88</v>
      </c>
      <c r="C34" s="35">
        <v>59</v>
      </c>
      <c r="D34" s="35">
        <v>3</v>
      </c>
      <c r="E34" s="3" t="s">
        <v>89</v>
      </c>
      <c r="F34" s="43" t="str">
        <f t="shared" si="15"/>
        <v>Fall</v>
      </c>
      <c r="G34" s="38">
        <f>SUMIFS('[12]inland_taf_hatchgrp_tableraw&amp;yy'!G$3:G$38,'[12]inland_taf_hatchgrp_tableraw&amp;yy'!$AC$3:$AC$38,'2019 Table 10 CWTs exp'!$A34)</f>
        <v>0</v>
      </c>
      <c r="H34" s="39">
        <f>SUMIFS('[12]inland_taf_hatchgrp_tableraw&amp;yy'!H$3:H$38,'[12]inland_taf_hatchgrp_tableraw&amp;yy'!$AC$3:$AC$38,'2019 Table 10 CWTs exp'!$A34)</f>
        <v>0</v>
      </c>
      <c r="I34" s="38">
        <f>SUMIFS('[12]inland_taf_hatchgrp_tableraw&amp;yy'!I$3:I$38,'[12]inland_taf_hatchgrp_tableraw&amp;yy'!$AC$3:$AC$38,'2019 Table 10 CWTs exp'!$A34)</f>
        <v>0</v>
      </c>
      <c r="J34" s="40">
        <f>SUMIFS('[12]inland_taf_hatchgrp_tableraw&amp;yy'!J$3:J$38,'[12]inland_taf_hatchgrp_tableraw&amp;yy'!$AC$3:$AC$38,'2019 Table 10 CWTs exp'!$A34)</f>
        <v>0</v>
      </c>
      <c r="K34" s="38">
        <f>SUMIFS('[12]inland_taf_hatchgrp_tableraw&amp;yy'!K$3:K$38,'[12]inland_taf_hatchgrp_tableraw&amp;yy'!$AC$3:$AC$38,'2019 Table 10 CWTs exp'!$A34)</f>
        <v>0</v>
      </c>
      <c r="L34" s="38">
        <f>SUMIFS('[12]inland_taf_hatchgrp_tableraw&amp;yy'!L$3:L$38,'[12]inland_taf_hatchgrp_tableraw&amp;yy'!$AC$3:$AC$38,'2019 Table 10 CWTs exp'!$A34)</f>
        <v>0</v>
      </c>
      <c r="M34" s="38">
        <f>SUMIFS('[12]inland_taf_hatchgrp_tableraw&amp;yy'!M$3:M$38,'[12]inland_taf_hatchgrp_tableraw&amp;yy'!$AC$3:$AC$38,'2019 Table 10 CWTs exp'!$A34)</f>
        <v>0</v>
      </c>
      <c r="N34" s="40">
        <f>SUMIFS('[12]inland_taf_hatchgrp_tableraw&amp;yy'!N$3:N$38,'[12]inland_taf_hatchgrp_tableraw&amp;yy'!$AC$3:$AC$38,'2019 Table 10 CWTs exp'!$A34)</f>
        <v>0</v>
      </c>
      <c r="O34" s="38">
        <f>SUMIFS('[12]inland_taf_hatchgrp_tableraw&amp;yy'!O$3:O$38,'[12]inland_taf_hatchgrp_tableraw&amp;yy'!$AC$3:$AC$38,'2019 Table 10 CWTs exp'!$A34)</f>
        <v>0</v>
      </c>
      <c r="P34" s="40">
        <f>SUMIFS('[12]inland_taf_hatchgrp_tableraw&amp;yy'!P$3:P$38,'[12]inland_taf_hatchgrp_tableraw&amp;yy'!$AC$3:$AC$38,'2019 Table 10 CWTs exp'!$A34)</f>
        <v>0</v>
      </c>
      <c r="Q34" s="38">
        <f>SUMIFS('[12]inland_taf_hatchgrp_tableraw&amp;yy'!Q$3:Q$38,'[12]inland_taf_hatchgrp_tableraw&amp;yy'!$AC$3:$AC$38,'2019 Table 10 CWTs exp'!$A34)</f>
        <v>0</v>
      </c>
      <c r="R34" s="38">
        <f>SUMIFS('[12]inland_taf_hatchgrp_tableraw&amp;yy'!R$3:R$38,'[12]inland_taf_hatchgrp_tableraw&amp;yy'!$AC$3:$AC$38,'2019 Table 10 CWTs exp'!$A34)</f>
        <v>0</v>
      </c>
      <c r="S34" s="38">
        <f>SUMIFS('[12]inland_taf_hatchgrp_tableraw&amp;yy'!S$3:S$38,'[12]inland_taf_hatchgrp_tableraw&amp;yy'!$AC$3:$AC$38,'2019 Table 10 CWTs exp'!$A34)</f>
        <v>0</v>
      </c>
      <c r="T34" s="40">
        <f>SUMIFS('[12]inland_taf_hatchgrp_tableraw&amp;yy'!T$3:T$38,'[12]inland_taf_hatchgrp_tableraw&amp;yy'!$AC$3:$AC$38,'2019 Table 10 CWTs exp'!$A34)</f>
        <v>0</v>
      </c>
      <c r="U34" s="38">
        <f>SUMIFS('[12]inland_taf_hatchgrp_tableraw&amp;yy'!U$3:U$38,'[12]inland_taf_hatchgrp_tableraw&amp;yy'!$AC$3:$AC$38,'2019 Table 10 CWTs exp'!$A34)</f>
        <v>0</v>
      </c>
      <c r="V34" s="40">
        <f>SUMIFS('[12]inland_taf_hatchgrp_tableraw&amp;yy'!V$3:V$38,'[12]inland_taf_hatchgrp_tableraw&amp;yy'!$AC$3:$AC$38,'2019 Table 10 CWTs exp'!$A34)</f>
        <v>0</v>
      </c>
      <c r="W34" s="40">
        <f>SUMIFS('[12]inland_taf_hatchgrp_tableraw&amp;yy'!W$3:W$38,'[12]inland_taf_hatchgrp_tableraw&amp;yy'!$AC$3:$AC$38,'2019 Table 10 CWTs exp'!$A34)</f>
        <v>0</v>
      </c>
      <c r="X34" s="38">
        <f>SUMIFS('[12]inland_taf_hatchgrp_tableraw&amp;yy'!X$3:X$38,'[12]inland_taf_hatchgrp_tableraw&amp;yy'!$AC$3:$AC$38,'2019 Table 10 CWTs exp'!$A34)</f>
        <v>0</v>
      </c>
      <c r="Y34" s="41">
        <f>SUMIFS('[12]inland_taf_hatchgrp_tableraw&amp;yy'!Y$3:Y$38,'[12]inland_taf_hatchgrp_tableraw&amp;yy'!$AC$3:$AC$38,'2019 Table 10 CWTs exp'!$A34)</f>
        <v>0</v>
      </c>
      <c r="Z34" s="42">
        <f>SUMIFS('[12]inland_taf_hatchgrp_tableraw&amp;yy'!Z$3:Z$38,'[12]inland_taf_hatchgrp_tableraw&amp;yy'!$AC$3:$AC$38,'2019 Table 10 CWTs exp'!$A34)</f>
        <v>0</v>
      </c>
      <c r="AA34" s="38">
        <f>SUMIFS('[12]inland_taf_hatchgrp_tableraw&amp;yy'!AA$3:AA$38,'[12]inland_taf_hatchgrp_tableraw&amp;yy'!$AC$3:$AC$38,'2019 Table 10 CWTs exp'!$A34)</f>
        <v>0</v>
      </c>
      <c r="AB34" s="636"/>
      <c r="AC34" s="636"/>
      <c r="AD34" s="603">
        <f>SUMIFS('[12]inland_taf_hatchgrp_tableraw&amp;yy'!AB$3:AB$38,'[12]inland_taf_hatchgrp_tableraw&amp;yy'!$AC$3:$AC$38,'2019 Table 10 CWTs exp'!$A34)</f>
        <v>0</v>
      </c>
      <c r="AE34" s="604" t="str">
        <f t="shared" si="9"/>
        <v>NIMW593</v>
      </c>
      <c r="AF34" s="603"/>
      <c r="AG34" s="622" t="e">
        <f t="shared" si="10"/>
        <v>#DIV/0!</v>
      </c>
      <c r="AH34" s="652" t="e">
        <f t="shared" si="11"/>
        <v>#DIV/0!</v>
      </c>
      <c r="AI34" s="605">
        <f t="shared" si="13"/>
        <v>1</v>
      </c>
      <c r="AJ34" s="447">
        <f t="shared" si="12"/>
        <v>0</v>
      </c>
      <c r="AK34" s="650" t="e">
        <f t="shared" si="14"/>
        <v>#DIV/0!</v>
      </c>
      <c r="AL34" s="451"/>
      <c r="AM34" s="442"/>
      <c r="AN34" s="442"/>
      <c r="AO34" s="442"/>
      <c r="AP34" s="442"/>
      <c r="AQ34" s="442"/>
      <c r="AR34" s="442"/>
      <c r="AS34" s="442"/>
      <c r="AT34" s="442"/>
      <c r="AU34" s="442"/>
      <c r="AV34" s="442"/>
      <c r="AW34" s="442"/>
      <c r="AX34" s="442"/>
      <c r="AY34" s="442"/>
      <c r="AZ34" s="442"/>
      <c r="BA34" s="442"/>
      <c r="BB34" s="442"/>
      <c r="BC34" s="442"/>
      <c r="BD34" s="442"/>
      <c r="BE34" s="442"/>
      <c r="BF34" s="442"/>
      <c r="BG34" s="442"/>
    </row>
    <row r="35" spans="1:59" ht="14.5" customHeight="1" x14ac:dyDescent="0.25">
      <c r="A35" s="50" t="str">
        <f t="shared" si="8"/>
        <v>MOKE543</v>
      </c>
      <c r="B35" s="13" t="s">
        <v>90</v>
      </c>
      <c r="C35" s="13">
        <v>54</v>
      </c>
      <c r="D35" s="13">
        <v>3</v>
      </c>
      <c r="E35" s="3" t="s">
        <v>91</v>
      </c>
      <c r="F35" s="43" t="str">
        <f t="shared" si="15"/>
        <v>Fall</v>
      </c>
      <c r="G35" s="38">
        <f>SUMIFS('[12]inland_taf_hatchgrp_tableraw&amp;yy'!G$3:G$38,'[12]inland_taf_hatchgrp_tableraw&amp;yy'!$AC$3:$AC$38,'2019 Table 10 CWTs exp'!$A35)</f>
        <v>0</v>
      </c>
      <c r="H35" s="39">
        <f>SUMIFS('[12]inland_taf_hatchgrp_tableraw&amp;yy'!H$3:H$38,'[12]inland_taf_hatchgrp_tableraw&amp;yy'!$AC$3:$AC$38,'2019 Table 10 CWTs exp'!$A35)</f>
        <v>0</v>
      </c>
      <c r="I35" s="38">
        <f>SUMIFS('[12]inland_taf_hatchgrp_tableraw&amp;yy'!I$3:I$38,'[12]inland_taf_hatchgrp_tableraw&amp;yy'!$AC$3:$AC$38,'2019 Table 10 CWTs exp'!$A35)</f>
        <v>33</v>
      </c>
      <c r="J35" s="40">
        <f>SUMIFS('[12]inland_taf_hatchgrp_tableraw&amp;yy'!J$3:J$38,'[12]inland_taf_hatchgrp_tableraw&amp;yy'!$AC$3:$AC$38,'2019 Table 10 CWTs exp'!$A35)</f>
        <v>0</v>
      </c>
      <c r="K35" s="38">
        <f>SUMIFS('[12]inland_taf_hatchgrp_tableraw&amp;yy'!K$3:K$38,'[12]inland_taf_hatchgrp_tableraw&amp;yy'!$AC$3:$AC$38,'2019 Table 10 CWTs exp'!$A35)</f>
        <v>0</v>
      </c>
      <c r="L35" s="38">
        <f>SUMIFS('[12]inland_taf_hatchgrp_tableraw&amp;yy'!L$3:L$38,'[12]inland_taf_hatchgrp_tableraw&amp;yy'!$AC$3:$AC$38,'2019 Table 10 CWTs exp'!$A35)</f>
        <v>0</v>
      </c>
      <c r="M35" s="38">
        <f>SUMIFS('[12]inland_taf_hatchgrp_tableraw&amp;yy'!M$3:M$38,'[12]inland_taf_hatchgrp_tableraw&amp;yy'!$AC$3:$AC$38,'2019 Table 10 CWTs exp'!$A35)</f>
        <v>66</v>
      </c>
      <c r="N35" s="40">
        <f>SUMIFS('[12]inland_taf_hatchgrp_tableraw&amp;yy'!N$3:N$38,'[12]inland_taf_hatchgrp_tableraw&amp;yy'!$AC$3:$AC$38,'2019 Table 10 CWTs exp'!$A35)</f>
        <v>100</v>
      </c>
      <c r="O35" s="38">
        <f>SUMIFS('[12]inland_taf_hatchgrp_tableraw&amp;yy'!O$3:O$38,'[12]inland_taf_hatchgrp_tableraw&amp;yy'!$AC$3:$AC$38,'2019 Table 10 CWTs exp'!$A35)</f>
        <v>0</v>
      </c>
      <c r="P35" s="40">
        <f>SUMIFS('[12]inland_taf_hatchgrp_tableraw&amp;yy'!P$3:P$38,'[12]inland_taf_hatchgrp_tableraw&amp;yy'!$AC$3:$AC$38,'2019 Table 10 CWTs exp'!$A35)</f>
        <v>265</v>
      </c>
      <c r="Q35" s="38">
        <f>SUMIFS('[12]inland_taf_hatchgrp_tableraw&amp;yy'!Q$3:Q$38,'[12]inland_taf_hatchgrp_tableraw&amp;yy'!$AC$3:$AC$38,'2019 Table 10 CWTs exp'!$A35)</f>
        <v>33</v>
      </c>
      <c r="R35" s="38">
        <f>SUMIFS('[12]inland_taf_hatchgrp_tableraw&amp;yy'!R$3:R$38,'[12]inland_taf_hatchgrp_tableraw&amp;yy'!$AC$3:$AC$38,'2019 Table 10 CWTs exp'!$A35)</f>
        <v>2392</v>
      </c>
      <c r="S35" s="38">
        <f>SUMIFS('[12]inland_taf_hatchgrp_tableraw&amp;yy'!S$3:S$38,'[12]inland_taf_hatchgrp_tableraw&amp;yy'!$AC$3:$AC$38,'2019 Table 10 CWTs exp'!$A35)</f>
        <v>100</v>
      </c>
      <c r="T35" s="40">
        <f>SUMIFS('[12]inland_taf_hatchgrp_tableraw&amp;yy'!T$3:T$38,'[12]inland_taf_hatchgrp_tableraw&amp;yy'!$AC$3:$AC$38,'2019 Table 10 CWTs exp'!$A35)</f>
        <v>116</v>
      </c>
      <c r="U35" s="38">
        <f>SUMIFS('[12]inland_taf_hatchgrp_tableraw&amp;yy'!U$3:U$38,'[12]inland_taf_hatchgrp_tableraw&amp;yy'!$AC$3:$AC$38,'2019 Table 10 CWTs exp'!$A35)</f>
        <v>0</v>
      </c>
      <c r="V35" s="40">
        <f>SUMIFS('[12]inland_taf_hatchgrp_tableraw&amp;yy'!V$3:V$38,'[12]inland_taf_hatchgrp_tableraw&amp;yy'!$AC$3:$AC$38,'2019 Table 10 CWTs exp'!$A35)</f>
        <v>82</v>
      </c>
      <c r="W35" s="40">
        <f>SUMIFS('[12]inland_taf_hatchgrp_tableraw&amp;yy'!W$3:W$38,'[12]inland_taf_hatchgrp_tableraw&amp;yy'!$AC$3:$AC$38,'2019 Table 10 CWTs exp'!$A35)</f>
        <v>0</v>
      </c>
      <c r="X35" s="38">
        <f>SUMIFS('[12]inland_taf_hatchgrp_tableraw&amp;yy'!X$3:X$38,'[12]inland_taf_hatchgrp_tableraw&amp;yy'!$AC$3:$AC$38,'2019 Table 10 CWTs exp'!$A35)</f>
        <v>0</v>
      </c>
      <c r="Y35" s="41">
        <f>SUMIFS('[12]inland_taf_hatchgrp_tableraw&amp;yy'!Y$3:Y$38,'[12]inland_taf_hatchgrp_tableraw&amp;yy'!$AC$3:$AC$38,'2019 Table 10 CWTs exp'!$A35)</f>
        <v>3187</v>
      </c>
      <c r="Z35" s="42">
        <f>SUMIFS('[12]inland_taf_hatchgrp_tableraw&amp;yy'!Z$3:Z$38,'[12]inland_taf_hatchgrp_tableraw&amp;yy'!$AC$3:$AC$38,'2019 Table 10 CWTs exp'!$A35)</f>
        <v>1180</v>
      </c>
      <c r="AA35" s="38">
        <f>SUMIFS('[12]inland_taf_hatchgrp_tableraw&amp;yy'!AA$3:AA$38,'[12]inland_taf_hatchgrp_tableraw&amp;yy'!$AC$3:$AC$38,'2019 Table 10 CWTs exp'!$A35)</f>
        <v>4367</v>
      </c>
      <c r="AB35" s="636"/>
      <c r="AC35" s="636"/>
      <c r="AD35" s="567">
        <f>SUMIFS('[12]inland_taf_hatchgrp_tableraw&amp;yy'!AB$3:AB$38,'[12]inland_taf_hatchgrp_tableraw&amp;yy'!$AC$3:$AC$38,'2019 Table 10 CWTs exp'!$A35)</f>
        <v>0.73</v>
      </c>
      <c r="AE35" s="604" t="str">
        <f t="shared" si="9"/>
        <v>MOKE543</v>
      </c>
      <c r="AF35" s="442"/>
      <c r="AG35" s="622">
        <f t="shared" si="10"/>
        <v>0.72979161896038469</v>
      </c>
      <c r="AH35" s="652">
        <f t="shared" si="11"/>
        <v>0.27020838103961531</v>
      </c>
      <c r="AI35" s="605">
        <f t="shared" si="13"/>
        <v>0.27</v>
      </c>
      <c r="AJ35" s="447">
        <f t="shared" si="12"/>
        <v>1180</v>
      </c>
      <c r="AK35" s="650">
        <f t="shared" si="14"/>
        <v>0.27020838103961531</v>
      </c>
      <c r="AL35" s="451"/>
      <c r="AM35" s="442"/>
      <c r="AN35" s="442"/>
      <c r="AO35" s="442"/>
      <c r="AP35" s="442"/>
      <c r="AQ35" s="442"/>
      <c r="AR35" s="442"/>
      <c r="AS35" s="442"/>
      <c r="AT35" s="442"/>
      <c r="AU35" s="442"/>
      <c r="AV35" s="442"/>
      <c r="AW35" s="442"/>
      <c r="AX35" s="442"/>
      <c r="AY35" s="442"/>
      <c r="AZ35" s="442"/>
      <c r="BA35" s="442"/>
      <c r="BB35" s="442"/>
      <c r="BC35" s="442"/>
      <c r="BD35" s="442"/>
      <c r="BE35" s="442"/>
      <c r="BF35" s="442"/>
      <c r="BG35" s="442"/>
    </row>
    <row r="36" spans="1:59" ht="14.25" hidden="1" customHeight="1" x14ac:dyDescent="0.25">
      <c r="A36" s="50" t="str">
        <f t="shared" si="8"/>
        <v>COSU543</v>
      </c>
      <c r="B36" s="13" t="s">
        <v>92</v>
      </c>
      <c r="C36" s="13">
        <v>54</v>
      </c>
      <c r="D36" s="13">
        <v>3</v>
      </c>
      <c r="E36" s="3" t="s">
        <v>93</v>
      </c>
      <c r="F36" s="43" t="str">
        <f t="shared" si="15"/>
        <v>Fall</v>
      </c>
      <c r="G36" s="38">
        <f>SUMIFS('[12]inland_taf_hatchgrp_tableraw&amp;yy'!G$3:G$38,'[12]inland_taf_hatchgrp_tableraw&amp;yy'!$AC$3:$AC$38,'2019 Table 10 CWTs exp'!$A36)</f>
        <v>0</v>
      </c>
      <c r="H36" s="39">
        <f>SUMIFS('[12]inland_taf_hatchgrp_tableraw&amp;yy'!H$3:H$38,'[12]inland_taf_hatchgrp_tableraw&amp;yy'!$AC$3:$AC$38,'2019 Table 10 CWTs exp'!$A36)</f>
        <v>0</v>
      </c>
      <c r="I36" s="38">
        <f>SUMIFS('[12]inland_taf_hatchgrp_tableraw&amp;yy'!I$3:I$38,'[12]inland_taf_hatchgrp_tableraw&amp;yy'!$AC$3:$AC$38,'2019 Table 10 CWTs exp'!$A36)</f>
        <v>0</v>
      </c>
      <c r="J36" s="40">
        <f>SUMIFS('[12]inland_taf_hatchgrp_tableraw&amp;yy'!J$3:J$38,'[12]inland_taf_hatchgrp_tableraw&amp;yy'!$AC$3:$AC$38,'2019 Table 10 CWTs exp'!$A36)</f>
        <v>0</v>
      </c>
      <c r="K36" s="38">
        <f>SUMIFS('[12]inland_taf_hatchgrp_tableraw&amp;yy'!K$3:K$38,'[12]inland_taf_hatchgrp_tableraw&amp;yy'!$AC$3:$AC$38,'2019 Table 10 CWTs exp'!$A36)</f>
        <v>0</v>
      </c>
      <c r="L36" s="38">
        <f>SUMIFS('[12]inland_taf_hatchgrp_tableraw&amp;yy'!L$3:L$38,'[12]inland_taf_hatchgrp_tableraw&amp;yy'!$AC$3:$AC$38,'2019 Table 10 CWTs exp'!$A36)</f>
        <v>0</v>
      </c>
      <c r="M36" s="38">
        <f>SUMIFS('[12]inland_taf_hatchgrp_tableraw&amp;yy'!M$3:M$38,'[12]inland_taf_hatchgrp_tableraw&amp;yy'!$AC$3:$AC$38,'2019 Table 10 CWTs exp'!$A36)</f>
        <v>0</v>
      </c>
      <c r="N36" s="40">
        <f>SUMIFS('[12]inland_taf_hatchgrp_tableraw&amp;yy'!N$3:N$38,'[12]inland_taf_hatchgrp_tableraw&amp;yy'!$AC$3:$AC$38,'2019 Table 10 CWTs exp'!$A36)</f>
        <v>0</v>
      </c>
      <c r="O36" s="38">
        <f>SUMIFS('[12]inland_taf_hatchgrp_tableraw&amp;yy'!O$3:O$38,'[12]inland_taf_hatchgrp_tableraw&amp;yy'!$AC$3:$AC$38,'2019 Table 10 CWTs exp'!$A36)</f>
        <v>0</v>
      </c>
      <c r="P36" s="40">
        <f>SUMIFS('[12]inland_taf_hatchgrp_tableraw&amp;yy'!P$3:P$38,'[12]inland_taf_hatchgrp_tableraw&amp;yy'!$AC$3:$AC$38,'2019 Table 10 CWTs exp'!$A36)</f>
        <v>0</v>
      </c>
      <c r="Q36" s="38">
        <f>SUMIFS('[12]inland_taf_hatchgrp_tableraw&amp;yy'!Q$3:Q$38,'[12]inland_taf_hatchgrp_tableraw&amp;yy'!$AC$3:$AC$38,'2019 Table 10 CWTs exp'!$A36)</f>
        <v>0</v>
      </c>
      <c r="R36" s="38">
        <f>SUMIFS('[12]inland_taf_hatchgrp_tableraw&amp;yy'!R$3:R$38,'[12]inland_taf_hatchgrp_tableraw&amp;yy'!$AC$3:$AC$38,'2019 Table 10 CWTs exp'!$A36)</f>
        <v>0</v>
      </c>
      <c r="S36" s="38">
        <f>SUMIFS('[12]inland_taf_hatchgrp_tableraw&amp;yy'!S$3:S$38,'[12]inland_taf_hatchgrp_tableraw&amp;yy'!$AC$3:$AC$38,'2019 Table 10 CWTs exp'!$A36)</f>
        <v>0</v>
      </c>
      <c r="T36" s="40">
        <f>SUMIFS('[12]inland_taf_hatchgrp_tableraw&amp;yy'!T$3:T$38,'[12]inland_taf_hatchgrp_tableraw&amp;yy'!$AC$3:$AC$38,'2019 Table 10 CWTs exp'!$A36)</f>
        <v>0</v>
      </c>
      <c r="U36" s="38">
        <f>SUMIFS('[12]inland_taf_hatchgrp_tableraw&amp;yy'!U$3:U$38,'[12]inland_taf_hatchgrp_tableraw&amp;yy'!$AC$3:$AC$38,'2019 Table 10 CWTs exp'!$A36)</f>
        <v>0</v>
      </c>
      <c r="V36" s="40">
        <f>SUMIFS('[12]inland_taf_hatchgrp_tableraw&amp;yy'!V$3:V$38,'[12]inland_taf_hatchgrp_tableraw&amp;yy'!$AC$3:$AC$38,'2019 Table 10 CWTs exp'!$A36)</f>
        <v>0</v>
      </c>
      <c r="W36" s="40">
        <f>SUMIFS('[12]inland_taf_hatchgrp_tableraw&amp;yy'!W$3:W$38,'[12]inland_taf_hatchgrp_tableraw&amp;yy'!$AC$3:$AC$38,'2019 Table 10 CWTs exp'!$A36)</f>
        <v>0</v>
      </c>
      <c r="X36" s="38">
        <f>SUMIFS('[12]inland_taf_hatchgrp_tableraw&amp;yy'!X$3:X$38,'[12]inland_taf_hatchgrp_tableraw&amp;yy'!$AC$3:$AC$38,'2019 Table 10 CWTs exp'!$A36)</f>
        <v>0</v>
      </c>
      <c r="Y36" s="41">
        <f>SUMIFS('[12]inland_taf_hatchgrp_tableraw&amp;yy'!Y$3:Y$38,'[12]inland_taf_hatchgrp_tableraw&amp;yy'!$AC$3:$AC$38,'2019 Table 10 CWTs exp'!$A36)</f>
        <v>0</v>
      </c>
      <c r="Z36" s="42">
        <f>SUMIFS('[12]inland_taf_hatchgrp_tableraw&amp;yy'!Z$3:Z$38,'[12]inland_taf_hatchgrp_tableraw&amp;yy'!$AC$3:$AC$38,'2019 Table 10 CWTs exp'!$A36)</f>
        <v>0</v>
      </c>
      <c r="AA36" s="38">
        <f>SUMIFS('[12]inland_taf_hatchgrp_tableraw&amp;yy'!AA$3:AA$38,'[12]inland_taf_hatchgrp_tableraw&amp;yy'!$AC$3:$AC$38,'2019 Table 10 CWTs exp'!$A36)</f>
        <v>0</v>
      </c>
      <c r="AB36" s="636"/>
      <c r="AC36" s="636"/>
      <c r="AD36" s="567">
        <f>SUMIFS('[12]inland_taf_hatchgrp_tableraw&amp;yy'!AB$3:AB$38,'[12]inland_taf_hatchgrp_tableraw&amp;yy'!$AC$3:$AC$38,'2019 Table 10 CWTs exp'!$A36)</f>
        <v>0</v>
      </c>
      <c r="AE36" s="604" t="str">
        <f t="shared" si="9"/>
        <v>COSU543</v>
      </c>
      <c r="AF36" s="442"/>
      <c r="AG36" s="622" t="e">
        <f t="shared" si="10"/>
        <v>#DIV/0!</v>
      </c>
      <c r="AH36" s="652" t="e">
        <f t="shared" si="11"/>
        <v>#DIV/0!</v>
      </c>
      <c r="AI36" s="605">
        <f t="shared" si="13"/>
        <v>1</v>
      </c>
      <c r="AJ36" s="447">
        <f t="shared" si="12"/>
        <v>0</v>
      </c>
      <c r="AK36" s="650" t="e">
        <f t="shared" si="14"/>
        <v>#DIV/0!</v>
      </c>
      <c r="AL36" s="451"/>
      <c r="AM36" s="442"/>
      <c r="AN36" s="442"/>
      <c r="AO36" s="442"/>
      <c r="AP36" s="442"/>
      <c r="AQ36" s="442"/>
      <c r="AR36" s="442"/>
      <c r="AS36" s="442"/>
      <c r="AT36" s="442"/>
      <c r="AU36" s="442"/>
      <c r="AV36" s="442"/>
      <c r="AW36" s="442"/>
      <c r="AX36" s="442"/>
      <c r="AY36" s="442"/>
      <c r="AZ36" s="442"/>
      <c r="BA36" s="442"/>
      <c r="BB36" s="442"/>
      <c r="BC36" s="442"/>
      <c r="BD36" s="442"/>
      <c r="BE36" s="442"/>
      <c r="BF36" s="442"/>
      <c r="BG36" s="442"/>
    </row>
    <row r="37" spans="1:59" ht="14.25" hidden="1" customHeight="1" x14ac:dyDescent="0.25">
      <c r="A37" s="50" t="str">
        <f t="shared" si="8"/>
        <v>CAL543</v>
      </c>
      <c r="B37" s="13" t="s">
        <v>94</v>
      </c>
      <c r="C37" s="13">
        <v>54</v>
      </c>
      <c r="D37" s="13">
        <v>3</v>
      </c>
      <c r="E37" s="3" t="s">
        <v>95</v>
      </c>
      <c r="F37" s="43" t="str">
        <f t="shared" si="15"/>
        <v>Fall</v>
      </c>
      <c r="G37" s="38">
        <f>SUMIFS('[12]inland_taf_hatchgrp_tableraw&amp;yy'!G$3:G$38,'[12]inland_taf_hatchgrp_tableraw&amp;yy'!$AC$3:$AC$38,'2019 Table 10 CWTs exp'!$A37)</f>
        <v>0</v>
      </c>
      <c r="H37" s="39">
        <f>SUMIFS('[12]inland_taf_hatchgrp_tableraw&amp;yy'!H$3:H$38,'[12]inland_taf_hatchgrp_tableraw&amp;yy'!$AC$3:$AC$38,'2019 Table 10 CWTs exp'!$A37)</f>
        <v>0</v>
      </c>
      <c r="I37" s="38">
        <f>SUMIFS('[12]inland_taf_hatchgrp_tableraw&amp;yy'!I$3:I$38,'[12]inland_taf_hatchgrp_tableraw&amp;yy'!$AC$3:$AC$38,'2019 Table 10 CWTs exp'!$A37)</f>
        <v>0</v>
      </c>
      <c r="J37" s="40">
        <f>SUMIFS('[12]inland_taf_hatchgrp_tableraw&amp;yy'!J$3:J$38,'[12]inland_taf_hatchgrp_tableraw&amp;yy'!$AC$3:$AC$38,'2019 Table 10 CWTs exp'!$A37)</f>
        <v>0</v>
      </c>
      <c r="K37" s="38">
        <f>SUMIFS('[12]inland_taf_hatchgrp_tableraw&amp;yy'!K$3:K$38,'[12]inland_taf_hatchgrp_tableraw&amp;yy'!$AC$3:$AC$38,'2019 Table 10 CWTs exp'!$A37)</f>
        <v>0</v>
      </c>
      <c r="L37" s="38">
        <f>SUMIFS('[12]inland_taf_hatchgrp_tableraw&amp;yy'!L$3:L$38,'[12]inland_taf_hatchgrp_tableraw&amp;yy'!$AC$3:$AC$38,'2019 Table 10 CWTs exp'!$A37)</f>
        <v>0</v>
      </c>
      <c r="M37" s="38">
        <f>SUMIFS('[12]inland_taf_hatchgrp_tableraw&amp;yy'!M$3:M$38,'[12]inland_taf_hatchgrp_tableraw&amp;yy'!$AC$3:$AC$38,'2019 Table 10 CWTs exp'!$A37)</f>
        <v>0</v>
      </c>
      <c r="N37" s="40">
        <f>SUMIFS('[12]inland_taf_hatchgrp_tableraw&amp;yy'!N$3:N$38,'[12]inland_taf_hatchgrp_tableraw&amp;yy'!$AC$3:$AC$38,'2019 Table 10 CWTs exp'!$A37)</f>
        <v>0</v>
      </c>
      <c r="O37" s="38">
        <f>SUMIFS('[12]inland_taf_hatchgrp_tableraw&amp;yy'!O$3:O$38,'[12]inland_taf_hatchgrp_tableraw&amp;yy'!$AC$3:$AC$38,'2019 Table 10 CWTs exp'!$A37)</f>
        <v>0</v>
      </c>
      <c r="P37" s="40">
        <f>SUMIFS('[12]inland_taf_hatchgrp_tableraw&amp;yy'!P$3:P$38,'[12]inland_taf_hatchgrp_tableraw&amp;yy'!$AC$3:$AC$38,'2019 Table 10 CWTs exp'!$A37)</f>
        <v>0</v>
      </c>
      <c r="Q37" s="38">
        <f>SUMIFS('[12]inland_taf_hatchgrp_tableraw&amp;yy'!Q$3:Q$38,'[12]inland_taf_hatchgrp_tableraw&amp;yy'!$AC$3:$AC$38,'2019 Table 10 CWTs exp'!$A37)</f>
        <v>0</v>
      </c>
      <c r="R37" s="38">
        <f>SUMIFS('[12]inland_taf_hatchgrp_tableraw&amp;yy'!R$3:R$38,'[12]inland_taf_hatchgrp_tableraw&amp;yy'!$AC$3:$AC$38,'2019 Table 10 CWTs exp'!$A37)</f>
        <v>0</v>
      </c>
      <c r="S37" s="38">
        <f>SUMIFS('[12]inland_taf_hatchgrp_tableraw&amp;yy'!S$3:S$38,'[12]inland_taf_hatchgrp_tableraw&amp;yy'!$AC$3:$AC$38,'2019 Table 10 CWTs exp'!$A37)</f>
        <v>0</v>
      </c>
      <c r="T37" s="40">
        <f>SUMIFS('[12]inland_taf_hatchgrp_tableraw&amp;yy'!T$3:T$38,'[12]inland_taf_hatchgrp_tableraw&amp;yy'!$AC$3:$AC$38,'2019 Table 10 CWTs exp'!$A37)</f>
        <v>0</v>
      </c>
      <c r="U37" s="38">
        <f>SUMIFS('[12]inland_taf_hatchgrp_tableraw&amp;yy'!U$3:U$38,'[12]inland_taf_hatchgrp_tableraw&amp;yy'!$AC$3:$AC$38,'2019 Table 10 CWTs exp'!$A37)</f>
        <v>0</v>
      </c>
      <c r="V37" s="40">
        <f>SUMIFS('[12]inland_taf_hatchgrp_tableraw&amp;yy'!V$3:V$38,'[12]inland_taf_hatchgrp_tableraw&amp;yy'!$AC$3:$AC$38,'2019 Table 10 CWTs exp'!$A37)</f>
        <v>0</v>
      </c>
      <c r="W37" s="40">
        <f>SUMIFS('[12]inland_taf_hatchgrp_tableraw&amp;yy'!W$3:W$38,'[12]inland_taf_hatchgrp_tableraw&amp;yy'!$AC$3:$AC$38,'2019 Table 10 CWTs exp'!$A37)</f>
        <v>0</v>
      </c>
      <c r="X37" s="38">
        <f>SUMIFS('[12]inland_taf_hatchgrp_tableraw&amp;yy'!X$3:X$38,'[12]inland_taf_hatchgrp_tableraw&amp;yy'!$AC$3:$AC$38,'2019 Table 10 CWTs exp'!$A37)</f>
        <v>0</v>
      </c>
      <c r="Y37" s="41">
        <f>SUMIFS('[12]inland_taf_hatchgrp_tableraw&amp;yy'!Y$3:Y$38,'[12]inland_taf_hatchgrp_tableraw&amp;yy'!$AC$3:$AC$38,'2019 Table 10 CWTs exp'!$A37)</f>
        <v>0</v>
      </c>
      <c r="Z37" s="42">
        <f>SUMIFS('[12]inland_taf_hatchgrp_tableraw&amp;yy'!Z$3:Z$38,'[12]inland_taf_hatchgrp_tableraw&amp;yy'!$AC$3:$AC$38,'2019 Table 10 CWTs exp'!$A37)</f>
        <v>0</v>
      </c>
      <c r="AA37" s="38">
        <f>SUMIFS('[12]inland_taf_hatchgrp_tableraw&amp;yy'!AA$3:AA$38,'[12]inland_taf_hatchgrp_tableraw&amp;yy'!$AC$3:$AC$38,'2019 Table 10 CWTs exp'!$A37)</f>
        <v>0</v>
      </c>
      <c r="AB37" s="636"/>
      <c r="AC37" s="636"/>
      <c r="AD37" s="567">
        <f>SUMIFS('[12]inland_taf_hatchgrp_tableraw&amp;yy'!AB$3:AB$38,'[12]inland_taf_hatchgrp_tableraw&amp;yy'!$AC$3:$AC$38,'2019 Table 10 CWTs exp'!$A37)</f>
        <v>0</v>
      </c>
      <c r="AE37" s="604" t="str">
        <f t="shared" si="9"/>
        <v>CAL543</v>
      </c>
      <c r="AF37" s="442"/>
      <c r="AG37" s="622" t="e">
        <f t="shared" si="10"/>
        <v>#DIV/0!</v>
      </c>
      <c r="AH37" s="652" t="e">
        <f t="shared" si="11"/>
        <v>#DIV/0!</v>
      </c>
      <c r="AI37" s="605">
        <f t="shared" si="13"/>
        <v>1</v>
      </c>
      <c r="AJ37" s="447">
        <f t="shared" si="12"/>
        <v>0</v>
      </c>
      <c r="AK37" s="650" t="e">
        <f t="shared" si="14"/>
        <v>#DIV/0!</v>
      </c>
      <c r="AL37" s="451"/>
      <c r="AM37" s="442"/>
      <c r="AN37" s="442"/>
      <c r="AO37" s="442"/>
      <c r="AP37" s="442"/>
      <c r="AQ37" s="442"/>
      <c r="AR37" s="442"/>
      <c r="AS37" s="442"/>
      <c r="AT37" s="442"/>
      <c r="AU37" s="442"/>
      <c r="AV37" s="442"/>
      <c r="AW37" s="442"/>
      <c r="AX37" s="442"/>
      <c r="AY37" s="442"/>
      <c r="AZ37" s="442"/>
      <c r="BA37" s="442"/>
      <c r="BB37" s="442"/>
      <c r="BC37" s="442"/>
      <c r="BD37" s="442"/>
      <c r="BE37" s="442"/>
      <c r="BF37" s="442"/>
      <c r="BG37" s="442"/>
    </row>
    <row r="38" spans="1:59" ht="14.5" customHeight="1" x14ac:dyDescent="0.25">
      <c r="A38" s="50" t="str">
        <f t="shared" si="8"/>
        <v>STA543</v>
      </c>
      <c r="B38" s="13" t="s">
        <v>96</v>
      </c>
      <c r="C38" s="13">
        <v>54</v>
      </c>
      <c r="D38" s="13">
        <v>3</v>
      </c>
      <c r="E38" s="3" t="s">
        <v>97</v>
      </c>
      <c r="F38" s="43" t="str">
        <f t="shared" si="15"/>
        <v>Fall</v>
      </c>
      <c r="G38" s="38">
        <f>SUMIFS('[12]inland_taf_hatchgrp_tableraw&amp;yy'!G$3:G$38,'[12]inland_taf_hatchgrp_tableraw&amp;yy'!$AC$3:$AC$38,'2019 Table 10 CWTs exp'!$A38)</f>
        <v>0</v>
      </c>
      <c r="H38" s="39">
        <f>SUMIFS('[12]inland_taf_hatchgrp_tableraw&amp;yy'!H$3:H$38,'[12]inland_taf_hatchgrp_tableraw&amp;yy'!$AC$3:$AC$38,'2019 Table 10 CWTs exp'!$A38)</f>
        <v>8</v>
      </c>
      <c r="I38" s="38">
        <f>SUMIFS('[12]inland_taf_hatchgrp_tableraw&amp;yy'!I$3:I$38,'[12]inland_taf_hatchgrp_tableraw&amp;yy'!$AC$3:$AC$38,'2019 Table 10 CWTs exp'!$A38)</f>
        <v>0</v>
      </c>
      <c r="J38" s="40">
        <f>SUMIFS('[12]inland_taf_hatchgrp_tableraw&amp;yy'!J$3:J$38,'[12]inland_taf_hatchgrp_tableraw&amp;yy'!$AC$3:$AC$38,'2019 Table 10 CWTs exp'!$A38)</f>
        <v>0</v>
      </c>
      <c r="K38" s="38">
        <f>SUMIFS('[12]inland_taf_hatchgrp_tableraw&amp;yy'!K$3:K$38,'[12]inland_taf_hatchgrp_tableraw&amp;yy'!$AC$3:$AC$38,'2019 Table 10 CWTs exp'!$A38)</f>
        <v>0</v>
      </c>
      <c r="L38" s="38">
        <f>SUMIFS('[12]inland_taf_hatchgrp_tableraw&amp;yy'!L$3:L$38,'[12]inland_taf_hatchgrp_tableraw&amp;yy'!$AC$3:$AC$38,'2019 Table 10 CWTs exp'!$A38)</f>
        <v>0</v>
      </c>
      <c r="M38" s="38">
        <f>SUMIFS('[12]inland_taf_hatchgrp_tableraw&amp;yy'!M$3:M$38,'[12]inland_taf_hatchgrp_tableraw&amp;yy'!$AC$3:$AC$38,'2019 Table 10 CWTs exp'!$A38)</f>
        <v>64</v>
      </c>
      <c r="N38" s="40">
        <f>SUMIFS('[12]inland_taf_hatchgrp_tableraw&amp;yy'!N$3:N$38,'[12]inland_taf_hatchgrp_tableraw&amp;yy'!$AC$3:$AC$38,'2019 Table 10 CWTs exp'!$A38)</f>
        <v>65</v>
      </c>
      <c r="O38" s="38">
        <f>SUMIFS('[12]inland_taf_hatchgrp_tableraw&amp;yy'!O$3:O$38,'[12]inland_taf_hatchgrp_tableraw&amp;yy'!$AC$3:$AC$38,'2019 Table 10 CWTs exp'!$A38)</f>
        <v>0</v>
      </c>
      <c r="P38" s="40">
        <f>SUMIFS('[12]inland_taf_hatchgrp_tableraw&amp;yy'!P$3:P$38,'[12]inland_taf_hatchgrp_tableraw&amp;yy'!$AC$3:$AC$38,'2019 Table 10 CWTs exp'!$A38)</f>
        <v>33</v>
      </c>
      <c r="Q38" s="38">
        <f>SUMIFS('[12]inland_taf_hatchgrp_tableraw&amp;yy'!Q$3:Q$38,'[12]inland_taf_hatchgrp_tableraw&amp;yy'!$AC$3:$AC$38,'2019 Table 10 CWTs exp'!$A38)</f>
        <v>0</v>
      </c>
      <c r="R38" s="38">
        <f>SUMIFS('[12]inland_taf_hatchgrp_tableraw&amp;yy'!R$3:R$38,'[12]inland_taf_hatchgrp_tableraw&amp;yy'!$AC$3:$AC$38,'2019 Table 10 CWTs exp'!$A38)</f>
        <v>551</v>
      </c>
      <c r="S38" s="38">
        <f>SUMIFS('[12]inland_taf_hatchgrp_tableraw&amp;yy'!S$3:S$38,'[12]inland_taf_hatchgrp_tableraw&amp;yy'!$AC$3:$AC$38,'2019 Table 10 CWTs exp'!$A38)</f>
        <v>17</v>
      </c>
      <c r="T38" s="40">
        <f>SUMIFS('[12]inland_taf_hatchgrp_tableraw&amp;yy'!T$3:T$38,'[12]inland_taf_hatchgrp_tableraw&amp;yy'!$AC$3:$AC$38,'2019 Table 10 CWTs exp'!$A38)</f>
        <v>57</v>
      </c>
      <c r="U38" s="38">
        <f>SUMIFS('[12]inland_taf_hatchgrp_tableraw&amp;yy'!U$3:U$38,'[12]inland_taf_hatchgrp_tableraw&amp;yy'!$AC$3:$AC$38,'2019 Table 10 CWTs exp'!$A38)</f>
        <v>0</v>
      </c>
      <c r="V38" s="40">
        <f>SUMIFS('[12]inland_taf_hatchgrp_tableraw&amp;yy'!V$3:V$38,'[12]inland_taf_hatchgrp_tableraw&amp;yy'!$AC$3:$AC$38,'2019 Table 10 CWTs exp'!$A38)</f>
        <v>23</v>
      </c>
      <c r="W38" s="40">
        <f>SUMIFS('[12]inland_taf_hatchgrp_tableraw&amp;yy'!W$3:W$38,'[12]inland_taf_hatchgrp_tableraw&amp;yy'!$AC$3:$AC$38,'2019 Table 10 CWTs exp'!$A38)</f>
        <v>0</v>
      </c>
      <c r="X38" s="38">
        <f>SUMIFS('[12]inland_taf_hatchgrp_tableraw&amp;yy'!X$3:X$38,'[12]inland_taf_hatchgrp_tableraw&amp;yy'!$AC$3:$AC$38,'2019 Table 10 CWTs exp'!$A38)</f>
        <v>0</v>
      </c>
      <c r="Y38" s="41">
        <f>SUMIFS('[12]inland_taf_hatchgrp_tableraw&amp;yy'!Y$3:Y$38,'[12]inland_taf_hatchgrp_tableraw&amp;yy'!$AC$3:$AC$38,'2019 Table 10 CWTs exp'!$A38)</f>
        <v>818</v>
      </c>
      <c r="Z38" s="42">
        <f>SUMIFS('[12]inland_taf_hatchgrp_tableraw&amp;yy'!Z$3:Z$38,'[12]inland_taf_hatchgrp_tableraw&amp;yy'!$AC$3:$AC$38,'2019 Table 10 CWTs exp'!$A38)</f>
        <v>686</v>
      </c>
      <c r="AA38" s="38">
        <f>SUMIFS('[12]inland_taf_hatchgrp_tableraw&amp;yy'!AA$3:AA$38,'[12]inland_taf_hatchgrp_tableraw&amp;yy'!$AC$3:$AC$38,'2019 Table 10 CWTs exp'!$A38)</f>
        <v>1504</v>
      </c>
      <c r="AB38" s="636"/>
      <c r="AC38" s="636"/>
      <c r="AD38" s="567">
        <f>SUMIFS('[12]inland_taf_hatchgrp_tableraw&amp;yy'!AB$3:AB$38,'[12]inland_taf_hatchgrp_tableraw&amp;yy'!$AC$3:$AC$38,'2019 Table 10 CWTs exp'!$A38)</f>
        <v>0.54400000000000004</v>
      </c>
      <c r="AE38" s="604" t="str">
        <f t="shared" si="9"/>
        <v>STA543</v>
      </c>
      <c r="AF38" s="442"/>
      <c r="AG38" s="622">
        <f t="shared" si="10"/>
        <v>0.5438829787234043</v>
      </c>
      <c r="AH38" s="652">
        <f t="shared" si="11"/>
        <v>0.45611702127659576</v>
      </c>
      <c r="AI38" s="605">
        <f t="shared" si="13"/>
        <v>0.45599999999999996</v>
      </c>
      <c r="AJ38" s="447">
        <f t="shared" si="12"/>
        <v>686</v>
      </c>
      <c r="AK38" s="650">
        <f t="shared" si="14"/>
        <v>0.45611702127659576</v>
      </c>
      <c r="AL38" s="451"/>
      <c r="AM38" s="442"/>
      <c r="AN38" s="442"/>
      <c r="AO38" s="442"/>
      <c r="AP38" s="442"/>
      <c r="AQ38" s="442"/>
      <c r="AR38" s="442"/>
      <c r="AS38" s="442"/>
      <c r="AT38" s="442"/>
      <c r="AU38" s="442"/>
      <c r="AV38" s="442"/>
      <c r="AW38" s="442"/>
      <c r="AX38" s="442"/>
      <c r="AY38" s="442"/>
      <c r="AZ38" s="442"/>
      <c r="BA38" s="442"/>
      <c r="BB38" s="442"/>
      <c r="BC38" s="442"/>
      <c r="BD38" s="442"/>
      <c r="BE38" s="442"/>
      <c r="BF38" s="442"/>
      <c r="BG38" s="442"/>
    </row>
    <row r="39" spans="1:59" ht="14.5" customHeight="1" x14ac:dyDescent="0.25">
      <c r="A39" s="50" t="str">
        <f t="shared" si="8"/>
        <v>TUO543</v>
      </c>
      <c r="B39" s="13" t="s">
        <v>98</v>
      </c>
      <c r="C39" s="13">
        <v>54</v>
      </c>
      <c r="D39" s="13">
        <v>3</v>
      </c>
      <c r="E39" s="3" t="s">
        <v>99</v>
      </c>
      <c r="F39" s="43" t="str">
        <f t="shared" si="15"/>
        <v>Fall</v>
      </c>
      <c r="G39" s="38">
        <f>SUMIFS('[12]inland_taf_hatchgrp_tableraw&amp;yy'!G$3:G$38,'[12]inland_taf_hatchgrp_tableraw&amp;yy'!$AC$3:$AC$38,'2019 Table 10 CWTs exp'!$A39)</f>
        <v>0</v>
      </c>
      <c r="H39" s="39">
        <f>SUMIFS('[12]inland_taf_hatchgrp_tableraw&amp;yy'!H$3:H$38,'[12]inland_taf_hatchgrp_tableraw&amp;yy'!$AC$3:$AC$38,'2019 Table 10 CWTs exp'!$A39)</f>
        <v>0</v>
      </c>
      <c r="I39" s="38">
        <f>SUMIFS('[12]inland_taf_hatchgrp_tableraw&amp;yy'!I$3:I$38,'[12]inland_taf_hatchgrp_tableraw&amp;yy'!$AC$3:$AC$38,'2019 Table 10 CWTs exp'!$A39)</f>
        <v>0</v>
      </c>
      <c r="J39" s="40">
        <f>SUMIFS('[12]inland_taf_hatchgrp_tableraw&amp;yy'!J$3:J$38,'[12]inland_taf_hatchgrp_tableraw&amp;yy'!$AC$3:$AC$38,'2019 Table 10 CWTs exp'!$A39)</f>
        <v>0</v>
      </c>
      <c r="K39" s="38">
        <f>SUMIFS('[12]inland_taf_hatchgrp_tableraw&amp;yy'!K$3:K$38,'[12]inland_taf_hatchgrp_tableraw&amp;yy'!$AC$3:$AC$38,'2019 Table 10 CWTs exp'!$A39)</f>
        <v>0</v>
      </c>
      <c r="L39" s="38">
        <f>SUMIFS('[12]inland_taf_hatchgrp_tableraw&amp;yy'!L$3:L$38,'[12]inland_taf_hatchgrp_tableraw&amp;yy'!$AC$3:$AC$38,'2019 Table 10 CWTs exp'!$A39)</f>
        <v>0</v>
      </c>
      <c r="M39" s="38">
        <f>SUMIFS('[12]inland_taf_hatchgrp_tableraw&amp;yy'!M$3:M$38,'[12]inland_taf_hatchgrp_tableraw&amp;yy'!$AC$3:$AC$38,'2019 Table 10 CWTs exp'!$A39)</f>
        <v>19</v>
      </c>
      <c r="N39" s="40">
        <f>SUMIFS('[12]inland_taf_hatchgrp_tableraw&amp;yy'!N$3:N$38,'[12]inland_taf_hatchgrp_tableraw&amp;yy'!$AC$3:$AC$38,'2019 Table 10 CWTs exp'!$A39)</f>
        <v>20</v>
      </c>
      <c r="O39" s="38">
        <f>SUMIFS('[12]inland_taf_hatchgrp_tableraw&amp;yy'!O$3:O$38,'[12]inland_taf_hatchgrp_tableraw&amp;yy'!$AC$3:$AC$38,'2019 Table 10 CWTs exp'!$A39)</f>
        <v>0</v>
      </c>
      <c r="P39" s="40">
        <f>SUMIFS('[12]inland_taf_hatchgrp_tableraw&amp;yy'!P$3:P$38,'[12]inland_taf_hatchgrp_tableraw&amp;yy'!$AC$3:$AC$38,'2019 Table 10 CWTs exp'!$A39)</f>
        <v>0</v>
      </c>
      <c r="Q39" s="38">
        <f>SUMIFS('[12]inland_taf_hatchgrp_tableraw&amp;yy'!Q$3:Q$38,'[12]inland_taf_hatchgrp_tableraw&amp;yy'!$AC$3:$AC$38,'2019 Table 10 CWTs exp'!$A39)</f>
        <v>0</v>
      </c>
      <c r="R39" s="38">
        <f>SUMIFS('[12]inland_taf_hatchgrp_tableraw&amp;yy'!R$3:R$38,'[12]inland_taf_hatchgrp_tableraw&amp;yy'!$AC$3:$AC$38,'2019 Table 10 CWTs exp'!$A39)</f>
        <v>47</v>
      </c>
      <c r="S39" s="38">
        <f>SUMIFS('[12]inland_taf_hatchgrp_tableraw&amp;yy'!S$3:S$38,'[12]inland_taf_hatchgrp_tableraw&amp;yy'!$AC$3:$AC$38,'2019 Table 10 CWTs exp'!$A39)</f>
        <v>8</v>
      </c>
      <c r="T39" s="40">
        <f>SUMIFS('[12]inland_taf_hatchgrp_tableraw&amp;yy'!T$3:T$38,'[12]inland_taf_hatchgrp_tableraw&amp;yy'!$AC$3:$AC$38,'2019 Table 10 CWTs exp'!$A39)</f>
        <v>3</v>
      </c>
      <c r="U39" s="38">
        <f>SUMIFS('[12]inland_taf_hatchgrp_tableraw&amp;yy'!U$3:U$38,'[12]inland_taf_hatchgrp_tableraw&amp;yy'!$AC$3:$AC$38,'2019 Table 10 CWTs exp'!$A39)</f>
        <v>0</v>
      </c>
      <c r="V39" s="40">
        <f>SUMIFS('[12]inland_taf_hatchgrp_tableraw&amp;yy'!V$3:V$38,'[12]inland_taf_hatchgrp_tableraw&amp;yy'!$AC$3:$AC$38,'2019 Table 10 CWTs exp'!$A39)</f>
        <v>59</v>
      </c>
      <c r="W39" s="40">
        <f>SUMIFS('[12]inland_taf_hatchgrp_tableraw&amp;yy'!W$3:W$38,'[12]inland_taf_hatchgrp_tableraw&amp;yy'!$AC$3:$AC$38,'2019 Table 10 CWTs exp'!$A39)</f>
        <v>0</v>
      </c>
      <c r="X39" s="38">
        <f>SUMIFS('[12]inland_taf_hatchgrp_tableraw&amp;yy'!X$3:X$38,'[12]inland_taf_hatchgrp_tableraw&amp;yy'!$AC$3:$AC$38,'2019 Table 10 CWTs exp'!$A39)</f>
        <v>0</v>
      </c>
      <c r="Y39" s="41">
        <f>SUMIFS('[12]inland_taf_hatchgrp_tableraw&amp;yy'!Y$3:Y$38,'[12]inland_taf_hatchgrp_tableraw&amp;yy'!$AC$3:$AC$38,'2019 Table 10 CWTs exp'!$A39)</f>
        <v>156</v>
      </c>
      <c r="Z39" s="42">
        <f>SUMIFS('[12]inland_taf_hatchgrp_tableraw&amp;yy'!Z$3:Z$38,'[12]inland_taf_hatchgrp_tableraw&amp;yy'!$AC$3:$AC$38,'2019 Table 10 CWTs exp'!$A39)</f>
        <v>775</v>
      </c>
      <c r="AA39" s="38">
        <f>SUMIFS('[12]inland_taf_hatchgrp_tableraw&amp;yy'!AA$3:AA$38,'[12]inland_taf_hatchgrp_tableraw&amp;yy'!$AC$3:$AC$38,'2019 Table 10 CWTs exp'!$A39)</f>
        <v>931</v>
      </c>
      <c r="AB39" s="636"/>
      <c r="AC39" s="636"/>
      <c r="AD39" s="567">
        <f>SUMIFS('[12]inland_taf_hatchgrp_tableraw&amp;yy'!AB$3:AB$38,'[12]inland_taf_hatchgrp_tableraw&amp;yy'!$AC$3:$AC$38,'2019 Table 10 CWTs exp'!$A39)</f>
        <v>0.16800000000000001</v>
      </c>
      <c r="AE39" s="604" t="str">
        <f t="shared" si="9"/>
        <v>TUO543</v>
      </c>
      <c r="AF39" s="442"/>
      <c r="AG39" s="622">
        <f>Y39/AA39</f>
        <v>0.16756176154672395</v>
      </c>
      <c r="AH39" s="652">
        <f t="shared" si="11"/>
        <v>0.83243823845327602</v>
      </c>
      <c r="AI39" s="605">
        <f t="shared" si="13"/>
        <v>0.83199999999999996</v>
      </c>
      <c r="AJ39" s="447">
        <f t="shared" si="12"/>
        <v>775</v>
      </c>
      <c r="AK39" s="650">
        <f t="shared" si="14"/>
        <v>0.83243823845327602</v>
      </c>
      <c r="AL39" s="451"/>
      <c r="AM39" s="442"/>
      <c r="AN39" s="442"/>
      <c r="AO39" s="442"/>
      <c r="AP39" s="442"/>
      <c r="AQ39" s="442"/>
      <c r="AR39" s="442"/>
      <c r="AS39" s="442"/>
      <c r="AT39" s="442"/>
      <c r="AU39" s="442"/>
      <c r="AV39" s="442"/>
      <c r="AW39" s="442"/>
      <c r="AX39" s="442"/>
      <c r="AY39" s="442"/>
      <c r="AZ39" s="442"/>
      <c r="BA39" s="442"/>
      <c r="BB39" s="442"/>
      <c r="BC39" s="442"/>
      <c r="BD39" s="442"/>
      <c r="BE39" s="442"/>
      <c r="BF39" s="442"/>
      <c r="BG39" s="442"/>
    </row>
    <row r="40" spans="1:59" ht="14.5" customHeight="1" x14ac:dyDescent="0.25">
      <c r="A40" s="50" t="str">
        <f t="shared" si="8"/>
        <v>MER543</v>
      </c>
      <c r="B40" s="13" t="s">
        <v>5</v>
      </c>
      <c r="C40" s="13">
        <v>54</v>
      </c>
      <c r="D40" s="13">
        <v>3</v>
      </c>
      <c r="E40" s="3" t="s">
        <v>100</v>
      </c>
      <c r="F40" s="43" t="str">
        <f t="shared" si="15"/>
        <v>Fall</v>
      </c>
      <c r="G40" s="38">
        <f>SUMIFS('[12]inland_taf_hatchgrp_tableraw&amp;yy'!G$3:G$38,'[12]inland_taf_hatchgrp_tableraw&amp;yy'!$AC$3:$AC$38,'2019 Table 10 CWTs exp'!$A40)</f>
        <v>0</v>
      </c>
      <c r="H40" s="39">
        <f>SUMIFS('[12]inland_taf_hatchgrp_tableraw&amp;yy'!H$3:H$38,'[12]inland_taf_hatchgrp_tableraw&amp;yy'!$AC$3:$AC$38,'2019 Table 10 CWTs exp'!$A40)</f>
        <v>0</v>
      </c>
      <c r="I40" s="38">
        <f>SUMIFS('[12]inland_taf_hatchgrp_tableraw&amp;yy'!I$3:I$38,'[12]inland_taf_hatchgrp_tableraw&amp;yy'!$AC$3:$AC$38,'2019 Table 10 CWTs exp'!$A40)</f>
        <v>0</v>
      </c>
      <c r="J40" s="40">
        <f>SUMIFS('[12]inland_taf_hatchgrp_tableraw&amp;yy'!J$3:J$38,'[12]inland_taf_hatchgrp_tableraw&amp;yy'!$AC$3:$AC$38,'2019 Table 10 CWTs exp'!$A40)</f>
        <v>0</v>
      </c>
      <c r="K40" s="38">
        <f>SUMIFS('[12]inland_taf_hatchgrp_tableraw&amp;yy'!K$3:K$38,'[12]inland_taf_hatchgrp_tableraw&amp;yy'!$AC$3:$AC$38,'2019 Table 10 CWTs exp'!$A40)</f>
        <v>0</v>
      </c>
      <c r="L40" s="38">
        <f>SUMIFS('[12]inland_taf_hatchgrp_tableraw&amp;yy'!L$3:L$38,'[12]inland_taf_hatchgrp_tableraw&amp;yy'!$AC$3:$AC$38,'2019 Table 10 CWTs exp'!$A40)</f>
        <v>0</v>
      </c>
      <c r="M40" s="38">
        <f>SUMIFS('[12]inland_taf_hatchgrp_tableraw&amp;yy'!M$3:M$38,'[12]inland_taf_hatchgrp_tableraw&amp;yy'!$AC$3:$AC$38,'2019 Table 10 CWTs exp'!$A40)</f>
        <v>0</v>
      </c>
      <c r="N40" s="40">
        <f>SUMIFS('[12]inland_taf_hatchgrp_tableraw&amp;yy'!N$3:N$38,'[12]inland_taf_hatchgrp_tableraw&amp;yy'!$AC$3:$AC$38,'2019 Table 10 CWTs exp'!$A40)</f>
        <v>78</v>
      </c>
      <c r="O40" s="38">
        <f>SUMIFS('[12]inland_taf_hatchgrp_tableraw&amp;yy'!O$3:O$38,'[12]inland_taf_hatchgrp_tableraw&amp;yy'!$AC$3:$AC$38,'2019 Table 10 CWTs exp'!$A40)</f>
        <v>0</v>
      </c>
      <c r="P40" s="40">
        <f>SUMIFS('[12]inland_taf_hatchgrp_tableraw&amp;yy'!P$3:P$38,'[12]inland_taf_hatchgrp_tableraw&amp;yy'!$AC$3:$AC$38,'2019 Table 10 CWTs exp'!$A40)</f>
        <v>0</v>
      </c>
      <c r="Q40" s="38">
        <f>SUMIFS('[12]inland_taf_hatchgrp_tableraw&amp;yy'!Q$3:Q$38,'[12]inland_taf_hatchgrp_tableraw&amp;yy'!$AC$3:$AC$38,'2019 Table 10 CWTs exp'!$A40)</f>
        <v>0</v>
      </c>
      <c r="R40" s="38">
        <f>SUMIFS('[12]inland_taf_hatchgrp_tableraw&amp;yy'!R$3:R$38,'[12]inland_taf_hatchgrp_tableraw&amp;yy'!$AC$3:$AC$38,'2019 Table 10 CWTs exp'!$A40)</f>
        <v>155</v>
      </c>
      <c r="S40" s="38">
        <f>SUMIFS('[12]inland_taf_hatchgrp_tableraw&amp;yy'!S$3:S$38,'[12]inland_taf_hatchgrp_tableraw&amp;yy'!$AC$3:$AC$38,'2019 Table 10 CWTs exp'!$A40)</f>
        <v>0</v>
      </c>
      <c r="T40" s="40">
        <f>SUMIFS('[12]inland_taf_hatchgrp_tableraw&amp;yy'!T$3:T$38,'[12]inland_taf_hatchgrp_tableraw&amp;yy'!$AC$3:$AC$38,'2019 Table 10 CWTs exp'!$A40)</f>
        <v>0</v>
      </c>
      <c r="U40" s="38">
        <f>SUMIFS('[12]inland_taf_hatchgrp_tableraw&amp;yy'!U$3:U$38,'[12]inland_taf_hatchgrp_tableraw&amp;yy'!$AC$3:$AC$38,'2019 Table 10 CWTs exp'!$A40)</f>
        <v>34</v>
      </c>
      <c r="V40" s="40">
        <f>SUMIFS('[12]inland_taf_hatchgrp_tableraw&amp;yy'!V$3:V$38,'[12]inland_taf_hatchgrp_tableraw&amp;yy'!$AC$3:$AC$38,'2019 Table 10 CWTs exp'!$A40)</f>
        <v>256</v>
      </c>
      <c r="W40" s="40">
        <f>SUMIFS('[12]inland_taf_hatchgrp_tableraw&amp;yy'!W$3:W$38,'[12]inland_taf_hatchgrp_tableraw&amp;yy'!$AC$3:$AC$38,'2019 Table 10 CWTs exp'!$A40)</f>
        <v>0</v>
      </c>
      <c r="X40" s="38">
        <f>SUMIFS('[12]inland_taf_hatchgrp_tableraw&amp;yy'!X$3:X$38,'[12]inland_taf_hatchgrp_tableraw&amp;yy'!$AC$3:$AC$38,'2019 Table 10 CWTs exp'!$A40)</f>
        <v>0</v>
      </c>
      <c r="Y40" s="41">
        <f>SUMIFS('[12]inland_taf_hatchgrp_tableraw&amp;yy'!Y$3:Y$38,'[12]inland_taf_hatchgrp_tableraw&amp;yy'!$AC$3:$AC$38,'2019 Table 10 CWTs exp'!$A40)</f>
        <v>523</v>
      </c>
      <c r="Z40" s="42">
        <f>SUMIFS('[12]inland_taf_hatchgrp_tableraw&amp;yy'!Z$3:Z$38,'[12]inland_taf_hatchgrp_tableraw&amp;yy'!$AC$3:$AC$38,'2019 Table 10 CWTs exp'!$A40)</f>
        <v>1688</v>
      </c>
      <c r="AA40" s="38">
        <f>SUMIFS('[12]inland_taf_hatchgrp_tableraw&amp;yy'!AA$3:AA$38,'[12]inland_taf_hatchgrp_tableraw&amp;yy'!$AC$3:$AC$38,'2019 Table 10 CWTs exp'!$A40)</f>
        <v>2211</v>
      </c>
      <c r="AB40" s="636"/>
      <c r="AC40" s="636"/>
      <c r="AD40" s="567">
        <f>SUMIFS('[12]inland_taf_hatchgrp_tableraw&amp;yy'!AB$3:AB$38,'[12]inland_taf_hatchgrp_tableraw&amp;yy'!$AC$3:$AC$38,'2019 Table 10 CWTs exp'!$A40)</f>
        <v>0.23699999999999999</v>
      </c>
      <c r="AE40" s="604" t="str">
        <f t="shared" si="9"/>
        <v>MER543</v>
      </c>
      <c r="AF40" s="442"/>
      <c r="AG40" s="622">
        <f t="shared" si="10"/>
        <v>0.2365445499773858</v>
      </c>
      <c r="AH40" s="652">
        <f>Z40/AA40</f>
        <v>0.76345545002261417</v>
      </c>
      <c r="AI40" s="605">
        <f t="shared" si="13"/>
        <v>0.76300000000000001</v>
      </c>
      <c r="AJ40" s="447">
        <f>Z40</f>
        <v>1688</v>
      </c>
      <c r="AK40" s="650">
        <f t="shared" si="14"/>
        <v>0.76345545002261417</v>
      </c>
      <c r="AL40" s="451"/>
      <c r="AM40" s="442"/>
      <c r="AN40" s="442"/>
      <c r="AO40" s="442"/>
      <c r="AP40" s="442"/>
      <c r="AQ40" s="442"/>
      <c r="AR40" s="442"/>
      <c r="AS40" s="442"/>
      <c r="AT40" s="442"/>
      <c r="AU40" s="442"/>
      <c r="AV40" s="442"/>
      <c r="AW40" s="442"/>
      <c r="AX40" s="442"/>
      <c r="AY40" s="442"/>
      <c r="AZ40" s="442"/>
      <c r="BA40" s="442"/>
      <c r="BB40" s="442"/>
      <c r="BC40" s="442"/>
      <c r="BD40" s="442"/>
      <c r="BE40" s="442"/>
      <c r="BF40" s="442"/>
      <c r="BG40" s="442"/>
    </row>
    <row r="41" spans="1:59" ht="14.5" customHeight="1" x14ac:dyDescent="0.25">
      <c r="A41" s="50" t="str">
        <f t="shared" si="8"/>
        <v>USAC547</v>
      </c>
      <c r="B41" s="13" t="s">
        <v>64</v>
      </c>
      <c r="C41" s="13">
        <v>54</v>
      </c>
      <c r="D41" s="13">
        <v>7</v>
      </c>
      <c r="E41" s="3" t="s">
        <v>65</v>
      </c>
      <c r="F41" s="37" t="s">
        <v>57</v>
      </c>
      <c r="G41" s="38">
        <f>SUMIFS('[12]inland_taf_hatchgrp_tableraw&amp;yy'!G$3:G$38,'[12]inland_taf_hatchgrp_tableraw&amp;yy'!$AC$3:$AC$38,'2019 Table 10 CWTs exp'!$A41)</f>
        <v>0</v>
      </c>
      <c r="H41" s="39">
        <f>SUMIFS('[12]inland_taf_hatchgrp_tableraw&amp;yy'!H$3:H$38,'[12]inland_taf_hatchgrp_tableraw&amp;yy'!$AC$3:$AC$38,'2019 Table 10 CWTs exp'!$A41)</f>
        <v>175</v>
      </c>
      <c r="I41" s="38">
        <f>SUMIFS('[12]inland_taf_hatchgrp_tableraw&amp;yy'!I$3:I$38,'[12]inland_taf_hatchgrp_tableraw&amp;yy'!$AC$3:$AC$38,'2019 Table 10 CWTs exp'!$A41)</f>
        <v>0</v>
      </c>
      <c r="J41" s="40">
        <f>SUMIFS('[12]inland_taf_hatchgrp_tableraw&amp;yy'!J$3:J$38,'[12]inland_taf_hatchgrp_tableraw&amp;yy'!$AC$3:$AC$38,'2019 Table 10 CWTs exp'!$A41)</f>
        <v>0</v>
      </c>
      <c r="K41" s="38">
        <f>SUMIFS('[12]inland_taf_hatchgrp_tableraw&amp;yy'!K$3:K$38,'[12]inland_taf_hatchgrp_tableraw&amp;yy'!$AC$3:$AC$38,'2019 Table 10 CWTs exp'!$A41)</f>
        <v>0</v>
      </c>
      <c r="L41" s="38">
        <f>SUMIFS('[12]inland_taf_hatchgrp_tableraw&amp;yy'!L$3:L$38,'[12]inland_taf_hatchgrp_tableraw&amp;yy'!$AC$3:$AC$38,'2019 Table 10 CWTs exp'!$A41)</f>
        <v>0</v>
      </c>
      <c r="M41" s="38">
        <f>SUMIFS('[12]inland_taf_hatchgrp_tableraw&amp;yy'!M$3:M$38,'[12]inland_taf_hatchgrp_tableraw&amp;yy'!$AC$3:$AC$38,'2019 Table 10 CWTs exp'!$A41)</f>
        <v>0</v>
      </c>
      <c r="N41" s="40">
        <f>SUMIFS('[12]inland_taf_hatchgrp_tableraw&amp;yy'!N$3:N$38,'[12]inland_taf_hatchgrp_tableraw&amp;yy'!$AC$3:$AC$38,'2019 Table 10 CWTs exp'!$A41)</f>
        <v>0</v>
      </c>
      <c r="O41" s="38">
        <f>SUMIFS('[12]inland_taf_hatchgrp_tableraw&amp;yy'!O$3:O$38,'[12]inland_taf_hatchgrp_tableraw&amp;yy'!$AC$3:$AC$38,'2019 Table 10 CWTs exp'!$A41)</f>
        <v>0</v>
      </c>
      <c r="P41" s="40">
        <f>SUMIFS('[12]inland_taf_hatchgrp_tableraw&amp;yy'!P$3:P$38,'[12]inland_taf_hatchgrp_tableraw&amp;yy'!$AC$3:$AC$38,'2019 Table 10 CWTs exp'!$A41)</f>
        <v>0</v>
      </c>
      <c r="Q41" s="38">
        <f>SUMIFS('[12]inland_taf_hatchgrp_tableraw&amp;yy'!Q$3:Q$38,'[12]inland_taf_hatchgrp_tableraw&amp;yy'!$AC$3:$AC$38,'2019 Table 10 CWTs exp'!$A41)</f>
        <v>0</v>
      </c>
      <c r="R41" s="38">
        <f>SUMIFS('[12]inland_taf_hatchgrp_tableraw&amp;yy'!R$3:R$38,'[12]inland_taf_hatchgrp_tableraw&amp;yy'!$AC$3:$AC$38,'2019 Table 10 CWTs exp'!$A41)</f>
        <v>0</v>
      </c>
      <c r="S41" s="38">
        <f>SUMIFS('[12]inland_taf_hatchgrp_tableraw&amp;yy'!S$3:S$38,'[12]inland_taf_hatchgrp_tableraw&amp;yy'!$AC$3:$AC$38,'2019 Table 10 CWTs exp'!$A41)</f>
        <v>0</v>
      </c>
      <c r="T41" s="40">
        <f>SUMIFS('[12]inland_taf_hatchgrp_tableraw&amp;yy'!T$3:T$38,'[12]inland_taf_hatchgrp_tableraw&amp;yy'!$AC$3:$AC$38,'2019 Table 10 CWTs exp'!$A41)</f>
        <v>0</v>
      </c>
      <c r="U41" s="38">
        <f>SUMIFS('[12]inland_taf_hatchgrp_tableraw&amp;yy'!U$3:U$38,'[12]inland_taf_hatchgrp_tableraw&amp;yy'!$AC$3:$AC$38,'2019 Table 10 CWTs exp'!$A41)</f>
        <v>0</v>
      </c>
      <c r="V41" s="40">
        <f>SUMIFS('[12]inland_taf_hatchgrp_tableraw&amp;yy'!V$3:V$38,'[12]inland_taf_hatchgrp_tableraw&amp;yy'!$AC$3:$AC$38,'2019 Table 10 CWTs exp'!$A41)</f>
        <v>0</v>
      </c>
      <c r="W41" s="40">
        <f>SUMIFS('[12]inland_taf_hatchgrp_tableraw&amp;yy'!W$3:W$38,'[12]inland_taf_hatchgrp_tableraw&amp;yy'!$AC$3:$AC$38,'2019 Table 10 CWTs exp'!$A41)</f>
        <v>0</v>
      </c>
      <c r="X41" s="38">
        <f>SUMIFS('[12]inland_taf_hatchgrp_tableraw&amp;yy'!X$3:X$38,'[12]inland_taf_hatchgrp_tableraw&amp;yy'!$AC$3:$AC$38,'2019 Table 10 CWTs exp'!$A41)</f>
        <v>0</v>
      </c>
      <c r="Y41" s="41">
        <f>SUMIFS('[12]inland_taf_hatchgrp_tableraw&amp;yy'!Y$3:Y$38,'[12]inland_taf_hatchgrp_tableraw&amp;yy'!$AC$3:$AC$38,'2019 Table 10 CWTs exp'!$A41)</f>
        <v>175</v>
      </c>
      <c r="Z41" s="42">
        <f>SUMIFS('[12]inland_taf_hatchgrp_tableraw&amp;yy'!Z$3:Z$38,'[12]inland_taf_hatchgrp_tableraw&amp;yy'!$AC$3:$AC$38,'2019 Table 10 CWTs exp'!$A41)</f>
        <v>1076</v>
      </c>
      <c r="AA41" s="38">
        <f>SUMIFS('[12]inland_taf_hatchgrp_tableraw&amp;yy'!AA$3:AA$38,'[12]inland_taf_hatchgrp_tableraw&amp;yy'!$AC$3:$AC$38,'2019 Table 10 CWTs exp'!$A41)</f>
        <v>1251</v>
      </c>
      <c r="AB41" s="636"/>
      <c r="AC41" s="636"/>
      <c r="AD41" s="567">
        <f>Y41/AA41</f>
        <v>0.13988808952837731</v>
      </c>
      <c r="AE41" s="604" t="str">
        <f t="shared" si="9"/>
        <v>USAC547</v>
      </c>
      <c r="AF41" s="444"/>
      <c r="AG41" s="622">
        <f t="shared" si="10"/>
        <v>0.13988808952837731</v>
      </c>
      <c r="AH41" s="606"/>
      <c r="AI41" s="592">
        <f>AVERAGE(AI23:AI40)</f>
        <v>0.67488822355289424</v>
      </c>
      <c r="AJ41" s="447">
        <f>SUM(AJ23:AJ40)</f>
        <v>69286</v>
      </c>
      <c r="AK41" s="650">
        <f>AJ41/AA42</f>
        <v>0.47317776093206854</v>
      </c>
      <c r="AL41" s="451"/>
      <c r="AM41" s="442"/>
      <c r="AN41" s="442"/>
      <c r="AO41" s="442"/>
      <c r="AP41" s="442"/>
      <c r="AQ41" s="442"/>
      <c r="AR41" s="442"/>
      <c r="AS41" s="442"/>
      <c r="AT41" s="442"/>
      <c r="AU41" s="442"/>
      <c r="AV41" s="442"/>
      <c r="AW41" s="442"/>
      <c r="AX41" s="442"/>
      <c r="AY41" s="442"/>
      <c r="AZ41" s="442"/>
      <c r="BA41" s="442"/>
      <c r="BB41" s="442"/>
      <c r="BC41" s="442"/>
      <c r="BD41" s="442"/>
      <c r="BE41" s="442"/>
      <c r="BF41" s="442"/>
      <c r="BG41" s="442"/>
    </row>
    <row r="42" spans="1:59" ht="14.15" customHeight="1" x14ac:dyDescent="0.25">
      <c r="A42" s="50"/>
      <c r="B42" s="13"/>
      <c r="C42" s="13"/>
      <c r="D42" s="13"/>
      <c r="E42" s="743" t="s">
        <v>101</v>
      </c>
      <c r="F42" s="743"/>
      <c r="G42" s="63">
        <f t="shared" ref="G42:Y42" si="16">SUM(G23:G40)</f>
        <v>0</v>
      </c>
      <c r="H42" s="80">
        <f t="shared" si="16"/>
        <v>8</v>
      </c>
      <c r="I42" s="63">
        <f t="shared" si="16"/>
        <v>21763</v>
      </c>
      <c r="J42" s="81">
        <f t="shared" si="16"/>
        <v>0</v>
      </c>
      <c r="K42" s="63">
        <f t="shared" si="16"/>
        <v>3565</v>
      </c>
      <c r="L42" s="63">
        <f t="shared" si="16"/>
        <v>2171</v>
      </c>
      <c r="M42" s="63">
        <f t="shared" si="16"/>
        <v>13050</v>
      </c>
      <c r="N42" s="81">
        <f t="shared" si="16"/>
        <v>8456</v>
      </c>
      <c r="O42" s="63">
        <f t="shared" si="16"/>
        <v>6604</v>
      </c>
      <c r="P42" s="81">
        <f t="shared" si="16"/>
        <v>9746</v>
      </c>
      <c r="Q42" s="63">
        <f t="shared" si="16"/>
        <v>54</v>
      </c>
      <c r="R42" s="63">
        <f t="shared" si="16"/>
        <v>8151</v>
      </c>
      <c r="S42" s="63">
        <f t="shared" si="16"/>
        <v>1257</v>
      </c>
      <c r="T42" s="81">
        <f t="shared" si="16"/>
        <v>886</v>
      </c>
      <c r="U42" s="63">
        <f t="shared" si="16"/>
        <v>46</v>
      </c>
      <c r="V42" s="81">
        <f t="shared" si="16"/>
        <v>1384</v>
      </c>
      <c r="W42" s="81">
        <f t="shared" si="16"/>
        <v>0</v>
      </c>
      <c r="X42" s="63">
        <f>SUM(X23:X40)</f>
        <v>0</v>
      </c>
      <c r="Y42" s="61">
        <f t="shared" si="16"/>
        <v>77141</v>
      </c>
      <c r="Z42" s="62">
        <f>SUM(Z23:Z40)</f>
        <v>69286</v>
      </c>
      <c r="AA42" s="63">
        <f>SUM(AA23:AA40)</f>
        <v>146427</v>
      </c>
      <c r="AB42" s="630"/>
      <c r="AC42" s="630"/>
      <c r="AD42" s="445">
        <f>Y42/(Y42+Z42)</f>
        <v>0.52682223906793146</v>
      </c>
      <c r="AE42" s="445"/>
      <c r="AF42" s="607"/>
      <c r="AG42" s="608"/>
      <c r="AH42" s="608"/>
      <c r="AI42" s="606">
        <f>AA42-AA25</f>
        <v>125552</v>
      </c>
      <c r="AJ42" s="447">
        <f>AJ41-AJ25</f>
        <v>67157</v>
      </c>
      <c r="AK42" s="650">
        <f>AJ42/AI42</f>
        <v>0.53489390850006369</v>
      </c>
      <c r="AL42" s="443" t="s">
        <v>102</v>
      </c>
      <c r="AM42" s="442"/>
      <c r="AN42" s="442"/>
      <c r="AO42" s="442"/>
      <c r="AP42" s="442"/>
      <c r="AQ42" s="442"/>
      <c r="AR42" s="442"/>
      <c r="AS42" s="442"/>
      <c r="AT42" s="442"/>
      <c r="AU42" s="442"/>
      <c r="AV42" s="442"/>
      <c r="AW42" s="442"/>
      <c r="AX42" s="442"/>
      <c r="AY42" s="442"/>
      <c r="AZ42" s="442"/>
      <c r="BA42" s="442"/>
      <c r="BB42" s="442"/>
      <c r="BC42" s="442"/>
      <c r="BD42" s="442"/>
      <c r="BE42" s="442"/>
      <c r="BF42" s="442"/>
      <c r="BG42" s="442"/>
    </row>
    <row r="43" spans="1:59" ht="3.75" customHeight="1" x14ac:dyDescent="0.3">
      <c r="A43" s="50"/>
      <c r="B43" s="13"/>
      <c r="C43" s="13"/>
      <c r="D43" s="13"/>
      <c r="E43" s="83"/>
      <c r="G43" s="44"/>
      <c r="H43" s="45"/>
      <c r="I43" s="44"/>
      <c r="J43" s="46"/>
      <c r="K43" s="44"/>
      <c r="L43" s="44"/>
      <c r="M43" s="44"/>
      <c r="N43" s="46"/>
      <c r="O43" s="44"/>
      <c r="P43" s="46"/>
      <c r="Q43" s="44"/>
      <c r="R43" s="44"/>
      <c r="S43" s="44"/>
      <c r="T43" s="46"/>
      <c r="U43" s="44"/>
      <c r="V43" s="46"/>
      <c r="W43" s="46"/>
      <c r="X43" s="44"/>
      <c r="Y43" s="84"/>
      <c r="Z43" s="85"/>
      <c r="AA43" s="44"/>
      <c r="AB43" s="630"/>
      <c r="AC43" s="630"/>
      <c r="AD43" s="445"/>
      <c r="AE43" s="445"/>
      <c r="AF43" s="607"/>
      <c r="AG43" s="608"/>
      <c r="AH43" s="608"/>
      <c r="AI43" s="606"/>
      <c r="AJ43" s="447"/>
      <c r="AK43" s="650"/>
      <c r="AL43" s="451"/>
      <c r="AM43" s="442"/>
      <c r="AN43" s="442"/>
      <c r="AO43" s="442"/>
      <c r="AP43" s="442"/>
      <c r="AQ43" s="442"/>
      <c r="AR43" s="442"/>
      <c r="AS43" s="442"/>
      <c r="AT43" s="442"/>
      <c r="AU43" s="442"/>
      <c r="AV43" s="442"/>
      <c r="AW43" s="442"/>
      <c r="AX43" s="442"/>
      <c r="AY43" s="442"/>
      <c r="AZ43" s="442"/>
      <c r="BA43" s="442"/>
      <c r="BB43" s="442"/>
      <c r="BC43" s="442"/>
      <c r="BD43" s="442"/>
      <c r="BE43" s="442"/>
      <c r="BF43" s="442"/>
      <c r="BG43" s="442"/>
    </row>
    <row r="44" spans="1:59" ht="14.9" customHeight="1" x14ac:dyDescent="0.25">
      <c r="A44" s="50"/>
      <c r="B44" s="13"/>
      <c r="C44" s="13"/>
      <c r="D44" s="13"/>
      <c r="E44" s="27" t="s">
        <v>103</v>
      </c>
      <c r="F44" s="37" t="s">
        <v>104</v>
      </c>
      <c r="G44" s="68">
        <f>G10+G16+G15+G23+G25+G41+G17+G9+G7+G20+G6</f>
        <v>2922</v>
      </c>
      <c r="H44" s="69">
        <f>H10+H16+H15+H23+H25+H41+H17+H9+H7+H20+H6</f>
        <v>3863</v>
      </c>
      <c r="I44" s="68">
        <f t="shared" ref="I44:J44" si="17">I10+I16+I15+I23+I25+I41+I17+I9+I7+I20+I6</f>
        <v>32411</v>
      </c>
      <c r="J44" s="70">
        <f t="shared" si="17"/>
        <v>0</v>
      </c>
      <c r="K44" s="68">
        <f>K8+K11+K30+K31+K32</f>
        <v>9841</v>
      </c>
      <c r="L44" s="68">
        <f t="shared" ref="L44" si="18">L8+L11+L30+L31+L32</f>
        <v>3461</v>
      </c>
      <c r="M44" s="68">
        <f>M8+M11+M30+M31+M32</f>
        <v>20091</v>
      </c>
      <c r="N44" s="70">
        <f>N8+N11+N30+N31+N32</f>
        <v>12556</v>
      </c>
      <c r="O44" s="68">
        <f>O12+O34+O33</f>
        <v>9408</v>
      </c>
      <c r="P44" s="70">
        <f>P12+P34+P33</f>
        <v>13149</v>
      </c>
      <c r="Q44" s="68">
        <f>Q13+Q35</f>
        <v>143</v>
      </c>
      <c r="R44" s="68">
        <f t="shared" ref="R44:S44" si="19">R13+R35</f>
        <v>8612</v>
      </c>
      <c r="S44" s="68">
        <f t="shared" si="19"/>
        <v>381</v>
      </c>
      <c r="T44" s="70">
        <f>T13+T35</f>
        <v>334</v>
      </c>
      <c r="U44" s="68">
        <f>U14+U40</f>
        <v>151</v>
      </c>
      <c r="V44" s="70">
        <f>V14+V40</f>
        <v>504</v>
      </c>
      <c r="W44" s="70">
        <f>W22</f>
        <v>146</v>
      </c>
      <c r="X44" s="68"/>
      <c r="Y44" s="86">
        <f>SUM(G44:X44)</f>
        <v>117973</v>
      </c>
      <c r="Z44" s="87">
        <f>Z46</f>
        <v>103636</v>
      </c>
      <c r="AA44" s="44">
        <f>Z44+Y44</f>
        <v>221609</v>
      </c>
      <c r="AB44" s="630"/>
      <c r="AC44" s="630"/>
      <c r="AD44" s="567">
        <f>Y44/AA44</f>
        <v>0.53234751296201865</v>
      </c>
      <c r="AE44" s="445"/>
      <c r="AF44" s="607"/>
      <c r="AG44" s="608"/>
      <c r="AH44" s="608"/>
      <c r="AI44" s="606"/>
      <c r="AJ44" s="447"/>
      <c r="AK44" s="650"/>
      <c r="AL44" s="451"/>
      <c r="AM44" s="442"/>
      <c r="AN44" s="442"/>
      <c r="AO44" s="442"/>
      <c r="AP44" s="442"/>
      <c r="AQ44" s="442"/>
      <c r="AR44" s="442"/>
      <c r="AS44" s="442"/>
      <c r="AT44" s="442"/>
      <c r="AU44" s="442"/>
      <c r="AV44" s="442"/>
      <c r="AW44" s="442"/>
      <c r="AX44" s="442"/>
      <c r="AY44" s="442"/>
      <c r="AZ44" s="442"/>
      <c r="BA44" s="442"/>
      <c r="BB44" s="442"/>
      <c r="BC44" s="442"/>
      <c r="BD44" s="442"/>
      <c r="BE44" s="442"/>
      <c r="BF44" s="442"/>
      <c r="BG44" s="442"/>
    </row>
    <row r="45" spans="1:59" ht="14.9" customHeight="1" x14ac:dyDescent="0.25">
      <c r="A45" s="50"/>
      <c r="B45" s="13"/>
      <c r="C45" s="13"/>
      <c r="D45" s="13"/>
      <c r="E45" s="27" t="s">
        <v>105</v>
      </c>
      <c r="F45" s="37" t="s">
        <v>104</v>
      </c>
      <c r="G45" s="70">
        <f t="shared" ref="G45:Y45" si="20">G46-G44</f>
        <v>0</v>
      </c>
      <c r="H45" s="69">
        <f t="shared" si="20"/>
        <v>10</v>
      </c>
      <c r="I45" s="68">
        <f t="shared" si="20"/>
        <v>2173</v>
      </c>
      <c r="J45" s="70">
        <f t="shared" si="20"/>
        <v>0</v>
      </c>
      <c r="K45" s="69">
        <f t="shared" si="20"/>
        <v>23</v>
      </c>
      <c r="L45" s="68">
        <f t="shared" si="20"/>
        <v>7</v>
      </c>
      <c r="M45" s="68">
        <f t="shared" si="20"/>
        <v>2377</v>
      </c>
      <c r="N45" s="70">
        <f t="shared" si="20"/>
        <v>1881</v>
      </c>
      <c r="O45" s="68">
        <f t="shared" si="20"/>
        <v>41</v>
      </c>
      <c r="P45" s="70">
        <f t="shared" si="20"/>
        <v>704</v>
      </c>
      <c r="Q45" s="68">
        <f t="shared" si="20"/>
        <v>38</v>
      </c>
      <c r="R45" s="68">
        <f t="shared" si="20"/>
        <v>7673</v>
      </c>
      <c r="S45" s="68">
        <f t="shared" si="20"/>
        <v>1429</v>
      </c>
      <c r="T45" s="70">
        <f t="shared" si="20"/>
        <v>1079</v>
      </c>
      <c r="U45" s="68">
        <f t="shared" si="20"/>
        <v>18</v>
      </c>
      <c r="V45" s="70">
        <f t="shared" si="20"/>
        <v>1536</v>
      </c>
      <c r="W45" s="70">
        <f t="shared" si="20"/>
        <v>7</v>
      </c>
      <c r="X45" s="68">
        <f>X46-X44</f>
        <v>0</v>
      </c>
      <c r="Y45" s="86">
        <f t="shared" si="20"/>
        <v>18996</v>
      </c>
      <c r="Z45" s="87"/>
      <c r="AA45" s="44">
        <f>Z45+Y45</f>
        <v>18996</v>
      </c>
      <c r="AB45" s="630">
        <f>SUM(G45:X45)</f>
        <v>18996</v>
      </c>
      <c r="AC45" s="630"/>
      <c r="AD45" s="567">
        <f>Y45/AA45</f>
        <v>1</v>
      </c>
      <c r="AE45" s="625" t="s">
        <v>106</v>
      </c>
      <c r="AF45" s="626" t="s">
        <v>107</v>
      </c>
      <c r="AG45" s="600" t="s">
        <v>108</v>
      </c>
      <c r="AH45" s="608"/>
      <c r="AI45" s="606"/>
      <c r="AJ45" s="447"/>
      <c r="AK45" s="650"/>
      <c r="AL45" s="451"/>
      <c r="AM45" s="442"/>
      <c r="AN45" s="442"/>
      <c r="AO45" s="442"/>
      <c r="AP45" s="442"/>
      <c r="AQ45" s="442"/>
      <c r="AR45" s="442"/>
      <c r="AS45" s="442"/>
      <c r="AT45" s="442"/>
      <c r="AU45" s="442"/>
      <c r="AV45" s="442"/>
      <c r="AW45" s="442"/>
      <c r="AX45" s="442"/>
      <c r="AY45" s="442"/>
      <c r="AZ45" s="442"/>
      <c r="BA45" s="442"/>
      <c r="BB45" s="442"/>
      <c r="BC45" s="442"/>
      <c r="BD45" s="442"/>
      <c r="BE45" s="442"/>
      <c r="BF45" s="442"/>
      <c r="BG45" s="442"/>
    </row>
    <row r="46" spans="1:59" ht="14.9" customHeight="1" x14ac:dyDescent="0.3">
      <c r="A46" s="50"/>
      <c r="B46" s="13"/>
      <c r="C46" s="13"/>
      <c r="D46" s="13"/>
      <c r="E46" s="27"/>
      <c r="F46" s="88" t="s">
        <v>109</v>
      </c>
      <c r="G46" s="89">
        <f>SUM(G20:G41,G6:G17)</f>
        <v>2922</v>
      </c>
      <c r="H46" s="90">
        <f t="shared" ref="H46:X46" si="21">SUM(H20:H41,H6:H17)</f>
        <v>3873</v>
      </c>
      <c r="I46" s="89">
        <f t="shared" si="21"/>
        <v>34584</v>
      </c>
      <c r="J46" s="91">
        <f t="shared" si="21"/>
        <v>0</v>
      </c>
      <c r="K46" s="89">
        <f t="shared" si="21"/>
        <v>9864</v>
      </c>
      <c r="L46" s="89">
        <f t="shared" si="21"/>
        <v>3468</v>
      </c>
      <c r="M46" s="89">
        <f t="shared" si="21"/>
        <v>22468</v>
      </c>
      <c r="N46" s="91">
        <f t="shared" si="21"/>
        <v>14437</v>
      </c>
      <c r="O46" s="89">
        <f t="shared" si="21"/>
        <v>9449</v>
      </c>
      <c r="P46" s="91">
        <f t="shared" si="21"/>
        <v>13853</v>
      </c>
      <c r="Q46" s="89">
        <f t="shared" si="21"/>
        <v>181</v>
      </c>
      <c r="R46" s="89">
        <f t="shared" si="21"/>
        <v>16285</v>
      </c>
      <c r="S46" s="89">
        <f t="shared" si="21"/>
        <v>1810</v>
      </c>
      <c r="T46" s="91">
        <f t="shared" si="21"/>
        <v>1413</v>
      </c>
      <c r="U46" s="89">
        <f t="shared" si="21"/>
        <v>169</v>
      </c>
      <c r="V46" s="91">
        <f t="shared" si="21"/>
        <v>2040</v>
      </c>
      <c r="W46" s="91">
        <f t="shared" si="21"/>
        <v>153</v>
      </c>
      <c r="X46" s="89">
        <f t="shared" si="21"/>
        <v>0</v>
      </c>
      <c r="Y46" s="92">
        <f>SUM(Y20:Y41,Y6:Y17)</f>
        <v>136969</v>
      </c>
      <c r="Z46" s="93">
        <f>SUM(Z20:Z41,Z6:Z17)</f>
        <v>103636</v>
      </c>
      <c r="AA46" s="94">
        <f>Z46+Y46</f>
        <v>240605</v>
      </c>
      <c r="AB46" s="444"/>
      <c r="AC46" s="444"/>
      <c r="AD46" s="445">
        <f>Y46/AA46</f>
        <v>0.5692691340578957</v>
      </c>
      <c r="AE46" s="627" t="s">
        <v>106</v>
      </c>
      <c r="AF46" s="628" t="s">
        <v>110</v>
      </c>
      <c r="AG46" s="614">
        <f>SUM(G46:X46)</f>
        <v>136969</v>
      </c>
      <c r="AH46" s="608"/>
      <c r="AI46" s="606"/>
      <c r="AJ46" s="447"/>
      <c r="AK46" s="650"/>
      <c r="AL46" s="451"/>
      <c r="AM46" s="442"/>
      <c r="AN46" s="442"/>
      <c r="AO46" s="442"/>
      <c r="AP46" s="442"/>
      <c r="AQ46" s="442"/>
      <c r="AR46" s="442"/>
      <c r="AS46" s="442"/>
      <c r="AT46" s="442"/>
      <c r="AU46" s="442"/>
      <c r="AV46" s="442"/>
      <c r="AW46" s="442"/>
      <c r="AX46" s="442"/>
      <c r="AY46" s="442"/>
      <c r="AZ46" s="442"/>
      <c r="BA46" s="442"/>
      <c r="BB46" s="442"/>
      <c r="BC46" s="442"/>
      <c r="BD46" s="442"/>
      <c r="BE46" s="442"/>
      <c r="BF46" s="442"/>
      <c r="BG46" s="442"/>
    </row>
    <row r="47" spans="1:59" ht="13.5" customHeight="1" x14ac:dyDescent="0.25">
      <c r="A47" s="50"/>
      <c r="B47" s="13"/>
      <c r="C47" s="13"/>
      <c r="D47" s="13"/>
      <c r="E47" s="27"/>
      <c r="F47" s="95" t="s">
        <v>111</v>
      </c>
      <c r="G47" s="96">
        <f t="shared" ref="G47:I47" si="22">IF(G46&gt;0,G45/G46," ")</f>
        <v>0</v>
      </c>
      <c r="H47" s="97">
        <f t="shared" si="22"/>
        <v>2.5819777949909629E-3</v>
      </c>
      <c r="I47" s="98">
        <f t="shared" si="22"/>
        <v>6.2832523710386307E-2</v>
      </c>
      <c r="J47" s="99" t="str">
        <f>IF(J46&gt;0,J45/J46," ")</f>
        <v xml:space="preserve"> </v>
      </c>
      <c r="K47" s="100">
        <f t="shared" ref="K47:M47" si="23">IF(K46&gt;0,K45/K46," ")</f>
        <v>2.3317112733171126E-3</v>
      </c>
      <c r="L47" s="100">
        <f t="shared" si="23"/>
        <v>2.0184544405997692E-3</v>
      </c>
      <c r="M47" s="98">
        <f t="shared" si="23"/>
        <v>0.10579490831404664</v>
      </c>
      <c r="N47" s="99">
        <f>IF(N46&gt;0,N45/N46," ")</f>
        <v>0.13029022650135069</v>
      </c>
      <c r="O47" s="100">
        <f t="shared" ref="O47:W47" si="24">IF(O46&gt;0,O45/O46," ")</f>
        <v>4.3390835008995663E-3</v>
      </c>
      <c r="P47" s="99">
        <f t="shared" si="24"/>
        <v>5.0819317115426262E-2</v>
      </c>
      <c r="Q47" s="98">
        <f t="shared" si="24"/>
        <v>0.20994475138121546</v>
      </c>
      <c r="R47" s="98">
        <f t="shared" si="24"/>
        <v>0.471169788148603</v>
      </c>
      <c r="S47" s="98">
        <f t="shared" si="24"/>
        <v>0.7895027624309392</v>
      </c>
      <c r="T47" s="99">
        <f t="shared" si="24"/>
        <v>0.76362349610757252</v>
      </c>
      <c r="U47" s="98">
        <f t="shared" si="24"/>
        <v>0.10650887573964497</v>
      </c>
      <c r="V47" s="99">
        <f t="shared" si="24"/>
        <v>0.75294117647058822</v>
      </c>
      <c r="W47" s="99">
        <f t="shared" si="24"/>
        <v>4.5751633986928102E-2</v>
      </c>
      <c r="X47" s="98"/>
      <c r="Y47" s="101">
        <f>Y45/Y46</f>
        <v>0.13868831633435302</v>
      </c>
      <c r="Z47" s="102"/>
      <c r="AA47" s="98">
        <f t="shared" ref="AA47" si="25">AA45/AA46</f>
        <v>7.8950977743604669E-2</v>
      </c>
      <c r="AB47" s="630"/>
      <c r="AC47" s="630"/>
      <c r="AD47" s="445"/>
      <c r="AE47" s="445"/>
      <c r="AF47" s="607"/>
      <c r="AG47" s="608"/>
      <c r="AH47" s="608"/>
      <c r="AI47" s="606"/>
      <c r="AJ47" s="447"/>
      <c r="AK47" s="650"/>
      <c r="AL47" s="451"/>
      <c r="AM47" s="442"/>
      <c r="AN47" s="442"/>
      <c r="AO47" s="442"/>
      <c r="AP47" s="442"/>
      <c r="AQ47" s="442"/>
      <c r="AR47" s="442"/>
      <c r="AS47" s="442"/>
      <c r="AT47" s="442"/>
      <c r="AU47" s="442"/>
      <c r="AV47" s="442"/>
      <c r="AW47" s="442"/>
      <c r="AX47" s="442"/>
      <c r="AY47" s="442"/>
      <c r="AZ47" s="442"/>
      <c r="BA47" s="442"/>
      <c r="BB47" s="442"/>
      <c r="BC47" s="442"/>
      <c r="BD47" s="442"/>
      <c r="BE47" s="442"/>
      <c r="BF47" s="442"/>
      <c r="BG47" s="442"/>
    </row>
    <row r="48" spans="1:59" ht="15" customHeight="1" x14ac:dyDescent="0.25">
      <c r="A48" s="5" t="s">
        <v>112</v>
      </c>
      <c r="B48" s="13"/>
      <c r="C48" s="13"/>
      <c r="D48" s="13"/>
      <c r="E48" s="103" t="s">
        <v>113</v>
      </c>
      <c r="F48" s="47"/>
      <c r="G48" s="68"/>
      <c r="H48" s="69"/>
      <c r="I48" s="68"/>
      <c r="J48" s="70"/>
      <c r="K48" s="68"/>
      <c r="L48" s="68"/>
      <c r="M48" s="68"/>
      <c r="N48" s="70"/>
      <c r="O48" s="68"/>
      <c r="P48" s="70"/>
      <c r="Q48" s="68"/>
      <c r="R48" s="68"/>
      <c r="S48" s="68"/>
      <c r="T48" s="70"/>
      <c r="U48" s="68"/>
      <c r="V48" s="70"/>
      <c r="W48" s="70"/>
      <c r="X48" s="68"/>
      <c r="Y48" s="86"/>
      <c r="Z48" s="87"/>
      <c r="AA48" s="68"/>
      <c r="AB48" s="611"/>
      <c r="AC48" s="611"/>
      <c r="AD48" s="567"/>
      <c r="AE48" s="567"/>
      <c r="AF48" s="442"/>
      <c r="AG48" s="597"/>
      <c r="AH48" s="597"/>
      <c r="AI48" s="597"/>
      <c r="AJ48" s="599"/>
      <c r="AK48" s="451"/>
      <c r="AL48" s="451"/>
      <c r="AM48" s="442"/>
      <c r="AN48" s="442"/>
      <c r="AO48" s="442"/>
      <c r="AP48" s="442"/>
      <c r="AQ48" s="442"/>
      <c r="AR48" s="442"/>
      <c r="AS48" s="442"/>
      <c r="AT48" s="442"/>
      <c r="AU48" s="442"/>
      <c r="AV48" s="442"/>
      <c r="AW48" s="442"/>
      <c r="AX48" s="442"/>
      <c r="AY48" s="442"/>
      <c r="AZ48" s="442"/>
      <c r="BA48" s="442"/>
      <c r="BB48" s="442"/>
      <c r="BC48" s="442"/>
      <c r="BD48" s="442"/>
      <c r="BE48" s="442"/>
      <c r="BF48" s="442"/>
      <c r="BG48" s="442"/>
    </row>
    <row r="49" spans="1:59" ht="14.5" customHeight="1" x14ac:dyDescent="0.25">
      <c r="A49" s="50" t="str">
        <f t="shared" ref="A49:A54" si="26">CONCATENATE(B49,C49,D49)</f>
        <v>USAC463</v>
      </c>
      <c r="B49" s="13" t="s">
        <v>64</v>
      </c>
      <c r="C49" s="13">
        <v>46</v>
      </c>
      <c r="D49" s="13">
        <v>3</v>
      </c>
      <c r="E49" s="3" t="s">
        <v>114</v>
      </c>
      <c r="F49" s="43" t="str">
        <f>LOOKUP(D49,$AL$8:$AL$11,$AM$8:$AM$11)</f>
        <v>Fall</v>
      </c>
      <c r="G49" s="38">
        <f>SUMIFS('[12]inland_taf_hatchgrp_tableraw&amp;yy'!G$3:G$38,'[12]inland_taf_hatchgrp_tableraw&amp;yy'!$AC$3:$AC$38,'2019 Table 10 CWTs exp'!$A49)</f>
        <v>0</v>
      </c>
      <c r="H49" s="39">
        <f>SUMIFS('[12]inland_taf_hatchgrp_tableraw&amp;yy'!H$3:H$38,'[12]inland_taf_hatchgrp_tableraw&amp;yy'!$AC$3:$AC$38,'2019 Table 10 CWTs exp'!$A49)</f>
        <v>0</v>
      </c>
      <c r="I49" s="38">
        <f>SUMIFS('[12]inland_taf_hatchgrp_tableraw&amp;yy'!I$3:I$38,'[12]inland_taf_hatchgrp_tableraw&amp;yy'!$AC$3:$AC$38,'2019 Table 10 CWTs exp'!$A49)</f>
        <v>5801</v>
      </c>
      <c r="J49" s="40">
        <f>SUMIFS('[12]inland_taf_hatchgrp_tableraw&amp;yy'!J$3:J$38,'[12]inland_taf_hatchgrp_tableraw&amp;yy'!$AC$3:$AC$38,'2019 Table 10 CWTs exp'!$A49)</f>
        <v>0</v>
      </c>
      <c r="K49" s="38">
        <f>SUMIFS('[12]inland_taf_hatchgrp_tableraw&amp;yy'!K$3:K$38,'[12]inland_taf_hatchgrp_tableraw&amp;yy'!$AC$3:$AC$38,'2019 Table 10 CWTs exp'!$A49)</f>
        <v>13</v>
      </c>
      <c r="L49" s="38">
        <f>SUMIFS('[12]inland_taf_hatchgrp_tableraw&amp;yy'!L$3:L$38,'[12]inland_taf_hatchgrp_tableraw&amp;yy'!$AC$3:$AC$38,'2019 Table 10 CWTs exp'!$A49)</f>
        <v>0</v>
      </c>
      <c r="M49" s="38">
        <f>SUMIFS('[12]inland_taf_hatchgrp_tableraw&amp;yy'!M$3:M$38,'[12]inland_taf_hatchgrp_tableraw&amp;yy'!$AC$3:$AC$38,'2019 Table 10 CWTs exp'!$A49)</f>
        <v>52</v>
      </c>
      <c r="N49" s="40">
        <f>SUMIFS('[12]inland_taf_hatchgrp_tableraw&amp;yy'!N$3:N$38,'[12]inland_taf_hatchgrp_tableraw&amp;yy'!$AC$3:$AC$38,'2019 Table 10 CWTs exp'!$A49)</f>
        <v>52</v>
      </c>
      <c r="O49" s="38">
        <f>SUMIFS('[12]inland_taf_hatchgrp_tableraw&amp;yy'!O$3:O$38,'[12]inland_taf_hatchgrp_tableraw&amp;yy'!$AC$3:$AC$38,'2019 Table 10 CWTs exp'!$A49)</f>
        <v>0</v>
      </c>
      <c r="P49" s="40">
        <f>SUMIFS('[12]inland_taf_hatchgrp_tableraw&amp;yy'!P$3:P$38,'[12]inland_taf_hatchgrp_tableraw&amp;yy'!$AC$3:$AC$38,'2019 Table 10 CWTs exp'!$A49)</f>
        <v>0</v>
      </c>
      <c r="Q49" s="38">
        <f>SUMIFS('[12]inland_taf_hatchgrp_tableraw&amp;yy'!Q$3:Q$38,'[12]inland_taf_hatchgrp_tableraw&amp;yy'!$AC$3:$AC$38,'2019 Table 10 CWTs exp'!$A49)</f>
        <v>0</v>
      </c>
      <c r="R49" s="38">
        <f>SUMIFS('[12]inland_taf_hatchgrp_tableraw&amp;yy'!R$3:R$38,'[12]inland_taf_hatchgrp_tableraw&amp;yy'!$AC$3:$AC$38,'2019 Table 10 CWTs exp'!$A49)</f>
        <v>0</v>
      </c>
      <c r="S49" s="38">
        <f>SUMIFS('[12]inland_taf_hatchgrp_tableraw&amp;yy'!S$3:S$38,'[12]inland_taf_hatchgrp_tableraw&amp;yy'!$AC$3:$AC$38,'2019 Table 10 CWTs exp'!$A49)</f>
        <v>0</v>
      </c>
      <c r="T49" s="40">
        <f>SUMIFS('[12]inland_taf_hatchgrp_tableraw&amp;yy'!T$3:T$38,'[12]inland_taf_hatchgrp_tableraw&amp;yy'!$AC$3:$AC$38,'2019 Table 10 CWTs exp'!$A49)</f>
        <v>0</v>
      </c>
      <c r="U49" s="38">
        <f>SUMIFS('[12]inland_taf_hatchgrp_tableraw&amp;yy'!U$3:U$38,'[12]inland_taf_hatchgrp_tableraw&amp;yy'!$AC$3:$AC$38,'2019 Table 10 CWTs exp'!$A49)</f>
        <v>0</v>
      </c>
      <c r="V49" s="40">
        <f>SUMIFS('[12]inland_taf_hatchgrp_tableraw&amp;yy'!V$3:V$38,'[12]inland_taf_hatchgrp_tableraw&amp;yy'!$AC$3:$AC$38,'2019 Table 10 CWTs exp'!$A49)</f>
        <v>0</v>
      </c>
      <c r="W49" s="40">
        <f>SUMIFS('[12]inland_taf_hatchgrp_tableraw&amp;yy'!W$3:W$38,'[12]inland_taf_hatchgrp_tableraw&amp;yy'!$AC$3:$AC$38,'2019 Table 10 CWTs exp'!$A49)</f>
        <v>0</v>
      </c>
      <c r="X49" s="38">
        <f>SUMIFS('[12]inland_taf_hatchgrp_tableraw&amp;yy'!X$3:X$38,'[12]inland_taf_hatchgrp_tableraw&amp;yy'!$AC$3:$AC$38,'2019 Table 10 CWTs exp'!$A49)</f>
        <v>0</v>
      </c>
      <c r="Y49" s="41">
        <f>SUMIFS('[12]inland_taf_hatchgrp_tableraw&amp;yy'!Y$3:Y$38,'[12]inland_taf_hatchgrp_tableraw&amp;yy'!$AC$3:$AC$38,'2019 Table 10 CWTs exp'!$A49)</f>
        <v>5918</v>
      </c>
      <c r="Z49" s="42">
        <f>SUMIFS('[12]inland_taf_hatchgrp_tableraw&amp;yy'!Z$3:Z$38,'[12]inland_taf_hatchgrp_tableraw&amp;yy'!$AC$3:$AC$38,'2019 Table 10 CWTs exp'!$A49)</f>
        <v>4891</v>
      </c>
      <c r="AA49" s="38">
        <f>SUMIFS('[12]inland_taf_hatchgrp_tableraw&amp;yy'!AA$3:AA$38,'[12]inland_taf_hatchgrp_tableraw&amp;yy'!$AC$3:$AC$38,'2019 Table 10 CWTs exp'!$A49)</f>
        <v>10809</v>
      </c>
      <c r="AB49" s="636"/>
      <c r="AC49" s="636"/>
      <c r="AD49" s="567">
        <f>SUMIFS('[12]inland_taf_hatchgrp_tableraw&amp;yy'!AB$3:AB$38,'[12]inland_taf_hatchgrp_tableraw&amp;yy'!$AC$3:$AC$38,'2019 Table 10 CWTs exp'!$A49)</f>
        <v>0.54800000000000004</v>
      </c>
      <c r="AE49" s="604" t="str">
        <f t="shared" ref="AE49:AE55" si="27">A49</f>
        <v>USAC463</v>
      </c>
      <c r="AF49" s="442"/>
      <c r="AG49" s="622">
        <f>Y49/AA49</f>
        <v>0.54750670737348506</v>
      </c>
      <c r="AH49" s="597"/>
      <c r="AI49" s="597"/>
      <c r="AJ49" s="599"/>
      <c r="AK49" s="451"/>
      <c r="AL49" s="451"/>
      <c r="AM49" s="442"/>
      <c r="AN49" s="442"/>
      <c r="AO49" s="442"/>
      <c r="AP49" s="442"/>
      <c r="AQ49" s="442"/>
      <c r="AR49" s="442"/>
      <c r="AS49" s="442"/>
      <c r="AT49" s="442"/>
      <c r="AU49" s="442"/>
      <c r="AV49" s="442"/>
      <c r="AW49" s="442"/>
      <c r="AX49" s="442"/>
      <c r="AY49" s="442"/>
      <c r="AZ49" s="442"/>
      <c r="BA49" s="442"/>
      <c r="BB49" s="442"/>
      <c r="BC49" s="442"/>
      <c r="BD49" s="442"/>
      <c r="BE49" s="442"/>
      <c r="BF49" s="442"/>
      <c r="BG49" s="442"/>
    </row>
    <row r="50" spans="1:59" ht="14.5" customHeight="1" x14ac:dyDescent="0.25">
      <c r="A50" s="50" t="str">
        <f t="shared" si="26"/>
        <v>LSAC463</v>
      </c>
      <c r="B50" s="13" t="s">
        <v>115</v>
      </c>
      <c r="C50" s="13">
        <v>46</v>
      </c>
      <c r="D50" s="13">
        <v>3</v>
      </c>
      <c r="E50" s="3" t="s">
        <v>116</v>
      </c>
      <c r="F50" s="43" t="str">
        <f>LOOKUP(D50,$AL$8:$AL$11,$AM$8:$AM$11)</f>
        <v>Fall</v>
      </c>
      <c r="G50" s="38">
        <f>SUMIFS('[12]inland_taf_hatchgrp_tableraw&amp;yy'!G$3:G$38,'[12]inland_taf_hatchgrp_tableraw&amp;yy'!$AC$3:$AC$38,'2019 Table 10 CWTs exp'!$A50)</f>
        <v>27</v>
      </c>
      <c r="H50" s="39">
        <f>SUMIFS('[12]inland_taf_hatchgrp_tableraw&amp;yy'!H$3:H$38,'[12]inland_taf_hatchgrp_tableraw&amp;yy'!$AC$3:$AC$38,'2019 Table 10 CWTs exp'!$A50)</f>
        <v>167</v>
      </c>
      <c r="I50" s="38">
        <f>SUMIFS('[12]inland_taf_hatchgrp_tableraw&amp;yy'!I$3:I$38,'[12]inland_taf_hatchgrp_tableraw&amp;yy'!$AC$3:$AC$38,'2019 Table 10 CWTs exp'!$A50)</f>
        <v>432</v>
      </c>
      <c r="J50" s="40">
        <f>SUMIFS('[12]inland_taf_hatchgrp_tableraw&amp;yy'!J$3:J$38,'[12]inland_taf_hatchgrp_tableraw&amp;yy'!$AC$3:$AC$38,'2019 Table 10 CWTs exp'!$A50)</f>
        <v>0</v>
      </c>
      <c r="K50" s="38">
        <f>SUMIFS('[12]inland_taf_hatchgrp_tableraw&amp;yy'!K$3:K$38,'[12]inland_taf_hatchgrp_tableraw&amp;yy'!$AC$3:$AC$38,'2019 Table 10 CWTs exp'!$A50)</f>
        <v>0</v>
      </c>
      <c r="L50" s="38">
        <f>SUMIFS('[12]inland_taf_hatchgrp_tableraw&amp;yy'!L$3:L$38,'[12]inland_taf_hatchgrp_tableraw&amp;yy'!$AC$3:$AC$38,'2019 Table 10 CWTs exp'!$A50)</f>
        <v>27</v>
      </c>
      <c r="M50" s="38">
        <f>SUMIFS('[12]inland_taf_hatchgrp_tableraw&amp;yy'!M$3:M$38,'[12]inland_taf_hatchgrp_tableraw&amp;yy'!$AC$3:$AC$38,'2019 Table 10 CWTs exp'!$A50)</f>
        <v>430</v>
      </c>
      <c r="N50" s="40">
        <f>SUMIFS('[12]inland_taf_hatchgrp_tableraw&amp;yy'!N$3:N$38,'[12]inland_taf_hatchgrp_tableraw&amp;yy'!$AC$3:$AC$38,'2019 Table 10 CWTs exp'!$A50)</f>
        <v>1193</v>
      </c>
      <c r="O50" s="38">
        <f>SUMIFS('[12]inland_taf_hatchgrp_tableraw&amp;yy'!O$3:O$38,'[12]inland_taf_hatchgrp_tableraw&amp;yy'!$AC$3:$AC$38,'2019 Table 10 CWTs exp'!$A50)</f>
        <v>431</v>
      </c>
      <c r="P50" s="40">
        <f>SUMIFS('[12]inland_taf_hatchgrp_tableraw&amp;yy'!P$3:P$38,'[12]inland_taf_hatchgrp_tableraw&amp;yy'!$AC$3:$AC$38,'2019 Table 10 CWTs exp'!$A50)</f>
        <v>972</v>
      </c>
      <c r="Q50" s="38">
        <f>SUMIFS('[12]inland_taf_hatchgrp_tableraw&amp;yy'!Q$3:Q$38,'[12]inland_taf_hatchgrp_tableraw&amp;yy'!$AC$3:$AC$38,'2019 Table 10 CWTs exp'!$A50)</f>
        <v>0</v>
      </c>
      <c r="R50" s="38">
        <f>SUMIFS('[12]inland_taf_hatchgrp_tableraw&amp;yy'!R$3:R$38,'[12]inland_taf_hatchgrp_tableraw&amp;yy'!$AC$3:$AC$38,'2019 Table 10 CWTs exp'!$A50)</f>
        <v>1186</v>
      </c>
      <c r="S50" s="38">
        <f>SUMIFS('[12]inland_taf_hatchgrp_tableraw&amp;yy'!S$3:S$38,'[12]inland_taf_hatchgrp_tableraw&amp;yy'!$AC$3:$AC$38,'2019 Table 10 CWTs exp'!$A50)</f>
        <v>0</v>
      </c>
      <c r="T50" s="40">
        <f>SUMIFS('[12]inland_taf_hatchgrp_tableraw&amp;yy'!T$3:T$38,'[12]inland_taf_hatchgrp_tableraw&amp;yy'!$AC$3:$AC$38,'2019 Table 10 CWTs exp'!$A50)</f>
        <v>82</v>
      </c>
      <c r="U50" s="38">
        <f>SUMIFS('[12]inland_taf_hatchgrp_tableraw&amp;yy'!U$3:U$38,'[12]inland_taf_hatchgrp_tableraw&amp;yy'!$AC$3:$AC$38,'2019 Table 10 CWTs exp'!$A50)</f>
        <v>0</v>
      </c>
      <c r="V50" s="40">
        <f>SUMIFS('[12]inland_taf_hatchgrp_tableraw&amp;yy'!V$3:V$38,'[12]inland_taf_hatchgrp_tableraw&amp;yy'!$AC$3:$AC$38,'2019 Table 10 CWTs exp'!$A50)</f>
        <v>0</v>
      </c>
      <c r="W50" s="40">
        <f>SUMIFS('[12]inland_taf_hatchgrp_tableraw&amp;yy'!W$3:W$38,'[12]inland_taf_hatchgrp_tableraw&amp;yy'!$AC$3:$AC$38,'2019 Table 10 CWTs exp'!$A50)</f>
        <v>0</v>
      </c>
      <c r="X50" s="38">
        <f>SUMIFS('[12]inland_taf_hatchgrp_tableraw&amp;yy'!X$3:X$38,'[12]inland_taf_hatchgrp_tableraw&amp;yy'!$AC$3:$AC$38,'2019 Table 10 CWTs exp'!$A50)</f>
        <v>0</v>
      </c>
      <c r="Y50" s="41">
        <f>SUMIFS('[12]inland_taf_hatchgrp_tableraw&amp;yy'!Y$3:Y$38,'[12]inland_taf_hatchgrp_tableraw&amp;yy'!$AC$3:$AC$38,'2019 Table 10 CWTs exp'!$A50)</f>
        <v>4947</v>
      </c>
      <c r="Z50" s="42">
        <f>SUMIFS('[12]inland_taf_hatchgrp_tableraw&amp;yy'!Z$3:Z$38,'[12]inland_taf_hatchgrp_tableraw&amp;yy'!$AC$3:$AC$38,'2019 Table 10 CWTs exp'!$A50)</f>
        <v>2479</v>
      </c>
      <c r="AA50" s="38">
        <f>SUMIFS('[12]inland_taf_hatchgrp_tableraw&amp;yy'!AA$3:AA$38,'[12]inland_taf_hatchgrp_tableraw&amp;yy'!$AC$3:$AC$38,'2019 Table 10 CWTs exp'!$A50)</f>
        <v>7426</v>
      </c>
      <c r="AB50" s="636"/>
      <c r="AC50" s="636"/>
      <c r="AD50" s="567">
        <f>SUMIFS('[12]inland_taf_hatchgrp_tableraw&amp;yy'!AB$3:AB$38,'[12]inland_taf_hatchgrp_tableraw&amp;yy'!$AC$3:$AC$38,'2019 Table 10 CWTs exp'!$A50)</f>
        <v>0.66600000000000004</v>
      </c>
      <c r="AE50" s="604" t="str">
        <f t="shared" si="27"/>
        <v>LSAC463</v>
      </c>
      <c r="AF50" s="442"/>
      <c r="AG50" s="622">
        <f t="shared" ref="AG50:AG54" si="28">Y50/AA50</f>
        <v>0.66617290600592516</v>
      </c>
      <c r="AH50" s="597"/>
      <c r="AI50" s="597"/>
      <c r="AJ50" s="599"/>
      <c r="AK50" s="451"/>
      <c r="AL50" s="451"/>
      <c r="AM50" s="442"/>
      <c r="AN50" s="442"/>
      <c r="AO50" s="442"/>
      <c r="AP50" s="442"/>
      <c r="AQ50" s="442"/>
      <c r="AR50" s="442"/>
      <c r="AS50" s="442"/>
      <c r="AT50" s="442"/>
      <c r="AU50" s="442"/>
      <c r="AV50" s="442"/>
      <c r="AW50" s="442"/>
      <c r="AX50" s="442"/>
      <c r="AY50" s="442"/>
      <c r="AZ50" s="442"/>
      <c r="BA50" s="442"/>
      <c r="BB50" s="442"/>
      <c r="BC50" s="442"/>
      <c r="BD50" s="442"/>
      <c r="BE50" s="442"/>
      <c r="BF50" s="442"/>
      <c r="BG50" s="442"/>
    </row>
    <row r="51" spans="1:59" ht="14.5" customHeight="1" x14ac:dyDescent="0.25">
      <c r="A51" s="50" t="str">
        <f t="shared" si="26"/>
        <v>FEA463</v>
      </c>
      <c r="B51" s="13" t="s">
        <v>80</v>
      </c>
      <c r="C51" s="13">
        <v>46</v>
      </c>
      <c r="D51" s="13">
        <v>3</v>
      </c>
      <c r="E51" s="3" t="s">
        <v>117</v>
      </c>
      <c r="F51" s="43" t="str">
        <f>LOOKUP(D51,$AL$8:$AL$11,$AM$8:$AM$11)</f>
        <v>Fall</v>
      </c>
      <c r="G51" s="38">
        <f>SUMIFS('[12]inland_taf_hatchgrp_tableraw&amp;yy'!G$3:G$38,'[12]inland_taf_hatchgrp_tableraw&amp;yy'!$AC$3:$AC$38,'2019 Table 10 CWTs exp'!$A51)</f>
        <v>0</v>
      </c>
      <c r="H51" s="39">
        <f>SUMIFS('[12]inland_taf_hatchgrp_tableraw&amp;yy'!H$3:H$38,'[12]inland_taf_hatchgrp_tableraw&amp;yy'!$AC$3:$AC$38,'2019 Table 10 CWTs exp'!$A51)</f>
        <v>0</v>
      </c>
      <c r="I51" s="38">
        <f>SUMIFS('[12]inland_taf_hatchgrp_tableraw&amp;yy'!I$3:I$38,'[12]inland_taf_hatchgrp_tableraw&amp;yy'!$AC$3:$AC$38,'2019 Table 10 CWTs exp'!$A51)</f>
        <v>105</v>
      </c>
      <c r="J51" s="40">
        <f>SUMIFS('[12]inland_taf_hatchgrp_tableraw&amp;yy'!J$3:J$38,'[12]inland_taf_hatchgrp_tableraw&amp;yy'!$AC$3:$AC$38,'2019 Table 10 CWTs exp'!$A51)</f>
        <v>0</v>
      </c>
      <c r="K51" s="38">
        <f>SUMIFS('[12]inland_taf_hatchgrp_tableraw&amp;yy'!K$3:K$38,'[12]inland_taf_hatchgrp_tableraw&amp;yy'!$AC$3:$AC$38,'2019 Table 10 CWTs exp'!$A51)</f>
        <v>513</v>
      </c>
      <c r="L51" s="38">
        <f>SUMIFS('[12]inland_taf_hatchgrp_tableraw&amp;yy'!L$3:L$38,'[12]inland_taf_hatchgrp_tableraw&amp;yy'!$AC$3:$AC$38,'2019 Table 10 CWTs exp'!$A51)</f>
        <v>300</v>
      </c>
      <c r="M51" s="38">
        <f>SUMIFS('[12]inland_taf_hatchgrp_tableraw&amp;yy'!M$3:M$38,'[12]inland_taf_hatchgrp_tableraw&amp;yy'!$AC$3:$AC$38,'2019 Table 10 CWTs exp'!$A51)</f>
        <v>2831</v>
      </c>
      <c r="N51" s="40">
        <f>SUMIFS('[12]inland_taf_hatchgrp_tableraw&amp;yy'!N$3:N$38,'[12]inland_taf_hatchgrp_tableraw&amp;yy'!$AC$3:$AC$38,'2019 Table 10 CWTs exp'!$A51)</f>
        <v>2309</v>
      </c>
      <c r="O51" s="38">
        <f>SUMIFS('[12]inland_taf_hatchgrp_tableraw&amp;yy'!O$3:O$38,'[12]inland_taf_hatchgrp_tableraw&amp;yy'!$AC$3:$AC$38,'2019 Table 10 CWTs exp'!$A51)</f>
        <v>0</v>
      </c>
      <c r="P51" s="40">
        <f>SUMIFS('[12]inland_taf_hatchgrp_tableraw&amp;yy'!P$3:P$38,'[12]inland_taf_hatchgrp_tableraw&amp;yy'!$AC$3:$AC$38,'2019 Table 10 CWTs exp'!$A51)</f>
        <v>52</v>
      </c>
      <c r="Q51" s="38">
        <f>SUMIFS('[12]inland_taf_hatchgrp_tableraw&amp;yy'!Q$3:Q$38,'[12]inland_taf_hatchgrp_tableraw&amp;yy'!$AC$3:$AC$38,'2019 Table 10 CWTs exp'!$A51)</f>
        <v>0</v>
      </c>
      <c r="R51" s="38">
        <f>SUMIFS('[12]inland_taf_hatchgrp_tableraw&amp;yy'!R$3:R$38,'[12]inland_taf_hatchgrp_tableraw&amp;yy'!$AC$3:$AC$38,'2019 Table 10 CWTs exp'!$A51)</f>
        <v>0</v>
      </c>
      <c r="S51" s="38">
        <f>SUMIFS('[12]inland_taf_hatchgrp_tableraw&amp;yy'!S$3:S$38,'[12]inland_taf_hatchgrp_tableraw&amp;yy'!$AC$3:$AC$38,'2019 Table 10 CWTs exp'!$A51)</f>
        <v>40</v>
      </c>
      <c r="T51" s="40">
        <f>SUMIFS('[12]inland_taf_hatchgrp_tableraw&amp;yy'!T$3:T$38,'[12]inland_taf_hatchgrp_tableraw&amp;yy'!$AC$3:$AC$38,'2019 Table 10 CWTs exp'!$A51)</f>
        <v>0</v>
      </c>
      <c r="U51" s="38">
        <f>SUMIFS('[12]inland_taf_hatchgrp_tableraw&amp;yy'!U$3:U$38,'[12]inland_taf_hatchgrp_tableraw&amp;yy'!$AC$3:$AC$38,'2019 Table 10 CWTs exp'!$A51)</f>
        <v>0</v>
      </c>
      <c r="V51" s="40">
        <f>SUMIFS('[12]inland_taf_hatchgrp_tableraw&amp;yy'!V$3:V$38,'[12]inland_taf_hatchgrp_tableraw&amp;yy'!$AC$3:$AC$38,'2019 Table 10 CWTs exp'!$A51)</f>
        <v>60</v>
      </c>
      <c r="W51" s="40">
        <f>SUMIFS('[12]inland_taf_hatchgrp_tableraw&amp;yy'!W$3:W$38,'[12]inland_taf_hatchgrp_tableraw&amp;yy'!$AC$3:$AC$38,'2019 Table 10 CWTs exp'!$A51)</f>
        <v>0</v>
      </c>
      <c r="X51" s="38">
        <f>SUMIFS('[12]inland_taf_hatchgrp_tableraw&amp;yy'!X$3:X$38,'[12]inland_taf_hatchgrp_tableraw&amp;yy'!$AC$3:$AC$38,'2019 Table 10 CWTs exp'!$A51)</f>
        <v>0</v>
      </c>
      <c r="Y51" s="41">
        <f>SUMIFS('[12]inland_taf_hatchgrp_tableraw&amp;yy'!Y$3:Y$38,'[12]inland_taf_hatchgrp_tableraw&amp;yy'!$AC$3:$AC$38,'2019 Table 10 CWTs exp'!$A51)</f>
        <v>6210</v>
      </c>
      <c r="Z51" s="42">
        <f>SUMIFS('[12]inland_taf_hatchgrp_tableraw&amp;yy'!Z$3:Z$38,'[12]inland_taf_hatchgrp_tableraw&amp;yy'!$AC$3:$AC$38,'2019 Table 10 CWTs exp'!$A51)</f>
        <v>3885</v>
      </c>
      <c r="AA51" s="38">
        <f>SUMIFS('[12]inland_taf_hatchgrp_tableraw&amp;yy'!AA$3:AA$38,'[12]inland_taf_hatchgrp_tableraw&amp;yy'!$AC$3:$AC$38,'2019 Table 10 CWTs exp'!$A51)</f>
        <v>10095</v>
      </c>
      <c r="AB51" s="636"/>
      <c r="AC51" s="636"/>
      <c r="AD51" s="567">
        <f>SUMIFS('[12]inland_taf_hatchgrp_tableraw&amp;yy'!AB$3:AB$38,'[12]inland_taf_hatchgrp_tableraw&amp;yy'!$AC$3:$AC$38,'2019 Table 10 CWTs exp'!$A51)</f>
        <v>0.61499999999999999</v>
      </c>
      <c r="AE51" s="604" t="str">
        <f t="shared" si="27"/>
        <v>FEA463</v>
      </c>
      <c r="AF51" s="442"/>
      <c r="AG51" s="622">
        <f t="shared" si="28"/>
        <v>0.61515601783060925</v>
      </c>
      <c r="AH51" s="597"/>
      <c r="AI51" s="597"/>
      <c r="AJ51" s="599"/>
      <c r="AK51" s="451"/>
      <c r="AL51" s="451"/>
      <c r="AM51" s="442"/>
      <c r="AN51" s="442"/>
      <c r="AO51" s="442"/>
      <c r="AP51" s="442"/>
      <c r="AQ51" s="442"/>
      <c r="AR51" s="442"/>
      <c r="AS51" s="442"/>
      <c r="AT51" s="442"/>
      <c r="AU51" s="442"/>
      <c r="AV51" s="442"/>
      <c r="AW51" s="442"/>
      <c r="AX51" s="442"/>
      <c r="AY51" s="442"/>
      <c r="AZ51" s="442"/>
      <c r="BA51" s="442"/>
      <c r="BB51" s="442"/>
      <c r="BC51" s="442"/>
      <c r="BD51" s="442"/>
      <c r="BE51" s="442"/>
      <c r="BF51" s="442"/>
      <c r="BG51" s="442"/>
    </row>
    <row r="52" spans="1:59" ht="14.5" customHeight="1" x14ac:dyDescent="0.25">
      <c r="A52" s="50" t="str">
        <f t="shared" si="26"/>
        <v>AMN463</v>
      </c>
      <c r="B52" s="13" t="s">
        <v>118</v>
      </c>
      <c r="C52" s="13">
        <v>46</v>
      </c>
      <c r="D52" s="13">
        <v>3</v>
      </c>
      <c r="E52" s="3" t="s">
        <v>119</v>
      </c>
      <c r="F52" s="43" t="str">
        <f>LOOKUP(D52,$AL$8:$AL$11,$AM$8:$AM$11)</f>
        <v>Fall</v>
      </c>
      <c r="G52" s="38">
        <f>SUMIFS('[12]inland_taf_hatchgrp_tableraw&amp;yy'!G$3:G$38,'[12]inland_taf_hatchgrp_tableraw&amp;yy'!$AC$3:$AC$38,'2019 Table 10 CWTs exp'!$A52)</f>
        <v>0</v>
      </c>
      <c r="H52" s="39">
        <f>SUMIFS('[12]inland_taf_hatchgrp_tableraw&amp;yy'!H$3:H$38,'[12]inland_taf_hatchgrp_tableraw&amp;yy'!$AC$3:$AC$38,'2019 Table 10 CWTs exp'!$A52)</f>
        <v>0</v>
      </c>
      <c r="I52" s="38">
        <f>SUMIFS('[12]inland_taf_hatchgrp_tableraw&amp;yy'!I$3:I$38,'[12]inland_taf_hatchgrp_tableraw&amp;yy'!$AC$3:$AC$38,'2019 Table 10 CWTs exp'!$A52)</f>
        <v>0</v>
      </c>
      <c r="J52" s="40">
        <f>SUMIFS('[12]inland_taf_hatchgrp_tableraw&amp;yy'!J$3:J$38,'[12]inland_taf_hatchgrp_tableraw&amp;yy'!$AC$3:$AC$38,'2019 Table 10 CWTs exp'!$A52)</f>
        <v>0</v>
      </c>
      <c r="K52" s="38">
        <f>SUMIFS('[12]inland_taf_hatchgrp_tableraw&amp;yy'!K$3:K$38,'[12]inland_taf_hatchgrp_tableraw&amp;yy'!$AC$3:$AC$38,'2019 Table 10 CWTs exp'!$A52)</f>
        <v>0</v>
      </c>
      <c r="L52" s="38">
        <f>SUMIFS('[12]inland_taf_hatchgrp_tableraw&amp;yy'!L$3:L$38,'[12]inland_taf_hatchgrp_tableraw&amp;yy'!$AC$3:$AC$38,'2019 Table 10 CWTs exp'!$A52)</f>
        <v>0</v>
      </c>
      <c r="M52" s="38">
        <f>SUMIFS('[12]inland_taf_hatchgrp_tableraw&amp;yy'!M$3:M$38,'[12]inland_taf_hatchgrp_tableraw&amp;yy'!$AC$3:$AC$38,'2019 Table 10 CWTs exp'!$A52)</f>
        <v>63</v>
      </c>
      <c r="N52" s="40">
        <f>SUMIFS('[12]inland_taf_hatchgrp_tableraw&amp;yy'!N$3:N$38,'[12]inland_taf_hatchgrp_tableraw&amp;yy'!$AC$3:$AC$38,'2019 Table 10 CWTs exp'!$A52)</f>
        <v>212</v>
      </c>
      <c r="O52" s="38">
        <f>SUMIFS('[12]inland_taf_hatchgrp_tableraw&amp;yy'!O$3:O$38,'[12]inland_taf_hatchgrp_tableraw&amp;yy'!$AC$3:$AC$38,'2019 Table 10 CWTs exp'!$A52)</f>
        <v>282</v>
      </c>
      <c r="P52" s="40">
        <f>SUMIFS('[12]inland_taf_hatchgrp_tableraw&amp;yy'!P$3:P$38,'[12]inland_taf_hatchgrp_tableraw&amp;yy'!$AC$3:$AC$38,'2019 Table 10 CWTs exp'!$A52)</f>
        <v>212</v>
      </c>
      <c r="Q52" s="38">
        <f>SUMIFS('[12]inland_taf_hatchgrp_tableraw&amp;yy'!Q$3:Q$38,'[12]inland_taf_hatchgrp_tableraw&amp;yy'!$AC$3:$AC$38,'2019 Table 10 CWTs exp'!$A52)</f>
        <v>0</v>
      </c>
      <c r="R52" s="38">
        <f>SUMIFS('[12]inland_taf_hatchgrp_tableraw&amp;yy'!R$3:R$38,'[12]inland_taf_hatchgrp_tableraw&amp;yy'!$AC$3:$AC$38,'2019 Table 10 CWTs exp'!$A52)</f>
        <v>354</v>
      </c>
      <c r="S52" s="38">
        <f>SUMIFS('[12]inland_taf_hatchgrp_tableraw&amp;yy'!S$3:S$38,'[12]inland_taf_hatchgrp_tableraw&amp;yy'!$AC$3:$AC$38,'2019 Table 10 CWTs exp'!$A52)</f>
        <v>54</v>
      </c>
      <c r="T52" s="40">
        <f>SUMIFS('[12]inland_taf_hatchgrp_tableraw&amp;yy'!T$3:T$38,'[12]inland_taf_hatchgrp_tableraw&amp;yy'!$AC$3:$AC$38,'2019 Table 10 CWTs exp'!$A52)</f>
        <v>0</v>
      </c>
      <c r="U52" s="38">
        <f>SUMIFS('[12]inland_taf_hatchgrp_tableraw&amp;yy'!U$3:U$38,'[12]inland_taf_hatchgrp_tableraw&amp;yy'!$AC$3:$AC$38,'2019 Table 10 CWTs exp'!$A52)</f>
        <v>0</v>
      </c>
      <c r="V52" s="40">
        <f>SUMIFS('[12]inland_taf_hatchgrp_tableraw&amp;yy'!V$3:V$38,'[12]inland_taf_hatchgrp_tableraw&amp;yy'!$AC$3:$AC$38,'2019 Table 10 CWTs exp'!$A52)</f>
        <v>0</v>
      </c>
      <c r="W52" s="40">
        <f>SUMIFS('[12]inland_taf_hatchgrp_tableraw&amp;yy'!W$3:W$38,'[12]inland_taf_hatchgrp_tableraw&amp;yy'!$AC$3:$AC$38,'2019 Table 10 CWTs exp'!$A52)</f>
        <v>0</v>
      </c>
      <c r="X52" s="38">
        <f>SUMIFS('[12]inland_taf_hatchgrp_tableraw&amp;yy'!X$3:X$38,'[12]inland_taf_hatchgrp_tableraw&amp;yy'!$AC$3:$AC$38,'2019 Table 10 CWTs exp'!$A52)</f>
        <v>0</v>
      </c>
      <c r="Y52" s="41">
        <f>SUMIFS('[12]inland_taf_hatchgrp_tableraw&amp;yy'!Y$3:Y$38,'[12]inland_taf_hatchgrp_tableraw&amp;yy'!$AC$3:$AC$38,'2019 Table 10 CWTs exp'!$A52)</f>
        <v>1177</v>
      </c>
      <c r="Z52" s="42">
        <f>SUMIFS('[12]inland_taf_hatchgrp_tableraw&amp;yy'!Z$3:Z$38,'[12]inland_taf_hatchgrp_tableraw&amp;yy'!$AC$3:$AC$38,'2019 Table 10 CWTs exp'!$A52)</f>
        <v>651</v>
      </c>
      <c r="AA52" s="38">
        <f>SUMIFS('[12]inland_taf_hatchgrp_tableraw&amp;yy'!AA$3:AA$38,'[12]inland_taf_hatchgrp_tableraw&amp;yy'!$AC$3:$AC$38,'2019 Table 10 CWTs exp'!$A52)</f>
        <v>1828</v>
      </c>
      <c r="AB52" s="636"/>
      <c r="AC52" s="636"/>
      <c r="AD52" s="567">
        <f>SUMIFS('[12]inland_taf_hatchgrp_tableraw&amp;yy'!AB$3:AB$38,'[12]inland_taf_hatchgrp_tableraw&amp;yy'!$AC$3:$AC$38,'2019 Table 10 CWTs exp'!$A52)</f>
        <v>0.64400000000000002</v>
      </c>
      <c r="AE52" s="604" t="str">
        <f t="shared" si="27"/>
        <v>AMN463</v>
      </c>
      <c r="AF52" s="442"/>
      <c r="AG52" s="622">
        <f t="shared" si="28"/>
        <v>0.64387308533916854</v>
      </c>
      <c r="AH52" s="597"/>
      <c r="AI52" s="442"/>
      <c r="AJ52" s="451"/>
      <c r="AK52" s="451"/>
      <c r="AL52" s="451"/>
      <c r="AM52" s="442"/>
      <c r="AN52" s="442"/>
      <c r="AO52" s="442"/>
      <c r="AP52" s="442"/>
      <c r="AQ52" s="442"/>
      <c r="AR52" s="442"/>
      <c r="AS52" s="442"/>
      <c r="AT52" s="442"/>
      <c r="AU52" s="442"/>
      <c r="AV52" s="442"/>
      <c r="AW52" s="442"/>
      <c r="AX52" s="442"/>
      <c r="AY52" s="442"/>
      <c r="AZ52" s="442"/>
      <c r="BA52" s="442"/>
      <c r="BB52" s="442"/>
      <c r="BC52" s="442"/>
      <c r="BD52" s="442"/>
      <c r="BE52" s="442"/>
      <c r="BF52" s="442"/>
      <c r="BG52" s="442"/>
    </row>
    <row r="53" spans="1:59" ht="14.5" hidden="1" customHeight="1" x14ac:dyDescent="0.25">
      <c r="A53" s="50" t="str">
        <f t="shared" si="26"/>
        <v>MOKE463</v>
      </c>
      <c r="B53" s="13" t="s">
        <v>90</v>
      </c>
      <c r="C53" s="13">
        <v>46</v>
      </c>
      <c r="D53" s="13">
        <v>3</v>
      </c>
      <c r="E53" s="3" t="s">
        <v>91</v>
      </c>
      <c r="F53" s="43" t="str">
        <f>LOOKUP(D53,$AL$8:$AL$11,$AM$8:$AM$11)</f>
        <v>Fall</v>
      </c>
      <c r="G53" s="38">
        <f>SUMIFS('[12]inland_taf_hatchgrp_tableraw&amp;yy'!G$3:G$38,'[12]inland_taf_hatchgrp_tableraw&amp;yy'!$AC$3:$AC$38,'2019 Table 10 CWTs exp'!$A53)</f>
        <v>0</v>
      </c>
      <c r="H53" s="39">
        <f>SUMIFS('[12]inland_taf_hatchgrp_tableraw&amp;yy'!H$3:H$38,'[12]inland_taf_hatchgrp_tableraw&amp;yy'!$AC$3:$AC$38,'2019 Table 10 CWTs exp'!$A53)</f>
        <v>0</v>
      </c>
      <c r="I53" s="38">
        <f>SUMIFS('[12]inland_taf_hatchgrp_tableraw&amp;yy'!I$3:I$38,'[12]inland_taf_hatchgrp_tableraw&amp;yy'!$AC$3:$AC$38,'2019 Table 10 CWTs exp'!$A53)</f>
        <v>0</v>
      </c>
      <c r="J53" s="40">
        <f>SUMIFS('[12]inland_taf_hatchgrp_tableraw&amp;yy'!J$3:J$38,'[12]inland_taf_hatchgrp_tableraw&amp;yy'!$AC$3:$AC$38,'2019 Table 10 CWTs exp'!$A53)</f>
        <v>0</v>
      </c>
      <c r="K53" s="38">
        <f>SUMIFS('[12]inland_taf_hatchgrp_tableraw&amp;yy'!K$3:K$38,'[12]inland_taf_hatchgrp_tableraw&amp;yy'!$AC$3:$AC$38,'2019 Table 10 CWTs exp'!$A53)</f>
        <v>0</v>
      </c>
      <c r="L53" s="38">
        <f>SUMIFS('[12]inland_taf_hatchgrp_tableraw&amp;yy'!L$3:L$38,'[12]inland_taf_hatchgrp_tableraw&amp;yy'!$AC$3:$AC$38,'2019 Table 10 CWTs exp'!$A53)</f>
        <v>0</v>
      </c>
      <c r="M53" s="38">
        <f>SUMIFS('[12]inland_taf_hatchgrp_tableraw&amp;yy'!M$3:M$38,'[12]inland_taf_hatchgrp_tableraw&amp;yy'!$AC$3:$AC$38,'2019 Table 10 CWTs exp'!$A53)</f>
        <v>0</v>
      </c>
      <c r="N53" s="40">
        <f>SUMIFS('[12]inland_taf_hatchgrp_tableraw&amp;yy'!N$3:N$38,'[12]inland_taf_hatchgrp_tableraw&amp;yy'!$AC$3:$AC$38,'2019 Table 10 CWTs exp'!$A53)</f>
        <v>0</v>
      </c>
      <c r="O53" s="38">
        <f>SUMIFS('[12]inland_taf_hatchgrp_tableraw&amp;yy'!O$3:O$38,'[12]inland_taf_hatchgrp_tableraw&amp;yy'!$AC$3:$AC$38,'2019 Table 10 CWTs exp'!$A53)</f>
        <v>0</v>
      </c>
      <c r="P53" s="40">
        <f>SUMIFS('[12]inland_taf_hatchgrp_tableraw&amp;yy'!P$3:P$38,'[12]inland_taf_hatchgrp_tableraw&amp;yy'!$AC$3:$AC$38,'2019 Table 10 CWTs exp'!$A53)</f>
        <v>0</v>
      </c>
      <c r="Q53" s="38">
        <f>SUMIFS('[12]inland_taf_hatchgrp_tableraw&amp;yy'!Q$3:Q$38,'[12]inland_taf_hatchgrp_tableraw&amp;yy'!$AC$3:$AC$38,'2019 Table 10 CWTs exp'!$A53)</f>
        <v>0</v>
      </c>
      <c r="R53" s="38">
        <f>SUMIFS('[12]inland_taf_hatchgrp_tableraw&amp;yy'!R$3:R$38,'[12]inland_taf_hatchgrp_tableraw&amp;yy'!$AC$3:$AC$38,'2019 Table 10 CWTs exp'!$A53)</f>
        <v>0</v>
      </c>
      <c r="S53" s="38">
        <f>SUMIFS('[12]inland_taf_hatchgrp_tableraw&amp;yy'!S$3:S$38,'[12]inland_taf_hatchgrp_tableraw&amp;yy'!$AC$3:$AC$38,'2019 Table 10 CWTs exp'!$A53)</f>
        <v>0</v>
      </c>
      <c r="T53" s="40">
        <f>SUMIFS('[12]inland_taf_hatchgrp_tableraw&amp;yy'!T$3:T$38,'[12]inland_taf_hatchgrp_tableraw&amp;yy'!$AC$3:$AC$38,'2019 Table 10 CWTs exp'!$A53)</f>
        <v>0</v>
      </c>
      <c r="U53" s="38">
        <f>SUMIFS('[12]inland_taf_hatchgrp_tableraw&amp;yy'!U$3:U$38,'[12]inland_taf_hatchgrp_tableraw&amp;yy'!$AC$3:$AC$38,'2019 Table 10 CWTs exp'!$A53)</f>
        <v>0</v>
      </c>
      <c r="V53" s="40">
        <f>SUMIFS('[12]inland_taf_hatchgrp_tableraw&amp;yy'!V$3:V$38,'[12]inland_taf_hatchgrp_tableraw&amp;yy'!$AC$3:$AC$38,'2019 Table 10 CWTs exp'!$A53)</f>
        <v>0</v>
      </c>
      <c r="W53" s="40">
        <f>SUMIFS('[12]inland_taf_hatchgrp_tableraw&amp;yy'!W$3:W$38,'[12]inland_taf_hatchgrp_tableraw&amp;yy'!$AC$3:$AC$38,'2019 Table 10 CWTs exp'!$A53)</f>
        <v>0</v>
      </c>
      <c r="X53" s="38">
        <f>SUMIFS('[12]inland_taf_hatchgrp_tableraw&amp;yy'!X$3:X$38,'[12]inland_taf_hatchgrp_tableraw&amp;yy'!$AC$3:$AC$38,'2019 Table 10 CWTs exp'!$A53)</f>
        <v>0</v>
      </c>
      <c r="Y53" s="41">
        <f>SUMIFS('[12]inland_taf_hatchgrp_tableraw&amp;yy'!Y$3:Y$38,'[12]inland_taf_hatchgrp_tableraw&amp;yy'!$AC$3:$AC$38,'2019 Table 10 CWTs exp'!$A53)</f>
        <v>0</v>
      </c>
      <c r="Z53" s="42">
        <f>SUMIFS('[12]inland_taf_hatchgrp_tableraw&amp;yy'!Z$3:Z$38,'[12]inland_taf_hatchgrp_tableraw&amp;yy'!$AC$3:$AC$38,'2019 Table 10 CWTs exp'!$A53)</f>
        <v>0</v>
      </c>
      <c r="AA53" s="38">
        <f>SUMIFS('[12]inland_taf_hatchgrp_tableraw&amp;yy'!AA$3:AA$38,'[12]inland_taf_hatchgrp_tableraw&amp;yy'!$AC$3:$AC$38,'2019 Table 10 CWTs exp'!$A53)</f>
        <v>0</v>
      </c>
      <c r="AB53" s="636"/>
      <c r="AC53" s="636"/>
      <c r="AD53" s="567">
        <f>SUMIFS('[12]inland_taf_hatchgrp_tableraw&amp;yy'!AB$3:AB$38,'[12]inland_taf_hatchgrp_tableraw&amp;yy'!$AC$3:$AC$38,'2019 Table 10 CWTs exp'!$A53)</f>
        <v>0</v>
      </c>
      <c r="AE53" s="604" t="str">
        <f t="shared" si="27"/>
        <v>MOKE463</v>
      </c>
      <c r="AF53" s="442"/>
      <c r="AG53" s="622" t="e">
        <f t="shared" si="28"/>
        <v>#DIV/0!</v>
      </c>
      <c r="AH53" s="597"/>
      <c r="AI53" s="442"/>
      <c r="AJ53" s="451"/>
      <c r="AK53" s="451"/>
      <c r="AL53" s="451"/>
      <c r="AM53" s="442"/>
      <c r="AN53" s="442"/>
      <c r="AO53" s="442"/>
      <c r="AP53" s="442"/>
      <c r="AQ53" s="442"/>
      <c r="AR53" s="442"/>
      <c r="AS53" s="442"/>
      <c r="AT53" s="442"/>
      <c r="AU53" s="442"/>
      <c r="AV53" s="442"/>
      <c r="AW53" s="442"/>
      <c r="AX53" s="442"/>
      <c r="AY53" s="442"/>
      <c r="AZ53" s="442"/>
      <c r="BA53" s="442"/>
      <c r="BB53" s="442"/>
      <c r="BC53" s="442"/>
      <c r="BD53" s="442"/>
      <c r="BE53" s="442"/>
      <c r="BF53" s="442"/>
      <c r="BG53" s="442"/>
    </row>
    <row r="54" spans="1:59" ht="14.5" customHeight="1" x14ac:dyDescent="0.25">
      <c r="A54" s="50" t="str">
        <f t="shared" si="26"/>
        <v>USAC467</v>
      </c>
      <c r="B54" s="13" t="s">
        <v>64</v>
      </c>
      <c r="C54" s="13">
        <v>46</v>
      </c>
      <c r="D54" s="13">
        <v>7</v>
      </c>
      <c r="E54" s="3" t="s">
        <v>114</v>
      </c>
      <c r="F54" s="37" t="s">
        <v>49</v>
      </c>
      <c r="G54" s="38">
        <f>SUMIFS('[12]inland_taf_hatchgrp_tableraw&amp;yy'!G$3:G$38,'[12]inland_taf_hatchgrp_tableraw&amp;yy'!$AC$3:$AC$38,'2019 Table 10 CWTs exp'!$A54)</f>
        <v>7</v>
      </c>
      <c r="H54" s="39">
        <f>SUMIFS('[12]inland_taf_hatchgrp_tableraw&amp;yy'!H$3:H$38,'[12]inland_taf_hatchgrp_tableraw&amp;yy'!$AC$3:$AC$38,'2019 Table 10 CWTs exp'!$A54)</f>
        <v>142</v>
      </c>
      <c r="I54" s="38">
        <f>SUMIFS('[12]inland_taf_hatchgrp_tableraw&amp;yy'!I$3:I$38,'[12]inland_taf_hatchgrp_tableraw&amp;yy'!$AC$3:$AC$38,'2019 Table 10 CWTs exp'!$A54)</f>
        <v>28</v>
      </c>
      <c r="J54" s="40">
        <f>SUMIFS('[12]inland_taf_hatchgrp_tableraw&amp;yy'!J$3:J$38,'[12]inland_taf_hatchgrp_tableraw&amp;yy'!$AC$3:$AC$38,'2019 Table 10 CWTs exp'!$A54)</f>
        <v>0</v>
      </c>
      <c r="K54" s="38">
        <f>SUMIFS('[12]inland_taf_hatchgrp_tableraw&amp;yy'!K$3:K$38,'[12]inland_taf_hatchgrp_tableraw&amp;yy'!$AC$3:$AC$38,'2019 Table 10 CWTs exp'!$A54)</f>
        <v>0</v>
      </c>
      <c r="L54" s="38">
        <f>SUMIFS('[12]inland_taf_hatchgrp_tableraw&amp;yy'!L$3:L$38,'[12]inland_taf_hatchgrp_tableraw&amp;yy'!$AC$3:$AC$38,'2019 Table 10 CWTs exp'!$A54)</f>
        <v>0</v>
      </c>
      <c r="M54" s="38">
        <f>SUMIFS('[12]inland_taf_hatchgrp_tableraw&amp;yy'!M$3:M$38,'[12]inland_taf_hatchgrp_tableraw&amp;yy'!$AC$3:$AC$38,'2019 Table 10 CWTs exp'!$A54)</f>
        <v>0</v>
      </c>
      <c r="N54" s="40">
        <f>SUMIFS('[12]inland_taf_hatchgrp_tableraw&amp;yy'!N$3:N$38,'[12]inland_taf_hatchgrp_tableraw&amp;yy'!$AC$3:$AC$38,'2019 Table 10 CWTs exp'!$A54)</f>
        <v>0</v>
      </c>
      <c r="O54" s="38">
        <f>SUMIFS('[12]inland_taf_hatchgrp_tableraw&amp;yy'!O$3:O$38,'[12]inland_taf_hatchgrp_tableraw&amp;yy'!$AC$3:$AC$38,'2019 Table 10 CWTs exp'!$A54)</f>
        <v>0</v>
      </c>
      <c r="P54" s="40">
        <f>SUMIFS('[12]inland_taf_hatchgrp_tableraw&amp;yy'!P$3:P$38,'[12]inland_taf_hatchgrp_tableraw&amp;yy'!$AC$3:$AC$38,'2019 Table 10 CWTs exp'!$A54)</f>
        <v>0</v>
      </c>
      <c r="Q54" s="38">
        <f>SUMIFS('[12]inland_taf_hatchgrp_tableraw&amp;yy'!Q$3:Q$38,'[12]inland_taf_hatchgrp_tableraw&amp;yy'!$AC$3:$AC$38,'2019 Table 10 CWTs exp'!$A54)</f>
        <v>0</v>
      </c>
      <c r="R54" s="38">
        <f>SUMIFS('[12]inland_taf_hatchgrp_tableraw&amp;yy'!R$3:R$38,'[12]inland_taf_hatchgrp_tableraw&amp;yy'!$AC$3:$AC$38,'2019 Table 10 CWTs exp'!$A54)</f>
        <v>0</v>
      </c>
      <c r="S54" s="38">
        <f>SUMIFS('[12]inland_taf_hatchgrp_tableraw&amp;yy'!S$3:S$38,'[12]inland_taf_hatchgrp_tableraw&amp;yy'!$AC$3:$AC$38,'2019 Table 10 CWTs exp'!$A54)</f>
        <v>0</v>
      </c>
      <c r="T54" s="40">
        <f>SUMIFS('[12]inland_taf_hatchgrp_tableraw&amp;yy'!T$3:T$38,'[12]inland_taf_hatchgrp_tableraw&amp;yy'!$AC$3:$AC$38,'2019 Table 10 CWTs exp'!$A54)</f>
        <v>7</v>
      </c>
      <c r="U54" s="38">
        <f>SUMIFS('[12]inland_taf_hatchgrp_tableraw&amp;yy'!U$3:U$38,'[12]inland_taf_hatchgrp_tableraw&amp;yy'!$AC$3:$AC$38,'2019 Table 10 CWTs exp'!$A54)</f>
        <v>0</v>
      </c>
      <c r="V54" s="40">
        <f>SUMIFS('[12]inland_taf_hatchgrp_tableraw&amp;yy'!V$3:V$38,'[12]inland_taf_hatchgrp_tableraw&amp;yy'!$AC$3:$AC$38,'2019 Table 10 CWTs exp'!$A54)</f>
        <v>0</v>
      </c>
      <c r="W54" s="40">
        <f>SUMIFS('[12]inland_taf_hatchgrp_tableraw&amp;yy'!W$3:W$38,'[12]inland_taf_hatchgrp_tableraw&amp;yy'!$AC$3:$AC$38,'2019 Table 10 CWTs exp'!$A54)</f>
        <v>0</v>
      </c>
      <c r="X54" s="38">
        <f>SUMIFS('[12]inland_taf_hatchgrp_tableraw&amp;yy'!X$3:X$38,'[12]inland_taf_hatchgrp_tableraw&amp;yy'!$AC$3:$AC$38,'2019 Table 10 CWTs exp'!$A54)</f>
        <v>0</v>
      </c>
      <c r="Y54" s="41">
        <f>SUMIFS('[12]inland_taf_hatchgrp_tableraw&amp;yy'!Y$3:Y$38,'[12]inland_taf_hatchgrp_tableraw&amp;yy'!$AC$3:$AC$38,'2019 Table 10 CWTs exp'!$A54)</f>
        <v>184</v>
      </c>
      <c r="Z54" s="42">
        <f>SUMIFS('[12]inland_taf_hatchgrp_tableraw&amp;yy'!Z$3:Z$38,'[12]inland_taf_hatchgrp_tableraw&amp;yy'!$AC$3:$AC$38,'2019 Table 10 CWTs exp'!$A54)</f>
        <v>152</v>
      </c>
      <c r="AA54" s="38">
        <f>SUMIFS('[12]inland_taf_hatchgrp_tableraw&amp;yy'!AA$3:AA$38,'[12]inland_taf_hatchgrp_tableraw&amp;yy'!$AC$3:$AC$38,'2019 Table 10 CWTs exp'!$A54)</f>
        <v>336</v>
      </c>
      <c r="AB54" s="636"/>
      <c r="AC54" s="636"/>
      <c r="AD54" s="567">
        <f>SUMIFS('[12]inland_taf_hatchgrp_tableraw&amp;yy'!AB$3:AB$38,'[12]inland_taf_hatchgrp_tableraw&amp;yy'!$AC$3:$AC$38,'2019 Table 10 CWTs exp'!$A54)</f>
        <v>0.54800000000000004</v>
      </c>
      <c r="AE54" s="604" t="str">
        <f t="shared" si="27"/>
        <v>USAC467</v>
      </c>
      <c r="AF54" s="444"/>
      <c r="AG54" s="622">
        <f t="shared" si="28"/>
        <v>0.54761904761904767</v>
      </c>
      <c r="AH54" s="606"/>
      <c r="AI54" s="442"/>
      <c r="AJ54" s="451"/>
      <c r="AK54" s="451"/>
      <c r="AL54" s="451"/>
      <c r="AM54" s="442"/>
      <c r="AN54" s="442"/>
      <c r="AO54" s="442"/>
      <c r="AP54" s="442"/>
      <c r="AQ54" s="442"/>
      <c r="AR54" s="442"/>
      <c r="AS54" s="442"/>
      <c r="AT54" s="442"/>
      <c r="AU54" s="442"/>
      <c r="AV54" s="442"/>
      <c r="AW54" s="442"/>
      <c r="AX54" s="442"/>
      <c r="AY54" s="442"/>
      <c r="AZ54" s="442"/>
      <c r="BA54" s="442"/>
      <c r="BB54" s="442"/>
      <c r="BC54" s="442"/>
      <c r="BD54" s="442"/>
      <c r="BE54" s="442"/>
      <c r="BF54" s="442"/>
      <c r="BG54" s="442"/>
    </row>
    <row r="55" spans="1:59" ht="14.15" customHeight="1" x14ac:dyDescent="0.3">
      <c r="A55" s="50"/>
      <c r="B55" s="13"/>
      <c r="C55" s="13"/>
      <c r="D55" s="13"/>
      <c r="E55" s="3"/>
      <c r="F55" s="88" t="s">
        <v>120</v>
      </c>
      <c r="G55" s="104">
        <f>SUM(G49:G54)</f>
        <v>34</v>
      </c>
      <c r="H55" s="105">
        <f>SUM(H49:H54)</f>
        <v>309</v>
      </c>
      <c r="I55" s="94">
        <f t="shared" ref="I55:AA55" si="29">SUM(I49:I54)</f>
        <v>6366</v>
      </c>
      <c r="J55" s="106">
        <f t="shared" si="29"/>
        <v>0</v>
      </c>
      <c r="K55" s="94">
        <f t="shared" si="29"/>
        <v>526</v>
      </c>
      <c r="L55" s="94">
        <f t="shared" si="29"/>
        <v>327</v>
      </c>
      <c r="M55" s="94">
        <f t="shared" si="29"/>
        <v>3376</v>
      </c>
      <c r="N55" s="106">
        <f t="shared" si="29"/>
        <v>3766</v>
      </c>
      <c r="O55" s="94">
        <f t="shared" si="29"/>
        <v>713</v>
      </c>
      <c r="P55" s="106">
        <f t="shared" si="29"/>
        <v>1236</v>
      </c>
      <c r="Q55" s="94">
        <f t="shared" si="29"/>
        <v>0</v>
      </c>
      <c r="R55" s="94">
        <f t="shared" si="29"/>
        <v>1540</v>
      </c>
      <c r="S55" s="94">
        <f t="shared" si="29"/>
        <v>94</v>
      </c>
      <c r="T55" s="106">
        <f t="shared" si="29"/>
        <v>89</v>
      </c>
      <c r="U55" s="94">
        <f t="shared" si="29"/>
        <v>0</v>
      </c>
      <c r="V55" s="106">
        <f t="shared" si="29"/>
        <v>60</v>
      </c>
      <c r="W55" s="106">
        <f t="shared" si="29"/>
        <v>0</v>
      </c>
      <c r="X55" s="94">
        <f t="shared" si="29"/>
        <v>0</v>
      </c>
      <c r="Y55" s="92">
        <f t="shared" si="29"/>
        <v>18436</v>
      </c>
      <c r="Z55" s="107">
        <f t="shared" si="29"/>
        <v>12058</v>
      </c>
      <c r="AA55" s="89">
        <f t="shared" si="29"/>
        <v>30494</v>
      </c>
      <c r="AB55" s="636"/>
      <c r="AC55" s="636"/>
      <c r="AD55" s="445">
        <f>Y55/AA55</f>
        <v>0.60457794976060864</v>
      </c>
      <c r="AE55" s="642">
        <f t="shared" si="27"/>
        <v>0</v>
      </c>
      <c r="AF55" s="643">
        <f>SUM(Y49:Y54)</f>
        <v>18436</v>
      </c>
      <c r="AG55" s="644">
        <f>SUM(Z49:Z54)</f>
        <v>12058</v>
      </c>
      <c r="AH55" s="644">
        <f>SUM(AA49:AA54)</f>
        <v>30494</v>
      </c>
      <c r="AI55" s="645"/>
      <c r="AJ55" s="451"/>
      <c r="AK55" s="451"/>
      <c r="AL55" s="451"/>
      <c r="AM55" s="442"/>
      <c r="AN55" s="442"/>
      <c r="AO55" s="442"/>
      <c r="AP55" s="442"/>
      <c r="AQ55" s="442"/>
      <c r="AR55" s="442"/>
      <c r="AS55" s="442"/>
      <c r="AT55" s="442"/>
      <c r="AU55" s="442"/>
      <c r="AV55" s="442"/>
      <c r="AW55" s="442"/>
      <c r="AX55" s="442"/>
      <c r="AY55" s="442"/>
      <c r="AZ55" s="442"/>
      <c r="BA55" s="442"/>
      <c r="BB55" s="442"/>
      <c r="BC55" s="442"/>
      <c r="BD55" s="442"/>
      <c r="BE55" s="442"/>
      <c r="BF55" s="442"/>
      <c r="BG55" s="442"/>
    </row>
    <row r="56" spans="1:59" ht="2.9" customHeight="1" x14ac:dyDescent="0.3">
      <c r="A56" s="50"/>
      <c r="B56" s="11"/>
      <c r="C56" s="11"/>
      <c r="D56" s="11"/>
      <c r="E56" s="110"/>
      <c r="F56" s="110"/>
      <c r="G56" s="111"/>
      <c r="H56" s="112"/>
      <c r="I56" s="111"/>
      <c r="J56" s="113"/>
      <c r="K56" s="111"/>
      <c r="L56" s="111"/>
      <c r="M56" s="111"/>
      <c r="N56" s="113"/>
      <c r="O56" s="111"/>
      <c r="P56" s="113"/>
      <c r="Q56" s="111"/>
      <c r="R56" s="111"/>
      <c r="S56" s="111"/>
      <c r="T56" s="113"/>
      <c r="U56" s="111"/>
      <c r="V56" s="113"/>
      <c r="W56" s="113"/>
      <c r="X56" s="111"/>
      <c r="Y56" s="114"/>
      <c r="Z56" s="115"/>
      <c r="AA56" s="111"/>
      <c r="AB56" s="451"/>
      <c r="AC56" s="451"/>
      <c r="AD56" s="451"/>
      <c r="AE56" s="451"/>
      <c r="AF56" s="442"/>
      <c r="AG56" s="597"/>
      <c r="AH56" s="597"/>
      <c r="AI56" s="442"/>
      <c r="AJ56" s="451"/>
      <c r="AK56" s="451"/>
      <c r="AL56" s="451"/>
      <c r="AM56" s="442"/>
      <c r="AN56" s="442"/>
      <c r="AO56" s="442"/>
      <c r="AP56" s="442"/>
      <c r="AQ56" s="442"/>
      <c r="AR56" s="442"/>
      <c r="AS56" s="442"/>
      <c r="AT56" s="442"/>
      <c r="AU56" s="442"/>
      <c r="AV56" s="442"/>
      <c r="AW56" s="442"/>
      <c r="AX56" s="442"/>
      <c r="AY56" s="442"/>
      <c r="AZ56" s="442"/>
      <c r="BA56" s="442"/>
      <c r="BB56" s="442"/>
      <c r="BC56" s="442"/>
      <c r="BD56" s="442"/>
      <c r="BE56" s="442"/>
      <c r="BF56" s="442"/>
      <c r="BG56" s="442"/>
    </row>
    <row r="57" spans="1:59" s="47" customFormat="1" ht="14.25" customHeight="1" x14ac:dyDescent="0.25">
      <c r="A57" s="36"/>
      <c r="B57" s="48"/>
      <c r="C57" s="48"/>
      <c r="D57" s="48"/>
      <c r="E57" s="186" t="s">
        <v>156</v>
      </c>
      <c r="F57" s="187"/>
      <c r="G57" s="187"/>
      <c r="H57" s="187"/>
      <c r="I57" s="187"/>
      <c r="J57" s="187"/>
      <c r="K57" s="187"/>
      <c r="L57" s="187"/>
      <c r="M57" s="187"/>
      <c r="N57" s="187"/>
      <c r="O57" s="187"/>
      <c r="P57" s="187"/>
      <c r="Q57" s="187"/>
      <c r="R57" s="187"/>
      <c r="S57" s="187"/>
      <c r="T57" s="187"/>
      <c r="U57" s="187"/>
      <c r="V57" s="187"/>
      <c r="W57" s="187"/>
      <c r="X57" s="187"/>
      <c r="Y57" s="187"/>
      <c r="Z57" s="187"/>
      <c r="AA57" s="187"/>
      <c r="AB57" s="595"/>
      <c r="AC57" s="595"/>
      <c r="AD57" s="615"/>
      <c r="AE57" s="615"/>
      <c r="AF57" s="594"/>
      <c r="AG57" s="616"/>
      <c r="AH57" s="616"/>
      <c r="AI57" s="594"/>
      <c r="AJ57" s="601"/>
      <c r="AK57" s="601"/>
      <c r="AL57" s="601"/>
      <c r="AM57" s="594"/>
      <c r="AN57" s="594"/>
      <c r="AO57" s="594"/>
      <c r="AP57" s="594"/>
      <c r="AQ57" s="594"/>
      <c r="AR57" s="594"/>
      <c r="AS57" s="594"/>
      <c r="AT57" s="594"/>
      <c r="AU57" s="594"/>
      <c r="AV57" s="594"/>
      <c r="AW57" s="594"/>
      <c r="AX57" s="594"/>
      <c r="AY57" s="594"/>
      <c r="AZ57" s="594"/>
      <c r="BA57" s="594"/>
      <c r="BB57" s="594"/>
      <c r="BC57" s="594"/>
      <c r="BD57" s="594"/>
      <c r="BE57" s="594"/>
      <c r="BF57" s="594"/>
      <c r="BG57" s="594"/>
    </row>
    <row r="58" spans="1:59" s="47" customFormat="1" ht="14.25" customHeight="1" x14ac:dyDescent="0.25">
      <c r="A58" s="116"/>
      <c r="B58" s="117"/>
      <c r="C58" s="48"/>
      <c r="D58" s="48"/>
      <c r="E58" s="27" t="s">
        <v>152</v>
      </c>
      <c r="F58" s="27"/>
      <c r="G58" s="27"/>
      <c r="H58" s="27"/>
      <c r="I58" s="27"/>
      <c r="J58" s="27"/>
      <c r="K58" s="27"/>
      <c r="L58" s="27"/>
      <c r="M58" s="27"/>
      <c r="N58" s="27"/>
      <c r="O58" s="27"/>
      <c r="P58" s="27"/>
      <c r="Q58" s="27"/>
      <c r="R58" s="27"/>
      <c r="S58" s="27"/>
      <c r="T58" s="27"/>
      <c r="U58" s="27"/>
      <c r="V58" s="27"/>
      <c r="W58" s="27"/>
      <c r="X58" s="27"/>
      <c r="Y58" s="118"/>
      <c r="Z58" s="27"/>
      <c r="AA58" s="27"/>
      <c r="AB58" s="594"/>
      <c r="AC58" s="594"/>
      <c r="AD58" s="646">
        <f>SUM(Y49:Y53)</f>
        <v>18252</v>
      </c>
      <c r="AE58" s="646">
        <f>SUM(AA49:AA53)</f>
        <v>30158</v>
      </c>
      <c r="AF58" s="647" t="s">
        <v>123</v>
      </c>
      <c r="AG58" s="618"/>
      <c r="AH58" s="618"/>
      <c r="AI58" s="594"/>
      <c r="AJ58" s="601"/>
      <c r="AK58" s="601"/>
      <c r="AL58" s="601"/>
      <c r="AM58" s="594"/>
      <c r="AN58" s="594"/>
      <c r="AO58" s="594"/>
      <c r="AP58" s="594"/>
      <c r="AQ58" s="594"/>
      <c r="AR58" s="594"/>
      <c r="AS58" s="594"/>
      <c r="AT58" s="594"/>
      <c r="AU58" s="594"/>
      <c r="AV58" s="594"/>
      <c r="AW58" s="594"/>
      <c r="AX58" s="594"/>
      <c r="AY58" s="594"/>
      <c r="AZ58" s="594"/>
      <c r="BA58" s="594"/>
      <c r="BB58" s="594"/>
      <c r="BC58" s="594"/>
      <c r="BD58" s="594"/>
      <c r="BE58" s="594"/>
      <c r="BF58" s="594"/>
      <c r="BG58" s="594"/>
    </row>
    <row r="59" spans="1:59" s="47" customFormat="1" ht="14.25" customHeight="1" x14ac:dyDescent="0.25">
      <c r="A59" s="116"/>
      <c r="B59" s="48"/>
      <c r="C59" s="48"/>
      <c r="D59" s="48"/>
      <c r="E59" s="27" t="s">
        <v>124</v>
      </c>
      <c r="F59" s="27"/>
      <c r="G59" s="27"/>
      <c r="H59" s="27"/>
      <c r="I59" s="27"/>
      <c r="J59" s="27"/>
      <c r="K59" s="27"/>
      <c r="L59" s="27"/>
      <c r="M59" s="27"/>
      <c r="N59" s="27"/>
      <c r="O59" s="27"/>
      <c r="P59" s="27"/>
      <c r="Q59" s="27"/>
      <c r="R59" s="27"/>
      <c r="S59" s="27"/>
      <c r="T59" s="27"/>
      <c r="U59" s="27"/>
      <c r="V59" s="27"/>
      <c r="W59" s="27"/>
      <c r="X59" s="27"/>
      <c r="Y59" s="27"/>
      <c r="Z59" s="27"/>
      <c r="AA59" s="27"/>
      <c r="AB59" s="594"/>
      <c r="AC59" s="594"/>
      <c r="AD59" s="594"/>
      <c r="AE59" s="594"/>
      <c r="AF59" s="594"/>
      <c r="AG59" s="594"/>
      <c r="AH59" s="594"/>
      <c r="AI59" s="594"/>
      <c r="AJ59" s="601"/>
      <c r="AK59" s="601"/>
      <c r="AL59" s="601"/>
      <c r="AM59" s="594"/>
      <c r="AN59" s="594"/>
      <c r="AO59" s="594"/>
      <c r="AP59" s="594"/>
      <c r="AQ59" s="594"/>
      <c r="AR59" s="594"/>
      <c r="AS59" s="594"/>
      <c r="AT59" s="594"/>
      <c r="AU59" s="594"/>
      <c r="AV59" s="594"/>
      <c r="AW59" s="594"/>
      <c r="AX59" s="594"/>
      <c r="AY59" s="594"/>
      <c r="AZ59" s="594"/>
      <c r="BA59" s="594"/>
      <c r="BB59" s="594"/>
      <c r="BC59" s="594"/>
      <c r="BD59" s="594"/>
      <c r="BE59" s="594"/>
      <c r="BF59" s="594"/>
      <c r="BG59" s="594"/>
    </row>
    <row r="60" spans="1:59" s="47" customFormat="1" ht="14.25" customHeight="1" x14ac:dyDescent="0.25">
      <c r="A60" s="116"/>
      <c r="B60" s="48"/>
      <c r="C60" s="48"/>
      <c r="D60" s="48"/>
      <c r="F60" s="34"/>
      <c r="G60" s="34"/>
      <c r="H60" s="27"/>
      <c r="I60" s="27"/>
      <c r="J60" s="27"/>
      <c r="K60" s="27"/>
      <c r="L60" s="27"/>
      <c r="M60" s="27"/>
      <c r="N60" s="27"/>
      <c r="O60" s="27"/>
      <c r="P60" s="27"/>
      <c r="Q60" s="27"/>
      <c r="R60" s="27"/>
      <c r="S60" s="27"/>
      <c r="T60" s="27"/>
      <c r="U60" s="27"/>
      <c r="V60" s="27"/>
      <c r="W60" s="27"/>
      <c r="X60" s="27"/>
      <c r="Y60" s="27"/>
      <c r="Z60" s="27"/>
      <c r="AA60" s="27"/>
      <c r="AB60" s="594"/>
      <c r="AC60" s="594"/>
      <c r="AD60" s="617"/>
      <c r="AE60" s="617"/>
      <c r="AF60" s="617"/>
      <c r="AG60" s="617"/>
      <c r="AH60" s="617"/>
      <c r="AI60" s="594"/>
      <c r="AJ60" s="601"/>
      <c r="AK60" s="601"/>
      <c r="AL60" s="601"/>
      <c r="AM60" s="594"/>
      <c r="AN60" s="594"/>
      <c r="AO60" s="594"/>
      <c r="AP60" s="594"/>
      <c r="AQ60" s="594"/>
      <c r="AR60" s="594"/>
      <c r="AS60" s="594"/>
      <c r="AT60" s="594"/>
      <c r="AU60" s="594"/>
      <c r="AV60" s="594"/>
      <c r="AW60" s="594"/>
      <c r="AX60" s="594"/>
      <c r="AY60" s="594"/>
      <c r="AZ60" s="594"/>
      <c r="BA60" s="594"/>
      <c r="BB60" s="594"/>
      <c r="BC60" s="594"/>
      <c r="BD60" s="594"/>
      <c r="BE60" s="594"/>
      <c r="BF60" s="594"/>
      <c r="BG60" s="594"/>
    </row>
    <row r="61" spans="1:59" x14ac:dyDescent="0.25">
      <c r="A61" s="15"/>
      <c r="AB61" s="442"/>
      <c r="AC61" s="442"/>
      <c r="AD61" s="442"/>
      <c r="AE61" s="442"/>
      <c r="AF61" s="442"/>
      <c r="AG61" s="442"/>
      <c r="AH61" s="442"/>
      <c r="AI61" s="442"/>
      <c r="AJ61" s="451"/>
      <c r="AK61" s="451"/>
      <c r="AL61" s="451"/>
      <c r="AM61" s="442"/>
      <c r="AN61" s="442"/>
      <c r="AO61" s="442"/>
      <c r="AP61" s="442"/>
      <c r="AQ61" s="442"/>
      <c r="AR61" s="442"/>
      <c r="AS61" s="442"/>
      <c r="AT61" s="442"/>
      <c r="AU61" s="442"/>
      <c r="AV61" s="442"/>
      <c r="AW61" s="442"/>
      <c r="AX61" s="442"/>
      <c r="AY61" s="442"/>
      <c r="AZ61" s="442"/>
      <c r="BA61" s="442"/>
      <c r="BB61" s="442"/>
      <c r="BC61" s="442"/>
      <c r="BD61" s="442"/>
      <c r="BE61" s="442"/>
      <c r="BF61" s="442"/>
      <c r="BG61" s="442"/>
    </row>
    <row r="62" spans="1:59" x14ac:dyDescent="0.25">
      <c r="A62" s="15"/>
      <c r="AB62" s="442"/>
      <c r="AC62" s="442"/>
      <c r="AD62" s="442"/>
      <c r="AE62" s="442"/>
      <c r="AF62" s="442"/>
      <c r="AG62" s="442"/>
      <c r="AH62" s="442"/>
      <c r="AI62" s="442"/>
      <c r="AJ62" s="451"/>
      <c r="AK62" s="451"/>
      <c r="AL62" s="451"/>
      <c r="AM62" s="442"/>
      <c r="AN62" s="442"/>
      <c r="AO62" s="442"/>
      <c r="AP62" s="442" t="s">
        <v>126</v>
      </c>
      <c r="AQ62" s="442"/>
      <c r="AR62" s="442"/>
      <c r="AS62" s="442" t="s">
        <v>127</v>
      </c>
      <c r="AT62" s="442"/>
      <c r="AU62" s="442"/>
      <c r="AV62" s="442"/>
      <c r="AW62" s="442"/>
      <c r="AX62" s="442"/>
      <c r="AY62" s="442"/>
      <c r="AZ62" s="442"/>
      <c r="BA62" s="442"/>
      <c r="BB62" s="442"/>
      <c r="BC62" s="442"/>
      <c r="BD62" s="442"/>
      <c r="BE62" s="442"/>
      <c r="BF62" s="442"/>
      <c r="BG62" s="442"/>
    </row>
    <row r="63" spans="1:59" x14ac:dyDescent="0.25">
      <c r="A63" s="15"/>
      <c r="Y63" s="14"/>
      <c r="AA63" s="14"/>
      <c r="AB63" s="442"/>
      <c r="AC63" s="442"/>
      <c r="AD63" s="445"/>
      <c r="AE63" s="445"/>
      <c r="AF63" s="445"/>
      <c r="AG63" s="442"/>
      <c r="AH63" s="442"/>
      <c r="AI63" s="442"/>
      <c r="AJ63" s="451"/>
      <c r="AK63" s="451"/>
      <c r="AL63" s="451"/>
      <c r="AM63" s="442"/>
      <c r="AN63" s="442"/>
      <c r="AO63" s="442"/>
      <c r="AP63" s="442"/>
      <c r="AQ63" s="442"/>
      <c r="AR63" s="442"/>
      <c r="AS63" s="442"/>
      <c r="AT63" s="442"/>
      <c r="AU63" s="442"/>
      <c r="AV63" s="442"/>
      <c r="AW63" s="442"/>
      <c r="AX63" s="442"/>
      <c r="AY63" s="442"/>
      <c r="AZ63" s="442"/>
      <c r="BA63" s="442"/>
      <c r="BB63" s="442"/>
      <c r="BC63" s="442"/>
      <c r="BD63" s="442"/>
      <c r="BE63" s="442"/>
      <c r="BF63" s="442"/>
      <c r="BG63" s="442"/>
    </row>
    <row r="64" spans="1:59" ht="4.5" customHeight="1" x14ac:dyDescent="0.3">
      <c r="A64" s="15"/>
      <c r="F64" s="119"/>
      <c r="G64" s="120"/>
      <c r="H64" s="741"/>
      <c r="I64" s="741"/>
      <c r="J64" s="741"/>
      <c r="K64" s="741"/>
      <c r="L64" s="744"/>
      <c r="M64" s="744"/>
      <c r="N64" s="744"/>
      <c r="O64" s="744"/>
      <c r="P64" s="744"/>
      <c r="Q64" s="741"/>
      <c r="R64" s="741"/>
      <c r="S64" s="122"/>
      <c r="T64" s="123"/>
      <c r="U64" s="122"/>
      <c r="V64" s="741"/>
      <c r="W64" s="741"/>
      <c r="X64" s="124"/>
      <c r="Y64" s="742"/>
      <c r="Z64" s="742"/>
      <c r="AA64" s="126"/>
      <c r="AB64" s="442"/>
      <c r="AC64" s="442"/>
      <c r="AD64" s="442"/>
      <c r="AE64" s="442"/>
      <c r="AF64" s="442"/>
      <c r="AG64" s="442"/>
      <c r="AH64" s="442"/>
      <c r="AI64" s="442"/>
      <c r="AJ64" s="451"/>
      <c r="AK64" s="451"/>
      <c r="AL64" s="451"/>
      <c r="AM64" s="442"/>
      <c r="AN64" s="442"/>
      <c r="AO64" s="442"/>
      <c r="AP64" s="442"/>
      <c r="AQ64" s="442"/>
      <c r="AR64" s="442"/>
      <c r="AS64" s="442"/>
      <c r="AT64" s="442"/>
      <c r="AU64" s="442"/>
      <c r="AV64" s="442"/>
      <c r="AW64" s="442"/>
      <c r="AX64" s="442"/>
      <c r="AY64" s="442"/>
      <c r="AZ64" s="442"/>
      <c r="BA64" s="442"/>
      <c r="BB64" s="442"/>
      <c r="BC64" s="442"/>
      <c r="BD64" s="442"/>
      <c r="BE64" s="442"/>
      <c r="BF64" s="442"/>
      <c r="BG64" s="442"/>
    </row>
    <row r="65" spans="1:59" ht="17.5" customHeight="1" x14ac:dyDescent="0.3">
      <c r="A65" s="15"/>
      <c r="F65" s="119"/>
      <c r="G65" s="120"/>
      <c r="H65" s="120"/>
      <c r="I65" s="120"/>
      <c r="J65" s="120"/>
      <c r="K65" s="120"/>
      <c r="L65" s="121"/>
      <c r="M65" s="121"/>
      <c r="N65" s="121"/>
      <c r="O65" s="121"/>
      <c r="P65" s="121"/>
      <c r="Q65" s="120"/>
      <c r="R65" s="120"/>
      <c r="S65" s="122"/>
      <c r="T65" s="123"/>
      <c r="U65" s="122"/>
      <c r="V65" s="120"/>
      <c r="W65" s="120"/>
      <c r="X65" s="124"/>
      <c r="Y65" s="125"/>
      <c r="Z65" s="125"/>
      <c r="AA65" s="126"/>
      <c r="AB65" s="442"/>
      <c r="AC65" s="442"/>
      <c r="AD65" s="442"/>
      <c r="AE65" s="442"/>
      <c r="AF65" s="442"/>
      <c r="AG65" s="442"/>
      <c r="AH65" s="442"/>
      <c r="AI65" s="442"/>
      <c r="AJ65" s="451"/>
      <c r="AK65" s="451"/>
      <c r="AL65" s="451"/>
      <c r="AM65" s="442"/>
      <c r="AN65" s="442"/>
      <c r="AO65" s="442"/>
      <c r="AP65" s="442"/>
      <c r="AQ65" s="442"/>
      <c r="AR65" s="442"/>
      <c r="AS65" s="442"/>
      <c r="AT65" s="442"/>
      <c r="AU65" s="442"/>
      <c r="AV65" s="442"/>
      <c r="AW65" s="442"/>
      <c r="AX65" s="442"/>
      <c r="AY65" s="442"/>
      <c r="AZ65" s="613"/>
      <c r="BA65" s="442"/>
      <c r="BB65" s="442"/>
      <c r="BC65" s="442"/>
      <c r="BD65" s="442"/>
      <c r="BE65" s="442"/>
      <c r="BF65" s="442"/>
      <c r="BG65" s="442"/>
    </row>
    <row r="66" spans="1:59" x14ac:dyDescent="0.25">
      <c r="A66" s="15"/>
      <c r="E66" s="128" t="s">
        <v>128</v>
      </c>
      <c r="F66" s="129"/>
      <c r="G66" s="130"/>
      <c r="H66" s="131"/>
      <c r="I66" s="131"/>
      <c r="J66" s="131"/>
      <c r="K66" s="131"/>
      <c r="L66" s="131"/>
      <c r="M66" s="132"/>
      <c r="N66" s="132"/>
      <c r="O66" s="132"/>
      <c r="P66" s="132"/>
      <c r="Q66" s="132"/>
      <c r="R66" s="132"/>
      <c r="S66" s="132"/>
      <c r="T66" s="132"/>
      <c r="U66" s="132"/>
      <c r="V66" s="132"/>
      <c r="W66" s="132"/>
      <c r="X66" s="133"/>
      <c r="Y66" s="132"/>
      <c r="Z66" s="132"/>
      <c r="AB66" s="442"/>
      <c r="AC66" s="442"/>
      <c r="AD66" s="442"/>
      <c r="AE66" s="442"/>
      <c r="AF66" s="442"/>
      <c r="AG66" s="442"/>
      <c r="AH66" s="442"/>
      <c r="AI66" s="442"/>
      <c r="AJ66" s="451"/>
      <c r="AK66" s="451"/>
      <c r="AL66" s="451"/>
      <c r="AM66" s="442"/>
      <c r="AN66" s="442"/>
      <c r="AO66" s="442"/>
      <c r="AP66" s="442"/>
      <c r="AQ66" s="442"/>
      <c r="AR66" s="442"/>
      <c r="AS66" s="442"/>
      <c r="AT66" s="442"/>
      <c r="AU66" s="442"/>
      <c r="AV66" s="442"/>
      <c r="AW66" s="442"/>
      <c r="AX66" s="442"/>
      <c r="AY66" s="442"/>
      <c r="AZ66" s="442"/>
      <c r="BA66" s="442"/>
      <c r="BB66" s="442"/>
      <c r="BC66" s="442"/>
      <c r="BD66" s="442"/>
      <c r="BE66" s="442"/>
      <c r="BF66" s="442"/>
      <c r="BG66" s="442"/>
    </row>
    <row r="67" spans="1:59" x14ac:dyDescent="0.25">
      <c r="A67" s="15"/>
      <c r="H67" s="134"/>
      <c r="I67" s="134"/>
      <c r="J67" s="134"/>
      <c r="AB67" s="442"/>
      <c r="AC67" s="442"/>
      <c r="AD67" s="442"/>
      <c r="AE67" s="442"/>
      <c r="AF67" s="442"/>
      <c r="AG67" s="442"/>
      <c r="AH67" s="442"/>
      <c r="AI67" s="442"/>
      <c r="AJ67" s="451"/>
      <c r="AK67" s="451"/>
      <c r="AL67" s="451"/>
      <c r="AM67" s="442"/>
      <c r="AN67" s="442"/>
      <c r="AO67" s="442"/>
      <c r="AP67" s="442"/>
      <c r="AQ67" s="442"/>
      <c r="AR67" s="442"/>
      <c r="AS67" s="442"/>
      <c r="AT67" s="442"/>
      <c r="AU67" s="442"/>
      <c r="AV67" s="442"/>
      <c r="AW67" s="442"/>
      <c r="AX67" s="442"/>
      <c r="AY67" s="442"/>
      <c r="AZ67" s="442"/>
      <c r="BA67" s="442"/>
      <c r="BB67" s="442"/>
      <c r="BC67" s="442"/>
      <c r="BD67" s="442"/>
      <c r="BE67" s="442"/>
      <c r="BF67" s="442"/>
      <c r="BG67" s="442"/>
    </row>
    <row r="68" spans="1:59" ht="20.9" customHeight="1" x14ac:dyDescent="0.25">
      <c r="A68" s="15"/>
      <c r="AB68" s="447"/>
      <c r="AC68" s="447"/>
      <c r="AD68" s="444"/>
      <c r="AE68" s="444"/>
      <c r="AF68" s="442"/>
      <c r="AG68" s="442"/>
      <c r="AH68" s="442"/>
      <c r="AI68" s="442"/>
      <c r="AJ68" s="451"/>
      <c r="AK68" s="451"/>
      <c r="AL68" s="451"/>
      <c r="AM68" s="442"/>
      <c r="AN68" s="442"/>
      <c r="AO68" s="442"/>
      <c r="AP68" s="442"/>
      <c r="AQ68" s="442"/>
      <c r="AR68" s="442"/>
      <c r="AS68" s="442"/>
      <c r="AT68" s="442"/>
      <c r="AU68" s="442"/>
      <c r="AV68" s="442"/>
      <c r="AW68" s="442"/>
      <c r="AX68" s="442"/>
      <c r="AY68" s="442"/>
      <c r="AZ68" s="442"/>
      <c r="BA68" s="442"/>
      <c r="BB68" s="442"/>
      <c r="BC68" s="442"/>
      <c r="BD68" s="442"/>
      <c r="BE68" s="442"/>
      <c r="BF68" s="442"/>
      <c r="BG68" s="442"/>
    </row>
    <row r="69" spans="1:59" x14ac:dyDescent="0.25">
      <c r="A69" s="15"/>
      <c r="AB69" s="650"/>
      <c r="AC69" s="650"/>
      <c r="AD69" s="442"/>
      <c r="AE69" s="442"/>
      <c r="AF69" s="442"/>
      <c r="AG69" s="442"/>
      <c r="AH69" s="442"/>
      <c r="AI69" s="442"/>
      <c r="AJ69" s="451"/>
      <c r="AK69" s="451"/>
      <c r="AL69" s="451"/>
      <c r="AM69" s="442"/>
      <c r="AN69" s="442"/>
      <c r="AO69" s="442"/>
      <c r="AP69" s="442"/>
      <c r="AQ69" s="442"/>
      <c r="AR69" s="442"/>
      <c r="AS69" s="442"/>
      <c r="AT69" s="442"/>
      <c r="AU69" s="442"/>
      <c r="AV69" s="442"/>
      <c r="AW69" s="442"/>
      <c r="AX69" s="442"/>
      <c r="AY69" s="442"/>
      <c r="AZ69" s="442"/>
      <c r="BA69" s="442"/>
      <c r="BB69" s="442"/>
      <c r="BC69" s="442"/>
      <c r="BD69" s="442"/>
      <c r="BE69" s="442"/>
      <c r="BF69" s="442"/>
      <c r="BG69" s="442"/>
    </row>
    <row r="70" spans="1:59" x14ac:dyDescent="0.25">
      <c r="A70" s="15"/>
      <c r="AB70" s="442"/>
      <c r="AC70" s="442"/>
      <c r="AD70" s="442"/>
      <c r="AE70" s="442"/>
      <c r="AF70" s="442"/>
      <c r="AG70" s="442"/>
      <c r="AH70" s="442"/>
      <c r="AI70" s="442"/>
      <c r="AJ70" s="451"/>
      <c r="AK70" s="451"/>
      <c r="AL70" s="451"/>
      <c r="AM70" s="442"/>
      <c r="AN70" s="442"/>
      <c r="AO70" s="442"/>
      <c r="AP70" s="442"/>
      <c r="AQ70" s="442"/>
      <c r="AR70" s="442"/>
      <c r="AS70" s="442"/>
      <c r="AT70" s="442"/>
      <c r="AU70" s="442"/>
      <c r="AV70" s="442"/>
      <c r="AW70" s="442"/>
      <c r="AX70" s="442"/>
      <c r="AY70" s="442"/>
      <c r="AZ70" s="442"/>
      <c r="BA70" s="442"/>
      <c r="BB70" s="442"/>
      <c r="BC70" s="442"/>
      <c r="BD70" s="442"/>
      <c r="BE70" s="442"/>
      <c r="BF70" s="442"/>
      <c r="BG70" s="442"/>
    </row>
    <row r="71" spans="1:59" x14ac:dyDescent="0.25">
      <c r="A71" s="15"/>
      <c r="AB71" s="442"/>
      <c r="AC71" s="442"/>
      <c r="AD71" s="442"/>
      <c r="AE71" s="442"/>
      <c r="AF71" s="442"/>
      <c r="AG71" s="442"/>
      <c r="AH71" s="442"/>
      <c r="AI71" s="442"/>
      <c r="AJ71" s="451"/>
      <c r="AK71" s="451"/>
      <c r="AL71" s="451"/>
      <c r="AM71" s="442"/>
      <c r="AN71" s="442"/>
      <c r="AO71" s="442"/>
      <c r="AP71" s="442"/>
      <c r="AQ71" s="442"/>
      <c r="AR71" s="442"/>
      <c r="AS71" s="442"/>
      <c r="AT71" s="442"/>
      <c r="AU71" s="442"/>
      <c r="AV71" s="442"/>
      <c r="AW71" s="442"/>
      <c r="AX71" s="442"/>
      <c r="AY71" s="442"/>
      <c r="AZ71" s="442"/>
      <c r="BA71" s="442"/>
      <c r="BB71" s="442"/>
      <c r="BC71" s="442"/>
      <c r="BD71" s="442"/>
      <c r="BE71" s="442"/>
      <c r="BF71" s="442"/>
      <c r="BG71" s="442"/>
    </row>
    <row r="72" spans="1:59" ht="20.9" customHeight="1" x14ac:dyDescent="0.25">
      <c r="A72" s="15"/>
      <c r="F72" s="135"/>
      <c r="G72" s="136"/>
      <c r="H72" s="136"/>
      <c r="I72" s="137"/>
      <c r="J72" s="136"/>
      <c r="K72" s="136"/>
      <c r="L72" s="136"/>
      <c r="M72" s="136"/>
      <c r="N72" s="136"/>
      <c r="O72" s="136"/>
      <c r="P72" s="136"/>
      <c r="Q72" s="136"/>
      <c r="R72" s="136"/>
      <c r="S72" s="136"/>
      <c r="T72" s="136"/>
      <c r="U72" s="136"/>
      <c r="V72" s="136"/>
      <c r="W72" s="136"/>
      <c r="X72" s="136"/>
      <c r="Y72" s="136"/>
      <c r="Z72" s="136"/>
      <c r="AA72" s="136"/>
      <c r="AB72" s="442"/>
      <c r="AC72" s="442"/>
      <c r="AD72" s="442"/>
      <c r="AE72" s="442"/>
      <c r="AF72" s="442"/>
      <c r="AG72" s="442"/>
      <c r="AH72" s="442"/>
      <c r="AI72" s="442"/>
      <c r="AJ72" s="451"/>
      <c r="AK72" s="451"/>
      <c r="AL72" s="451"/>
      <c r="AM72" s="442"/>
      <c r="AN72" s="442"/>
      <c r="AO72" s="442"/>
      <c r="AP72" s="442"/>
      <c r="AQ72" s="442"/>
      <c r="AR72" s="442"/>
      <c r="AS72" s="442"/>
      <c r="AT72" s="442"/>
      <c r="AU72" s="442"/>
      <c r="AV72" s="442"/>
      <c r="AW72" s="442"/>
      <c r="AX72" s="442"/>
      <c r="AY72" s="442"/>
      <c r="AZ72" s="442"/>
      <c r="BA72" s="442"/>
      <c r="BB72" s="442"/>
      <c r="BC72" s="442"/>
      <c r="BD72" s="442"/>
      <c r="BE72" s="442"/>
      <c r="BF72" s="442"/>
      <c r="BG72" s="442"/>
    </row>
    <row r="73" spans="1:59" x14ac:dyDescent="0.25">
      <c r="A73" s="15"/>
      <c r="F73" s="135"/>
      <c r="G73" s="138"/>
      <c r="H73" s="138"/>
      <c r="I73" s="138"/>
      <c r="J73" s="138"/>
      <c r="K73" s="138"/>
      <c r="L73" s="138"/>
      <c r="M73" s="138"/>
      <c r="N73" s="138"/>
      <c r="O73" s="138"/>
      <c r="P73" s="138"/>
      <c r="Q73" s="138"/>
      <c r="R73" s="138"/>
      <c r="S73" s="138"/>
      <c r="T73" s="138"/>
      <c r="U73" s="138"/>
      <c r="V73" s="138"/>
      <c r="W73" s="138"/>
      <c r="X73" s="138"/>
      <c r="Y73" s="138"/>
      <c r="AB73" s="442"/>
      <c r="AC73" s="442"/>
      <c r="AD73" s="442"/>
      <c r="AE73" s="442"/>
      <c r="AF73" s="442"/>
      <c r="AG73" s="442"/>
      <c r="AH73" s="442"/>
      <c r="AI73" s="442"/>
      <c r="AJ73" s="451"/>
      <c r="AK73" s="451"/>
      <c r="AL73" s="451"/>
      <c r="AM73" s="442"/>
      <c r="AN73" s="442"/>
      <c r="AO73" s="442"/>
      <c r="AP73" s="442"/>
      <c r="AQ73" s="442"/>
      <c r="AR73" s="442"/>
      <c r="AS73" s="442"/>
      <c r="AT73" s="442"/>
      <c r="AU73" s="442"/>
      <c r="AV73" s="442"/>
      <c r="AW73" s="442"/>
      <c r="AX73" s="442"/>
      <c r="AY73" s="442"/>
      <c r="AZ73" s="442"/>
      <c r="BA73" s="442"/>
      <c r="BB73" s="442"/>
      <c r="BC73" s="442"/>
      <c r="BD73" s="442"/>
      <c r="BE73" s="442"/>
      <c r="BF73" s="442"/>
      <c r="BG73" s="442"/>
    </row>
    <row r="74" spans="1:59" ht="20.9" customHeight="1" x14ac:dyDescent="0.25">
      <c r="A74" s="15"/>
      <c r="AB74" s="442"/>
      <c r="AC74" s="442"/>
      <c r="AD74" s="442"/>
      <c r="AE74" s="442"/>
      <c r="AF74" s="442"/>
      <c r="AG74" s="442"/>
      <c r="AH74" s="442"/>
      <c r="AI74" s="442"/>
      <c r="AJ74" s="451"/>
      <c r="AK74" s="451"/>
      <c r="AL74" s="451"/>
      <c r="AM74" s="442"/>
      <c r="AN74" s="442"/>
      <c r="AO74" s="442"/>
      <c r="AP74" s="442"/>
      <c r="AQ74" s="442"/>
      <c r="AR74" s="442"/>
      <c r="AS74" s="442"/>
      <c r="AT74" s="442"/>
      <c r="AU74" s="442"/>
      <c r="AV74" s="442"/>
      <c r="AW74" s="442"/>
      <c r="AX74" s="442"/>
      <c r="AY74" s="442"/>
      <c r="AZ74" s="442"/>
      <c r="BA74" s="442"/>
      <c r="BB74" s="442"/>
      <c r="BC74" s="442"/>
      <c r="BD74" s="442"/>
      <c r="BE74" s="442"/>
      <c r="BF74" s="442"/>
      <c r="BG74" s="442"/>
    </row>
    <row r="75" spans="1:59" x14ac:dyDescent="0.25">
      <c r="AB75" s="442"/>
      <c r="AC75" s="442"/>
      <c r="AD75" s="442"/>
      <c r="AE75" s="442"/>
      <c r="AF75" s="442"/>
      <c r="AG75" s="442"/>
      <c r="AH75" s="442"/>
      <c r="AI75" s="442"/>
      <c r="AJ75" s="451"/>
      <c r="AK75" s="451"/>
      <c r="AL75" s="451"/>
      <c r="AM75" s="442"/>
      <c r="AN75" s="442"/>
      <c r="AO75" s="442"/>
      <c r="AP75" s="442"/>
      <c r="AQ75" s="442"/>
      <c r="AR75" s="442"/>
      <c r="AS75" s="442"/>
      <c r="AT75" s="442"/>
      <c r="AU75" s="442"/>
      <c r="AV75" s="442"/>
      <c r="AW75" s="442"/>
      <c r="AX75" s="442"/>
      <c r="AY75" s="442"/>
      <c r="AZ75" s="442"/>
      <c r="BA75" s="442"/>
      <c r="BB75" s="442"/>
      <c r="BC75" s="442"/>
      <c r="BD75" s="442"/>
      <c r="BE75" s="442"/>
      <c r="BF75" s="442"/>
      <c r="BG75" s="442"/>
    </row>
    <row r="76" spans="1:59" x14ac:dyDescent="0.25">
      <c r="AB76" s="442"/>
      <c r="AC76" s="442"/>
      <c r="AD76" s="442"/>
      <c r="AE76" s="442"/>
      <c r="AF76" s="442"/>
      <c r="AG76" s="442"/>
      <c r="AH76" s="442"/>
      <c r="AI76" s="442"/>
      <c r="AJ76" s="451"/>
      <c r="AK76" s="451"/>
      <c r="AL76" s="451"/>
      <c r="AM76" s="442"/>
      <c r="AN76" s="442"/>
      <c r="AO76" s="442"/>
      <c r="AP76" s="442"/>
      <c r="AQ76" s="442"/>
      <c r="AR76" s="442"/>
      <c r="AS76" s="442"/>
      <c r="AT76" s="442"/>
      <c r="AU76" s="442"/>
      <c r="AV76" s="442"/>
      <c r="AW76" s="442"/>
      <c r="AX76" s="442"/>
      <c r="AY76" s="442"/>
      <c r="AZ76" s="442"/>
      <c r="BA76" s="442"/>
      <c r="BB76" s="442"/>
      <c r="BC76" s="442"/>
      <c r="BD76" s="442"/>
      <c r="BE76" s="442"/>
      <c r="BF76" s="442"/>
      <c r="BG76" s="442"/>
    </row>
    <row r="77" spans="1:59" ht="20.9" customHeight="1" x14ac:dyDescent="0.25">
      <c r="AB77" s="442"/>
      <c r="AC77" s="442"/>
      <c r="AD77" s="442"/>
      <c r="AE77" s="442"/>
      <c r="AF77" s="442"/>
      <c r="AG77" s="442"/>
      <c r="AH77" s="442"/>
      <c r="AI77" s="442"/>
      <c r="AJ77" s="451"/>
      <c r="AK77" s="451"/>
      <c r="AL77" s="451"/>
      <c r="AM77" s="442"/>
      <c r="AN77" s="442"/>
      <c r="AO77" s="442"/>
      <c r="AP77" s="442"/>
      <c r="AQ77" s="442"/>
      <c r="AR77" s="442"/>
      <c r="AS77" s="442"/>
      <c r="AT77" s="442"/>
      <c r="AU77" s="442"/>
      <c r="AV77" s="442"/>
      <c r="AW77" s="442"/>
      <c r="AX77" s="442"/>
      <c r="AY77" s="442"/>
      <c r="AZ77" s="442"/>
      <c r="BA77" s="442"/>
      <c r="BB77" s="442"/>
      <c r="BC77" s="442"/>
      <c r="BD77" s="442"/>
      <c r="BE77" s="442"/>
      <c r="BF77" s="442"/>
      <c r="BG77" s="442"/>
    </row>
    <row r="78" spans="1:59" x14ac:dyDescent="0.25">
      <c r="AB78" s="442"/>
      <c r="AC78" s="442"/>
      <c r="AD78" s="442"/>
      <c r="AE78" s="442"/>
      <c r="AF78" s="442"/>
      <c r="AG78" s="442"/>
      <c r="AH78" s="442"/>
      <c r="AI78" s="442"/>
      <c r="AJ78" s="451"/>
      <c r="AK78" s="451"/>
      <c r="AL78" s="451"/>
      <c r="AM78" s="442"/>
      <c r="AN78" s="442"/>
      <c r="AO78" s="442"/>
      <c r="AP78" s="442"/>
      <c r="AQ78" s="442"/>
      <c r="AR78" s="442"/>
      <c r="AS78" s="442"/>
      <c r="AT78" s="442"/>
      <c r="AU78" s="442"/>
      <c r="AV78" s="442"/>
      <c r="AW78" s="442"/>
      <c r="AX78" s="442"/>
      <c r="AY78" s="442"/>
      <c r="AZ78" s="442"/>
      <c r="BA78" s="442"/>
      <c r="BB78" s="442"/>
      <c r="BC78" s="442"/>
      <c r="BD78" s="442"/>
      <c r="BE78" s="442"/>
      <c r="BF78" s="442"/>
      <c r="BG78" s="442"/>
    </row>
    <row r="79" spans="1:59" ht="20.9" customHeight="1" x14ac:dyDescent="0.25">
      <c r="AB79" s="442"/>
      <c r="AC79" s="442"/>
      <c r="AD79" s="442"/>
      <c r="AE79" s="442"/>
      <c r="AF79" s="442"/>
      <c r="AG79" s="442"/>
      <c r="AH79" s="442"/>
      <c r="AI79" s="442"/>
      <c r="AJ79" s="451"/>
      <c r="AK79" s="451"/>
      <c r="AL79" s="451"/>
      <c r="AM79" s="442"/>
      <c r="AN79" s="442"/>
      <c r="AO79" s="442"/>
      <c r="AP79" s="442"/>
      <c r="AQ79" s="442"/>
      <c r="AR79" s="442"/>
      <c r="AS79" s="442"/>
      <c r="AT79" s="442"/>
      <c r="AU79" s="442"/>
      <c r="AV79" s="442"/>
      <c r="AW79" s="442"/>
      <c r="AX79" s="442"/>
      <c r="AY79" s="442"/>
      <c r="AZ79" s="442"/>
      <c r="BA79" s="442"/>
      <c r="BB79" s="442"/>
      <c r="BC79" s="442"/>
      <c r="BD79" s="442"/>
      <c r="BE79" s="442"/>
      <c r="BF79" s="442"/>
      <c r="BG79" s="442"/>
    </row>
    <row r="80" spans="1:59" x14ac:dyDescent="0.25">
      <c r="AB80" s="442"/>
      <c r="AC80" s="442"/>
      <c r="AD80" s="442"/>
      <c r="AE80" s="442"/>
      <c r="AF80" s="442"/>
      <c r="AG80" s="442"/>
      <c r="AH80" s="442"/>
      <c r="AI80" s="442"/>
      <c r="AJ80" s="451"/>
      <c r="AK80" s="451"/>
      <c r="AL80" s="451"/>
      <c r="AM80" s="442"/>
      <c r="AN80" s="442"/>
      <c r="AO80" s="442"/>
      <c r="AP80" s="442"/>
      <c r="AQ80" s="442"/>
      <c r="AR80" s="442"/>
      <c r="AS80" s="442"/>
      <c r="AT80" s="442"/>
      <c r="AU80" s="442"/>
      <c r="AV80" s="442"/>
      <c r="AW80" s="442"/>
      <c r="AX80" s="442"/>
      <c r="AY80" s="442"/>
      <c r="AZ80" s="442"/>
      <c r="BA80" s="442"/>
      <c r="BB80" s="442"/>
      <c r="BC80" s="442"/>
      <c r="BD80" s="442"/>
      <c r="BE80" s="442"/>
      <c r="BF80" s="442"/>
      <c r="BG80" s="442"/>
    </row>
    <row r="81" spans="6:59" ht="20.9" customHeight="1" x14ac:dyDescent="0.25">
      <c r="AB81" s="442"/>
      <c r="AC81" s="442"/>
      <c r="AD81" s="442"/>
      <c r="AE81" s="442"/>
      <c r="AF81" s="442"/>
      <c r="AG81" s="442"/>
      <c r="AH81" s="442"/>
      <c r="AI81" s="442"/>
      <c r="AJ81" s="451"/>
      <c r="AK81" s="451"/>
      <c r="AL81" s="451"/>
      <c r="AM81" s="442"/>
      <c r="AN81" s="442"/>
      <c r="AO81" s="442"/>
      <c r="AP81" s="442"/>
      <c r="AQ81" s="442"/>
      <c r="AR81" s="442"/>
      <c r="AS81" s="442"/>
      <c r="AT81" s="442"/>
      <c r="AU81" s="442"/>
      <c r="AV81" s="442"/>
      <c r="AW81" s="442"/>
      <c r="AX81" s="442"/>
      <c r="AY81" s="442"/>
      <c r="AZ81" s="442"/>
      <c r="BA81" s="442"/>
      <c r="BB81" s="442"/>
      <c r="BC81" s="442"/>
      <c r="BD81" s="442"/>
      <c r="BE81" s="442"/>
      <c r="BF81" s="442"/>
      <c r="BG81" s="442"/>
    </row>
    <row r="82" spans="6:59" ht="15" customHeight="1" x14ac:dyDescent="0.25">
      <c r="AB82" s="442"/>
      <c r="AC82" s="442"/>
      <c r="AD82" s="442"/>
      <c r="AE82" s="442"/>
      <c r="AF82" s="442"/>
      <c r="AG82" s="442"/>
      <c r="AH82" s="442"/>
      <c r="AI82" s="442"/>
      <c r="AJ82" s="451"/>
      <c r="AK82" s="451"/>
      <c r="AL82" s="451"/>
      <c r="AM82" s="442"/>
      <c r="AN82" s="442"/>
      <c r="AO82" s="442"/>
      <c r="AP82" s="442"/>
      <c r="AQ82" s="442"/>
      <c r="AR82" s="442"/>
      <c r="AS82" s="442"/>
      <c r="AT82" s="442"/>
      <c r="AU82" s="442"/>
      <c r="AV82" s="442"/>
      <c r="AW82" s="442"/>
      <c r="AX82" s="442"/>
      <c r="AY82" s="442"/>
      <c r="AZ82" s="442"/>
      <c r="BA82" s="442"/>
      <c r="BB82" s="442"/>
      <c r="BC82" s="442"/>
      <c r="BD82" s="442"/>
      <c r="BE82" s="442"/>
      <c r="BF82" s="442"/>
      <c r="BG82" s="442"/>
    </row>
    <row r="83" spans="6:59" ht="21" customHeight="1" x14ac:dyDescent="0.25">
      <c r="AB83" s="442"/>
      <c r="AC83" s="442"/>
      <c r="AD83" s="442"/>
      <c r="AE83" s="442"/>
      <c r="AF83" s="442"/>
      <c r="AG83" s="442"/>
      <c r="AH83" s="442"/>
      <c r="AI83" s="442"/>
      <c r="AJ83" s="451"/>
      <c r="AK83" s="451"/>
      <c r="AL83" s="451"/>
      <c r="AM83" s="442"/>
      <c r="AN83" s="442"/>
      <c r="AO83" s="442"/>
      <c r="AP83" s="442"/>
      <c r="AQ83" s="442"/>
      <c r="AR83" s="442"/>
      <c r="AS83" s="442"/>
      <c r="AT83" s="442"/>
      <c r="AU83" s="442"/>
      <c r="AV83" s="442"/>
      <c r="AW83" s="442"/>
      <c r="AX83" s="442"/>
      <c r="AY83" s="442"/>
      <c r="AZ83" s="442"/>
      <c r="BA83" s="442"/>
      <c r="BB83" s="442"/>
      <c r="BC83" s="442"/>
      <c r="BD83" s="442"/>
      <c r="BE83" s="442"/>
      <c r="BF83" s="442"/>
      <c r="BG83" s="442"/>
    </row>
    <row r="84" spans="6:59" ht="21" customHeight="1" x14ac:dyDescent="0.25">
      <c r="AB84" s="442"/>
      <c r="AC84" s="442"/>
      <c r="AD84" s="442"/>
      <c r="AE84" s="442"/>
      <c r="AF84" s="442"/>
      <c r="AG84" s="442"/>
      <c r="AH84" s="442"/>
      <c r="AI84" s="442"/>
      <c r="AJ84" s="451"/>
      <c r="AK84" s="451"/>
      <c r="AL84" s="451"/>
      <c r="AM84" s="442"/>
      <c r="AN84" s="442"/>
      <c r="AO84" s="442"/>
      <c r="AP84" s="442"/>
      <c r="AQ84" s="442"/>
      <c r="AR84" s="442"/>
      <c r="AS84" s="442"/>
      <c r="AT84" s="442"/>
      <c r="AU84" s="442"/>
      <c r="AV84" s="442"/>
      <c r="AW84" s="442"/>
      <c r="AX84" s="442"/>
      <c r="AY84" s="442"/>
      <c r="AZ84" s="442"/>
      <c r="BA84" s="442"/>
      <c r="BB84" s="442"/>
      <c r="BC84" s="442"/>
      <c r="BD84" s="442"/>
      <c r="BE84" s="442"/>
      <c r="BF84" s="442"/>
      <c r="BG84" s="442"/>
    </row>
    <row r="85" spans="6:59" x14ac:dyDescent="0.25">
      <c r="AB85" s="442"/>
      <c r="AC85" s="442"/>
      <c r="AD85" s="442"/>
      <c r="AE85" s="442"/>
      <c r="AF85" s="442"/>
      <c r="AG85" s="442"/>
      <c r="AH85" s="442"/>
      <c r="AI85" s="442"/>
      <c r="AJ85" s="451"/>
      <c r="AK85" s="451"/>
      <c r="AL85" s="451"/>
      <c r="AM85" s="442"/>
      <c r="AN85" s="442"/>
      <c r="AO85" s="442"/>
      <c r="AP85" s="442"/>
      <c r="AQ85" s="442"/>
      <c r="AR85" s="442"/>
      <c r="AS85" s="442"/>
      <c r="AT85" s="442"/>
      <c r="AU85" s="442"/>
      <c r="AV85" s="442"/>
      <c r="AW85" s="442"/>
      <c r="AX85" s="442"/>
      <c r="AY85" s="442"/>
      <c r="AZ85" s="442"/>
      <c r="BA85" s="442"/>
      <c r="BB85" s="442"/>
      <c r="BC85" s="442"/>
      <c r="BD85" s="442"/>
      <c r="BE85" s="442"/>
      <c r="BF85" s="442"/>
      <c r="BG85" s="442"/>
    </row>
    <row r="86" spans="6:59" x14ac:dyDescent="0.25">
      <c r="AB86" s="442"/>
      <c r="AC86" s="442"/>
      <c r="AD86" s="442" t="s">
        <v>129</v>
      </c>
      <c r="AE86" s="442"/>
      <c r="AF86" s="442" t="s">
        <v>38</v>
      </c>
      <c r="AG86" s="442"/>
      <c r="AH86" s="442"/>
      <c r="AI86" s="442"/>
      <c r="AJ86" s="451"/>
      <c r="AK86" s="451"/>
      <c r="AL86" s="451"/>
      <c r="AM86" s="442"/>
      <c r="AN86" s="442"/>
      <c r="AO86" s="442"/>
      <c r="AP86" s="442"/>
      <c r="AQ86" s="442"/>
      <c r="AR86" s="442"/>
      <c r="AS86" s="442"/>
      <c r="AT86" s="442"/>
      <c r="AU86" s="442"/>
      <c r="AV86" s="442"/>
      <c r="AW86" s="442"/>
      <c r="AX86" s="442"/>
      <c r="AY86" s="442"/>
      <c r="AZ86" s="442"/>
      <c r="BA86" s="442"/>
      <c r="BB86" s="442"/>
      <c r="BC86" s="442"/>
      <c r="BD86" s="442"/>
      <c r="BE86" s="442"/>
      <c r="BF86" s="442"/>
      <c r="BG86" s="442"/>
    </row>
    <row r="87" spans="6:59" x14ac:dyDescent="0.25">
      <c r="F87" s="4"/>
      <c r="H87" s="4"/>
      <c r="I87" s="4"/>
      <c r="AB87" s="442"/>
      <c r="AC87" s="442"/>
      <c r="AD87" s="442"/>
      <c r="AE87" s="442"/>
      <c r="AF87" s="442" t="s">
        <v>130</v>
      </c>
      <c r="AG87" s="442"/>
      <c r="AH87" s="442"/>
      <c r="AI87" s="442"/>
      <c r="AJ87" s="451"/>
      <c r="AK87" s="451"/>
      <c r="AL87" s="451"/>
      <c r="AM87" s="442"/>
      <c r="AN87" s="442"/>
      <c r="AO87" s="442"/>
      <c r="AP87" s="442"/>
      <c r="AQ87" s="442"/>
      <c r="AR87" s="442"/>
      <c r="AS87" s="442"/>
      <c r="AT87" s="442"/>
      <c r="AU87" s="442"/>
      <c r="AV87" s="442"/>
      <c r="AW87" s="442"/>
      <c r="AX87" s="442"/>
      <c r="AY87" s="442"/>
      <c r="AZ87" s="442"/>
      <c r="BA87" s="442"/>
      <c r="BB87" s="442"/>
      <c r="BC87" s="442"/>
      <c r="BD87" s="442"/>
      <c r="BE87" s="442"/>
      <c r="BF87" s="442"/>
      <c r="BG87" s="442"/>
    </row>
    <row r="88" spans="6:59" x14ac:dyDescent="0.25">
      <c r="G88"/>
      <c r="AB88" s="442"/>
      <c r="AC88" s="442"/>
      <c r="AD88" s="442"/>
      <c r="AE88" s="442"/>
      <c r="AF88" s="442" t="s">
        <v>9</v>
      </c>
      <c r="AG88" s="442"/>
      <c r="AH88" s="442"/>
      <c r="AI88" s="442"/>
      <c r="AJ88" s="451"/>
      <c r="AK88" s="451"/>
      <c r="AL88" s="451"/>
      <c r="AM88" s="442"/>
      <c r="AN88" s="442"/>
      <c r="AO88" s="442"/>
      <c r="AP88" s="442"/>
      <c r="AQ88" s="442"/>
      <c r="AR88" s="442"/>
      <c r="AS88" s="442"/>
      <c r="AT88" s="442"/>
      <c r="AU88" s="442"/>
      <c r="AV88" s="442"/>
      <c r="AW88" s="442"/>
      <c r="AX88" s="442"/>
      <c r="AY88" s="442"/>
      <c r="AZ88" s="442"/>
      <c r="BA88" s="442"/>
      <c r="BB88" s="442"/>
      <c r="BC88" s="442"/>
      <c r="BD88" s="442"/>
      <c r="BE88" s="442"/>
      <c r="BF88" s="442"/>
      <c r="BG88" s="442"/>
    </row>
    <row r="89" spans="6:59" x14ac:dyDescent="0.25">
      <c r="G89"/>
      <c r="AB89" s="442"/>
      <c r="AC89" s="442"/>
      <c r="AD89" s="442"/>
      <c r="AE89" s="442"/>
      <c r="AF89" s="442"/>
      <c r="AG89" s="442"/>
      <c r="AH89" s="442"/>
      <c r="AI89" s="442"/>
      <c r="AJ89" s="451"/>
      <c r="AK89" s="442"/>
      <c r="AL89" s="451"/>
      <c r="AM89" s="451"/>
      <c r="AN89" s="442"/>
      <c r="AO89" s="442"/>
      <c r="AP89" s="442"/>
      <c r="AQ89" s="442"/>
      <c r="AR89" s="442"/>
      <c r="AS89" s="442"/>
      <c r="AT89" s="442"/>
      <c r="AU89" s="442"/>
      <c r="AV89" s="442"/>
      <c r="AW89" s="442"/>
      <c r="AX89" s="442"/>
      <c r="AY89" s="442"/>
      <c r="AZ89" s="442"/>
      <c r="BA89" s="442"/>
      <c r="BB89" s="442"/>
      <c r="BC89" s="442"/>
      <c r="BD89" s="442"/>
      <c r="BE89" s="442"/>
      <c r="BF89" s="442"/>
      <c r="BG89" s="442"/>
    </row>
    <row r="90" spans="6:59" x14ac:dyDescent="0.25">
      <c r="G90"/>
      <c r="AB90" s="442"/>
      <c r="AC90" s="442"/>
      <c r="AD90" s="442"/>
      <c r="AE90" s="442"/>
      <c r="AF90" s="442"/>
      <c r="AG90" s="442"/>
      <c r="AH90" s="442"/>
      <c r="AI90" s="442"/>
      <c r="AJ90" s="451"/>
      <c r="AK90" s="451"/>
      <c r="AL90" s="451"/>
      <c r="AM90" s="442"/>
      <c r="AN90" s="442"/>
      <c r="AO90" s="442"/>
      <c r="AP90" s="442"/>
      <c r="AQ90" s="442"/>
      <c r="AR90" s="442"/>
      <c r="AS90" s="442"/>
      <c r="AT90" s="442"/>
      <c r="AU90" s="442"/>
      <c r="AV90" s="442"/>
      <c r="AW90" s="442"/>
      <c r="AX90" s="442"/>
      <c r="AY90" s="442"/>
      <c r="AZ90" s="442"/>
      <c r="BA90" s="442"/>
      <c r="BB90" s="442"/>
      <c r="BC90" s="442"/>
      <c r="BD90" s="442"/>
      <c r="BE90" s="442"/>
      <c r="BF90" s="442"/>
      <c r="BG90" s="442"/>
    </row>
    <row r="91" spans="6:59" x14ac:dyDescent="0.25">
      <c r="G91"/>
      <c r="AB91" s="442"/>
      <c r="AC91" s="442"/>
      <c r="AD91" s="442"/>
      <c r="AE91" s="442"/>
      <c r="AF91" s="442"/>
      <c r="AG91" s="442"/>
      <c r="AH91" s="442"/>
      <c r="AI91" s="442"/>
      <c r="AJ91" s="451"/>
      <c r="AK91" s="451"/>
      <c r="AL91" s="451"/>
      <c r="AM91" s="442"/>
      <c r="AN91" s="442"/>
      <c r="AO91" s="442"/>
      <c r="AP91" s="442"/>
      <c r="AQ91" s="442"/>
      <c r="AR91" s="442"/>
      <c r="AS91" s="442"/>
      <c r="AT91" s="442"/>
      <c r="AU91" s="442"/>
      <c r="AV91" s="442"/>
      <c r="AW91" s="442"/>
      <c r="AX91" s="442"/>
      <c r="AY91" s="442"/>
      <c r="AZ91" s="442"/>
      <c r="BA91" s="442"/>
      <c r="BB91" s="442"/>
      <c r="BC91" s="442"/>
      <c r="BD91" s="442"/>
      <c r="BE91" s="442"/>
      <c r="BF91" s="442"/>
      <c r="BG91" s="442"/>
    </row>
    <row r="92" spans="6:59" x14ac:dyDescent="0.25">
      <c r="G92"/>
      <c r="AB92" s="442"/>
      <c r="AC92" s="442"/>
      <c r="AD92" s="442"/>
      <c r="AE92" s="442"/>
      <c r="AF92" s="442"/>
      <c r="AG92" s="442"/>
      <c r="AH92" s="442"/>
      <c r="AI92" s="442"/>
      <c r="AJ92" s="451"/>
      <c r="AK92" s="451"/>
      <c r="AL92" s="451"/>
      <c r="AM92" s="442"/>
      <c r="AN92" s="442"/>
      <c r="AO92" s="442"/>
      <c r="AP92" s="442"/>
      <c r="AQ92" s="442"/>
      <c r="AR92" s="442"/>
      <c r="AS92" s="442"/>
      <c r="AT92" s="442"/>
      <c r="AU92" s="442"/>
      <c r="AV92" s="442"/>
      <c r="AW92" s="442"/>
      <c r="AX92" s="442"/>
      <c r="AY92" s="442"/>
      <c r="AZ92" s="442"/>
      <c r="BA92" s="442"/>
      <c r="BB92" s="442"/>
      <c r="BC92" s="442"/>
      <c r="BD92" s="442"/>
      <c r="BE92" s="442"/>
      <c r="BF92" s="442"/>
      <c r="BG92" s="442"/>
    </row>
    <row r="93" spans="6:59" x14ac:dyDescent="0.25">
      <c r="G93"/>
      <c r="AB93" s="442"/>
      <c r="AC93" s="442"/>
      <c r="AD93" s="442"/>
      <c r="AE93" s="442"/>
      <c r="AF93" s="442"/>
      <c r="AG93" s="442"/>
      <c r="AH93" s="442"/>
      <c r="AI93" s="442"/>
      <c r="AJ93" s="451"/>
      <c r="AK93" s="451"/>
      <c r="AL93" s="451"/>
      <c r="AM93" s="442"/>
      <c r="AN93" s="442"/>
      <c r="AO93" s="442"/>
      <c r="AP93" s="442"/>
      <c r="AQ93" s="442"/>
      <c r="AR93" s="442"/>
      <c r="AS93" s="442"/>
      <c r="AT93" s="442"/>
      <c r="AU93" s="442"/>
      <c r="AV93" s="442"/>
      <c r="AW93" s="442"/>
      <c r="AX93" s="442"/>
      <c r="AY93" s="442"/>
      <c r="AZ93" s="442"/>
      <c r="BA93" s="442"/>
      <c r="BB93" s="442"/>
      <c r="BC93" s="442"/>
      <c r="BD93" s="442"/>
      <c r="BE93" s="442"/>
      <c r="BF93" s="442"/>
      <c r="BG93" s="442"/>
    </row>
    <row r="94" spans="6:59" ht="21" customHeight="1" x14ac:dyDescent="0.25">
      <c r="G94"/>
    </row>
    <row r="95" spans="6:59" x14ac:dyDescent="0.25">
      <c r="G95"/>
    </row>
    <row r="96" spans="6:59" x14ac:dyDescent="0.25">
      <c r="G96"/>
    </row>
    <row r="97" spans="7:32" x14ac:dyDescent="0.25">
      <c r="G97"/>
    </row>
    <row r="98" spans="7:32" ht="20.9" customHeight="1" x14ac:dyDescent="0.25">
      <c r="G98"/>
    </row>
    <row r="99" spans="7:32" x14ac:dyDescent="0.25">
      <c r="G99"/>
    </row>
    <row r="100" spans="7:32" ht="21" customHeight="1" x14ac:dyDescent="0.25">
      <c r="G100"/>
    </row>
    <row r="101" spans="7:32" x14ac:dyDescent="0.25">
      <c r="G101"/>
    </row>
    <row r="102" spans="7:32" x14ac:dyDescent="0.25">
      <c r="G102"/>
    </row>
    <row r="103" spans="7:32" ht="21" customHeight="1" x14ac:dyDescent="0.25">
      <c r="G103"/>
    </row>
    <row r="105" spans="7:32" ht="21" customHeight="1" x14ac:dyDescent="0.25"/>
    <row r="107" spans="7:32" ht="21" customHeight="1" x14ac:dyDescent="0.25"/>
    <row r="110" spans="7:32" x14ac:dyDescent="0.25">
      <c r="AF110" s="3"/>
    </row>
    <row r="111" spans="7:32" x14ac:dyDescent="0.25">
      <c r="AF111" s="3"/>
    </row>
    <row r="112" spans="7:32" x14ac:dyDescent="0.25">
      <c r="AF112" s="3" t="s">
        <v>9</v>
      </c>
    </row>
  </sheetData>
  <mergeCells count="14">
    <mergeCell ref="Y3:Z3"/>
    <mergeCell ref="E18:F18"/>
    <mergeCell ref="E42:F42"/>
    <mergeCell ref="H64:J64"/>
    <mergeCell ref="K64:P64"/>
    <mergeCell ref="Q64:R64"/>
    <mergeCell ref="V64:W64"/>
    <mergeCell ref="Y64:Z64"/>
    <mergeCell ref="H3:J3"/>
    <mergeCell ref="K3:N3"/>
    <mergeCell ref="O3:P3"/>
    <mergeCell ref="Q3:T3"/>
    <mergeCell ref="U3:V3"/>
    <mergeCell ref="X3:X4"/>
  </mergeCells>
  <pageMargins left="0.5" right="0.25" top="0.5" bottom="0.25" header="0.3" footer="0.3"/>
  <pageSetup scale="29" fitToHeight="0"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A2F7B-75FA-4A72-8714-DB58DBE9B458}">
  <sheetPr>
    <pageSetUpPr fitToPage="1"/>
  </sheetPr>
  <dimension ref="A2:AJ68"/>
  <sheetViews>
    <sheetView showGridLines="0" zoomScaleNormal="100" zoomScaleSheetLayoutView="90" workbookViewId="0">
      <selection activeCell="A23" sqref="A23:XFD40"/>
    </sheetView>
  </sheetViews>
  <sheetFormatPr defaultRowHeight="12.5" x14ac:dyDescent="0.25"/>
  <cols>
    <col min="1" max="1" width="10.54296875" customWidth="1"/>
    <col min="2" max="4" width="0.453125" customWidth="1"/>
    <col min="5" max="5" width="28.7265625" customWidth="1"/>
    <col min="6" max="6" width="7.54296875" style="1" customWidth="1"/>
    <col min="7" max="7" width="7.1796875" style="1" customWidth="1"/>
    <col min="8" max="17" width="7.1796875" customWidth="1"/>
    <col min="18" max="19" width="7.54296875" customWidth="1"/>
    <col min="20" max="22" width="7.1796875" customWidth="1"/>
    <col min="23" max="23" width="6.26953125" customWidth="1"/>
    <col min="24" max="25" width="9" customWidth="1"/>
    <col min="26" max="26" width="10.81640625" customWidth="1"/>
    <col min="27" max="27" width="1.453125" customWidth="1"/>
  </cols>
  <sheetData>
    <row r="2" spans="1:36" ht="21.75" customHeight="1" x14ac:dyDescent="0.25">
      <c r="E2" s="2" t="s">
        <v>146</v>
      </c>
    </row>
    <row r="3" spans="1:36" ht="17.899999999999999" customHeight="1" x14ac:dyDescent="0.3">
      <c r="E3" s="6"/>
      <c r="F3" s="7"/>
      <c r="G3" s="8"/>
      <c r="H3" s="727" t="str">
        <f>'[13]Table 10 CWTs exp'!H3:I3</f>
        <v>CFH</v>
      </c>
      <c r="I3" s="727"/>
      <c r="J3" s="727" t="str">
        <f>'[13]Table 10 CWTs exp'!J3:O3</f>
        <v>FRH</v>
      </c>
      <c r="K3" s="727"/>
      <c r="L3" s="727"/>
      <c r="M3" s="727"/>
      <c r="N3" s="727" t="str">
        <f>'[13]Table 10 CWTs exp'!N3:O3</f>
        <v>NIM</v>
      </c>
      <c r="O3" s="727"/>
      <c r="P3" s="727" t="str">
        <f>'[13]Table 10 CWTs exp'!P3:Q3</f>
        <v>MOK</v>
      </c>
      <c r="Q3" s="727"/>
      <c r="R3" s="727"/>
      <c r="S3" s="727"/>
      <c r="T3" s="727" t="str">
        <f>'[13]Table 10 CWTs exp'!T3:U3</f>
        <v>MER</v>
      </c>
      <c r="U3" s="727"/>
      <c r="V3" s="9" t="str">
        <f>'[13]Table 10 CWTs exp'!V3</f>
        <v>SJO</v>
      </c>
      <c r="W3" s="747" t="str">
        <f>'[13]Table 10 CWTs exp'!W3</f>
        <v>Non-CV</v>
      </c>
      <c r="X3" s="729" t="s">
        <v>132</v>
      </c>
      <c r="Y3" s="730"/>
      <c r="Z3" s="10" t="s">
        <v>9</v>
      </c>
      <c r="AB3" s="3"/>
      <c r="AC3" s="3"/>
    </row>
    <row r="4" spans="1:36" ht="15.75" customHeight="1" x14ac:dyDescent="0.3">
      <c r="E4" s="17" t="s">
        <v>17</v>
      </c>
      <c r="F4" s="18" t="s">
        <v>18</v>
      </c>
      <c r="G4" s="19" t="str">
        <f>'[13]Table 10 CWTs exp'!G4</f>
        <v>SacW</v>
      </c>
      <c r="H4" s="20" t="str">
        <f>'[13]Table 10 CWTs exp'!H4</f>
        <v>CFHL</v>
      </c>
      <c r="I4" s="21" t="str">
        <f>'[13]Table 10 CWTs exp'!I4</f>
        <v>CFHF</v>
      </c>
      <c r="J4" s="19" t="str">
        <f>'[13]Table 10 CWTs exp'!J4</f>
        <v>FRHS</v>
      </c>
      <c r="K4" s="19" t="str">
        <f>'[13]Table 10 CWTs exp'!K4</f>
        <v>FRHF</v>
      </c>
      <c r="L4" s="19" t="str">
        <f>'[13]Table 10 CWTs exp'!L4</f>
        <v>FRHFn</v>
      </c>
      <c r="M4" s="21" t="str">
        <f>'[13]Table 10 CWTs exp'!M4</f>
        <v>FRHFgg</v>
      </c>
      <c r="N4" s="19" t="str">
        <f>'[13]Table 10 CWTs exp'!N4</f>
        <v>NIMF</v>
      </c>
      <c r="O4" s="21" t="str">
        <f>'[13]Table 10 CWTs exp'!O4</f>
        <v>NIMFn</v>
      </c>
      <c r="P4" s="19" t="str">
        <f>'[13]Table 10 CWTs exp'!P4</f>
        <v>MOKF</v>
      </c>
      <c r="Q4" s="19" t="str">
        <f>'[13]Table 10 CWTs exp'!Q4</f>
        <v>MOKFn</v>
      </c>
      <c r="R4" s="19" t="str">
        <f>'[13]Table 10 CWTs exp'!R4</f>
        <v>MOKFnc</v>
      </c>
      <c r="S4" s="21" t="str">
        <f>'[13]Table 10 CWTs exp'!S4</f>
        <v>MOKFgg</v>
      </c>
      <c r="T4" s="19" t="str">
        <f>'[13]Table 10 CWTs exp'!T4</f>
        <v>MERF</v>
      </c>
      <c r="U4" s="21" t="str">
        <f>'[13]Table 10 CWTs exp'!U4</f>
        <v>MERFn</v>
      </c>
      <c r="V4" s="21" t="str">
        <f>'[13]Table 10 CWTs exp'!V4</f>
        <v>SJOSx</v>
      </c>
      <c r="W4" s="748"/>
      <c r="X4" s="22" t="s">
        <v>36</v>
      </c>
      <c r="Y4" s="23" t="s">
        <v>37</v>
      </c>
      <c r="Z4" s="24" t="s">
        <v>18</v>
      </c>
    </row>
    <row r="5" spans="1:36" ht="14.15" customHeight="1" x14ac:dyDescent="0.3">
      <c r="E5" s="26" t="s">
        <v>39</v>
      </c>
      <c r="F5" s="11"/>
      <c r="G5" s="4"/>
      <c r="H5" s="139"/>
      <c r="I5" s="140"/>
      <c r="M5" s="140"/>
      <c r="O5" s="140"/>
      <c r="S5" s="140"/>
      <c r="U5" s="140"/>
      <c r="V5" s="140"/>
      <c r="W5" s="11"/>
      <c r="X5" s="141"/>
      <c r="Y5" s="142"/>
      <c r="Z5" s="88"/>
      <c r="AB5" s="442"/>
      <c r="AC5" s="442"/>
      <c r="AD5" s="442"/>
      <c r="AE5" s="442"/>
      <c r="AF5" s="442"/>
      <c r="AG5" s="442"/>
      <c r="AH5" s="442"/>
      <c r="AI5" s="442"/>
      <c r="AJ5" s="442"/>
    </row>
    <row r="6" spans="1:36" ht="14.25" customHeight="1" x14ac:dyDescent="0.25">
      <c r="A6" s="54" t="str">
        <f>'[13]Table 10 CWTs exp'!A6</f>
        <v>CNFH504</v>
      </c>
      <c r="E6" s="3" t="str">
        <f>'[13]Table 10 CWTs exp'!E6</f>
        <v>Coleman National Fish Hatchery</v>
      </c>
      <c r="F6" s="143" t="str">
        <f>'[13]Table 10 CWTs exp'!F6</f>
        <v>Winter</v>
      </c>
      <c r="G6" s="144">
        <f>IF('[13]Table 10 CWTs exp'!G6/'[13]Table 10 CWTs exp'!$Z6&gt;0,'[13]Table 10 CWTs exp'!G6/'[13]Table 10 CWTs exp'!$Z6," ")</f>
        <v>0.99404761904761907</v>
      </c>
      <c r="H6" s="145" t="str">
        <f>IF('[13]Table 10 CWTs exp'!H6/'[13]Table 10 CWTs exp'!$Z6&gt;0,'[13]Table 10 CWTs exp'!H6/'[13]Table 10 CWTs exp'!$Z6," ")</f>
        <v xml:space="preserve"> </v>
      </c>
      <c r="I6" s="146" t="str">
        <f>IF('[13]Table 10 CWTs exp'!I6/'[13]Table 10 CWTs exp'!$Z6&gt;0,'[13]Table 10 CWTs exp'!I6/'[13]Table 10 CWTs exp'!$Z6," ")</f>
        <v xml:space="preserve"> </v>
      </c>
      <c r="J6" s="144" t="str">
        <f>IF('[13]Table 10 CWTs exp'!J6/'[13]Table 10 CWTs exp'!$Z6&gt;0,'[13]Table 10 CWTs exp'!J6/'[13]Table 10 CWTs exp'!$Z6," ")</f>
        <v xml:space="preserve"> </v>
      </c>
      <c r="K6" s="144" t="str">
        <f>IF('[13]Table 10 CWTs exp'!K6/'[13]Table 10 CWTs exp'!$Z6&gt;0,'[13]Table 10 CWTs exp'!K6/'[13]Table 10 CWTs exp'!$Z6," ")</f>
        <v xml:space="preserve"> </v>
      </c>
      <c r="L6" s="144" t="str">
        <f>IF('[13]Table 10 CWTs exp'!L6/'[13]Table 10 CWTs exp'!$Z6&gt;0,'[13]Table 10 CWTs exp'!L6/'[13]Table 10 CWTs exp'!$Z6," ")</f>
        <v xml:space="preserve"> </v>
      </c>
      <c r="M6" s="146" t="str">
        <f>IF('[13]Table 10 CWTs exp'!M6/'[13]Table 10 CWTs exp'!$Z6&gt;0,'[13]Table 10 CWTs exp'!M6/'[13]Table 10 CWTs exp'!$Z6," ")</f>
        <v xml:space="preserve"> </v>
      </c>
      <c r="N6" s="144" t="str">
        <f>IF('[13]Table 10 CWTs exp'!N6/'[13]Table 10 CWTs exp'!$Z6&gt;0,'[13]Table 10 CWTs exp'!N6/'[13]Table 10 CWTs exp'!$Z6," ")</f>
        <v xml:space="preserve"> </v>
      </c>
      <c r="O6" s="146" t="str">
        <f>IF('[13]Table 10 CWTs exp'!O6/'[13]Table 10 CWTs exp'!$Z6&gt;0,'[13]Table 10 CWTs exp'!O6/'[13]Table 10 CWTs exp'!$Z6," ")</f>
        <v xml:space="preserve"> </v>
      </c>
      <c r="P6" s="144" t="str">
        <f>IF('[13]Table 10 CWTs exp'!P6/'[13]Table 10 CWTs exp'!$Z6&gt;0,'[13]Table 10 CWTs exp'!P6/'[13]Table 10 CWTs exp'!$Z6," ")</f>
        <v xml:space="preserve"> </v>
      </c>
      <c r="Q6" s="144" t="str">
        <f>IF('[13]Table 10 CWTs exp'!Q6/'[13]Table 10 CWTs exp'!$Z6&gt;0,'[13]Table 10 CWTs exp'!Q6/'[13]Table 10 CWTs exp'!$Z6," ")</f>
        <v xml:space="preserve"> </v>
      </c>
      <c r="R6" s="144" t="str">
        <f>IF('[13]Table 10 CWTs exp'!R6/'[13]Table 10 CWTs exp'!$Z6&gt;0,'[13]Table 10 CWTs exp'!R6/'[13]Table 10 CWTs exp'!$Z6," ")</f>
        <v xml:space="preserve"> </v>
      </c>
      <c r="S6" s="146" t="str">
        <f>IF('[13]Table 10 CWTs exp'!S6/'[13]Table 10 CWTs exp'!$Z6&gt;0,'[13]Table 10 CWTs exp'!S6/'[13]Table 10 CWTs exp'!$Z6," ")</f>
        <v xml:space="preserve"> </v>
      </c>
      <c r="T6" s="144" t="str">
        <f>IF('[13]Table 10 CWTs exp'!T6/'[13]Table 10 CWTs exp'!$Z6&gt;0,'[13]Table 10 CWTs exp'!T6/'[13]Table 10 CWTs exp'!$Z6," ")</f>
        <v xml:space="preserve"> </v>
      </c>
      <c r="U6" s="146" t="str">
        <f>IF('[13]Table 10 CWTs exp'!U6/'[13]Table 10 CWTs exp'!$Z6&gt;0,'[13]Table 10 CWTs exp'!U6/'[13]Table 10 CWTs exp'!$Z6," ")</f>
        <v xml:space="preserve"> </v>
      </c>
      <c r="V6" s="146" t="str">
        <f>IF('[13]Table 10 CWTs exp'!V6/'[13]Table 10 CWTs exp'!$Z6&gt;0,'[13]Table 10 CWTs exp'!V6/'[13]Table 10 CWTs exp'!$Z6," ")</f>
        <v xml:space="preserve"> </v>
      </c>
      <c r="W6" s="144" t="str">
        <f>IF('[13]Table 10 CWTs exp'!W6/'[13]Table 10 CWTs exp'!$Z6&gt;0,'[13]Table 10 CWTs exp'!W6/'[13]Table 10 CWTs exp'!$Z6," ")</f>
        <v xml:space="preserve"> </v>
      </c>
      <c r="X6" s="147">
        <f t="shared" ref="X6:X16" si="0">SUM(G6:W6)</f>
        <v>0.99404761904761907</v>
      </c>
      <c r="Y6" s="148">
        <f>1-X6</f>
        <v>5.9523809523809312E-3</v>
      </c>
      <c r="Z6" s="38">
        <f>'[13]Table 10 CWTs exp'!Z6</f>
        <v>1008</v>
      </c>
      <c r="AB6" s="592">
        <f>'[13]Table 10 CWTs exp'!AC6</f>
        <v>0.99399999999999999</v>
      </c>
      <c r="AC6" s="592">
        <f>X6-AB6</f>
        <v>4.7619047619074095E-5</v>
      </c>
      <c r="AD6" s="593" t="str">
        <f t="shared" ref="AD6:AD17" si="1">A6</f>
        <v>CNFH504</v>
      </c>
      <c r="AE6" s="442"/>
      <c r="AF6" s="442"/>
      <c r="AG6" s="442"/>
      <c r="AH6" s="442"/>
      <c r="AI6" s="442"/>
      <c r="AJ6" s="442"/>
    </row>
    <row r="7" spans="1:36" ht="14.25" customHeight="1" x14ac:dyDescent="0.25">
      <c r="A7" s="54" t="str">
        <f>'[13]Table 10 CWTs exp'!A7</f>
        <v>KESW504</v>
      </c>
      <c r="E7" s="3" t="str">
        <f>'[13]Table 10 CWTs exp'!E7</f>
        <v>Keswick Dam Fish Trap</v>
      </c>
      <c r="F7" s="143" t="str">
        <f>'[13]Table 10 CWTs exp'!F7</f>
        <v>Winter</v>
      </c>
      <c r="G7" s="144">
        <f>IF('[13]Table 10 CWTs exp'!G7/'[13]Table 10 CWTs exp'!$Z7&gt;0,'[13]Table 10 CWTs exp'!G7/'[13]Table 10 CWTs exp'!$Z7," ")</f>
        <v>0.65968586387434558</v>
      </c>
      <c r="H7" s="145" t="str">
        <f>IF('[13]Table 10 CWTs exp'!H7/'[13]Table 10 CWTs exp'!$Z7&gt;0,'[13]Table 10 CWTs exp'!H7/'[13]Table 10 CWTs exp'!$Z7," ")</f>
        <v xml:space="preserve"> </v>
      </c>
      <c r="I7" s="146" t="str">
        <f>IF('[13]Table 10 CWTs exp'!I7/'[13]Table 10 CWTs exp'!$Z7&gt;0,'[13]Table 10 CWTs exp'!I7/'[13]Table 10 CWTs exp'!$Z7," ")</f>
        <v xml:space="preserve"> </v>
      </c>
      <c r="J7" s="144" t="str">
        <f>IF('[13]Table 10 CWTs exp'!J7/'[13]Table 10 CWTs exp'!$Z7&gt;0,'[13]Table 10 CWTs exp'!J7/'[13]Table 10 CWTs exp'!$Z7," ")</f>
        <v xml:space="preserve"> </v>
      </c>
      <c r="K7" s="144" t="str">
        <f>IF('[13]Table 10 CWTs exp'!K7/'[13]Table 10 CWTs exp'!$Z7&gt;0,'[13]Table 10 CWTs exp'!K7/'[13]Table 10 CWTs exp'!$Z7," ")</f>
        <v xml:space="preserve"> </v>
      </c>
      <c r="L7" s="144" t="str">
        <f>IF('[13]Table 10 CWTs exp'!L7/'[13]Table 10 CWTs exp'!$Z7&gt;0,'[13]Table 10 CWTs exp'!L7/'[13]Table 10 CWTs exp'!$Z7," ")</f>
        <v xml:space="preserve"> </v>
      </c>
      <c r="M7" s="146" t="str">
        <f>IF('[13]Table 10 CWTs exp'!M7/'[13]Table 10 CWTs exp'!$Z7&gt;0,'[13]Table 10 CWTs exp'!M7/'[13]Table 10 CWTs exp'!$Z7," ")</f>
        <v xml:space="preserve"> </v>
      </c>
      <c r="N7" s="144" t="str">
        <f>IF('[13]Table 10 CWTs exp'!N7/'[13]Table 10 CWTs exp'!$Z7&gt;0,'[13]Table 10 CWTs exp'!N7/'[13]Table 10 CWTs exp'!$Z7," ")</f>
        <v xml:space="preserve"> </v>
      </c>
      <c r="O7" s="146" t="str">
        <f>IF('[13]Table 10 CWTs exp'!O7/'[13]Table 10 CWTs exp'!$Z7&gt;0,'[13]Table 10 CWTs exp'!O7/'[13]Table 10 CWTs exp'!$Z7," ")</f>
        <v xml:space="preserve"> </v>
      </c>
      <c r="P7" s="144" t="str">
        <f>IF('[13]Table 10 CWTs exp'!P7/'[13]Table 10 CWTs exp'!$Z7&gt;0,'[13]Table 10 CWTs exp'!P7/'[13]Table 10 CWTs exp'!$Z7," ")</f>
        <v xml:space="preserve"> </v>
      </c>
      <c r="Q7" s="144" t="str">
        <f>IF('[13]Table 10 CWTs exp'!Q7/'[13]Table 10 CWTs exp'!$Z7&gt;0,'[13]Table 10 CWTs exp'!Q7/'[13]Table 10 CWTs exp'!$Z7," ")</f>
        <v xml:space="preserve"> </v>
      </c>
      <c r="R7" s="144" t="str">
        <f>IF('[13]Table 10 CWTs exp'!R7/'[13]Table 10 CWTs exp'!$Z7&gt;0,'[13]Table 10 CWTs exp'!R7/'[13]Table 10 CWTs exp'!$Z7," ")</f>
        <v xml:space="preserve"> </v>
      </c>
      <c r="S7" s="146" t="str">
        <f>IF('[13]Table 10 CWTs exp'!S7/'[13]Table 10 CWTs exp'!$Z7&gt;0,'[13]Table 10 CWTs exp'!S7/'[13]Table 10 CWTs exp'!$Z7," ")</f>
        <v xml:space="preserve"> </v>
      </c>
      <c r="T7" s="144" t="str">
        <f>IF('[13]Table 10 CWTs exp'!T7/'[13]Table 10 CWTs exp'!$Z7&gt;0,'[13]Table 10 CWTs exp'!T7/'[13]Table 10 CWTs exp'!$Z7," ")</f>
        <v xml:space="preserve"> </v>
      </c>
      <c r="U7" s="146" t="str">
        <f>IF('[13]Table 10 CWTs exp'!U7/'[13]Table 10 CWTs exp'!$Z7&gt;0,'[13]Table 10 CWTs exp'!U7/'[13]Table 10 CWTs exp'!$Z7," ")</f>
        <v xml:space="preserve"> </v>
      </c>
      <c r="V7" s="146" t="str">
        <f>IF('[13]Table 10 CWTs exp'!V7/'[13]Table 10 CWTs exp'!$Z7&gt;0,'[13]Table 10 CWTs exp'!V7/'[13]Table 10 CWTs exp'!$Z7," ")</f>
        <v xml:space="preserve"> </v>
      </c>
      <c r="W7" s="144" t="str">
        <f>IF('[13]Table 10 CWTs exp'!W7/'[13]Table 10 CWTs exp'!$Z7&gt;0,'[13]Table 10 CWTs exp'!W7/'[13]Table 10 CWTs exp'!$Z7," ")</f>
        <v xml:space="preserve"> </v>
      </c>
      <c r="X7" s="147">
        <f t="shared" si="0"/>
        <v>0.65968586387434558</v>
      </c>
      <c r="Y7" s="148">
        <f>1-X7</f>
        <v>0.34031413612565442</v>
      </c>
      <c r="Z7" s="38">
        <f>'[13]Table 10 CWTs exp'!Z7</f>
        <v>191</v>
      </c>
      <c r="AB7" s="592">
        <f>'[13]Table 10 CWTs exp'!AC7</f>
        <v>0.66</v>
      </c>
      <c r="AC7" s="592">
        <f>X7-AB7</f>
        <v>-3.141361256544517E-4</v>
      </c>
      <c r="AD7" s="593" t="str">
        <f t="shared" si="1"/>
        <v>KESW504</v>
      </c>
      <c r="AE7" s="442"/>
      <c r="AF7" s="442"/>
      <c r="AG7" s="648"/>
      <c r="AH7" s="454"/>
      <c r="AI7" s="442"/>
      <c r="AJ7" s="442"/>
    </row>
    <row r="8" spans="1:36" ht="14.5" customHeight="1" x14ac:dyDescent="0.25">
      <c r="A8" s="54" t="str">
        <f>'[13]Table 10 CWTs exp'!A8</f>
        <v>FRFH501</v>
      </c>
      <c r="B8" s="75" t="str">
        <f>'[13]Table 10 CWTs exp'!B8</f>
        <v>FRFH</v>
      </c>
      <c r="C8" s="75">
        <f>'[13]Table 10 CWTs exp'!C8</f>
        <v>50</v>
      </c>
      <c r="D8" s="75">
        <f>'[13]Table 10 CWTs exp'!D8</f>
        <v>1</v>
      </c>
      <c r="E8" s="3" t="str">
        <f>'[13]Table 10 CWTs exp'!E8</f>
        <v>Feather River Hatchery</v>
      </c>
      <c r="F8" s="143" t="str">
        <f>'[13]Table 10 CWTs exp'!F8</f>
        <v>Spring</v>
      </c>
      <c r="G8" s="151" t="str">
        <f>IF('[13]Table 10 CWTs exp'!G8/'[13]Table 10 CWTs exp'!$Z8&gt;0,'[13]Table 10 CWTs exp'!G8/'[13]Table 10 CWTs exp'!$Z8," ")</f>
        <v xml:space="preserve"> </v>
      </c>
      <c r="H8" s="145" t="str">
        <f>IF('[13]Table 10 CWTs exp'!H8/'[13]Table 10 CWTs exp'!$Z8&gt;0,'[13]Table 10 CWTs exp'!H8/'[13]Table 10 CWTs exp'!$Z8," ")</f>
        <v xml:space="preserve"> </v>
      </c>
      <c r="I8" s="146" t="str">
        <f>IF('[13]Table 10 CWTs exp'!I8/'[13]Table 10 CWTs exp'!$Z8&gt;0,'[13]Table 10 CWTs exp'!I8/'[13]Table 10 CWTs exp'!$Z8," ")</f>
        <v xml:space="preserve"> </v>
      </c>
      <c r="J8" s="144">
        <f>IF('[13]Table 10 CWTs exp'!J8/'[13]Table 10 CWTs exp'!$Z8&gt;0,'[13]Table 10 CWTs exp'!J8/'[13]Table 10 CWTs exp'!$Z8," ")</f>
        <v>0.93629343629343631</v>
      </c>
      <c r="K8" s="144" t="str">
        <f>IF('[13]Table 10 CWTs exp'!K8/'[13]Table 10 CWTs exp'!$Z8&gt;0,'[13]Table 10 CWTs exp'!K8/'[13]Table 10 CWTs exp'!$Z8," ")</f>
        <v xml:space="preserve"> </v>
      </c>
      <c r="L8" s="144">
        <f>IF('[13]Table 10 CWTs exp'!L8/'[13]Table 10 CWTs exp'!$Z8&gt;0,'[13]Table 10 CWTs exp'!L8/'[13]Table 10 CWTs exp'!$Z8," ")</f>
        <v>1.2870012870012869E-2</v>
      </c>
      <c r="M8" s="146">
        <f>IF('[13]Table 10 CWTs exp'!M8/'[13]Table 10 CWTs exp'!$Z8&gt;0,'[13]Table 10 CWTs exp'!M8/'[13]Table 10 CWTs exp'!$Z8," ")</f>
        <v>5.1480051480051478E-3</v>
      </c>
      <c r="N8" s="144" t="str">
        <f>IF('[13]Table 10 CWTs exp'!N8/'[13]Table 10 CWTs exp'!$Z8&gt;0,'[13]Table 10 CWTs exp'!N8/'[13]Table 10 CWTs exp'!$Z8," ")</f>
        <v xml:space="preserve"> </v>
      </c>
      <c r="O8" s="146" t="str">
        <f>IF('[13]Table 10 CWTs exp'!O8/'[13]Table 10 CWTs exp'!$Z8&gt;0,'[13]Table 10 CWTs exp'!O8/'[13]Table 10 CWTs exp'!$Z8," ")</f>
        <v xml:space="preserve"> </v>
      </c>
      <c r="P8" s="144" t="str">
        <f>IF('[13]Table 10 CWTs exp'!P8/'[13]Table 10 CWTs exp'!$Z8&gt;0,'[13]Table 10 CWTs exp'!P8/'[13]Table 10 CWTs exp'!$Z8," ")</f>
        <v xml:space="preserve"> </v>
      </c>
      <c r="Q8" s="144" t="str">
        <f>IF('[13]Table 10 CWTs exp'!Q8/'[13]Table 10 CWTs exp'!$Z8&gt;0,'[13]Table 10 CWTs exp'!Q8/'[13]Table 10 CWTs exp'!$Z8," ")</f>
        <v xml:space="preserve"> </v>
      </c>
      <c r="R8" s="144" t="str">
        <f>IF('[13]Table 10 CWTs exp'!R8/'[13]Table 10 CWTs exp'!$Z8&gt;0,'[13]Table 10 CWTs exp'!R8/'[13]Table 10 CWTs exp'!$Z8," ")</f>
        <v xml:space="preserve"> </v>
      </c>
      <c r="S8" s="146" t="str">
        <f>IF('[13]Table 10 CWTs exp'!S8/'[13]Table 10 CWTs exp'!$Z8&gt;0,'[13]Table 10 CWTs exp'!S8/'[13]Table 10 CWTs exp'!$Z8," ")</f>
        <v xml:space="preserve"> </v>
      </c>
      <c r="T8" s="144" t="str">
        <f>IF('[13]Table 10 CWTs exp'!T8/'[13]Table 10 CWTs exp'!$Z8&gt;0,'[13]Table 10 CWTs exp'!T8/'[13]Table 10 CWTs exp'!$Z8," ")</f>
        <v xml:space="preserve"> </v>
      </c>
      <c r="U8" s="146" t="str">
        <f>IF('[13]Table 10 CWTs exp'!U8/'[13]Table 10 CWTs exp'!$Z8&gt;0,'[13]Table 10 CWTs exp'!U8/'[13]Table 10 CWTs exp'!$Z8," ")</f>
        <v xml:space="preserve"> </v>
      </c>
      <c r="V8" s="146">
        <f>IF('[13]Table 10 CWTs exp'!V8/'[13]Table 10 CWTs exp'!$Z8&gt;0,'[13]Table 10 CWTs exp'!V8/'[13]Table 10 CWTs exp'!$Z8," ")</f>
        <v>6.4350064350064348E-4</v>
      </c>
      <c r="W8" s="144" t="str">
        <f>IF('[13]Table 10 CWTs exp'!W8/'[13]Table 10 CWTs exp'!$Z8&gt;0,'[13]Table 10 CWTs exp'!W8/'[13]Table 10 CWTs exp'!$Z8," ")</f>
        <v xml:space="preserve"> </v>
      </c>
      <c r="X8" s="147">
        <f t="shared" si="0"/>
        <v>0.95495495495495497</v>
      </c>
      <c r="Y8" s="148">
        <f>1-X8</f>
        <v>4.5045045045045029E-2</v>
      </c>
      <c r="Z8" s="38">
        <f>'[13]Table 10 CWTs exp'!Z8</f>
        <v>1554</v>
      </c>
      <c r="AB8" s="592">
        <f>'[13]Table 10 CWTs exp'!AC8</f>
        <v>0.95499999999999996</v>
      </c>
      <c r="AC8" s="592">
        <f>X8-AB8</f>
        <v>-4.5045045044989074E-5</v>
      </c>
      <c r="AD8" s="593" t="str">
        <f t="shared" si="1"/>
        <v>FRFH501</v>
      </c>
      <c r="AE8" s="442"/>
      <c r="AF8" s="442"/>
      <c r="AG8" s="648"/>
      <c r="AH8" s="454"/>
      <c r="AI8" s="442"/>
      <c r="AJ8" s="442"/>
    </row>
    <row r="9" spans="1:36" ht="12.75" hidden="1" customHeight="1" x14ac:dyDescent="0.25">
      <c r="A9" s="54" t="str">
        <f>'[13]Table 10 CWTs exp'!A9</f>
        <v>KESW503</v>
      </c>
      <c r="B9" s="75" t="str">
        <f>'[13]Table 10 CWTs exp'!B9</f>
        <v>KESW</v>
      </c>
      <c r="C9" s="75">
        <f>'[13]Table 10 CWTs exp'!C9</f>
        <v>50</v>
      </c>
      <c r="D9" s="75">
        <f>'[13]Table 10 CWTs exp'!D9</f>
        <v>3</v>
      </c>
      <c r="E9" s="3" t="str">
        <f>'[13]Table 10 CWTs exp'!E9</f>
        <v>Keswick Dam Fish Trap</v>
      </c>
      <c r="F9" s="143" t="str">
        <f>'[13]Table 10 CWTs exp'!F9</f>
        <v>Fall</v>
      </c>
      <c r="G9" s="151" t="e">
        <f>IF('[13]Table 10 CWTs exp'!G9/'[13]Table 10 CWTs exp'!$Z9&gt;0,'[13]Table 10 CWTs exp'!G9/'[13]Table 10 CWTs exp'!$Z9," ")</f>
        <v>#DIV/0!</v>
      </c>
      <c r="H9" s="145" t="e">
        <f>IF('[13]Table 10 CWTs exp'!H9/'[13]Table 10 CWTs exp'!$Z9&gt;0,'[13]Table 10 CWTs exp'!H9/'[13]Table 10 CWTs exp'!$Z9," ")</f>
        <v>#DIV/0!</v>
      </c>
      <c r="I9" s="146" t="e">
        <f>IF('[13]Table 10 CWTs exp'!I9/'[13]Table 10 CWTs exp'!$Z9&gt;0,'[13]Table 10 CWTs exp'!I9/'[13]Table 10 CWTs exp'!$Z9," ")</f>
        <v>#DIV/0!</v>
      </c>
      <c r="J9" s="144" t="e">
        <f>IF('[13]Table 10 CWTs exp'!J9/'[13]Table 10 CWTs exp'!$Z9&gt;0,'[13]Table 10 CWTs exp'!J9/'[13]Table 10 CWTs exp'!$Z9," ")</f>
        <v>#DIV/0!</v>
      </c>
      <c r="K9" s="144" t="e">
        <f>IF('[13]Table 10 CWTs exp'!K9/'[13]Table 10 CWTs exp'!$Z9&gt;0,'[13]Table 10 CWTs exp'!K9/'[13]Table 10 CWTs exp'!$Z9," ")</f>
        <v>#DIV/0!</v>
      </c>
      <c r="L9" s="144" t="e">
        <f>IF('[13]Table 10 CWTs exp'!L9/'[13]Table 10 CWTs exp'!$Z9&gt;0,'[13]Table 10 CWTs exp'!L9/'[13]Table 10 CWTs exp'!$Z9," ")</f>
        <v>#DIV/0!</v>
      </c>
      <c r="M9" s="146" t="e">
        <f>IF('[13]Table 10 CWTs exp'!M9/'[13]Table 10 CWTs exp'!$Z9&gt;0,'[13]Table 10 CWTs exp'!M9/'[13]Table 10 CWTs exp'!$Z9," ")</f>
        <v>#DIV/0!</v>
      </c>
      <c r="N9" s="144" t="e">
        <f>IF('[13]Table 10 CWTs exp'!N9/'[13]Table 10 CWTs exp'!$Z9&gt;0,'[13]Table 10 CWTs exp'!N9/'[13]Table 10 CWTs exp'!$Z9," ")</f>
        <v>#DIV/0!</v>
      </c>
      <c r="O9" s="146" t="e">
        <f>IF('[13]Table 10 CWTs exp'!O9/'[13]Table 10 CWTs exp'!$Z9&gt;0,'[13]Table 10 CWTs exp'!O9/'[13]Table 10 CWTs exp'!$Z9," ")</f>
        <v>#DIV/0!</v>
      </c>
      <c r="P9" s="144" t="e">
        <f>IF('[13]Table 10 CWTs exp'!P9/'[13]Table 10 CWTs exp'!$Z9&gt;0,'[13]Table 10 CWTs exp'!P9/'[13]Table 10 CWTs exp'!$Z9," ")</f>
        <v>#DIV/0!</v>
      </c>
      <c r="Q9" s="144" t="e">
        <f>IF('[13]Table 10 CWTs exp'!Q9/'[13]Table 10 CWTs exp'!$Z9&gt;0,'[13]Table 10 CWTs exp'!Q9/'[13]Table 10 CWTs exp'!$Z9," ")</f>
        <v>#DIV/0!</v>
      </c>
      <c r="R9" s="144" t="e">
        <f>IF('[13]Table 10 CWTs exp'!R9/'[13]Table 10 CWTs exp'!$Z9&gt;0,'[13]Table 10 CWTs exp'!R9/'[13]Table 10 CWTs exp'!$Z9," ")</f>
        <v>#DIV/0!</v>
      </c>
      <c r="S9" s="146" t="e">
        <f>IF('[13]Table 10 CWTs exp'!S9/'[13]Table 10 CWTs exp'!$Z9&gt;0,'[13]Table 10 CWTs exp'!S9/'[13]Table 10 CWTs exp'!$Z9," ")</f>
        <v>#DIV/0!</v>
      </c>
      <c r="T9" s="144" t="e">
        <f>IF('[13]Table 10 CWTs exp'!T9/'[13]Table 10 CWTs exp'!$Z9&gt;0,'[13]Table 10 CWTs exp'!T9/'[13]Table 10 CWTs exp'!$Z9," ")</f>
        <v>#DIV/0!</v>
      </c>
      <c r="U9" s="146" t="e">
        <f>IF('[13]Table 10 CWTs exp'!U9/'[13]Table 10 CWTs exp'!$Z9&gt;0,'[13]Table 10 CWTs exp'!U9/'[13]Table 10 CWTs exp'!$Z9," ")</f>
        <v>#DIV/0!</v>
      </c>
      <c r="V9" s="146" t="e">
        <f>IF('[13]Table 10 CWTs exp'!V9/'[13]Table 10 CWTs exp'!$Z9&gt;0,'[13]Table 10 CWTs exp'!V9/'[13]Table 10 CWTs exp'!$Z9," ")</f>
        <v>#DIV/0!</v>
      </c>
      <c r="W9" s="144" t="e">
        <f>IF('[13]Table 10 CWTs exp'!W9/'[13]Table 10 CWTs exp'!$Z9&gt;0,'[13]Table 10 CWTs exp'!W9/'[13]Table 10 CWTs exp'!$Z9," ")</f>
        <v>#DIV/0!</v>
      </c>
      <c r="X9" s="147" t="e">
        <f t="shared" si="0"/>
        <v>#DIV/0!</v>
      </c>
      <c r="Y9" s="148" t="e">
        <f t="shared" ref="Y9:Y16" si="2">1-X9</f>
        <v>#DIV/0!</v>
      </c>
      <c r="Z9" s="38">
        <f>'[13]Table 10 CWTs exp'!Z9</f>
        <v>0</v>
      </c>
      <c r="AB9" s="592">
        <f>'[13]Table 10 CWTs exp'!AC9</f>
        <v>0</v>
      </c>
      <c r="AC9" s="592" t="e">
        <f t="shared" ref="AC9:AC55" si="3">X9-AB9</f>
        <v>#DIV/0!</v>
      </c>
      <c r="AD9" s="593" t="str">
        <f t="shared" si="1"/>
        <v>KESW503</v>
      </c>
      <c r="AE9" s="442"/>
      <c r="AF9" s="442"/>
      <c r="AG9" s="648"/>
      <c r="AH9" s="454"/>
      <c r="AI9" s="442"/>
      <c r="AJ9" s="442"/>
    </row>
    <row r="10" spans="1:36" ht="14.5" customHeight="1" x14ac:dyDescent="0.25">
      <c r="A10" s="54" t="str">
        <f>'[13]Table 10 CWTs exp'!A10</f>
        <v>CNFH503</v>
      </c>
      <c r="B10" s="75" t="str">
        <f>'[13]Table 10 CWTs exp'!B10</f>
        <v>CNFH</v>
      </c>
      <c r="C10" s="75">
        <f>'[13]Table 10 CWTs exp'!C10</f>
        <v>50</v>
      </c>
      <c r="D10" s="75">
        <f>'[13]Table 10 CWTs exp'!D10</f>
        <v>3</v>
      </c>
      <c r="E10" s="3" t="str">
        <f>'[13]Table 10 CWTs exp'!E10</f>
        <v>Coleman National Fish Hatchery</v>
      </c>
      <c r="F10" s="143" t="str">
        <f>'[13]Table 10 CWTs exp'!F10</f>
        <v>Fall</v>
      </c>
      <c r="G10" s="151" t="str">
        <f>IF('[13]Table 10 CWTs exp'!G10/'[13]Table 10 CWTs exp'!$Z10&gt;0,'[13]Table 10 CWTs exp'!G10/'[13]Table 10 CWTs exp'!$Z10," ")</f>
        <v xml:space="preserve"> </v>
      </c>
      <c r="H10" s="145">
        <f>IF('[13]Table 10 CWTs exp'!H10/'[13]Table 10 CWTs exp'!$Z10&gt;0,'[13]Table 10 CWTs exp'!H10/'[13]Table 10 CWTs exp'!$Z10," ")</f>
        <v>1.6743102569702264E-3</v>
      </c>
      <c r="I10" s="146">
        <f>IF('[13]Table 10 CWTs exp'!I10/'[13]Table 10 CWTs exp'!$Z10&gt;0,'[13]Table 10 CWTs exp'!I10/'[13]Table 10 CWTs exp'!$Z10," ")</f>
        <v>0.85695566717623939</v>
      </c>
      <c r="J10" s="144" t="str">
        <f>IF('[13]Table 10 CWTs exp'!J10/'[13]Table 10 CWTs exp'!$Z10&gt;0,'[13]Table 10 CWTs exp'!J10/'[13]Table 10 CWTs exp'!$Z10," ")</f>
        <v xml:space="preserve"> </v>
      </c>
      <c r="K10" s="144" t="str">
        <f>IF('[13]Table 10 CWTs exp'!K10/'[13]Table 10 CWTs exp'!$Z10&gt;0,'[13]Table 10 CWTs exp'!K10/'[13]Table 10 CWTs exp'!$Z10," ")</f>
        <v xml:space="preserve"> </v>
      </c>
      <c r="L10" s="144">
        <f>IF('[13]Table 10 CWTs exp'!L10/'[13]Table 10 CWTs exp'!$Z10&gt;0,'[13]Table 10 CWTs exp'!L10/'[13]Table 10 CWTs exp'!$Z10," ")</f>
        <v>5.31411516342724E-3</v>
      </c>
      <c r="M10" s="146">
        <f>IF('[13]Table 10 CWTs exp'!M10/'[13]Table 10 CWTs exp'!$Z10&gt;0,'[13]Table 10 CWTs exp'!M10/'[13]Table 10 CWTs exp'!$Z10," ")</f>
        <v>5.0229307709106791E-3</v>
      </c>
      <c r="N10" s="144">
        <f>IF('[13]Table 10 CWTs exp'!N10/'[13]Table 10 CWTs exp'!$Z10&gt;0,'[13]Table 10 CWTs exp'!N10/'[13]Table 10 CWTs exp'!$Z10," ")</f>
        <v>2.9118439251656113E-4</v>
      </c>
      <c r="O10" s="146">
        <f>IF('[13]Table 10 CWTs exp'!O10/'[13]Table 10 CWTs exp'!$Z10&gt;0,'[13]Table 10 CWTs exp'!O10/'[13]Table 10 CWTs exp'!$Z10," ")</f>
        <v>5.8236878503312227E-4</v>
      </c>
      <c r="P10" s="144" t="str">
        <f>IF('[13]Table 10 CWTs exp'!P10/'[13]Table 10 CWTs exp'!$Z10&gt;0,'[13]Table 10 CWTs exp'!P10/'[13]Table 10 CWTs exp'!$Z10," ")</f>
        <v xml:space="preserve"> </v>
      </c>
      <c r="Q10" s="144">
        <f>IF('[13]Table 10 CWTs exp'!Q10/'[13]Table 10 CWTs exp'!$Z10&gt;0,'[13]Table 10 CWTs exp'!Q10/'[13]Table 10 CWTs exp'!$Z10," ")</f>
        <v>2.9118439251656113E-4</v>
      </c>
      <c r="R10" s="144">
        <f>IF('[13]Table 10 CWTs exp'!R10/'[13]Table 10 CWTs exp'!$Z10&gt;0,'[13]Table 10 CWTs exp'!R10/'[13]Table 10 CWTs exp'!$Z10," ")</f>
        <v>7.2796098129140283E-5</v>
      </c>
      <c r="S10" s="146">
        <f>IF('[13]Table 10 CWTs exp'!S10/'[13]Table 10 CWTs exp'!$Z10&gt;0,'[13]Table 10 CWTs exp'!S10/'[13]Table 10 CWTs exp'!$Z10," ")</f>
        <v>2.9118439251656113E-4</v>
      </c>
      <c r="T10" s="144" t="str">
        <f>IF('[13]Table 10 CWTs exp'!T10/'[13]Table 10 CWTs exp'!$Z10&gt;0,'[13]Table 10 CWTs exp'!T10/'[13]Table 10 CWTs exp'!$Z10," ")</f>
        <v xml:space="preserve"> </v>
      </c>
      <c r="U10" s="146" t="str">
        <f>IF('[13]Table 10 CWTs exp'!U10/'[13]Table 10 CWTs exp'!$Z10&gt;0,'[13]Table 10 CWTs exp'!U10/'[13]Table 10 CWTs exp'!$Z10," ")</f>
        <v xml:space="preserve"> </v>
      </c>
      <c r="V10" s="146" t="str">
        <f>IF('[13]Table 10 CWTs exp'!V10/'[13]Table 10 CWTs exp'!$Z10&gt;0,'[13]Table 10 CWTs exp'!V10/'[13]Table 10 CWTs exp'!$Z10," ")</f>
        <v xml:space="preserve"> </v>
      </c>
      <c r="W10" s="144" t="str">
        <f>IF('[13]Table 10 CWTs exp'!W10/'[13]Table 10 CWTs exp'!$Z10&gt;0,'[13]Table 10 CWTs exp'!W10/'[13]Table 10 CWTs exp'!$Z10," ")</f>
        <v xml:space="preserve"> </v>
      </c>
      <c r="X10" s="147">
        <f t="shared" si="0"/>
        <v>0.87049574142825936</v>
      </c>
      <c r="Y10" s="148">
        <f t="shared" si="2"/>
        <v>0.12950425857174064</v>
      </c>
      <c r="Z10" s="38">
        <f>'[13]Table 10 CWTs exp'!Z10</f>
        <v>13737</v>
      </c>
      <c r="AB10" s="592">
        <f>'[13]Table 10 CWTs exp'!AC10</f>
        <v>0.87</v>
      </c>
      <c r="AC10" s="592">
        <f t="shared" si="3"/>
        <v>4.957414282593664E-4</v>
      </c>
      <c r="AD10" s="593" t="str">
        <f t="shared" si="1"/>
        <v>CNFH503</v>
      </c>
      <c r="AE10" s="442"/>
      <c r="AF10" s="442"/>
      <c r="AG10" s="648"/>
      <c r="AH10" s="454"/>
      <c r="AI10" s="442"/>
      <c r="AJ10" s="442"/>
    </row>
    <row r="11" spans="1:36" ht="14.5" customHeight="1" x14ac:dyDescent="0.25">
      <c r="A11" s="54" t="str">
        <f>'[13]Table 10 CWTs exp'!A11</f>
        <v>FRFH503</v>
      </c>
      <c r="B11" s="75" t="str">
        <f>'[13]Table 10 CWTs exp'!B11</f>
        <v>FRFH</v>
      </c>
      <c r="C11" s="75">
        <f>'[13]Table 10 CWTs exp'!C11</f>
        <v>50</v>
      </c>
      <c r="D11" s="75">
        <f>'[13]Table 10 CWTs exp'!D11</f>
        <v>3</v>
      </c>
      <c r="E11" s="3" t="str">
        <f>'[13]Table 10 CWTs exp'!E11</f>
        <v>Feather River Hatchery</v>
      </c>
      <c r="F11" s="143" t="str">
        <f>'[13]Table 10 CWTs exp'!F11</f>
        <v>Fall</v>
      </c>
      <c r="G11" s="151" t="str">
        <f>IF('[13]Table 10 CWTs exp'!G11/'[13]Table 10 CWTs exp'!$Z11&gt;0,'[13]Table 10 CWTs exp'!G11/'[13]Table 10 CWTs exp'!$Z11," ")</f>
        <v xml:space="preserve"> </v>
      </c>
      <c r="H11" s="145" t="str">
        <f>IF('[13]Table 10 CWTs exp'!H11/'[13]Table 10 CWTs exp'!$Z11&gt;0,'[13]Table 10 CWTs exp'!H11/'[13]Table 10 CWTs exp'!$Z11," ")</f>
        <v xml:space="preserve"> </v>
      </c>
      <c r="I11" s="146" t="str">
        <f>IF('[13]Table 10 CWTs exp'!I11/'[13]Table 10 CWTs exp'!$Z11&gt;0,'[13]Table 10 CWTs exp'!I11/'[13]Table 10 CWTs exp'!$Z11," ")</f>
        <v xml:space="preserve"> </v>
      </c>
      <c r="J11" s="144">
        <f>IF('[13]Table 10 CWTs exp'!J11/'[13]Table 10 CWTs exp'!$Z11&gt;0,'[13]Table 10 CWTs exp'!J11/'[13]Table 10 CWTs exp'!$Z11," ")</f>
        <v>5.5693236606137071E-2</v>
      </c>
      <c r="K11" s="144">
        <f>IF('[13]Table 10 CWTs exp'!K11/'[13]Table 10 CWTs exp'!$Z11&gt;0,'[13]Table 10 CWTs exp'!K11/'[13]Table 10 CWTs exp'!$Z11," ")</f>
        <v>1.5094849727391519E-2</v>
      </c>
      <c r="L11" s="144">
        <f>IF('[13]Table 10 CWTs exp'!L11/'[13]Table 10 CWTs exp'!$Z11&gt;0,'[13]Table 10 CWTs exp'!L11/'[13]Table 10 CWTs exp'!$Z11," ")</f>
        <v>0.48844230162663904</v>
      </c>
      <c r="M11" s="146">
        <f>IF('[13]Table 10 CWTs exp'!M11/'[13]Table 10 CWTs exp'!$Z11&gt;0,'[13]Table 10 CWTs exp'!M11/'[13]Table 10 CWTs exp'!$Z11," ")</f>
        <v>0.298562609831929</v>
      </c>
      <c r="N11" s="144">
        <f>IF('[13]Table 10 CWTs exp'!N11/'[13]Table 10 CWTs exp'!$Z11&gt;0,'[13]Table 10 CWTs exp'!N11/'[13]Table 10 CWTs exp'!$Z11," ")</f>
        <v>1.802370116703465E-4</v>
      </c>
      <c r="O11" s="146">
        <f>IF('[13]Table 10 CWTs exp'!O11/'[13]Table 10 CWTs exp'!$Z11&gt;0,'[13]Table 10 CWTs exp'!O11/'[13]Table 10 CWTs exp'!$Z11," ")</f>
        <v>7.0743027080611004E-3</v>
      </c>
      <c r="P11" s="144" t="str">
        <f>IF('[13]Table 10 CWTs exp'!P11/'[13]Table 10 CWTs exp'!$Z11&gt;0,'[13]Table 10 CWTs exp'!P11/'[13]Table 10 CWTs exp'!$Z11," ")</f>
        <v xml:space="preserve"> </v>
      </c>
      <c r="Q11" s="144">
        <f>IF('[13]Table 10 CWTs exp'!Q11/'[13]Table 10 CWTs exp'!$Z11&gt;0,'[13]Table 10 CWTs exp'!Q11/'[13]Table 10 CWTs exp'!$Z11," ")</f>
        <v>4.3707475330059028E-3</v>
      </c>
      <c r="R11" s="144">
        <f>IF('[13]Table 10 CWTs exp'!R11/'[13]Table 10 CWTs exp'!$Z11&gt;0,'[13]Table 10 CWTs exp'!R11/'[13]Table 10 CWTs exp'!$Z11," ")</f>
        <v>3.0640291983958907E-3</v>
      </c>
      <c r="S11" s="146">
        <f>IF('[13]Table 10 CWTs exp'!S11/'[13]Table 10 CWTs exp'!$Z11&gt;0,'[13]Table 10 CWTs exp'!S11/'[13]Table 10 CWTs exp'!$Z11," ")</f>
        <v>9.0118505835173248E-5</v>
      </c>
      <c r="T11" s="144" t="str">
        <f>IF('[13]Table 10 CWTs exp'!T11/'[13]Table 10 CWTs exp'!$Z11&gt;0,'[13]Table 10 CWTs exp'!T11/'[13]Table 10 CWTs exp'!$Z11," ")</f>
        <v xml:space="preserve"> </v>
      </c>
      <c r="U11" s="146">
        <f>IF('[13]Table 10 CWTs exp'!U11/'[13]Table 10 CWTs exp'!$Z11&gt;0,'[13]Table 10 CWTs exp'!U11/'[13]Table 10 CWTs exp'!$Z11," ")</f>
        <v>9.3723246068580183E-3</v>
      </c>
      <c r="V11" s="146">
        <f>IF('[13]Table 10 CWTs exp'!V11/'[13]Table 10 CWTs exp'!$Z11&gt;0,'[13]Table 10 CWTs exp'!V11/'[13]Table 10 CWTs exp'!$Z11," ")</f>
        <v>2.2529626458793313E-4</v>
      </c>
      <c r="W11" s="144" t="str">
        <f>IF('[13]Table 10 CWTs exp'!W11/'[13]Table 10 CWTs exp'!$Z11&gt;0,'[13]Table 10 CWTs exp'!W11/'[13]Table 10 CWTs exp'!$Z11," ")</f>
        <v xml:space="preserve"> </v>
      </c>
      <c r="X11" s="147">
        <f t="shared" si="0"/>
        <v>0.88217005362051093</v>
      </c>
      <c r="Y11" s="148">
        <f t="shared" si="2"/>
        <v>0.11782994637948907</v>
      </c>
      <c r="Z11" s="38">
        <f>'[13]Table 10 CWTs exp'!Z11</f>
        <v>22193</v>
      </c>
      <c r="AB11" s="592">
        <f>'[13]Table 10 CWTs exp'!AC11</f>
        <v>0.88200000000000001</v>
      </c>
      <c r="AC11" s="592">
        <f t="shared" si="3"/>
        <v>1.7005362051092376E-4</v>
      </c>
      <c r="AD11" s="593" t="str">
        <f t="shared" si="1"/>
        <v>FRFH503</v>
      </c>
      <c r="AE11" s="442"/>
      <c r="AF11" s="442"/>
      <c r="AG11" s="648"/>
      <c r="AH11" s="454"/>
      <c r="AI11" s="442"/>
      <c r="AJ11" s="442"/>
    </row>
    <row r="12" spans="1:36" ht="14.5" customHeight="1" x14ac:dyDescent="0.25">
      <c r="A12" s="54" t="str">
        <f>'[13]Table 10 CWTs exp'!A12</f>
        <v>NBFH503</v>
      </c>
      <c r="B12" s="75" t="str">
        <f>'[13]Table 10 CWTs exp'!B12</f>
        <v>NBFH</v>
      </c>
      <c r="C12" s="75">
        <f>'[13]Table 10 CWTs exp'!C12</f>
        <v>50</v>
      </c>
      <c r="D12" s="75">
        <f>'[13]Table 10 CWTs exp'!D12</f>
        <v>3</v>
      </c>
      <c r="E12" s="3" t="str">
        <f>'[13]Table 10 CWTs exp'!E12</f>
        <v>Nimbus Fish Hatchery</v>
      </c>
      <c r="F12" s="143" t="str">
        <f>'[13]Table 10 CWTs exp'!F12</f>
        <v>Fall</v>
      </c>
      <c r="G12" s="151" t="str">
        <f>IF('[13]Table 10 CWTs exp'!G12/'[13]Table 10 CWTs exp'!$Z12&gt;0,'[13]Table 10 CWTs exp'!G12/'[13]Table 10 CWTs exp'!$Z12," ")</f>
        <v xml:space="preserve"> </v>
      </c>
      <c r="H12" s="145">
        <f>IF('[13]Table 10 CWTs exp'!H12/'[13]Table 10 CWTs exp'!$Z12&gt;0,'[13]Table 10 CWTs exp'!H12/'[13]Table 10 CWTs exp'!$Z12," ")</f>
        <v>1.5964240102171138E-4</v>
      </c>
      <c r="I12" s="146">
        <f>IF('[13]Table 10 CWTs exp'!I12/'[13]Table 10 CWTs exp'!$Z12&gt;0,'[13]Table 10 CWTs exp'!I12/'[13]Table 10 CWTs exp'!$Z12," ")</f>
        <v>6.3856960408684551E-4</v>
      </c>
      <c r="J12" s="144" t="str">
        <f>IF('[13]Table 10 CWTs exp'!J12/'[13]Table 10 CWTs exp'!$Z12&gt;0,'[13]Table 10 CWTs exp'!J12/'[13]Table 10 CWTs exp'!$Z12," ")</f>
        <v xml:space="preserve"> </v>
      </c>
      <c r="K12" s="144" t="str">
        <f>IF('[13]Table 10 CWTs exp'!K12/'[13]Table 10 CWTs exp'!$Z12&gt;0,'[13]Table 10 CWTs exp'!K12/'[13]Table 10 CWTs exp'!$Z12," ")</f>
        <v xml:space="preserve"> </v>
      </c>
      <c r="L12" s="144">
        <f>IF('[13]Table 10 CWTs exp'!L12/'[13]Table 10 CWTs exp'!$Z12&gt;0,'[13]Table 10 CWTs exp'!L12/'[13]Table 10 CWTs exp'!$Z12," ")</f>
        <v>1.277139208173691E-2</v>
      </c>
      <c r="M12" s="146">
        <f>IF('[13]Table 10 CWTs exp'!M12/'[13]Table 10 CWTs exp'!$Z12&gt;0,'[13]Table 10 CWTs exp'!M12/'[13]Table 10 CWTs exp'!$Z12," ")</f>
        <v>1.2292464878671775E-2</v>
      </c>
      <c r="N12" s="144">
        <f>IF('[13]Table 10 CWTs exp'!N12/'[13]Table 10 CWTs exp'!$Z12&gt;0,'[13]Table 10 CWTs exp'!N12/'[13]Table 10 CWTs exp'!$Z12," ")</f>
        <v>9.1954022988505746E-2</v>
      </c>
      <c r="O12" s="146">
        <f>IF('[13]Table 10 CWTs exp'!O12/'[13]Table 10 CWTs exp'!$Z12&gt;0,'[13]Table 10 CWTs exp'!O12/'[13]Table 10 CWTs exp'!$Z12," ")</f>
        <v>0.5365581098339719</v>
      </c>
      <c r="P12" s="144">
        <f>IF('[13]Table 10 CWTs exp'!P12/'[13]Table 10 CWTs exp'!$Z12&gt;0,'[13]Table 10 CWTs exp'!P12/'[13]Table 10 CWTs exp'!$Z12," ")</f>
        <v>1.5964240102171138E-4</v>
      </c>
      <c r="Q12" s="144">
        <f>IF('[13]Table 10 CWTs exp'!Q12/'[13]Table 10 CWTs exp'!$Z12&gt;0,'[13]Table 10 CWTs exp'!Q12/'[13]Table 10 CWTs exp'!$Z12," ")</f>
        <v>0.14798850574712644</v>
      </c>
      <c r="R12" s="144">
        <f>IF('[13]Table 10 CWTs exp'!R12/'[13]Table 10 CWTs exp'!$Z12&gt;0,'[13]Table 10 CWTs exp'!R12/'[13]Table 10 CWTs exp'!$Z12," ")</f>
        <v>1.277139208173691E-2</v>
      </c>
      <c r="S12" s="146">
        <f>IF('[13]Table 10 CWTs exp'!S12/'[13]Table 10 CWTs exp'!$Z12&gt;0,'[13]Table 10 CWTs exp'!S12/'[13]Table 10 CWTs exp'!$Z12," ")</f>
        <v>1.3409961685823755E-2</v>
      </c>
      <c r="T12" s="144" t="str">
        <f>IF('[13]Table 10 CWTs exp'!T12/'[13]Table 10 CWTs exp'!$Z12&gt;0,'[13]Table 10 CWTs exp'!T12/'[13]Table 10 CWTs exp'!$Z12," ")</f>
        <v xml:space="preserve"> </v>
      </c>
      <c r="U12" s="146">
        <f>IF('[13]Table 10 CWTs exp'!U12/'[13]Table 10 CWTs exp'!$Z12&gt;0,'[13]Table 10 CWTs exp'!U12/'[13]Table 10 CWTs exp'!$Z12," ")</f>
        <v>3.4802043422733075E-2</v>
      </c>
      <c r="V12" s="146" t="str">
        <f>IF('[13]Table 10 CWTs exp'!V12/'[13]Table 10 CWTs exp'!$Z12&gt;0,'[13]Table 10 CWTs exp'!V12/'[13]Table 10 CWTs exp'!$Z12," ")</f>
        <v xml:space="preserve"> </v>
      </c>
      <c r="W12" s="144" t="str">
        <f>IF('[13]Table 10 CWTs exp'!W12/'[13]Table 10 CWTs exp'!$Z12&gt;0,'[13]Table 10 CWTs exp'!W12/'[13]Table 10 CWTs exp'!$Z12," ")</f>
        <v xml:space="preserve"> </v>
      </c>
      <c r="X12" s="147">
        <f t="shared" si="0"/>
        <v>0.8635057471264368</v>
      </c>
      <c r="Y12" s="148">
        <f t="shared" si="2"/>
        <v>0.1364942528735632</v>
      </c>
      <c r="Z12" s="38">
        <f>'[13]Table 10 CWTs exp'!Z12</f>
        <v>6264</v>
      </c>
      <c r="AB12" s="592">
        <f>'[13]Table 10 CWTs exp'!AC12</f>
        <v>0.86399999999999999</v>
      </c>
      <c r="AC12" s="592">
        <f t="shared" si="3"/>
        <v>-4.9425287356319458E-4</v>
      </c>
      <c r="AD12" s="593" t="str">
        <f t="shared" si="1"/>
        <v>NBFH503</v>
      </c>
      <c r="AE12" s="442"/>
      <c r="AF12" s="442"/>
      <c r="AG12" s="648"/>
      <c r="AH12" s="454"/>
      <c r="AI12" s="442"/>
      <c r="AJ12" s="442"/>
    </row>
    <row r="13" spans="1:36" ht="14.5" customHeight="1" x14ac:dyDescent="0.25">
      <c r="A13" s="54" t="str">
        <f>'[13]Table 10 CWTs exp'!A13</f>
        <v>MRFI503</v>
      </c>
      <c r="B13" s="75" t="str">
        <f>'[13]Table 10 CWTs exp'!B13</f>
        <v>MRFI</v>
      </c>
      <c r="C13" s="75">
        <f>'[13]Table 10 CWTs exp'!C13</f>
        <v>50</v>
      </c>
      <c r="D13" s="75">
        <f>'[13]Table 10 CWTs exp'!D13</f>
        <v>3</v>
      </c>
      <c r="E13" s="3" t="str">
        <f>'[13]Table 10 CWTs exp'!E13</f>
        <v>Mokelumne River Hatchery</v>
      </c>
      <c r="F13" s="143" t="str">
        <f>'[13]Table 10 CWTs exp'!F13</f>
        <v>Fall</v>
      </c>
      <c r="G13" s="151" t="str">
        <f>IF('[13]Table 10 CWTs exp'!G13/'[13]Table 10 CWTs exp'!$Z13&gt;0,'[13]Table 10 CWTs exp'!G13/'[13]Table 10 CWTs exp'!$Z13," ")</f>
        <v xml:space="preserve"> </v>
      </c>
      <c r="H13" s="145">
        <f>IF('[13]Table 10 CWTs exp'!H13/'[13]Table 10 CWTs exp'!$Z13&gt;0,'[13]Table 10 CWTs exp'!H13/'[13]Table 10 CWTs exp'!$Z13," ")</f>
        <v>5.8088875980249783E-4</v>
      </c>
      <c r="I13" s="146">
        <f>IF('[13]Table 10 CWTs exp'!I13/'[13]Table 10 CWTs exp'!$Z13&gt;0,'[13]Table 10 CWTs exp'!I13/'[13]Table 10 CWTs exp'!$Z13," ")</f>
        <v>1.1617775196049957E-3</v>
      </c>
      <c r="J13" s="144" t="str">
        <f>IF('[13]Table 10 CWTs exp'!J13/'[13]Table 10 CWTs exp'!$Z13&gt;0,'[13]Table 10 CWTs exp'!J13/'[13]Table 10 CWTs exp'!$Z13," ")</f>
        <v xml:space="preserve"> </v>
      </c>
      <c r="K13" s="144" t="str">
        <f>IF('[13]Table 10 CWTs exp'!K13/'[13]Table 10 CWTs exp'!$Z13&gt;0,'[13]Table 10 CWTs exp'!K13/'[13]Table 10 CWTs exp'!$Z13," ")</f>
        <v xml:space="preserve"> </v>
      </c>
      <c r="L13" s="144">
        <f>IF('[13]Table 10 CWTs exp'!L13/'[13]Table 10 CWTs exp'!$Z13&gt;0,'[13]Table 10 CWTs exp'!L13/'[13]Table 10 CWTs exp'!$Z13," ")</f>
        <v>1.0455997676444961E-2</v>
      </c>
      <c r="M13" s="146">
        <f>IF('[13]Table 10 CWTs exp'!M13/'[13]Table 10 CWTs exp'!$Z13&gt;0,'[13]Table 10 CWTs exp'!M13/'[13]Table 10 CWTs exp'!$Z13," ")</f>
        <v>9.2942201568399652E-3</v>
      </c>
      <c r="N13" s="144" t="str">
        <f>IF('[13]Table 10 CWTs exp'!N13/'[13]Table 10 CWTs exp'!$Z13&gt;0,'[13]Table 10 CWTs exp'!N13/'[13]Table 10 CWTs exp'!$Z13," ")</f>
        <v xml:space="preserve"> </v>
      </c>
      <c r="O13" s="146">
        <f>IF('[13]Table 10 CWTs exp'!O13/'[13]Table 10 CWTs exp'!$Z13&gt;0,'[13]Table 10 CWTs exp'!O13/'[13]Table 10 CWTs exp'!$Z13," ")</f>
        <v>6.3026430438571007E-2</v>
      </c>
      <c r="P13" s="144">
        <f>IF('[13]Table 10 CWTs exp'!P13/'[13]Table 10 CWTs exp'!$Z13&gt;0,'[13]Table 10 CWTs exp'!P13/'[13]Table 10 CWTs exp'!$Z13," ")</f>
        <v>1.2779552715654952E-2</v>
      </c>
      <c r="Q13" s="144">
        <f>IF('[13]Table 10 CWTs exp'!Q13/'[13]Table 10 CWTs exp'!$Z13&gt;0,'[13]Table 10 CWTs exp'!Q13/'[13]Table 10 CWTs exp'!$Z13," ")</f>
        <v>0.63549230322393258</v>
      </c>
      <c r="R13" s="144">
        <f>IF('[13]Table 10 CWTs exp'!R13/'[13]Table 10 CWTs exp'!$Z13&gt;0,'[13]Table 10 CWTs exp'!R13/'[13]Table 10 CWTs exp'!$Z13," ")</f>
        <v>2.4978216671507406E-2</v>
      </c>
      <c r="S13" s="146">
        <f>IF('[13]Table 10 CWTs exp'!S13/'[13]Table 10 CWTs exp'!$Z13&gt;0,'[13]Table 10 CWTs exp'!S13/'[13]Table 10 CWTs exp'!$Z13," ")</f>
        <v>1.6845774034272436E-2</v>
      </c>
      <c r="T13" s="144">
        <f>IF('[13]Table 10 CWTs exp'!T13/'[13]Table 10 CWTs exp'!$Z13&gt;0,'[13]Table 10 CWTs exp'!T13/'[13]Table 10 CWTs exp'!$Z13," ")</f>
        <v>1.4522218995062445E-3</v>
      </c>
      <c r="U13" s="146">
        <f>IF('[13]Table 10 CWTs exp'!U13/'[13]Table 10 CWTs exp'!$Z13&gt;0,'[13]Table 10 CWTs exp'!U13/'[13]Table 10 CWTs exp'!$Z13," ")</f>
        <v>8.3357537031658435E-2</v>
      </c>
      <c r="V13" s="146" t="str">
        <f>IF('[13]Table 10 CWTs exp'!V13/'[13]Table 10 CWTs exp'!$Z13&gt;0,'[13]Table 10 CWTs exp'!V13/'[13]Table 10 CWTs exp'!$Z13," ")</f>
        <v xml:space="preserve"> </v>
      </c>
      <c r="W13" s="144" t="str">
        <f>IF('[13]Table 10 CWTs exp'!W13/'[13]Table 10 CWTs exp'!$Z13&gt;0,'[13]Table 10 CWTs exp'!W13/'[13]Table 10 CWTs exp'!$Z13," ")</f>
        <v xml:space="preserve"> </v>
      </c>
      <c r="X13" s="147">
        <f t="shared" si="0"/>
        <v>0.85942492012779548</v>
      </c>
      <c r="Y13" s="148">
        <f t="shared" si="2"/>
        <v>0.14057507987220452</v>
      </c>
      <c r="Z13" s="38">
        <f>'[13]Table 10 CWTs exp'!Z13</f>
        <v>3443</v>
      </c>
      <c r="AB13" s="592">
        <f>'[13]Table 10 CWTs exp'!AC13</f>
        <v>0.85899999999999999</v>
      </c>
      <c r="AC13" s="592">
        <f t="shared" si="3"/>
        <v>4.2492012779549171E-4</v>
      </c>
      <c r="AD13" s="593" t="str">
        <f t="shared" si="1"/>
        <v>MRFI503</v>
      </c>
      <c r="AE13" s="442"/>
      <c r="AF13" s="442"/>
      <c r="AG13" s="648"/>
      <c r="AH13" s="454"/>
      <c r="AI13" s="442"/>
      <c r="AJ13" s="442"/>
    </row>
    <row r="14" spans="1:36" ht="14.5" customHeight="1" x14ac:dyDescent="0.25">
      <c r="A14" s="54" t="str">
        <f>'[13]Table 10 CWTs exp'!A14</f>
        <v>MRFF503</v>
      </c>
      <c r="B14" s="75" t="str">
        <f>'[13]Table 10 CWTs exp'!B14</f>
        <v>MRFF</v>
      </c>
      <c r="C14" s="75">
        <f>'[13]Table 10 CWTs exp'!C14</f>
        <v>50</v>
      </c>
      <c r="D14" s="75">
        <f>'[13]Table 10 CWTs exp'!D14</f>
        <v>3</v>
      </c>
      <c r="E14" s="3" t="str">
        <f>'[13]Table 10 CWTs exp'!E14</f>
        <v>Merced River Hatchery</v>
      </c>
      <c r="F14" s="143" t="str">
        <f>'[13]Table 10 CWTs exp'!F14</f>
        <v>Fall</v>
      </c>
      <c r="G14" s="151" t="str">
        <f>IF('[13]Table 10 CWTs exp'!G14/'[13]Table 10 CWTs exp'!$Z14&gt;0,'[13]Table 10 CWTs exp'!G14/'[13]Table 10 CWTs exp'!$Z14," ")</f>
        <v xml:space="preserve"> </v>
      </c>
      <c r="H14" s="145">
        <f>IF('[13]Table 10 CWTs exp'!H14/'[13]Table 10 CWTs exp'!$Z14&gt;0,'[13]Table 10 CWTs exp'!H14/'[13]Table 10 CWTs exp'!$Z14," ")</f>
        <v>5.4054054054054057E-3</v>
      </c>
      <c r="I14" s="146" t="str">
        <f>IF('[13]Table 10 CWTs exp'!I14/'[13]Table 10 CWTs exp'!$Z14&gt;0,'[13]Table 10 CWTs exp'!I14/'[13]Table 10 CWTs exp'!$Z14," ")</f>
        <v xml:space="preserve"> </v>
      </c>
      <c r="J14" s="144" t="str">
        <f>IF('[13]Table 10 CWTs exp'!J14/'[13]Table 10 CWTs exp'!$Z14&gt;0,'[13]Table 10 CWTs exp'!J14/'[13]Table 10 CWTs exp'!$Z14," ")</f>
        <v xml:space="preserve"> </v>
      </c>
      <c r="K14" s="144" t="str">
        <f>IF('[13]Table 10 CWTs exp'!K14/'[13]Table 10 CWTs exp'!$Z14&gt;0,'[13]Table 10 CWTs exp'!K14/'[13]Table 10 CWTs exp'!$Z14," ")</f>
        <v xml:space="preserve"> </v>
      </c>
      <c r="L14" s="144">
        <f>IF('[13]Table 10 CWTs exp'!L14/'[13]Table 10 CWTs exp'!$Z14&gt;0,'[13]Table 10 CWTs exp'!L14/'[13]Table 10 CWTs exp'!$Z14," ")</f>
        <v>2.1621621621621623E-2</v>
      </c>
      <c r="M14" s="146">
        <f>IF('[13]Table 10 CWTs exp'!M14/'[13]Table 10 CWTs exp'!$Z14&gt;0,'[13]Table 10 CWTs exp'!M14/'[13]Table 10 CWTs exp'!$Z14," ")</f>
        <v>6.4864864864864868E-2</v>
      </c>
      <c r="N14" s="144" t="str">
        <f>IF('[13]Table 10 CWTs exp'!N14/'[13]Table 10 CWTs exp'!$Z14&gt;0,'[13]Table 10 CWTs exp'!N14/'[13]Table 10 CWTs exp'!$Z14," ")</f>
        <v xml:space="preserve"> </v>
      </c>
      <c r="O14" s="146">
        <f>IF('[13]Table 10 CWTs exp'!O14/'[13]Table 10 CWTs exp'!$Z14&gt;0,'[13]Table 10 CWTs exp'!O14/'[13]Table 10 CWTs exp'!$Z14," ")</f>
        <v>6.4864864864864868E-2</v>
      </c>
      <c r="P14" s="144" t="str">
        <f>IF('[13]Table 10 CWTs exp'!P14/'[13]Table 10 CWTs exp'!$Z14&gt;0,'[13]Table 10 CWTs exp'!P14/'[13]Table 10 CWTs exp'!$Z14," ")</f>
        <v xml:space="preserve"> </v>
      </c>
      <c r="Q14" s="144">
        <f>IF('[13]Table 10 CWTs exp'!Q14/'[13]Table 10 CWTs exp'!$Z14&gt;0,'[13]Table 10 CWTs exp'!Q14/'[13]Table 10 CWTs exp'!$Z14," ")</f>
        <v>0.22162162162162163</v>
      </c>
      <c r="R14" s="144">
        <f>IF('[13]Table 10 CWTs exp'!R14/'[13]Table 10 CWTs exp'!$Z14&gt;0,'[13]Table 10 CWTs exp'!R14/'[13]Table 10 CWTs exp'!$Z14," ")</f>
        <v>2.1621621621621623E-2</v>
      </c>
      <c r="S14" s="146">
        <f>IF('[13]Table 10 CWTs exp'!S14/'[13]Table 10 CWTs exp'!$Z14&gt;0,'[13]Table 10 CWTs exp'!S14/'[13]Table 10 CWTs exp'!$Z14," ")</f>
        <v>2.1621621621621623E-2</v>
      </c>
      <c r="T14" s="144">
        <f>IF('[13]Table 10 CWTs exp'!T14/'[13]Table 10 CWTs exp'!$Z14&gt;0,'[13]Table 10 CWTs exp'!T14/'[13]Table 10 CWTs exp'!$Z14," ")</f>
        <v>9.7297297297297303E-2</v>
      </c>
      <c r="U14" s="146">
        <f>IF('[13]Table 10 CWTs exp'!U14/'[13]Table 10 CWTs exp'!$Z14&gt;0,'[13]Table 10 CWTs exp'!U14/'[13]Table 10 CWTs exp'!$Z14," ")</f>
        <v>0.34054054054054056</v>
      </c>
      <c r="V14" s="146" t="str">
        <f>IF('[13]Table 10 CWTs exp'!V14/'[13]Table 10 CWTs exp'!$Z14&gt;0,'[13]Table 10 CWTs exp'!V14/'[13]Table 10 CWTs exp'!$Z14," ")</f>
        <v xml:space="preserve"> </v>
      </c>
      <c r="W14" s="144" t="str">
        <f>IF('[13]Table 10 CWTs exp'!W14/'[13]Table 10 CWTs exp'!$Z14&gt;0,'[13]Table 10 CWTs exp'!W14/'[13]Table 10 CWTs exp'!$Z14," ")</f>
        <v xml:space="preserve"> </v>
      </c>
      <c r="X14" s="147">
        <f t="shared" si="0"/>
        <v>0.85945945945945956</v>
      </c>
      <c r="Y14" s="148">
        <f t="shared" si="2"/>
        <v>0.14054054054054044</v>
      </c>
      <c r="Z14" s="38">
        <f>'[13]Table 10 CWTs exp'!Z14</f>
        <v>185</v>
      </c>
      <c r="AB14" s="592">
        <f>'[13]Table 10 CWTs exp'!AC14</f>
        <v>0.85899999999999999</v>
      </c>
      <c r="AC14" s="592">
        <f t="shared" si="3"/>
        <v>4.5945945945957689E-4</v>
      </c>
      <c r="AD14" s="593" t="str">
        <f t="shared" si="1"/>
        <v>MRFF503</v>
      </c>
      <c r="AE14" s="442"/>
      <c r="AF14" s="442"/>
      <c r="AG14" s="648"/>
      <c r="AH14" s="454"/>
      <c r="AI14" s="442"/>
      <c r="AJ14" s="442"/>
    </row>
    <row r="15" spans="1:36" ht="14.5" customHeight="1" x14ac:dyDescent="0.25">
      <c r="A15" s="54" t="str">
        <f>'[13]Table 10 CWTs exp'!A15</f>
        <v>CNFH507</v>
      </c>
      <c r="B15" s="75" t="str">
        <f>'[13]Table 10 CWTs exp'!B15</f>
        <v>CNFH</v>
      </c>
      <c r="C15" s="75">
        <f>'[13]Table 10 CWTs exp'!C15</f>
        <v>50</v>
      </c>
      <c r="D15" s="75">
        <f>'[13]Table 10 CWTs exp'!D15</f>
        <v>7</v>
      </c>
      <c r="E15" s="3" t="str">
        <f>'[13]Table 10 CWTs exp'!E15</f>
        <v xml:space="preserve">Coleman National Fish Hatchery </v>
      </c>
      <c r="F15" s="37" t="s">
        <v>133</v>
      </c>
      <c r="G15" s="151" t="str">
        <f>IF('[13]Table 10 CWTs exp'!G15/'[13]Table 10 CWTs exp'!$Z15&gt;0,'[13]Table 10 CWTs exp'!G15/'[13]Table 10 CWTs exp'!$Z15," ")</f>
        <v xml:space="preserve"> </v>
      </c>
      <c r="H15" s="145">
        <f>IF('[13]Table 10 CWTs exp'!H15/'[13]Table 10 CWTs exp'!$Z15&gt;0,'[13]Table 10 CWTs exp'!H15/'[13]Table 10 CWTs exp'!$Z15," ")</f>
        <v>0.97128927410617549</v>
      </c>
      <c r="I15" s="146">
        <f>IF('[13]Table 10 CWTs exp'!I15/'[13]Table 10 CWTs exp'!$Z15&gt;0,'[13]Table 10 CWTs exp'!I15/'[13]Table 10 CWTs exp'!$Z15," ")</f>
        <v>4.3336944745395447E-3</v>
      </c>
      <c r="J15" s="144" t="str">
        <f>IF('[13]Table 10 CWTs exp'!J15/'[13]Table 10 CWTs exp'!$Z15&gt;0,'[13]Table 10 CWTs exp'!J15/'[13]Table 10 CWTs exp'!$Z15," ")</f>
        <v xml:space="preserve"> </v>
      </c>
      <c r="K15" s="144" t="str">
        <f>IF('[13]Table 10 CWTs exp'!K15/'[13]Table 10 CWTs exp'!$Z15&gt;0,'[13]Table 10 CWTs exp'!K15/'[13]Table 10 CWTs exp'!$Z15," ")</f>
        <v xml:space="preserve"> </v>
      </c>
      <c r="L15" s="144" t="str">
        <f>IF('[13]Table 10 CWTs exp'!L15/'[13]Table 10 CWTs exp'!$Z15&gt;0,'[13]Table 10 CWTs exp'!L15/'[13]Table 10 CWTs exp'!$Z15," ")</f>
        <v xml:space="preserve"> </v>
      </c>
      <c r="M15" s="146" t="str">
        <f>IF('[13]Table 10 CWTs exp'!M15/'[13]Table 10 CWTs exp'!$Z15&gt;0,'[13]Table 10 CWTs exp'!M15/'[13]Table 10 CWTs exp'!$Z15," ")</f>
        <v xml:space="preserve"> </v>
      </c>
      <c r="N15" s="144" t="str">
        <f>IF('[13]Table 10 CWTs exp'!N15/'[13]Table 10 CWTs exp'!$Z15&gt;0,'[13]Table 10 CWTs exp'!N15/'[13]Table 10 CWTs exp'!$Z15," ")</f>
        <v xml:space="preserve"> </v>
      </c>
      <c r="O15" s="146">
        <f>IF('[13]Table 10 CWTs exp'!O15/'[13]Table 10 CWTs exp'!$Z15&gt;0,'[13]Table 10 CWTs exp'!O15/'[13]Table 10 CWTs exp'!$Z15," ")</f>
        <v>6.5005417118093175E-3</v>
      </c>
      <c r="P15" s="144" t="str">
        <f>IF('[13]Table 10 CWTs exp'!P15/'[13]Table 10 CWTs exp'!$Z15&gt;0,'[13]Table 10 CWTs exp'!P15/'[13]Table 10 CWTs exp'!$Z15," ")</f>
        <v xml:space="preserve"> </v>
      </c>
      <c r="Q15" s="144" t="str">
        <f>IF('[13]Table 10 CWTs exp'!Q15/'[13]Table 10 CWTs exp'!$Z15&gt;0,'[13]Table 10 CWTs exp'!Q15/'[13]Table 10 CWTs exp'!$Z15," ")</f>
        <v xml:space="preserve"> </v>
      </c>
      <c r="R15" s="144" t="str">
        <f>IF('[13]Table 10 CWTs exp'!R15/'[13]Table 10 CWTs exp'!$Z15&gt;0,'[13]Table 10 CWTs exp'!R15/'[13]Table 10 CWTs exp'!$Z15," ")</f>
        <v xml:space="preserve"> </v>
      </c>
      <c r="S15" s="146">
        <f>IF('[13]Table 10 CWTs exp'!S15/'[13]Table 10 CWTs exp'!$Z15&gt;0,'[13]Table 10 CWTs exp'!S15/'[13]Table 10 CWTs exp'!$Z15," ")</f>
        <v>2.1668472372697724E-3</v>
      </c>
      <c r="T15" s="144" t="str">
        <f>IF('[13]Table 10 CWTs exp'!T15/'[13]Table 10 CWTs exp'!$Z15&gt;0,'[13]Table 10 CWTs exp'!T15/'[13]Table 10 CWTs exp'!$Z15," ")</f>
        <v xml:space="preserve"> </v>
      </c>
      <c r="U15" s="146" t="str">
        <f>IF('[13]Table 10 CWTs exp'!U15/'[13]Table 10 CWTs exp'!$Z15&gt;0,'[13]Table 10 CWTs exp'!U15/'[13]Table 10 CWTs exp'!$Z15," ")</f>
        <v xml:space="preserve"> </v>
      </c>
      <c r="V15" s="146" t="str">
        <f>IF('[13]Table 10 CWTs exp'!V15/'[13]Table 10 CWTs exp'!$Z15&gt;0,'[13]Table 10 CWTs exp'!V15/'[13]Table 10 CWTs exp'!$Z15," ")</f>
        <v xml:space="preserve"> </v>
      </c>
      <c r="W15" s="144" t="str">
        <f>IF('[13]Table 10 CWTs exp'!W15/'[13]Table 10 CWTs exp'!$Z15&gt;0,'[13]Table 10 CWTs exp'!W15/'[13]Table 10 CWTs exp'!$Z15," ")</f>
        <v xml:space="preserve"> </v>
      </c>
      <c r="X15" s="147">
        <f t="shared" si="0"/>
        <v>0.98429035752979421</v>
      </c>
      <c r="Y15" s="148">
        <f t="shared" si="2"/>
        <v>1.5709642470205787E-2</v>
      </c>
      <c r="Z15" s="38">
        <f>'[13]Table 10 CWTs exp'!Z15</f>
        <v>1846</v>
      </c>
      <c r="AB15" s="592">
        <f>'[13]Table 10 CWTs exp'!AC15</f>
        <v>0.98399999999999999</v>
      </c>
      <c r="AC15" s="592">
        <f t="shared" si="3"/>
        <v>2.9035752979422735E-4</v>
      </c>
      <c r="AD15" s="593" t="str">
        <f t="shared" si="1"/>
        <v>CNFH507</v>
      </c>
      <c r="AE15" s="442"/>
      <c r="AF15" s="442"/>
      <c r="AG15" s="648"/>
      <c r="AH15" s="454"/>
      <c r="AI15" s="442"/>
      <c r="AJ15" s="442"/>
    </row>
    <row r="16" spans="1:36" ht="14.5" customHeight="1" x14ac:dyDescent="0.25">
      <c r="A16" s="54" t="str">
        <f>'[13]Table 10 CWTs exp'!A16</f>
        <v>CNFW527</v>
      </c>
      <c r="B16" s="75" t="str">
        <f>'[13]Table 10 CWTs exp'!B16</f>
        <v>CNFW</v>
      </c>
      <c r="C16" s="75">
        <f>'[13]Table 10 CWTs exp'!C16</f>
        <v>52</v>
      </c>
      <c r="D16" s="75">
        <f>'[13]Table 10 CWTs exp'!D16</f>
        <v>7</v>
      </c>
      <c r="E16" s="3" t="str">
        <f>'[13]Table 10 CWTs exp'!E16</f>
        <v>Coleman Hatchery Fish Trap</v>
      </c>
      <c r="F16" s="37" t="s">
        <v>133</v>
      </c>
      <c r="G16" s="151" t="str">
        <f>IF('[13]Table 10 CWTs exp'!G16/'[13]Table 10 CWTs exp'!$Z16&gt;0,'[13]Table 10 CWTs exp'!G16/'[13]Table 10 CWTs exp'!$Z16," ")</f>
        <v xml:space="preserve"> </v>
      </c>
      <c r="H16" s="145">
        <f>IF('[13]Table 10 CWTs exp'!H16/'[13]Table 10 CWTs exp'!$Z16&gt;0,'[13]Table 10 CWTs exp'!H16/'[13]Table 10 CWTs exp'!$Z16," ")</f>
        <v>0.96296296296296291</v>
      </c>
      <c r="I16" s="146" t="str">
        <f>IF('[13]Table 10 CWTs exp'!I16/'[13]Table 10 CWTs exp'!$Z16&gt;0,'[13]Table 10 CWTs exp'!I16/'[13]Table 10 CWTs exp'!$Z16," ")</f>
        <v xml:space="preserve"> </v>
      </c>
      <c r="J16" s="144" t="str">
        <f>IF('[13]Table 10 CWTs exp'!J16/'[13]Table 10 CWTs exp'!$Z16&gt;0,'[13]Table 10 CWTs exp'!J16/'[13]Table 10 CWTs exp'!$Z16," ")</f>
        <v xml:space="preserve"> </v>
      </c>
      <c r="K16" s="144" t="str">
        <f>IF('[13]Table 10 CWTs exp'!K16/'[13]Table 10 CWTs exp'!$Z16&gt;0,'[13]Table 10 CWTs exp'!K16/'[13]Table 10 CWTs exp'!$Z16," ")</f>
        <v xml:space="preserve"> </v>
      </c>
      <c r="L16" s="144" t="str">
        <f>IF('[13]Table 10 CWTs exp'!L16/'[13]Table 10 CWTs exp'!$Z16&gt;0,'[13]Table 10 CWTs exp'!L16/'[13]Table 10 CWTs exp'!$Z16," ")</f>
        <v xml:space="preserve"> </v>
      </c>
      <c r="M16" s="146" t="str">
        <f>IF('[13]Table 10 CWTs exp'!M16/'[13]Table 10 CWTs exp'!$Z16&gt;0,'[13]Table 10 CWTs exp'!M16/'[13]Table 10 CWTs exp'!$Z16," ")</f>
        <v xml:space="preserve"> </v>
      </c>
      <c r="N16" s="144" t="str">
        <f>IF('[13]Table 10 CWTs exp'!N16/'[13]Table 10 CWTs exp'!$Z16&gt;0,'[13]Table 10 CWTs exp'!N16/'[13]Table 10 CWTs exp'!$Z16," ")</f>
        <v xml:space="preserve"> </v>
      </c>
      <c r="O16" s="146" t="str">
        <f>IF('[13]Table 10 CWTs exp'!O16/'[13]Table 10 CWTs exp'!$Z16&gt;0,'[13]Table 10 CWTs exp'!O16/'[13]Table 10 CWTs exp'!$Z16," ")</f>
        <v xml:space="preserve"> </v>
      </c>
      <c r="P16" s="144" t="str">
        <f>IF('[13]Table 10 CWTs exp'!P16/'[13]Table 10 CWTs exp'!$Z16&gt;0,'[13]Table 10 CWTs exp'!P16/'[13]Table 10 CWTs exp'!$Z16," ")</f>
        <v xml:space="preserve"> </v>
      </c>
      <c r="Q16" s="144" t="str">
        <f>IF('[13]Table 10 CWTs exp'!Q16/'[13]Table 10 CWTs exp'!$Z16&gt;0,'[13]Table 10 CWTs exp'!Q16/'[13]Table 10 CWTs exp'!$Z16," ")</f>
        <v xml:space="preserve"> </v>
      </c>
      <c r="R16" s="144" t="str">
        <f>IF('[13]Table 10 CWTs exp'!R16/'[13]Table 10 CWTs exp'!$Z16&gt;0,'[13]Table 10 CWTs exp'!R16/'[13]Table 10 CWTs exp'!$Z16," ")</f>
        <v xml:space="preserve"> </v>
      </c>
      <c r="S16" s="146" t="str">
        <f>IF('[13]Table 10 CWTs exp'!S16/'[13]Table 10 CWTs exp'!$Z16&gt;0,'[13]Table 10 CWTs exp'!S16/'[13]Table 10 CWTs exp'!$Z16," ")</f>
        <v xml:space="preserve"> </v>
      </c>
      <c r="T16" s="144" t="str">
        <f>IF('[13]Table 10 CWTs exp'!T16/'[13]Table 10 CWTs exp'!$Z16&gt;0,'[13]Table 10 CWTs exp'!T16/'[13]Table 10 CWTs exp'!$Z16," ")</f>
        <v xml:space="preserve"> </v>
      </c>
      <c r="U16" s="146" t="str">
        <f>IF('[13]Table 10 CWTs exp'!U16/'[13]Table 10 CWTs exp'!$Z16&gt;0,'[13]Table 10 CWTs exp'!U16/'[13]Table 10 CWTs exp'!$Z16," ")</f>
        <v xml:space="preserve"> </v>
      </c>
      <c r="V16" s="146" t="str">
        <f>IF('[13]Table 10 CWTs exp'!V16/'[13]Table 10 CWTs exp'!$Z16&gt;0,'[13]Table 10 CWTs exp'!V16/'[13]Table 10 CWTs exp'!$Z16," ")</f>
        <v xml:space="preserve"> </v>
      </c>
      <c r="W16" s="144" t="str">
        <f>IF('[13]Table 10 CWTs exp'!W16/'[13]Table 10 CWTs exp'!$Z16&gt;0,'[13]Table 10 CWTs exp'!W16/'[13]Table 10 CWTs exp'!$Z16," ")</f>
        <v xml:space="preserve"> </v>
      </c>
      <c r="X16" s="147">
        <f t="shared" si="0"/>
        <v>0.96296296296296291</v>
      </c>
      <c r="Y16" s="148">
        <f t="shared" si="2"/>
        <v>3.703703703703709E-2</v>
      </c>
      <c r="Z16" s="38">
        <f>'[13]Table 10 CWTs exp'!Z16</f>
        <v>54</v>
      </c>
      <c r="AB16" s="592">
        <f>'[13]Table 10 CWTs exp'!AC16</f>
        <v>0.96299999999999997</v>
      </c>
      <c r="AC16" s="592">
        <f t="shared" si="3"/>
        <v>-3.703703703705763E-5</v>
      </c>
      <c r="AD16" s="593" t="str">
        <f t="shared" si="1"/>
        <v>CNFW527</v>
      </c>
      <c r="AE16" s="442"/>
      <c r="AF16" s="442"/>
      <c r="AG16" s="648"/>
      <c r="AH16" s="454"/>
      <c r="AI16" s="442"/>
      <c r="AJ16" s="442"/>
    </row>
    <row r="17" spans="1:36" ht="14.5" hidden="1" customHeight="1" x14ac:dyDescent="0.25">
      <c r="A17" s="50" t="s">
        <v>134</v>
      </c>
      <c r="B17" s="75" t="str">
        <f>'[13]Table 10 CWTs exp'!B17</f>
        <v>KESW</v>
      </c>
      <c r="C17" s="75">
        <f>'[13]Table 10 CWTs exp'!C17</f>
        <v>50</v>
      </c>
      <c r="D17" s="75">
        <f>'[13]Table 10 CWTs exp'!D17</f>
        <v>7</v>
      </c>
      <c r="E17" s="3" t="str">
        <f>'[13]Table 10 CWTs exp'!E17</f>
        <v>Keswick Dam Fish Trap</v>
      </c>
      <c r="F17" s="37" t="s">
        <v>133</v>
      </c>
      <c r="G17" s="151"/>
      <c r="H17" s="145"/>
      <c r="I17" s="146"/>
      <c r="J17" s="144"/>
      <c r="K17" s="144"/>
      <c r="L17" s="144"/>
      <c r="M17" s="146"/>
      <c r="N17" s="144"/>
      <c r="O17" s="146"/>
      <c r="P17" s="144"/>
      <c r="Q17" s="144"/>
      <c r="R17" s="144"/>
      <c r="S17" s="146"/>
      <c r="T17" s="144"/>
      <c r="U17" s="146"/>
      <c r="V17" s="146"/>
      <c r="W17" s="144"/>
      <c r="X17" s="147"/>
      <c r="Y17" s="148"/>
      <c r="Z17" s="38">
        <f>'[13]Table 10 CWTs exp'!Z17</f>
        <v>0</v>
      </c>
      <c r="AB17" s="592">
        <f>'[13]Table 10 CWTs exp'!AC17</f>
        <v>0</v>
      </c>
      <c r="AC17" s="592">
        <f t="shared" si="3"/>
        <v>0</v>
      </c>
      <c r="AD17" s="593" t="str">
        <f t="shared" si="1"/>
        <v>KESW507</v>
      </c>
      <c r="AE17" s="442"/>
      <c r="AF17" s="442"/>
      <c r="AG17" s="648"/>
      <c r="AH17" s="454"/>
      <c r="AI17" s="442"/>
      <c r="AJ17" s="442"/>
    </row>
    <row r="18" spans="1:36" ht="14.15" customHeight="1" x14ac:dyDescent="0.25">
      <c r="A18" s="5"/>
      <c r="E18" s="743" t="s">
        <v>135</v>
      </c>
      <c r="F18" s="743"/>
      <c r="G18" s="152" t="str">
        <f>IF('[13]Table 10 CWTs exp'!G18/'[13]Table 10 CWTs exp'!$Z18&gt;0,'[13]Table 10 CWTs exp'!G18/'[13]Table 10 CWTs exp'!$Z18," ")</f>
        <v xml:space="preserve"> </v>
      </c>
      <c r="H18" s="153">
        <f>IF('[13]Table 10 CWTs exp'!H18/'[13]Table 10 CWTs exp'!$Z18&gt;0,'[13]Table 10 CWTs exp'!H18/'[13]Table 10 CWTs exp'!$Z18," ")</f>
        <v>5.892366112347781E-4</v>
      </c>
      <c r="I18" s="154">
        <f>IF('[13]Table 10 CWTs exp'!I18/'[13]Table 10 CWTs exp'!$Z18&gt;0,'[13]Table 10 CWTs exp'!I18/'[13]Table 10 CWTs exp'!$Z18," ")</f>
        <v>0.25708175112391429</v>
      </c>
      <c r="J18" s="152">
        <f>IF('[13]Table 10 CWTs exp'!J18/'[13]Table 10 CWTs exp'!$Z18&gt;0,'[13]Table 10 CWTs exp'!J18/'[13]Table 10 CWTs exp'!$Z18," ")</f>
        <v>2.6973942647636508E-2</v>
      </c>
      <c r="K18" s="152">
        <f>IF('[13]Table 10 CWTs exp'!K18/'[13]Table 10 CWTs exp'!$Z18&gt;0,'[13]Table 10 CWTs exp'!K18/'[13]Table 10 CWTs exp'!$Z18," ")</f>
        <v>7.3108986949500243E-3</v>
      </c>
      <c r="L18" s="152">
        <f>IF('[13]Table 10 CWTs exp'!L18/'[13]Table 10 CWTs exp'!$Z18&gt;0,'[13]Table 10 CWTs exp'!L18/'[13]Table 10 CWTs exp'!$Z18," ")</f>
        <v>0.24077953821308543</v>
      </c>
      <c r="M18" s="154">
        <f>IF('[13]Table 10 CWTs exp'!M18/'[13]Table 10 CWTs exp'!$Z18&gt;0,'[13]Table 10 CWTs exp'!M18/'[13]Table 10 CWTs exp'!$Z18," ")</f>
        <v>0.14874950896949063</v>
      </c>
      <c r="N18" s="152">
        <f>IF('[13]Table 10 CWTs exp'!N18/'[13]Table 10 CWTs exp'!$Z18&gt;0,'[13]Table 10 CWTs exp'!N18/'[13]Table 10 CWTs exp'!$Z18," ")</f>
        <v>1.274496966522631E-2</v>
      </c>
      <c r="O18" s="154">
        <f>IF('[13]Table 10 CWTs exp'!O18/'[13]Table 10 CWTs exp'!$Z18&gt;0,'[13]Table 10 CWTs exp'!O18/'[13]Table 10 CWTs exp'!$Z18," ")</f>
        <v>8.1947536118021913E-2</v>
      </c>
      <c r="P18" s="152">
        <f>IF('[13]Table 10 CWTs exp'!P18/'[13]Table 10 CWTs exp'!$Z18&gt;0,'[13]Table 10 CWTs exp'!P18/'[13]Table 10 CWTs exp'!$Z18," ")</f>
        <v>9.8206101872463014E-4</v>
      </c>
      <c r="Q18" s="152">
        <f>IF('[13]Table 10 CWTs exp'!Q18/'[13]Table 10 CWTs exp'!$Z18&gt;0,'[13]Table 10 CWTs exp'!Q18/'[13]Table 10 CWTs exp'!$Z18," ")</f>
        <v>7.1079394177469335E-2</v>
      </c>
      <c r="R18" s="152">
        <f>IF('[13]Table 10 CWTs exp'!R18/'[13]Table 10 CWTs exp'!$Z18&gt;0,'[13]Table 10 CWTs exp'!R18/'[13]Table 10 CWTs exp'!$Z18," ")</f>
        <v>5.2158351883374796E-3</v>
      </c>
      <c r="S18" s="154">
        <f>IF('[13]Table 10 CWTs exp'!S18/'[13]Table 10 CWTs exp'!$Z18&gt;0,'[13]Table 10 CWTs exp'!S18/'[13]Table 10 CWTs exp'!$Z18," ")</f>
        <v>3.3171838854698615E-3</v>
      </c>
      <c r="T18" s="152">
        <f>IF('[13]Table 10 CWTs exp'!T18/'[13]Table 10 CWTs exp'!$Z18&gt;0,'[13]Table 10 CWTs exp'!T18/'[13]Table 10 CWTs exp'!$Z18," ")</f>
        <v>5.0194229845925537E-4</v>
      </c>
      <c r="U18" s="154">
        <f>IF('[13]Table 10 CWTs exp'!U18/'[13]Table 10 CWTs exp'!$Z18&gt;0,'[13]Table 10 CWTs exp'!U18/'[13]Table 10 CWTs exp'!$Z18," ")</f>
        <v>1.6935096678451399E-2</v>
      </c>
      <c r="V18" s="154">
        <f>IF('[13]Table 10 CWTs exp'!V18/'[13]Table 10 CWTs exp'!$Z18&gt;0,'[13]Table 10 CWTs exp'!V18/'[13]Table 10 CWTs exp'!$Z18," ")</f>
        <v>1.0911789096940334E-4</v>
      </c>
      <c r="W18" s="152" t="str">
        <f>IF('[13]Table 10 CWTs exp'!W18/'[13]Table 10 CWTs exp'!$Z18&gt;0,'[13]Table 10 CWTs exp'!W18/'[13]Table 10 CWTs exp'!$Z18," ")</f>
        <v xml:space="preserve"> </v>
      </c>
      <c r="X18" s="155">
        <f>SUM(G18:W18)</f>
        <v>0.8743180131814412</v>
      </c>
      <c r="Y18" s="156">
        <f>IF('[13]Table 10 CWTs exp'!Y18&gt;0,'[13]Table 10 CWTs exp'!Y18/'[13]Table 10 CWTs exp'!$Z18," ")</f>
        <v>0.12568198681855877</v>
      </c>
      <c r="Z18" s="63">
        <f>'[13]Table 10 CWTs exp'!Z18</f>
        <v>45822</v>
      </c>
      <c r="AA18" s="47"/>
      <c r="AB18" s="592">
        <f>'[13]Table 10 CWTs exp'!AC18</f>
        <v>0.8743180131814412</v>
      </c>
      <c r="AC18" s="592">
        <f t="shared" si="3"/>
        <v>0</v>
      </c>
      <c r="AD18" s="593"/>
      <c r="AE18" s="594"/>
      <c r="AF18" s="442"/>
      <c r="AG18" s="648"/>
      <c r="AH18" s="454"/>
      <c r="AI18" s="442"/>
      <c r="AJ18" s="442"/>
    </row>
    <row r="19" spans="1:36" ht="14.15" customHeight="1" x14ac:dyDescent="0.3">
      <c r="A19" s="5"/>
      <c r="E19" s="26" t="s">
        <v>63</v>
      </c>
      <c r="F19"/>
      <c r="G19" s="151"/>
      <c r="H19" s="157"/>
      <c r="I19" s="158"/>
      <c r="J19" s="151"/>
      <c r="K19" s="151"/>
      <c r="L19" s="151"/>
      <c r="M19" s="158"/>
      <c r="N19" s="151"/>
      <c r="O19" s="158"/>
      <c r="P19" s="151"/>
      <c r="Q19" s="151"/>
      <c r="R19" s="151"/>
      <c r="S19" s="158"/>
      <c r="T19" s="151"/>
      <c r="U19" s="158"/>
      <c r="V19" s="158"/>
      <c r="W19" s="144"/>
      <c r="X19" s="147"/>
      <c r="Y19" s="148"/>
      <c r="Z19" s="38"/>
      <c r="AB19" s="592"/>
      <c r="AC19" s="592"/>
      <c r="AD19" s="593"/>
      <c r="AE19" s="442"/>
      <c r="AF19" s="442"/>
      <c r="AG19" s="648"/>
      <c r="AH19" s="454"/>
      <c r="AI19" s="442"/>
      <c r="AJ19" s="442"/>
    </row>
    <row r="20" spans="1:36" ht="14.5" customHeight="1" x14ac:dyDescent="0.25">
      <c r="A20" s="54" t="str">
        <f>'[13]Table 10 CWTs exp'!A20</f>
        <v>USAC544</v>
      </c>
      <c r="B20" s="75" t="str">
        <f>'[13]Table 10 CWTs exp'!B20</f>
        <v>USAC</v>
      </c>
      <c r="C20" s="75">
        <f>'[13]Table 10 CWTs exp'!C20</f>
        <v>54</v>
      </c>
      <c r="D20" s="75">
        <f>'[13]Table 10 CWTs exp'!D20</f>
        <v>4</v>
      </c>
      <c r="E20" t="str">
        <f>'[13]Table 10 CWTs exp'!E20</f>
        <v>Upper Sacramento River</v>
      </c>
      <c r="F20" s="37" t="str">
        <f>'[13]Table 10 CWTs exp'!F20</f>
        <v>Winter</v>
      </c>
      <c r="G20" s="144">
        <f>IF('[13]Table 10 CWTs exp'!G20/'[13]Table 10 CWTs exp'!$Z20&gt;0,'[13]Table 10 CWTs exp'!G20/'[13]Table 10 CWTs exp'!$Z20," ")</f>
        <v>0.43276836158192089</v>
      </c>
      <c r="H20" s="145" t="str">
        <f>IF('[13]Table 10 CWTs exp'!H20/'[13]Table 10 CWTs exp'!$Z20&gt;0,'[13]Table 10 CWTs exp'!H20/'[13]Table 10 CWTs exp'!$Z20," ")</f>
        <v xml:space="preserve"> </v>
      </c>
      <c r="I20" s="146" t="str">
        <f>IF('[13]Table 10 CWTs exp'!I20/'[13]Table 10 CWTs exp'!$Z20&gt;0,'[13]Table 10 CWTs exp'!I20/'[13]Table 10 CWTs exp'!$Z20," ")</f>
        <v xml:space="preserve"> </v>
      </c>
      <c r="J20" s="144" t="str">
        <f>IF('[13]Table 10 CWTs exp'!J20/'[13]Table 10 CWTs exp'!$Z20&gt;0,'[13]Table 10 CWTs exp'!J20/'[13]Table 10 CWTs exp'!$Z20," ")</f>
        <v xml:space="preserve"> </v>
      </c>
      <c r="K20" s="144" t="str">
        <f>IF('[13]Table 10 CWTs exp'!K20/'[13]Table 10 CWTs exp'!$Z20&gt;0,'[13]Table 10 CWTs exp'!K20/'[13]Table 10 CWTs exp'!$Z20," ")</f>
        <v xml:space="preserve"> </v>
      </c>
      <c r="L20" s="144" t="str">
        <f>IF('[13]Table 10 CWTs exp'!L20/'[13]Table 10 CWTs exp'!$Z20&gt;0,'[13]Table 10 CWTs exp'!L20/'[13]Table 10 CWTs exp'!$Z20," ")</f>
        <v xml:space="preserve"> </v>
      </c>
      <c r="M20" s="146" t="str">
        <f>IF('[13]Table 10 CWTs exp'!M20/'[13]Table 10 CWTs exp'!$Z20&gt;0,'[13]Table 10 CWTs exp'!M20/'[13]Table 10 CWTs exp'!$Z20," ")</f>
        <v xml:space="preserve"> </v>
      </c>
      <c r="N20" s="144" t="str">
        <f>IF('[13]Table 10 CWTs exp'!N20/'[13]Table 10 CWTs exp'!$Z20&gt;0,'[13]Table 10 CWTs exp'!N20/'[13]Table 10 CWTs exp'!$Z20," ")</f>
        <v xml:space="preserve"> </v>
      </c>
      <c r="O20" s="146" t="str">
        <f>IF('[13]Table 10 CWTs exp'!O20/'[13]Table 10 CWTs exp'!$Z20&gt;0,'[13]Table 10 CWTs exp'!O20/'[13]Table 10 CWTs exp'!$Z20," ")</f>
        <v xml:space="preserve"> </v>
      </c>
      <c r="P20" s="144" t="str">
        <f>IF('[13]Table 10 CWTs exp'!P20/'[13]Table 10 CWTs exp'!$Z20&gt;0,'[13]Table 10 CWTs exp'!P20/'[13]Table 10 CWTs exp'!$Z20," ")</f>
        <v xml:space="preserve"> </v>
      </c>
      <c r="Q20" s="144" t="str">
        <f>IF('[13]Table 10 CWTs exp'!Q20/'[13]Table 10 CWTs exp'!$Z20&gt;0,'[13]Table 10 CWTs exp'!Q20/'[13]Table 10 CWTs exp'!$Z20," ")</f>
        <v xml:space="preserve"> </v>
      </c>
      <c r="R20" s="144" t="str">
        <f>IF('[13]Table 10 CWTs exp'!R20/'[13]Table 10 CWTs exp'!$Z20&gt;0,'[13]Table 10 CWTs exp'!R20/'[13]Table 10 CWTs exp'!$Z20," ")</f>
        <v xml:space="preserve"> </v>
      </c>
      <c r="S20" s="146" t="str">
        <f>IF('[13]Table 10 CWTs exp'!S20/'[13]Table 10 CWTs exp'!$Z20&gt;0,'[13]Table 10 CWTs exp'!S20/'[13]Table 10 CWTs exp'!$Z20," ")</f>
        <v xml:space="preserve"> </v>
      </c>
      <c r="T20" s="144" t="str">
        <f>IF('[13]Table 10 CWTs exp'!T20/'[13]Table 10 CWTs exp'!$Z20&gt;0,'[13]Table 10 CWTs exp'!T20/'[13]Table 10 CWTs exp'!$Z20," ")</f>
        <v xml:space="preserve"> </v>
      </c>
      <c r="U20" s="146" t="str">
        <f>IF('[13]Table 10 CWTs exp'!U20/'[13]Table 10 CWTs exp'!$Z20&gt;0,'[13]Table 10 CWTs exp'!U20/'[13]Table 10 CWTs exp'!$Z20," ")</f>
        <v xml:space="preserve"> </v>
      </c>
      <c r="V20" s="146" t="str">
        <f>IF('[13]Table 10 CWTs exp'!V20/'[13]Table 10 CWTs exp'!$Z20&gt;0,'[13]Table 10 CWTs exp'!V20/'[13]Table 10 CWTs exp'!$Z20," ")</f>
        <v xml:space="preserve"> </v>
      </c>
      <c r="W20" s="144" t="str">
        <f>IF('[13]Table 10 CWTs exp'!W20/'[13]Table 10 CWTs exp'!$Z20&gt;0,'[13]Table 10 CWTs exp'!W20/'[13]Table 10 CWTs exp'!$Z20," ")</f>
        <v xml:space="preserve"> </v>
      </c>
      <c r="X20" s="147">
        <f t="shared" ref="X20:X42" si="4">SUM(G20:W20)</f>
        <v>0.43276836158192089</v>
      </c>
      <c r="Y20" s="148">
        <f t="shared" ref="Y20:Y41" si="5">1-X20</f>
        <v>0.56723163841807911</v>
      </c>
      <c r="Z20" s="38">
        <f>'[13]Table 10 CWTs exp'!Z20</f>
        <v>6195</v>
      </c>
      <c r="AB20" s="592">
        <f>'[13]Table 10 CWTs exp'!AC20</f>
        <v>0.433</v>
      </c>
      <c r="AC20" s="592">
        <f t="shared" si="3"/>
        <v>-2.3163841807910535E-4</v>
      </c>
      <c r="AD20" s="593" t="str">
        <f t="shared" ref="AD20:AD41" si="6">A20</f>
        <v>USAC544</v>
      </c>
      <c r="AE20" s="442"/>
      <c r="AF20" s="442"/>
      <c r="AG20" s="648"/>
      <c r="AH20" s="454"/>
      <c r="AI20" s="442"/>
      <c r="AJ20" s="442"/>
    </row>
    <row r="21" spans="1:36" ht="14.25" customHeight="1" x14ac:dyDescent="0.25">
      <c r="A21" s="54" t="str">
        <f>'[13]Table 10 CWTs exp'!A21</f>
        <v>BUTT541</v>
      </c>
      <c r="B21" s="75" t="str">
        <f>'[13]Table 10 CWTs exp'!B21</f>
        <v>BUTT</v>
      </c>
      <c r="C21" s="75">
        <f>'[13]Table 10 CWTs exp'!C21</f>
        <v>54</v>
      </c>
      <c r="D21" s="75">
        <f>'[13]Table 10 CWTs exp'!D21</f>
        <v>1</v>
      </c>
      <c r="E21" t="str">
        <f>'[13]Table 10 CWTs exp'!E21</f>
        <v>Butte Creek</v>
      </c>
      <c r="F21" s="37" t="str">
        <f>'[13]Table 10 CWTs exp'!F21</f>
        <v>Spring</v>
      </c>
      <c r="G21" s="144" t="str">
        <f>IF('[13]Table 10 CWTs exp'!G21/'[13]Table 10 CWTs exp'!$Z21&gt;0,'[13]Table 10 CWTs exp'!G21/'[13]Table 10 CWTs exp'!$Z21," ")</f>
        <v xml:space="preserve"> </v>
      </c>
      <c r="H21" s="145" t="str">
        <f>IF('[13]Table 10 CWTs exp'!H21/'[13]Table 10 CWTs exp'!$Z21&gt;0,'[13]Table 10 CWTs exp'!H21/'[13]Table 10 CWTs exp'!$Z21," ")</f>
        <v xml:space="preserve"> </v>
      </c>
      <c r="I21" s="146" t="str">
        <f>IF('[13]Table 10 CWTs exp'!I21/'[13]Table 10 CWTs exp'!$Z21&gt;0,'[13]Table 10 CWTs exp'!I21/'[13]Table 10 CWTs exp'!$Z21," ")</f>
        <v xml:space="preserve"> </v>
      </c>
      <c r="J21" s="144" t="str">
        <f>IF('[13]Table 10 CWTs exp'!J21/'[13]Table 10 CWTs exp'!$Z21&gt;0,'[13]Table 10 CWTs exp'!J21/'[13]Table 10 CWTs exp'!$Z21," ")</f>
        <v xml:space="preserve"> </v>
      </c>
      <c r="K21" s="144" t="str">
        <f>IF('[13]Table 10 CWTs exp'!K21/'[13]Table 10 CWTs exp'!$Z21&gt;0,'[13]Table 10 CWTs exp'!K21/'[13]Table 10 CWTs exp'!$Z21," ")</f>
        <v xml:space="preserve"> </v>
      </c>
      <c r="L21" s="144" t="str">
        <f>IF('[13]Table 10 CWTs exp'!L21/'[13]Table 10 CWTs exp'!$Z21&gt;0,'[13]Table 10 CWTs exp'!L21/'[13]Table 10 CWTs exp'!$Z21," ")</f>
        <v xml:space="preserve"> </v>
      </c>
      <c r="M21" s="146" t="str">
        <f>IF('[13]Table 10 CWTs exp'!M21/'[13]Table 10 CWTs exp'!$Z21&gt;0,'[13]Table 10 CWTs exp'!M21/'[13]Table 10 CWTs exp'!$Z21," ")</f>
        <v xml:space="preserve"> </v>
      </c>
      <c r="N21" s="144" t="str">
        <f>IF('[13]Table 10 CWTs exp'!N21/'[13]Table 10 CWTs exp'!$Z21&gt;0,'[13]Table 10 CWTs exp'!N21/'[13]Table 10 CWTs exp'!$Z21," ")</f>
        <v xml:space="preserve"> </v>
      </c>
      <c r="O21" s="146" t="str">
        <f>IF('[13]Table 10 CWTs exp'!O21/'[13]Table 10 CWTs exp'!$Z21&gt;0,'[13]Table 10 CWTs exp'!O21/'[13]Table 10 CWTs exp'!$Z21," ")</f>
        <v xml:space="preserve"> </v>
      </c>
      <c r="P21" s="144" t="str">
        <f>IF('[13]Table 10 CWTs exp'!P21/'[13]Table 10 CWTs exp'!$Z21&gt;0,'[13]Table 10 CWTs exp'!P21/'[13]Table 10 CWTs exp'!$Z21," ")</f>
        <v xml:space="preserve"> </v>
      </c>
      <c r="Q21" s="144" t="str">
        <f>IF('[13]Table 10 CWTs exp'!Q21/'[13]Table 10 CWTs exp'!$Z21&gt;0,'[13]Table 10 CWTs exp'!Q21/'[13]Table 10 CWTs exp'!$Z21," ")</f>
        <v xml:space="preserve"> </v>
      </c>
      <c r="R21" s="144" t="str">
        <f>IF('[13]Table 10 CWTs exp'!R21/'[13]Table 10 CWTs exp'!$Z21&gt;0,'[13]Table 10 CWTs exp'!R21/'[13]Table 10 CWTs exp'!$Z21," ")</f>
        <v xml:space="preserve"> </v>
      </c>
      <c r="S21" s="146" t="str">
        <f>IF('[13]Table 10 CWTs exp'!S21/'[13]Table 10 CWTs exp'!$Z21&gt;0,'[13]Table 10 CWTs exp'!S21/'[13]Table 10 CWTs exp'!$Z21," ")</f>
        <v xml:space="preserve"> </v>
      </c>
      <c r="T21" s="144" t="str">
        <f>IF('[13]Table 10 CWTs exp'!T21/'[13]Table 10 CWTs exp'!$Z21&gt;0,'[13]Table 10 CWTs exp'!T21/'[13]Table 10 CWTs exp'!$Z21," ")</f>
        <v xml:space="preserve"> </v>
      </c>
      <c r="U21" s="146" t="str">
        <f>IF('[13]Table 10 CWTs exp'!U21/'[13]Table 10 CWTs exp'!$Z21&gt;0,'[13]Table 10 CWTs exp'!U21/'[13]Table 10 CWTs exp'!$Z21," ")</f>
        <v xml:space="preserve"> </v>
      </c>
      <c r="V21" s="146" t="str">
        <f>IF('[13]Table 10 CWTs exp'!V21/'[13]Table 10 CWTs exp'!$Z21&gt;0,'[13]Table 10 CWTs exp'!V21/'[13]Table 10 CWTs exp'!$Z21," ")</f>
        <v xml:space="preserve"> </v>
      </c>
      <c r="W21" s="144" t="str">
        <f>IF('[13]Table 10 CWTs exp'!W21/'[13]Table 10 CWTs exp'!$Z21&gt;0,'[13]Table 10 CWTs exp'!W21/'[13]Table 10 CWTs exp'!$Z21," ")</f>
        <v xml:space="preserve"> </v>
      </c>
      <c r="X21" s="147">
        <f t="shared" si="4"/>
        <v>0</v>
      </c>
      <c r="Y21" s="148">
        <f t="shared" si="5"/>
        <v>1</v>
      </c>
      <c r="Z21" s="38">
        <f>'[13]Table 10 CWTs exp'!Z21</f>
        <v>1281</v>
      </c>
      <c r="AB21" s="592">
        <f>'[13]Table 10 CWTs exp'!AC21</f>
        <v>0</v>
      </c>
      <c r="AC21" s="592">
        <f t="shared" si="3"/>
        <v>0</v>
      </c>
      <c r="AD21" s="593" t="str">
        <f t="shared" si="6"/>
        <v>BUTT541</v>
      </c>
      <c r="AE21" s="442"/>
      <c r="AF21" s="442"/>
      <c r="AG21" s="648"/>
      <c r="AH21" s="454"/>
      <c r="AI21" s="442"/>
      <c r="AJ21" s="442"/>
    </row>
    <row r="22" spans="1:36" ht="14.25" customHeight="1" x14ac:dyDescent="0.25">
      <c r="A22" s="54" t="str">
        <f>'[13]Table 10 CWTs exp'!A22</f>
        <v>UPSJ541</v>
      </c>
      <c r="B22" s="75" t="str">
        <f>'[13]Table 10 CWTs exp'!B22</f>
        <v>UPSJ</v>
      </c>
      <c r="C22" s="75">
        <f>'[13]Table 10 CWTs exp'!C22</f>
        <v>54</v>
      </c>
      <c r="D22" s="75">
        <f>'[13]Table 10 CWTs exp'!D22</f>
        <v>1</v>
      </c>
      <c r="E22" t="str">
        <f>'[13]Table 10 CWTs exp'!E22</f>
        <v>Upper San Joaquin River</v>
      </c>
      <c r="F22" s="37" t="str">
        <f>'[13]Table 10 CWTs exp'!F22</f>
        <v>Spring</v>
      </c>
      <c r="G22" s="144" t="str">
        <f>IF('[13]Table 10 CWTs exp'!G22/'[13]Table 10 CWTs exp'!$Z22&gt;0,'[13]Table 10 CWTs exp'!G22/'[13]Table 10 CWTs exp'!$Z22," ")</f>
        <v xml:space="preserve"> </v>
      </c>
      <c r="H22" s="145" t="str">
        <f>IF('[13]Table 10 CWTs exp'!H22/'[13]Table 10 CWTs exp'!$Z22&gt;0,'[13]Table 10 CWTs exp'!H22/'[13]Table 10 CWTs exp'!$Z22," ")</f>
        <v xml:space="preserve"> </v>
      </c>
      <c r="I22" s="146" t="str">
        <f>IF('[13]Table 10 CWTs exp'!I22/'[13]Table 10 CWTs exp'!$Z22&gt;0,'[13]Table 10 CWTs exp'!I22/'[13]Table 10 CWTs exp'!$Z22," ")</f>
        <v xml:space="preserve"> </v>
      </c>
      <c r="J22" s="144" t="str">
        <f>IF('[13]Table 10 CWTs exp'!J22/'[13]Table 10 CWTs exp'!$Z22&gt;0,'[13]Table 10 CWTs exp'!J22/'[13]Table 10 CWTs exp'!$Z22," ")</f>
        <v xml:space="preserve"> </v>
      </c>
      <c r="K22" s="144" t="str">
        <f>IF('[13]Table 10 CWTs exp'!K22/'[13]Table 10 CWTs exp'!$Z22&gt;0,'[13]Table 10 CWTs exp'!K22/'[13]Table 10 CWTs exp'!$Z22," ")</f>
        <v xml:space="preserve"> </v>
      </c>
      <c r="L22" s="144" t="str">
        <f>IF('[13]Table 10 CWTs exp'!L22/'[13]Table 10 CWTs exp'!$Z22&gt;0,'[13]Table 10 CWTs exp'!L22/'[13]Table 10 CWTs exp'!$Z22," ")</f>
        <v xml:space="preserve"> </v>
      </c>
      <c r="M22" s="146" t="str">
        <f>IF('[13]Table 10 CWTs exp'!M22/'[13]Table 10 CWTs exp'!$Z22&gt;0,'[13]Table 10 CWTs exp'!M22/'[13]Table 10 CWTs exp'!$Z22," ")</f>
        <v xml:space="preserve"> </v>
      </c>
      <c r="N22" s="144" t="str">
        <f>IF('[13]Table 10 CWTs exp'!N22/'[13]Table 10 CWTs exp'!$Z22&gt;0,'[13]Table 10 CWTs exp'!N22/'[13]Table 10 CWTs exp'!$Z22," ")</f>
        <v xml:space="preserve"> </v>
      </c>
      <c r="O22" s="146">
        <f>IF('[13]Table 10 CWTs exp'!O22/'[13]Table 10 CWTs exp'!$Z22&gt;0,'[13]Table 10 CWTs exp'!O22/'[13]Table 10 CWTs exp'!$Z22," ")</f>
        <v>0.21052631578947367</v>
      </c>
      <c r="P22" s="144" t="str">
        <f>IF('[13]Table 10 CWTs exp'!P22/'[13]Table 10 CWTs exp'!$Z22&gt;0,'[13]Table 10 CWTs exp'!P22/'[13]Table 10 CWTs exp'!$Z22," ")</f>
        <v xml:space="preserve"> </v>
      </c>
      <c r="Q22" s="144" t="str">
        <f>IF('[13]Table 10 CWTs exp'!Q22/'[13]Table 10 CWTs exp'!$Z22&gt;0,'[13]Table 10 CWTs exp'!Q22/'[13]Table 10 CWTs exp'!$Z22," ")</f>
        <v xml:space="preserve"> </v>
      </c>
      <c r="R22" s="144" t="str">
        <f>IF('[13]Table 10 CWTs exp'!R22/'[13]Table 10 CWTs exp'!$Z22&gt;0,'[13]Table 10 CWTs exp'!R22/'[13]Table 10 CWTs exp'!$Z22," ")</f>
        <v xml:space="preserve"> </v>
      </c>
      <c r="S22" s="146" t="str">
        <f>IF('[13]Table 10 CWTs exp'!S22/'[13]Table 10 CWTs exp'!$Z22&gt;0,'[13]Table 10 CWTs exp'!S22/'[13]Table 10 CWTs exp'!$Z22," ")</f>
        <v xml:space="preserve"> </v>
      </c>
      <c r="T22" s="144" t="str">
        <f>IF('[13]Table 10 CWTs exp'!T22/'[13]Table 10 CWTs exp'!$Z22&gt;0,'[13]Table 10 CWTs exp'!T22/'[13]Table 10 CWTs exp'!$Z22," ")</f>
        <v xml:space="preserve"> </v>
      </c>
      <c r="U22" s="146" t="str">
        <f>IF('[13]Table 10 CWTs exp'!U22/'[13]Table 10 CWTs exp'!$Z22&gt;0,'[13]Table 10 CWTs exp'!U22/'[13]Table 10 CWTs exp'!$Z22," ")</f>
        <v xml:space="preserve"> </v>
      </c>
      <c r="V22" s="146">
        <f>IF('[13]Table 10 CWTs exp'!V22/'[13]Table 10 CWTs exp'!$Z22&gt;0,'[13]Table 10 CWTs exp'!V22/'[13]Table 10 CWTs exp'!$Z22," ")</f>
        <v>0.68421052631578949</v>
      </c>
      <c r="W22" s="144" t="str">
        <f>IF('[13]Table 10 CWTs exp'!W22/'[13]Table 10 CWTs exp'!$Z22&gt;0,'[13]Table 10 CWTs exp'!W22/'[13]Table 10 CWTs exp'!$Z22," ")</f>
        <v xml:space="preserve"> </v>
      </c>
      <c r="X22" s="147">
        <f t="shared" si="4"/>
        <v>0.89473684210526316</v>
      </c>
      <c r="Y22" s="148">
        <f t="shared" si="5"/>
        <v>0.10526315789473684</v>
      </c>
      <c r="Z22" s="38">
        <f>'[13]Table 10 CWTs exp'!Z22</f>
        <v>19</v>
      </c>
      <c r="AB22" s="592">
        <f>'[13]Table 10 CWTs exp'!AC22</f>
        <v>0.89500000000000002</v>
      </c>
      <c r="AC22" s="592">
        <f t="shared" si="3"/>
        <v>-2.6315789473685403E-4</v>
      </c>
      <c r="AD22" s="593" t="str">
        <f t="shared" si="6"/>
        <v>UPSJ541</v>
      </c>
      <c r="AE22" s="442"/>
      <c r="AF22" s="442"/>
      <c r="AG22" s="648"/>
      <c r="AH22" s="454"/>
      <c r="AI22" s="442"/>
      <c r="AJ22" s="442"/>
    </row>
    <row r="23" spans="1:36" ht="14.5" customHeight="1" x14ac:dyDescent="0.25">
      <c r="A23" s="54" t="str">
        <f>'[13]Table 10 CWTs exp'!A23</f>
        <v>USAC543</v>
      </c>
      <c r="B23" s="75" t="str">
        <f>'[13]Table 10 CWTs exp'!B23</f>
        <v>USAC</v>
      </c>
      <c r="C23" s="75">
        <f>'[13]Table 10 CWTs exp'!C23</f>
        <v>54</v>
      </c>
      <c r="D23" s="75">
        <f>'[13]Table 10 CWTs exp'!D23</f>
        <v>3</v>
      </c>
      <c r="E23" t="str">
        <f>'[13]Table 10 CWTs exp'!E23</f>
        <v>Upper Sacramento River</v>
      </c>
      <c r="F23" s="37" t="str">
        <f>'[13]Table 10 CWTs exp'!F23</f>
        <v>Fall</v>
      </c>
      <c r="G23" s="144" t="str">
        <f>IF('[13]Table 10 CWTs exp'!G23/'[13]Table 10 CWTs exp'!$Z23&gt;0,'[13]Table 10 CWTs exp'!G23/'[13]Table 10 CWTs exp'!$Z23," ")</f>
        <v xml:space="preserve"> </v>
      </c>
      <c r="H23" s="145" t="str">
        <f>IF('[13]Table 10 CWTs exp'!H23/'[13]Table 10 CWTs exp'!$Z23&gt;0,'[13]Table 10 CWTs exp'!H23/'[13]Table 10 CWTs exp'!$Z23," ")</f>
        <v xml:space="preserve"> </v>
      </c>
      <c r="I23" s="146">
        <f>IF('[13]Table 10 CWTs exp'!I23/'[13]Table 10 CWTs exp'!$Z23&gt;0,'[13]Table 10 CWTs exp'!I23/'[13]Table 10 CWTs exp'!$Z23," ")</f>
        <v>0.24144303984623347</v>
      </c>
      <c r="J23" s="144">
        <f>IF('[13]Table 10 CWTs exp'!J23/'[13]Table 10 CWTs exp'!$Z23&gt;0,'[13]Table 10 CWTs exp'!J23/'[13]Table 10 CWTs exp'!$Z23," ")</f>
        <v>1.2567457677238117E-3</v>
      </c>
      <c r="K23" s="144" t="str">
        <f>IF('[13]Table 10 CWTs exp'!K23/'[13]Table 10 CWTs exp'!$Z23&gt;0,'[13]Table 10 CWTs exp'!K23/'[13]Table 10 CWTs exp'!$Z23," ")</f>
        <v xml:space="preserve"> </v>
      </c>
      <c r="L23" s="144">
        <f>IF('[13]Table 10 CWTs exp'!L23/'[13]Table 10 CWTs exp'!$Z23&gt;0,'[13]Table 10 CWTs exp'!L23/'[13]Table 10 CWTs exp'!$Z23," ")</f>
        <v>0.10830191468914024</v>
      </c>
      <c r="M23" s="146">
        <f>IF('[13]Table 10 CWTs exp'!M23/'[13]Table 10 CWTs exp'!$Z23&gt;0,'[13]Table 10 CWTs exp'!M23/'[13]Table 10 CWTs exp'!$Z23," ")</f>
        <v>6.1728395061728392E-2</v>
      </c>
      <c r="N23" s="144" t="str">
        <f>IF('[13]Table 10 CWTs exp'!N23/'[13]Table 10 CWTs exp'!$Z23&gt;0,'[13]Table 10 CWTs exp'!N23/'[13]Table 10 CWTs exp'!$Z23," ")</f>
        <v xml:space="preserve"> </v>
      </c>
      <c r="O23" s="146" t="str">
        <f>IF('[13]Table 10 CWTs exp'!O23/'[13]Table 10 CWTs exp'!$Z23&gt;0,'[13]Table 10 CWTs exp'!O23/'[13]Table 10 CWTs exp'!$Z23," ")</f>
        <v xml:space="preserve"> </v>
      </c>
      <c r="P23" s="144" t="str">
        <f>IF('[13]Table 10 CWTs exp'!P23/'[13]Table 10 CWTs exp'!$Z23&gt;0,'[13]Table 10 CWTs exp'!P23/'[13]Table 10 CWTs exp'!$Z23," ")</f>
        <v xml:space="preserve"> </v>
      </c>
      <c r="Q23" s="144">
        <f>IF('[13]Table 10 CWTs exp'!Q23/'[13]Table 10 CWTs exp'!$Z23&gt;0,'[13]Table 10 CWTs exp'!Q23/'[13]Table 10 CWTs exp'!$Z23," ")</f>
        <v>2.439565313816811E-3</v>
      </c>
      <c r="R23" s="144">
        <f>IF('[13]Table 10 CWTs exp'!R23/'[13]Table 10 CWTs exp'!$Z23&gt;0,'[13]Table 10 CWTs exp'!R23/'[13]Table 10 CWTs exp'!$Z23," ")</f>
        <v>1.2567457677238117E-3</v>
      </c>
      <c r="S23" s="146" t="str">
        <f>IF('[13]Table 10 CWTs exp'!S23/'[13]Table 10 CWTs exp'!$Z23&gt;0,'[13]Table 10 CWTs exp'!S23/'[13]Table 10 CWTs exp'!$Z23," ")</f>
        <v xml:space="preserve"> </v>
      </c>
      <c r="T23" s="144" t="str">
        <f>IF('[13]Table 10 CWTs exp'!T23/'[13]Table 10 CWTs exp'!$Z23&gt;0,'[13]Table 10 CWTs exp'!T23/'[13]Table 10 CWTs exp'!$Z23," ")</f>
        <v xml:space="preserve"> </v>
      </c>
      <c r="U23" s="146">
        <f>IF('[13]Table 10 CWTs exp'!U23/'[13]Table 10 CWTs exp'!$Z23&gt;0,'[13]Table 10 CWTs exp'!U23/'[13]Table 10 CWTs exp'!$Z23," ")</f>
        <v>2.5134915354476234E-3</v>
      </c>
      <c r="V23" s="146" t="str">
        <f>IF('[13]Table 10 CWTs exp'!V23/'[13]Table 10 CWTs exp'!$Z23&gt;0,'[13]Table 10 CWTs exp'!V23/'[13]Table 10 CWTs exp'!$Z23," ")</f>
        <v xml:space="preserve"> </v>
      </c>
      <c r="W23" s="144" t="str">
        <f>IF('[13]Table 10 CWTs exp'!W23/'[13]Table 10 CWTs exp'!$Z23&gt;0,'[13]Table 10 CWTs exp'!W23/'[13]Table 10 CWTs exp'!$Z23," ")</f>
        <v xml:space="preserve"> </v>
      </c>
      <c r="X23" s="147">
        <f t="shared" si="4"/>
        <v>0.41893989798181419</v>
      </c>
      <c r="Y23" s="148">
        <f t="shared" si="5"/>
        <v>0.58106010201818581</v>
      </c>
      <c r="Z23" s="38">
        <f>'[13]Table 10 CWTs exp'!Z23</f>
        <v>13527</v>
      </c>
      <c r="AB23" s="592">
        <f>'[13]Table 10 CWTs exp'!AC23</f>
        <v>0.41899999999999998</v>
      </c>
      <c r="AC23" s="592">
        <f t="shared" si="3"/>
        <v>-6.0102018185792527E-5</v>
      </c>
      <c r="AD23" s="593" t="str">
        <f t="shared" si="6"/>
        <v>USAC543</v>
      </c>
      <c r="AE23" s="442"/>
      <c r="AF23" s="442"/>
      <c r="AG23" s="648"/>
      <c r="AH23" s="454"/>
      <c r="AI23" s="442"/>
      <c r="AJ23" s="442"/>
    </row>
    <row r="24" spans="1:36" ht="14.25" customHeight="1" x14ac:dyDescent="0.25">
      <c r="A24" s="54" t="str">
        <f>'[13]Table 10 CWTs exp'!A24</f>
        <v>CLR543</v>
      </c>
      <c r="B24" s="75" t="str">
        <f>'[13]Table 10 CWTs exp'!B24</f>
        <v>CLR</v>
      </c>
      <c r="C24" s="75">
        <f>'[13]Table 10 CWTs exp'!C24</f>
        <v>54</v>
      </c>
      <c r="D24" s="75">
        <f>'[13]Table 10 CWTs exp'!D24</f>
        <v>3</v>
      </c>
      <c r="E24" t="str">
        <f>'[13]Table 10 CWTs exp'!E24</f>
        <v>Clear Creek</v>
      </c>
      <c r="F24" s="37" t="str">
        <f>'[13]Table 10 CWTs exp'!F24</f>
        <v>Fall</v>
      </c>
      <c r="G24" s="144" t="str">
        <f>IF('[13]Table 10 CWTs exp'!G24/'[13]Table 10 CWTs exp'!$Z24&gt;0,'[13]Table 10 CWTs exp'!G24/'[13]Table 10 CWTs exp'!$Z24," ")</f>
        <v xml:space="preserve"> </v>
      </c>
      <c r="H24" s="145" t="str">
        <f>IF('[13]Table 10 CWTs exp'!H24/'[13]Table 10 CWTs exp'!$Z24&gt;0,'[13]Table 10 CWTs exp'!H24/'[13]Table 10 CWTs exp'!$Z24," ")</f>
        <v xml:space="preserve"> </v>
      </c>
      <c r="I24" s="146">
        <f>IF('[13]Table 10 CWTs exp'!I24/'[13]Table 10 CWTs exp'!$Z24&gt;0,'[13]Table 10 CWTs exp'!I24/'[13]Table 10 CWTs exp'!$Z24," ")</f>
        <v>0.35605489368119442</v>
      </c>
      <c r="J24" s="144" t="str">
        <f>IF('[13]Table 10 CWTs exp'!J24/'[13]Table 10 CWTs exp'!$Z24&gt;0,'[13]Table 10 CWTs exp'!J24/'[13]Table 10 CWTs exp'!$Z24," ")</f>
        <v xml:space="preserve"> </v>
      </c>
      <c r="K24" s="144">
        <f>IF('[13]Table 10 CWTs exp'!K24/'[13]Table 10 CWTs exp'!$Z24&gt;0,'[13]Table 10 CWTs exp'!K24/'[13]Table 10 CWTs exp'!$Z24," ")</f>
        <v>1.2064545317448348E-3</v>
      </c>
      <c r="L24" s="144">
        <f>IF('[13]Table 10 CWTs exp'!L24/'[13]Table 10 CWTs exp'!$Z24&gt;0,'[13]Table 10 CWTs exp'!L24/'[13]Table 10 CWTs exp'!$Z24," ")</f>
        <v>0.10300105564771528</v>
      </c>
      <c r="M24" s="146">
        <f>IF('[13]Table 10 CWTs exp'!M24/'[13]Table 10 CWTs exp'!$Z24&gt;0,'[13]Table 10 CWTs exp'!M24/'[13]Table 10 CWTs exp'!$Z24," ")</f>
        <v>4.7353340370984771E-2</v>
      </c>
      <c r="N24" s="144" t="str">
        <f>IF('[13]Table 10 CWTs exp'!N24/'[13]Table 10 CWTs exp'!$Z24&gt;0,'[13]Table 10 CWTs exp'!N24/'[13]Table 10 CWTs exp'!$Z24," ")</f>
        <v xml:space="preserve"> </v>
      </c>
      <c r="O24" s="146" t="str">
        <f>IF('[13]Table 10 CWTs exp'!O24/'[13]Table 10 CWTs exp'!$Z24&gt;0,'[13]Table 10 CWTs exp'!O24/'[13]Table 10 CWTs exp'!$Z24," ")</f>
        <v xml:space="preserve"> </v>
      </c>
      <c r="P24" s="144" t="str">
        <f>IF('[13]Table 10 CWTs exp'!P24/'[13]Table 10 CWTs exp'!$Z24&gt;0,'[13]Table 10 CWTs exp'!P24/'[13]Table 10 CWTs exp'!$Z24," ")</f>
        <v xml:space="preserve"> </v>
      </c>
      <c r="Q24" s="144" t="str">
        <f>IF('[13]Table 10 CWTs exp'!Q24/'[13]Table 10 CWTs exp'!$Z24&gt;0,'[13]Table 10 CWTs exp'!Q24/'[13]Table 10 CWTs exp'!$Z24," ")</f>
        <v xml:space="preserve"> </v>
      </c>
      <c r="R24" s="144">
        <f>IF('[13]Table 10 CWTs exp'!R24/'[13]Table 10 CWTs exp'!$Z24&gt;0,'[13]Table 10 CWTs exp'!R24/'[13]Table 10 CWTs exp'!$Z24," ")</f>
        <v>3.6193635952345045E-3</v>
      </c>
      <c r="S24" s="146" t="str">
        <f>IF('[13]Table 10 CWTs exp'!S24/'[13]Table 10 CWTs exp'!$Z24&gt;0,'[13]Table 10 CWTs exp'!S24/'[13]Table 10 CWTs exp'!$Z24," ")</f>
        <v xml:space="preserve"> </v>
      </c>
      <c r="T24" s="144" t="str">
        <f>IF('[13]Table 10 CWTs exp'!T24/'[13]Table 10 CWTs exp'!$Z24&gt;0,'[13]Table 10 CWTs exp'!T24/'[13]Table 10 CWTs exp'!$Z24," ")</f>
        <v xml:space="preserve"> </v>
      </c>
      <c r="U24" s="146" t="str">
        <f>IF('[13]Table 10 CWTs exp'!U24/'[13]Table 10 CWTs exp'!$Z24&gt;0,'[13]Table 10 CWTs exp'!U24/'[13]Table 10 CWTs exp'!$Z24," ")</f>
        <v xml:space="preserve"> </v>
      </c>
      <c r="V24" s="146" t="str">
        <f>IF('[13]Table 10 CWTs exp'!V24/'[13]Table 10 CWTs exp'!$Z24&gt;0,'[13]Table 10 CWTs exp'!V24/'[13]Table 10 CWTs exp'!$Z24," ")</f>
        <v xml:space="preserve"> </v>
      </c>
      <c r="W24" s="144" t="str">
        <f>IF('[13]Table 10 CWTs exp'!W24/'[13]Table 10 CWTs exp'!$Z24&gt;0,'[13]Table 10 CWTs exp'!W24/'[13]Table 10 CWTs exp'!$Z24," ")</f>
        <v xml:space="preserve"> </v>
      </c>
      <c r="X24" s="147">
        <f t="shared" si="4"/>
        <v>0.51123510782687387</v>
      </c>
      <c r="Y24" s="148">
        <f t="shared" si="5"/>
        <v>0.48876489217312613</v>
      </c>
      <c r="Z24" s="38">
        <f>'[13]Table 10 CWTs exp'!Z24</f>
        <v>6631</v>
      </c>
      <c r="AB24" s="592">
        <f>'[13]Table 10 CWTs exp'!AC24</f>
        <v>0.51100000000000001</v>
      </c>
      <c r="AC24" s="592">
        <f t="shared" si="3"/>
        <v>2.3510782687385934E-4</v>
      </c>
      <c r="AD24" s="593" t="str">
        <f t="shared" si="6"/>
        <v>CLR543</v>
      </c>
      <c r="AE24" s="442"/>
      <c r="AF24" s="442"/>
      <c r="AG24" s="648"/>
      <c r="AH24" s="454"/>
      <c r="AI24" s="442"/>
      <c r="AJ24" s="442"/>
    </row>
    <row r="25" spans="1:36" ht="14.5" customHeight="1" x14ac:dyDescent="0.25">
      <c r="A25" s="54" t="str">
        <f>'[13]Table 10 CWTs exp'!A25</f>
        <v>BATT543</v>
      </c>
      <c r="B25" s="75" t="str">
        <f>'[13]Table 10 CWTs exp'!B25</f>
        <v>BATT</v>
      </c>
      <c r="C25" s="75">
        <f>'[13]Table 10 CWTs exp'!C25</f>
        <v>54</v>
      </c>
      <c r="D25" s="75">
        <f>'[13]Table 10 CWTs exp'!D25</f>
        <v>3</v>
      </c>
      <c r="E25" s="75" t="s">
        <v>136</v>
      </c>
      <c r="F25" s="37" t="str">
        <f>'[13]Table 10 CWTs exp'!F25</f>
        <v>Fall</v>
      </c>
      <c r="G25" s="144" t="str">
        <f>IF('[13]Table 10 CWTs exp'!G25/'[13]Table 10 CWTs exp'!$Z25&gt;0,'[13]Table 10 CWTs exp'!G25/'[13]Table 10 CWTs exp'!$Z25," ")</f>
        <v xml:space="preserve"> </v>
      </c>
      <c r="H25" s="145">
        <f>IF('[13]Table 10 CWTs exp'!H25/'[13]Table 10 CWTs exp'!$Z25&gt;0,'[13]Table 10 CWTs exp'!H25/'[13]Table 10 CWTs exp'!$Z25," ")</f>
        <v>1.6268695880346366E-3</v>
      </c>
      <c r="I25" s="146">
        <f>IF('[13]Table 10 CWTs exp'!I25/'[13]Table 10 CWTs exp'!$Z25&gt;0,'[13]Table 10 CWTs exp'!I25/'[13]Table 10 CWTs exp'!$Z25," ")</f>
        <v>0.85699291524534238</v>
      </c>
      <c r="J25" s="144" t="str">
        <f>IF('[13]Table 10 CWTs exp'!J25/'[13]Table 10 CWTs exp'!$Z25&gt;0,'[13]Table 10 CWTs exp'!J25/'[13]Table 10 CWTs exp'!$Z25," ")</f>
        <v xml:space="preserve"> </v>
      </c>
      <c r="K25" s="144" t="str">
        <f>IF('[13]Table 10 CWTs exp'!K25/'[13]Table 10 CWTs exp'!$Z25&gt;0,'[13]Table 10 CWTs exp'!K25/'[13]Table 10 CWTs exp'!$Z25," ")</f>
        <v xml:space="preserve"> </v>
      </c>
      <c r="L25" s="144">
        <f>IF('[13]Table 10 CWTs exp'!L25/'[13]Table 10 CWTs exp'!$Z25&gt;0,'[13]Table 10 CWTs exp'!L25/'[13]Table 10 CWTs exp'!$Z25," ")</f>
        <v>5.3004460771451066E-3</v>
      </c>
      <c r="M25" s="146">
        <f>IF('[13]Table 10 CWTs exp'!M25/'[13]Table 10 CWTs exp'!$Z25&gt;0,'[13]Table 10 CWTs exp'!M25/'[13]Table 10 CWTs exp'!$Z25," ")</f>
        <v>5.0380477564943588E-3</v>
      </c>
      <c r="N25" s="144">
        <f>IF('[13]Table 10 CWTs exp'!N25/'[13]Table 10 CWTs exp'!$Z25&gt;0,'[13]Table 10 CWTs exp'!N25/'[13]Table 10 CWTs exp'!$Z25," ")</f>
        <v>3.1487798478089743E-4</v>
      </c>
      <c r="O25" s="146">
        <f>IF('[13]Table 10 CWTs exp'!O25/'[13]Table 10 CWTs exp'!$Z25&gt;0,'[13]Table 10 CWTs exp'!O25/'[13]Table 10 CWTs exp'!$Z25," ")</f>
        <v>5.7727630543164519E-4</v>
      </c>
      <c r="P25" s="144" t="str">
        <f>IF('[13]Table 10 CWTs exp'!P25/'[13]Table 10 CWTs exp'!$Z25&gt;0,'[13]Table 10 CWTs exp'!P25/'[13]Table 10 CWTs exp'!$Z25," ")</f>
        <v xml:space="preserve"> </v>
      </c>
      <c r="Q25" s="144">
        <f>IF('[13]Table 10 CWTs exp'!Q25/'[13]Table 10 CWTs exp'!$Z25&gt;0,'[13]Table 10 CWTs exp'!Q25/'[13]Table 10 CWTs exp'!$Z25," ")</f>
        <v>3.1487798478089743E-4</v>
      </c>
      <c r="R25" s="144">
        <f>IF('[13]Table 10 CWTs exp'!R25/'[13]Table 10 CWTs exp'!$Z25&gt;0,'[13]Table 10 CWTs exp'!R25/'[13]Table 10 CWTs exp'!$Z25," ")</f>
        <v>5.2479664130149567E-5</v>
      </c>
      <c r="S25" s="146">
        <f>IF('[13]Table 10 CWTs exp'!S25/'[13]Table 10 CWTs exp'!$Z25&gt;0,'[13]Table 10 CWTs exp'!S25/'[13]Table 10 CWTs exp'!$Z25," ")</f>
        <v>3.1487798478089743E-4</v>
      </c>
      <c r="T25" s="144" t="str">
        <f>IF('[13]Table 10 CWTs exp'!T25/'[13]Table 10 CWTs exp'!$Z25&gt;0,'[13]Table 10 CWTs exp'!T25/'[13]Table 10 CWTs exp'!$Z25," ")</f>
        <v xml:space="preserve"> </v>
      </c>
      <c r="U25" s="146" t="str">
        <f>IF('[13]Table 10 CWTs exp'!U25/'[13]Table 10 CWTs exp'!$Z25&gt;0,'[13]Table 10 CWTs exp'!U25/'[13]Table 10 CWTs exp'!$Z25," ")</f>
        <v xml:space="preserve"> </v>
      </c>
      <c r="V25" s="146" t="str">
        <f>IF('[13]Table 10 CWTs exp'!V25/'[13]Table 10 CWTs exp'!$Z25&gt;0,'[13]Table 10 CWTs exp'!V25/'[13]Table 10 CWTs exp'!$Z25," ")</f>
        <v xml:space="preserve"> </v>
      </c>
      <c r="W25" s="144" t="str">
        <f>IF('[13]Table 10 CWTs exp'!W25/'[13]Table 10 CWTs exp'!$Z25&gt;0,'[13]Table 10 CWTs exp'!W25/'[13]Table 10 CWTs exp'!$Z25," ")</f>
        <v xml:space="preserve"> </v>
      </c>
      <c r="X25" s="147">
        <f t="shared" si="4"/>
        <v>0.87053266859092104</v>
      </c>
      <c r="Y25" s="148">
        <f t="shared" si="5"/>
        <v>0.12946733140907896</v>
      </c>
      <c r="Z25" s="38">
        <f>'[13]Table 10 CWTs exp'!Z25</f>
        <v>19055</v>
      </c>
      <c r="AB25" s="592">
        <f>'[13]Table 10 CWTs exp'!AC25</f>
        <v>0.87053266859092104</v>
      </c>
      <c r="AC25" s="592">
        <f t="shared" si="3"/>
        <v>0</v>
      </c>
      <c r="AD25" s="593" t="str">
        <f t="shared" si="6"/>
        <v>BATT543</v>
      </c>
      <c r="AE25" s="442"/>
      <c r="AF25" s="442"/>
      <c r="AG25" s="648"/>
      <c r="AH25" s="454"/>
      <c r="AI25" s="442"/>
      <c r="AJ25" s="442"/>
    </row>
    <row r="26" spans="1:36" ht="12.75" hidden="1" customHeight="1" x14ac:dyDescent="0.25">
      <c r="A26" s="54" t="str">
        <f>'[13]Table 10 CWTs exp'!A26</f>
        <v>COT543</v>
      </c>
      <c r="B26" s="75" t="str">
        <f>'[13]Table 10 CWTs exp'!B26</f>
        <v>COT</v>
      </c>
      <c r="C26" s="75">
        <f>'[13]Table 10 CWTs exp'!C26</f>
        <v>54</v>
      </c>
      <c r="D26" s="75">
        <f>'[13]Table 10 CWTs exp'!D26</f>
        <v>3</v>
      </c>
      <c r="E26" t="str">
        <f>'[13]Table 10 CWTs exp'!E26</f>
        <v>Cottonwood Creek</v>
      </c>
      <c r="F26" s="37" t="str">
        <f>'[13]Table 10 CWTs exp'!F26</f>
        <v>Fall</v>
      </c>
      <c r="G26" s="144" t="e">
        <f>IF('[13]Table 10 CWTs exp'!G26/'[13]Table 10 CWTs exp'!$Z26&gt;0,'[13]Table 10 CWTs exp'!G26/'[13]Table 10 CWTs exp'!$Z26," ")</f>
        <v>#DIV/0!</v>
      </c>
      <c r="H26" s="145" t="e">
        <f>IF('[13]Table 10 CWTs exp'!H26/'[13]Table 10 CWTs exp'!$Z26&gt;0,'[13]Table 10 CWTs exp'!H26/'[13]Table 10 CWTs exp'!$Z26," ")</f>
        <v>#DIV/0!</v>
      </c>
      <c r="I26" s="146" t="e">
        <f>IF('[13]Table 10 CWTs exp'!I26/'[13]Table 10 CWTs exp'!$Z26&gt;0,'[13]Table 10 CWTs exp'!I26/'[13]Table 10 CWTs exp'!$Z26," ")</f>
        <v>#DIV/0!</v>
      </c>
      <c r="J26" s="144" t="e">
        <f>IF('[13]Table 10 CWTs exp'!J26/'[13]Table 10 CWTs exp'!$Z26&gt;0,'[13]Table 10 CWTs exp'!J26/'[13]Table 10 CWTs exp'!$Z26," ")</f>
        <v>#DIV/0!</v>
      </c>
      <c r="K26" s="144" t="e">
        <f>IF('[13]Table 10 CWTs exp'!K26/'[13]Table 10 CWTs exp'!$Z26&gt;0,'[13]Table 10 CWTs exp'!K26/'[13]Table 10 CWTs exp'!$Z26," ")</f>
        <v>#DIV/0!</v>
      </c>
      <c r="L26" s="144" t="e">
        <f>IF('[13]Table 10 CWTs exp'!L26/'[13]Table 10 CWTs exp'!$Z26&gt;0,'[13]Table 10 CWTs exp'!L26/'[13]Table 10 CWTs exp'!$Z26," ")</f>
        <v>#DIV/0!</v>
      </c>
      <c r="M26" s="146" t="e">
        <f>IF('[13]Table 10 CWTs exp'!M26/'[13]Table 10 CWTs exp'!$Z26&gt;0,'[13]Table 10 CWTs exp'!M26/'[13]Table 10 CWTs exp'!$Z26," ")</f>
        <v>#DIV/0!</v>
      </c>
      <c r="N26" s="144" t="e">
        <f>IF('[13]Table 10 CWTs exp'!N26/'[13]Table 10 CWTs exp'!$Z26&gt;0,'[13]Table 10 CWTs exp'!N26/'[13]Table 10 CWTs exp'!$Z26," ")</f>
        <v>#DIV/0!</v>
      </c>
      <c r="O26" s="146" t="e">
        <f>IF('[13]Table 10 CWTs exp'!O26/'[13]Table 10 CWTs exp'!$Z26&gt;0,'[13]Table 10 CWTs exp'!O26/'[13]Table 10 CWTs exp'!$Z26," ")</f>
        <v>#DIV/0!</v>
      </c>
      <c r="P26" s="144" t="e">
        <f>IF('[13]Table 10 CWTs exp'!P26/'[13]Table 10 CWTs exp'!$Z26&gt;0,'[13]Table 10 CWTs exp'!P26/'[13]Table 10 CWTs exp'!$Z26," ")</f>
        <v>#DIV/0!</v>
      </c>
      <c r="Q26" s="144" t="e">
        <f>IF('[13]Table 10 CWTs exp'!Q26/'[13]Table 10 CWTs exp'!$Z26&gt;0,'[13]Table 10 CWTs exp'!Q26/'[13]Table 10 CWTs exp'!$Z26," ")</f>
        <v>#DIV/0!</v>
      </c>
      <c r="R26" s="144" t="e">
        <f>IF('[13]Table 10 CWTs exp'!R26/'[13]Table 10 CWTs exp'!$Z26&gt;0,'[13]Table 10 CWTs exp'!R26/'[13]Table 10 CWTs exp'!$Z26," ")</f>
        <v>#DIV/0!</v>
      </c>
      <c r="S26" s="146" t="e">
        <f>IF('[13]Table 10 CWTs exp'!S26/'[13]Table 10 CWTs exp'!$Z26&gt;0,'[13]Table 10 CWTs exp'!S26/'[13]Table 10 CWTs exp'!$Z26," ")</f>
        <v>#DIV/0!</v>
      </c>
      <c r="T26" s="144" t="e">
        <f>IF('[13]Table 10 CWTs exp'!T26/'[13]Table 10 CWTs exp'!$Z26&gt;0,'[13]Table 10 CWTs exp'!T26/'[13]Table 10 CWTs exp'!$Z26," ")</f>
        <v>#DIV/0!</v>
      </c>
      <c r="U26" s="146" t="e">
        <f>IF('[13]Table 10 CWTs exp'!U26/'[13]Table 10 CWTs exp'!$Z26&gt;0,'[13]Table 10 CWTs exp'!U26/'[13]Table 10 CWTs exp'!$Z26," ")</f>
        <v>#DIV/0!</v>
      </c>
      <c r="V26" s="146" t="e">
        <f>IF('[13]Table 10 CWTs exp'!V26/'[13]Table 10 CWTs exp'!$Z26&gt;0,'[13]Table 10 CWTs exp'!V26/'[13]Table 10 CWTs exp'!$Z26," ")</f>
        <v>#DIV/0!</v>
      </c>
      <c r="W26" s="144" t="e">
        <f>IF('[13]Table 10 CWTs exp'!W26/'[13]Table 10 CWTs exp'!$Z26&gt;0,'[13]Table 10 CWTs exp'!W26/'[13]Table 10 CWTs exp'!$Z26," ")</f>
        <v>#DIV/0!</v>
      </c>
      <c r="X26" s="147" t="e">
        <f t="shared" si="4"/>
        <v>#DIV/0!</v>
      </c>
      <c r="Y26" s="148" t="e">
        <f t="shared" si="5"/>
        <v>#DIV/0!</v>
      </c>
      <c r="Z26" s="38">
        <f>'[13]Table 10 CWTs exp'!Z26</f>
        <v>0</v>
      </c>
      <c r="AB26" s="592">
        <f>'[13]Table 10 CWTs exp'!AC26</f>
        <v>0</v>
      </c>
      <c r="AC26" s="592" t="e">
        <f t="shared" si="3"/>
        <v>#DIV/0!</v>
      </c>
      <c r="AD26" s="593" t="str">
        <f t="shared" si="6"/>
        <v>COT543</v>
      </c>
      <c r="AE26" s="442"/>
      <c r="AF26" s="442"/>
      <c r="AG26" s="648"/>
      <c r="AH26" s="454"/>
      <c r="AI26" s="442"/>
      <c r="AJ26" s="442"/>
    </row>
    <row r="27" spans="1:36" ht="12.75" hidden="1" customHeight="1" x14ac:dyDescent="0.25">
      <c r="A27" s="54" t="str">
        <f>'[13]Table 10 CWTs exp'!A27</f>
        <v>COW543</v>
      </c>
      <c r="B27" s="75" t="str">
        <f>'[13]Table 10 CWTs exp'!B27</f>
        <v>COW</v>
      </c>
      <c r="C27" s="75">
        <f>'[13]Table 10 CWTs exp'!C27</f>
        <v>54</v>
      </c>
      <c r="D27" s="75">
        <f>'[13]Table 10 CWTs exp'!D27</f>
        <v>3</v>
      </c>
      <c r="E27" t="str">
        <f>'[13]Table 10 CWTs exp'!E27</f>
        <v>Cow Creek</v>
      </c>
      <c r="F27" s="37" t="str">
        <f>'[13]Table 10 CWTs exp'!F27</f>
        <v>Fall</v>
      </c>
      <c r="G27" s="144" t="e">
        <f>IF('[13]Table 10 CWTs exp'!G27/'[13]Table 10 CWTs exp'!$Z27&gt;0,'[13]Table 10 CWTs exp'!G27/'[13]Table 10 CWTs exp'!$Z27," ")</f>
        <v>#DIV/0!</v>
      </c>
      <c r="H27" s="145" t="e">
        <f>IF('[13]Table 10 CWTs exp'!H27/'[13]Table 10 CWTs exp'!$Z27&gt;0,'[13]Table 10 CWTs exp'!H27/'[13]Table 10 CWTs exp'!$Z27," ")</f>
        <v>#DIV/0!</v>
      </c>
      <c r="I27" s="146" t="e">
        <f>IF('[13]Table 10 CWTs exp'!I27/'[13]Table 10 CWTs exp'!$Z27&gt;0,'[13]Table 10 CWTs exp'!I27/'[13]Table 10 CWTs exp'!$Z27," ")</f>
        <v>#DIV/0!</v>
      </c>
      <c r="J27" s="144" t="e">
        <f>IF('[13]Table 10 CWTs exp'!J27/'[13]Table 10 CWTs exp'!$Z27&gt;0,'[13]Table 10 CWTs exp'!J27/'[13]Table 10 CWTs exp'!$Z27," ")</f>
        <v>#DIV/0!</v>
      </c>
      <c r="K27" s="144" t="e">
        <f>IF('[13]Table 10 CWTs exp'!K27/'[13]Table 10 CWTs exp'!$Z27&gt;0,'[13]Table 10 CWTs exp'!K27/'[13]Table 10 CWTs exp'!$Z27," ")</f>
        <v>#DIV/0!</v>
      </c>
      <c r="L27" s="144" t="e">
        <f>IF('[13]Table 10 CWTs exp'!L27/'[13]Table 10 CWTs exp'!$Z27&gt;0,'[13]Table 10 CWTs exp'!L27/'[13]Table 10 CWTs exp'!$Z27," ")</f>
        <v>#DIV/0!</v>
      </c>
      <c r="M27" s="146" t="e">
        <f>IF('[13]Table 10 CWTs exp'!M27/'[13]Table 10 CWTs exp'!$Z27&gt;0,'[13]Table 10 CWTs exp'!M27/'[13]Table 10 CWTs exp'!$Z27," ")</f>
        <v>#DIV/0!</v>
      </c>
      <c r="N27" s="144" t="e">
        <f>IF('[13]Table 10 CWTs exp'!N27/'[13]Table 10 CWTs exp'!$Z27&gt;0,'[13]Table 10 CWTs exp'!N27/'[13]Table 10 CWTs exp'!$Z27," ")</f>
        <v>#DIV/0!</v>
      </c>
      <c r="O27" s="146" t="e">
        <f>IF('[13]Table 10 CWTs exp'!O27/'[13]Table 10 CWTs exp'!$Z27&gt;0,'[13]Table 10 CWTs exp'!O27/'[13]Table 10 CWTs exp'!$Z27," ")</f>
        <v>#DIV/0!</v>
      </c>
      <c r="P27" s="144" t="e">
        <f>IF('[13]Table 10 CWTs exp'!P27/'[13]Table 10 CWTs exp'!$Z27&gt;0,'[13]Table 10 CWTs exp'!P27/'[13]Table 10 CWTs exp'!$Z27," ")</f>
        <v>#DIV/0!</v>
      </c>
      <c r="Q27" s="144" t="e">
        <f>IF('[13]Table 10 CWTs exp'!Q27/'[13]Table 10 CWTs exp'!$Z27&gt;0,'[13]Table 10 CWTs exp'!Q27/'[13]Table 10 CWTs exp'!$Z27," ")</f>
        <v>#DIV/0!</v>
      </c>
      <c r="R27" s="144" t="e">
        <f>IF('[13]Table 10 CWTs exp'!R27/'[13]Table 10 CWTs exp'!$Z27&gt;0,'[13]Table 10 CWTs exp'!R27/'[13]Table 10 CWTs exp'!$Z27," ")</f>
        <v>#DIV/0!</v>
      </c>
      <c r="S27" s="146" t="e">
        <f>IF('[13]Table 10 CWTs exp'!S27/'[13]Table 10 CWTs exp'!$Z27&gt;0,'[13]Table 10 CWTs exp'!S27/'[13]Table 10 CWTs exp'!$Z27," ")</f>
        <v>#DIV/0!</v>
      </c>
      <c r="T27" s="144" t="e">
        <f>IF('[13]Table 10 CWTs exp'!T27/'[13]Table 10 CWTs exp'!$Z27&gt;0,'[13]Table 10 CWTs exp'!T27/'[13]Table 10 CWTs exp'!$Z27," ")</f>
        <v>#DIV/0!</v>
      </c>
      <c r="U27" s="146" t="e">
        <f>IF('[13]Table 10 CWTs exp'!U27/'[13]Table 10 CWTs exp'!$Z27&gt;0,'[13]Table 10 CWTs exp'!U27/'[13]Table 10 CWTs exp'!$Z27," ")</f>
        <v>#DIV/0!</v>
      </c>
      <c r="V27" s="146" t="e">
        <f>IF('[13]Table 10 CWTs exp'!V27/'[13]Table 10 CWTs exp'!$Z27&gt;0,'[13]Table 10 CWTs exp'!V27/'[13]Table 10 CWTs exp'!$Z27," ")</f>
        <v>#DIV/0!</v>
      </c>
      <c r="W27" s="144" t="e">
        <f>IF('[13]Table 10 CWTs exp'!W27/'[13]Table 10 CWTs exp'!$Z27&gt;0,'[13]Table 10 CWTs exp'!W27/'[13]Table 10 CWTs exp'!$Z27," ")</f>
        <v>#DIV/0!</v>
      </c>
      <c r="X27" s="147" t="e">
        <f t="shared" si="4"/>
        <v>#DIV/0!</v>
      </c>
      <c r="Y27" s="148" t="e">
        <f t="shared" si="5"/>
        <v>#DIV/0!</v>
      </c>
      <c r="Z27" s="38">
        <f>'[13]Table 10 CWTs exp'!Z27</f>
        <v>0</v>
      </c>
      <c r="AB27" s="592">
        <f>'[13]Table 10 CWTs exp'!AC27</f>
        <v>0</v>
      </c>
      <c r="AC27" s="592" t="e">
        <f t="shared" si="3"/>
        <v>#DIV/0!</v>
      </c>
      <c r="AD27" s="593" t="str">
        <f t="shared" si="6"/>
        <v>COW543</v>
      </c>
      <c r="AE27" s="442"/>
      <c r="AF27" s="442"/>
      <c r="AG27" s="648"/>
      <c r="AH27" s="454"/>
      <c r="AI27" s="442"/>
      <c r="AJ27" s="442"/>
    </row>
    <row r="28" spans="1:36" ht="14.25" hidden="1" customHeight="1" x14ac:dyDescent="0.25">
      <c r="A28" s="54" t="str">
        <f>'[13]Table 10 CWTs exp'!A28</f>
        <v>MLC543</v>
      </c>
      <c r="B28" s="75" t="str">
        <f>'[13]Table 10 CWTs exp'!B28</f>
        <v>MLC</v>
      </c>
      <c r="C28" s="75">
        <f>'[13]Table 10 CWTs exp'!C28</f>
        <v>54</v>
      </c>
      <c r="D28" s="75">
        <f>'[13]Table 10 CWTs exp'!D28</f>
        <v>3</v>
      </c>
      <c r="E28" t="str">
        <f>'[13]Table 10 CWTs exp'!E28</f>
        <v>Mill Creek</v>
      </c>
      <c r="F28" s="37" t="str">
        <f>'[13]Table 10 CWTs exp'!F28</f>
        <v>Fall</v>
      </c>
      <c r="G28" s="144" t="e">
        <f>IF('[13]Table 10 CWTs exp'!G28/'[13]Table 10 CWTs exp'!$Z28&gt;0,'[13]Table 10 CWTs exp'!G28/'[13]Table 10 CWTs exp'!$Z28," ")</f>
        <v>#DIV/0!</v>
      </c>
      <c r="H28" s="145" t="e">
        <f>IF('[13]Table 10 CWTs exp'!H28/'[13]Table 10 CWTs exp'!$Z28&gt;0,'[13]Table 10 CWTs exp'!H28/'[13]Table 10 CWTs exp'!$Z28," ")</f>
        <v>#DIV/0!</v>
      </c>
      <c r="I28" s="146" t="e">
        <f>IF('[13]Table 10 CWTs exp'!I28/'[13]Table 10 CWTs exp'!$Z28&gt;0,'[13]Table 10 CWTs exp'!I28/'[13]Table 10 CWTs exp'!$Z28," ")</f>
        <v>#DIV/0!</v>
      </c>
      <c r="J28" s="144" t="e">
        <f>IF('[13]Table 10 CWTs exp'!J28/'[13]Table 10 CWTs exp'!$Z28&gt;0,'[13]Table 10 CWTs exp'!J28/'[13]Table 10 CWTs exp'!$Z28," ")</f>
        <v>#DIV/0!</v>
      </c>
      <c r="K28" s="144" t="e">
        <f>IF('[13]Table 10 CWTs exp'!K28/'[13]Table 10 CWTs exp'!$Z28&gt;0,'[13]Table 10 CWTs exp'!K28/'[13]Table 10 CWTs exp'!$Z28," ")</f>
        <v>#DIV/0!</v>
      </c>
      <c r="L28" s="144" t="e">
        <f>IF('[13]Table 10 CWTs exp'!L28/'[13]Table 10 CWTs exp'!$Z28&gt;0,'[13]Table 10 CWTs exp'!L28/'[13]Table 10 CWTs exp'!$Z28," ")</f>
        <v>#DIV/0!</v>
      </c>
      <c r="M28" s="146" t="e">
        <f>IF('[13]Table 10 CWTs exp'!M28/'[13]Table 10 CWTs exp'!$Z28&gt;0,'[13]Table 10 CWTs exp'!M28/'[13]Table 10 CWTs exp'!$Z28," ")</f>
        <v>#DIV/0!</v>
      </c>
      <c r="N28" s="144" t="e">
        <f>IF('[13]Table 10 CWTs exp'!N28/'[13]Table 10 CWTs exp'!$Z28&gt;0,'[13]Table 10 CWTs exp'!N28/'[13]Table 10 CWTs exp'!$Z28," ")</f>
        <v>#DIV/0!</v>
      </c>
      <c r="O28" s="146" t="e">
        <f>IF('[13]Table 10 CWTs exp'!O28/'[13]Table 10 CWTs exp'!$Z28&gt;0,'[13]Table 10 CWTs exp'!O28/'[13]Table 10 CWTs exp'!$Z28," ")</f>
        <v>#DIV/0!</v>
      </c>
      <c r="P28" s="144" t="e">
        <f>IF('[13]Table 10 CWTs exp'!P28/'[13]Table 10 CWTs exp'!$Z28&gt;0,'[13]Table 10 CWTs exp'!P28/'[13]Table 10 CWTs exp'!$Z28," ")</f>
        <v>#DIV/0!</v>
      </c>
      <c r="Q28" s="144" t="e">
        <f>IF('[13]Table 10 CWTs exp'!Q28/'[13]Table 10 CWTs exp'!$Z28&gt;0,'[13]Table 10 CWTs exp'!Q28/'[13]Table 10 CWTs exp'!$Z28," ")</f>
        <v>#DIV/0!</v>
      </c>
      <c r="R28" s="144" t="e">
        <f>IF('[13]Table 10 CWTs exp'!R28/'[13]Table 10 CWTs exp'!$Z28&gt;0,'[13]Table 10 CWTs exp'!R28/'[13]Table 10 CWTs exp'!$Z28," ")</f>
        <v>#DIV/0!</v>
      </c>
      <c r="S28" s="146" t="e">
        <f>IF('[13]Table 10 CWTs exp'!S28/'[13]Table 10 CWTs exp'!$Z28&gt;0,'[13]Table 10 CWTs exp'!S28/'[13]Table 10 CWTs exp'!$Z28," ")</f>
        <v>#DIV/0!</v>
      </c>
      <c r="T28" s="144" t="e">
        <f>IF('[13]Table 10 CWTs exp'!T28/'[13]Table 10 CWTs exp'!$Z28&gt;0,'[13]Table 10 CWTs exp'!T28/'[13]Table 10 CWTs exp'!$Z28," ")</f>
        <v>#DIV/0!</v>
      </c>
      <c r="U28" s="146" t="e">
        <f>IF('[13]Table 10 CWTs exp'!U28/'[13]Table 10 CWTs exp'!$Z28&gt;0,'[13]Table 10 CWTs exp'!U28/'[13]Table 10 CWTs exp'!$Z28," ")</f>
        <v>#DIV/0!</v>
      </c>
      <c r="V28" s="146" t="e">
        <f>IF('[13]Table 10 CWTs exp'!V28/'[13]Table 10 CWTs exp'!$Z28&gt;0,'[13]Table 10 CWTs exp'!V28/'[13]Table 10 CWTs exp'!$Z28," ")</f>
        <v>#DIV/0!</v>
      </c>
      <c r="W28" s="144" t="e">
        <f>IF('[13]Table 10 CWTs exp'!W28/'[13]Table 10 CWTs exp'!$Z28&gt;0,'[13]Table 10 CWTs exp'!W28/'[13]Table 10 CWTs exp'!$Z28," ")</f>
        <v>#DIV/0!</v>
      </c>
      <c r="X28" s="147" t="e">
        <f t="shared" si="4"/>
        <v>#DIV/0!</v>
      </c>
      <c r="Y28" s="148" t="e">
        <f t="shared" si="5"/>
        <v>#DIV/0!</v>
      </c>
      <c r="Z28" s="38">
        <f>'[13]Table 10 CWTs exp'!Z28</f>
        <v>0</v>
      </c>
      <c r="AB28" s="592">
        <f>'[13]Table 10 CWTs exp'!AC28</f>
        <v>0</v>
      </c>
      <c r="AC28" s="592" t="e">
        <f t="shared" si="3"/>
        <v>#DIV/0!</v>
      </c>
      <c r="AD28" s="593" t="str">
        <f t="shared" si="6"/>
        <v>MLC543</v>
      </c>
      <c r="AE28" s="442"/>
      <c r="AF28" s="442"/>
      <c r="AG28" s="648"/>
      <c r="AH28" s="454"/>
      <c r="AI28" s="442"/>
      <c r="AJ28" s="442"/>
    </row>
    <row r="29" spans="1:36" ht="14.25" hidden="1" customHeight="1" x14ac:dyDescent="0.25">
      <c r="A29" s="54" t="str">
        <f>'[13]Table 10 CWTs exp'!A29</f>
        <v>BUTT543</v>
      </c>
      <c r="B29" s="75" t="str">
        <f>'[13]Table 10 CWTs exp'!B29</f>
        <v>BUTT</v>
      </c>
      <c r="C29" s="75">
        <f>'[13]Table 10 CWTs exp'!C29</f>
        <v>54</v>
      </c>
      <c r="D29" s="75">
        <f>'[13]Table 10 CWTs exp'!D29</f>
        <v>3</v>
      </c>
      <c r="E29" t="str">
        <f>'[13]Table 10 CWTs exp'!E29</f>
        <v>Butte Creek</v>
      </c>
      <c r="F29" s="37" t="str">
        <f>'[13]Table 10 CWTs exp'!F29</f>
        <v>Fall</v>
      </c>
      <c r="G29" s="144" t="e">
        <f>IF('[13]Table 10 CWTs exp'!G29/'[13]Table 10 CWTs exp'!$Z29&gt;0,'[13]Table 10 CWTs exp'!G29/'[13]Table 10 CWTs exp'!$Z29," ")</f>
        <v>#DIV/0!</v>
      </c>
      <c r="H29" s="145" t="e">
        <f>IF('[13]Table 10 CWTs exp'!H29/'[13]Table 10 CWTs exp'!$Z29&gt;0,'[13]Table 10 CWTs exp'!H29/'[13]Table 10 CWTs exp'!$Z29," ")</f>
        <v>#DIV/0!</v>
      </c>
      <c r="I29" s="146" t="e">
        <f>IF('[13]Table 10 CWTs exp'!I29/'[13]Table 10 CWTs exp'!$Z29&gt;0,'[13]Table 10 CWTs exp'!I29/'[13]Table 10 CWTs exp'!$Z29," ")</f>
        <v>#DIV/0!</v>
      </c>
      <c r="J29" s="144" t="e">
        <f>IF('[13]Table 10 CWTs exp'!J29/'[13]Table 10 CWTs exp'!$Z29&gt;0,'[13]Table 10 CWTs exp'!J29/'[13]Table 10 CWTs exp'!$Z29," ")</f>
        <v>#DIV/0!</v>
      </c>
      <c r="K29" s="144" t="e">
        <f>IF('[13]Table 10 CWTs exp'!K29/'[13]Table 10 CWTs exp'!$Z29&gt;0,'[13]Table 10 CWTs exp'!K29/'[13]Table 10 CWTs exp'!$Z29," ")</f>
        <v>#DIV/0!</v>
      </c>
      <c r="L29" s="144" t="e">
        <f>IF('[13]Table 10 CWTs exp'!L29/'[13]Table 10 CWTs exp'!$Z29&gt;0,'[13]Table 10 CWTs exp'!L29/'[13]Table 10 CWTs exp'!$Z29," ")</f>
        <v>#DIV/0!</v>
      </c>
      <c r="M29" s="146" t="e">
        <f>IF('[13]Table 10 CWTs exp'!M29/'[13]Table 10 CWTs exp'!$Z29&gt;0,'[13]Table 10 CWTs exp'!M29/'[13]Table 10 CWTs exp'!$Z29," ")</f>
        <v>#DIV/0!</v>
      </c>
      <c r="N29" s="144" t="e">
        <f>IF('[13]Table 10 CWTs exp'!N29/'[13]Table 10 CWTs exp'!$Z29&gt;0,'[13]Table 10 CWTs exp'!N29/'[13]Table 10 CWTs exp'!$Z29," ")</f>
        <v>#DIV/0!</v>
      </c>
      <c r="O29" s="146" t="e">
        <f>IF('[13]Table 10 CWTs exp'!O29/'[13]Table 10 CWTs exp'!$Z29&gt;0,'[13]Table 10 CWTs exp'!O29/'[13]Table 10 CWTs exp'!$Z29," ")</f>
        <v>#DIV/0!</v>
      </c>
      <c r="P29" s="144" t="e">
        <f>IF('[13]Table 10 CWTs exp'!P29/'[13]Table 10 CWTs exp'!$Z29&gt;0,'[13]Table 10 CWTs exp'!P29/'[13]Table 10 CWTs exp'!$Z29," ")</f>
        <v>#DIV/0!</v>
      </c>
      <c r="Q29" s="144" t="e">
        <f>IF('[13]Table 10 CWTs exp'!Q29/'[13]Table 10 CWTs exp'!$Z29&gt;0,'[13]Table 10 CWTs exp'!Q29/'[13]Table 10 CWTs exp'!$Z29," ")</f>
        <v>#DIV/0!</v>
      </c>
      <c r="R29" s="144" t="e">
        <f>IF('[13]Table 10 CWTs exp'!R29/'[13]Table 10 CWTs exp'!$Z29&gt;0,'[13]Table 10 CWTs exp'!R29/'[13]Table 10 CWTs exp'!$Z29," ")</f>
        <v>#DIV/0!</v>
      </c>
      <c r="S29" s="146" t="e">
        <f>IF('[13]Table 10 CWTs exp'!S29/'[13]Table 10 CWTs exp'!$Z29&gt;0,'[13]Table 10 CWTs exp'!S29/'[13]Table 10 CWTs exp'!$Z29," ")</f>
        <v>#DIV/0!</v>
      </c>
      <c r="T29" s="144" t="e">
        <f>IF('[13]Table 10 CWTs exp'!T29/'[13]Table 10 CWTs exp'!$Z29&gt;0,'[13]Table 10 CWTs exp'!T29/'[13]Table 10 CWTs exp'!$Z29," ")</f>
        <v>#DIV/0!</v>
      </c>
      <c r="U29" s="146" t="e">
        <f>IF('[13]Table 10 CWTs exp'!U29/'[13]Table 10 CWTs exp'!$Z29&gt;0,'[13]Table 10 CWTs exp'!U29/'[13]Table 10 CWTs exp'!$Z29," ")</f>
        <v>#DIV/0!</v>
      </c>
      <c r="V29" s="146" t="e">
        <f>IF('[13]Table 10 CWTs exp'!V29/'[13]Table 10 CWTs exp'!$Z29&gt;0,'[13]Table 10 CWTs exp'!V29/'[13]Table 10 CWTs exp'!$Z29," ")</f>
        <v>#DIV/0!</v>
      </c>
      <c r="W29" s="144" t="e">
        <f>IF('[13]Table 10 CWTs exp'!W29/'[13]Table 10 CWTs exp'!$Z29&gt;0,'[13]Table 10 CWTs exp'!W29/'[13]Table 10 CWTs exp'!$Z29," ")</f>
        <v>#DIV/0!</v>
      </c>
      <c r="X29" s="147" t="e">
        <f t="shared" si="4"/>
        <v>#DIV/0!</v>
      </c>
      <c r="Y29" s="148" t="e">
        <f t="shared" si="5"/>
        <v>#DIV/0!</v>
      </c>
      <c r="Z29" s="38">
        <f>'[13]Table 10 CWTs exp'!Z29</f>
        <v>0</v>
      </c>
      <c r="AB29" s="592">
        <f>'[13]Table 10 CWTs exp'!AC29</f>
        <v>0</v>
      </c>
      <c r="AC29" s="592" t="e">
        <f t="shared" si="3"/>
        <v>#DIV/0!</v>
      </c>
      <c r="AD29" s="593" t="str">
        <f t="shared" si="6"/>
        <v>BUTT543</v>
      </c>
      <c r="AE29" s="442"/>
      <c r="AF29" s="442"/>
      <c r="AG29" s="648"/>
      <c r="AH29" s="454"/>
      <c r="AI29" s="442"/>
      <c r="AJ29" s="442"/>
    </row>
    <row r="30" spans="1:36" ht="14.5" customHeight="1" x14ac:dyDescent="0.25">
      <c r="A30" s="54" t="str">
        <f>'[13]Table 10 CWTs exp'!A30</f>
        <v>FEA543</v>
      </c>
      <c r="B30" s="75" t="str">
        <f>'[13]Table 10 CWTs exp'!B30</f>
        <v>FEA</v>
      </c>
      <c r="C30" s="75">
        <f>'[13]Table 10 CWTs exp'!C30</f>
        <v>54</v>
      </c>
      <c r="D30" s="75">
        <f>'[13]Table 10 CWTs exp'!D30</f>
        <v>3</v>
      </c>
      <c r="E30" t="str">
        <f>'[13]Table 10 CWTs exp'!E30</f>
        <v>Feather River</v>
      </c>
      <c r="F30" s="37" t="str">
        <f>'[13]Table 10 CWTs exp'!F30</f>
        <v>Fall</v>
      </c>
      <c r="G30" s="144" t="str">
        <f>IF('[13]Table 10 CWTs exp'!G30/'[13]Table 10 CWTs exp'!$Z30&gt;0,'[13]Table 10 CWTs exp'!G30/'[13]Table 10 CWTs exp'!$Z30," ")</f>
        <v xml:space="preserve"> </v>
      </c>
      <c r="H30" s="145" t="str">
        <f>IF('[13]Table 10 CWTs exp'!H30/'[13]Table 10 CWTs exp'!$Z30&gt;0,'[13]Table 10 CWTs exp'!H30/'[13]Table 10 CWTs exp'!$Z30," ")</f>
        <v xml:space="preserve"> </v>
      </c>
      <c r="I30" s="146" t="str">
        <f>IF('[13]Table 10 CWTs exp'!I30/'[13]Table 10 CWTs exp'!$Z30&gt;0,'[13]Table 10 CWTs exp'!I30/'[13]Table 10 CWTs exp'!$Z30," ")</f>
        <v xml:space="preserve"> </v>
      </c>
      <c r="J30" s="144">
        <f>IF('[13]Table 10 CWTs exp'!J30/'[13]Table 10 CWTs exp'!$Z30&gt;0,'[13]Table 10 CWTs exp'!J30/'[13]Table 10 CWTs exp'!$Z30," ")</f>
        <v>4.1239032791081945E-2</v>
      </c>
      <c r="K30" s="144">
        <f>IF('[13]Table 10 CWTs exp'!K30/'[13]Table 10 CWTs exp'!$Z30&gt;0,'[13]Table 10 CWTs exp'!K30/'[13]Table 10 CWTs exp'!$Z30," ")</f>
        <v>1.3567921059368382E-2</v>
      </c>
      <c r="L30" s="144">
        <f>IF('[13]Table 10 CWTs exp'!L30/'[13]Table 10 CWTs exp'!$Z30&gt;0,'[13]Table 10 CWTs exp'!L30/'[13]Table 10 CWTs exp'!$Z30," ")</f>
        <v>0.40056785124159278</v>
      </c>
      <c r="M30" s="146">
        <f>IF('[13]Table 10 CWTs exp'!M30/'[13]Table 10 CWTs exp'!$Z30&gt;0,'[13]Table 10 CWTs exp'!M30/'[13]Table 10 CWTs exp'!$Z30," ")</f>
        <v>0.23321464311480369</v>
      </c>
      <c r="N30" s="144" t="str">
        <f>IF('[13]Table 10 CWTs exp'!N30/'[13]Table 10 CWTs exp'!$Z30&gt;0,'[13]Table 10 CWTs exp'!N30/'[13]Table 10 CWTs exp'!$Z30," ")</f>
        <v xml:space="preserve"> </v>
      </c>
      <c r="O30" s="146">
        <f>IF('[13]Table 10 CWTs exp'!O30/'[13]Table 10 CWTs exp'!$Z30&gt;0,'[13]Table 10 CWTs exp'!O30/'[13]Table 10 CWTs exp'!$Z30," ")</f>
        <v>1.6523540226675046E-3</v>
      </c>
      <c r="P30" s="144" t="str">
        <f>IF('[13]Table 10 CWTs exp'!P30/'[13]Table 10 CWTs exp'!$Z30&gt;0,'[13]Table 10 CWTs exp'!P30/'[13]Table 10 CWTs exp'!$Z30," ")</f>
        <v xml:space="preserve"> </v>
      </c>
      <c r="Q30" s="144">
        <f>IF('[13]Table 10 CWTs exp'!Q30/'[13]Table 10 CWTs exp'!$Z30&gt;0,'[13]Table 10 CWTs exp'!Q30/'[13]Table 10 CWTs exp'!$Z30," ")</f>
        <v>4.933789476133957E-3</v>
      </c>
      <c r="R30" s="144">
        <f>IF('[13]Table 10 CWTs exp'!R30/'[13]Table 10 CWTs exp'!$Z30&gt;0,'[13]Table 10 CWTs exp'!R30/'[13]Table 10 CWTs exp'!$Z30," ")</f>
        <v>4.5847005981056108E-3</v>
      </c>
      <c r="S30" s="146" t="str">
        <f>IF('[13]Table 10 CWTs exp'!S30/'[13]Table 10 CWTs exp'!$Z30&gt;0,'[13]Table 10 CWTs exp'!S30/'[13]Table 10 CWTs exp'!$Z30," ")</f>
        <v xml:space="preserve"> </v>
      </c>
      <c r="T30" s="144" t="str">
        <f>IF('[13]Table 10 CWTs exp'!T30/'[13]Table 10 CWTs exp'!$Z30&gt;0,'[13]Table 10 CWTs exp'!T30/'[13]Table 10 CWTs exp'!$Z30," ")</f>
        <v xml:space="preserve"> </v>
      </c>
      <c r="U30" s="146">
        <f>IF('[13]Table 10 CWTs exp'!U30/'[13]Table 10 CWTs exp'!$Z30&gt;0,'[13]Table 10 CWTs exp'!U30/'[13]Table 10 CWTs exp'!$Z30," ")</f>
        <v>7.9592264190462888E-3</v>
      </c>
      <c r="V30" s="146">
        <f>IF('[13]Table 10 CWTs exp'!V30/'[13]Table 10 CWTs exp'!$Z30&gt;0,'[13]Table 10 CWTs exp'!V30/'[13]Table 10 CWTs exp'!$Z30," ")</f>
        <v>2.0945332681700761E-4</v>
      </c>
      <c r="W30" s="144" t="str">
        <f>IF('[13]Table 10 CWTs exp'!W30/'[13]Table 10 CWTs exp'!$Z30&gt;0,'[13]Table 10 CWTs exp'!W30/'[13]Table 10 CWTs exp'!$Z30," ")</f>
        <v xml:space="preserve"> </v>
      </c>
      <c r="X30" s="147">
        <f t="shared" si="4"/>
        <v>0.70792897204961713</v>
      </c>
      <c r="Y30" s="148">
        <f t="shared" si="5"/>
        <v>0.29207102795038287</v>
      </c>
      <c r="Z30" s="38">
        <f>'[13]Table 10 CWTs exp'!Z30</f>
        <v>42969</v>
      </c>
      <c r="AB30" s="592">
        <f>'[13]Table 10 CWTs exp'!AC30</f>
        <v>0.70799999999999996</v>
      </c>
      <c r="AC30" s="592">
        <f t="shared" si="3"/>
        <v>-7.1027950382829275E-5</v>
      </c>
      <c r="AD30" s="593" t="str">
        <f t="shared" si="6"/>
        <v>FEA543</v>
      </c>
      <c r="AE30" s="442"/>
      <c r="AF30" s="442"/>
      <c r="AG30" s="648"/>
      <c r="AH30" s="454"/>
      <c r="AI30" s="442"/>
      <c r="AJ30" s="442"/>
    </row>
    <row r="31" spans="1:36" ht="14.5" customHeight="1" x14ac:dyDescent="0.25">
      <c r="A31" s="54" t="str">
        <f>'[13]Table 10 CWTs exp'!A31</f>
        <v>YUBA543</v>
      </c>
      <c r="B31" s="75" t="str">
        <f>'[13]Table 10 CWTs exp'!B31</f>
        <v>YUBA</v>
      </c>
      <c r="C31" s="75">
        <f>'[13]Table 10 CWTs exp'!C31</f>
        <v>54</v>
      </c>
      <c r="D31" s="75">
        <f>'[13]Table 10 CWTs exp'!D31</f>
        <v>3</v>
      </c>
      <c r="E31" s="79" t="s">
        <v>147</v>
      </c>
      <c r="F31" s="37" t="str">
        <f>'[13]Table 10 CWTs exp'!F31</f>
        <v>Fall</v>
      </c>
      <c r="G31" s="144" t="str">
        <f>IF('[13]Table 10 CWTs exp'!G31/'[13]Table 10 CWTs exp'!$Z31&gt;0,'[13]Table 10 CWTs exp'!G31/'[13]Table 10 CWTs exp'!$Z31," ")</f>
        <v xml:space="preserve"> </v>
      </c>
      <c r="H31" s="145" t="str">
        <f>IF('[13]Table 10 CWTs exp'!H31/'[13]Table 10 CWTs exp'!$Z31&gt;0,'[13]Table 10 CWTs exp'!H31/'[13]Table 10 CWTs exp'!$Z31," ")</f>
        <v xml:space="preserve"> </v>
      </c>
      <c r="I31" s="146" t="str">
        <f>IF('[13]Table 10 CWTs exp'!I31/'[13]Table 10 CWTs exp'!$Z31&gt;0,'[13]Table 10 CWTs exp'!I31/'[13]Table 10 CWTs exp'!$Z31," ")</f>
        <v xml:space="preserve"> </v>
      </c>
      <c r="J31" s="144">
        <f>IF('[13]Table 10 CWTs exp'!J31/'[13]Table 10 CWTs exp'!$Z31&gt;0,'[13]Table 10 CWTs exp'!J31/'[13]Table 10 CWTs exp'!$Z31," ")</f>
        <v>3.3801352054082163E-3</v>
      </c>
      <c r="K31" s="144">
        <f>IF('[13]Table 10 CWTs exp'!K31/'[13]Table 10 CWTs exp'!$Z31&gt;0,'[13]Table 10 CWTs exp'!K31/'[13]Table 10 CWTs exp'!$Z31," ")</f>
        <v>1.3260530421216849E-2</v>
      </c>
      <c r="L31" s="144">
        <f>IF('[13]Table 10 CWTs exp'!L31/'[13]Table 10 CWTs exp'!$Z31&gt;0,'[13]Table 10 CWTs exp'!L31/'[13]Table 10 CWTs exp'!$Z31," ")</f>
        <v>9.1523660946437851E-2</v>
      </c>
      <c r="M31" s="146">
        <f>IF('[13]Table 10 CWTs exp'!M31/'[13]Table 10 CWTs exp'!$Z31&gt;0,'[13]Table 10 CWTs exp'!M31/'[13]Table 10 CWTs exp'!$Z31," ")</f>
        <v>3.9521580863234526E-2</v>
      </c>
      <c r="N31" s="144" t="str">
        <f>IF('[13]Table 10 CWTs exp'!N31/'[13]Table 10 CWTs exp'!$Z31&gt;0,'[13]Table 10 CWTs exp'!N31/'[13]Table 10 CWTs exp'!$Z31," ")</f>
        <v xml:space="preserve"> </v>
      </c>
      <c r="O31" s="146">
        <f>IF('[13]Table 10 CWTs exp'!O31/'[13]Table 10 CWTs exp'!$Z31&gt;0,'[13]Table 10 CWTs exp'!O31/'[13]Table 10 CWTs exp'!$Z31," ")</f>
        <v>7.8783151326053041E-2</v>
      </c>
      <c r="P31" s="144">
        <f>IF('[13]Table 10 CWTs exp'!P31/'[13]Table 10 CWTs exp'!$Z31&gt;0,'[13]Table 10 CWTs exp'!P31/'[13]Table 10 CWTs exp'!$Z31," ")</f>
        <v>3.3801352054082163E-3</v>
      </c>
      <c r="Q31" s="144">
        <f>IF('[13]Table 10 CWTs exp'!Q31/'[13]Table 10 CWTs exp'!$Z31&gt;0,'[13]Table 10 CWTs exp'!Q31/'[13]Table 10 CWTs exp'!$Z31," ")</f>
        <v>0.10530421216848673</v>
      </c>
      <c r="R31" s="144">
        <f>IF('[13]Table 10 CWTs exp'!R31/'[13]Table 10 CWTs exp'!$Z31&gt;0,'[13]Table 10 CWTs exp'!R31/'[13]Table 10 CWTs exp'!$Z31," ")</f>
        <v>2.6781071242849713E-2</v>
      </c>
      <c r="S31" s="146">
        <f>IF('[13]Table 10 CWTs exp'!S31/'[13]Table 10 CWTs exp'!$Z31&gt;0,'[13]Table 10 CWTs exp'!S31/'[13]Table 10 CWTs exp'!$Z31," ")</f>
        <v>1.3000520020800831E-2</v>
      </c>
      <c r="T31" s="144" t="str">
        <f>IF('[13]Table 10 CWTs exp'!T31/'[13]Table 10 CWTs exp'!$Z31&gt;0,'[13]Table 10 CWTs exp'!T31/'[13]Table 10 CWTs exp'!$Z31," ")</f>
        <v xml:space="preserve"> </v>
      </c>
      <c r="U31" s="146">
        <f>IF('[13]Table 10 CWTs exp'!U31/'[13]Table 10 CWTs exp'!$Z31&gt;0,'[13]Table 10 CWTs exp'!U31/'[13]Table 10 CWTs exp'!$Z31," ")</f>
        <v>4.5761830473218926E-2</v>
      </c>
      <c r="V31" s="146" t="str">
        <f>IF('[13]Table 10 CWTs exp'!V31/'[13]Table 10 CWTs exp'!$Z31&gt;0,'[13]Table 10 CWTs exp'!V31/'[13]Table 10 CWTs exp'!$Z31," ")</f>
        <v xml:space="preserve"> </v>
      </c>
      <c r="W31" s="144" t="str">
        <f>IF('[13]Table 10 CWTs exp'!W31/'[13]Table 10 CWTs exp'!$Z31&gt;0,'[13]Table 10 CWTs exp'!W31/'[13]Table 10 CWTs exp'!$Z31," ")</f>
        <v xml:space="preserve"> </v>
      </c>
      <c r="X31" s="147">
        <f t="shared" si="4"/>
        <v>0.42069682787311491</v>
      </c>
      <c r="Y31" s="148">
        <f t="shared" si="5"/>
        <v>0.57930317212688509</v>
      </c>
      <c r="Z31" s="38">
        <f>'[13]Table 10 CWTs exp'!Z31</f>
        <v>3846</v>
      </c>
      <c r="AB31" s="592">
        <f>'[13]Table 10 CWTs exp'!AC31</f>
        <v>0.42099999999999999</v>
      </c>
      <c r="AC31" s="592">
        <f t="shared" si="3"/>
        <v>-3.0317212688507622E-4</v>
      </c>
      <c r="AD31" s="593" t="str">
        <f t="shared" si="6"/>
        <v>YUBA543</v>
      </c>
      <c r="AE31" s="749" t="s">
        <v>138</v>
      </c>
      <c r="AF31" s="749"/>
      <c r="AG31" s="749"/>
      <c r="AH31" s="749"/>
      <c r="AI31" s="749"/>
      <c r="AJ31" s="442"/>
    </row>
    <row r="32" spans="1:36" ht="14.25" customHeight="1" x14ac:dyDescent="0.25">
      <c r="A32" s="54" t="str">
        <f>'[13]Table 10 CWTs exp'!A32</f>
        <v>YUBB543</v>
      </c>
      <c r="B32" s="75" t="str">
        <f>'[13]Table 10 CWTs exp'!B32</f>
        <v>YUBB</v>
      </c>
      <c r="C32" s="75">
        <f>'[13]Table 10 CWTs exp'!C32</f>
        <v>54</v>
      </c>
      <c r="D32" s="75">
        <f>'[13]Table 10 CWTs exp'!D32</f>
        <v>3</v>
      </c>
      <c r="E32" s="79" t="s">
        <v>85</v>
      </c>
      <c r="F32" s="37" t="str">
        <f>'[13]Table 10 CWTs exp'!F32</f>
        <v>Fall</v>
      </c>
      <c r="G32" s="144" t="str">
        <f>IF('[13]Table 10 CWTs exp'!G32/'[13]Table 10 CWTs exp'!$Z32&gt;0,'[13]Table 10 CWTs exp'!G32/'[13]Table 10 CWTs exp'!$Z32," ")</f>
        <v xml:space="preserve"> </v>
      </c>
      <c r="H32" s="145" t="str">
        <f>IF('[13]Table 10 CWTs exp'!H32/'[13]Table 10 CWTs exp'!$Z32&gt;0,'[13]Table 10 CWTs exp'!H32/'[13]Table 10 CWTs exp'!$Z32," ")</f>
        <v xml:space="preserve"> </v>
      </c>
      <c r="I32" s="146" t="str">
        <f>IF('[13]Table 10 CWTs exp'!I32/'[13]Table 10 CWTs exp'!$Z32&gt;0,'[13]Table 10 CWTs exp'!I32/'[13]Table 10 CWTs exp'!$Z32," ")</f>
        <v xml:space="preserve"> </v>
      </c>
      <c r="J32" s="144" t="str">
        <f>IF('[13]Table 10 CWTs exp'!J32/'[13]Table 10 CWTs exp'!$Z32&gt;0,'[13]Table 10 CWTs exp'!J32/'[13]Table 10 CWTs exp'!$Z32," ")</f>
        <v xml:space="preserve"> </v>
      </c>
      <c r="K32" s="144" t="str">
        <f>IF('[13]Table 10 CWTs exp'!K32/'[13]Table 10 CWTs exp'!$Z32&gt;0,'[13]Table 10 CWTs exp'!K32/'[13]Table 10 CWTs exp'!$Z32," ")</f>
        <v xml:space="preserve"> </v>
      </c>
      <c r="L32" s="144">
        <f>IF('[13]Table 10 CWTs exp'!L32/'[13]Table 10 CWTs exp'!$Z32&gt;0,'[13]Table 10 CWTs exp'!L32/'[13]Table 10 CWTs exp'!$Z32," ")</f>
        <v>0.4511494252873563</v>
      </c>
      <c r="M32" s="146">
        <f>IF('[13]Table 10 CWTs exp'!M32/'[13]Table 10 CWTs exp'!$Z32&gt;0,'[13]Table 10 CWTs exp'!M32/'[13]Table 10 CWTs exp'!$Z32," ")</f>
        <v>0.12931034482758622</v>
      </c>
      <c r="N32" s="144" t="str">
        <f>IF('[13]Table 10 CWTs exp'!N32/'[13]Table 10 CWTs exp'!$Z32&gt;0,'[13]Table 10 CWTs exp'!N32/'[13]Table 10 CWTs exp'!$Z32," ")</f>
        <v xml:space="preserve"> </v>
      </c>
      <c r="O32" s="146">
        <f>IF('[13]Table 10 CWTs exp'!O32/'[13]Table 10 CWTs exp'!$Z32&gt;0,'[13]Table 10 CWTs exp'!O32/'[13]Table 10 CWTs exp'!$Z32," ")</f>
        <v>6.3218390804597707E-2</v>
      </c>
      <c r="P32" s="144" t="str">
        <f>IF('[13]Table 10 CWTs exp'!P32/'[13]Table 10 CWTs exp'!$Z32&gt;0,'[13]Table 10 CWTs exp'!P32/'[13]Table 10 CWTs exp'!$Z32," ")</f>
        <v xml:space="preserve"> </v>
      </c>
      <c r="Q32" s="144">
        <f>IF('[13]Table 10 CWTs exp'!Q32/'[13]Table 10 CWTs exp'!$Z32&gt;0,'[13]Table 10 CWTs exp'!Q32/'[13]Table 10 CWTs exp'!$Z32," ")</f>
        <v>1.7241379310344827E-2</v>
      </c>
      <c r="R32" s="144">
        <f>IF('[13]Table 10 CWTs exp'!R32/'[13]Table 10 CWTs exp'!$Z32&gt;0,'[13]Table 10 CWTs exp'!R32/'[13]Table 10 CWTs exp'!$Z32," ")</f>
        <v>4.8850574712643681E-2</v>
      </c>
      <c r="S32" s="146">
        <f>IF('[13]Table 10 CWTs exp'!S32/'[13]Table 10 CWTs exp'!$Z32&gt;0,'[13]Table 10 CWTs exp'!S32/'[13]Table 10 CWTs exp'!$Z32," ")</f>
        <v>1.7241379310344827E-2</v>
      </c>
      <c r="T32" s="144" t="str">
        <f>IF('[13]Table 10 CWTs exp'!T32/'[13]Table 10 CWTs exp'!$Z32&gt;0,'[13]Table 10 CWTs exp'!T32/'[13]Table 10 CWTs exp'!$Z32," ")</f>
        <v xml:space="preserve"> </v>
      </c>
      <c r="U32" s="146">
        <f>IF('[13]Table 10 CWTs exp'!U32/'[13]Table 10 CWTs exp'!$Z32&gt;0,'[13]Table 10 CWTs exp'!U32/'[13]Table 10 CWTs exp'!$Z32," ")</f>
        <v>8.3333333333333329E-2</v>
      </c>
      <c r="V32" s="146" t="str">
        <f>IF('[13]Table 10 CWTs exp'!V32/'[13]Table 10 CWTs exp'!$Z32&gt;0,'[13]Table 10 CWTs exp'!V32/'[13]Table 10 CWTs exp'!$Z32," ")</f>
        <v xml:space="preserve"> </v>
      </c>
      <c r="W32" s="144" t="str">
        <f>IF('[13]Table 10 CWTs exp'!W32/'[13]Table 10 CWTs exp'!$Z32&gt;0,'[13]Table 10 CWTs exp'!W32/'[13]Table 10 CWTs exp'!$Z32," ")</f>
        <v xml:space="preserve"> </v>
      </c>
      <c r="X32" s="147">
        <f t="shared" si="4"/>
        <v>0.81034482758620696</v>
      </c>
      <c r="Y32" s="148">
        <f t="shared" si="5"/>
        <v>0.18965517241379304</v>
      </c>
      <c r="Z32" s="38">
        <f>'[13]Table 10 CWTs exp'!Z32</f>
        <v>348</v>
      </c>
      <c r="AB32" s="592">
        <f>'[13]Table 10 CWTs exp'!AC32</f>
        <v>0.81</v>
      </c>
      <c r="AC32" s="592">
        <f t="shared" si="3"/>
        <v>3.4482758620690834E-4</v>
      </c>
      <c r="AD32" s="593" t="str">
        <f t="shared" si="6"/>
        <v>YUBB543</v>
      </c>
      <c r="AE32" s="749"/>
      <c r="AF32" s="749"/>
      <c r="AG32" s="749"/>
      <c r="AH32" s="749"/>
      <c r="AI32" s="749"/>
      <c r="AJ32" s="442"/>
    </row>
    <row r="33" spans="1:36" ht="14.5" customHeight="1" x14ac:dyDescent="0.25">
      <c r="A33" s="54" t="str">
        <f>'[13]Table 10 CWTs exp'!A33</f>
        <v>LARC543</v>
      </c>
      <c r="B33" s="75" t="str">
        <f>'[13]Table 10 CWTs exp'!B33</f>
        <v>LARC</v>
      </c>
      <c r="C33" s="75">
        <f>'[13]Table 10 CWTs exp'!C33</f>
        <v>54</v>
      </c>
      <c r="D33" s="75">
        <f>'[13]Table 10 CWTs exp'!D33</f>
        <v>3</v>
      </c>
      <c r="E33" t="str">
        <f>'[13]Table 10 CWTs exp'!E33</f>
        <v>American River</v>
      </c>
      <c r="F33" s="37" t="str">
        <f>'[13]Table 10 CWTs exp'!F33</f>
        <v>Fall</v>
      </c>
      <c r="G33" s="144" t="str">
        <f>IF('[13]Table 10 CWTs exp'!G33/'[13]Table 10 CWTs exp'!$Z33&gt;0,'[13]Table 10 CWTs exp'!G33/'[13]Table 10 CWTs exp'!$Z33," ")</f>
        <v xml:space="preserve"> </v>
      </c>
      <c r="H33" s="145" t="str">
        <f>IF('[13]Table 10 CWTs exp'!H33/'[13]Table 10 CWTs exp'!$Z33&gt;0,'[13]Table 10 CWTs exp'!H33/'[13]Table 10 CWTs exp'!$Z33," ")</f>
        <v xml:space="preserve"> </v>
      </c>
      <c r="I33" s="146" t="str">
        <f>IF('[13]Table 10 CWTs exp'!I33/'[13]Table 10 CWTs exp'!$Z33&gt;0,'[13]Table 10 CWTs exp'!I33/'[13]Table 10 CWTs exp'!$Z33," ")</f>
        <v xml:space="preserve"> </v>
      </c>
      <c r="J33" s="144">
        <f>IF('[13]Table 10 CWTs exp'!J33/'[13]Table 10 CWTs exp'!$Z33&gt;0,'[13]Table 10 CWTs exp'!J33/'[13]Table 10 CWTs exp'!$Z33," ")</f>
        <v>8.9063056644104023E-5</v>
      </c>
      <c r="K33" s="144" t="str">
        <f>IF('[13]Table 10 CWTs exp'!K33/'[13]Table 10 CWTs exp'!$Z33&gt;0,'[13]Table 10 CWTs exp'!K33/'[13]Table 10 CWTs exp'!$Z33," ")</f>
        <v xml:space="preserve"> </v>
      </c>
      <c r="L33" s="144">
        <f>IF('[13]Table 10 CWTs exp'!L33/'[13]Table 10 CWTs exp'!$Z33&gt;0,'[13]Table 10 CWTs exp'!L33/'[13]Table 10 CWTs exp'!$Z33," ")</f>
        <v>3.7584609903811898E-2</v>
      </c>
      <c r="M33" s="146">
        <f>IF('[13]Table 10 CWTs exp'!M33/'[13]Table 10 CWTs exp'!$Z33&gt;0,'[13]Table 10 CWTs exp'!M33/'[13]Table 10 CWTs exp'!$Z33," ")</f>
        <v>2.4670466690416816E-2</v>
      </c>
      <c r="N33" s="144">
        <f>IF('[13]Table 10 CWTs exp'!N33/'[13]Table 10 CWTs exp'!$Z33&gt;0,'[13]Table 10 CWTs exp'!N33/'[13]Table 10 CWTs exp'!$Z33," ")</f>
        <v>8.4698966868542933E-2</v>
      </c>
      <c r="O33" s="146">
        <f>IF('[13]Table 10 CWTs exp'!O33/'[13]Table 10 CWTs exp'!$Z33&gt;0,'[13]Table 10 CWTs exp'!O33/'[13]Table 10 CWTs exp'!$Z33," ")</f>
        <v>0.45805130032062702</v>
      </c>
      <c r="P33" s="144">
        <f>IF('[13]Table 10 CWTs exp'!P33/'[13]Table 10 CWTs exp'!$Z33&gt;0,'[13]Table 10 CWTs exp'!P33/'[13]Table 10 CWTs exp'!$Z33," ")</f>
        <v>1.1132882080513004E-3</v>
      </c>
      <c r="Q33" s="144">
        <f>IF('[13]Table 10 CWTs exp'!Q33/'[13]Table 10 CWTs exp'!$Z33&gt;0,'[13]Table 10 CWTs exp'!Q33/'[13]Table 10 CWTs exp'!$Z33," ")</f>
        <v>0.17567687923049519</v>
      </c>
      <c r="R33" s="144">
        <f>IF('[13]Table 10 CWTs exp'!R33/'[13]Table 10 CWTs exp'!$Z33&gt;0,'[13]Table 10 CWTs exp'!R33/'[13]Table 10 CWTs exp'!$Z33," ")</f>
        <v>2.8411115069469185E-2</v>
      </c>
      <c r="S33" s="146">
        <f>IF('[13]Table 10 CWTs exp'!S33/'[13]Table 10 CWTs exp'!$Z33&gt;0,'[13]Table 10 CWTs exp'!S33/'[13]Table 10 CWTs exp'!$Z33," ")</f>
        <v>9.1289633060206623E-3</v>
      </c>
      <c r="T33" s="144" t="str">
        <f>IF('[13]Table 10 CWTs exp'!T33/'[13]Table 10 CWTs exp'!$Z33&gt;0,'[13]Table 10 CWTs exp'!T33/'[13]Table 10 CWTs exp'!$Z33," ")</f>
        <v xml:space="preserve"> </v>
      </c>
      <c r="U33" s="146">
        <f>IF('[13]Table 10 CWTs exp'!U33/'[13]Table 10 CWTs exp'!$Z33&gt;0,'[13]Table 10 CWTs exp'!U33/'[13]Table 10 CWTs exp'!$Z33," ")</f>
        <v>4.6045600285001778E-2</v>
      </c>
      <c r="V33" s="146">
        <f>IF('[13]Table 10 CWTs exp'!V33/'[13]Table 10 CWTs exp'!$Z33&gt;0,'[13]Table 10 CWTs exp'!V33/'[13]Table 10 CWTs exp'!$Z33," ")</f>
        <v>8.9063056644104023E-5</v>
      </c>
      <c r="W33" s="144" t="str">
        <f>IF('[13]Table 10 CWTs exp'!W33/'[13]Table 10 CWTs exp'!$Z33&gt;0,'[13]Table 10 CWTs exp'!W33/'[13]Table 10 CWTs exp'!$Z33," ")</f>
        <v xml:space="preserve"> </v>
      </c>
      <c r="X33" s="147">
        <f t="shared" si="4"/>
        <v>0.86555931599572511</v>
      </c>
      <c r="Y33" s="148">
        <f t="shared" si="5"/>
        <v>0.13444068400427489</v>
      </c>
      <c r="Z33" s="38">
        <f>'[13]Table 10 CWTs exp'!Z33</f>
        <v>22456</v>
      </c>
      <c r="AB33" s="592">
        <f>'[13]Table 10 CWTs exp'!AC33</f>
        <v>0.86599999999999999</v>
      </c>
      <c r="AC33" s="592">
        <f t="shared" si="3"/>
        <v>-4.4068400427488275E-4</v>
      </c>
      <c r="AD33" s="593" t="str">
        <f t="shared" si="6"/>
        <v>LARC543</v>
      </c>
      <c r="AE33" s="442"/>
      <c r="AF33" s="442"/>
      <c r="AG33" s="648"/>
      <c r="AH33" s="454"/>
      <c r="AI33" s="442"/>
      <c r="AJ33" s="442"/>
    </row>
    <row r="34" spans="1:36" ht="14.25" hidden="1" customHeight="1" x14ac:dyDescent="0.25">
      <c r="A34" s="54" t="str">
        <f>'[13]Table 10 CWTs exp'!A34</f>
        <v>NIMW593</v>
      </c>
      <c r="B34" s="75" t="str">
        <f>'[13]Table 10 CWTs exp'!B34</f>
        <v>NIMW</v>
      </c>
      <c r="C34" s="75">
        <f>'[13]Table 10 CWTs exp'!C34</f>
        <v>59</v>
      </c>
      <c r="D34" s="75">
        <f>'[13]Table 10 CWTs exp'!D34</f>
        <v>3</v>
      </c>
      <c r="E34" t="str">
        <f>'[13]Table 10 CWTs exp'!E34</f>
        <v>Nimbus Fish Hatchery Weir</v>
      </c>
      <c r="F34" s="37" t="str">
        <f>'[13]Table 10 CWTs exp'!F34</f>
        <v>Fall</v>
      </c>
      <c r="G34" s="144" t="e">
        <f>IF('[13]Table 10 CWTs exp'!G34/'[13]Table 10 CWTs exp'!$Z34&gt;0,'[13]Table 10 CWTs exp'!G34/'[13]Table 10 CWTs exp'!$Z34," ")</f>
        <v>#DIV/0!</v>
      </c>
      <c r="H34" s="145" t="e">
        <f>IF('[13]Table 10 CWTs exp'!H34/'[13]Table 10 CWTs exp'!$Z34&gt;0,'[13]Table 10 CWTs exp'!H34/'[13]Table 10 CWTs exp'!$Z34," ")</f>
        <v>#DIV/0!</v>
      </c>
      <c r="I34" s="146" t="e">
        <f>IF('[13]Table 10 CWTs exp'!I34/'[13]Table 10 CWTs exp'!$Z34&gt;0,'[13]Table 10 CWTs exp'!I34/'[13]Table 10 CWTs exp'!$Z34," ")</f>
        <v>#DIV/0!</v>
      </c>
      <c r="J34" s="144" t="e">
        <f>IF('[13]Table 10 CWTs exp'!J34/'[13]Table 10 CWTs exp'!$Z34&gt;0,'[13]Table 10 CWTs exp'!J34/'[13]Table 10 CWTs exp'!$Z34," ")</f>
        <v>#DIV/0!</v>
      </c>
      <c r="K34" s="144" t="e">
        <f>IF('[13]Table 10 CWTs exp'!K34/'[13]Table 10 CWTs exp'!$Z34&gt;0,'[13]Table 10 CWTs exp'!K34/'[13]Table 10 CWTs exp'!$Z34," ")</f>
        <v>#DIV/0!</v>
      </c>
      <c r="L34" s="144" t="e">
        <f>IF('[13]Table 10 CWTs exp'!L34/'[13]Table 10 CWTs exp'!$Z34&gt;0,'[13]Table 10 CWTs exp'!L34/'[13]Table 10 CWTs exp'!$Z34," ")</f>
        <v>#DIV/0!</v>
      </c>
      <c r="M34" s="146" t="e">
        <f>IF('[13]Table 10 CWTs exp'!M34/'[13]Table 10 CWTs exp'!$Z34&gt;0,'[13]Table 10 CWTs exp'!M34/'[13]Table 10 CWTs exp'!$Z34," ")</f>
        <v>#DIV/0!</v>
      </c>
      <c r="N34" s="144" t="e">
        <f>IF('[13]Table 10 CWTs exp'!N34/'[13]Table 10 CWTs exp'!$Z34&gt;0,'[13]Table 10 CWTs exp'!N34/'[13]Table 10 CWTs exp'!$Z34," ")</f>
        <v>#DIV/0!</v>
      </c>
      <c r="O34" s="146" t="e">
        <f>IF('[13]Table 10 CWTs exp'!O34/'[13]Table 10 CWTs exp'!$Z34&gt;0,'[13]Table 10 CWTs exp'!O34/'[13]Table 10 CWTs exp'!$Z34," ")</f>
        <v>#DIV/0!</v>
      </c>
      <c r="P34" s="144" t="e">
        <f>IF('[13]Table 10 CWTs exp'!P34/'[13]Table 10 CWTs exp'!$Z34&gt;0,'[13]Table 10 CWTs exp'!P34/'[13]Table 10 CWTs exp'!$Z34," ")</f>
        <v>#DIV/0!</v>
      </c>
      <c r="Q34" s="144" t="e">
        <f>IF('[13]Table 10 CWTs exp'!Q34/'[13]Table 10 CWTs exp'!$Z34&gt;0,'[13]Table 10 CWTs exp'!Q34/'[13]Table 10 CWTs exp'!$Z34," ")</f>
        <v>#DIV/0!</v>
      </c>
      <c r="R34" s="144" t="e">
        <f>IF('[13]Table 10 CWTs exp'!R34/'[13]Table 10 CWTs exp'!$Z34&gt;0,'[13]Table 10 CWTs exp'!R34/'[13]Table 10 CWTs exp'!$Z34," ")</f>
        <v>#DIV/0!</v>
      </c>
      <c r="S34" s="146" t="e">
        <f>IF('[13]Table 10 CWTs exp'!S34/'[13]Table 10 CWTs exp'!$Z34&gt;0,'[13]Table 10 CWTs exp'!S34/'[13]Table 10 CWTs exp'!$Z34," ")</f>
        <v>#DIV/0!</v>
      </c>
      <c r="T34" s="144" t="e">
        <f>IF('[13]Table 10 CWTs exp'!T34/'[13]Table 10 CWTs exp'!$Z34&gt;0,'[13]Table 10 CWTs exp'!T34/'[13]Table 10 CWTs exp'!$Z34," ")</f>
        <v>#DIV/0!</v>
      </c>
      <c r="U34" s="146" t="e">
        <f>IF('[13]Table 10 CWTs exp'!U34/'[13]Table 10 CWTs exp'!$Z34&gt;0,'[13]Table 10 CWTs exp'!U34/'[13]Table 10 CWTs exp'!$Z34," ")</f>
        <v>#DIV/0!</v>
      </c>
      <c r="V34" s="146" t="e">
        <f>IF('[13]Table 10 CWTs exp'!V34/'[13]Table 10 CWTs exp'!$Z34&gt;0,'[13]Table 10 CWTs exp'!V34/'[13]Table 10 CWTs exp'!$Z34," ")</f>
        <v>#DIV/0!</v>
      </c>
      <c r="W34" s="144" t="e">
        <f>IF('[13]Table 10 CWTs exp'!W34/'[13]Table 10 CWTs exp'!$Z34&gt;0,'[13]Table 10 CWTs exp'!W34/'[13]Table 10 CWTs exp'!$Z34," ")</f>
        <v>#DIV/0!</v>
      </c>
      <c r="X34" s="147" t="e">
        <f t="shared" si="4"/>
        <v>#DIV/0!</v>
      </c>
      <c r="Y34" s="148" t="e">
        <f t="shared" si="5"/>
        <v>#DIV/0!</v>
      </c>
      <c r="Z34" s="38">
        <f>'[13]Table 10 CWTs exp'!Z34</f>
        <v>0</v>
      </c>
      <c r="AB34" s="592">
        <f>'[13]Table 10 CWTs exp'!AC34</f>
        <v>0</v>
      </c>
      <c r="AC34" s="592" t="e">
        <f t="shared" si="3"/>
        <v>#DIV/0!</v>
      </c>
      <c r="AD34" s="593" t="str">
        <f t="shared" si="6"/>
        <v>NIMW593</v>
      </c>
      <c r="AE34" s="442"/>
      <c r="AF34" s="442"/>
      <c r="AG34" s="648"/>
      <c r="AH34" s="454"/>
      <c r="AI34" s="442"/>
      <c r="AJ34" s="442"/>
    </row>
    <row r="35" spans="1:36" ht="14.5" customHeight="1" x14ac:dyDescent="0.25">
      <c r="A35" s="54" t="str">
        <f>'[13]Table 10 CWTs exp'!A35</f>
        <v>MOKE543</v>
      </c>
      <c r="B35" s="75" t="str">
        <f>'[13]Table 10 CWTs exp'!B35</f>
        <v>MOKE</v>
      </c>
      <c r="C35" s="75">
        <f>'[13]Table 10 CWTs exp'!C35</f>
        <v>54</v>
      </c>
      <c r="D35" s="75">
        <f>'[13]Table 10 CWTs exp'!D35</f>
        <v>3</v>
      </c>
      <c r="E35" t="str">
        <f>'[13]Table 10 CWTs exp'!E35</f>
        <v>Mokelumne River</v>
      </c>
      <c r="F35" s="37" t="str">
        <f>'[13]Table 10 CWTs exp'!F35</f>
        <v>Fall</v>
      </c>
      <c r="G35" s="144" t="str">
        <f>IF('[13]Table 10 CWTs exp'!G35/'[13]Table 10 CWTs exp'!$Z35&gt;0,'[13]Table 10 CWTs exp'!G35/'[13]Table 10 CWTs exp'!$Z35," ")</f>
        <v xml:space="preserve"> </v>
      </c>
      <c r="H35" s="145" t="str">
        <f>IF('[13]Table 10 CWTs exp'!H35/'[13]Table 10 CWTs exp'!$Z35&gt;0,'[13]Table 10 CWTs exp'!H35/'[13]Table 10 CWTs exp'!$Z35," ")</f>
        <v xml:space="preserve"> </v>
      </c>
      <c r="I35" s="146" t="str">
        <f>IF('[13]Table 10 CWTs exp'!I35/'[13]Table 10 CWTs exp'!$Z35&gt;0,'[13]Table 10 CWTs exp'!I35/'[13]Table 10 CWTs exp'!$Z35," ")</f>
        <v xml:space="preserve"> </v>
      </c>
      <c r="J35" s="144" t="str">
        <f>IF('[13]Table 10 CWTs exp'!J35/'[13]Table 10 CWTs exp'!$Z35&gt;0,'[13]Table 10 CWTs exp'!J35/'[13]Table 10 CWTs exp'!$Z35," ")</f>
        <v xml:space="preserve"> </v>
      </c>
      <c r="K35" s="144" t="str">
        <f>IF('[13]Table 10 CWTs exp'!K35/'[13]Table 10 CWTs exp'!$Z35&gt;0,'[13]Table 10 CWTs exp'!K35/'[13]Table 10 CWTs exp'!$Z35," ")</f>
        <v xml:space="preserve"> </v>
      </c>
      <c r="L35" s="144" t="str">
        <f>IF('[13]Table 10 CWTs exp'!L35/'[13]Table 10 CWTs exp'!$Z35&gt;0,'[13]Table 10 CWTs exp'!L35/'[13]Table 10 CWTs exp'!$Z35," ")</f>
        <v xml:space="preserve"> </v>
      </c>
      <c r="M35" s="146">
        <f>IF('[13]Table 10 CWTs exp'!M35/'[13]Table 10 CWTs exp'!$Z35&gt;0,'[13]Table 10 CWTs exp'!M35/'[13]Table 10 CWTs exp'!$Z35," ")</f>
        <v>0.29783693843594011</v>
      </c>
      <c r="N35" s="144" t="str">
        <f>IF('[13]Table 10 CWTs exp'!N35/'[13]Table 10 CWTs exp'!$Z35&gt;0,'[13]Table 10 CWTs exp'!N35/'[13]Table 10 CWTs exp'!$Z35," ")</f>
        <v xml:space="preserve"> </v>
      </c>
      <c r="O35" s="146" t="str">
        <f>IF('[13]Table 10 CWTs exp'!O35/'[13]Table 10 CWTs exp'!$Z35&gt;0,'[13]Table 10 CWTs exp'!O35/'[13]Table 10 CWTs exp'!$Z35," ")</f>
        <v xml:space="preserve"> </v>
      </c>
      <c r="P35" s="144" t="str">
        <f>IF('[13]Table 10 CWTs exp'!P35/'[13]Table 10 CWTs exp'!$Z35&gt;0,'[13]Table 10 CWTs exp'!P35/'[13]Table 10 CWTs exp'!$Z35," ")</f>
        <v xml:space="preserve"> </v>
      </c>
      <c r="Q35" s="144">
        <f>IF('[13]Table 10 CWTs exp'!Q35/'[13]Table 10 CWTs exp'!$Z35&gt;0,'[13]Table 10 CWTs exp'!Q35/'[13]Table 10 CWTs exp'!$Z35," ")</f>
        <v>0.29284525790349419</v>
      </c>
      <c r="R35" s="144">
        <f>IF('[13]Table 10 CWTs exp'!R35/'[13]Table 10 CWTs exp'!$Z35&gt;0,'[13]Table 10 CWTs exp'!R35/'[13]Table 10 CWTs exp'!$Z35," ")</f>
        <v>0.1480865224625624</v>
      </c>
      <c r="S35" s="146" t="str">
        <f>IF('[13]Table 10 CWTs exp'!S35/'[13]Table 10 CWTs exp'!$Z35&gt;0,'[13]Table 10 CWTs exp'!S35/'[13]Table 10 CWTs exp'!$Z35," ")</f>
        <v xml:space="preserve"> </v>
      </c>
      <c r="T35" s="144" t="str">
        <f>IF('[13]Table 10 CWTs exp'!T35/'[13]Table 10 CWTs exp'!$Z35&gt;0,'[13]Table 10 CWTs exp'!T35/'[13]Table 10 CWTs exp'!$Z35," ")</f>
        <v xml:space="preserve"> </v>
      </c>
      <c r="U35" s="146" t="str">
        <f>IF('[13]Table 10 CWTs exp'!U35/'[13]Table 10 CWTs exp'!$Z35&gt;0,'[13]Table 10 CWTs exp'!U35/'[13]Table 10 CWTs exp'!$Z35," ")</f>
        <v xml:space="preserve"> </v>
      </c>
      <c r="V35" s="146" t="str">
        <f>IF('[13]Table 10 CWTs exp'!V35/'[13]Table 10 CWTs exp'!$Z35&gt;0,'[13]Table 10 CWTs exp'!V35/'[13]Table 10 CWTs exp'!$Z35," ")</f>
        <v xml:space="preserve"> </v>
      </c>
      <c r="W35" s="144" t="str">
        <f>IF('[13]Table 10 CWTs exp'!W35/'[13]Table 10 CWTs exp'!$Z35&gt;0,'[13]Table 10 CWTs exp'!W35/'[13]Table 10 CWTs exp'!$Z35," ")</f>
        <v xml:space="preserve"> </v>
      </c>
      <c r="X35" s="147">
        <f t="shared" si="4"/>
        <v>0.73876871880199668</v>
      </c>
      <c r="Y35" s="148">
        <f t="shared" si="5"/>
        <v>0.26123128119800332</v>
      </c>
      <c r="Z35" s="38">
        <f>'[13]Table 10 CWTs exp'!Z35</f>
        <v>601</v>
      </c>
      <c r="AB35" s="592">
        <f>'[13]Table 10 CWTs exp'!AC35</f>
        <v>0.73899999999999999</v>
      </c>
      <c r="AC35" s="592">
        <f t="shared" si="3"/>
        <v>-2.3128119800330804E-4</v>
      </c>
      <c r="AD35" s="593" t="str">
        <f t="shared" si="6"/>
        <v>MOKE543</v>
      </c>
      <c r="AE35" s="442"/>
      <c r="AF35" s="442"/>
      <c r="AG35" s="648"/>
      <c r="AH35" s="454"/>
      <c r="AI35" s="442"/>
      <c r="AJ35" s="442"/>
    </row>
    <row r="36" spans="1:36" ht="14.25" hidden="1" customHeight="1" x14ac:dyDescent="0.25">
      <c r="A36" s="54" t="str">
        <f>'[13]Table 10 CWTs exp'!A36</f>
        <v>COSU543</v>
      </c>
      <c r="B36" s="75" t="str">
        <f>'[13]Table 10 CWTs exp'!B36</f>
        <v>COSU</v>
      </c>
      <c r="C36" s="75">
        <f>'[13]Table 10 CWTs exp'!C36</f>
        <v>54</v>
      </c>
      <c r="D36" s="75">
        <f>'[13]Table 10 CWTs exp'!D36</f>
        <v>3</v>
      </c>
      <c r="E36" t="str">
        <f>'[13]Table 10 CWTs exp'!E36</f>
        <v>Cosumnes River</v>
      </c>
      <c r="F36" s="37" t="str">
        <f>'[13]Table 10 CWTs exp'!F36</f>
        <v>Fall</v>
      </c>
      <c r="G36" s="144" t="e">
        <f>IF('[13]Table 10 CWTs exp'!G36/'[13]Table 10 CWTs exp'!$Z36&gt;0,'[13]Table 10 CWTs exp'!G36/'[13]Table 10 CWTs exp'!$Z36," ")</f>
        <v>#DIV/0!</v>
      </c>
      <c r="H36" s="145" t="e">
        <f>IF('[13]Table 10 CWTs exp'!H36/'[13]Table 10 CWTs exp'!$Z36&gt;0,'[13]Table 10 CWTs exp'!H36/'[13]Table 10 CWTs exp'!$Z36," ")</f>
        <v>#DIV/0!</v>
      </c>
      <c r="I36" s="146" t="e">
        <f>IF('[13]Table 10 CWTs exp'!I36/'[13]Table 10 CWTs exp'!$Z36&gt;0,'[13]Table 10 CWTs exp'!I36/'[13]Table 10 CWTs exp'!$Z36," ")</f>
        <v>#DIV/0!</v>
      </c>
      <c r="J36" s="144" t="e">
        <f>IF('[13]Table 10 CWTs exp'!J36/'[13]Table 10 CWTs exp'!$Z36&gt;0,'[13]Table 10 CWTs exp'!J36/'[13]Table 10 CWTs exp'!$Z36," ")</f>
        <v>#DIV/0!</v>
      </c>
      <c r="K36" s="144" t="e">
        <f>IF('[13]Table 10 CWTs exp'!K36/'[13]Table 10 CWTs exp'!$Z36&gt;0,'[13]Table 10 CWTs exp'!K36/'[13]Table 10 CWTs exp'!$Z36," ")</f>
        <v>#DIV/0!</v>
      </c>
      <c r="L36" s="144" t="e">
        <f>IF('[13]Table 10 CWTs exp'!L36/'[13]Table 10 CWTs exp'!$Z36&gt;0,'[13]Table 10 CWTs exp'!L36/'[13]Table 10 CWTs exp'!$Z36," ")</f>
        <v>#DIV/0!</v>
      </c>
      <c r="M36" s="146" t="e">
        <f>IF('[13]Table 10 CWTs exp'!M36/'[13]Table 10 CWTs exp'!$Z36&gt;0,'[13]Table 10 CWTs exp'!M36/'[13]Table 10 CWTs exp'!$Z36," ")</f>
        <v>#DIV/0!</v>
      </c>
      <c r="N36" s="144" t="e">
        <f>IF('[13]Table 10 CWTs exp'!N36/'[13]Table 10 CWTs exp'!$Z36&gt;0,'[13]Table 10 CWTs exp'!N36/'[13]Table 10 CWTs exp'!$Z36," ")</f>
        <v>#DIV/0!</v>
      </c>
      <c r="O36" s="146" t="e">
        <f>IF('[13]Table 10 CWTs exp'!O36/'[13]Table 10 CWTs exp'!$Z36&gt;0,'[13]Table 10 CWTs exp'!O36/'[13]Table 10 CWTs exp'!$Z36," ")</f>
        <v>#DIV/0!</v>
      </c>
      <c r="P36" s="144" t="e">
        <f>IF('[13]Table 10 CWTs exp'!P36/'[13]Table 10 CWTs exp'!$Z36&gt;0,'[13]Table 10 CWTs exp'!P36/'[13]Table 10 CWTs exp'!$Z36," ")</f>
        <v>#DIV/0!</v>
      </c>
      <c r="Q36" s="144" t="e">
        <f>IF('[13]Table 10 CWTs exp'!Q36/'[13]Table 10 CWTs exp'!$Z36&gt;0,'[13]Table 10 CWTs exp'!Q36/'[13]Table 10 CWTs exp'!$Z36," ")</f>
        <v>#DIV/0!</v>
      </c>
      <c r="R36" s="144" t="e">
        <f>IF('[13]Table 10 CWTs exp'!R36/'[13]Table 10 CWTs exp'!$Z36&gt;0,'[13]Table 10 CWTs exp'!R36/'[13]Table 10 CWTs exp'!$Z36," ")</f>
        <v>#DIV/0!</v>
      </c>
      <c r="S36" s="146" t="e">
        <f>IF('[13]Table 10 CWTs exp'!S36/'[13]Table 10 CWTs exp'!$Z36&gt;0,'[13]Table 10 CWTs exp'!S36/'[13]Table 10 CWTs exp'!$Z36," ")</f>
        <v>#DIV/0!</v>
      </c>
      <c r="T36" s="144" t="e">
        <f>IF('[13]Table 10 CWTs exp'!T36/'[13]Table 10 CWTs exp'!$Z36&gt;0,'[13]Table 10 CWTs exp'!T36/'[13]Table 10 CWTs exp'!$Z36," ")</f>
        <v>#DIV/0!</v>
      </c>
      <c r="U36" s="146" t="e">
        <f>IF('[13]Table 10 CWTs exp'!U36/'[13]Table 10 CWTs exp'!$Z36&gt;0,'[13]Table 10 CWTs exp'!U36/'[13]Table 10 CWTs exp'!$Z36," ")</f>
        <v>#DIV/0!</v>
      </c>
      <c r="V36" s="146" t="e">
        <f>IF('[13]Table 10 CWTs exp'!V36/'[13]Table 10 CWTs exp'!$Z36&gt;0,'[13]Table 10 CWTs exp'!V36/'[13]Table 10 CWTs exp'!$Z36," ")</f>
        <v>#DIV/0!</v>
      </c>
      <c r="W36" s="144" t="e">
        <f>IF('[13]Table 10 CWTs exp'!W36/'[13]Table 10 CWTs exp'!$Z36&gt;0,'[13]Table 10 CWTs exp'!W36/'[13]Table 10 CWTs exp'!$Z36," ")</f>
        <v>#DIV/0!</v>
      </c>
      <c r="X36" s="147" t="e">
        <f t="shared" si="4"/>
        <v>#DIV/0!</v>
      </c>
      <c r="Y36" s="148" t="e">
        <f t="shared" si="5"/>
        <v>#DIV/0!</v>
      </c>
      <c r="Z36" s="38">
        <f>'[13]Table 10 CWTs exp'!Z36</f>
        <v>0</v>
      </c>
      <c r="AB36" s="592">
        <f>'[13]Table 10 CWTs exp'!AC36</f>
        <v>0</v>
      </c>
      <c r="AC36" s="592" t="e">
        <f t="shared" si="3"/>
        <v>#DIV/0!</v>
      </c>
      <c r="AD36" s="593" t="str">
        <f t="shared" si="6"/>
        <v>COSU543</v>
      </c>
      <c r="AE36" s="442"/>
      <c r="AF36" s="442"/>
      <c r="AG36" s="648"/>
      <c r="AH36" s="454"/>
      <c r="AI36" s="442"/>
      <c r="AJ36" s="442"/>
    </row>
    <row r="37" spans="1:36" ht="14.25" hidden="1" customHeight="1" x14ac:dyDescent="0.25">
      <c r="A37" s="54" t="str">
        <f>'[13]Table 10 CWTs exp'!A37</f>
        <v>CAL543</v>
      </c>
      <c r="B37" s="75" t="str">
        <f>'[13]Table 10 CWTs exp'!B37</f>
        <v>CAL</v>
      </c>
      <c r="C37" s="75">
        <f>'[13]Table 10 CWTs exp'!C37</f>
        <v>54</v>
      </c>
      <c r="D37" s="75">
        <f>'[13]Table 10 CWTs exp'!D37</f>
        <v>3</v>
      </c>
      <c r="E37" t="str">
        <f>'[13]Table 10 CWTs exp'!E37</f>
        <v>Calaveras River</v>
      </c>
      <c r="F37" s="37" t="str">
        <f>'[13]Table 10 CWTs exp'!F37</f>
        <v>Fall</v>
      </c>
      <c r="G37" s="144" t="e">
        <f>IF('[13]Table 10 CWTs exp'!G37/'[13]Table 10 CWTs exp'!$Z37&gt;0,'[13]Table 10 CWTs exp'!G37/'[13]Table 10 CWTs exp'!$Z37," ")</f>
        <v>#DIV/0!</v>
      </c>
      <c r="H37" s="145" t="e">
        <f>IF('[13]Table 10 CWTs exp'!H37/'[13]Table 10 CWTs exp'!$Z37&gt;0,'[13]Table 10 CWTs exp'!H37/'[13]Table 10 CWTs exp'!$Z37," ")</f>
        <v>#DIV/0!</v>
      </c>
      <c r="I37" s="146" t="e">
        <f>IF('[13]Table 10 CWTs exp'!I37/'[13]Table 10 CWTs exp'!$Z37&gt;0,'[13]Table 10 CWTs exp'!I37/'[13]Table 10 CWTs exp'!$Z37," ")</f>
        <v>#DIV/0!</v>
      </c>
      <c r="J37" s="144" t="e">
        <f>IF('[13]Table 10 CWTs exp'!J37/'[13]Table 10 CWTs exp'!$Z37&gt;0,'[13]Table 10 CWTs exp'!J37/'[13]Table 10 CWTs exp'!$Z37," ")</f>
        <v>#DIV/0!</v>
      </c>
      <c r="K37" s="144" t="e">
        <f>IF('[13]Table 10 CWTs exp'!K37/'[13]Table 10 CWTs exp'!$Z37&gt;0,'[13]Table 10 CWTs exp'!K37/'[13]Table 10 CWTs exp'!$Z37," ")</f>
        <v>#DIV/0!</v>
      </c>
      <c r="L37" s="144" t="e">
        <f>IF('[13]Table 10 CWTs exp'!L37/'[13]Table 10 CWTs exp'!$Z37&gt;0,'[13]Table 10 CWTs exp'!L37/'[13]Table 10 CWTs exp'!$Z37," ")</f>
        <v>#DIV/0!</v>
      </c>
      <c r="M37" s="146" t="e">
        <f>IF('[13]Table 10 CWTs exp'!M37/'[13]Table 10 CWTs exp'!$Z37&gt;0,'[13]Table 10 CWTs exp'!M37/'[13]Table 10 CWTs exp'!$Z37," ")</f>
        <v>#DIV/0!</v>
      </c>
      <c r="N37" s="144" t="e">
        <f>IF('[13]Table 10 CWTs exp'!N37/'[13]Table 10 CWTs exp'!$Z37&gt;0,'[13]Table 10 CWTs exp'!N37/'[13]Table 10 CWTs exp'!$Z37," ")</f>
        <v>#DIV/0!</v>
      </c>
      <c r="O37" s="146" t="e">
        <f>IF('[13]Table 10 CWTs exp'!O37/'[13]Table 10 CWTs exp'!$Z37&gt;0,'[13]Table 10 CWTs exp'!O37/'[13]Table 10 CWTs exp'!$Z37," ")</f>
        <v>#DIV/0!</v>
      </c>
      <c r="P37" s="144" t="e">
        <f>IF('[13]Table 10 CWTs exp'!P37/'[13]Table 10 CWTs exp'!$Z37&gt;0,'[13]Table 10 CWTs exp'!P37/'[13]Table 10 CWTs exp'!$Z37," ")</f>
        <v>#DIV/0!</v>
      </c>
      <c r="Q37" s="144" t="e">
        <f>IF('[13]Table 10 CWTs exp'!Q37/'[13]Table 10 CWTs exp'!$Z37&gt;0,'[13]Table 10 CWTs exp'!Q37/'[13]Table 10 CWTs exp'!$Z37," ")</f>
        <v>#DIV/0!</v>
      </c>
      <c r="R37" s="144" t="e">
        <f>IF('[13]Table 10 CWTs exp'!R37/'[13]Table 10 CWTs exp'!$Z37&gt;0,'[13]Table 10 CWTs exp'!R37/'[13]Table 10 CWTs exp'!$Z37," ")</f>
        <v>#DIV/0!</v>
      </c>
      <c r="S37" s="146" t="e">
        <f>IF('[13]Table 10 CWTs exp'!S37/'[13]Table 10 CWTs exp'!$Z37&gt;0,'[13]Table 10 CWTs exp'!S37/'[13]Table 10 CWTs exp'!$Z37," ")</f>
        <v>#DIV/0!</v>
      </c>
      <c r="T37" s="144" t="e">
        <f>IF('[13]Table 10 CWTs exp'!T37/'[13]Table 10 CWTs exp'!$Z37&gt;0,'[13]Table 10 CWTs exp'!T37/'[13]Table 10 CWTs exp'!$Z37," ")</f>
        <v>#DIV/0!</v>
      </c>
      <c r="U37" s="146" t="e">
        <f>IF('[13]Table 10 CWTs exp'!U37/'[13]Table 10 CWTs exp'!$Z37&gt;0,'[13]Table 10 CWTs exp'!U37/'[13]Table 10 CWTs exp'!$Z37," ")</f>
        <v>#DIV/0!</v>
      </c>
      <c r="V37" s="146" t="e">
        <f>IF('[13]Table 10 CWTs exp'!V37/'[13]Table 10 CWTs exp'!$Z37&gt;0,'[13]Table 10 CWTs exp'!V37/'[13]Table 10 CWTs exp'!$Z37," ")</f>
        <v>#DIV/0!</v>
      </c>
      <c r="W37" s="144" t="e">
        <f>IF('[13]Table 10 CWTs exp'!W37/'[13]Table 10 CWTs exp'!$Z37&gt;0,'[13]Table 10 CWTs exp'!W37/'[13]Table 10 CWTs exp'!$Z37," ")</f>
        <v>#DIV/0!</v>
      </c>
      <c r="X37" s="147" t="e">
        <f t="shared" si="4"/>
        <v>#DIV/0!</v>
      </c>
      <c r="Y37" s="148" t="e">
        <f t="shared" si="5"/>
        <v>#DIV/0!</v>
      </c>
      <c r="Z37" s="38">
        <f>'[13]Table 10 CWTs exp'!Z37</f>
        <v>0</v>
      </c>
      <c r="AB37" s="592">
        <f>'[13]Table 10 CWTs exp'!AC37</f>
        <v>0</v>
      </c>
      <c r="AC37" s="592" t="e">
        <f t="shared" si="3"/>
        <v>#DIV/0!</v>
      </c>
      <c r="AD37" s="593" t="str">
        <f t="shared" si="6"/>
        <v>CAL543</v>
      </c>
      <c r="AE37" s="442"/>
      <c r="AF37" s="442"/>
      <c r="AG37" s="648"/>
      <c r="AH37" s="454"/>
      <c r="AI37" s="442"/>
      <c r="AJ37" s="442"/>
    </row>
    <row r="38" spans="1:36" ht="14.5" customHeight="1" x14ac:dyDescent="0.25">
      <c r="A38" s="54" t="str">
        <f>'[13]Table 10 CWTs exp'!A38</f>
        <v>STA543</v>
      </c>
      <c r="B38" s="75" t="str">
        <f>'[13]Table 10 CWTs exp'!B38</f>
        <v>STA</v>
      </c>
      <c r="C38" s="75">
        <f>'[13]Table 10 CWTs exp'!C38</f>
        <v>54</v>
      </c>
      <c r="D38" s="75">
        <f>'[13]Table 10 CWTs exp'!D38</f>
        <v>3</v>
      </c>
      <c r="E38" t="str">
        <f>'[13]Table 10 CWTs exp'!E38</f>
        <v>Stanislaus River</v>
      </c>
      <c r="F38" s="37" t="str">
        <f>'[13]Table 10 CWTs exp'!F38</f>
        <v>Fall</v>
      </c>
      <c r="G38" s="144" t="str">
        <f>IF('[13]Table 10 CWTs exp'!G38/'[13]Table 10 CWTs exp'!$Z38&gt;0,'[13]Table 10 CWTs exp'!G38/'[13]Table 10 CWTs exp'!$Z38," ")</f>
        <v xml:space="preserve"> </v>
      </c>
      <c r="H38" s="145" t="str">
        <f>IF('[13]Table 10 CWTs exp'!H38/'[13]Table 10 CWTs exp'!$Z38&gt;0,'[13]Table 10 CWTs exp'!H38/'[13]Table 10 CWTs exp'!$Z38," ")</f>
        <v xml:space="preserve"> </v>
      </c>
      <c r="I38" s="146" t="str">
        <f>IF('[13]Table 10 CWTs exp'!I38/'[13]Table 10 CWTs exp'!$Z38&gt;0,'[13]Table 10 CWTs exp'!I38/'[13]Table 10 CWTs exp'!$Z38," ")</f>
        <v xml:space="preserve"> </v>
      </c>
      <c r="J38" s="144" t="str">
        <f>IF('[13]Table 10 CWTs exp'!J38/'[13]Table 10 CWTs exp'!$Z38&gt;0,'[13]Table 10 CWTs exp'!J38/'[13]Table 10 CWTs exp'!$Z38," ")</f>
        <v xml:space="preserve"> </v>
      </c>
      <c r="K38" s="144" t="str">
        <f>IF('[13]Table 10 CWTs exp'!K38/'[13]Table 10 CWTs exp'!$Z38&gt;0,'[13]Table 10 CWTs exp'!K38/'[13]Table 10 CWTs exp'!$Z38," ")</f>
        <v xml:space="preserve"> </v>
      </c>
      <c r="L38" s="144">
        <f>IF('[13]Table 10 CWTs exp'!L38/'[13]Table 10 CWTs exp'!$Z38&gt;0,'[13]Table 10 CWTs exp'!L38/'[13]Table 10 CWTs exp'!$Z38," ")</f>
        <v>4.9907578558225509E-2</v>
      </c>
      <c r="M38" s="146" t="str">
        <f>IF('[13]Table 10 CWTs exp'!M38/'[13]Table 10 CWTs exp'!$Z38&gt;0,'[13]Table 10 CWTs exp'!M38/'[13]Table 10 CWTs exp'!$Z38," ")</f>
        <v xml:space="preserve"> </v>
      </c>
      <c r="N38" s="144" t="str">
        <f>IF('[13]Table 10 CWTs exp'!N38/'[13]Table 10 CWTs exp'!$Z38&gt;0,'[13]Table 10 CWTs exp'!N38/'[13]Table 10 CWTs exp'!$Z38," ")</f>
        <v xml:space="preserve"> </v>
      </c>
      <c r="O38" s="146">
        <f>IF('[13]Table 10 CWTs exp'!O38/'[13]Table 10 CWTs exp'!$Z38&gt;0,'[13]Table 10 CWTs exp'!O38/'[13]Table 10 CWTs exp'!$Z38," ")</f>
        <v>2.4029574861367836E-2</v>
      </c>
      <c r="P38" s="144" t="str">
        <f>IF('[13]Table 10 CWTs exp'!P38/'[13]Table 10 CWTs exp'!$Z38&gt;0,'[13]Table 10 CWTs exp'!P38/'[13]Table 10 CWTs exp'!$Z38," ")</f>
        <v xml:space="preserve"> </v>
      </c>
      <c r="Q38" s="144">
        <f>IF('[13]Table 10 CWTs exp'!Q38/'[13]Table 10 CWTs exp'!$Z38&gt;0,'[13]Table 10 CWTs exp'!Q38/'[13]Table 10 CWTs exp'!$Z38," ")</f>
        <v>0.47689463955637706</v>
      </c>
      <c r="R38" s="144">
        <f>IF('[13]Table 10 CWTs exp'!R38/'[13]Table 10 CWTs exp'!$Z38&gt;0,'[13]Table 10 CWTs exp'!R38/'[13]Table 10 CWTs exp'!$Z38," ")</f>
        <v>2.4029574861367836E-2</v>
      </c>
      <c r="S38" s="146" t="str">
        <f>IF('[13]Table 10 CWTs exp'!S38/'[13]Table 10 CWTs exp'!$Z38&gt;0,'[13]Table 10 CWTs exp'!S38/'[13]Table 10 CWTs exp'!$Z38," ")</f>
        <v xml:space="preserve"> </v>
      </c>
      <c r="T38" s="144" t="str">
        <f>IF('[13]Table 10 CWTs exp'!T38/'[13]Table 10 CWTs exp'!$Z38&gt;0,'[13]Table 10 CWTs exp'!T38/'[13]Table 10 CWTs exp'!$Z38," ")</f>
        <v xml:space="preserve"> </v>
      </c>
      <c r="U38" s="146">
        <f>IF('[13]Table 10 CWTs exp'!U38/'[13]Table 10 CWTs exp'!$Z38&gt;0,'[13]Table 10 CWTs exp'!U38/'[13]Table 10 CWTs exp'!$Z38," ")</f>
        <v>5.730129390018484E-2</v>
      </c>
      <c r="V38" s="146" t="str">
        <f>IF('[13]Table 10 CWTs exp'!V38/'[13]Table 10 CWTs exp'!$Z38&gt;0,'[13]Table 10 CWTs exp'!V38/'[13]Table 10 CWTs exp'!$Z38," ")</f>
        <v xml:space="preserve"> </v>
      </c>
      <c r="W38" s="144" t="str">
        <f>IF('[13]Table 10 CWTs exp'!W38/'[13]Table 10 CWTs exp'!$Z38&gt;0,'[13]Table 10 CWTs exp'!W38/'[13]Table 10 CWTs exp'!$Z38," ")</f>
        <v xml:space="preserve"> </v>
      </c>
      <c r="X38" s="147">
        <f t="shared" si="4"/>
        <v>0.632162661737523</v>
      </c>
      <c r="Y38" s="148">
        <f t="shared" si="5"/>
        <v>0.367837338262477</v>
      </c>
      <c r="Z38" s="38">
        <f>'[13]Table 10 CWTs exp'!Z38</f>
        <v>541</v>
      </c>
      <c r="AB38" s="592">
        <f>'[13]Table 10 CWTs exp'!AC38</f>
        <v>0.63200000000000001</v>
      </c>
      <c r="AC38" s="592">
        <f t="shared" si="3"/>
        <v>1.6266173752299551E-4</v>
      </c>
      <c r="AD38" s="593" t="str">
        <f t="shared" si="6"/>
        <v>STA543</v>
      </c>
      <c r="AE38" s="442"/>
      <c r="AF38" s="442"/>
      <c r="AG38" s="648"/>
      <c r="AH38" s="454"/>
      <c r="AI38" s="442"/>
      <c r="AJ38" s="442"/>
    </row>
    <row r="39" spans="1:36" ht="14.5" customHeight="1" x14ac:dyDescent="0.25">
      <c r="A39" s="54" t="str">
        <f>'[13]Table 10 CWTs exp'!A39</f>
        <v>TUO543</v>
      </c>
      <c r="B39" s="75" t="str">
        <f>'[13]Table 10 CWTs exp'!B39</f>
        <v>TUO</v>
      </c>
      <c r="C39" s="75">
        <f>'[13]Table 10 CWTs exp'!C39</f>
        <v>54</v>
      </c>
      <c r="D39" s="75">
        <f>'[13]Table 10 CWTs exp'!D39</f>
        <v>3</v>
      </c>
      <c r="E39" t="str">
        <f>'[13]Table 10 CWTs exp'!E39</f>
        <v>Tuolumne River</v>
      </c>
      <c r="F39" s="37" t="str">
        <f>'[13]Table 10 CWTs exp'!F39</f>
        <v>Fall</v>
      </c>
      <c r="G39" s="144" t="str">
        <f>IF('[13]Table 10 CWTs exp'!G39/'[13]Table 10 CWTs exp'!$Z39&gt;0,'[13]Table 10 CWTs exp'!G39/'[13]Table 10 CWTs exp'!$Z39," ")</f>
        <v xml:space="preserve"> </v>
      </c>
      <c r="H39" s="145" t="str">
        <f>IF('[13]Table 10 CWTs exp'!H39/'[13]Table 10 CWTs exp'!$Z39&gt;0,'[13]Table 10 CWTs exp'!H39/'[13]Table 10 CWTs exp'!$Z39," ")</f>
        <v xml:space="preserve"> </v>
      </c>
      <c r="I39" s="146" t="str">
        <f>IF('[13]Table 10 CWTs exp'!I39/'[13]Table 10 CWTs exp'!$Z39&gt;0,'[13]Table 10 CWTs exp'!I39/'[13]Table 10 CWTs exp'!$Z39," ")</f>
        <v xml:space="preserve"> </v>
      </c>
      <c r="J39" s="144" t="str">
        <f>IF('[13]Table 10 CWTs exp'!J39/'[13]Table 10 CWTs exp'!$Z39&gt;0,'[13]Table 10 CWTs exp'!J39/'[13]Table 10 CWTs exp'!$Z39," ")</f>
        <v xml:space="preserve"> </v>
      </c>
      <c r="K39" s="144" t="str">
        <f>IF('[13]Table 10 CWTs exp'!K39/'[13]Table 10 CWTs exp'!$Z39&gt;0,'[13]Table 10 CWTs exp'!K39/'[13]Table 10 CWTs exp'!$Z39," ")</f>
        <v xml:space="preserve"> </v>
      </c>
      <c r="L39" s="144">
        <f>IF('[13]Table 10 CWTs exp'!L39/'[13]Table 10 CWTs exp'!$Z39&gt;0,'[13]Table 10 CWTs exp'!L39/'[13]Table 10 CWTs exp'!$Z39," ")</f>
        <v>2.5830258302583026E-2</v>
      </c>
      <c r="M39" s="146" t="str">
        <f>IF('[13]Table 10 CWTs exp'!M39/'[13]Table 10 CWTs exp'!$Z39&gt;0,'[13]Table 10 CWTs exp'!M39/'[13]Table 10 CWTs exp'!$Z39," ")</f>
        <v xml:space="preserve"> </v>
      </c>
      <c r="N39" s="144" t="str">
        <f>IF('[13]Table 10 CWTs exp'!N39/'[13]Table 10 CWTs exp'!$Z39&gt;0,'[13]Table 10 CWTs exp'!N39/'[13]Table 10 CWTs exp'!$Z39," ")</f>
        <v xml:space="preserve"> </v>
      </c>
      <c r="O39" s="146">
        <f>IF('[13]Table 10 CWTs exp'!O39/'[13]Table 10 CWTs exp'!$Z39&gt;0,'[13]Table 10 CWTs exp'!O39/'[13]Table 10 CWTs exp'!$Z39," ")</f>
        <v>5.1660516605166053E-2</v>
      </c>
      <c r="P39" s="144" t="str">
        <f>IF('[13]Table 10 CWTs exp'!P39/'[13]Table 10 CWTs exp'!$Z39&gt;0,'[13]Table 10 CWTs exp'!P39/'[13]Table 10 CWTs exp'!$Z39," ")</f>
        <v xml:space="preserve"> </v>
      </c>
      <c r="Q39" s="144">
        <f>IF('[13]Table 10 CWTs exp'!Q39/'[13]Table 10 CWTs exp'!$Z39&gt;0,'[13]Table 10 CWTs exp'!Q39/'[13]Table 10 CWTs exp'!$Z39," ")</f>
        <v>0.12915129151291513</v>
      </c>
      <c r="R39" s="144" t="str">
        <f>IF('[13]Table 10 CWTs exp'!R39/'[13]Table 10 CWTs exp'!$Z39&gt;0,'[13]Table 10 CWTs exp'!R39/'[13]Table 10 CWTs exp'!$Z39," ")</f>
        <v xml:space="preserve"> </v>
      </c>
      <c r="S39" s="146" t="str">
        <f>IF('[13]Table 10 CWTs exp'!S39/'[13]Table 10 CWTs exp'!$Z39&gt;0,'[13]Table 10 CWTs exp'!S39/'[13]Table 10 CWTs exp'!$Z39," ")</f>
        <v xml:space="preserve"> </v>
      </c>
      <c r="T39" s="144" t="str">
        <f>IF('[13]Table 10 CWTs exp'!T39/'[13]Table 10 CWTs exp'!$Z39&gt;0,'[13]Table 10 CWTs exp'!T39/'[13]Table 10 CWTs exp'!$Z39," ")</f>
        <v xml:space="preserve"> </v>
      </c>
      <c r="U39" s="146">
        <f>IF('[13]Table 10 CWTs exp'!U39/'[13]Table 10 CWTs exp'!$Z39&gt;0,'[13]Table 10 CWTs exp'!U39/'[13]Table 10 CWTs exp'!$Z39," ")</f>
        <v>0.19557195571955718</v>
      </c>
      <c r="V39" s="146" t="str">
        <f>IF('[13]Table 10 CWTs exp'!V39/'[13]Table 10 CWTs exp'!$Z39&gt;0,'[13]Table 10 CWTs exp'!V39/'[13]Table 10 CWTs exp'!$Z39," ")</f>
        <v xml:space="preserve"> </v>
      </c>
      <c r="W39" s="144" t="str">
        <f>IF('[13]Table 10 CWTs exp'!W39/'[13]Table 10 CWTs exp'!$Z39&gt;0,'[13]Table 10 CWTs exp'!W39/'[13]Table 10 CWTs exp'!$Z39," ")</f>
        <v xml:space="preserve"> </v>
      </c>
      <c r="X39" s="147">
        <f t="shared" si="4"/>
        <v>0.40221402214022139</v>
      </c>
      <c r="Y39" s="148">
        <f t="shared" si="5"/>
        <v>0.59778597785977861</v>
      </c>
      <c r="Z39" s="38">
        <f>'[13]Table 10 CWTs exp'!Z39</f>
        <v>271</v>
      </c>
      <c r="AB39" s="592">
        <f>'[13]Table 10 CWTs exp'!AC39</f>
        <v>0.40200000000000002</v>
      </c>
      <c r="AC39" s="592">
        <f t="shared" si="3"/>
        <v>2.1402214022137045E-4</v>
      </c>
      <c r="AD39" s="593" t="str">
        <f t="shared" si="6"/>
        <v>TUO543</v>
      </c>
      <c r="AE39" s="442"/>
      <c r="AF39" s="442"/>
      <c r="AG39" s="648"/>
      <c r="AH39" s="454"/>
      <c r="AI39" s="442"/>
      <c r="AJ39" s="442"/>
    </row>
    <row r="40" spans="1:36" ht="14.25" customHeight="1" x14ac:dyDescent="0.25">
      <c r="A40" s="54" t="str">
        <f>'[13]Table 10 CWTs exp'!A40</f>
        <v>MER543</v>
      </c>
      <c r="B40" s="75" t="str">
        <f>'[13]Table 10 CWTs exp'!B40</f>
        <v>MER</v>
      </c>
      <c r="C40" s="75">
        <f>'[13]Table 10 CWTs exp'!C40</f>
        <v>54</v>
      </c>
      <c r="D40" s="75">
        <f>'[13]Table 10 CWTs exp'!D40</f>
        <v>3</v>
      </c>
      <c r="E40" t="str">
        <f>'[13]Table 10 CWTs exp'!E40</f>
        <v>Merced River</v>
      </c>
      <c r="F40" s="37" t="str">
        <f>'[13]Table 10 CWTs exp'!F40</f>
        <v>Fall</v>
      </c>
      <c r="G40" s="144" t="str">
        <f>IF('[13]Table 10 CWTs exp'!G40/'[13]Table 10 CWTs exp'!$Z40&gt;0,'[13]Table 10 CWTs exp'!G40/'[13]Table 10 CWTs exp'!$Z40," ")</f>
        <v xml:space="preserve"> </v>
      </c>
      <c r="H40" s="145" t="str">
        <f>IF('[13]Table 10 CWTs exp'!H40/'[13]Table 10 CWTs exp'!$Z40&gt;0,'[13]Table 10 CWTs exp'!H40/'[13]Table 10 CWTs exp'!$Z40," ")</f>
        <v xml:space="preserve"> </v>
      </c>
      <c r="I40" s="146" t="str">
        <f>IF('[13]Table 10 CWTs exp'!I40/'[13]Table 10 CWTs exp'!$Z40&gt;0,'[13]Table 10 CWTs exp'!I40/'[13]Table 10 CWTs exp'!$Z40," ")</f>
        <v xml:space="preserve"> </v>
      </c>
      <c r="J40" s="144" t="str">
        <f>IF('[13]Table 10 CWTs exp'!J40/'[13]Table 10 CWTs exp'!$Z40&gt;0,'[13]Table 10 CWTs exp'!J40/'[13]Table 10 CWTs exp'!$Z40," ")</f>
        <v xml:space="preserve"> </v>
      </c>
      <c r="K40" s="144" t="str">
        <f>IF('[13]Table 10 CWTs exp'!K40/'[13]Table 10 CWTs exp'!$Z40&gt;0,'[13]Table 10 CWTs exp'!K40/'[13]Table 10 CWTs exp'!$Z40," ")</f>
        <v xml:space="preserve"> </v>
      </c>
      <c r="L40" s="144" t="str">
        <f>IF('[13]Table 10 CWTs exp'!L40/'[13]Table 10 CWTs exp'!$Z40&gt;0,'[13]Table 10 CWTs exp'!L40/'[13]Table 10 CWTs exp'!$Z40," ")</f>
        <v xml:space="preserve"> </v>
      </c>
      <c r="M40" s="146" t="str">
        <f>IF('[13]Table 10 CWTs exp'!M40/'[13]Table 10 CWTs exp'!$Z40&gt;0,'[13]Table 10 CWTs exp'!M40/'[13]Table 10 CWTs exp'!$Z40," ")</f>
        <v xml:space="preserve"> </v>
      </c>
      <c r="N40" s="144" t="str">
        <f>IF('[13]Table 10 CWTs exp'!N40/'[13]Table 10 CWTs exp'!$Z40&gt;0,'[13]Table 10 CWTs exp'!N40/'[13]Table 10 CWTs exp'!$Z40," ")</f>
        <v xml:space="preserve"> </v>
      </c>
      <c r="O40" s="146">
        <f>IF('[13]Table 10 CWTs exp'!O40/'[13]Table 10 CWTs exp'!$Z40&gt;0,'[13]Table 10 CWTs exp'!O40/'[13]Table 10 CWTs exp'!$Z40," ")</f>
        <v>0.10093896713615023</v>
      </c>
      <c r="P40" s="144" t="str">
        <f>IF('[13]Table 10 CWTs exp'!P40/'[13]Table 10 CWTs exp'!$Z40&gt;0,'[13]Table 10 CWTs exp'!P40/'[13]Table 10 CWTs exp'!$Z40," ")</f>
        <v xml:space="preserve"> </v>
      </c>
      <c r="Q40" s="144">
        <f>IF('[13]Table 10 CWTs exp'!Q40/'[13]Table 10 CWTs exp'!$Z40&gt;0,'[13]Table 10 CWTs exp'!Q40/'[13]Table 10 CWTs exp'!$Z40," ")</f>
        <v>0.15023474178403756</v>
      </c>
      <c r="R40" s="144" t="str">
        <f>IF('[13]Table 10 CWTs exp'!R40/'[13]Table 10 CWTs exp'!$Z40&gt;0,'[13]Table 10 CWTs exp'!R40/'[13]Table 10 CWTs exp'!$Z40," ")</f>
        <v xml:space="preserve"> </v>
      </c>
      <c r="S40" s="146" t="str">
        <f>IF('[13]Table 10 CWTs exp'!S40/'[13]Table 10 CWTs exp'!$Z40&gt;0,'[13]Table 10 CWTs exp'!S40/'[13]Table 10 CWTs exp'!$Z40," ")</f>
        <v xml:space="preserve"> </v>
      </c>
      <c r="T40" s="144">
        <f>IF('[13]Table 10 CWTs exp'!T40/'[13]Table 10 CWTs exp'!$Z40&gt;0,'[13]Table 10 CWTs exp'!T40/'[13]Table 10 CWTs exp'!$Z40," ")</f>
        <v>6.1032863849765258E-2</v>
      </c>
      <c r="U40" s="146">
        <f>IF('[13]Table 10 CWTs exp'!U40/'[13]Table 10 CWTs exp'!$Z40&gt;0,'[13]Table 10 CWTs exp'!U40/'[13]Table 10 CWTs exp'!$Z40," ")</f>
        <v>0.17370892018779344</v>
      </c>
      <c r="V40" s="146" t="str">
        <f>IF('[13]Table 10 CWTs exp'!V40/'[13]Table 10 CWTs exp'!$Z40&gt;0,'[13]Table 10 CWTs exp'!V40/'[13]Table 10 CWTs exp'!$Z40," ")</f>
        <v xml:space="preserve"> </v>
      </c>
      <c r="W40" s="144" t="str">
        <f>IF('[13]Table 10 CWTs exp'!W40/'[13]Table 10 CWTs exp'!$Z40&gt;0,'[13]Table 10 CWTs exp'!W40/'[13]Table 10 CWTs exp'!$Z40," ")</f>
        <v xml:space="preserve"> </v>
      </c>
      <c r="X40" s="147">
        <f t="shared" si="4"/>
        <v>0.4859154929577465</v>
      </c>
      <c r="Y40" s="148">
        <f t="shared" si="5"/>
        <v>0.5140845070422535</v>
      </c>
      <c r="Z40" s="38">
        <f>'[13]Table 10 CWTs exp'!Z40</f>
        <v>426</v>
      </c>
      <c r="AB40" s="592">
        <f>'[13]Table 10 CWTs exp'!AC40</f>
        <v>0.48599999999999999</v>
      </c>
      <c r="AC40" s="592">
        <f t="shared" si="3"/>
        <v>-8.4507042253489928E-5</v>
      </c>
      <c r="AD40" s="593" t="str">
        <f t="shared" si="6"/>
        <v>MER543</v>
      </c>
      <c r="AE40" s="442"/>
      <c r="AF40" s="442"/>
      <c r="AG40" s="648"/>
      <c r="AH40" s="454"/>
      <c r="AI40" s="442"/>
      <c r="AJ40" s="442"/>
    </row>
    <row r="41" spans="1:36" ht="14.5" customHeight="1" x14ac:dyDescent="0.25">
      <c r="A41" s="54" t="str">
        <f>'[13]Table 10 CWTs exp'!A41</f>
        <v>USAC547</v>
      </c>
      <c r="B41" s="75" t="str">
        <f>'[13]Table 10 CWTs exp'!B41</f>
        <v>USAC</v>
      </c>
      <c r="C41" s="75">
        <f>'[13]Table 10 CWTs exp'!C41</f>
        <v>54</v>
      </c>
      <c r="D41" s="75">
        <f>'[13]Table 10 CWTs exp'!D41</f>
        <v>7</v>
      </c>
      <c r="E41" t="str">
        <f>'[13]Table 10 CWTs exp'!E41</f>
        <v>Upper Sacramento River</v>
      </c>
      <c r="F41" s="37" t="s">
        <v>133</v>
      </c>
      <c r="G41" s="144">
        <f>IF('[13]Table 10 CWTs exp'!G41/'[13]Table 10 CWTs exp'!$Z41&gt;0,'[13]Table 10 CWTs exp'!G41/'[13]Table 10 CWTs exp'!$Z41," ")</f>
        <v>1.6242555495397944E-2</v>
      </c>
      <c r="H41" s="145">
        <f>IF('[13]Table 10 CWTs exp'!H41/'[13]Table 10 CWTs exp'!$Z41&gt;0,'[13]Table 10 CWTs exp'!H41/'[13]Table 10 CWTs exp'!$Z41," ")</f>
        <v>9.8538170005414191E-2</v>
      </c>
      <c r="I41" s="146" t="str">
        <f>IF('[13]Table 10 CWTs exp'!I41/'[13]Table 10 CWTs exp'!$Z41&gt;0,'[13]Table 10 CWTs exp'!I41/'[13]Table 10 CWTs exp'!$Z41," ")</f>
        <v xml:space="preserve"> </v>
      </c>
      <c r="J41" s="144" t="str">
        <f>IF('[13]Table 10 CWTs exp'!J41/'[13]Table 10 CWTs exp'!$Z41&gt;0,'[13]Table 10 CWTs exp'!J41/'[13]Table 10 CWTs exp'!$Z41," ")</f>
        <v xml:space="preserve"> </v>
      </c>
      <c r="K41" s="144" t="str">
        <f>IF('[13]Table 10 CWTs exp'!K41/'[13]Table 10 CWTs exp'!$Z41&gt;0,'[13]Table 10 CWTs exp'!K41/'[13]Table 10 CWTs exp'!$Z41," ")</f>
        <v xml:space="preserve"> </v>
      </c>
      <c r="L41" s="144" t="str">
        <f>IF('[13]Table 10 CWTs exp'!L41/'[13]Table 10 CWTs exp'!$Z41&gt;0,'[13]Table 10 CWTs exp'!L41/'[13]Table 10 CWTs exp'!$Z41," ")</f>
        <v xml:space="preserve"> </v>
      </c>
      <c r="M41" s="146" t="str">
        <f>IF('[13]Table 10 CWTs exp'!M41/'[13]Table 10 CWTs exp'!$Z41&gt;0,'[13]Table 10 CWTs exp'!M41/'[13]Table 10 CWTs exp'!$Z41," ")</f>
        <v xml:space="preserve"> </v>
      </c>
      <c r="N41" s="144" t="str">
        <f>IF('[13]Table 10 CWTs exp'!N41/'[13]Table 10 CWTs exp'!$Z41&gt;0,'[13]Table 10 CWTs exp'!N41/'[13]Table 10 CWTs exp'!$Z41," ")</f>
        <v xml:space="preserve"> </v>
      </c>
      <c r="O41" s="146">
        <f>IF('[13]Table 10 CWTs exp'!O41/'[13]Table 10 CWTs exp'!$Z41&gt;0,'[13]Table 10 CWTs exp'!O41/'[13]Table 10 CWTs exp'!$Z41," ")</f>
        <v>1.2994044396318355E-2</v>
      </c>
      <c r="P41" s="144" t="str">
        <f>IF('[13]Table 10 CWTs exp'!P41/'[13]Table 10 CWTs exp'!$Z41&gt;0,'[13]Table 10 CWTs exp'!P41/'[13]Table 10 CWTs exp'!$Z41," ")</f>
        <v xml:space="preserve"> </v>
      </c>
      <c r="Q41" s="144" t="str">
        <f>IF('[13]Table 10 CWTs exp'!Q41/'[13]Table 10 CWTs exp'!$Z41&gt;0,'[13]Table 10 CWTs exp'!Q41/'[13]Table 10 CWTs exp'!$Z41," ")</f>
        <v xml:space="preserve"> </v>
      </c>
      <c r="R41" s="144" t="str">
        <f>IF('[13]Table 10 CWTs exp'!R41/'[13]Table 10 CWTs exp'!$Z41&gt;0,'[13]Table 10 CWTs exp'!R41/'[13]Table 10 CWTs exp'!$Z41," ")</f>
        <v xml:space="preserve"> </v>
      </c>
      <c r="S41" s="146" t="str">
        <f>IF('[13]Table 10 CWTs exp'!S41/'[13]Table 10 CWTs exp'!$Z41&gt;0,'[13]Table 10 CWTs exp'!S41/'[13]Table 10 CWTs exp'!$Z41," ")</f>
        <v xml:space="preserve"> </v>
      </c>
      <c r="T41" s="144" t="str">
        <f>IF('[13]Table 10 CWTs exp'!T41/'[13]Table 10 CWTs exp'!$Z41&gt;0,'[13]Table 10 CWTs exp'!T41/'[13]Table 10 CWTs exp'!$Z41," ")</f>
        <v xml:space="preserve"> </v>
      </c>
      <c r="U41" s="146" t="str">
        <f>IF('[13]Table 10 CWTs exp'!U41/'[13]Table 10 CWTs exp'!$Z41&gt;0,'[13]Table 10 CWTs exp'!U41/'[13]Table 10 CWTs exp'!$Z41," ")</f>
        <v xml:space="preserve"> </v>
      </c>
      <c r="V41" s="146" t="str">
        <f>IF('[13]Table 10 CWTs exp'!V41/'[13]Table 10 CWTs exp'!$Z41&gt;0,'[13]Table 10 CWTs exp'!V41/'[13]Table 10 CWTs exp'!$Z41," ")</f>
        <v xml:space="preserve"> </v>
      </c>
      <c r="W41" s="144" t="str">
        <f>IF('[13]Table 10 CWTs exp'!W41/'[13]Table 10 CWTs exp'!$Z41&gt;0,'[13]Table 10 CWTs exp'!W41/'[13]Table 10 CWTs exp'!$Z41," ")</f>
        <v xml:space="preserve"> </v>
      </c>
      <c r="X41" s="147">
        <f t="shared" si="4"/>
        <v>0.12777476989713049</v>
      </c>
      <c r="Y41" s="148">
        <f t="shared" si="5"/>
        <v>0.87222523010286945</v>
      </c>
      <c r="Z41" s="38">
        <f>'[13]Table 10 CWTs exp'!Z41</f>
        <v>1847</v>
      </c>
      <c r="AB41" s="592">
        <f>'[13]Table 10 CWTs exp'!AC41</f>
        <v>0.12777476989713049</v>
      </c>
      <c r="AC41" s="592">
        <f t="shared" si="3"/>
        <v>0</v>
      </c>
      <c r="AD41" s="593" t="str">
        <f t="shared" si="6"/>
        <v>USAC547</v>
      </c>
      <c r="AE41" s="442"/>
      <c r="AF41" s="442"/>
      <c r="AG41" s="648"/>
      <c r="AH41" s="454"/>
      <c r="AI41" s="442"/>
      <c r="AJ41" s="442"/>
    </row>
    <row r="42" spans="1:36" ht="14.15" customHeight="1" x14ac:dyDescent="0.25">
      <c r="E42" s="743" t="s">
        <v>101</v>
      </c>
      <c r="F42" s="743"/>
      <c r="G42" s="152" t="str">
        <f>IF('[13]Table 10 CWTs exp'!G42/'[13]Table 10 CWTs exp'!$Z42&gt;0,'[13]Table 10 CWTs exp'!G42/'[13]Table 10 CWTs exp'!$Z42," ")</f>
        <v xml:space="preserve"> </v>
      </c>
      <c r="H42" s="153">
        <f>IF('[13]Table 10 CWTs exp'!H42/'[13]Table 10 CWTs exp'!$Z42&gt;0,'[13]Table 10 CWTs exp'!H42/'[13]Table 10 CWTs exp'!$Z42," ")</f>
        <v>2.8010951378409883E-4</v>
      </c>
      <c r="I42" s="154">
        <f>IF('[13]Table 10 CWTs exp'!I42/'[13]Table 10 CWTs exp'!$Z42&gt;0,'[13]Table 10 CWTs exp'!I42/'[13]Table 10 CWTs exp'!$Z42," ")</f>
        <v>0.19839885787604702</v>
      </c>
      <c r="J42" s="152">
        <f>IF('[13]Table 10 CWTs exp'!J42/'[13]Table 10 CWTs exp'!$Z42&gt;0,'[13]Table 10 CWTs exp'!J42/'[13]Table 10 CWTs exp'!$Z42," ")</f>
        <v>1.6300566544081106E-2</v>
      </c>
      <c r="K42" s="152">
        <f>IF('[13]Table 10 CWTs exp'!K42/'[13]Table 10 CWTs exp'!$Z42&gt;0,'[13]Table 10 CWTs exp'!K42/'[13]Table 10 CWTs exp'!$Z42," ")</f>
        <v>5.8009776725610144E-3</v>
      </c>
      <c r="L42" s="152">
        <f>IF('[13]Table 10 CWTs exp'!L42/'[13]Table 10 CWTs exp'!$Z42&gt;0,'[13]Table 10 CWTs exp'!L42/'[13]Table 10 CWTs exp'!$Z42," ")</f>
        <v>0.18837816591519008</v>
      </c>
      <c r="M42" s="154">
        <f>IF('[13]Table 10 CWTs exp'!M42/'[13]Table 10 CWTs exp'!$Z42&gt;0,'[13]Table 10 CWTs exp'!M42/'[13]Table 10 CWTs exp'!$Z42," ")</f>
        <v>0.11020050419712481</v>
      </c>
      <c r="N42" s="152">
        <f>IF('[13]Table 10 CWTs exp'!N42/'[13]Table 10 CWTs exp'!$Z42&gt;0,'[13]Table 10 CWTs exp'!N42/'[13]Table 10 CWTs exp'!$Z42," ")</f>
        <v>1.7240288783872921E-2</v>
      </c>
      <c r="O42" s="154">
        <f>IF('[13]Table 10 CWTs exp'!O42/'[13]Table 10 CWTs exp'!$Z42&gt;0,'[13]Table 10 CWTs exp'!O42/'[13]Table 10 CWTs exp'!$Z42," ")</f>
        <v>9.7252216027685662E-2</v>
      </c>
      <c r="P42" s="152">
        <f>IF('[13]Table 10 CWTs exp'!P42/'[13]Table 10 CWTs exp'!$Z42&gt;0,'[13]Table 10 CWTs exp'!P42/'[13]Table 10 CWTs exp'!$Z42," ")</f>
        <v>3.4336004915470176E-4</v>
      </c>
      <c r="Q42" s="152">
        <f>IF('[13]Table 10 CWTs exp'!Q42/'[13]Table 10 CWTs exp'!$Z42&gt;0,'[13]Table 10 CWTs exp'!Q42/'[13]Table 10 CWTs exp'!$Z42," ")</f>
        <v>4.644396454355703E-2</v>
      </c>
      <c r="R42" s="152">
        <f>IF('[13]Table 10 CWTs exp'!R42/'[13]Table 10 CWTs exp'!$Z42&gt;0,'[13]Table 10 CWTs exp'!R42/'[13]Table 10 CWTs exp'!$Z42," ")</f>
        <v>9.930334053184664E-3</v>
      </c>
      <c r="S42" s="154">
        <f>IF('[13]Table 10 CWTs exp'!S42/'[13]Table 10 CWTs exp'!$Z42&gt;0,'[13]Table 10 CWTs exp'!S42/'[13]Table 10 CWTs exp'!$Z42," ")</f>
        <v>2.4125561348501412E-3</v>
      </c>
      <c r="T42" s="152">
        <f>IF('[13]Table 10 CWTs exp'!T42/'[13]Table 10 CWTs exp'!$Z42&gt;0,'[13]Table 10 CWTs exp'!T42/'[13]Table 10 CWTs exp'!$Z42," ")</f>
        <v>2.3493055994795384E-4</v>
      </c>
      <c r="U42" s="154">
        <f>IF('[13]Table 10 CWTs exp'!U42/'[13]Table 10 CWTs exp'!$Z42&gt;0,'[13]Table 10 CWTs exp'!U42/'[13]Table 10 CWTs exp'!$Z42," ")</f>
        <v>1.6020457030297006E-2</v>
      </c>
      <c r="V42" s="154">
        <f>IF('[13]Table 10 CWTs exp'!V42/'[13]Table 10 CWTs exp'!$Z42&gt;0,'[13]Table 10 CWTs exp'!V42/'[13]Table 10 CWTs exp'!$Z42," ")</f>
        <v>9.9393698439518936E-5</v>
      </c>
      <c r="W42" s="152" t="str">
        <f>IF('[13]Table 10 CWTs exp'!W42/'[13]Table 10 CWTs exp'!$Z42&gt;0,'[13]Table 10 CWTs exp'!W42/'[13]Table 10 CWTs exp'!$Z42," ")</f>
        <v xml:space="preserve"> </v>
      </c>
      <c r="X42" s="155">
        <f t="shared" si="4"/>
        <v>0.70933668259977767</v>
      </c>
      <c r="Y42" s="156">
        <f>1-X42</f>
        <v>0.29066331740022233</v>
      </c>
      <c r="Z42" s="63">
        <f>'[13]Table 10 CWTs exp'!Z42</f>
        <v>110671</v>
      </c>
      <c r="AA42" s="159"/>
      <c r="AB42" s="592">
        <f>'[13]Table 10 CWTs exp'!AC42</f>
        <v>0.70933668259977767</v>
      </c>
      <c r="AC42" s="592">
        <f t="shared" si="3"/>
        <v>0</v>
      </c>
      <c r="AD42" s="595"/>
      <c r="AE42" s="596"/>
      <c r="AF42" s="596"/>
      <c r="AG42" s="649"/>
      <c r="AH42" s="454"/>
      <c r="AI42" s="442"/>
      <c r="AJ42" s="442"/>
    </row>
    <row r="43" spans="1:36" ht="4.5" customHeight="1" x14ac:dyDescent="0.3">
      <c r="E43" s="83"/>
      <c r="F43"/>
      <c r="G43" s="161"/>
      <c r="H43" s="162"/>
      <c r="I43" s="163"/>
      <c r="J43" s="161"/>
      <c r="K43" s="161"/>
      <c r="L43" s="161"/>
      <c r="M43" s="163"/>
      <c r="N43" s="161"/>
      <c r="O43" s="163"/>
      <c r="P43" s="161"/>
      <c r="Q43" s="161"/>
      <c r="R43" s="161"/>
      <c r="S43" s="163"/>
      <c r="T43" s="161"/>
      <c r="U43" s="163"/>
      <c r="V43" s="163"/>
      <c r="W43" s="161"/>
      <c r="X43" s="164"/>
      <c r="Y43" s="165"/>
      <c r="Z43" s="64"/>
      <c r="AA43" s="159"/>
      <c r="AB43" s="592"/>
      <c r="AC43" s="592"/>
      <c r="AD43" s="595"/>
      <c r="AE43" s="596"/>
      <c r="AF43" s="596"/>
      <c r="AG43" s="649"/>
      <c r="AH43" s="454"/>
      <c r="AI43" s="442"/>
      <c r="AJ43" s="442"/>
    </row>
    <row r="44" spans="1:36" ht="14.9" customHeight="1" x14ac:dyDescent="0.25">
      <c r="E44" s="27" t="s">
        <v>103</v>
      </c>
      <c r="F44" s="37" t="s">
        <v>104</v>
      </c>
      <c r="G44" s="151">
        <f>IF('[13]Table 10 CWTs exp'!G44/'[13]Table 10 CWTs exp'!$Z44&gt;0,'[13]Table 10 CWTs exp'!G44/'[13]Table 10 CWTs exp'!$Z44," ")</f>
        <v>2.5316372221233042E-2</v>
      </c>
      <c r="H44" s="157">
        <f>IF('[13]Table 10 CWTs exp'!H44/'[13]Table 10 CWTs exp'!$Z44&gt;0,'[13]Table 10 CWTs exp'!H44/'[13]Table 10 CWTs exp'!$Z44," ")</f>
        <v>1.3723201508826768E-2</v>
      </c>
      <c r="I44" s="158">
        <f>IF('[13]Table 10 CWTs exp'!I44/'[13]Table 10 CWTs exp'!$Z44&gt;0,'[13]Table 10 CWTs exp'!I44/'[13]Table 10 CWTs exp'!$Z44," ")</f>
        <v>0.20690974076931701</v>
      </c>
      <c r="J44" s="151">
        <f>IF('[13]Table 10 CWTs exp'!J44/'[13]Table 10 CWTs exp'!$Z44&gt;0,'[13]Table 10 CWTs exp'!J44/'[13]Table 10 CWTs exp'!$Z44," ")</f>
        <v>2.9517083110768196E-2</v>
      </c>
      <c r="K44" s="151">
        <f>IF('[13]Table 10 CWTs exp'!K44/'[13]Table 10 CWTs exp'!$Z44&gt;0,'[13]Table 10 CWTs exp'!K44/'[13]Table 10 CWTs exp'!$Z44," ")</f>
        <v>6.3900923892614798E-3</v>
      </c>
      <c r="L44" s="151">
        <f>IF('[13]Table 10 CWTs exp'!L44/'[13]Table 10 CWTs exp'!$Z44&gt;0,'[13]Table 10 CWTs exp'!L44/'[13]Table 10 CWTs exp'!$Z44," ")</f>
        <v>0.18847805013156071</v>
      </c>
      <c r="M44" s="158">
        <f>IF('[13]Table 10 CWTs exp'!M44/'[13]Table 10 CWTs exp'!$Z44&gt;0,'[13]Table 10 CWTs exp'!M44/'[13]Table 10 CWTs exp'!$Z44," ")</f>
        <v>0.11113089467887972</v>
      </c>
      <c r="N44" s="151">
        <f>IF('[13]Table 10 CWTs exp'!N44/'[13]Table 10 CWTs exp'!$Z44&gt;0,'[13]Table 10 CWTs exp'!N44/'[13]Table 10 CWTs exp'!$Z44," ")</f>
        <v>1.634122697687301E-2</v>
      </c>
      <c r="O44" s="158">
        <f>IF('[13]Table 10 CWTs exp'!O44/'[13]Table 10 CWTs exp'!$Z44&gt;0,'[13]Table 10 CWTs exp'!O44/'[13]Table 10 CWTs exp'!$Z44," ")</f>
        <v>8.999544977941322E-2</v>
      </c>
      <c r="P44" s="151">
        <f>IF('[13]Table 10 CWTs exp'!P44/'[13]Table 10 CWTs exp'!$Z44&gt;0,'[13]Table 10 CWTs exp'!P44/'[13]Table 10 CWTs exp'!$Z44," ")</f>
        <v>2.9015899393963372E-4</v>
      </c>
      <c r="Q44" s="151">
        <f>IF('[13]Table 10 CWTs exp'!Q44/'[13]Table 10 CWTs exp'!$Z44&gt;0,'[13]Table 10 CWTs exp'!Q44/'[13]Table 10 CWTs exp'!$Z44," ")</f>
        <v>1.5589451401665776E-2</v>
      </c>
      <c r="R44" s="151">
        <f>IF('[13]Table 10 CWTs exp'!R44/'[13]Table 10 CWTs exp'!$Z44&gt;0,'[13]Table 10 CWTs exp'!R44/'[13]Table 10 CWTs exp'!$Z44," ")</f>
        <v>1.1540414531689977E-3</v>
      </c>
      <c r="S44" s="158">
        <f>IF('[13]Table 10 CWTs exp'!S44/'[13]Table 10 CWTs exp'!$Z44&gt;0,'[13]Table 10 CWTs exp'!S44/'[13]Table 10 CWTs exp'!$Z44," ")</f>
        <v>3.8248231019315357E-4</v>
      </c>
      <c r="T44" s="151">
        <f>IF('[13]Table 10 CWTs exp'!T44/'[13]Table 10 CWTs exp'!$Z44&gt;0,'[13]Table 10 CWTs exp'!T44/'[13]Table 10 CWTs exp'!$Z44," ")</f>
        <v>2.9015899393963372E-4</v>
      </c>
      <c r="U44" s="158">
        <f>IF('[13]Table 10 CWTs exp'!U44/'[13]Table 10 CWTs exp'!$Z44&gt;0,'[13]Table 10 CWTs exp'!U44/'[13]Table 10 CWTs exp'!$Z44," ")</f>
        <v>9.0344959476658685E-4</v>
      </c>
      <c r="V44" s="158">
        <f>IF('[13]Table 10 CWTs exp'!V44/'[13]Table 10 CWTs exp'!$Z44&gt;0,'[13]Table 10 CWTs exp'!V44/'[13]Table 10 CWTs exp'!$Z44," ")</f>
        <v>8.5728793663982696E-5</v>
      </c>
      <c r="W44" s="151" t="str">
        <f>IF('[13]Table 10 CWTs exp'!W44/'[13]Table 10 CWTs exp'!$Z44&gt;0,'[13]Table 10 CWTs exp'!W44/'[13]Table 10 CWTs exp'!$Z44," ")</f>
        <v xml:space="preserve"> </v>
      </c>
      <c r="X44" s="166">
        <f>SUM(G44:W44)</f>
        <v>0.70649758310747079</v>
      </c>
      <c r="Y44" s="167">
        <f t="shared" ref="Y44:Y46" si="7">1-X44</f>
        <v>0.29350241689252921</v>
      </c>
      <c r="Z44" s="38">
        <f>'[13]Table 10 CWTs exp'!Z44</f>
        <v>151641</v>
      </c>
      <c r="AA44" s="159"/>
      <c r="AB44" s="592">
        <f>'[13]Table 10 CWTs exp'!AC44</f>
        <v>0.70649758310747091</v>
      </c>
      <c r="AC44" s="592">
        <f>X44-AB44</f>
        <v>0</v>
      </c>
      <c r="AD44" s="595"/>
      <c r="AE44" s="596"/>
      <c r="AF44" s="596"/>
      <c r="AG44" s="649"/>
      <c r="AH44" s="454"/>
      <c r="AI44" s="442"/>
      <c r="AJ44" s="442"/>
    </row>
    <row r="45" spans="1:36" ht="14.9" customHeight="1" x14ac:dyDescent="0.25">
      <c r="E45" s="27" t="s">
        <v>105</v>
      </c>
      <c r="F45" s="37" t="s">
        <v>104</v>
      </c>
      <c r="G45" s="151" t="str">
        <f>IF('[13]Table 10 CWTs exp'!G45/'[13]Table 10 CWTs exp'!$Z45&gt;0,'[13]Table 10 CWTs exp'!G45/'[13]Table 10 CWTs exp'!$Z45," ")</f>
        <v xml:space="preserve"> </v>
      </c>
      <c r="H45" s="157">
        <f>IF('[13]Table 10 CWTs exp'!H45/'[13]Table 10 CWTs exp'!$Z45&gt;0,'[13]Table 10 CWTs exp'!H45/'[13]Table 10 CWTs exp'!$Z45," ")</f>
        <v>2.1223536902424789E-4</v>
      </c>
      <c r="I45" s="158">
        <f>IF('[13]Table 10 CWTs exp'!I45/'[13]Table 10 CWTs exp'!$Z45&gt;0,'[13]Table 10 CWTs exp'!I45/'[13]Table 10 CWTs exp'!$Z45," ")</f>
        <v>0.12569639730461082</v>
      </c>
      <c r="J45" s="151">
        <f>IF('[13]Table 10 CWTs exp'!J45/'[13]Table 10 CWTs exp'!$Z45&gt;0,'[13]Table 10 CWTs exp'!J45/'[13]Table 10 CWTs exp'!$Z45," ")</f>
        <v>1.0081180028651774E-3</v>
      </c>
      <c r="K45" s="151">
        <f>IF('[13]Table 10 CWTs exp'!K45/'[13]Table 10 CWTs exp'!$Z45&gt;0,'[13]Table 10 CWTs exp'!K45/'[13]Table 10 CWTs exp'!$Z45," ")</f>
        <v>4.2447073804849578E-4</v>
      </c>
      <c r="L45" s="151">
        <f>IF('[13]Table 10 CWTs exp'!L45/'[13]Table 10 CWTs exp'!$Z45&gt;0,'[13]Table 10 CWTs exp'!L45/'[13]Table 10 CWTs exp'!$Z45," ")</f>
        <v>0.17615535629012574</v>
      </c>
      <c r="M45" s="158">
        <f>IF('[13]Table 10 CWTs exp'!M45/'[13]Table 10 CWTs exp'!$Z45&gt;0,'[13]Table 10 CWTs exp'!M45/'[13]Table 10 CWTs exp'!$Z45," ")</f>
        <v>0.11503157001114235</v>
      </c>
      <c r="N45" s="151">
        <f>IF('[13]Table 10 CWTs exp'!N45/'[13]Table 10 CWTs exp'!$Z45&gt;0,'[13]Table 10 CWTs exp'!N45/'[13]Table 10 CWTs exp'!$Z45," ")</f>
        <v>7.4282379158486763E-4</v>
      </c>
      <c r="O45" s="158">
        <f>IF('[13]Table 10 CWTs exp'!O45/'[13]Table 10 CWTs exp'!$Z45&gt;0,'[13]Table 10 CWTs exp'!O45/'[13]Table 10 CWTs exp'!$Z45," ")</f>
        <v>4.8336605295272457E-2</v>
      </c>
      <c r="P45" s="151">
        <f>IF('[13]Table 10 CWTs exp'!P45/'[13]Table 10 CWTs exp'!$Z45&gt;0,'[13]Table 10 CWTs exp'!P45/'[13]Table 10 CWTs exp'!$Z45," ")</f>
        <v>2.0692948479864169E-3</v>
      </c>
      <c r="Q45" s="151">
        <f>IF('[13]Table 10 CWTs exp'!Q45/'[13]Table 10 CWTs exp'!$Z45&gt;0,'[13]Table 10 CWTs exp'!Q45/'[13]Table 10 CWTs exp'!$Z45," ")</f>
        <v>0.3201039953308219</v>
      </c>
      <c r="R45" s="151">
        <f>IF('[13]Table 10 CWTs exp'!R45/'[13]Table 10 CWTs exp'!$Z45&gt;0,'[13]Table 10 CWTs exp'!R45/'[13]Table 10 CWTs exp'!$Z45," ")</f>
        <v>6.1707433543800073E-2</v>
      </c>
      <c r="S45" s="158">
        <f>IF('[13]Table 10 CWTs exp'!S45/'[13]Table 10 CWTs exp'!$Z45&gt;0,'[13]Table 10 CWTs exp'!S45/'[13]Table 10 CWTs exp'!$Z45," ")</f>
        <v>1.9366477423462619E-2</v>
      </c>
      <c r="T45" s="151">
        <f>IF('[13]Table 10 CWTs exp'!T45/'[13]Table 10 CWTs exp'!$Z45&gt;0,'[13]Table 10 CWTs exp'!T45/'[13]Table 10 CWTs exp'!$Z45," ")</f>
        <v>2.6529421128030988E-4</v>
      </c>
      <c r="U45" s="158">
        <f>IF('[13]Table 10 CWTs exp'!U45/'[13]Table 10 CWTs exp'!$Z45&gt;0,'[13]Table 10 CWTs exp'!U45/'[13]Table 10 CWTs exp'!$Z45," ")</f>
        <v>0.12797792752162149</v>
      </c>
      <c r="V45" s="158">
        <f>IF('[13]Table 10 CWTs exp'!V45/'[13]Table 10 CWTs exp'!$Z45&gt;0,'[13]Table 10 CWTs exp'!V45/'[13]Table 10 CWTs exp'!$Z45," ")</f>
        <v>9.0200031835305358E-4</v>
      </c>
      <c r="W45" s="151" t="str">
        <f>IF('[13]Table 10 CWTs exp'!W45/'[13]Table 10 CWTs exp'!$Z45&gt;0,'[13]Table 10 CWTs exp'!W45/'[13]Table 10 CWTs exp'!$Z45," ")</f>
        <v xml:space="preserve"> </v>
      </c>
      <c r="X45" s="166">
        <f>SUM(G45:W45)</f>
        <v>1</v>
      </c>
      <c r="Y45" s="167"/>
      <c r="Z45" s="38">
        <f>'[13]Table 10 CWTs exp'!Z45</f>
        <v>18847</v>
      </c>
      <c r="AA45" s="159"/>
      <c r="AB45" s="592">
        <f>'[13]Table 10 CWTs exp'!AC45</f>
        <v>1</v>
      </c>
      <c r="AC45" s="592">
        <f t="shared" si="3"/>
        <v>0</v>
      </c>
      <c r="AD45" s="595"/>
      <c r="AE45" s="596"/>
      <c r="AF45" s="596"/>
      <c r="AG45" s="649"/>
      <c r="AH45" s="454"/>
      <c r="AI45" s="442"/>
      <c r="AJ45" s="442"/>
    </row>
    <row r="46" spans="1:36" ht="18" customHeight="1" x14ac:dyDescent="0.3">
      <c r="E46" s="27"/>
      <c r="F46" s="88" t="s">
        <v>109</v>
      </c>
      <c r="G46" s="168">
        <f>IF('[13]Table 10 CWTs exp'!G46/'[13]Table 10 CWTs exp'!$Z46&gt;0,'[13]Table 10 CWTs exp'!G46/'[13]Table 10 CWTs exp'!$Z46," ")</f>
        <v>2.2517713856693725E-2</v>
      </c>
      <c r="H46" s="169">
        <f>IF('[13]Table 10 CWTs exp'!H46/'[13]Table 10 CWTs exp'!$Z46&gt;0,'[13]Table 10 CWTs exp'!H46/'[13]Table 10 CWTs exp'!$Z46," ")</f>
        <v>1.2229599737224907E-2</v>
      </c>
      <c r="I46" s="170">
        <f>IF('[13]Table 10 CWTs exp'!I46/'[13]Table 10 CWTs exp'!$Z46&gt;0,'[13]Table 10 CWTs exp'!I46/'[13]Table 10 CWTs exp'!$Z46," ")</f>
        <v>0.19793181924827555</v>
      </c>
      <c r="J46" s="168">
        <f>IF('[13]Table 10 CWTs exp'!J46/'[13]Table 10 CWTs exp'!$Z46&gt;0,'[13]Table 10 CWTs exp'!J46/'[13]Table 10 CWTs exp'!$Z46," ")</f>
        <v>2.636549199943691E-2</v>
      </c>
      <c r="K46" s="168">
        <f>IF('[13]Table 10 CWTs exp'!K46/'[13]Table 10 CWTs exp'!$Z46&gt;0,'[13]Table 10 CWTs exp'!K46/'[13]Table 10 CWTs exp'!$Z46," ")</f>
        <v>5.7306086058842853E-3</v>
      </c>
      <c r="L46" s="168">
        <f>IF('[13]Table 10 CWTs exp'!L46/'[13]Table 10 CWTs exp'!$Z46&gt;0,'[13]Table 10 CWTs exp'!L46/'[13]Table 10 CWTs exp'!$Z46," ")</f>
        <v>0.18711580873727182</v>
      </c>
      <c r="M46" s="170">
        <f>IF('[13]Table 10 CWTs exp'!M46/'[13]Table 10 CWTs exp'!$Z46&gt;0,'[13]Table 10 CWTs exp'!M46/'[13]Table 10 CWTs exp'!$Z46," ")</f>
        <v>0.11156210407770635</v>
      </c>
      <c r="N46" s="168">
        <f>IF('[13]Table 10 CWTs exp'!N46/'[13]Table 10 CWTs exp'!$Z46&gt;0,'[13]Table 10 CWTs exp'!N46/'[13]Table 10 CWTs exp'!$Z46," ")</f>
        <v>1.4616864530054901E-2</v>
      </c>
      <c r="O46" s="170">
        <f>IF('[13]Table 10 CWTs exp'!O46/'[13]Table 10 CWTs exp'!$Z46&gt;0,'[13]Table 10 CWTs exp'!O46/'[13]Table 10 CWTs exp'!$Z46," ")</f>
        <v>8.5390174088498902E-2</v>
      </c>
      <c r="P46" s="168">
        <f>IF('[13]Table 10 CWTs exp'!P46/'[13]Table 10 CWTs exp'!$Z46&gt;0,'[13]Table 10 CWTs exp'!P46/'[13]Table 10 CWTs exp'!$Z46," ")</f>
        <v>4.8683778330439677E-4</v>
      </c>
      <c r="Q46" s="168">
        <f>IF('[13]Table 10 CWTs exp'!Q46/'[13]Table 10 CWTs exp'!$Z46&gt;0,'[13]Table 10 CWTs exp'!Q46/'[13]Table 10 CWTs exp'!$Z46," ")</f>
        <v>4.9252733330205058E-2</v>
      </c>
      <c r="R46" s="168">
        <f>IF('[13]Table 10 CWTs exp'!R46/'[13]Table 10 CWTs exp'!$Z46&gt;0,'[13]Table 10 CWTs exp'!R46/'[13]Table 10 CWTs exp'!$Z46," ")</f>
        <v>7.848059687485337E-3</v>
      </c>
      <c r="S46" s="170">
        <f>IF('[13]Table 10 CWTs exp'!S46/'[13]Table 10 CWTs exp'!$Z46&gt;0,'[13]Table 10 CWTs exp'!S46/'[13]Table 10 CWTs exp'!$Z46," ")</f>
        <v>2.4811130402139741E-3</v>
      </c>
      <c r="T46" s="168">
        <f>IF('[13]Table 10 CWTs exp'!T46/'[13]Table 10 CWTs exp'!$Z46&gt;0,'[13]Table 10 CWTs exp'!T46/'[13]Table 10 CWTs exp'!$Z46," ")</f>
        <v>2.8741025761343909E-4</v>
      </c>
      <c r="U46" s="170">
        <f>IF('[13]Table 10 CWTs exp'!U46/'[13]Table 10 CWTs exp'!$Z46&gt;0,'[13]Table 10 CWTs exp'!U46/'[13]Table 10 CWTs exp'!$Z46," ")</f>
        <v>1.495119891136033E-2</v>
      </c>
      <c r="V46" s="170">
        <f>IF('[13]Table 10 CWTs exp'!V46/'[13]Table 10 CWTs exp'!$Z46&gt;0,'[13]Table 10 CWTs exp'!V46/'[13]Table 10 CWTs exp'!$Z46," ")</f>
        <v>1.759654638449627E-4</v>
      </c>
      <c r="W46" s="168" t="str">
        <f>IF('[13]Table 10 CWTs exp'!W46/'[13]Table 10 CWTs exp'!$Z46&gt;0,'[13]Table 10 CWTs exp'!W46/'[13]Table 10 CWTs exp'!$Z46," ")</f>
        <v xml:space="preserve"> </v>
      </c>
      <c r="X46" s="171">
        <f>SUM(G46:W46)</f>
        <v>0.73894350335507508</v>
      </c>
      <c r="Y46" s="172">
        <f t="shared" si="7"/>
        <v>0.26105649664492492</v>
      </c>
      <c r="Z46" s="89">
        <f>'[13]Table 10 CWTs exp'!Z46</f>
        <v>170488</v>
      </c>
      <c r="AA46" s="159"/>
      <c r="AB46" s="592">
        <f>'[13]Table 10 CWTs exp'!AC46</f>
        <v>0.73894350335507486</v>
      </c>
      <c r="AC46" s="592">
        <f t="shared" si="3"/>
        <v>0</v>
      </c>
      <c r="AD46" s="595"/>
      <c r="AE46" s="596"/>
      <c r="AF46" s="596"/>
      <c r="AG46" s="649"/>
      <c r="AH46" s="454"/>
      <c r="AI46" s="442"/>
      <c r="AJ46" s="442"/>
    </row>
    <row r="47" spans="1:36" ht="3.75" customHeight="1" x14ac:dyDescent="0.25">
      <c r="E47" s="173"/>
      <c r="F47" s="173"/>
      <c r="G47" s="161"/>
      <c r="H47" s="162"/>
      <c r="I47" s="163"/>
      <c r="J47" s="161"/>
      <c r="K47" s="161"/>
      <c r="L47" s="161"/>
      <c r="M47" s="163"/>
      <c r="N47" s="161"/>
      <c r="O47" s="163"/>
      <c r="P47" s="161"/>
      <c r="Q47" s="161"/>
      <c r="R47" s="161"/>
      <c r="S47" s="163"/>
      <c r="T47" s="161"/>
      <c r="U47" s="163"/>
      <c r="V47" s="163"/>
      <c r="W47" s="161"/>
      <c r="X47" s="164"/>
      <c r="Y47" s="165"/>
      <c r="Z47" s="64"/>
      <c r="AA47" s="159"/>
      <c r="AB47" s="592"/>
      <c r="AC47" s="592"/>
      <c r="AD47" s="595"/>
      <c r="AE47" s="596"/>
      <c r="AF47" s="596"/>
      <c r="AG47" s="649"/>
      <c r="AH47" s="454"/>
      <c r="AI47" s="442"/>
      <c r="AJ47" s="442"/>
    </row>
    <row r="48" spans="1:36" ht="14.25" customHeight="1" x14ac:dyDescent="0.3">
      <c r="E48" s="26" t="s">
        <v>113</v>
      </c>
      <c r="F48"/>
      <c r="G48" s="144"/>
      <c r="H48" s="145"/>
      <c r="I48" s="146"/>
      <c r="J48" s="144"/>
      <c r="K48" s="144"/>
      <c r="L48" s="144"/>
      <c r="M48" s="146"/>
      <c r="N48" s="144"/>
      <c r="O48" s="146"/>
      <c r="P48" s="144"/>
      <c r="Q48" s="144"/>
      <c r="R48" s="144"/>
      <c r="S48" s="146"/>
      <c r="T48" s="144"/>
      <c r="U48" s="146"/>
      <c r="V48" s="146"/>
      <c r="W48" s="144"/>
      <c r="X48" s="147"/>
      <c r="Y48" s="148"/>
      <c r="Z48" s="38"/>
      <c r="AB48" s="592"/>
      <c r="AC48" s="592"/>
      <c r="AD48" s="442"/>
      <c r="AE48" s="442"/>
      <c r="AF48" s="442"/>
      <c r="AG48" s="648"/>
      <c r="AH48" s="454"/>
      <c r="AI48" s="442"/>
      <c r="AJ48" s="442"/>
    </row>
    <row r="49" spans="1:36" ht="14.25" customHeight="1" x14ac:dyDescent="0.25">
      <c r="A49" t="str">
        <f>'[13]Table 10 CWTs exp'!A49</f>
        <v>USAC463</v>
      </c>
      <c r="B49" s="4" t="str">
        <f>'[13]Table 10 CWTs exp'!B49</f>
        <v>USAC</v>
      </c>
      <c r="C49" s="4">
        <f>'[13]Table 10 CWTs exp'!C49</f>
        <v>46</v>
      </c>
      <c r="D49" s="4">
        <f>'[13]Table 10 CWTs exp'!D49</f>
        <v>3</v>
      </c>
      <c r="E49" t="str">
        <f>'[13]Table 10 CWTs exp'!E49</f>
        <v xml:space="preserve">Upper Sacramento River </v>
      </c>
      <c r="F49" s="37" t="str">
        <f>'[13]Table 10 CWTs exp'!F49</f>
        <v>Fall</v>
      </c>
      <c r="G49" s="144">
        <f>IF('[13]Table 10 CWTs exp'!G49/'[13]Table 10 CWTs exp'!$Z49&gt;0,'[13]Table 10 CWTs exp'!G49/'[13]Table 10 CWTs exp'!$Z49," ")</f>
        <v>2.1257750221434896E-3</v>
      </c>
      <c r="H49" s="145">
        <f>IF('[13]Table 10 CWTs exp'!H49/'[13]Table 10 CWTs exp'!$Z49&gt;0,'[13]Table 10 CWTs exp'!H49/'[13]Table 10 CWTs exp'!$Z49," ")</f>
        <v>2.1257750221434896E-3</v>
      </c>
      <c r="I49" s="146">
        <f>IF('[13]Table 10 CWTs exp'!I49/'[13]Table 10 CWTs exp'!$Z49&gt;0,'[13]Table 10 CWTs exp'!I49/'[13]Table 10 CWTs exp'!$Z49," ")</f>
        <v>0.65597874224977859</v>
      </c>
      <c r="J49" s="144" t="str">
        <f>IF('[13]Table 10 CWTs exp'!J49/'[13]Table 10 CWTs exp'!$Z49&gt;0,'[13]Table 10 CWTs exp'!J49/'[13]Table 10 CWTs exp'!$Z49," ")</f>
        <v xml:space="preserve"> </v>
      </c>
      <c r="K49" s="144" t="str">
        <f>IF('[13]Table 10 CWTs exp'!K49/'[13]Table 10 CWTs exp'!$Z49&gt;0,'[13]Table 10 CWTs exp'!K49/'[13]Table 10 CWTs exp'!$Z49," ")</f>
        <v xml:space="preserve"> </v>
      </c>
      <c r="L49" s="144">
        <f>IF('[13]Table 10 CWTs exp'!L49/'[13]Table 10 CWTs exp'!$Z49&gt;0,'[13]Table 10 CWTs exp'!L49/'[13]Table 10 CWTs exp'!$Z49," ")</f>
        <v>8.0956598759964568E-2</v>
      </c>
      <c r="M49" s="146">
        <f>IF('[13]Table 10 CWTs exp'!M49/'[13]Table 10 CWTs exp'!$Z49&gt;0,'[13]Table 10 CWTs exp'!M49/'[13]Table 10 CWTs exp'!$Z49," ")</f>
        <v>8.1488042515500438E-3</v>
      </c>
      <c r="N49" s="144" t="str">
        <f>IF('[13]Table 10 CWTs exp'!N49/'[13]Table 10 CWTs exp'!$Z49&gt;0,'[13]Table 10 CWTs exp'!N49/'[13]Table 10 CWTs exp'!$Z49," ")</f>
        <v xml:space="preserve"> </v>
      </c>
      <c r="O49" s="146" t="str">
        <f>IF('[13]Table 10 CWTs exp'!O49/'[13]Table 10 CWTs exp'!$Z49&gt;0,'[13]Table 10 CWTs exp'!O49/'[13]Table 10 CWTs exp'!$Z49," ")</f>
        <v xml:space="preserve"> </v>
      </c>
      <c r="P49" s="144" t="str">
        <f>IF('[13]Table 10 CWTs exp'!P49/'[13]Table 10 CWTs exp'!$Z49&gt;0,'[13]Table 10 CWTs exp'!P49/'[13]Table 10 CWTs exp'!$Z49," ")</f>
        <v xml:space="preserve"> </v>
      </c>
      <c r="Q49" s="144" t="str">
        <f>IF('[13]Table 10 CWTs exp'!Q49/'[13]Table 10 CWTs exp'!$Z49&gt;0,'[13]Table 10 CWTs exp'!Q49/'[13]Table 10 CWTs exp'!$Z49," ")</f>
        <v xml:space="preserve"> </v>
      </c>
      <c r="R49" s="144" t="str">
        <f>IF('[13]Table 10 CWTs exp'!R49/'[13]Table 10 CWTs exp'!$Z49&gt;0,'[13]Table 10 CWTs exp'!R49/'[13]Table 10 CWTs exp'!$Z49," ")</f>
        <v xml:space="preserve"> </v>
      </c>
      <c r="S49" s="146" t="str">
        <f>IF('[13]Table 10 CWTs exp'!S49/'[13]Table 10 CWTs exp'!$Z49&gt;0,'[13]Table 10 CWTs exp'!S49/'[13]Table 10 CWTs exp'!$Z49," ")</f>
        <v xml:space="preserve"> </v>
      </c>
      <c r="T49" s="144" t="str">
        <f>IF('[13]Table 10 CWTs exp'!T49/'[13]Table 10 CWTs exp'!$Z49&gt;0,'[13]Table 10 CWTs exp'!T49/'[13]Table 10 CWTs exp'!$Z49," ")</f>
        <v xml:space="preserve"> </v>
      </c>
      <c r="U49" s="146" t="str">
        <f>IF('[13]Table 10 CWTs exp'!U49/'[13]Table 10 CWTs exp'!$Z49&gt;0,'[13]Table 10 CWTs exp'!U49/'[13]Table 10 CWTs exp'!$Z49," ")</f>
        <v xml:space="preserve"> </v>
      </c>
      <c r="V49" s="146" t="str">
        <f>IF('[13]Table 10 CWTs exp'!V49/'[13]Table 10 CWTs exp'!$Z49&gt;0,'[13]Table 10 CWTs exp'!V49/'[13]Table 10 CWTs exp'!$Z49," ")</f>
        <v xml:space="preserve"> </v>
      </c>
      <c r="W49" s="144" t="str">
        <f>IF('[13]Table 10 CWTs exp'!W49/'[13]Table 10 CWTs exp'!$Z49&gt;0,'[13]Table 10 CWTs exp'!W49/'[13]Table 10 CWTs exp'!$Z49," ")</f>
        <v xml:space="preserve"> </v>
      </c>
      <c r="X49" s="147">
        <f>AB49</f>
        <v>0.749</v>
      </c>
      <c r="Y49" s="148">
        <f>1-ROUND(X49,2)</f>
        <v>0.25</v>
      </c>
      <c r="Z49" s="38">
        <f>'[13]Table 10 CWTs exp'!Z49</f>
        <v>5645</v>
      </c>
      <c r="AB49" s="592">
        <f>'[13]Table 10 CWTs exp'!AC49</f>
        <v>0.749</v>
      </c>
      <c r="AC49" s="592">
        <f t="shared" si="3"/>
        <v>0</v>
      </c>
      <c r="AD49" s="593" t="str">
        <f t="shared" ref="AD49:AD54" si="8">A49</f>
        <v>USAC463</v>
      </c>
      <c r="AE49" s="442"/>
      <c r="AF49" s="442"/>
      <c r="AG49" s="648"/>
      <c r="AH49" s="454"/>
      <c r="AI49" s="442"/>
      <c r="AJ49" s="442"/>
    </row>
    <row r="50" spans="1:36" ht="14.25" customHeight="1" x14ac:dyDescent="0.25">
      <c r="A50" t="str">
        <f>'[13]Table 10 CWTs exp'!A50</f>
        <v>LSAC463</v>
      </c>
      <c r="B50" s="4" t="str">
        <f>'[13]Table 10 CWTs exp'!B50</f>
        <v>LSAC</v>
      </c>
      <c r="C50" s="4">
        <f>'[13]Table 10 CWTs exp'!C50</f>
        <v>46</v>
      </c>
      <c r="D50" s="4">
        <f>'[13]Table 10 CWTs exp'!D50</f>
        <v>3</v>
      </c>
      <c r="E50" t="str">
        <f>'[13]Table 10 CWTs exp'!E50</f>
        <v xml:space="preserve">Lower Sacramento River </v>
      </c>
      <c r="F50" s="37" t="str">
        <f>'[13]Table 10 CWTs exp'!F50</f>
        <v>Fall</v>
      </c>
      <c r="G50" s="144">
        <f>IF('[13]Table 10 CWTs exp'!G50/'[13]Table 10 CWTs exp'!$Z50&gt;0,'[13]Table 10 CWTs exp'!G50/'[13]Table 10 CWTs exp'!$Z50," ")</f>
        <v>5.20632472040108E-3</v>
      </c>
      <c r="H50" s="145">
        <f>IF('[13]Table 10 CWTs exp'!H50/'[13]Table 10 CWTs exp'!$Z50&gt;0,'[13]Table 10 CWTs exp'!H50/'[13]Table 10 CWTs exp'!$Z50," ")</f>
        <v>2.6224450443501735E-2</v>
      </c>
      <c r="I50" s="146">
        <f>IF('[13]Table 10 CWTs exp'!I50/'[13]Table 10 CWTs exp'!$Z50&gt;0,'[13]Table 10 CWTs exp'!I50/'[13]Table 10 CWTs exp'!$Z50," ")</f>
        <v>2.082529888160432E-2</v>
      </c>
      <c r="J50" s="144" t="str">
        <f>IF('[13]Table 10 CWTs exp'!J50/'[13]Table 10 CWTs exp'!$Z50&gt;0,'[13]Table 10 CWTs exp'!J50/'[13]Table 10 CWTs exp'!$Z50," ")</f>
        <v xml:space="preserve"> </v>
      </c>
      <c r="K50" s="144">
        <f>IF('[13]Table 10 CWTs exp'!K50/'[13]Table 10 CWTs exp'!$Z50&gt;0,'[13]Table 10 CWTs exp'!K50/'[13]Table 10 CWTs exp'!$Z50," ")</f>
        <v>5.20632472040108E-3</v>
      </c>
      <c r="L50" s="144">
        <f>IF('[13]Table 10 CWTs exp'!L50/'[13]Table 10 CWTs exp'!$Z50&gt;0,'[13]Table 10 CWTs exp'!L50/'[13]Table 10 CWTs exp'!$Z50," ")</f>
        <v>0.35017354415734669</v>
      </c>
      <c r="M50" s="146">
        <f>IF('[13]Table 10 CWTs exp'!M50/'[13]Table 10 CWTs exp'!$Z50&gt;0,'[13]Table 10 CWTs exp'!M50/'[13]Table 10 CWTs exp'!$Z50," ")</f>
        <v>0.10335518704203625</v>
      </c>
      <c r="N50" s="144" t="str">
        <f>IF('[13]Table 10 CWTs exp'!N50/'[13]Table 10 CWTs exp'!$Z50&gt;0,'[13]Table 10 CWTs exp'!N50/'[13]Table 10 CWTs exp'!$Z50," ")</f>
        <v xml:space="preserve"> </v>
      </c>
      <c r="O50" s="146">
        <f>IF('[13]Table 10 CWTs exp'!O50/'[13]Table 10 CWTs exp'!$Z50&gt;0,'[13]Table 10 CWTs exp'!O50/'[13]Table 10 CWTs exp'!$Z50," ")</f>
        <v>0.22792132664866949</v>
      </c>
      <c r="P50" s="144" t="str">
        <f>IF('[13]Table 10 CWTs exp'!P50/'[13]Table 10 CWTs exp'!$Z50&gt;0,'[13]Table 10 CWTs exp'!P50/'[13]Table 10 CWTs exp'!$Z50," ")</f>
        <v xml:space="preserve"> </v>
      </c>
      <c r="Q50" s="144">
        <f>IF('[13]Table 10 CWTs exp'!Q50/'[13]Table 10 CWTs exp'!$Z50&gt;0,'[13]Table 10 CWTs exp'!Q50/'[13]Table 10 CWTs exp'!$Z50," ")</f>
        <v>2.6031623602005401E-2</v>
      </c>
      <c r="R50" s="144">
        <f>IF('[13]Table 10 CWTs exp'!R50/'[13]Table 10 CWTs exp'!$Z50&gt;0,'[13]Table 10 CWTs exp'!R50/'[13]Table 10 CWTs exp'!$Z50," ")</f>
        <v>1.041264944080216E-2</v>
      </c>
      <c r="S50" s="146">
        <f>IF('[13]Table 10 CWTs exp'!S50/'[13]Table 10 CWTs exp'!$Z50&gt;0,'[13]Table 10 CWTs exp'!S50/'[13]Table 10 CWTs exp'!$Z50," ")</f>
        <v>2.0632472040107982E-2</v>
      </c>
      <c r="T50" s="144" t="str">
        <f>IF('[13]Table 10 CWTs exp'!T50/'[13]Table 10 CWTs exp'!$Z50&gt;0,'[13]Table 10 CWTs exp'!T50/'[13]Table 10 CWTs exp'!$Z50," ")</f>
        <v xml:space="preserve"> </v>
      </c>
      <c r="U50" s="146">
        <f>IF('[13]Table 10 CWTs exp'!U50/'[13]Table 10 CWTs exp'!$Z50&gt;0,'[13]Table 10 CWTs exp'!U50/'[13]Table 10 CWTs exp'!$Z50," ")</f>
        <v>2.7574238333976091E-2</v>
      </c>
      <c r="V50" s="146" t="str">
        <f>IF('[13]Table 10 CWTs exp'!V50/'[13]Table 10 CWTs exp'!$Z50&gt;0,'[13]Table 10 CWTs exp'!V50/'[13]Table 10 CWTs exp'!$Z50," ")</f>
        <v xml:space="preserve"> </v>
      </c>
      <c r="W50" s="144" t="str">
        <f>IF('[13]Table 10 CWTs exp'!W50/'[13]Table 10 CWTs exp'!$Z50&gt;0,'[13]Table 10 CWTs exp'!W50/'[13]Table 10 CWTs exp'!$Z50," ")</f>
        <v xml:space="preserve"> </v>
      </c>
      <c r="X50" s="147">
        <f t="shared" ref="X50:X55" si="9">SUM(G50:W50)</f>
        <v>0.82356344003085225</v>
      </c>
      <c r="Y50" s="148">
        <f t="shared" ref="Y50:Y55" si="10">1-X50</f>
        <v>0.17643655996914775</v>
      </c>
      <c r="Z50" s="38">
        <f>'[13]Table 10 CWTs exp'!Z50</f>
        <v>5186</v>
      </c>
      <c r="AB50" s="592">
        <f>'[13]Table 10 CWTs exp'!AC50</f>
        <v>0.82399999999999995</v>
      </c>
      <c r="AC50" s="592">
        <f t="shared" si="3"/>
        <v>-4.3655996914770956E-4</v>
      </c>
      <c r="AD50" s="593" t="str">
        <f t="shared" si="8"/>
        <v>LSAC463</v>
      </c>
      <c r="AE50" s="442"/>
      <c r="AF50" s="442"/>
      <c r="AG50" s="648"/>
      <c r="AH50" s="454"/>
      <c r="AI50" s="442"/>
      <c r="AJ50" s="442"/>
    </row>
    <row r="51" spans="1:36" ht="14.25" customHeight="1" x14ac:dyDescent="0.25">
      <c r="A51" t="str">
        <f>'[13]Table 10 CWTs exp'!A51</f>
        <v>FEA463</v>
      </c>
      <c r="B51" s="4" t="str">
        <f>'[13]Table 10 CWTs exp'!B51</f>
        <v>FEA</v>
      </c>
      <c r="C51" s="4">
        <f>'[13]Table 10 CWTs exp'!C51</f>
        <v>46</v>
      </c>
      <c r="D51" s="4">
        <f>'[13]Table 10 CWTs exp'!D51</f>
        <v>3</v>
      </c>
      <c r="E51" t="str">
        <f>'[13]Table 10 CWTs exp'!E51</f>
        <v xml:space="preserve">Feather River </v>
      </c>
      <c r="F51" s="37" t="str">
        <f>'[13]Table 10 CWTs exp'!F51</f>
        <v>Fall</v>
      </c>
      <c r="G51" s="144" t="str">
        <f>IF('[13]Table 10 CWTs exp'!G51/'[13]Table 10 CWTs exp'!$Z51&gt;0,'[13]Table 10 CWTs exp'!G51/'[13]Table 10 CWTs exp'!$Z51," ")</f>
        <v xml:space="preserve"> </v>
      </c>
      <c r="H51" s="145" t="str">
        <f>IF('[13]Table 10 CWTs exp'!H51/'[13]Table 10 CWTs exp'!$Z51&gt;0,'[13]Table 10 CWTs exp'!H51/'[13]Table 10 CWTs exp'!$Z51," ")</f>
        <v xml:space="preserve"> </v>
      </c>
      <c r="I51" s="146" t="str">
        <f>IF('[13]Table 10 CWTs exp'!I51/'[13]Table 10 CWTs exp'!$Z51&gt;0,'[13]Table 10 CWTs exp'!I51/'[13]Table 10 CWTs exp'!$Z51," ")</f>
        <v xml:space="preserve"> </v>
      </c>
      <c r="J51" s="144">
        <f>IF('[13]Table 10 CWTs exp'!J51/'[13]Table 10 CWTs exp'!$Z51&gt;0,'[13]Table 10 CWTs exp'!J51/'[13]Table 10 CWTs exp'!$Z51," ")</f>
        <v>6.413301662707839E-2</v>
      </c>
      <c r="K51" s="144">
        <f>IF('[13]Table 10 CWTs exp'!K51/'[13]Table 10 CWTs exp'!$Z51&gt;0,'[13]Table 10 CWTs exp'!K51/'[13]Table 10 CWTs exp'!$Z51," ")</f>
        <v>1.2767220902612826E-2</v>
      </c>
      <c r="L51" s="144">
        <f>IF('[13]Table 10 CWTs exp'!L51/'[13]Table 10 CWTs exp'!$Z51&gt;0,'[13]Table 10 CWTs exp'!L51/'[13]Table 10 CWTs exp'!$Z51," ")</f>
        <v>0.38271971496437057</v>
      </c>
      <c r="M51" s="146">
        <f>IF('[13]Table 10 CWTs exp'!M51/'[13]Table 10 CWTs exp'!$Z51&gt;0,'[13]Table 10 CWTs exp'!M51/'[13]Table 10 CWTs exp'!$Z51," ")</f>
        <v>0.23129453681710213</v>
      </c>
      <c r="N51" s="144" t="str">
        <f>IF('[13]Table 10 CWTs exp'!N51/'[13]Table 10 CWTs exp'!$Z51&gt;0,'[13]Table 10 CWTs exp'!N51/'[13]Table 10 CWTs exp'!$Z51," ")</f>
        <v xml:space="preserve"> </v>
      </c>
      <c r="O51" s="146" t="str">
        <f>IF('[13]Table 10 CWTs exp'!O51/'[13]Table 10 CWTs exp'!$Z51&gt;0,'[13]Table 10 CWTs exp'!O51/'[13]Table 10 CWTs exp'!$Z51," ")</f>
        <v xml:space="preserve"> </v>
      </c>
      <c r="P51" s="144" t="str">
        <f>IF('[13]Table 10 CWTs exp'!P51/'[13]Table 10 CWTs exp'!$Z51&gt;0,'[13]Table 10 CWTs exp'!P51/'[13]Table 10 CWTs exp'!$Z51," ")</f>
        <v xml:space="preserve"> </v>
      </c>
      <c r="Q51" s="144" t="str">
        <f>IF('[13]Table 10 CWTs exp'!Q51/'[13]Table 10 CWTs exp'!$Z51&gt;0,'[13]Table 10 CWTs exp'!Q51/'[13]Table 10 CWTs exp'!$Z51," ")</f>
        <v xml:space="preserve"> </v>
      </c>
      <c r="R51" s="144">
        <f>IF('[13]Table 10 CWTs exp'!R51/'[13]Table 10 CWTs exp'!$Z51&gt;0,'[13]Table 10 CWTs exp'!R51/'[13]Table 10 CWTs exp'!$Z51," ")</f>
        <v>3.2660332541567696E-3</v>
      </c>
      <c r="S51" s="146" t="str">
        <f>IF('[13]Table 10 CWTs exp'!S51/'[13]Table 10 CWTs exp'!$Z51&gt;0,'[13]Table 10 CWTs exp'!S51/'[13]Table 10 CWTs exp'!$Z51," ")</f>
        <v xml:space="preserve"> </v>
      </c>
      <c r="T51" s="144" t="str">
        <f>IF('[13]Table 10 CWTs exp'!T51/'[13]Table 10 CWTs exp'!$Z51&gt;0,'[13]Table 10 CWTs exp'!T51/'[13]Table 10 CWTs exp'!$Z51," ")</f>
        <v xml:space="preserve"> </v>
      </c>
      <c r="U51" s="146" t="str">
        <f>IF('[13]Table 10 CWTs exp'!U51/'[13]Table 10 CWTs exp'!$Z51&gt;0,'[13]Table 10 CWTs exp'!U51/'[13]Table 10 CWTs exp'!$Z51," ")</f>
        <v xml:space="preserve"> </v>
      </c>
      <c r="V51" s="146" t="str">
        <f>IF('[13]Table 10 CWTs exp'!V51/'[13]Table 10 CWTs exp'!$Z51&gt;0,'[13]Table 10 CWTs exp'!V51/'[13]Table 10 CWTs exp'!$Z51," ")</f>
        <v xml:space="preserve"> </v>
      </c>
      <c r="W51" s="144" t="str">
        <f>IF('[13]Table 10 CWTs exp'!W51/'[13]Table 10 CWTs exp'!$Z51&gt;0,'[13]Table 10 CWTs exp'!W51/'[13]Table 10 CWTs exp'!$Z51," ")</f>
        <v xml:space="preserve"> </v>
      </c>
      <c r="X51" s="147">
        <f t="shared" si="9"/>
        <v>0.6941805225653207</v>
      </c>
      <c r="Y51" s="148">
        <f t="shared" si="10"/>
        <v>0.3058194774346793</v>
      </c>
      <c r="Z51" s="38">
        <f>'[13]Table 10 CWTs exp'!Z51</f>
        <v>3368</v>
      </c>
      <c r="AB51" s="592">
        <f>'[13]Table 10 CWTs exp'!AC51</f>
        <v>0.69399999999999995</v>
      </c>
      <c r="AC51" s="592">
        <f t="shared" si="3"/>
        <v>1.8052256532075095E-4</v>
      </c>
      <c r="AD51" s="593" t="str">
        <f t="shared" si="8"/>
        <v>FEA463</v>
      </c>
      <c r="AE51" s="442"/>
      <c r="AF51" s="442"/>
      <c r="AG51" s="648"/>
      <c r="AH51" s="454"/>
      <c r="AI51" s="442"/>
      <c r="AJ51" s="442"/>
    </row>
    <row r="52" spans="1:36" ht="14.25" customHeight="1" x14ac:dyDescent="0.25">
      <c r="A52" t="str">
        <f>'[13]Table 10 CWTs exp'!A52</f>
        <v>AMN463</v>
      </c>
      <c r="B52" s="4" t="str">
        <f>'[13]Table 10 CWTs exp'!B52</f>
        <v>AMN</v>
      </c>
      <c r="C52" s="4">
        <f>'[13]Table 10 CWTs exp'!C52</f>
        <v>46</v>
      </c>
      <c r="D52" s="4">
        <f>'[13]Table 10 CWTs exp'!D52</f>
        <v>3</v>
      </c>
      <c r="E52" t="str">
        <f>'[13]Table 10 CWTs exp'!E52</f>
        <v xml:space="preserve">American River </v>
      </c>
      <c r="F52" s="37" t="str">
        <f>'[13]Table 10 CWTs exp'!F52</f>
        <v>Fall</v>
      </c>
      <c r="G52" s="144" t="str">
        <f>IF('[13]Table 10 CWTs exp'!G52/'[13]Table 10 CWTs exp'!$Z52&gt;0,'[13]Table 10 CWTs exp'!G52/'[13]Table 10 CWTs exp'!$Z52," ")</f>
        <v xml:space="preserve"> </v>
      </c>
      <c r="H52" s="145" t="str">
        <f>IF('[13]Table 10 CWTs exp'!H52/'[13]Table 10 CWTs exp'!$Z52&gt;0,'[13]Table 10 CWTs exp'!H52/'[13]Table 10 CWTs exp'!$Z52," ")</f>
        <v xml:space="preserve"> </v>
      </c>
      <c r="I52" s="146" t="str">
        <f>IF('[13]Table 10 CWTs exp'!I52/'[13]Table 10 CWTs exp'!$Z52&gt;0,'[13]Table 10 CWTs exp'!I52/'[13]Table 10 CWTs exp'!$Z52," ")</f>
        <v xml:space="preserve"> </v>
      </c>
      <c r="J52" s="144" t="str">
        <f>IF('[13]Table 10 CWTs exp'!J52/'[13]Table 10 CWTs exp'!$Z52&gt;0,'[13]Table 10 CWTs exp'!J52/'[13]Table 10 CWTs exp'!$Z52," ")</f>
        <v xml:space="preserve"> </v>
      </c>
      <c r="K52" s="144" t="str">
        <f>IF('[13]Table 10 CWTs exp'!K52/'[13]Table 10 CWTs exp'!$Z52&gt;0,'[13]Table 10 CWTs exp'!K52/'[13]Table 10 CWTs exp'!$Z52," ")</f>
        <v xml:space="preserve"> </v>
      </c>
      <c r="L52" s="144" t="str">
        <f>IF('[13]Table 10 CWTs exp'!L52/'[13]Table 10 CWTs exp'!$Z52&gt;0,'[13]Table 10 CWTs exp'!L52/'[13]Table 10 CWTs exp'!$Z52," ")</f>
        <v xml:space="preserve"> </v>
      </c>
      <c r="M52" s="146">
        <f>IF('[13]Table 10 CWTs exp'!M52/'[13]Table 10 CWTs exp'!$Z52&gt;0,'[13]Table 10 CWTs exp'!M52/'[13]Table 10 CWTs exp'!$Z52," ")</f>
        <v>4.7595682041216877E-2</v>
      </c>
      <c r="N52" s="144" t="str">
        <f>IF('[13]Table 10 CWTs exp'!N52/'[13]Table 10 CWTs exp'!$Z52&gt;0,'[13]Table 10 CWTs exp'!N52/'[13]Table 10 CWTs exp'!$Z52," ")</f>
        <v xml:space="preserve"> </v>
      </c>
      <c r="O52" s="146">
        <f>IF('[13]Table 10 CWTs exp'!O52/'[13]Table 10 CWTs exp'!$Z52&gt;0,'[13]Table 10 CWTs exp'!O52/'[13]Table 10 CWTs exp'!$Z52," ")</f>
        <v>0.2365063788027478</v>
      </c>
      <c r="P52" s="144" t="str">
        <f>IF('[13]Table 10 CWTs exp'!P52/'[13]Table 10 CWTs exp'!$Z52&gt;0,'[13]Table 10 CWTs exp'!P52/'[13]Table 10 CWTs exp'!$Z52," ")</f>
        <v xml:space="preserve"> </v>
      </c>
      <c r="Q52" s="144">
        <f>IF('[13]Table 10 CWTs exp'!Q52/'[13]Table 10 CWTs exp'!$Z52&gt;0,'[13]Table 10 CWTs exp'!Q52/'[13]Table 10 CWTs exp'!$Z52," ")</f>
        <v>0.14180569185475958</v>
      </c>
      <c r="R52" s="144">
        <f>IF('[13]Table 10 CWTs exp'!R52/'[13]Table 10 CWTs exp'!$Z52&gt;0,'[13]Table 10 CWTs exp'!R52/'[13]Table 10 CWTs exp'!$Z52," ")</f>
        <v>9.5682041216879288E-2</v>
      </c>
      <c r="S52" s="146" t="str">
        <f>IF('[13]Table 10 CWTs exp'!S52/'[13]Table 10 CWTs exp'!$Z52&gt;0,'[13]Table 10 CWTs exp'!S52/'[13]Table 10 CWTs exp'!$Z52," ")</f>
        <v xml:space="preserve"> </v>
      </c>
      <c r="T52" s="144" t="str">
        <f>IF('[13]Table 10 CWTs exp'!T52/'[13]Table 10 CWTs exp'!$Z52&gt;0,'[13]Table 10 CWTs exp'!T52/'[13]Table 10 CWTs exp'!$Z52," ")</f>
        <v xml:space="preserve"> </v>
      </c>
      <c r="U52" s="146" t="str">
        <f>IF('[13]Table 10 CWTs exp'!U52/'[13]Table 10 CWTs exp'!$Z52&gt;0,'[13]Table 10 CWTs exp'!U52/'[13]Table 10 CWTs exp'!$Z52," ")</f>
        <v xml:space="preserve"> </v>
      </c>
      <c r="V52" s="146" t="str">
        <f>IF('[13]Table 10 CWTs exp'!V52/'[13]Table 10 CWTs exp'!$Z52&gt;0,'[13]Table 10 CWTs exp'!V52/'[13]Table 10 CWTs exp'!$Z52," ")</f>
        <v xml:space="preserve"> </v>
      </c>
      <c r="W52" s="144" t="str">
        <f>IF('[13]Table 10 CWTs exp'!W52/'[13]Table 10 CWTs exp'!$Z52&gt;0,'[13]Table 10 CWTs exp'!W52/'[13]Table 10 CWTs exp'!$Z52," ")</f>
        <v xml:space="preserve"> </v>
      </c>
      <c r="X52" s="147">
        <f t="shared" si="9"/>
        <v>0.52158979391560356</v>
      </c>
      <c r="Y52" s="148">
        <f t="shared" si="10"/>
        <v>0.47841020608439644</v>
      </c>
      <c r="Z52" s="38">
        <f>'[13]Table 10 CWTs exp'!Z52</f>
        <v>2038</v>
      </c>
      <c r="AB52" s="592">
        <f>'[13]Table 10 CWTs exp'!AC52</f>
        <v>0.52200000000000002</v>
      </c>
      <c r="AC52" s="592">
        <f t="shared" si="3"/>
        <v>-4.1020608439645834E-4</v>
      </c>
      <c r="AD52" s="593" t="str">
        <f t="shared" si="8"/>
        <v>AMN463</v>
      </c>
      <c r="AE52" s="442"/>
      <c r="AF52" s="442"/>
      <c r="AG52" s="648"/>
      <c r="AH52" s="454"/>
      <c r="AI52" s="442"/>
      <c r="AJ52" s="442"/>
    </row>
    <row r="53" spans="1:36" ht="14.25" customHeight="1" x14ac:dyDescent="0.25">
      <c r="A53" t="str">
        <f>'[13]Table 10 CWTs exp'!A53</f>
        <v>MOKE463</v>
      </c>
      <c r="B53" s="4" t="str">
        <f>'[13]Table 10 CWTs exp'!B53</f>
        <v>MOKE</v>
      </c>
      <c r="C53" s="4">
        <f>'[13]Table 10 CWTs exp'!C53</f>
        <v>46</v>
      </c>
      <c r="D53" s="4">
        <f>'[13]Table 10 CWTs exp'!D53</f>
        <v>3</v>
      </c>
      <c r="E53" t="str">
        <f>'[13]Table 10 CWTs exp'!E53</f>
        <v>Mokelumne River</v>
      </c>
      <c r="F53" s="37" t="str">
        <f>'[13]Table 10 CWTs exp'!F53</f>
        <v>Fall</v>
      </c>
      <c r="G53" s="144" t="str">
        <f>IF('[13]Table 10 CWTs exp'!G53/'[13]Table 10 CWTs exp'!$Z53&gt;0,'[13]Table 10 CWTs exp'!G53/'[13]Table 10 CWTs exp'!$Z53," ")</f>
        <v xml:space="preserve"> </v>
      </c>
      <c r="H53" s="145" t="str">
        <f>IF('[13]Table 10 CWTs exp'!H53/'[13]Table 10 CWTs exp'!$Z53&gt;0,'[13]Table 10 CWTs exp'!H53/'[13]Table 10 CWTs exp'!$Z53," ")</f>
        <v xml:space="preserve"> </v>
      </c>
      <c r="I53" s="146" t="str">
        <f>IF('[13]Table 10 CWTs exp'!I53/'[13]Table 10 CWTs exp'!$Z53&gt;0,'[13]Table 10 CWTs exp'!I53/'[13]Table 10 CWTs exp'!$Z53," ")</f>
        <v xml:space="preserve"> </v>
      </c>
      <c r="J53" s="144" t="str">
        <f>IF('[13]Table 10 CWTs exp'!J53/'[13]Table 10 CWTs exp'!$Z53&gt;0,'[13]Table 10 CWTs exp'!J53/'[13]Table 10 CWTs exp'!$Z53," ")</f>
        <v xml:space="preserve"> </v>
      </c>
      <c r="K53" s="144" t="str">
        <f>IF('[13]Table 10 CWTs exp'!K53/'[13]Table 10 CWTs exp'!$Z53&gt;0,'[13]Table 10 CWTs exp'!K53/'[13]Table 10 CWTs exp'!$Z53," ")</f>
        <v xml:space="preserve"> </v>
      </c>
      <c r="L53" s="144" t="str">
        <f>IF('[13]Table 10 CWTs exp'!L53/'[13]Table 10 CWTs exp'!$Z53&gt;0,'[13]Table 10 CWTs exp'!L53/'[13]Table 10 CWTs exp'!$Z53," ")</f>
        <v xml:space="preserve"> </v>
      </c>
      <c r="M53" s="146" t="str">
        <f>IF('[13]Table 10 CWTs exp'!M53/'[13]Table 10 CWTs exp'!$Z53&gt;0,'[13]Table 10 CWTs exp'!M53/'[13]Table 10 CWTs exp'!$Z53," ")</f>
        <v xml:space="preserve"> </v>
      </c>
      <c r="N53" s="144" t="str">
        <f>IF('[13]Table 10 CWTs exp'!N53/'[13]Table 10 CWTs exp'!$Z53&gt;0,'[13]Table 10 CWTs exp'!N53/'[13]Table 10 CWTs exp'!$Z53," ")</f>
        <v xml:space="preserve"> </v>
      </c>
      <c r="O53" s="146" t="str">
        <f>IF('[13]Table 10 CWTs exp'!O53/'[13]Table 10 CWTs exp'!$Z53&gt;0,'[13]Table 10 CWTs exp'!O53/'[13]Table 10 CWTs exp'!$Z53," ")</f>
        <v xml:space="preserve"> </v>
      </c>
      <c r="P53" s="144" t="str">
        <f>IF('[13]Table 10 CWTs exp'!P53/'[13]Table 10 CWTs exp'!$Z53&gt;0,'[13]Table 10 CWTs exp'!P53/'[13]Table 10 CWTs exp'!$Z53," ")</f>
        <v xml:space="preserve"> </v>
      </c>
      <c r="Q53" s="144">
        <f>IF('[13]Table 10 CWTs exp'!Q53/'[13]Table 10 CWTs exp'!$Z53&gt;0,'[13]Table 10 CWTs exp'!Q53/'[13]Table 10 CWTs exp'!$Z53," ")</f>
        <v>0.53551912568306015</v>
      </c>
      <c r="R53" s="144">
        <f>IF('[13]Table 10 CWTs exp'!R53/'[13]Table 10 CWTs exp'!$Z53&gt;0,'[13]Table 10 CWTs exp'!R53/'[13]Table 10 CWTs exp'!$Z53," ")</f>
        <v>6.5573770491803282E-2</v>
      </c>
      <c r="S53" s="146" t="str">
        <f>IF('[13]Table 10 CWTs exp'!S53/'[13]Table 10 CWTs exp'!$Z53&gt;0,'[13]Table 10 CWTs exp'!S53/'[13]Table 10 CWTs exp'!$Z53," ")</f>
        <v xml:space="preserve"> </v>
      </c>
      <c r="T53" s="144" t="str">
        <f>IF('[13]Table 10 CWTs exp'!T53/'[13]Table 10 CWTs exp'!$Z53&gt;0,'[13]Table 10 CWTs exp'!T53/'[13]Table 10 CWTs exp'!$Z53," ")</f>
        <v xml:space="preserve"> </v>
      </c>
      <c r="U53" s="146" t="str">
        <f>IF('[13]Table 10 CWTs exp'!U53/'[13]Table 10 CWTs exp'!$Z53&gt;0,'[13]Table 10 CWTs exp'!U53/'[13]Table 10 CWTs exp'!$Z53," ")</f>
        <v xml:space="preserve"> </v>
      </c>
      <c r="V53" s="146" t="str">
        <f>IF('[13]Table 10 CWTs exp'!V53/'[13]Table 10 CWTs exp'!$Z53&gt;0,'[13]Table 10 CWTs exp'!V53/'[13]Table 10 CWTs exp'!$Z53," ")</f>
        <v xml:space="preserve"> </v>
      </c>
      <c r="W53" s="144" t="str">
        <f>IF('[13]Table 10 CWTs exp'!W53/'[13]Table 10 CWTs exp'!$Z53&gt;0,'[13]Table 10 CWTs exp'!W53/'[13]Table 10 CWTs exp'!$Z53," ")</f>
        <v xml:space="preserve"> </v>
      </c>
      <c r="X53" s="147">
        <f t="shared" si="9"/>
        <v>0.60109289617486339</v>
      </c>
      <c r="Y53" s="148">
        <f t="shared" si="10"/>
        <v>0.39890710382513661</v>
      </c>
      <c r="Z53" s="38">
        <f>'[13]Table 10 CWTs exp'!Z53</f>
        <v>183</v>
      </c>
      <c r="AB53" s="592">
        <f>'[13]Table 10 CWTs exp'!AC53</f>
        <v>0.60099999999999998</v>
      </c>
      <c r="AC53" s="592">
        <f t="shared" si="3"/>
        <v>9.2896174863410508E-5</v>
      </c>
      <c r="AD53" s="593" t="str">
        <f t="shared" si="8"/>
        <v>MOKE463</v>
      </c>
      <c r="AE53" s="442"/>
      <c r="AF53" s="442"/>
      <c r="AG53" s="648"/>
      <c r="AH53" s="454"/>
      <c r="AI53" s="442"/>
      <c r="AJ53" s="442"/>
    </row>
    <row r="54" spans="1:36" ht="14.25" customHeight="1" x14ac:dyDescent="0.25">
      <c r="A54" t="str">
        <f>'[13]Table 10 CWTs exp'!A54</f>
        <v>USAC467</v>
      </c>
      <c r="B54" s="4" t="str">
        <f>'[13]Table 10 CWTs exp'!B54</f>
        <v>USAC</v>
      </c>
      <c r="C54" s="4">
        <f>'[13]Table 10 CWTs exp'!C54</f>
        <v>46</v>
      </c>
      <c r="D54" s="4">
        <f>'[13]Table 10 CWTs exp'!D54</f>
        <v>7</v>
      </c>
      <c r="E54" t="str">
        <f>'[13]Table 10 CWTs exp'!E54</f>
        <v xml:space="preserve">Upper Sacramento River </v>
      </c>
      <c r="F54" s="37" t="s">
        <v>49</v>
      </c>
      <c r="G54" s="144">
        <f>IF('[13]Table 10 CWTs exp'!G54/'[13]Table 10 CWTs exp'!$Z54&gt;0,'[13]Table 10 CWTs exp'!G54/'[13]Table 10 CWTs exp'!$Z54," ")</f>
        <v>0.1004566210045662</v>
      </c>
      <c r="H54" s="145">
        <f>IF('[13]Table 10 CWTs exp'!H54/'[13]Table 10 CWTs exp'!$Z54&gt;0,'[13]Table 10 CWTs exp'!H54/'[13]Table 10 CWTs exp'!$Z54," ")</f>
        <v>0.54109589041095896</v>
      </c>
      <c r="I54" s="146" t="str">
        <f>IF('[13]Table 10 CWTs exp'!I54/'[13]Table 10 CWTs exp'!$Z54&gt;0,'[13]Table 10 CWTs exp'!I54/'[13]Table 10 CWTs exp'!$Z54," ")</f>
        <v xml:space="preserve"> </v>
      </c>
      <c r="J54" s="144" t="str">
        <f>IF('[13]Table 10 CWTs exp'!J54/'[13]Table 10 CWTs exp'!$Z54&gt;0,'[13]Table 10 CWTs exp'!J54/'[13]Table 10 CWTs exp'!$Z54," ")</f>
        <v xml:space="preserve"> </v>
      </c>
      <c r="K54" s="144" t="str">
        <f>IF('[13]Table 10 CWTs exp'!K54/'[13]Table 10 CWTs exp'!$Z54&gt;0,'[13]Table 10 CWTs exp'!K54/'[13]Table 10 CWTs exp'!$Z54," ")</f>
        <v xml:space="preserve"> </v>
      </c>
      <c r="L54" s="144" t="str">
        <f>IF('[13]Table 10 CWTs exp'!L54/'[13]Table 10 CWTs exp'!$Z54&gt;0,'[13]Table 10 CWTs exp'!L54/'[13]Table 10 CWTs exp'!$Z54," ")</f>
        <v xml:space="preserve"> </v>
      </c>
      <c r="M54" s="146" t="str">
        <f>IF('[13]Table 10 CWTs exp'!M54/'[13]Table 10 CWTs exp'!$Z54&gt;0,'[13]Table 10 CWTs exp'!M54/'[13]Table 10 CWTs exp'!$Z54," ")</f>
        <v xml:space="preserve"> </v>
      </c>
      <c r="N54" s="144" t="str">
        <f>IF('[13]Table 10 CWTs exp'!N54/'[13]Table 10 CWTs exp'!$Z54&gt;0,'[13]Table 10 CWTs exp'!N54/'[13]Table 10 CWTs exp'!$Z54," ")</f>
        <v xml:space="preserve"> </v>
      </c>
      <c r="O54" s="146" t="str">
        <f>IF('[13]Table 10 CWTs exp'!O54/'[13]Table 10 CWTs exp'!$Z54&gt;0,'[13]Table 10 CWTs exp'!O54/'[13]Table 10 CWTs exp'!$Z54," ")</f>
        <v xml:space="preserve"> </v>
      </c>
      <c r="P54" s="144" t="str">
        <f>IF('[13]Table 10 CWTs exp'!P54/'[13]Table 10 CWTs exp'!$Z54&gt;0,'[13]Table 10 CWTs exp'!P54/'[13]Table 10 CWTs exp'!$Z54," ")</f>
        <v xml:space="preserve"> </v>
      </c>
      <c r="Q54" s="144" t="str">
        <f>IF('[13]Table 10 CWTs exp'!Q54/'[13]Table 10 CWTs exp'!$Z54&gt;0,'[13]Table 10 CWTs exp'!Q54/'[13]Table 10 CWTs exp'!$Z54," ")</f>
        <v xml:space="preserve"> </v>
      </c>
      <c r="R54" s="144" t="str">
        <f>IF('[13]Table 10 CWTs exp'!R54/'[13]Table 10 CWTs exp'!$Z54&gt;0,'[13]Table 10 CWTs exp'!R54/'[13]Table 10 CWTs exp'!$Z54," ")</f>
        <v xml:space="preserve"> </v>
      </c>
      <c r="S54" s="146" t="str">
        <f>IF('[13]Table 10 CWTs exp'!S54/'[13]Table 10 CWTs exp'!$Z54&gt;0,'[13]Table 10 CWTs exp'!S54/'[13]Table 10 CWTs exp'!$Z54," ")</f>
        <v xml:space="preserve"> </v>
      </c>
      <c r="T54" s="144" t="str">
        <f>IF('[13]Table 10 CWTs exp'!T54/'[13]Table 10 CWTs exp'!$Z54&gt;0,'[13]Table 10 CWTs exp'!T54/'[13]Table 10 CWTs exp'!$Z54," ")</f>
        <v xml:space="preserve"> </v>
      </c>
      <c r="U54" s="146" t="str">
        <f>IF('[13]Table 10 CWTs exp'!U54/'[13]Table 10 CWTs exp'!$Z54&gt;0,'[13]Table 10 CWTs exp'!U54/'[13]Table 10 CWTs exp'!$Z54," ")</f>
        <v xml:space="preserve"> </v>
      </c>
      <c r="V54" s="146" t="str">
        <f>IF('[13]Table 10 CWTs exp'!V54/'[13]Table 10 CWTs exp'!$Z54&gt;0,'[13]Table 10 CWTs exp'!V54/'[13]Table 10 CWTs exp'!$Z54," ")</f>
        <v xml:space="preserve"> </v>
      </c>
      <c r="W54" s="144" t="str">
        <f>IF('[13]Table 10 CWTs exp'!W54/'[13]Table 10 CWTs exp'!$Z54&gt;0,'[13]Table 10 CWTs exp'!W54/'[13]Table 10 CWTs exp'!$Z54," ")</f>
        <v xml:space="preserve"> </v>
      </c>
      <c r="X54" s="147">
        <f t="shared" si="9"/>
        <v>0.64155251141552516</v>
      </c>
      <c r="Y54" s="148">
        <f t="shared" si="10"/>
        <v>0.35844748858447484</v>
      </c>
      <c r="Z54" s="38">
        <f>'[13]Table 10 CWTs exp'!Z54</f>
        <v>438</v>
      </c>
      <c r="AB54" s="592">
        <f>'[13]Table 10 CWTs exp'!AC54</f>
        <v>0.64200000000000002</v>
      </c>
      <c r="AC54" s="592">
        <f t="shared" si="3"/>
        <v>-4.4748858447485329E-4</v>
      </c>
      <c r="AD54" s="593" t="str">
        <f t="shared" si="8"/>
        <v>USAC467</v>
      </c>
      <c r="AE54" s="442"/>
      <c r="AF54" s="442"/>
      <c r="AG54" s="648"/>
      <c r="AH54" s="454"/>
      <c r="AI54" s="442"/>
      <c r="AJ54" s="442"/>
    </row>
    <row r="55" spans="1:36" ht="15.65" customHeight="1" x14ac:dyDescent="0.3">
      <c r="E55" s="716" t="s">
        <v>120</v>
      </c>
      <c r="F55" s="716"/>
      <c r="G55" s="168">
        <f>IF('[13]Table 10 CWTs exp'!G55/'[13]Table 10 CWTs exp'!$Z55&gt;0,'[13]Table 10 CWTs exp'!G55/'[13]Table 10 CWTs exp'!$Z55," ")</f>
        <v>4.9234784671965829E-3</v>
      </c>
      <c r="H55" s="169">
        <f>IF('[13]Table 10 CWTs exp'!H55/'[13]Table 10 CWTs exp'!$Z55&gt;0,'[13]Table 10 CWTs exp'!H55/'[13]Table 10 CWTs exp'!$Z55," ")</f>
        <v>2.2837821805670899E-2</v>
      </c>
      <c r="I55" s="170">
        <f>IF('[13]Table 10 CWTs exp'!I55/'[13]Table 10 CWTs exp'!$Z55&gt;0,'[13]Table 10 CWTs exp'!I55/'[13]Table 10 CWTs exp'!$Z55," ")</f>
        <v>0.22606477636730335</v>
      </c>
      <c r="J55" s="168">
        <f>IF('[13]Table 10 CWTs exp'!J55/'[13]Table 10 CWTs exp'!$Z55&gt;0,'[13]Table 10 CWTs exp'!J55/'[13]Table 10 CWTs exp'!$Z55," ")</f>
        <v>1.281290781824653E-2</v>
      </c>
      <c r="K55" s="168">
        <f>IF('[13]Table 10 CWTs exp'!K55/'[13]Table 10 CWTs exp'!$Z55&gt;0,'[13]Table 10 CWTs exp'!K55/'[13]Table 10 CWTs exp'!$Z55," ")</f>
        <v>4.1523312373947085E-3</v>
      </c>
      <c r="L55" s="168">
        <f>IF('[13]Table 10 CWTs exp'!L55/'[13]Table 10 CWTs exp'!$Z55&gt;0,'[13]Table 10 CWTs exp'!L55/'[13]Table 10 CWTs exp'!$Z55," ")</f>
        <v>0.21129434096571362</v>
      </c>
      <c r="M55" s="170">
        <f>IF('[13]Table 10 CWTs exp'!M55/'[13]Table 10 CWTs exp'!$Z55&gt;0,'[13]Table 10 CWTs exp'!M55/'[13]Table 10 CWTs exp'!$Z55," ")</f>
        <v>8.6487127773164071E-2</v>
      </c>
      <c r="N55" s="168" t="str">
        <f>IF('[13]Table 10 CWTs exp'!N55/'[13]Table 10 CWTs exp'!$Z55&gt;0,'[13]Table 10 CWTs exp'!N55/'[13]Table 10 CWTs exp'!$Z55," ")</f>
        <v xml:space="preserve"> </v>
      </c>
      <c r="O55" s="170">
        <f>IF('[13]Table 10 CWTs exp'!O55/'[13]Table 10 CWTs exp'!$Z55&gt;0,'[13]Table 10 CWTs exp'!O55/'[13]Table 10 CWTs exp'!$Z55," ")</f>
        <v>9.8706845414639935E-2</v>
      </c>
      <c r="P55" s="168" t="str">
        <f>IF('[13]Table 10 CWTs exp'!P55/'[13]Table 10 CWTs exp'!$Z55&gt;0,'[13]Table 10 CWTs exp'!P55/'[13]Table 10 CWTs exp'!$Z55," ")</f>
        <v xml:space="preserve"> </v>
      </c>
      <c r="Q55" s="168">
        <f>IF('[13]Table 10 CWTs exp'!Q55/'[13]Table 10 CWTs exp'!$Z55&gt;0,'[13]Table 10 CWTs exp'!Q55/'[13]Table 10 CWTs exp'!$Z55," ")</f>
        <v>3.0964527227429112E-2</v>
      </c>
      <c r="R55" s="168">
        <f>IF('[13]Table 10 CWTs exp'!R55/'[13]Table 10 CWTs exp'!$Z55&gt;0,'[13]Table 10 CWTs exp'!R55/'[13]Table 10 CWTs exp'!$Z55," ")</f>
        <v>1.6134772808162296E-2</v>
      </c>
      <c r="S55" s="170">
        <f>IF('[13]Table 10 CWTs exp'!S55/'[13]Table 10 CWTs exp'!$Z55&gt;0,'[13]Table 10 CWTs exp'!S55/'[13]Table 10 CWTs exp'!$Z55," ")</f>
        <v>6.347134891446198E-3</v>
      </c>
      <c r="T55" s="168" t="str">
        <f>IF('[13]Table 10 CWTs exp'!T55/'[13]Table 10 CWTs exp'!$Z55&gt;0,'[13]Table 10 CWTs exp'!T55/'[13]Table 10 CWTs exp'!$Z55," ")</f>
        <v xml:space="preserve"> </v>
      </c>
      <c r="U55" s="170">
        <f>IF('[13]Table 10 CWTs exp'!U55/'[13]Table 10 CWTs exp'!$Z55&gt;0,'[13]Table 10 CWTs exp'!U55/'[13]Table 10 CWTs exp'!$Z55," ")</f>
        <v>8.4826195278206191E-3</v>
      </c>
      <c r="V55" s="170" t="str">
        <f>IF('[13]Table 10 CWTs exp'!V55/'[13]Table 10 CWTs exp'!$Z55&gt;0,'[13]Table 10 CWTs exp'!V55/'[13]Table 10 CWTs exp'!$Z55," ")</f>
        <v xml:space="preserve"> </v>
      </c>
      <c r="W55" s="168" t="str">
        <f>IF('[13]Table 10 CWTs exp'!W55/'[13]Table 10 CWTs exp'!$Z55&gt;0,'[13]Table 10 CWTs exp'!W55/'[13]Table 10 CWTs exp'!$Z55," ")</f>
        <v xml:space="preserve"> </v>
      </c>
      <c r="X55" s="171">
        <f t="shared" si="9"/>
        <v>0.72920868430418795</v>
      </c>
      <c r="Y55" s="172">
        <f t="shared" si="10"/>
        <v>0.27079131569581205</v>
      </c>
      <c r="Z55" s="89">
        <f>'[13]Table 10 CWTs exp'!Z55</f>
        <v>16858</v>
      </c>
      <c r="AA55" s="159"/>
      <c r="AB55" s="592">
        <f>'[13]Table 10 CWTs exp'!AC55</f>
        <v>0.72920868430418795</v>
      </c>
      <c r="AC55" s="592">
        <f t="shared" si="3"/>
        <v>0</v>
      </c>
      <c r="AD55" s="442"/>
      <c r="AE55" s="442"/>
      <c r="AF55" s="442"/>
      <c r="AG55" s="648"/>
      <c r="AH55" s="454"/>
      <c r="AI55" s="442"/>
      <c r="AJ55" s="442"/>
    </row>
    <row r="56" spans="1:36" ht="4" customHeight="1" x14ac:dyDescent="0.25">
      <c r="E56" s="110"/>
      <c r="F56" s="111"/>
      <c r="G56" s="25"/>
      <c r="H56" s="174"/>
      <c r="I56" s="175"/>
      <c r="J56" s="175"/>
      <c r="K56" s="175"/>
      <c r="L56" s="175"/>
      <c r="M56" s="176"/>
      <c r="N56" s="175"/>
      <c r="O56" s="176"/>
      <c r="P56" s="175"/>
      <c r="Q56" s="175"/>
      <c r="R56" s="175"/>
      <c r="S56" s="176"/>
      <c r="T56" s="175"/>
      <c r="U56" s="176"/>
      <c r="V56" s="176"/>
      <c r="W56" s="175"/>
      <c r="X56" s="177"/>
      <c r="Y56" s="178"/>
      <c r="Z56" s="179"/>
      <c r="AB56" s="442"/>
      <c r="AC56" s="453"/>
      <c r="AD56" s="442"/>
      <c r="AE56" s="442"/>
      <c r="AF56" s="442"/>
      <c r="AG56" s="442"/>
      <c r="AH56" s="442"/>
      <c r="AI56" s="442"/>
      <c r="AJ56" s="442"/>
    </row>
    <row r="57" spans="1:36" ht="14.25" customHeight="1" x14ac:dyDescent="0.25">
      <c r="E57" s="181" t="s">
        <v>139</v>
      </c>
      <c r="F57" s="181"/>
      <c r="G57" s="181"/>
      <c r="H57" s="181"/>
      <c r="I57" s="181"/>
      <c r="J57" s="181"/>
      <c r="K57" s="181"/>
      <c r="L57" s="181"/>
      <c r="M57" s="181"/>
      <c r="N57" s="181"/>
      <c r="O57" s="182"/>
      <c r="P57" s="182"/>
      <c r="Q57" s="182"/>
      <c r="R57" s="182"/>
      <c r="S57" s="182"/>
      <c r="T57" s="182"/>
      <c r="U57" s="182"/>
      <c r="V57" s="181"/>
      <c r="W57" s="181"/>
      <c r="X57" s="181"/>
      <c r="Y57" s="181"/>
      <c r="Z57" s="181"/>
      <c r="AB57" s="442"/>
      <c r="AC57" s="442"/>
      <c r="AD57" s="442"/>
      <c r="AE57" s="442"/>
      <c r="AF57" s="442"/>
      <c r="AG57" s="442"/>
      <c r="AH57" s="442"/>
      <c r="AI57" s="442"/>
      <c r="AJ57" s="442"/>
    </row>
    <row r="58" spans="1:36" ht="14.25" customHeight="1" x14ac:dyDescent="0.25">
      <c r="E58" s="27" t="s">
        <v>148</v>
      </c>
      <c r="F58" s="27"/>
      <c r="G58" s="27"/>
      <c r="H58" s="27"/>
      <c r="I58" s="27"/>
      <c r="J58" s="27"/>
      <c r="K58" s="27"/>
      <c r="L58" s="27"/>
      <c r="M58" s="27"/>
      <c r="N58" s="27"/>
      <c r="O58" s="27"/>
      <c r="P58" s="27"/>
      <c r="Q58" s="27"/>
      <c r="R58" s="27"/>
      <c r="S58" s="27"/>
      <c r="T58" s="27"/>
      <c r="U58" s="27"/>
      <c r="V58" s="27"/>
      <c r="W58" s="27"/>
      <c r="X58" s="27"/>
      <c r="Y58" s="27"/>
      <c r="Z58" s="27"/>
      <c r="AB58" s="442"/>
      <c r="AC58" s="442"/>
      <c r="AD58" s="442"/>
      <c r="AE58" s="442"/>
      <c r="AF58" s="442"/>
      <c r="AG58" s="442"/>
      <c r="AH58" s="442"/>
      <c r="AI58" s="442"/>
      <c r="AJ58" s="442"/>
    </row>
    <row r="59" spans="1:36" ht="14.25" customHeight="1" x14ac:dyDescent="0.25">
      <c r="E59" s="27" t="s">
        <v>149</v>
      </c>
      <c r="F59" s="27"/>
      <c r="G59" s="27"/>
      <c r="H59" s="27"/>
      <c r="I59" s="27"/>
      <c r="J59" s="27"/>
      <c r="K59" s="27"/>
      <c r="L59" s="27"/>
      <c r="M59" s="27"/>
      <c r="N59" s="27"/>
      <c r="O59" s="27"/>
      <c r="P59" s="182"/>
      <c r="Q59" s="182"/>
      <c r="R59" s="182"/>
      <c r="S59" s="182"/>
      <c r="T59" s="182"/>
      <c r="U59" s="182"/>
      <c r="V59" s="182"/>
      <c r="W59" s="182"/>
      <c r="X59" s="182"/>
      <c r="Y59" s="182"/>
      <c r="Z59" s="182"/>
      <c r="AB59" s="442"/>
      <c r="AC59" s="442"/>
      <c r="AD59" s="442"/>
      <c r="AE59" s="442"/>
      <c r="AF59" s="442"/>
      <c r="AG59" s="442"/>
      <c r="AH59" s="442"/>
      <c r="AI59" s="442"/>
      <c r="AJ59" s="442"/>
    </row>
    <row r="60" spans="1:36" hidden="1" x14ac:dyDescent="0.25">
      <c r="E60" s="183" t="s">
        <v>142</v>
      </c>
      <c r="F60" s="183"/>
      <c r="G60" s="183"/>
      <c r="H60" s="183"/>
      <c r="I60" s="183"/>
      <c r="J60" s="183"/>
      <c r="K60" s="183"/>
      <c r="L60" s="183"/>
      <c r="M60" s="183"/>
      <c r="N60" s="183"/>
      <c r="O60" s="183"/>
      <c r="P60" s="183"/>
      <c r="Q60" s="183"/>
      <c r="R60" s="183"/>
      <c r="S60" s="183"/>
      <c r="T60" s="183"/>
      <c r="U60" s="183"/>
      <c r="V60" s="183"/>
      <c r="W60" s="183"/>
      <c r="X60" s="183"/>
      <c r="Y60" s="183"/>
      <c r="Z60" s="183"/>
      <c r="AB60" s="442"/>
      <c r="AC60" s="442"/>
      <c r="AD60" s="442"/>
      <c r="AE60" s="442"/>
      <c r="AF60" s="442"/>
      <c r="AG60" s="442"/>
      <c r="AH60" s="442"/>
      <c r="AI60" s="442"/>
      <c r="AJ60" s="442"/>
    </row>
    <row r="61" spans="1:36" ht="14.25" customHeight="1" x14ac:dyDescent="0.25">
      <c r="E61" s="27" t="s">
        <v>143</v>
      </c>
      <c r="F61" s="34"/>
      <c r="G61" s="34"/>
      <c r="H61" s="27"/>
      <c r="I61" s="27"/>
      <c r="J61" s="27"/>
      <c r="K61" s="27"/>
      <c r="L61" s="27"/>
      <c r="M61" s="27"/>
      <c r="N61" s="27"/>
      <c r="O61" s="27"/>
      <c r="P61" s="27"/>
      <c r="Q61" s="27"/>
      <c r="R61" s="27"/>
      <c r="S61" s="27"/>
      <c r="T61" s="27"/>
      <c r="U61" s="27"/>
      <c r="V61" s="27"/>
      <c r="W61" s="27"/>
      <c r="X61" s="27"/>
      <c r="Y61" s="27"/>
      <c r="Z61" s="27"/>
      <c r="AB61" s="442"/>
      <c r="AC61" s="442"/>
      <c r="AD61" s="442"/>
      <c r="AE61" s="442"/>
      <c r="AF61" s="442"/>
      <c r="AG61" s="442"/>
      <c r="AH61" s="442"/>
      <c r="AI61" s="442"/>
      <c r="AJ61" s="442"/>
    </row>
    <row r="62" spans="1:36" ht="14.25" customHeight="1" x14ac:dyDescent="0.25">
      <c r="AB62" s="442"/>
      <c r="AC62" s="442"/>
      <c r="AD62" s="442"/>
      <c r="AE62" s="442"/>
      <c r="AF62" s="442"/>
      <c r="AG62" s="442"/>
      <c r="AH62" s="442"/>
      <c r="AI62" s="442"/>
      <c r="AJ62" s="442"/>
    </row>
    <row r="63" spans="1:36" x14ac:dyDescent="0.25">
      <c r="AB63" s="442"/>
      <c r="AC63" s="442"/>
      <c r="AD63" s="442"/>
      <c r="AE63" s="442"/>
      <c r="AF63" s="442"/>
      <c r="AG63" s="442"/>
      <c r="AH63" s="442"/>
      <c r="AI63" s="442"/>
      <c r="AJ63" s="442"/>
    </row>
    <row r="64" spans="1:36" x14ac:dyDescent="0.25">
      <c r="AB64" s="442"/>
      <c r="AC64" s="442"/>
      <c r="AD64" s="442"/>
      <c r="AE64" s="442"/>
      <c r="AF64" s="442"/>
      <c r="AG64" s="442"/>
      <c r="AH64" s="442"/>
      <c r="AI64" s="442"/>
      <c r="AJ64" s="442"/>
    </row>
    <row r="68" spans="5:13" x14ac:dyDescent="0.25">
      <c r="E68" s="128" t="s">
        <v>145</v>
      </c>
      <c r="F68" s="184"/>
      <c r="G68" s="184"/>
      <c r="H68" s="185"/>
      <c r="I68" s="185"/>
      <c r="J68" s="185"/>
      <c r="K68" s="185"/>
      <c r="L68" s="185"/>
      <c r="M68" s="185"/>
    </row>
  </sheetData>
  <mergeCells count="11">
    <mergeCell ref="X3:Y3"/>
    <mergeCell ref="E18:F18"/>
    <mergeCell ref="AE31:AI32"/>
    <mergeCell ref="E42:F42"/>
    <mergeCell ref="E55:F55"/>
    <mergeCell ref="H3:I3"/>
    <mergeCell ref="J3:M3"/>
    <mergeCell ref="N3:O3"/>
    <mergeCell ref="P3:S3"/>
    <mergeCell ref="T3:U3"/>
    <mergeCell ref="W3:W4"/>
  </mergeCells>
  <pageMargins left="0.5" right="0.25" top="0.5" bottom="0" header="0.5" footer="0.5"/>
  <pageSetup scale="71" fitToHeight="0" orientation="landscape"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6BC47-6748-42D0-BB65-F87F745EA5CC}">
  <sheetPr>
    <pageSetUpPr fitToPage="1"/>
  </sheetPr>
  <dimension ref="A1:BG112"/>
  <sheetViews>
    <sheetView showGridLines="0" showZeros="0" zoomScaleNormal="100" zoomScaleSheetLayoutView="100" workbookViewId="0">
      <selection activeCell="Z74" sqref="Z74"/>
    </sheetView>
  </sheetViews>
  <sheetFormatPr defaultRowHeight="12.5" x14ac:dyDescent="0.25"/>
  <cols>
    <col min="1" max="1" width="8" customWidth="1"/>
    <col min="2" max="4" width="1.81640625" style="1" customWidth="1"/>
    <col min="5" max="5" width="28.7265625" customWidth="1"/>
    <col min="6" max="6" width="7.54296875" customWidth="1"/>
    <col min="7" max="7" width="7.1796875" style="4" customWidth="1"/>
    <col min="8" max="17" width="7.1796875" customWidth="1"/>
    <col min="18" max="19" width="7.54296875" customWidth="1"/>
    <col min="20" max="22" width="7.1796875" customWidth="1"/>
    <col min="23" max="23" width="6.26953125" customWidth="1"/>
    <col min="24" max="24" width="9" customWidth="1"/>
    <col min="25" max="28" width="8.54296875" customWidth="1"/>
    <col min="29" max="31" width="8" customWidth="1"/>
    <col min="32" max="32" width="12" customWidth="1"/>
    <col min="33" max="33" width="9.1796875" customWidth="1"/>
    <col min="34" max="34" width="10.54296875" customWidth="1"/>
    <col min="35" max="35" width="6.54296875" style="1" customWidth="1"/>
    <col min="36" max="36" width="11.54296875" style="1" customWidth="1"/>
    <col min="37" max="37" width="9.54296875" style="1" customWidth="1"/>
    <col min="38" max="38" width="6.54296875" customWidth="1"/>
    <col min="39" max="39" width="2" customWidth="1"/>
    <col min="42" max="42" width="3.54296875" customWidth="1"/>
    <col min="43" max="43" width="4.453125" customWidth="1"/>
    <col min="44" max="44" width="10.54296875" customWidth="1"/>
    <col min="45" max="45" width="6.54296875" customWidth="1"/>
    <col min="46" max="46" width="11.54296875" customWidth="1"/>
    <col min="47" max="47" width="9.54296875" customWidth="1"/>
    <col min="48" max="48" width="3.54296875" customWidth="1"/>
    <col min="49" max="49" width="2" customWidth="1"/>
  </cols>
  <sheetData>
    <row r="1" spans="1:59" x14ac:dyDescent="0.25">
      <c r="G1" s="451" t="str">
        <f>'[13]inland_taf_hatchgrp_tableraw&amp;yy'!G2</f>
        <v>sacw</v>
      </c>
      <c r="H1" s="451" t="str">
        <f>'[13]inland_taf_hatchgrp_tableraw&amp;yy'!H2</f>
        <v>cfhl</v>
      </c>
      <c r="I1" s="451" t="str">
        <f>'[13]inland_taf_hatchgrp_tableraw&amp;yy'!I2</f>
        <v>cfhf</v>
      </c>
      <c r="J1" s="451" t="str">
        <f>'[13]inland_taf_hatchgrp_tableraw&amp;yy'!K2</f>
        <v>frhs</v>
      </c>
      <c r="K1" s="451" t="str">
        <f>'[13]inland_taf_hatchgrp_tableraw&amp;yy'!L2</f>
        <v>frhf</v>
      </c>
      <c r="L1" s="451" t="str">
        <f>'[13]inland_taf_hatchgrp_tableraw&amp;yy'!M2</f>
        <v>frhfn</v>
      </c>
      <c r="M1" s="451" t="str">
        <f>'[13]inland_taf_hatchgrp_tableraw&amp;yy'!N2</f>
        <v>frhfgg</v>
      </c>
      <c r="N1" s="451" t="str">
        <f>'[13]inland_taf_hatchgrp_tableraw&amp;yy'!O2</f>
        <v>nimf</v>
      </c>
      <c r="O1" s="451" t="str">
        <f>'[13]inland_taf_hatchgrp_tableraw&amp;yy'!P2</f>
        <v>nimfn</v>
      </c>
      <c r="P1" s="451" t="str">
        <f>'[13]inland_taf_hatchgrp_tableraw&amp;yy'!Q2</f>
        <v>mokf</v>
      </c>
      <c r="Q1" s="451" t="str">
        <f>'[13]inland_taf_hatchgrp_tableraw&amp;yy'!R2</f>
        <v>mokfn</v>
      </c>
      <c r="R1" s="451" t="str">
        <f>'[13]inland_taf_hatchgrp_tableraw&amp;yy'!S2</f>
        <v>mokfnc</v>
      </c>
      <c r="S1" s="451" t="str">
        <f>'[13]inland_taf_hatchgrp_tableraw&amp;yy'!T2</f>
        <v>mokfgg</v>
      </c>
      <c r="T1" s="451" t="str">
        <f>'[13]inland_taf_hatchgrp_tableraw&amp;yy'!U2</f>
        <v>merf</v>
      </c>
      <c r="U1" s="451" t="str">
        <f>'[13]inland_taf_hatchgrp_tableraw&amp;yy'!V2</f>
        <v>merfn</v>
      </c>
      <c r="V1" s="451" t="str">
        <f>'[13]inland_taf_hatchgrp_tableraw&amp;yy'!W2</f>
        <v>sjosx</v>
      </c>
      <c r="W1" s="451" t="str">
        <f>'[13]inland_taf_hatchgrp_tableraw&amp;yy'!X2</f>
        <v>noncv</v>
      </c>
    </row>
    <row r="2" spans="1:59" ht="23.9" customHeight="1" x14ac:dyDescent="0.25">
      <c r="E2" s="2" t="s">
        <v>150</v>
      </c>
      <c r="F2" s="3"/>
      <c r="AB2" s="442"/>
      <c r="AC2" s="442"/>
      <c r="AD2" s="442"/>
      <c r="AE2" s="442"/>
      <c r="AF2" s="597"/>
      <c r="AG2" s="597"/>
      <c r="AH2" s="442"/>
      <c r="AI2" s="451"/>
      <c r="AJ2" s="451"/>
      <c r="AK2" s="451"/>
      <c r="AL2" s="442"/>
      <c r="AM2" s="442"/>
      <c r="AN2" s="442"/>
      <c r="AO2" s="442"/>
      <c r="AP2" s="442"/>
      <c r="AQ2" s="442"/>
      <c r="AR2" s="442"/>
      <c r="AS2" s="442"/>
      <c r="AT2" s="442"/>
      <c r="AU2" s="442"/>
      <c r="AV2" s="442"/>
      <c r="AW2" s="442"/>
      <c r="AX2" s="442"/>
      <c r="AY2" s="442"/>
      <c r="AZ2" s="442"/>
      <c r="BA2" s="442"/>
      <c r="BB2" s="442"/>
      <c r="BC2" s="442"/>
      <c r="BD2" s="442"/>
      <c r="BE2" s="442"/>
      <c r="BF2" s="442"/>
    </row>
    <row r="3" spans="1:59" ht="14.9" customHeight="1" x14ac:dyDescent="0.3">
      <c r="E3" s="6"/>
      <c r="F3" s="7"/>
      <c r="G3" s="8"/>
      <c r="H3" s="727" t="s">
        <v>1</v>
      </c>
      <c r="I3" s="727"/>
      <c r="J3" s="727" t="s">
        <v>2</v>
      </c>
      <c r="K3" s="727"/>
      <c r="L3" s="727"/>
      <c r="M3" s="727"/>
      <c r="N3" s="727" t="s">
        <v>3</v>
      </c>
      <c r="O3" s="727"/>
      <c r="P3" s="727" t="s">
        <v>4</v>
      </c>
      <c r="Q3" s="727"/>
      <c r="R3" s="727"/>
      <c r="S3" s="727"/>
      <c r="T3" s="727" t="s">
        <v>5</v>
      </c>
      <c r="U3" s="727"/>
      <c r="V3" s="9" t="s">
        <v>6</v>
      </c>
      <c r="W3" s="747" t="s">
        <v>7</v>
      </c>
      <c r="X3" s="745" t="s">
        <v>8</v>
      </c>
      <c r="Y3" s="746"/>
      <c r="Z3" s="10" t="s">
        <v>9</v>
      </c>
      <c r="AA3" s="11"/>
      <c r="AB3" s="451"/>
      <c r="AC3" s="598" t="s">
        <v>10</v>
      </c>
      <c r="AD3" s="598"/>
      <c r="AE3" s="598"/>
      <c r="AF3" s="599"/>
      <c r="AG3" s="597"/>
      <c r="AH3" s="597" t="s">
        <v>11</v>
      </c>
      <c r="AI3" s="599" t="s">
        <v>12</v>
      </c>
      <c r="AJ3" s="451"/>
      <c r="AK3" s="451"/>
      <c r="AL3" s="442"/>
      <c r="AM3" s="442"/>
      <c r="AN3" s="444">
        <f>$G$45</f>
        <v>0</v>
      </c>
      <c r="AO3" s="444">
        <f>$H$45</f>
        <v>4</v>
      </c>
      <c r="AP3" s="444">
        <f>$I$45</f>
        <v>2369</v>
      </c>
      <c r="AQ3" s="444" t="e">
        <f>#REF!</f>
        <v>#REF!</v>
      </c>
      <c r="AR3" s="444">
        <f>$J$45</f>
        <v>19</v>
      </c>
      <c r="AS3" s="444"/>
      <c r="AT3" s="444">
        <f>$K$45</f>
        <v>8</v>
      </c>
      <c r="AU3" s="444">
        <f>$L$45</f>
        <v>3320</v>
      </c>
      <c r="AV3" s="444">
        <f>$N$45</f>
        <v>14</v>
      </c>
      <c r="AW3" s="444">
        <f>$O$45</f>
        <v>911</v>
      </c>
      <c r="AX3" s="444">
        <f>$M$45</f>
        <v>2168</v>
      </c>
      <c r="AY3" s="444">
        <f>$P$45</f>
        <v>39</v>
      </c>
      <c r="AZ3" s="444">
        <f>$Q$45</f>
        <v>6033</v>
      </c>
      <c r="BA3" s="444">
        <f>$R$45</f>
        <v>1163</v>
      </c>
      <c r="BB3" s="444">
        <f>$S$45</f>
        <v>365</v>
      </c>
      <c r="BC3" s="444">
        <f>$T$45</f>
        <v>5</v>
      </c>
      <c r="BD3" s="444">
        <f>$U$45</f>
        <v>2412</v>
      </c>
      <c r="BE3" s="444">
        <f>$V$45</f>
        <v>17</v>
      </c>
      <c r="BF3" s="444">
        <f>$W$45</f>
        <v>0</v>
      </c>
    </row>
    <row r="4" spans="1:59" ht="14.9" customHeight="1" x14ac:dyDescent="0.3">
      <c r="A4" s="15" t="s">
        <v>13</v>
      </c>
      <c r="B4" s="16" t="s">
        <v>14</v>
      </c>
      <c r="C4" s="16" t="s">
        <v>15</v>
      </c>
      <c r="D4" s="16" t="s">
        <v>16</v>
      </c>
      <c r="E4" s="17" t="s">
        <v>17</v>
      </c>
      <c r="F4" s="18" t="s">
        <v>18</v>
      </c>
      <c r="G4" s="19" t="s">
        <v>19</v>
      </c>
      <c r="H4" s="20" t="s">
        <v>20</v>
      </c>
      <c r="I4" s="21" t="s">
        <v>21</v>
      </c>
      <c r="J4" s="19" t="s">
        <v>23</v>
      </c>
      <c r="K4" s="19" t="s">
        <v>24</v>
      </c>
      <c r="L4" s="19" t="s">
        <v>25</v>
      </c>
      <c r="M4" s="21" t="s">
        <v>26</v>
      </c>
      <c r="N4" s="19" t="s">
        <v>27</v>
      </c>
      <c r="O4" s="21" t="s">
        <v>28</v>
      </c>
      <c r="P4" s="19" t="s">
        <v>29</v>
      </c>
      <c r="Q4" s="19" t="s">
        <v>30</v>
      </c>
      <c r="R4" s="19" t="s">
        <v>31</v>
      </c>
      <c r="S4" s="21" t="s">
        <v>32</v>
      </c>
      <c r="T4" s="19" t="s">
        <v>33</v>
      </c>
      <c r="U4" s="21" t="s">
        <v>34</v>
      </c>
      <c r="V4" s="21" t="s">
        <v>35</v>
      </c>
      <c r="W4" s="748"/>
      <c r="X4" s="22" t="s">
        <v>36</v>
      </c>
      <c r="Y4" s="23" t="s">
        <v>37</v>
      </c>
      <c r="Z4" s="24" t="s">
        <v>18</v>
      </c>
      <c r="AA4" s="11"/>
      <c r="AB4" s="451"/>
      <c r="AC4" s="598" t="s">
        <v>38</v>
      </c>
      <c r="AD4" s="598"/>
      <c r="AE4" s="598"/>
      <c r="AF4" s="599"/>
      <c r="AG4" s="597"/>
      <c r="AH4" s="600"/>
      <c r="AI4" s="599"/>
      <c r="AJ4" s="451"/>
      <c r="AK4" s="451"/>
      <c r="AL4" s="442"/>
      <c r="AM4" s="442"/>
      <c r="AN4" s="442"/>
      <c r="AO4" s="442"/>
      <c r="AP4" s="442"/>
      <c r="AQ4" s="442"/>
      <c r="AR4" s="442"/>
      <c r="AS4" s="442"/>
      <c r="AT4" s="442"/>
      <c r="AU4" s="442"/>
      <c r="AV4" s="442"/>
      <c r="AW4" s="442"/>
      <c r="AX4" s="442"/>
      <c r="AY4" s="442"/>
      <c r="AZ4" s="442"/>
      <c r="BA4" s="442"/>
      <c r="BB4" s="442"/>
      <c r="BC4" s="442"/>
      <c r="BD4" s="442"/>
      <c r="BE4" s="442"/>
      <c r="BF4" s="442"/>
    </row>
    <row r="5" spans="1:59" ht="15.65" customHeight="1" x14ac:dyDescent="0.3">
      <c r="A5" s="15" t="s">
        <v>36</v>
      </c>
      <c r="B5" s="13"/>
      <c r="C5" s="13"/>
      <c r="D5" s="13"/>
      <c r="E5" s="26" t="s">
        <v>39</v>
      </c>
      <c r="F5" s="27"/>
      <c r="G5" s="28"/>
      <c r="H5" s="29"/>
      <c r="I5" s="31"/>
      <c r="J5" s="30"/>
      <c r="K5" s="30"/>
      <c r="L5" s="30"/>
      <c r="M5" s="31"/>
      <c r="N5" s="30"/>
      <c r="O5" s="31"/>
      <c r="P5" s="30"/>
      <c r="Q5" s="30"/>
      <c r="R5" s="30"/>
      <c r="S5" s="31"/>
      <c r="T5" s="30"/>
      <c r="U5" s="31"/>
      <c r="V5" s="31"/>
      <c r="W5" s="30"/>
      <c r="X5" s="32"/>
      <c r="Y5" s="33"/>
      <c r="Z5" s="30"/>
      <c r="AA5" s="30"/>
      <c r="AB5" s="633"/>
      <c r="AC5" s="601"/>
      <c r="AD5" s="601"/>
      <c r="AE5" s="601"/>
      <c r="AF5" s="602"/>
      <c r="AG5" s="597"/>
      <c r="AH5" s="600"/>
      <c r="AI5" s="599"/>
      <c r="AJ5" s="451"/>
      <c r="AK5" s="451"/>
      <c r="AL5" s="442"/>
      <c r="AM5" s="442"/>
      <c r="AN5" s="442"/>
      <c r="AO5" s="442"/>
      <c r="AP5" s="442"/>
      <c r="AQ5" s="442"/>
      <c r="AR5" s="442"/>
      <c r="AS5" s="442"/>
      <c r="AT5" s="442"/>
      <c r="AU5" s="442"/>
      <c r="AV5" s="442"/>
      <c r="AW5" s="442"/>
      <c r="AX5" s="442"/>
      <c r="AY5" s="442"/>
      <c r="AZ5" s="442"/>
      <c r="BA5" s="442"/>
      <c r="BB5" s="442"/>
      <c r="BC5" s="442"/>
      <c r="BD5" s="442"/>
      <c r="BE5" s="442"/>
      <c r="BF5" s="442"/>
    </row>
    <row r="6" spans="1:59" ht="14.25" customHeight="1" x14ac:dyDescent="0.25">
      <c r="A6" s="36" t="str">
        <f t="shared" ref="A6:A17" si="0">CONCATENATE(B6,C6,D6)</f>
        <v>CNFH504</v>
      </c>
      <c r="B6" s="13" t="s">
        <v>40</v>
      </c>
      <c r="C6" s="13">
        <v>50</v>
      </c>
      <c r="D6" s="13">
        <v>4</v>
      </c>
      <c r="E6" s="3" t="s">
        <v>41</v>
      </c>
      <c r="F6" s="37" t="s">
        <v>42</v>
      </c>
      <c r="G6" s="38">
        <f>SUMIFS('[13]inland_taf_hatchgrp_tableraw&amp;yy'!G$3:G$39,'[13]inland_taf_hatchgrp_tableraw&amp;yy'!$AC$3:$AC$39,'2020 Table 10 CWTs exp '!$A6)</f>
        <v>1002</v>
      </c>
      <c r="H6" s="39">
        <f>SUMIFS('[13]inland_taf_hatchgrp_tableraw&amp;yy'!H$3:H$39,'[13]inland_taf_hatchgrp_tableraw&amp;yy'!$AC$3:$AC$39,'2020 Table 10 CWTs exp '!$A6)</f>
        <v>0</v>
      </c>
      <c r="I6" s="40">
        <f>SUMIFS('[13]inland_taf_hatchgrp_tableraw&amp;yy'!I$3:I$39,'[13]inland_taf_hatchgrp_tableraw&amp;yy'!$AC$3:$AC$39,'2020 Table 10 CWTs exp '!$A6)</f>
        <v>0</v>
      </c>
      <c r="J6" s="38">
        <f>SUMIFS('[13]inland_taf_hatchgrp_tableraw&amp;yy'!K$3:K$39,'[13]inland_taf_hatchgrp_tableraw&amp;yy'!$AC$3:$AC$39,'2020 Table 10 CWTs exp '!$A6)</f>
        <v>0</v>
      </c>
      <c r="K6" s="38">
        <f>SUMIFS('[13]inland_taf_hatchgrp_tableraw&amp;yy'!L$3:L$39,'[13]inland_taf_hatchgrp_tableraw&amp;yy'!$AC$3:$AC$39,'2020 Table 10 CWTs exp '!$A6)</f>
        <v>0</v>
      </c>
      <c r="L6" s="38">
        <f>SUMIFS('[13]inland_taf_hatchgrp_tableraw&amp;yy'!M$3:M$39,'[13]inland_taf_hatchgrp_tableraw&amp;yy'!$AC$3:$AC$39,'2020 Table 10 CWTs exp '!$A6)</f>
        <v>0</v>
      </c>
      <c r="M6" s="40">
        <f>SUMIFS('[13]inland_taf_hatchgrp_tableraw&amp;yy'!N$3:N$39,'[13]inland_taf_hatchgrp_tableraw&amp;yy'!$AC$3:$AC$39,'2020 Table 10 CWTs exp '!$A6)</f>
        <v>0</v>
      </c>
      <c r="N6" s="38">
        <f>SUMIFS('[13]inland_taf_hatchgrp_tableraw&amp;yy'!O$3:O$39,'[13]inland_taf_hatchgrp_tableraw&amp;yy'!$AC$3:$AC$39,'2020 Table 10 CWTs exp '!$A6)</f>
        <v>0</v>
      </c>
      <c r="O6" s="40">
        <f>SUMIFS('[13]inland_taf_hatchgrp_tableraw&amp;yy'!P$3:P$39,'[13]inland_taf_hatchgrp_tableraw&amp;yy'!$AC$3:$AC$39,'2020 Table 10 CWTs exp '!$A6)</f>
        <v>0</v>
      </c>
      <c r="P6" s="38">
        <f>SUMIFS('[13]inland_taf_hatchgrp_tableraw&amp;yy'!Q$3:Q$39,'[13]inland_taf_hatchgrp_tableraw&amp;yy'!$AC$3:$AC$39,'2020 Table 10 CWTs exp '!$A6)</f>
        <v>0</v>
      </c>
      <c r="Q6" s="38">
        <f>SUMIFS('[13]inland_taf_hatchgrp_tableraw&amp;yy'!R$3:R$39,'[13]inland_taf_hatchgrp_tableraw&amp;yy'!$AC$3:$AC$39,'2020 Table 10 CWTs exp '!$A6)</f>
        <v>0</v>
      </c>
      <c r="R6" s="38">
        <f>SUMIFS('[13]inland_taf_hatchgrp_tableraw&amp;yy'!S$3:S$39,'[13]inland_taf_hatchgrp_tableraw&amp;yy'!$AC$3:$AC$39,'2020 Table 10 CWTs exp '!$A6)</f>
        <v>0</v>
      </c>
      <c r="S6" s="40">
        <f>SUMIFS('[13]inland_taf_hatchgrp_tableraw&amp;yy'!T$3:T$39,'[13]inland_taf_hatchgrp_tableraw&amp;yy'!$AC$3:$AC$39,'2020 Table 10 CWTs exp '!$A6)</f>
        <v>0</v>
      </c>
      <c r="T6" s="38">
        <f>SUMIFS('[13]inland_taf_hatchgrp_tableraw&amp;yy'!U$3:U$39,'[13]inland_taf_hatchgrp_tableraw&amp;yy'!$AC$3:$AC$39,'2020 Table 10 CWTs exp '!$A6)</f>
        <v>0</v>
      </c>
      <c r="U6" s="40">
        <f>SUMIFS('[13]inland_taf_hatchgrp_tableraw&amp;yy'!V$3:V$39,'[13]inland_taf_hatchgrp_tableraw&amp;yy'!$AC$3:$AC$39,'2020 Table 10 CWTs exp '!$A6)</f>
        <v>0</v>
      </c>
      <c r="V6" s="40">
        <f>SUMIFS('[13]inland_taf_hatchgrp_tableraw&amp;yy'!W$3:W$39,'[13]inland_taf_hatchgrp_tableraw&amp;yy'!$AC$3:$AC$39,'2020 Table 10 CWTs exp '!$A6)</f>
        <v>0</v>
      </c>
      <c r="W6" s="38">
        <f>SUMIFS('[13]inland_taf_hatchgrp_tableraw&amp;yy'!X$3:X$39,'[13]inland_taf_hatchgrp_tableraw&amp;yy'!$AC$3:$AC$39,'2020 Table 10 CWTs exp '!$A6)</f>
        <v>0</v>
      </c>
      <c r="X6" s="41">
        <f>SUMIFS('[13]inland_taf_hatchgrp_tableraw&amp;yy'!Y$3:Y$39,'[13]inland_taf_hatchgrp_tableraw&amp;yy'!$AC$3:$AC$39,'2020 Table 10 CWTs exp '!$A6)</f>
        <v>1002</v>
      </c>
      <c r="Y6" s="42">
        <f>SUMIFS('[13]inland_taf_hatchgrp_tableraw&amp;yy'!Z$3:Z$39,'[13]inland_taf_hatchgrp_tableraw&amp;yy'!$AC$3:$AC$39,'2020 Table 10 CWTs exp '!$A6)</f>
        <v>6</v>
      </c>
      <c r="Z6" s="38">
        <f>SUMIFS('[13]inland_taf_hatchgrp_tableraw&amp;yy'!AA$3:AA$39,'[13]inland_taf_hatchgrp_tableraw&amp;yy'!$AC$3:$AC$39,'2020 Table 10 CWTs exp '!$A6)</f>
        <v>1008</v>
      </c>
      <c r="AA6" s="30"/>
      <c r="AB6" s="633"/>
      <c r="AC6" s="603">
        <f>SUMIFS('[13]inland_taf_hatchgrp_tableraw&amp;yy'!AB$3:AB$39,'[13]inland_taf_hatchgrp_tableraw&amp;yy'!$AC$3:$AC$39,'2020 Table 10 CWTs exp '!$A6)</f>
        <v>0.99399999999999999</v>
      </c>
      <c r="AD6" s="604" t="str">
        <f t="shared" ref="AD6:AD17" si="1">A6</f>
        <v>CNFH504</v>
      </c>
      <c r="AE6" s="444"/>
      <c r="AF6" s="622">
        <f>X6/Z6</f>
        <v>0.99404761904761907</v>
      </c>
      <c r="AG6" s="597"/>
      <c r="AH6" s="600"/>
      <c r="AI6" s="599"/>
      <c r="AJ6" s="451"/>
      <c r="AK6" s="451"/>
      <c r="AL6" s="442"/>
      <c r="AM6" s="442"/>
      <c r="AN6" s="442"/>
      <c r="AO6" s="442"/>
      <c r="AP6" s="442"/>
      <c r="AQ6" s="442"/>
      <c r="AR6" s="442"/>
      <c r="AS6" s="442"/>
      <c r="AT6" s="442"/>
      <c r="AU6" s="442"/>
      <c r="AV6" s="442"/>
      <c r="AW6" s="442"/>
      <c r="AX6" s="442"/>
      <c r="AY6" s="442"/>
      <c r="AZ6" s="442"/>
      <c r="BA6" s="442"/>
      <c r="BB6" s="442"/>
      <c r="BC6" s="442"/>
      <c r="BD6" s="442"/>
      <c r="BE6" s="442"/>
      <c r="BF6" s="442"/>
    </row>
    <row r="7" spans="1:59" ht="14.25" customHeight="1" x14ac:dyDescent="0.25">
      <c r="A7" s="36" t="str">
        <f t="shared" si="0"/>
        <v>KESW504</v>
      </c>
      <c r="B7" s="13" t="s">
        <v>43</v>
      </c>
      <c r="C7" s="13">
        <v>50</v>
      </c>
      <c r="D7" s="13">
        <v>4</v>
      </c>
      <c r="E7" s="3" t="s">
        <v>44</v>
      </c>
      <c r="F7" s="37" t="s">
        <v>42</v>
      </c>
      <c r="G7" s="38">
        <f>SUMIFS('[13]inland_taf_hatchgrp_tableraw&amp;yy'!G$3:G$39,'[13]inland_taf_hatchgrp_tableraw&amp;yy'!$AC$3:$AC$39,'2020 Table 10 CWTs exp '!$A7)</f>
        <v>126</v>
      </c>
      <c r="H7" s="39">
        <f>SUMIFS('[13]inland_taf_hatchgrp_tableraw&amp;yy'!H$3:H$39,'[13]inland_taf_hatchgrp_tableraw&amp;yy'!$AC$3:$AC$39,'2020 Table 10 CWTs exp '!$A7)</f>
        <v>0</v>
      </c>
      <c r="I7" s="40">
        <f>SUMIFS('[13]inland_taf_hatchgrp_tableraw&amp;yy'!I$3:I$39,'[13]inland_taf_hatchgrp_tableraw&amp;yy'!$AC$3:$AC$39,'2020 Table 10 CWTs exp '!$A7)</f>
        <v>0</v>
      </c>
      <c r="J7" s="38">
        <f>SUMIFS('[13]inland_taf_hatchgrp_tableraw&amp;yy'!K$3:K$39,'[13]inland_taf_hatchgrp_tableraw&amp;yy'!$AC$3:$AC$39,'2020 Table 10 CWTs exp '!$A7)</f>
        <v>0</v>
      </c>
      <c r="K7" s="38">
        <f>SUMIFS('[13]inland_taf_hatchgrp_tableraw&amp;yy'!L$3:L$39,'[13]inland_taf_hatchgrp_tableraw&amp;yy'!$AC$3:$AC$39,'2020 Table 10 CWTs exp '!$A7)</f>
        <v>0</v>
      </c>
      <c r="L7" s="38">
        <f>SUMIFS('[13]inland_taf_hatchgrp_tableraw&amp;yy'!M$3:M$39,'[13]inland_taf_hatchgrp_tableraw&amp;yy'!$AC$3:$AC$39,'2020 Table 10 CWTs exp '!$A7)</f>
        <v>0</v>
      </c>
      <c r="M7" s="40">
        <f>SUMIFS('[13]inland_taf_hatchgrp_tableraw&amp;yy'!N$3:N$39,'[13]inland_taf_hatchgrp_tableraw&amp;yy'!$AC$3:$AC$39,'2020 Table 10 CWTs exp '!$A7)</f>
        <v>0</v>
      </c>
      <c r="N7" s="38">
        <f>SUMIFS('[13]inland_taf_hatchgrp_tableraw&amp;yy'!O$3:O$39,'[13]inland_taf_hatchgrp_tableraw&amp;yy'!$AC$3:$AC$39,'2020 Table 10 CWTs exp '!$A7)</f>
        <v>0</v>
      </c>
      <c r="O7" s="40">
        <f>SUMIFS('[13]inland_taf_hatchgrp_tableraw&amp;yy'!P$3:P$39,'[13]inland_taf_hatchgrp_tableraw&amp;yy'!$AC$3:$AC$39,'2020 Table 10 CWTs exp '!$A7)</f>
        <v>0</v>
      </c>
      <c r="P7" s="38">
        <f>SUMIFS('[13]inland_taf_hatchgrp_tableraw&amp;yy'!Q$3:Q$39,'[13]inland_taf_hatchgrp_tableraw&amp;yy'!$AC$3:$AC$39,'2020 Table 10 CWTs exp '!$A7)</f>
        <v>0</v>
      </c>
      <c r="Q7" s="38">
        <f>SUMIFS('[13]inland_taf_hatchgrp_tableraw&amp;yy'!R$3:R$39,'[13]inland_taf_hatchgrp_tableraw&amp;yy'!$AC$3:$AC$39,'2020 Table 10 CWTs exp '!$A7)</f>
        <v>0</v>
      </c>
      <c r="R7" s="38">
        <f>SUMIFS('[13]inland_taf_hatchgrp_tableraw&amp;yy'!S$3:S$39,'[13]inland_taf_hatchgrp_tableraw&amp;yy'!$AC$3:$AC$39,'2020 Table 10 CWTs exp '!$A7)</f>
        <v>0</v>
      </c>
      <c r="S7" s="40">
        <f>SUMIFS('[13]inland_taf_hatchgrp_tableraw&amp;yy'!T$3:T$39,'[13]inland_taf_hatchgrp_tableraw&amp;yy'!$AC$3:$AC$39,'2020 Table 10 CWTs exp '!$A7)</f>
        <v>0</v>
      </c>
      <c r="T7" s="38">
        <f>SUMIFS('[13]inland_taf_hatchgrp_tableraw&amp;yy'!U$3:U$39,'[13]inland_taf_hatchgrp_tableraw&amp;yy'!$AC$3:$AC$39,'2020 Table 10 CWTs exp '!$A7)</f>
        <v>0</v>
      </c>
      <c r="U7" s="40">
        <f>SUMIFS('[13]inland_taf_hatchgrp_tableraw&amp;yy'!V$3:V$39,'[13]inland_taf_hatchgrp_tableraw&amp;yy'!$AC$3:$AC$39,'2020 Table 10 CWTs exp '!$A7)</f>
        <v>0</v>
      </c>
      <c r="V7" s="40">
        <f>SUMIFS('[13]inland_taf_hatchgrp_tableraw&amp;yy'!W$3:W$39,'[13]inland_taf_hatchgrp_tableraw&amp;yy'!$AC$3:$AC$39,'2020 Table 10 CWTs exp '!$A7)</f>
        <v>0</v>
      </c>
      <c r="W7" s="38">
        <f>SUMIFS('[13]inland_taf_hatchgrp_tableraw&amp;yy'!X$3:X$39,'[13]inland_taf_hatchgrp_tableraw&amp;yy'!$AC$3:$AC$39,'2020 Table 10 CWTs exp '!$A7)</f>
        <v>0</v>
      </c>
      <c r="X7" s="41">
        <f>SUMIFS('[13]inland_taf_hatchgrp_tableraw&amp;yy'!Y$3:Y$39,'[13]inland_taf_hatchgrp_tableraw&amp;yy'!$AC$3:$AC$39,'2020 Table 10 CWTs exp '!$A7)</f>
        <v>126</v>
      </c>
      <c r="Y7" s="42">
        <f>SUMIFS('[13]inland_taf_hatchgrp_tableraw&amp;yy'!Z$3:Z$39,'[13]inland_taf_hatchgrp_tableraw&amp;yy'!$AC$3:$AC$39,'2020 Table 10 CWTs exp '!$A7)</f>
        <v>65</v>
      </c>
      <c r="Z7" s="38">
        <f>SUMIFS('[13]inland_taf_hatchgrp_tableraw&amp;yy'!AA$3:AA$39,'[13]inland_taf_hatchgrp_tableraw&amp;yy'!$AC$3:$AC$39,'2020 Table 10 CWTs exp '!$A7)</f>
        <v>191</v>
      </c>
      <c r="AA7" s="38"/>
      <c r="AB7" s="634"/>
      <c r="AC7" s="603">
        <f>SUMIFS('[13]inland_taf_hatchgrp_tableraw&amp;yy'!AB$3:AB$39,'[13]inland_taf_hatchgrp_tableraw&amp;yy'!$AC$3:$AC$39,'2020 Table 10 CWTs exp '!$A7)</f>
        <v>0.66</v>
      </c>
      <c r="AD7" s="604" t="str">
        <f t="shared" si="1"/>
        <v>KESW504</v>
      </c>
      <c r="AE7" s="444"/>
      <c r="AF7" s="622">
        <f>X7/Z7</f>
        <v>0.65968586387434558</v>
      </c>
      <c r="AG7" s="597"/>
      <c r="AH7" s="600"/>
      <c r="AI7" s="599"/>
      <c r="AJ7" s="451"/>
      <c r="AK7" s="451"/>
      <c r="AL7" s="442"/>
      <c r="AM7" s="442"/>
      <c r="AN7" s="442"/>
      <c r="AO7" s="442"/>
      <c r="AP7" s="442"/>
      <c r="AQ7" s="442"/>
      <c r="AR7" s="442"/>
      <c r="AS7" s="442"/>
      <c r="AT7" s="442"/>
      <c r="AU7" s="442"/>
      <c r="AV7" s="442"/>
      <c r="AW7" s="442"/>
      <c r="AX7" s="442"/>
      <c r="AY7" s="442"/>
      <c r="AZ7" s="442"/>
      <c r="BA7" s="442"/>
      <c r="BB7" s="442"/>
      <c r="BC7" s="442"/>
      <c r="BD7" s="442"/>
      <c r="BE7" s="442"/>
      <c r="BF7" s="442"/>
    </row>
    <row r="8" spans="1:59" s="47" customFormat="1" ht="14.5" customHeight="1" x14ac:dyDescent="0.25">
      <c r="A8" s="36" t="str">
        <f t="shared" si="0"/>
        <v>FRFH501</v>
      </c>
      <c r="B8" s="35" t="s">
        <v>45</v>
      </c>
      <c r="C8" s="35">
        <v>50</v>
      </c>
      <c r="D8" s="35">
        <v>1</v>
      </c>
      <c r="E8" s="3" t="s">
        <v>46</v>
      </c>
      <c r="F8" s="43" t="str">
        <f t="shared" ref="F8:F14" si="2">LOOKUP(D8,$AK$8:$AK$11,$AL$8:$AL$11)</f>
        <v>Spring</v>
      </c>
      <c r="G8" s="44">
        <f>SUMIFS('[13]inland_taf_hatchgrp_tableraw&amp;yy'!G$3:G$39,'[13]inland_taf_hatchgrp_tableraw&amp;yy'!$AC$3:$AC$39,'2020 Table 10 CWTs exp '!$A8)</f>
        <v>0</v>
      </c>
      <c r="H8" s="45">
        <f>SUMIFS('[13]inland_taf_hatchgrp_tableraw&amp;yy'!H$3:H$39,'[13]inland_taf_hatchgrp_tableraw&amp;yy'!$AC$3:$AC$39,'2020 Table 10 CWTs exp '!$A8)</f>
        <v>0</v>
      </c>
      <c r="I8" s="46">
        <f>SUMIFS('[13]inland_taf_hatchgrp_tableraw&amp;yy'!I$3:I$39,'[13]inland_taf_hatchgrp_tableraw&amp;yy'!$AC$3:$AC$39,'2020 Table 10 CWTs exp '!$A8)</f>
        <v>0</v>
      </c>
      <c r="J8" s="44">
        <f>SUMIFS('[13]inland_taf_hatchgrp_tableraw&amp;yy'!K$3:K$39,'[13]inland_taf_hatchgrp_tableraw&amp;yy'!$AC$3:$AC$39,'2020 Table 10 CWTs exp '!$A8)</f>
        <v>1455</v>
      </c>
      <c r="K8" s="44">
        <f>SUMIFS('[13]inland_taf_hatchgrp_tableraw&amp;yy'!L$3:L$39,'[13]inland_taf_hatchgrp_tableraw&amp;yy'!$AC$3:$AC$39,'2020 Table 10 CWTs exp '!$A8)</f>
        <v>0</v>
      </c>
      <c r="L8" s="44">
        <f>SUMIFS('[13]inland_taf_hatchgrp_tableraw&amp;yy'!M$3:M$39,'[13]inland_taf_hatchgrp_tableraw&amp;yy'!$AC$3:$AC$39,'2020 Table 10 CWTs exp '!$A8)</f>
        <v>20</v>
      </c>
      <c r="M8" s="46">
        <f>SUMIFS('[13]inland_taf_hatchgrp_tableraw&amp;yy'!N$3:N$39,'[13]inland_taf_hatchgrp_tableraw&amp;yy'!$AC$3:$AC$39,'2020 Table 10 CWTs exp '!$A8)</f>
        <v>8</v>
      </c>
      <c r="N8" s="44">
        <f>SUMIFS('[13]inland_taf_hatchgrp_tableraw&amp;yy'!O$3:O$39,'[13]inland_taf_hatchgrp_tableraw&amp;yy'!$AC$3:$AC$39,'2020 Table 10 CWTs exp '!$A8)</f>
        <v>0</v>
      </c>
      <c r="O8" s="46">
        <f>SUMIFS('[13]inland_taf_hatchgrp_tableraw&amp;yy'!P$3:P$39,'[13]inland_taf_hatchgrp_tableraw&amp;yy'!$AC$3:$AC$39,'2020 Table 10 CWTs exp '!$A8)</f>
        <v>0</v>
      </c>
      <c r="P8" s="44">
        <f>SUMIFS('[13]inland_taf_hatchgrp_tableraw&amp;yy'!Q$3:Q$39,'[13]inland_taf_hatchgrp_tableraw&amp;yy'!$AC$3:$AC$39,'2020 Table 10 CWTs exp '!$A8)</f>
        <v>0</v>
      </c>
      <c r="Q8" s="44">
        <f>SUMIFS('[13]inland_taf_hatchgrp_tableraw&amp;yy'!R$3:R$39,'[13]inland_taf_hatchgrp_tableraw&amp;yy'!$AC$3:$AC$39,'2020 Table 10 CWTs exp '!$A8)</f>
        <v>0</v>
      </c>
      <c r="R8" s="44">
        <f>SUMIFS('[13]inland_taf_hatchgrp_tableraw&amp;yy'!S$3:S$39,'[13]inland_taf_hatchgrp_tableraw&amp;yy'!$AC$3:$AC$39,'2020 Table 10 CWTs exp '!$A8)</f>
        <v>0</v>
      </c>
      <c r="S8" s="46">
        <f>SUMIFS('[13]inland_taf_hatchgrp_tableraw&amp;yy'!T$3:T$39,'[13]inland_taf_hatchgrp_tableraw&amp;yy'!$AC$3:$AC$39,'2020 Table 10 CWTs exp '!$A8)</f>
        <v>0</v>
      </c>
      <c r="T8" s="44">
        <f>SUMIFS('[13]inland_taf_hatchgrp_tableraw&amp;yy'!U$3:U$39,'[13]inland_taf_hatchgrp_tableraw&amp;yy'!$AC$3:$AC$39,'2020 Table 10 CWTs exp '!$A8)</f>
        <v>0</v>
      </c>
      <c r="U8" s="46">
        <f>SUMIFS('[13]inland_taf_hatchgrp_tableraw&amp;yy'!V$3:V$39,'[13]inland_taf_hatchgrp_tableraw&amp;yy'!$AC$3:$AC$39,'2020 Table 10 CWTs exp '!$A8)</f>
        <v>0</v>
      </c>
      <c r="V8" s="46">
        <f>SUMIFS('[13]inland_taf_hatchgrp_tableraw&amp;yy'!W$3:W$39,'[13]inland_taf_hatchgrp_tableraw&amp;yy'!$AC$3:$AC$39,'2020 Table 10 CWTs exp '!$A8)</f>
        <v>1</v>
      </c>
      <c r="W8" s="44">
        <f>SUMIFS('[13]inland_taf_hatchgrp_tableraw&amp;yy'!X$3:X$39,'[13]inland_taf_hatchgrp_tableraw&amp;yy'!$AC$3:$AC$39,'2020 Table 10 CWTs exp '!$A8)</f>
        <v>0</v>
      </c>
      <c r="X8" s="41">
        <f>SUMIFS('[13]inland_taf_hatchgrp_tableraw&amp;yy'!Y$3:Y$39,'[13]inland_taf_hatchgrp_tableraw&amp;yy'!$AC$3:$AC$39,'2020 Table 10 CWTs exp '!$A8)</f>
        <v>1484</v>
      </c>
      <c r="Y8" s="42">
        <f>SUMIFS('[13]inland_taf_hatchgrp_tableraw&amp;yy'!Z$3:Z$39,'[13]inland_taf_hatchgrp_tableraw&amp;yy'!$AC$3:$AC$39,'2020 Table 10 CWTs exp '!$A8)</f>
        <v>70</v>
      </c>
      <c r="Z8" s="38">
        <f>SUMIFS('[13]inland_taf_hatchgrp_tableraw&amp;yy'!AA$3:AA$39,'[13]inland_taf_hatchgrp_tableraw&amp;yy'!$AC$3:$AC$39,'2020 Table 10 CWTs exp '!$A8)</f>
        <v>1554</v>
      </c>
      <c r="AA8" s="44"/>
      <c r="AB8" s="636"/>
      <c r="AC8" s="603">
        <f>SUMIFS('[13]inland_taf_hatchgrp_tableraw&amp;yy'!AB$3:AB$39,'[13]inland_taf_hatchgrp_tableraw&amp;yy'!$AC$3:$AC$39,'2020 Table 10 CWTs exp '!$A8)</f>
        <v>0.95499999999999996</v>
      </c>
      <c r="AD8" s="604" t="str">
        <f t="shared" si="1"/>
        <v>FRFH501</v>
      </c>
      <c r="AE8" s="594"/>
      <c r="AF8" s="622">
        <f>X8/Z8</f>
        <v>0.95495495495495497</v>
      </c>
      <c r="AG8" s="616"/>
      <c r="AH8" s="616"/>
      <c r="AI8" s="602"/>
      <c r="AJ8" s="601"/>
      <c r="AK8" s="601">
        <v>1</v>
      </c>
      <c r="AL8" s="594" t="s">
        <v>47</v>
      </c>
      <c r="AM8" s="594"/>
      <c r="AN8" s="594"/>
      <c r="AO8" s="594"/>
      <c r="AP8" s="594"/>
      <c r="AQ8" s="594"/>
      <c r="AR8" s="594"/>
      <c r="AS8" s="594"/>
      <c r="AT8" s="594"/>
      <c r="AU8" s="594"/>
      <c r="AV8" s="594"/>
      <c r="AW8" s="594"/>
      <c r="AX8" s="594"/>
      <c r="AY8" s="594"/>
      <c r="AZ8" s="594"/>
      <c r="BA8" s="594"/>
      <c r="BB8" s="594"/>
      <c r="BC8" s="594"/>
      <c r="BD8" s="594"/>
      <c r="BE8" s="594"/>
      <c r="BF8" s="594"/>
      <c r="BG8" s="49"/>
    </row>
    <row r="9" spans="1:59" ht="12.75" hidden="1" customHeight="1" x14ac:dyDescent="0.25">
      <c r="A9" s="50" t="str">
        <f>CONCATENATE(B9,C9,D9)</f>
        <v>KESW503</v>
      </c>
      <c r="B9" s="13" t="s">
        <v>43</v>
      </c>
      <c r="C9" s="13">
        <v>50</v>
      </c>
      <c r="D9" s="13">
        <v>3</v>
      </c>
      <c r="E9" s="3" t="s">
        <v>44</v>
      </c>
      <c r="F9" s="43" t="str">
        <f t="shared" si="2"/>
        <v>Fall</v>
      </c>
      <c r="G9" s="38">
        <f>SUMIFS('[13]inland_taf_hatchgrp_tableraw&amp;yy'!G$3:G$39,'[13]inland_taf_hatchgrp_tableraw&amp;yy'!$AC$3:$AC$39,'2020 Table 10 CWTs exp '!$A9)</f>
        <v>0</v>
      </c>
      <c r="H9" s="39">
        <f>SUMIFS('[13]inland_taf_hatchgrp_tableraw&amp;yy'!H$3:H$39,'[13]inland_taf_hatchgrp_tableraw&amp;yy'!$AC$3:$AC$39,'2020 Table 10 CWTs exp '!$A9)</f>
        <v>0</v>
      </c>
      <c r="I9" s="40">
        <f>SUMIFS('[13]inland_taf_hatchgrp_tableraw&amp;yy'!I$3:I$39,'[13]inland_taf_hatchgrp_tableraw&amp;yy'!$AC$3:$AC$39,'2020 Table 10 CWTs exp '!$A9)</f>
        <v>0</v>
      </c>
      <c r="J9" s="38">
        <f>SUMIFS('[13]inland_taf_hatchgrp_tableraw&amp;yy'!K$3:K$39,'[13]inland_taf_hatchgrp_tableraw&amp;yy'!$AC$3:$AC$39,'2020 Table 10 CWTs exp '!$A9)</f>
        <v>0</v>
      </c>
      <c r="K9" s="38">
        <f>SUMIFS('[13]inland_taf_hatchgrp_tableraw&amp;yy'!L$3:L$39,'[13]inland_taf_hatchgrp_tableraw&amp;yy'!$AC$3:$AC$39,'2020 Table 10 CWTs exp '!$A9)</f>
        <v>0</v>
      </c>
      <c r="L9" s="38">
        <f>SUMIFS('[13]inland_taf_hatchgrp_tableraw&amp;yy'!M$3:M$39,'[13]inland_taf_hatchgrp_tableraw&amp;yy'!$AC$3:$AC$39,'2020 Table 10 CWTs exp '!$A9)</f>
        <v>0</v>
      </c>
      <c r="M9" s="40">
        <f>SUMIFS('[13]inland_taf_hatchgrp_tableraw&amp;yy'!N$3:N$39,'[13]inland_taf_hatchgrp_tableraw&amp;yy'!$AC$3:$AC$39,'2020 Table 10 CWTs exp '!$A9)</f>
        <v>0</v>
      </c>
      <c r="N9" s="38">
        <f>SUMIFS('[13]inland_taf_hatchgrp_tableraw&amp;yy'!O$3:O$39,'[13]inland_taf_hatchgrp_tableraw&amp;yy'!$AC$3:$AC$39,'2020 Table 10 CWTs exp '!$A9)</f>
        <v>0</v>
      </c>
      <c r="O9" s="40">
        <f>SUMIFS('[13]inland_taf_hatchgrp_tableraw&amp;yy'!P$3:P$39,'[13]inland_taf_hatchgrp_tableraw&amp;yy'!$AC$3:$AC$39,'2020 Table 10 CWTs exp '!$A9)</f>
        <v>0</v>
      </c>
      <c r="P9" s="38">
        <f>SUMIFS('[13]inland_taf_hatchgrp_tableraw&amp;yy'!Q$3:Q$39,'[13]inland_taf_hatchgrp_tableraw&amp;yy'!$AC$3:$AC$39,'2020 Table 10 CWTs exp '!$A9)</f>
        <v>0</v>
      </c>
      <c r="Q9" s="38">
        <f>SUMIFS('[13]inland_taf_hatchgrp_tableraw&amp;yy'!R$3:R$39,'[13]inland_taf_hatchgrp_tableraw&amp;yy'!$AC$3:$AC$39,'2020 Table 10 CWTs exp '!$A9)</f>
        <v>0</v>
      </c>
      <c r="R9" s="38">
        <f>SUMIFS('[13]inland_taf_hatchgrp_tableraw&amp;yy'!S$3:S$39,'[13]inland_taf_hatchgrp_tableraw&amp;yy'!$AC$3:$AC$39,'2020 Table 10 CWTs exp '!$A9)</f>
        <v>0</v>
      </c>
      <c r="S9" s="40">
        <f>SUMIFS('[13]inland_taf_hatchgrp_tableraw&amp;yy'!T$3:T$39,'[13]inland_taf_hatchgrp_tableraw&amp;yy'!$AC$3:$AC$39,'2020 Table 10 CWTs exp '!$A9)</f>
        <v>0</v>
      </c>
      <c r="T9" s="38">
        <f>SUMIFS('[13]inland_taf_hatchgrp_tableraw&amp;yy'!U$3:U$39,'[13]inland_taf_hatchgrp_tableraw&amp;yy'!$AC$3:$AC$39,'2020 Table 10 CWTs exp '!$A9)</f>
        <v>0</v>
      </c>
      <c r="U9" s="40">
        <f>SUMIFS('[13]inland_taf_hatchgrp_tableraw&amp;yy'!V$3:V$39,'[13]inland_taf_hatchgrp_tableraw&amp;yy'!$AC$3:$AC$39,'2020 Table 10 CWTs exp '!$A9)</f>
        <v>0</v>
      </c>
      <c r="V9" s="40">
        <f>SUMIFS('[13]inland_taf_hatchgrp_tableraw&amp;yy'!W$3:W$39,'[13]inland_taf_hatchgrp_tableraw&amp;yy'!$AC$3:$AC$39,'2020 Table 10 CWTs exp '!$A9)</f>
        <v>0</v>
      </c>
      <c r="W9" s="38">
        <f>SUMIFS('[13]inland_taf_hatchgrp_tableraw&amp;yy'!X$3:X$39,'[13]inland_taf_hatchgrp_tableraw&amp;yy'!$AC$3:$AC$39,'2020 Table 10 CWTs exp '!$A9)</f>
        <v>0</v>
      </c>
      <c r="X9" s="41">
        <f>SUMIFS('[13]inland_taf_hatchgrp_tableraw&amp;yy'!Y$3:Y$39,'[13]inland_taf_hatchgrp_tableraw&amp;yy'!$AC$3:$AC$39,'2020 Table 10 CWTs exp '!$A9)</f>
        <v>0</v>
      </c>
      <c r="Y9" s="42">
        <f>SUMIFS('[13]inland_taf_hatchgrp_tableraw&amp;yy'!Z$3:Z$39,'[13]inland_taf_hatchgrp_tableraw&amp;yy'!$AC$3:$AC$39,'2020 Table 10 CWTs exp '!$A9)</f>
        <v>0</v>
      </c>
      <c r="Z9" s="38">
        <f>SUMIFS('[13]inland_taf_hatchgrp_tableraw&amp;yy'!AA$3:AA$39,'[13]inland_taf_hatchgrp_tableraw&amp;yy'!$AC$3:$AC$39,'2020 Table 10 CWTs exp '!$A9)</f>
        <v>0</v>
      </c>
      <c r="AA9" s="38"/>
      <c r="AB9" s="634"/>
      <c r="AC9" s="603">
        <f>SUMIFS('[13]inland_taf_hatchgrp_tableraw&amp;yy'!AB$3:AB$39,'[13]inland_taf_hatchgrp_tableraw&amp;yy'!$AC$3:$AC$39,'2020 Table 10 CWTs exp '!$A9)</f>
        <v>0</v>
      </c>
      <c r="AD9" s="604" t="str">
        <f t="shared" si="1"/>
        <v>KESW503</v>
      </c>
      <c r="AE9" s="603"/>
      <c r="AF9" s="622" t="e">
        <f>X9/Z9</f>
        <v>#DIV/0!</v>
      </c>
      <c r="AG9" s="597"/>
      <c r="AH9" s="605">
        <f>1-AC9</f>
        <v>1</v>
      </c>
      <c r="AI9" s="447">
        <f>Y9</f>
        <v>0</v>
      </c>
      <c r="AJ9" s="650" t="e">
        <f t="shared" ref="AJ9:AJ14" si="3">AI9/Z9</f>
        <v>#DIV/0!</v>
      </c>
      <c r="AK9" s="451">
        <v>3</v>
      </c>
      <c r="AL9" s="442" t="s">
        <v>48</v>
      </c>
      <c r="AM9" s="442"/>
      <c r="AN9" s="442"/>
      <c r="AO9" s="442"/>
      <c r="AP9" s="442"/>
      <c r="AQ9" s="442"/>
      <c r="AR9" s="442"/>
      <c r="AS9" s="442"/>
      <c r="AT9" s="442"/>
      <c r="AU9" s="442"/>
      <c r="AV9" s="442"/>
      <c r="AW9" s="442"/>
      <c r="AX9" s="442"/>
      <c r="AY9" s="442"/>
      <c r="AZ9" s="442"/>
      <c r="BA9" s="442"/>
      <c r="BB9" s="442"/>
      <c r="BC9" s="442"/>
      <c r="BD9" s="442"/>
      <c r="BE9" s="442"/>
      <c r="BF9" s="442"/>
    </row>
    <row r="10" spans="1:59" ht="14.5" customHeight="1" x14ac:dyDescent="0.25">
      <c r="A10" s="50" t="str">
        <f t="shared" si="0"/>
        <v>CNFH503</v>
      </c>
      <c r="B10" s="13" t="s">
        <v>40</v>
      </c>
      <c r="C10" s="13">
        <v>50</v>
      </c>
      <c r="D10" s="13">
        <v>3</v>
      </c>
      <c r="E10" s="3" t="s">
        <v>41</v>
      </c>
      <c r="F10" s="43" t="str">
        <f t="shared" si="2"/>
        <v>Fall</v>
      </c>
      <c r="G10" s="38">
        <f>SUMIFS('[13]inland_taf_hatchgrp_tableraw&amp;yy'!G$3:G$39,'[13]inland_taf_hatchgrp_tableraw&amp;yy'!$AC$3:$AC$39,'2020 Table 10 CWTs exp '!$A10)</f>
        <v>0</v>
      </c>
      <c r="H10" s="39">
        <f>SUMIFS('[13]inland_taf_hatchgrp_tableraw&amp;yy'!H$3:H$39,'[13]inland_taf_hatchgrp_tableraw&amp;yy'!$AC$3:$AC$39,'2020 Table 10 CWTs exp '!$A10)</f>
        <v>23</v>
      </c>
      <c r="I10" s="40">
        <f>SUMIFS('[13]inland_taf_hatchgrp_tableraw&amp;yy'!I$3:I$39,'[13]inland_taf_hatchgrp_tableraw&amp;yy'!$AC$3:$AC$39,'2020 Table 10 CWTs exp '!$A10)</f>
        <v>11772</v>
      </c>
      <c r="J10" s="38">
        <f>SUMIFS('[13]inland_taf_hatchgrp_tableraw&amp;yy'!K$3:K$39,'[13]inland_taf_hatchgrp_tableraw&amp;yy'!$AC$3:$AC$39,'2020 Table 10 CWTs exp '!$A10)</f>
        <v>0</v>
      </c>
      <c r="K10" s="38">
        <f>SUMIFS('[13]inland_taf_hatchgrp_tableraw&amp;yy'!L$3:L$39,'[13]inland_taf_hatchgrp_tableraw&amp;yy'!$AC$3:$AC$39,'2020 Table 10 CWTs exp '!$A10)</f>
        <v>0</v>
      </c>
      <c r="L10" s="38">
        <f>SUMIFS('[13]inland_taf_hatchgrp_tableraw&amp;yy'!M$3:M$39,'[13]inland_taf_hatchgrp_tableraw&amp;yy'!$AC$3:$AC$39,'2020 Table 10 CWTs exp '!$A10)</f>
        <v>73</v>
      </c>
      <c r="M10" s="40">
        <f>SUMIFS('[13]inland_taf_hatchgrp_tableraw&amp;yy'!N$3:N$39,'[13]inland_taf_hatchgrp_tableraw&amp;yy'!$AC$3:$AC$39,'2020 Table 10 CWTs exp '!$A10)</f>
        <v>69</v>
      </c>
      <c r="N10" s="38">
        <f>SUMIFS('[13]inland_taf_hatchgrp_tableraw&amp;yy'!O$3:O$39,'[13]inland_taf_hatchgrp_tableraw&amp;yy'!$AC$3:$AC$39,'2020 Table 10 CWTs exp '!$A10)</f>
        <v>4</v>
      </c>
      <c r="O10" s="40">
        <f>SUMIFS('[13]inland_taf_hatchgrp_tableraw&amp;yy'!P$3:P$39,'[13]inland_taf_hatchgrp_tableraw&amp;yy'!$AC$3:$AC$39,'2020 Table 10 CWTs exp '!$A10)</f>
        <v>8</v>
      </c>
      <c r="P10" s="38">
        <f>SUMIFS('[13]inland_taf_hatchgrp_tableraw&amp;yy'!Q$3:Q$39,'[13]inland_taf_hatchgrp_tableraw&amp;yy'!$AC$3:$AC$39,'2020 Table 10 CWTs exp '!$A10)</f>
        <v>0</v>
      </c>
      <c r="Q10" s="38">
        <f>SUMIFS('[13]inland_taf_hatchgrp_tableraw&amp;yy'!R$3:R$39,'[13]inland_taf_hatchgrp_tableraw&amp;yy'!$AC$3:$AC$39,'2020 Table 10 CWTs exp '!$A10)</f>
        <v>4</v>
      </c>
      <c r="R10" s="38">
        <f>SUMIFS('[13]inland_taf_hatchgrp_tableraw&amp;yy'!S$3:S$39,'[13]inland_taf_hatchgrp_tableraw&amp;yy'!$AC$3:$AC$39,'2020 Table 10 CWTs exp '!$A10)</f>
        <v>1</v>
      </c>
      <c r="S10" s="40">
        <f>SUMIFS('[13]inland_taf_hatchgrp_tableraw&amp;yy'!T$3:T$39,'[13]inland_taf_hatchgrp_tableraw&amp;yy'!$AC$3:$AC$39,'2020 Table 10 CWTs exp '!$A10)</f>
        <v>4</v>
      </c>
      <c r="T10" s="38">
        <f>SUMIFS('[13]inland_taf_hatchgrp_tableraw&amp;yy'!U$3:U$39,'[13]inland_taf_hatchgrp_tableraw&amp;yy'!$AC$3:$AC$39,'2020 Table 10 CWTs exp '!$A10)</f>
        <v>0</v>
      </c>
      <c r="U10" s="40">
        <f>SUMIFS('[13]inland_taf_hatchgrp_tableraw&amp;yy'!V$3:V$39,'[13]inland_taf_hatchgrp_tableraw&amp;yy'!$AC$3:$AC$39,'2020 Table 10 CWTs exp '!$A10)</f>
        <v>0</v>
      </c>
      <c r="V10" s="40">
        <f>SUMIFS('[13]inland_taf_hatchgrp_tableraw&amp;yy'!W$3:W$39,'[13]inland_taf_hatchgrp_tableraw&amp;yy'!$AC$3:$AC$39,'2020 Table 10 CWTs exp '!$A10)</f>
        <v>0</v>
      </c>
      <c r="W10" s="38">
        <f>SUMIFS('[13]inland_taf_hatchgrp_tableraw&amp;yy'!X$3:X$39,'[13]inland_taf_hatchgrp_tableraw&amp;yy'!$AC$3:$AC$39,'2020 Table 10 CWTs exp '!$A10)</f>
        <v>0</v>
      </c>
      <c r="X10" s="41">
        <f>SUMIFS('[13]inland_taf_hatchgrp_tableraw&amp;yy'!Y$3:Y$39,'[13]inland_taf_hatchgrp_tableraw&amp;yy'!$AC$3:$AC$39,'2020 Table 10 CWTs exp '!$A10)</f>
        <v>11958</v>
      </c>
      <c r="Y10" s="42">
        <f>SUMIFS('[13]inland_taf_hatchgrp_tableraw&amp;yy'!Z$3:Z$39,'[13]inland_taf_hatchgrp_tableraw&amp;yy'!$AC$3:$AC$39,'2020 Table 10 CWTs exp '!$A10)</f>
        <v>1779</v>
      </c>
      <c r="Z10" s="38">
        <f>SUMIFS('[13]inland_taf_hatchgrp_tableraw&amp;yy'!AA$3:AA$39,'[13]inland_taf_hatchgrp_tableraw&amp;yy'!$AC$3:$AC$39,'2020 Table 10 CWTs exp '!$A10)</f>
        <v>13737</v>
      </c>
      <c r="AA10" s="38"/>
      <c r="AB10" s="634"/>
      <c r="AC10" s="603">
        <f>SUMIFS('[13]inland_taf_hatchgrp_tableraw&amp;yy'!AB$3:AB$39,'[13]inland_taf_hatchgrp_tableraw&amp;yy'!$AC$3:$AC$39,'2020 Table 10 CWTs exp '!$A10)</f>
        <v>0.87</v>
      </c>
      <c r="AD10" s="604" t="str">
        <f t="shared" si="1"/>
        <v>CNFH503</v>
      </c>
      <c r="AE10" s="603"/>
      <c r="AF10" s="622">
        <f t="shared" ref="AF10:AF17" si="4">X10/Z10</f>
        <v>0.87049574142825947</v>
      </c>
      <c r="AG10" s="597"/>
      <c r="AH10" s="605">
        <f>1-AC10</f>
        <v>0.13</v>
      </c>
      <c r="AI10" s="447">
        <f>Y10</f>
        <v>1779</v>
      </c>
      <c r="AJ10" s="650">
        <f t="shared" si="3"/>
        <v>0.12950425857174055</v>
      </c>
      <c r="AK10" s="451">
        <v>4</v>
      </c>
      <c r="AL10" s="442" t="s">
        <v>42</v>
      </c>
      <c r="AM10" s="442"/>
      <c r="AN10" s="442"/>
      <c r="AO10" s="442"/>
      <c r="AP10" s="442"/>
      <c r="AQ10" s="442"/>
      <c r="AR10" s="442"/>
      <c r="AS10" s="442"/>
      <c r="AT10" s="442"/>
      <c r="AU10" s="442"/>
      <c r="AV10" s="442"/>
      <c r="AW10" s="442"/>
      <c r="AX10" s="442"/>
      <c r="AY10" s="442"/>
      <c r="AZ10" s="442"/>
      <c r="BA10" s="442"/>
      <c r="BB10" s="442"/>
      <c r="BC10" s="442"/>
      <c r="BD10" s="442"/>
      <c r="BE10" s="442"/>
      <c r="BF10" s="442"/>
    </row>
    <row r="11" spans="1:59" ht="14.5" customHeight="1" x14ac:dyDescent="0.25">
      <c r="A11" s="50" t="str">
        <f t="shared" si="0"/>
        <v>FRFH503</v>
      </c>
      <c r="B11" s="13" t="s">
        <v>45</v>
      </c>
      <c r="C11" s="13">
        <v>50</v>
      </c>
      <c r="D11" s="13">
        <v>3</v>
      </c>
      <c r="E11" s="3" t="s">
        <v>46</v>
      </c>
      <c r="F11" s="43" t="str">
        <f t="shared" si="2"/>
        <v>Fall</v>
      </c>
      <c r="G11" s="38">
        <f>SUMIFS('[13]inland_taf_hatchgrp_tableraw&amp;yy'!G$3:G$39,'[13]inland_taf_hatchgrp_tableraw&amp;yy'!$AC$3:$AC$39,'2020 Table 10 CWTs exp '!$A11)</f>
        <v>0</v>
      </c>
      <c r="H11" s="39">
        <f>SUMIFS('[13]inland_taf_hatchgrp_tableraw&amp;yy'!H$3:H$39,'[13]inland_taf_hatchgrp_tableraw&amp;yy'!$AC$3:$AC$39,'2020 Table 10 CWTs exp '!$A11)</f>
        <v>0</v>
      </c>
      <c r="I11" s="40">
        <f>SUMIFS('[13]inland_taf_hatchgrp_tableraw&amp;yy'!I$3:I$39,'[13]inland_taf_hatchgrp_tableraw&amp;yy'!$AC$3:$AC$39,'2020 Table 10 CWTs exp '!$A11)</f>
        <v>0</v>
      </c>
      <c r="J11" s="38">
        <f>SUMIFS('[13]inland_taf_hatchgrp_tableraw&amp;yy'!K$3:K$39,'[13]inland_taf_hatchgrp_tableraw&amp;yy'!$AC$3:$AC$39,'2020 Table 10 CWTs exp '!$A11)</f>
        <v>1236</v>
      </c>
      <c r="K11" s="38">
        <f>SUMIFS('[13]inland_taf_hatchgrp_tableraw&amp;yy'!L$3:L$39,'[13]inland_taf_hatchgrp_tableraw&amp;yy'!$AC$3:$AC$39,'2020 Table 10 CWTs exp '!$A11)</f>
        <v>335</v>
      </c>
      <c r="L11" s="38">
        <f>SUMIFS('[13]inland_taf_hatchgrp_tableraw&amp;yy'!M$3:M$39,'[13]inland_taf_hatchgrp_tableraw&amp;yy'!$AC$3:$AC$39,'2020 Table 10 CWTs exp '!$A11)</f>
        <v>10840</v>
      </c>
      <c r="M11" s="40">
        <f>SUMIFS('[13]inland_taf_hatchgrp_tableraw&amp;yy'!N$3:N$39,'[13]inland_taf_hatchgrp_tableraw&amp;yy'!$AC$3:$AC$39,'2020 Table 10 CWTs exp '!$A11)</f>
        <v>6626</v>
      </c>
      <c r="N11" s="38">
        <f>SUMIFS('[13]inland_taf_hatchgrp_tableraw&amp;yy'!O$3:O$39,'[13]inland_taf_hatchgrp_tableraw&amp;yy'!$AC$3:$AC$39,'2020 Table 10 CWTs exp '!$A11)</f>
        <v>4</v>
      </c>
      <c r="O11" s="40">
        <f>SUMIFS('[13]inland_taf_hatchgrp_tableraw&amp;yy'!P$3:P$39,'[13]inland_taf_hatchgrp_tableraw&amp;yy'!$AC$3:$AC$39,'2020 Table 10 CWTs exp '!$A11)</f>
        <v>157</v>
      </c>
      <c r="P11" s="38">
        <f>SUMIFS('[13]inland_taf_hatchgrp_tableraw&amp;yy'!Q$3:Q$39,'[13]inland_taf_hatchgrp_tableraw&amp;yy'!$AC$3:$AC$39,'2020 Table 10 CWTs exp '!$A11)</f>
        <v>0</v>
      </c>
      <c r="Q11" s="38">
        <f>SUMIFS('[13]inland_taf_hatchgrp_tableraw&amp;yy'!R$3:R$39,'[13]inland_taf_hatchgrp_tableraw&amp;yy'!$AC$3:$AC$39,'2020 Table 10 CWTs exp '!$A11)</f>
        <v>97</v>
      </c>
      <c r="R11" s="38">
        <f>SUMIFS('[13]inland_taf_hatchgrp_tableraw&amp;yy'!S$3:S$39,'[13]inland_taf_hatchgrp_tableraw&amp;yy'!$AC$3:$AC$39,'2020 Table 10 CWTs exp '!$A11)</f>
        <v>68</v>
      </c>
      <c r="S11" s="40">
        <f>SUMIFS('[13]inland_taf_hatchgrp_tableraw&amp;yy'!T$3:T$39,'[13]inland_taf_hatchgrp_tableraw&amp;yy'!$AC$3:$AC$39,'2020 Table 10 CWTs exp '!$A11)</f>
        <v>2</v>
      </c>
      <c r="T11" s="38">
        <f>SUMIFS('[13]inland_taf_hatchgrp_tableraw&amp;yy'!U$3:U$39,'[13]inland_taf_hatchgrp_tableraw&amp;yy'!$AC$3:$AC$39,'2020 Table 10 CWTs exp '!$A11)</f>
        <v>0</v>
      </c>
      <c r="U11" s="40">
        <f>SUMIFS('[13]inland_taf_hatchgrp_tableraw&amp;yy'!V$3:V$39,'[13]inland_taf_hatchgrp_tableraw&amp;yy'!$AC$3:$AC$39,'2020 Table 10 CWTs exp '!$A11)</f>
        <v>208</v>
      </c>
      <c r="V11" s="40">
        <f>SUMIFS('[13]inland_taf_hatchgrp_tableraw&amp;yy'!W$3:W$39,'[13]inland_taf_hatchgrp_tableraw&amp;yy'!$AC$3:$AC$39,'2020 Table 10 CWTs exp '!$A11)</f>
        <v>5</v>
      </c>
      <c r="W11" s="38">
        <f>SUMIFS('[13]inland_taf_hatchgrp_tableraw&amp;yy'!X$3:X$39,'[13]inland_taf_hatchgrp_tableraw&amp;yy'!$AC$3:$AC$39,'2020 Table 10 CWTs exp '!$A11)</f>
        <v>0</v>
      </c>
      <c r="X11" s="41">
        <f>SUMIFS('[13]inland_taf_hatchgrp_tableraw&amp;yy'!Y$3:Y$39,'[13]inland_taf_hatchgrp_tableraw&amp;yy'!$AC$3:$AC$39,'2020 Table 10 CWTs exp '!$A11)</f>
        <v>19578</v>
      </c>
      <c r="Y11" s="42">
        <f>SUMIFS('[13]inland_taf_hatchgrp_tableraw&amp;yy'!Z$3:Z$39,'[13]inland_taf_hatchgrp_tableraw&amp;yy'!$AC$3:$AC$39,'2020 Table 10 CWTs exp '!$A11)</f>
        <v>2615</v>
      </c>
      <c r="Z11" s="38">
        <f>SUMIFS('[13]inland_taf_hatchgrp_tableraw&amp;yy'!AA$3:AA$39,'[13]inland_taf_hatchgrp_tableraw&amp;yy'!$AC$3:$AC$39,'2020 Table 10 CWTs exp '!$A11)</f>
        <v>22193</v>
      </c>
      <c r="AA11" s="38"/>
      <c r="AB11" s="634"/>
      <c r="AC11" s="603">
        <f>SUMIFS('[13]inland_taf_hatchgrp_tableraw&amp;yy'!AB$3:AB$39,'[13]inland_taf_hatchgrp_tableraw&amp;yy'!$AC$3:$AC$39,'2020 Table 10 CWTs exp '!$A11)</f>
        <v>0.88200000000000001</v>
      </c>
      <c r="AD11" s="604" t="str">
        <f t="shared" si="1"/>
        <v>FRFH503</v>
      </c>
      <c r="AE11" s="603"/>
      <c r="AF11" s="622">
        <f t="shared" si="4"/>
        <v>0.88217005362051093</v>
      </c>
      <c r="AG11" s="597"/>
      <c r="AH11" s="605">
        <f t="shared" ref="AH11:AH14" si="5">1-AC11</f>
        <v>0.11799999999999999</v>
      </c>
      <c r="AI11" s="447">
        <f t="shared" ref="AI11:AI14" si="6">Y11</f>
        <v>2615</v>
      </c>
      <c r="AJ11" s="650">
        <f t="shared" si="3"/>
        <v>0.11782994637948903</v>
      </c>
      <c r="AK11" s="451">
        <v>7</v>
      </c>
      <c r="AL11" s="442" t="s">
        <v>49</v>
      </c>
      <c r="AM11" s="442"/>
      <c r="AN11" s="442"/>
      <c r="AO11" s="442"/>
      <c r="AP11" s="442"/>
      <c r="AQ11" s="442"/>
      <c r="AR11" s="442"/>
      <c r="AS11" s="442"/>
      <c r="AT11" s="442"/>
      <c r="AU11" s="442"/>
      <c r="AV11" s="442"/>
      <c r="AW11" s="442"/>
      <c r="AX11" s="442"/>
      <c r="AY11" s="442"/>
      <c r="AZ11" s="442"/>
      <c r="BA11" s="442"/>
      <c r="BB11" s="442"/>
      <c r="BC11" s="442"/>
      <c r="BD11" s="442"/>
      <c r="BE11" s="442"/>
      <c r="BF11" s="442"/>
    </row>
    <row r="12" spans="1:59" ht="14.5" customHeight="1" x14ac:dyDescent="0.25">
      <c r="A12" s="50" t="str">
        <f t="shared" si="0"/>
        <v>NBFH503</v>
      </c>
      <c r="B12" s="13" t="s">
        <v>50</v>
      </c>
      <c r="C12" s="13">
        <v>50</v>
      </c>
      <c r="D12" s="13">
        <v>3</v>
      </c>
      <c r="E12" s="3" t="s">
        <v>51</v>
      </c>
      <c r="F12" s="43" t="str">
        <f t="shared" si="2"/>
        <v>Fall</v>
      </c>
      <c r="G12" s="38">
        <f>SUMIFS('[13]inland_taf_hatchgrp_tableraw&amp;yy'!G$3:G$39,'[13]inland_taf_hatchgrp_tableraw&amp;yy'!$AC$3:$AC$39,'2020 Table 10 CWTs exp '!$A12)</f>
        <v>0</v>
      </c>
      <c r="H12" s="39">
        <f>SUMIFS('[13]inland_taf_hatchgrp_tableraw&amp;yy'!H$3:H$39,'[13]inland_taf_hatchgrp_tableraw&amp;yy'!$AC$3:$AC$39,'2020 Table 10 CWTs exp '!$A12)</f>
        <v>1</v>
      </c>
      <c r="I12" s="40">
        <f>SUMIFS('[13]inland_taf_hatchgrp_tableraw&amp;yy'!I$3:I$39,'[13]inland_taf_hatchgrp_tableraw&amp;yy'!$AC$3:$AC$39,'2020 Table 10 CWTs exp '!$A12)</f>
        <v>4</v>
      </c>
      <c r="J12" s="38">
        <f>SUMIFS('[13]inland_taf_hatchgrp_tableraw&amp;yy'!K$3:K$39,'[13]inland_taf_hatchgrp_tableraw&amp;yy'!$AC$3:$AC$39,'2020 Table 10 CWTs exp '!$A12)</f>
        <v>0</v>
      </c>
      <c r="K12" s="38">
        <f>SUMIFS('[13]inland_taf_hatchgrp_tableraw&amp;yy'!L$3:L$39,'[13]inland_taf_hatchgrp_tableraw&amp;yy'!$AC$3:$AC$39,'2020 Table 10 CWTs exp '!$A12)</f>
        <v>0</v>
      </c>
      <c r="L12" s="38">
        <f>SUMIFS('[13]inland_taf_hatchgrp_tableraw&amp;yy'!M$3:M$39,'[13]inland_taf_hatchgrp_tableraw&amp;yy'!$AC$3:$AC$39,'2020 Table 10 CWTs exp '!$A12)</f>
        <v>80</v>
      </c>
      <c r="M12" s="40">
        <f>SUMIFS('[13]inland_taf_hatchgrp_tableraw&amp;yy'!N$3:N$39,'[13]inland_taf_hatchgrp_tableraw&amp;yy'!$AC$3:$AC$39,'2020 Table 10 CWTs exp '!$A12)</f>
        <v>77</v>
      </c>
      <c r="N12" s="38">
        <f>SUMIFS('[13]inland_taf_hatchgrp_tableraw&amp;yy'!O$3:O$39,'[13]inland_taf_hatchgrp_tableraw&amp;yy'!$AC$3:$AC$39,'2020 Table 10 CWTs exp '!$A12)</f>
        <v>576</v>
      </c>
      <c r="O12" s="40">
        <f>SUMIFS('[13]inland_taf_hatchgrp_tableraw&amp;yy'!P$3:P$39,'[13]inland_taf_hatchgrp_tableraw&amp;yy'!$AC$3:$AC$39,'2020 Table 10 CWTs exp '!$A12)</f>
        <v>3361</v>
      </c>
      <c r="P12" s="38">
        <f>SUMIFS('[13]inland_taf_hatchgrp_tableraw&amp;yy'!Q$3:Q$39,'[13]inland_taf_hatchgrp_tableraw&amp;yy'!$AC$3:$AC$39,'2020 Table 10 CWTs exp '!$A12)</f>
        <v>1</v>
      </c>
      <c r="Q12" s="38">
        <f>SUMIFS('[13]inland_taf_hatchgrp_tableraw&amp;yy'!R$3:R$39,'[13]inland_taf_hatchgrp_tableraw&amp;yy'!$AC$3:$AC$39,'2020 Table 10 CWTs exp '!$A12)</f>
        <v>927</v>
      </c>
      <c r="R12" s="38">
        <f>SUMIFS('[13]inland_taf_hatchgrp_tableraw&amp;yy'!S$3:S$39,'[13]inland_taf_hatchgrp_tableraw&amp;yy'!$AC$3:$AC$39,'2020 Table 10 CWTs exp '!$A12)</f>
        <v>80</v>
      </c>
      <c r="S12" s="40">
        <f>SUMIFS('[13]inland_taf_hatchgrp_tableraw&amp;yy'!T$3:T$39,'[13]inland_taf_hatchgrp_tableraw&amp;yy'!$AC$3:$AC$39,'2020 Table 10 CWTs exp '!$A12)</f>
        <v>84</v>
      </c>
      <c r="T12" s="38">
        <f>SUMIFS('[13]inland_taf_hatchgrp_tableraw&amp;yy'!U$3:U$39,'[13]inland_taf_hatchgrp_tableraw&amp;yy'!$AC$3:$AC$39,'2020 Table 10 CWTs exp '!$A12)</f>
        <v>0</v>
      </c>
      <c r="U12" s="40">
        <f>SUMIFS('[13]inland_taf_hatchgrp_tableraw&amp;yy'!V$3:V$39,'[13]inland_taf_hatchgrp_tableraw&amp;yy'!$AC$3:$AC$39,'2020 Table 10 CWTs exp '!$A12)</f>
        <v>218</v>
      </c>
      <c r="V12" s="40">
        <f>SUMIFS('[13]inland_taf_hatchgrp_tableraw&amp;yy'!W$3:W$39,'[13]inland_taf_hatchgrp_tableraw&amp;yy'!$AC$3:$AC$39,'2020 Table 10 CWTs exp '!$A12)</f>
        <v>0</v>
      </c>
      <c r="W12" s="38">
        <f>SUMIFS('[13]inland_taf_hatchgrp_tableraw&amp;yy'!X$3:X$39,'[13]inland_taf_hatchgrp_tableraw&amp;yy'!$AC$3:$AC$39,'2020 Table 10 CWTs exp '!$A12)</f>
        <v>0</v>
      </c>
      <c r="X12" s="41">
        <f>SUMIFS('[13]inland_taf_hatchgrp_tableraw&amp;yy'!Y$3:Y$39,'[13]inland_taf_hatchgrp_tableraw&amp;yy'!$AC$3:$AC$39,'2020 Table 10 CWTs exp '!$A12)</f>
        <v>5409</v>
      </c>
      <c r="Y12" s="42">
        <f>SUMIFS('[13]inland_taf_hatchgrp_tableraw&amp;yy'!Z$3:Z$39,'[13]inland_taf_hatchgrp_tableraw&amp;yy'!$AC$3:$AC$39,'2020 Table 10 CWTs exp '!$A12)</f>
        <v>855</v>
      </c>
      <c r="Z12" s="38">
        <f>SUMIFS('[13]inland_taf_hatchgrp_tableraw&amp;yy'!AA$3:AA$39,'[13]inland_taf_hatchgrp_tableraw&amp;yy'!$AC$3:$AC$39,'2020 Table 10 CWTs exp '!$A12)</f>
        <v>6264</v>
      </c>
      <c r="AA12" s="38"/>
      <c r="AB12" s="634"/>
      <c r="AC12" s="603">
        <f>SUMIFS('[13]inland_taf_hatchgrp_tableraw&amp;yy'!AB$3:AB$39,'[13]inland_taf_hatchgrp_tableraw&amp;yy'!$AC$3:$AC$39,'2020 Table 10 CWTs exp '!$A12)</f>
        <v>0.86399999999999999</v>
      </c>
      <c r="AD12" s="604" t="str">
        <f t="shared" si="1"/>
        <v>NBFH503</v>
      </c>
      <c r="AE12" s="603"/>
      <c r="AF12" s="622">
        <f t="shared" si="4"/>
        <v>0.8635057471264368</v>
      </c>
      <c r="AG12" s="597"/>
      <c r="AH12" s="605">
        <f t="shared" si="5"/>
        <v>0.13600000000000001</v>
      </c>
      <c r="AI12" s="447">
        <f t="shared" si="6"/>
        <v>855</v>
      </c>
      <c r="AJ12" s="650">
        <f t="shared" si="3"/>
        <v>0.13649425287356323</v>
      </c>
      <c r="AK12" s="451"/>
      <c r="AL12" s="442"/>
      <c r="AM12" s="442"/>
      <c r="AN12" s="442"/>
      <c r="AO12" s="442"/>
      <c r="AP12" s="442"/>
      <c r="AQ12" s="442"/>
      <c r="AR12" s="442"/>
      <c r="AS12" s="442"/>
      <c r="AT12" s="442"/>
      <c r="AU12" s="442"/>
      <c r="AV12" s="442"/>
      <c r="AW12" s="442"/>
      <c r="AX12" s="442"/>
      <c r="AY12" s="442"/>
      <c r="AZ12" s="442"/>
      <c r="BA12" s="442"/>
      <c r="BB12" s="442"/>
      <c r="BC12" s="442"/>
      <c r="BD12" s="442"/>
      <c r="BE12" s="442"/>
      <c r="BF12" s="442"/>
    </row>
    <row r="13" spans="1:59" ht="14.5" customHeight="1" x14ac:dyDescent="0.25">
      <c r="A13" s="50" t="str">
        <f t="shared" si="0"/>
        <v>MRFI503</v>
      </c>
      <c r="B13" s="13" t="s">
        <v>52</v>
      </c>
      <c r="C13" s="13">
        <v>50</v>
      </c>
      <c r="D13" s="13">
        <v>3</v>
      </c>
      <c r="E13" s="3" t="s">
        <v>53</v>
      </c>
      <c r="F13" s="43" t="str">
        <f t="shared" si="2"/>
        <v>Fall</v>
      </c>
      <c r="G13" s="38">
        <f>SUMIFS('[13]inland_taf_hatchgrp_tableraw&amp;yy'!G$3:G$39,'[13]inland_taf_hatchgrp_tableraw&amp;yy'!$AC$3:$AC$39,'2020 Table 10 CWTs exp '!$A13)</f>
        <v>0</v>
      </c>
      <c r="H13" s="39">
        <f>SUMIFS('[13]inland_taf_hatchgrp_tableraw&amp;yy'!H$3:H$39,'[13]inland_taf_hatchgrp_tableraw&amp;yy'!$AC$3:$AC$39,'2020 Table 10 CWTs exp '!$A13)</f>
        <v>2</v>
      </c>
      <c r="I13" s="40">
        <f>SUMIFS('[13]inland_taf_hatchgrp_tableraw&amp;yy'!I$3:I$39,'[13]inland_taf_hatchgrp_tableraw&amp;yy'!$AC$3:$AC$39,'2020 Table 10 CWTs exp '!$A13)</f>
        <v>4</v>
      </c>
      <c r="J13" s="38">
        <f>SUMIFS('[13]inland_taf_hatchgrp_tableraw&amp;yy'!K$3:K$39,'[13]inland_taf_hatchgrp_tableraw&amp;yy'!$AC$3:$AC$39,'2020 Table 10 CWTs exp '!$A13)</f>
        <v>0</v>
      </c>
      <c r="K13" s="38">
        <f>SUMIFS('[13]inland_taf_hatchgrp_tableraw&amp;yy'!L$3:L$39,'[13]inland_taf_hatchgrp_tableraw&amp;yy'!$AC$3:$AC$39,'2020 Table 10 CWTs exp '!$A13)</f>
        <v>0</v>
      </c>
      <c r="L13" s="38">
        <f>SUMIFS('[13]inland_taf_hatchgrp_tableraw&amp;yy'!M$3:M$39,'[13]inland_taf_hatchgrp_tableraw&amp;yy'!$AC$3:$AC$39,'2020 Table 10 CWTs exp '!$A13)</f>
        <v>36</v>
      </c>
      <c r="M13" s="40">
        <f>SUMIFS('[13]inland_taf_hatchgrp_tableraw&amp;yy'!N$3:N$39,'[13]inland_taf_hatchgrp_tableraw&amp;yy'!$AC$3:$AC$39,'2020 Table 10 CWTs exp '!$A13)</f>
        <v>32</v>
      </c>
      <c r="N13" s="38">
        <f>SUMIFS('[13]inland_taf_hatchgrp_tableraw&amp;yy'!O$3:O$39,'[13]inland_taf_hatchgrp_tableraw&amp;yy'!$AC$3:$AC$39,'2020 Table 10 CWTs exp '!$A13)</f>
        <v>0</v>
      </c>
      <c r="O13" s="40">
        <f>SUMIFS('[13]inland_taf_hatchgrp_tableraw&amp;yy'!P$3:P$39,'[13]inland_taf_hatchgrp_tableraw&amp;yy'!$AC$3:$AC$39,'2020 Table 10 CWTs exp '!$A13)</f>
        <v>217</v>
      </c>
      <c r="P13" s="38">
        <f>SUMIFS('[13]inland_taf_hatchgrp_tableraw&amp;yy'!Q$3:Q$39,'[13]inland_taf_hatchgrp_tableraw&amp;yy'!$AC$3:$AC$39,'2020 Table 10 CWTs exp '!$A13)</f>
        <v>44</v>
      </c>
      <c r="Q13" s="38">
        <f>SUMIFS('[13]inland_taf_hatchgrp_tableraw&amp;yy'!R$3:R$39,'[13]inland_taf_hatchgrp_tableraw&amp;yy'!$AC$3:$AC$39,'2020 Table 10 CWTs exp '!$A13)</f>
        <v>2188</v>
      </c>
      <c r="R13" s="38">
        <f>SUMIFS('[13]inland_taf_hatchgrp_tableraw&amp;yy'!S$3:S$39,'[13]inland_taf_hatchgrp_tableraw&amp;yy'!$AC$3:$AC$39,'2020 Table 10 CWTs exp '!$A13)</f>
        <v>86</v>
      </c>
      <c r="S13" s="40">
        <f>SUMIFS('[13]inland_taf_hatchgrp_tableraw&amp;yy'!T$3:T$39,'[13]inland_taf_hatchgrp_tableraw&amp;yy'!$AC$3:$AC$39,'2020 Table 10 CWTs exp '!$A13)</f>
        <v>58</v>
      </c>
      <c r="T13" s="38">
        <f>SUMIFS('[13]inland_taf_hatchgrp_tableraw&amp;yy'!U$3:U$39,'[13]inland_taf_hatchgrp_tableraw&amp;yy'!$AC$3:$AC$39,'2020 Table 10 CWTs exp '!$A13)</f>
        <v>5</v>
      </c>
      <c r="U13" s="40">
        <f>SUMIFS('[13]inland_taf_hatchgrp_tableraw&amp;yy'!V$3:V$39,'[13]inland_taf_hatchgrp_tableraw&amp;yy'!$AC$3:$AC$39,'2020 Table 10 CWTs exp '!$A13)</f>
        <v>287</v>
      </c>
      <c r="V13" s="40">
        <f>SUMIFS('[13]inland_taf_hatchgrp_tableraw&amp;yy'!W$3:W$39,'[13]inland_taf_hatchgrp_tableraw&amp;yy'!$AC$3:$AC$39,'2020 Table 10 CWTs exp '!$A13)</f>
        <v>0</v>
      </c>
      <c r="W13" s="38">
        <f>SUMIFS('[13]inland_taf_hatchgrp_tableraw&amp;yy'!X$3:X$39,'[13]inland_taf_hatchgrp_tableraw&amp;yy'!$AC$3:$AC$39,'2020 Table 10 CWTs exp '!$A13)</f>
        <v>0</v>
      </c>
      <c r="X13" s="41">
        <f>SUMIFS('[13]inland_taf_hatchgrp_tableraw&amp;yy'!Y$3:Y$39,'[13]inland_taf_hatchgrp_tableraw&amp;yy'!$AC$3:$AC$39,'2020 Table 10 CWTs exp '!$A13)</f>
        <v>2959</v>
      </c>
      <c r="Y13" s="42">
        <f>SUMIFS('[13]inland_taf_hatchgrp_tableraw&amp;yy'!Z$3:Z$39,'[13]inland_taf_hatchgrp_tableraw&amp;yy'!$AC$3:$AC$39,'2020 Table 10 CWTs exp '!$A13)</f>
        <v>484</v>
      </c>
      <c r="Z13" s="38">
        <f>SUMIFS('[13]inland_taf_hatchgrp_tableraw&amp;yy'!AA$3:AA$39,'[13]inland_taf_hatchgrp_tableraw&amp;yy'!$AC$3:$AC$39,'2020 Table 10 CWTs exp '!$A13)</f>
        <v>3443</v>
      </c>
      <c r="AA13" s="38"/>
      <c r="AB13" s="634"/>
      <c r="AC13" s="603">
        <f>SUMIFS('[13]inland_taf_hatchgrp_tableraw&amp;yy'!AB$3:AB$39,'[13]inland_taf_hatchgrp_tableraw&amp;yy'!$AC$3:$AC$39,'2020 Table 10 CWTs exp '!$A13)</f>
        <v>0.85899999999999999</v>
      </c>
      <c r="AD13" s="604" t="str">
        <f t="shared" si="1"/>
        <v>MRFI503</v>
      </c>
      <c r="AE13" s="603"/>
      <c r="AF13" s="622">
        <f t="shared" si="4"/>
        <v>0.85942492012779548</v>
      </c>
      <c r="AG13" s="597"/>
      <c r="AH13" s="605">
        <f t="shared" si="5"/>
        <v>0.14100000000000001</v>
      </c>
      <c r="AI13" s="447">
        <f t="shared" si="6"/>
        <v>484</v>
      </c>
      <c r="AJ13" s="650">
        <f t="shared" si="3"/>
        <v>0.14057507987220447</v>
      </c>
      <c r="AK13" s="451"/>
      <c r="AL13" s="442"/>
      <c r="AM13" s="442"/>
      <c r="AN13" s="442"/>
      <c r="AO13" s="442"/>
      <c r="AP13" s="442"/>
      <c r="AQ13" s="442"/>
      <c r="AR13" s="442"/>
      <c r="AS13" s="442"/>
      <c r="AT13" s="442"/>
      <c r="AU13" s="442"/>
      <c r="AV13" s="442"/>
      <c r="AW13" s="442"/>
      <c r="AX13" s="442"/>
      <c r="AY13" s="442"/>
      <c r="AZ13" s="442"/>
      <c r="BA13" s="442"/>
      <c r="BB13" s="442"/>
      <c r="BC13" s="442"/>
      <c r="BD13" s="442"/>
      <c r="BE13" s="442"/>
      <c r="BF13" s="442"/>
    </row>
    <row r="14" spans="1:59" ht="14.5" customHeight="1" x14ac:dyDescent="0.25">
      <c r="A14" s="50" t="str">
        <f t="shared" si="0"/>
        <v>MRFF503</v>
      </c>
      <c r="B14" s="13" t="s">
        <v>54</v>
      </c>
      <c r="C14" s="13">
        <v>50</v>
      </c>
      <c r="D14" s="13">
        <v>3</v>
      </c>
      <c r="E14" s="3" t="s">
        <v>55</v>
      </c>
      <c r="F14" s="43" t="str">
        <f t="shared" si="2"/>
        <v>Fall</v>
      </c>
      <c r="G14" s="38">
        <f>SUMIFS('[13]inland_taf_hatchgrp_tableraw&amp;yy'!G$3:G$39,'[13]inland_taf_hatchgrp_tableraw&amp;yy'!$AC$3:$AC$39,'2020 Table 10 CWTs exp '!$A14)</f>
        <v>0</v>
      </c>
      <c r="H14" s="39">
        <f>SUMIFS('[13]inland_taf_hatchgrp_tableraw&amp;yy'!H$3:H$39,'[13]inland_taf_hatchgrp_tableraw&amp;yy'!$AC$3:$AC$39,'2020 Table 10 CWTs exp '!$A14)</f>
        <v>1</v>
      </c>
      <c r="I14" s="40">
        <f>SUMIFS('[13]inland_taf_hatchgrp_tableraw&amp;yy'!I$3:I$39,'[13]inland_taf_hatchgrp_tableraw&amp;yy'!$AC$3:$AC$39,'2020 Table 10 CWTs exp '!$A14)</f>
        <v>0</v>
      </c>
      <c r="J14" s="38">
        <f>SUMIFS('[13]inland_taf_hatchgrp_tableraw&amp;yy'!K$3:K$39,'[13]inland_taf_hatchgrp_tableraw&amp;yy'!$AC$3:$AC$39,'2020 Table 10 CWTs exp '!$A14)</f>
        <v>0</v>
      </c>
      <c r="K14" s="38">
        <f>SUMIFS('[13]inland_taf_hatchgrp_tableraw&amp;yy'!L$3:L$39,'[13]inland_taf_hatchgrp_tableraw&amp;yy'!$AC$3:$AC$39,'2020 Table 10 CWTs exp '!$A14)</f>
        <v>0</v>
      </c>
      <c r="L14" s="38">
        <f>SUMIFS('[13]inland_taf_hatchgrp_tableraw&amp;yy'!M$3:M$39,'[13]inland_taf_hatchgrp_tableraw&amp;yy'!$AC$3:$AC$39,'2020 Table 10 CWTs exp '!$A14)</f>
        <v>4</v>
      </c>
      <c r="M14" s="40">
        <f>SUMIFS('[13]inland_taf_hatchgrp_tableraw&amp;yy'!N$3:N$39,'[13]inland_taf_hatchgrp_tableraw&amp;yy'!$AC$3:$AC$39,'2020 Table 10 CWTs exp '!$A14)</f>
        <v>12</v>
      </c>
      <c r="N14" s="38">
        <f>SUMIFS('[13]inland_taf_hatchgrp_tableraw&amp;yy'!O$3:O$39,'[13]inland_taf_hatchgrp_tableraw&amp;yy'!$AC$3:$AC$39,'2020 Table 10 CWTs exp '!$A14)</f>
        <v>0</v>
      </c>
      <c r="O14" s="40">
        <f>SUMIFS('[13]inland_taf_hatchgrp_tableraw&amp;yy'!P$3:P$39,'[13]inland_taf_hatchgrp_tableraw&amp;yy'!$AC$3:$AC$39,'2020 Table 10 CWTs exp '!$A14)</f>
        <v>12</v>
      </c>
      <c r="P14" s="38">
        <f>SUMIFS('[13]inland_taf_hatchgrp_tableraw&amp;yy'!Q$3:Q$39,'[13]inland_taf_hatchgrp_tableraw&amp;yy'!$AC$3:$AC$39,'2020 Table 10 CWTs exp '!$A14)</f>
        <v>0</v>
      </c>
      <c r="Q14" s="38">
        <f>SUMIFS('[13]inland_taf_hatchgrp_tableraw&amp;yy'!R$3:R$39,'[13]inland_taf_hatchgrp_tableraw&amp;yy'!$AC$3:$AC$39,'2020 Table 10 CWTs exp '!$A14)</f>
        <v>41</v>
      </c>
      <c r="R14" s="38">
        <f>SUMIFS('[13]inland_taf_hatchgrp_tableraw&amp;yy'!S$3:S$39,'[13]inland_taf_hatchgrp_tableraw&amp;yy'!$AC$3:$AC$39,'2020 Table 10 CWTs exp '!$A14)</f>
        <v>4</v>
      </c>
      <c r="S14" s="40">
        <f>SUMIFS('[13]inland_taf_hatchgrp_tableraw&amp;yy'!T$3:T$39,'[13]inland_taf_hatchgrp_tableraw&amp;yy'!$AC$3:$AC$39,'2020 Table 10 CWTs exp '!$A14)</f>
        <v>4</v>
      </c>
      <c r="T14" s="38">
        <f>SUMIFS('[13]inland_taf_hatchgrp_tableraw&amp;yy'!U$3:U$39,'[13]inland_taf_hatchgrp_tableraw&amp;yy'!$AC$3:$AC$39,'2020 Table 10 CWTs exp '!$A14)</f>
        <v>18</v>
      </c>
      <c r="U14" s="40">
        <f>SUMIFS('[13]inland_taf_hatchgrp_tableraw&amp;yy'!V$3:V$39,'[13]inland_taf_hatchgrp_tableraw&amp;yy'!$AC$3:$AC$39,'2020 Table 10 CWTs exp '!$A14)</f>
        <v>63</v>
      </c>
      <c r="V14" s="40">
        <f>SUMIFS('[13]inland_taf_hatchgrp_tableraw&amp;yy'!W$3:W$39,'[13]inland_taf_hatchgrp_tableraw&amp;yy'!$AC$3:$AC$39,'2020 Table 10 CWTs exp '!$A14)</f>
        <v>0</v>
      </c>
      <c r="W14" s="38">
        <f>SUMIFS('[13]inland_taf_hatchgrp_tableraw&amp;yy'!X$3:X$39,'[13]inland_taf_hatchgrp_tableraw&amp;yy'!$AC$3:$AC$39,'2020 Table 10 CWTs exp '!$A14)</f>
        <v>0</v>
      </c>
      <c r="X14" s="41">
        <f>SUMIFS('[13]inland_taf_hatchgrp_tableraw&amp;yy'!Y$3:Y$39,'[13]inland_taf_hatchgrp_tableraw&amp;yy'!$AC$3:$AC$39,'2020 Table 10 CWTs exp '!$A14)</f>
        <v>159</v>
      </c>
      <c r="Y14" s="42">
        <f>SUMIFS('[13]inland_taf_hatchgrp_tableraw&amp;yy'!Z$3:Z$39,'[13]inland_taf_hatchgrp_tableraw&amp;yy'!$AC$3:$AC$39,'2020 Table 10 CWTs exp '!$A14)</f>
        <v>26</v>
      </c>
      <c r="Z14" s="38">
        <f>SUMIFS('[13]inland_taf_hatchgrp_tableraw&amp;yy'!AA$3:AA$39,'[13]inland_taf_hatchgrp_tableraw&amp;yy'!$AC$3:$AC$39,'2020 Table 10 CWTs exp '!$A14)</f>
        <v>185</v>
      </c>
      <c r="AA14" s="53">
        <f>V14/Z14</f>
        <v>0</v>
      </c>
      <c r="AB14" s="651"/>
      <c r="AC14" s="603">
        <f>SUMIFS('[13]inland_taf_hatchgrp_tableraw&amp;yy'!AB$3:AB$39,'[13]inland_taf_hatchgrp_tableraw&amp;yy'!$AC$3:$AC$39,'2020 Table 10 CWTs exp '!$A14)</f>
        <v>0.85899999999999999</v>
      </c>
      <c r="AD14" s="604" t="str">
        <f t="shared" si="1"/>
        <v>MRFF503</v>
      </c>
      <c r="AE14" s="603"/>
      <c r="AF14" s="622">
        <f t="shared" si="4"/>
        <v>0.85945945945945945</v>
      </c>
      <c r="AG14" s="597"/>
      <c r="AH14" s="605">
        <f t="shared" si="5"/>
        <v>0.14100000000000001</v>
      </c>
      <c r="AI14" s="447">
        <f t="shared" si="6"/>
        <v>26</v>
      </c>
      <c r="AJ14" s="650">
        <f t="shared" si="3"/>
        <v>0.14054054054054055</v>
      </c>
      <c r="AK14" s="451"/>
      <c r="AL14" s="442"/>
      <c r="AM14" s="442"/>
      <c r="AN14" s="442"/>
      <c r="AO14" s="442"/>
      <c r="AP14" s="442"/>
      <c r="AQ14" s="442"/>
      <c r="AR14" s="442"/>
      <c r="AS14" s="442"/>
      <c r="AT14" s="442"/>
      <c r="AU14" s="442"/>
      <c r="AV14" s="442"/>
      <c r="AW14" s="442"/>
      <c r="AX14" s="442"/>
      <c r="AY14" s="442"/>
      <c r="AZ14" s="442"/>
      <c r="BA14" s="442"/>
      <c r="BB14" s="442"/>
      <c r="BC14" s="442"/>
      <c r="BD14" s="442"/>
      <c r="BE14" s="442"/>
      <c r="BF14" s="442"/>
    </row>
    <row r="15" spans="1:59" ht="14.5" customHeight="1" x14ac:dyDescent="0.25">
      <c r="A15" s="50" t="str">
        <f t="shared" si="0"/>
        <v>CNFH507</v>
      </c>
      <c r="B15" s="13" t="s">
        <v>40</v>
      </c>
      <c r="C15" s="13">
        <v>50</v>
      </c>
      <c r="D15" s="13">
        <v>7</v>
      </c>
      <c r="E15" s="3" t="s">
        <v>56</v>
      </c>
      <c r="F15" s="37" t="s">
        <v>57</v>
      </c>
      <c r="G15" s="38">
        <f>SUMIFS('[13]inland_taf_hatchgrp_tableraw&amp;yy'!G$3:G$39,'[13]inland_taf_hatchgrp_tableraw&amp;yy'!$AC$3:$AC$39,'2020 Table 10 CWTs exp '!$A15)</f>
        <v>0</v>
      </c>
      <c r="H15" s="39">
        <f>SUMIFS('[13]inland_taf_hatchgrp_tableraw&amp;yy'!H$3:H$39,'[13]inland_taf_hatchgrp_tableraw&amp;yy'!$AC$3:$AC$39,'2020 Table 10 CWTs exp '!$A15)</f>
        <v>1793</v>
      </c>
      <c r="I15" s="40">
        <f>SUMIFS('[13]inland_taf_hatchgrp_tableraw&amp;yy'!I$3:I$39,'[13]inland_taf_hatchgrp_tableraw&amp;yy'!$AC$3:$AC$39,'2020 Table 10 CWTs exp '!$A15)</f>
        <v>8</v>
      </c>
      <c r="J15" s="38">
        <f>SUMIFS('[13]inland_taf_hatchgrp_tableraw&amp;yy'!K$3:K$39,'[13]inland_taf_hatchgrp_tableraw&amp;yy'!$AC$3:$AC$39,'2020 Table 10 CWTs exp '!$A15)</f>
        <v>0</v>
      </c>
      <c r="K15" s="38">
        <f>SUMIFS('[13]inland_taf_hatchgrp_tableraw&amp;yy'!L$3:L$39,'[13]inland_taf_hatchgrp_tableraw&amp;yy'!$AC$3:$AC$39,'2020 Table 10 CWTs exp '!$A15)</f>
        <v>0</v>
      </c>
      <c r="L15" s="38">
        <f>SUMIFS('[13]inland_taf_hatchgrp_tableraw&amp;yy'!M$3:M$39,'[13]inland_taf_hatchgrp_tableraw&amp;yy'!$AC$3:$AC$39,'2020 Table 10 CWTs exp '!$A15)</f>
        <v>0</v>
      </c>
      <c r="M15" s="40">
        <f>SUMIFS('[13]inland_taf_hatchgrp_tableraw&amp;yy'!N$3:N$39,'[13]inland_taf_hatchgrp_tableraw&amp;yy'!$AC$3:$AC$39,'2020 Table 10 CWTs exp '!$A15)</f>
        <v>0</v>
      </c>
      <c r="N15" s="38">
        <f>SUMIFS('[13]inland_taf_hatchgrp_tableraw&amp;yy'!O$3:O$39,'[13]inland_taf_hatchgrp_tableraw&amp;yy'!$AC$3:$AC$39,'2020 Table 10 CWTs exp '!$A15)</f>
        <v>0</v>
      </c>
      <c r="O15" s="40">
        <f>SUMIFS('[13]inland_taf_hatchgrp_tableraw&amp;yy'!P$3:P$39,'[13]inland_taf_hatchgrp_tableraw&amp;yy'!$AC$3:$AC$39,'2020 Table 10 CWTs exp '!$A15)</f>
        <v>12</v>
      </c>
      <c r="P15" s="38">
        <f>SUMIFS('[13]inland_taf_hatchgrp_tableraw&amp;yy'!Q$3:Q$39,'[13]inland_taf_hatchgrp_tableraw&amp;yy'!$AC$3:$AC$39,'2020 Table 10 CWTs exp '!$A15)</f>
        <v>0</v>
      </c>
      <c r="Q15" s="38">
        <f>SUMIFS('[13]inland_taf_hatchgrp_tableraw&amp;yy'!R$3:R$39,'[13]inland_taf_hatchgrp_tableraw&amp;yy'!$AC$3:$AC$39,'2020 Table 10 CWTs exp '!$A15)</f>
        <v>0</v>
      </c>
      <c r="R15" s="38">
        <f>SUMIFS('[13]inland_taf_hatchgrp_tableraw&amp;yy'!S$3:S$39,'[13]inland_taf_hatchgrp_tableraw&amp;yy'!$AC$3:$AC$39,'2020 Table 10 CWTs exp '!$A15)</f>
        <v>0</v>
      </c>
      <c r="S15" s="40">
        <f>SUMIFS('[13]inland_taf_hatchgrp_tableraw&amp;yy'!T$3:T$39,'[13]inland_taf_hatchgrp_tableraw&amp;yy'!$AC$3:$AC$39,'2020 Table 10 CWTs exp '!$A15)</f>
        <v>4</v>
      </c>
      <c r="T15" s="38">
        <f>SUMIFS('[13]inland_taf_hatchgrp_tableraw&amp;yy'!U$3:U$39,'[13]inland_taf_hatchgrp_tableraw&amp;yy'!$AC$3:$AC$39,'2020 Table 10 CWTs exp '!$A15)</f>
        <v>0</v>
      </c>
      <c r="U15" s="40">
        <f>SUMIFS('[13]inland_taf_hatchgrp_tableraw&amp;yy'!V$3:V$39,'[13]inland_taf_hatchgrp_tableraw&amp;yy'!$AC$3:$AC$39,'2020 Table 10 CWTs exp '!$A15)</f>
        <v>0</v>
      </c>
      <c r="V15" s="40">
        <f>SUMIFS('[13]inland_taf_hatchgrp_tableraw&amp;yy'!W$3:W$39,'[13]inland_taf_hatchgrp_tableraw&amp;yy'!$AC$3:$AC$39,'2020 Table 10 CWTs exp '!$A15)</f>
        <v>0</v>
      </c>
      <c r="W15" s="38">
        <f>SUMIFS('[13]inland_taf_hatchgrp_tableraw&amp;yy'!X$3:X$39,'[13]inland_taf_hatchgrp_tableraw&amp;yy'!$AC$3:$AC$39,'2020 Table 10 CWTs exp '!$A15)</f>
        <v>0</v>
      </c>
      <c r="X15" s="41">
        <f>SUMIFS('[13]inland_taf_hatchgrp_tableraw&amp;yy'!Y$3:Y$39,'[13]inland_taf_hatchgrp_tableraw&amp;yy'!$AC$3:$AC$39,'2020 Table 10 CWTs exp '!$A15)</f>
        <v>1817</v>
      </c>
      <c r="Y15" s="42">
        <f>SUMIFS('[13]inland_taf_hatchgrp_tableraw&amp;yy'!Z$3:Z$39,'[13]inland_taf_hatchgrp_tableraw&amp;yy'!$AC$3:$AC$39,'2020 Table 10 CWTs exp '!$A15)</f>
        <v>29</v>
      </c>
      <c r="Z15" s="38">
        <f>SUMIFS('[13]inland_taf_hatchgrp_tableraw&amp;yy'!AA$3:AA$39,'[13]inland_taf_hatchgrp_tableraw&amp;yy'!$AC$3:$AC$39,'2020 Table 10 CWTs exp '!$A15)</f>
        <v>1846</v>
      </c>
      <c r="AA15" s="38"/>
      <c r="AB15" s="634"/>
      <c r="AC15" s="603">
        <f>SUMIFS('[13]inland_taf_hatchgrp_tableraw&amp;yy'!AB$3:AB$39,'[13]inland_taf_hatchgrp_tableraw&amp;yy'!$AC$3:$AC$39,'2020 Table 10 CWTs exp '!$A15)</f>
        <v>0.98399999999999999</v>
      </c>
      <c r="AD15" s="604" t="str">
        <f t="shared" si="1"/>
        <v>CNFH507</v>
      </c>
      <c r="AE15" s="603"/>
      <c r="AF15" s="622">
        <f t="shared" si="4"/>
        <v>0.9842903575297941</v>
      </c>
      <c r="AG15" s="600" t="s">
        <v>58</v>
      </c>
      <c r="AH15" s="592">
        <f>AVERAGE(AH9:AH14)</f>
        <v>0.27766666666666667</v>
      </c>
      <c r="AI15" s="447">
        <f>SUM(AI9:AI14)</f>
        <v>5759</v>
      </c>
      <c r="AJ15" s="640" t="e">
        <f>AVERAGE(AJ9:AJ14)</f>
        <v>#DIV/0!</v>
      </c>
      <c r="AK15" s="451"/>
      <c r="AL15" s="442"/>
      <c r="AM15" s="442"/>
      <c r="AN15" s="442"/>
      <c r="AO15" s="442"/>
      <c r="AP15" s="442"/>
      <c r="AQ15" s="442"/>
      <c r="AR15" s="442"/>
      <c r="AS15" s="442"/>
      <c r="AT15" s="442"/>
      <c r="AU15" s="442"/>
      <c r="AV15" s="442"/>
      <c r="AW15" s="442"/>
      <c r="AX15" s="442"/>
      <c r="AY15" s="442"/>
      <c r="AZ15" s="442"/>
      <c r="BA15" s="442"/>
      <c r="BB15" s="442"/>
      <c r="BC15" s="442"/>
      <c r="BD15" s="442"/>
      <c r="BE15" s="442"/>
      <c r="BF15" s="442"/>
    </row>
    <row r="16" spans="1:59" ht="13.5" x14ac:dyDescent="0.25">
      <c r="A16" s="50" t="str">
        <f t="shared" si="0"/>
        <v>CNFW527</v>
      </c>
      <c r="B16" s="13" t="s">
        <v>59</v>
      </c>
      <c r="C16" s="13">
        <v>52</v>
      </c>
      <c r="D16" s="13">
        <v>7</v>
      </c>
      <c r="E16" s="3" t="s">
        <v>60</v>
      </c>
      <c r="F16" s="37" t="s">
        <v>57</v>
      </c>
      <c r="G16" s="38">
        <f>SUMIFS('[13]inland_taf_hatchgrp_tableraw&amp;yy'!G$3:G$39,'[13]inland_taf_hatchgrp_tableraw&amp;yy'!$AC$3:$AC$39,'2020 Table 10 CWTs exp '!$A16)</f>
        <v>0</v>
      </c>
      <c r="H16" s="39">
        <f>SUMIFS('[13]inland_taf_hatchgrp_tableraw&amp;yy'!H$3:H$39,'[13]inland_taf_hatchgrp_tableraw&amp;yy'!$AC$3:$AC$39,'2020 Table 10 CWTs exp '!$A16)</f>
        <v>52</v>
      </c>
      <c r="I16" s="40">
        <f>SUMIFS('[13]inland_taf_hatchgrp_tableraw&amp;yy'!I$3:I$39,'[13]inland_taf_hatchgrp_tableraw&amp;yy'!$AC$3:$AC$39,'2020 Table 10 CWTs exp '!$A16)</f>
        <v>0</v>
      </c>
      <c r="J16" s="38">
        <f>SUMIFS('[13]inland_taf_hatchgrp_tableraw&amp;yy'!K$3:K$39,'[13]inland_taf_hatchgrp_tableraw&amp;yy'!$AC$3:$AC$39,'2020 Table 10 CWTs exp '!$A16)</f>
        <v>0</v>
      </c>
      <c r="K16" s="38">
        <f>SUMIFS('[13]inland_taf_hatchgrp_tableraw&amp;yy'!L$3:L$39,'[13]inland_taf_hatchgrp_tableraw&amp;yy'!$AC$3:$AC$39,'2020 Table 10 CWTs exp '!$A16)</f>
        <v>0</v>
      </c>
      <c r="L16" s="38">
        <f>SUMIFS('[13]inland_taf_hatchgrp_tableraw&amp;yy'!M$3:M$39,'[13]inland_taf_hatchgrp_tableraw&amp;yy'!$AC$3:$AC$39,'2020 Table 10 CWTs exp '!$A16)</f>
        <v>0</v>
      </c>
      <c r="M16" s="40">
        <f>SUMIFS('[13]inland_taf_hatchgrp_tableraw&amp;yy'!N$3:N$39,'[13]inland_taf_hatchgrp_tableraw&amp;yy'!$AC$3:$AC$39,'2020 Table 10 CWTs exp '!$A16)</f>
        <v>0</v>
      </c>
      <c r="N16" s="38">
        <f>SUMIFS('[13]inland_taf_hatchgrp_tableraw&amp;yy'!O$3:O$39,'[13]inland_taf_hatchgrp_tableraw&amp;yy'!$AC$3:$AC$39,'2020 Table 10 CWTs exp '!$A16)</f>
        <v>0</v>
      </c>
      <c r="O16" s="40">
        <f>SUMIFS('[13]inland_taf_hatchgrp_tableraw&amp;yy'!P$3:P$39,'[13]inland_taf_hatchgrp_tableraw&amp;yy'!$AC$3:$AC$39,'2020 Table 10 CWTs exp '!$A16)</f>
        <v>0</v>
      </c>
      <c r="P16" s="38">
        <f>SUMIFS('[13]inland_taf_hatchgrp_tableraw&amp;yy'!Q$3:Q$39,'[13]inland_taf_hatchgrp_tableraw&amp;yy'!$AC$3:$AC$39,'2020 Table 10 CWTs exp '!$A16)</f>
        <v>0</v>
      </c>
      <c r="Q16" s="38">
        <f>SUMIFS('[13]inland_taf_hatchgrp_tableraw&amp;yy'!R$3:R$39,'[13]inland_taf_hatchgrp_tableraw&amp;yy'!$AC$3:$AC$39,'2020 Table 10 CWTs exp '!$A16)</f>
        <v>0</v>
      </c>
      <c r="R16" s="38">
        <f>SUMIFS('[13]inland_taf_hatchgrp_tableraw&amp;yy'!S$3:S$39,'[13]inland_taf_hatchgrp_tableraw&amp;yy'!$AC$3:$AC$39,'2020 Table 10 CWTs exp '!$A16)</f>
        <v>0</v>
      </c>
      <c r="S16" s="40">
        <f>SUMIFS('[13]inland_taf_hatchgrp_tableraw&amp;yy'!T$3:T$39,'[13]inland_taf_hatchgrp_tableraw&amp;yy'!$AC$3:$AC$39,'2020 Table 10 CWTs exp '!$A16)</f>
        <v>0</v>
      </c>
      <c r="T16" s="38">
        <f>SUMIFS('[13]inland_taf_hatchgrp_tableraw&amp;yy'!U$3:U$39,'[13]inland_taf_hatchgrp_tableraw&amp;yy'!$AC$3:$AC$39,'2020 Table 10 CWTs exp '!$A16)</f>
        <v>0</v>
      </c>
      <c r="U16" s="40">
        <f>SUMIFS('[13]inland_taf_hatchgrp_tableraw&amp;yy'!V$3:V$39,'[13]inland_taf_hatchgrp_tableraw&amp;yy'!$AC$3:$AC$39,'2020 Table 10 CWTs exp '!$A16)</f>
        <v>0</v>
      </c>
      <c r="V16" s="40">
        <f>SUMIFS('[13]inland_taf_hatchgrp_tableraw&amp;yy'!W$3:W$39,'[13]inland_taf_hatchgrp_tableraw&amp;yy'!$AC$3:$AC$39,'2020 Table 10 CWTs exp '!$A16)</f>
        <v>0</v>
      </c>
      <c r="W16" s="38">
        <f>SUMIFS('[13]inland_taf_hatchgrp_tableraw&amp;yy'!X$3:X$39,'[13]inland_taf_hatchgrp_tableraw&amp;yy'!$AC$3:$AC$39,'2020 Table 10 CWTs exp '!$A16)</f>
        <v>0</v>
      </c>
      <c r="X16" s="41">
        <f>SUMIFS('[13]inland_taf_hatchgrp_tableraw&amp;yy'!Y$3:Y$39,'[13]inland_taf_hatchgrp_tableraw&amp;yy'!$AC$3:$AC$39,'2020 Table 10 CWTs exp '!$A16)</f>
        <v>52</v>
      </c>
      <c r="Y16" s="42">
        <f>SUMIFS('[13]inland_taf_hatchgrp_tableraw&amp;yy'!Z$3:Z$39,'[13]inland_taf_hatchgrp_tableraw&amp;yy'!$AC$3:$AC$39,'2020 Table 10 CWTs exp '!$A16)</f>
        <v>2</v>
      </c>
      <c r="Z16" s="38">
        <f>SUMIFS('[13]inland_taf_hatchgrp_tableraw&amp;yy'!AA$3:AA$39,'[13]inland_taf_hatchgrp_tableraw&amp;yy'!$AC$3:$AC$39,'2020 Table 10 CWTs exp '!$A16)</f>
        <v>54</v>
      </c>
      <c r="AA16" s="38"/>
      <c r="AB16" s="634"/>
      <c r="AC16" s="603">
        <f>SUMIFS('[13]inland_taf_hatchgrp_tableraw&amp;yy'!AB$3:AB$39,'[13]inland_taf_hatchgrp_tableraw&amp;yy'!$AC$3:$AC$39,'2020 Table 10 CWTs exp '!$A16)</f>
        <v>0.96299999999999997</v>
      </c>
      <c r="AD16" s="604" t="str">
        <f t="shared" si="1"/>
        <v>CNFW527</v>
      </c>
      <c r="AE16" s="444"/>
      <c r="AF16" s="622">
        <f t="shared" si="4"/>
        <v>0.96296296296296291</v>
      </c>
      <c r="AG16" s="606"/>
      <c r="AH16" s="600"/>
      <c r="AI16" s="599"/>
      <c r="AJ16" s="451"/>
      <c r="AK16" s="451"/>
      <c r="AL16" s="442"/>
      <c r="AM16" s="442"/>
      <c r="AN16" s="442"/>
      <c r="AO16" s="442"/>
      <c r="AP16" s="442"/>
      <c r="AQ16" s="442"/>
      <c r="AR16" s="442"/>
      <c r="AS16" s="442"/>
      <c r="AT16" s="442"/>
      <c r="AU16" s="442"/>
      <c r="AV16" s="442"/>
      <c r="AW16" s="442"/>
      <c r="AX16" s="442"/>
      <c r="AY16" s="442"/>
      <c r="AZ16" s="442"/>
      <c r="BA16" s="442"/>
      <c r="BB16" s="442"/>
      <c r="BC16" s="442"/>
      <c r="BD16" s="442"/>
      <c r="BE16" s="442"/>
      <c r="BF16" s="442"/>
    </row>
    <row r="17" spans="1:58" ht="14.5" hidden="1" customHeight="1" x14ac:dyDescent="0.25">
      <c r="A17" s="50" t="str">
        <f t="shared" si="0"/>
        <v>KESW507</v>
      </c>
      <c r="B17" s="13" t="s">
        <v>43</v>
      </c>
      <c r="C17" s="13">
        <v>50</v>
      </c>
      <c r="D17" s="13">
        <v>7</v>
      </c>
      <c r="E17" s="3" t="s">
        <v>44</v>
      </c>
      <c r="F17" s="37" t="s">
        <v>57</v>
      </c>
      <c r="G17" s="38"/>
      <c r="H17" s="39">
        <f>SUMIFS('[13]inland_taf_hatchgrp_tableraw&amp;yy'!H$3:H$39,'[13]inland_taf_hatchgrp_tableraw&amp;yy'!$AC$3:$AC$39,'2020 Table 10 CWTs exp '!$A17)</f>
        <v>0</v>
      </c>
      <c r="I17" s="40">
        <f>SUMIFS('[13]inland_taf_hatchgrp_tableraw&amp;yy'!I$3:I$39,'[13]inland_taf_hatchgrp_tableraw&amp;yy'!$AC$3:$AC$39,'2020 Table 10 CWTs exp '!$A17)</f>
        <v>0</v>
      </c>
      <c r="J17" s="38">
        <f>SUMIFS('[13]inland_taf_hatchgrp_tableraw&amp;yy'!K$3:K$39,'[13]inland_taf_hatchgrp_tableraw&amp;yy'!$AC$3:$AC$39,'2020 Table 10 CWTs exp '!$A17)</f>
        <v>0</v>
      </c>
      <c r="K17" s="38">
        <f>SUMIFS('[13]inland_taf_hatchgrp_tableraw&amp;yy'!L$3:L$39,'[13]inland_taf_hatchgrp_tableraw&amp;yy'!$AC$3:$AC$39,'2020 Table 10 CWTs exp '!$A17)</f>
        <v>0</v>
      </c>
      <c r="L17" s="38">
        <f>SUMIFS('[13]inland_taf_hatchgrp_tableraw&amp;yy'!M$3:M$39,'[13]inland_taf_hatchgrp_tableraw&amp;yy'!$AC$3:$AC$39,'2020 Table 10 CWTs exp '!$A17)</f>
        <v>0</v>
      </c>
      <c r="M17" s="40">
        <f>SUMIFS('[13]inland_taf_hatchgrp_tableraw&amp;yy'!N$3:N$39,'[13]inland_taf_hatchgrp_tableraw&amp;yy'!$AC$3:$AC$39,'2020 Table 10 CWTs exp '!$A17)</f>
        <v>0</v>
      </c>
      <c r="N17" s="38">
        <f>SUMIFS('[13]inland_taf_hatchgrp_tableraw&amp;yy'!O$3:O$39,'[13]inland_taf_hatchgrp_tableraw&amp;yy'!$AC$3:$AC$39,'2020 Table 10 CWTs exp '!$A17)</f>
        <v>0</v>
      </c>
      <c r="O17" s="40">
        <f>SUMIFS('[13]inland_taf_hatchgrp_tableraw&amp;yy'!P$3:P$39,'[13]inland_taf_hatchgrp_tableraw&amp;yy'!$AC$3:$AC$39,'2020 Table 10 CWTs exp '!$A17)</f>
        <v>0</v>
      </c>
      <c r="P17" s="38">
        <f>SUMIFS('[13]inland_taf_hatchgrp_tableraw&amp;yy'!Q$3:Q$39,'[13]inland_taf_hatchgrp_tableraw&amp;yy'!$AC$3:$AC$39,'2020 Table 10 CWTs exp '!$A17)</f>
        <v>0</v>
      </c>
      <c r="Q17" s="38">
        <f>SUMIFS('[13]inland_taf_hatchgrp_tableraw&amp;yy'!R$3:R$39,'[13]inland_taf_hatchgrp_tableraw&amp;yy'!$AC$3:$AC$39,'2020 Table 10 CWTs exp '!$A17)</f>
        <v>0</v>
      </c>
      <c r="R17" s="38">
        <f>SUMIFS('[13]inland_taf_hatchgrp_tableraw&amp;yy'!S$3:S$39,'[13]inland_taf_hatchgrp_tableraw&amp;yy'!$AC$3:$AC$39,'2020 Table 10 CWTs exp '!$A17)</f>
        <v>0</v>
      </c>
      <c r="S17" s="40">
        <f>SUMIFS('[13]inland_taf_hatchgrp_tableraw&amp;yy'!T$3:T$39,'[13]inland_taf_hatchgrp_tableraw&amp;yy'!$AC$3:$AC$39,'2020 Table 10 CWTs exp '!$A17)</f>
        <v>0</v>
      </c>
      <c r="T17" s="38">
        <f>SUMIFS('[13]inland_taf_hatchgrp_tableraw&amp;yy'!U$3:U$39,'[13]inland_taf_hatchgrp_tableraw&amp;yy'!$AC$3:$AC$39,'2020 Table 10 CWTs exp '!$A17)</f>
        <v>0</v>
      </c>
      <c r="U17" s="40">
        <f>SUMIFS('[13]inland_taf_hatchgrp_tableraw&amp;yy'!V$3:V$39,'[13]inland_taf_hatchgrp_tableraw&amp;yy'!$AC$3:$AC$39,'2020 Table 10 CWTs exp '!$A17)</f>
        <v>0</v>
      </c>
      <c r="V17" s="40">
        <f>SUMIFS('[13]inland_taf_hatchgrp_tableraw&amp;yy'!W$3:W$39,'[13]inland_taf_hatchgrp_tableraw&amp;yy'!$AC$3:$AC$39,'2020 Table 10 CWTs exp '!$A17)</f>
        <v>0</v>
      </c>
      <c r="W17" s="38">
        <f>SUMIFS('[13]inland_taf_hatchgrp_tableraw&amp;yy'!X$3:X$39,'[13]inland_taf_hatchgrp_tableraw&amp;yy'!$AC$3:$AC$39,'2020 Table 10 CWTs exp '!$A17)</f>
        <v>0</v>
      </c>
      <c r="X17" s="41">
        <f>SUMIFS('[13]inland_taf_hatchgrp_tableraw&amp;yy'!Y$3:Y$39,'[13]inland_taf_hatchgrp_tableraw&amp;yy'!$AC$3:$AC$39,'2020 Table 10 CWTs exp '!$A17)</f>
        <v>0</v>
      </c>
      <c r="Y17" s="42">
        <f>SUMIFS('[13]inland_taf_hatchgrp_tableraw&amp;yy'!Z$3:Z$39,'[13]inland_taf_hatchgrp_tableraw&amp;yy'!$AC$3:$AC$39,'2020 Table 10 CWTs exp '!$A17)</f>
        <v>0</v>
      </c>
      <c r="Z17" s="38">
        <f>SUMIFS('[13]inland_taf_hatchgrp_tableraw&amp;yy'!AA$3:AA$39,'[13]inland_taf_hatchgrp_tableraw&amp;yy'!$AC$3:$AC$39,'2020 Table 10 CWTs exp '!$A17)</f>
        <v>0</v>
      </c>
      <c r="AA17" s="38"/>
      <c r="AB17" s="634"/>
      <c r="AC17" s="603">
        <f>SUMIFS('[13]inland_taf_hatchgrp_tableraw&amp;yy'!AB$3:AB$39,'[13]inland_taf_hatchgrp_tableraw&amp;yy'!$AC$3:$AC$39,'2020 Table 10 CWTs exp '!$A17)</f>
        <v>0</v>
      </c>
      <c r="AD17" s="604" t="str">
        <f t="shared" si="1"/>
        <v>KESW507</v>
      </c>
      <c r="AE17" s="444"/>
      <c r="AF17" s="622" t="e">
        <f t="shared" si="4"/>
        <v>#DIV/0!</v>
      </c>
      <c r="AG17" s="606"/>
      <c r="AH17" s="600"/>
      <c r="AI17" s="599"/>
      <c r="AJ17" s="451"/>
      <c r="AK17" s="451"/>
      <c r="AL17" s="442"/>
      <c r="AM17" s="442"/>
      <c r="AN17" s="442"/>
      <c r="AO17" s="442"/>
      <c r="AP17" s="442"/>
      <c r="AQ17" s="442"/>
      <c r="AR17" s="442"/>
      <c r="AS17" s="442"/>
      <c r="AT17" s="442"/>
      <c r="AU17" s="442"/>
      <c r="AV17" s="442"/>
      <c r="AW17" s="442"/>
      <c r="AX17" s="442"/>
      <c r="AY17" s="442"/>
      <c r="AZ17" s="442"/>
      <c r="BA17" s="442"/>
      <c r="BB17" s="442"/>
      <c r="BC17" s="442"/>
      <c r="BD17" s="442"/>
      <c r="BE17" s="442"/>
      <c r="BF17" s="442"/>
    </row>
    <row r="18" spans="1:58" ht="14.15" customHeight="1" x14ac:dyDescent="0.3">
      <c r="A18" s="55"/>
      <c r="B18" s="56"/>
      <c r="C18" s="56"/>
      <c r="D18" s="56"/>
      <c r="E18" s="743" t="s">
        <v>61</v>
      </c>
      <c r="F18" s="743"/>
      <c r="G18" s="57">
        <f>SUM(G9:G14)</f>
        <v>0</v>
      </c>
      <c r="H18" s="58">
        <f t="shared" ref="H18:Y18" si="7">SUM(H9:H14)</f>
        <v>27</v>
      </c>
      <c r="I18" s="60">
        <f t="shared" si="7"/>
        <v>11780</v>
      </c>
      <c r="J18" s="59">
        <f t="shared" si="7"/>
        <v>1236</v>
      </c>
      <c r="K18" s="59">
        <f t="shared" si="7"/>
        <v>335</v>
      </c>
      <c r="L18" s="59">
        <f t="shared" si="7"/>
        <v>11033</v>
      </c>
      <c r="M18" s="60">
        <f t="shared" si="7"/>
        <v>6816</v>
      </c>
      <c r="N18" s="59">
        <f t="shared" si="7"/>
        <v>584</v>
      </c>
      <c r="O18" s="60">
        <f t="shared" si="7"/>
        <v>3755</v>
      </c>
      <c r="P18" s="59">
        <f t="shared" si="7"/>
        <v>45</v>
      </c>
      <c r="Q18" s="59">
        <f t="shared" si="7"/>
        <v>3257</v>
      </c>
      <c r="R18" s="59">
        <f t="shared" si="7"/>
        <v>239</v>
      </c>
      <c r="S18" s="60">
        <f t="shared" si="7"/>
        <v>152</v>
      </c>
      <c r="T18" s="59">
        <f t="shared" si="7"/>
        <v>23</v>
      </c>
      <c r="U18" s="60">
        <f t="shared" si="7"/>
        <v>776</v>
      </c>
      <c r="V18" s="60">
        <f t="shared" si="7"/>
        <v>5</v>
      </c>
      <c r="W18" s="59">
        <f t="shared" si="7"/>
        <v>0</v>
      </c>
      <c r="X18" s="61">
        <f t="shared" si="7"/>
        <v>40063</v>
      </c>
      <c r="Y18" s="62">
        <f t="shared" si="7"/>
        <v>5759</v>
      </c>
      <c r="Z18" s="63">
        <f>SUM(Z9:Z14)</f>
        <v>45822</v>
      </c>
      <c r="AA18" s="64"/>
      <c r="AB18" s="630"/>
      <c r="AC18" s="445">
        <f>X18/Z18</f>
        <v>0.8743180131814412</v>
      </c>
      <c r="AD18" s="445"/>
      <c r="AE18" s="607"/>
      <c r="AF18" s="622">
        <f>X18/Z18</f>
        <v>0.8743180131814412</v>
      </c>
      <c r="AG18" s="608"/>
      <c r="AH18" s="608"/>
      <c r="AI18" s="609"/>
      <c r="AJ18" s="610"/>
      <c r="AK18" s="610"/>
      <c r="AL18" s="442"/>
      <c r="AM18" s="442"/>
      <c r="AN18" s="442"/>
      <c r="AO18" s="442"/>
      <c r="AP18" s="442"/>
      <c r="AQ18" s="442"/>
      <c r="AR18" s="442"/>
      <c r="AS18" s="442"/>
      <c r="AT18" s="442"/>
      <c r="AU18" s="442"/>
      <c r="AV18" s="442"/>
      <c r="AW18" s="442"/>
      <c r="AX18" s="442"/>
      <c r="AY18" s="442"/>
      <c r="AZ18" s="442"/>
      <c r="BA18" s="442"/>
      <c r="BB18" s="442"/>
      <c r="BC18" s="442"/>
      <c r="BD18" s="442"/>
      <c r="BE18" s="442"/>
      <c r="BF18" s="442"/>
    </row>
    <row r="19" spans="1:58" ht="14.15" customHeight="1" x14ac:dyDescent="0.3">
      <c r="A19" s="50" t="s">
        <v>62</v>
      </c>
      <c r="B19" s="13"/>
      <c r="C19" s="13"/>
      <c r="D19" s="13"/>
      <c r="E19" s="26" t="s">
        <v>63</v>
      </c>
      <c r="F19" s="47"/>
      <c r="G19" s="68"/>
      <c r="H19" s="69"/>
      <c r="I19" s="70"/>
      <c r="J19" s="68"/>
      <c r="K19" s="68"/>
      <c r="L19" s="68"/>
      <c r="M19" s="70"/>
      <c r="N19" s="68"/>
      <c r="O19" s="70"/>
      <c r="P19" s="68"/>
      <c r="Q19" s="68"/>
      <c r="R19" s="68"/>
      <c r="S19" s="70"/>
      <c r="T19" s="68"/>
      <c r="U19" s="70"/>
      <c r="V19" s="70"/>
      <c r="W19" s="68"/>
      <c r="X19" s="71"/>
      <c r="Y19" s="72"/>
      <c r="Z19" s="73"/>
      <c r="AA19" s="68"/>
      <c r="AB19" s="611"/>
      <c r="AC19" s="611"/>
      <c r="AD19" s="611"/>
      <c r="AE19" s="442"/>
      <c r="AF19" s="597"/>
      <c r="AG19" s="597"/>
      <c r="AH19" s="597"/>
      <c r="AI19" s="599"/>
      <c r="AJ19" s="451"/>
      <c r="AK19" s="451"/>
      <c r="AL19" s="442"/>
      <c r="AM19" s="442"/>
      <c r="AN19" s="442"/>
      <c r="AO19" s="442"/>
      <c r="AP19" s="442"/>
      <c r="AQ19" s="442"/>
      <c r="AR19" s="442"/>
      <c r="AS19" s="442"/>
      <c r="AT19" s="442"/>
      <c r="AU19" s="442"/>
      <c r="AV19" s="442"/>
      <c r="AW19" s="442"/>
      <c r="AX19" s="442"/>
      <c r="AY19" s="442"/>
      <c r="AZ19" s="442"/>
      <c r="BA19" s="442"/>
      <c r="BB19" s="442"/>
      <c r="BC19" s="442"/>
      <c r="BD19" s="442"/>
      <c r="BE19" s="442"/>
      <c r="BF19" s="442"/>
    </row>
    <row r="20" spans="1:58" ht="14.5" customHeight="1" x14ac:dyDescent="0.25">
      <c r="A20" s="50" t="str">
        <f t="shared" ref="A20:A41" si="8">CONCATENATE(B20,C20,D20)</f>
        <v>USAC544</v>
      </c>
      <c r="B20" s="13" t="s">
        <v>64</v>
      </c>
      <c r="C20" s="13">
        <v>54</v>
      </c>
      <c r="D20" s="13">
        <v>4</v>
      </c>
      <c r="E20" s="3" t="s">
        <v>65</v>
      </c>
      <c r="F20" s="43" t="str">
        <f>LOOKUP(D20,$AK$8:$AK$11,$AL$8:$AL$11)</f>
        <v>Winter</v>
      </c>
      <c r="G20" s="38">
        <f>SUMIFS('[13]inland_taf_hatchgrp_tableraw&amp;yy'!G$3:G$39,'[13]inland_taf_hatchgrp_tableraw&amp;yy'!$AC$3:$AC$39,'2020 Table 10 CWTs exp '!$A20)</f>
        <v>2681</v>
      </c>
      <c r="H20" s="39">
        <f>SUMIFS('[13]inland_taf_hatchgrp_tableraw&amp;yy'!H$3:H$39,'[13]inland_taf_hatchgrp_tableraw&amp;yy'!$AC$3:$AC$39,'2020 Table 10 CWTs exp '!$A20)</f>
        <v>0</v>
      </c>
      <c r="I20" s="40">
        <f>SUMIFS('[13]inland_taf_hatchgrp_tableraw&amp;yy'!I$3:I$39,'[13]inland_taf_hatchgrp_tableraw&amp;yy'!$AC$3:$AC$39,'2020 Table 10 CWTs exp '!$A20)</f>
        <v>0</v>
      </c>
      <c r="J20" s="38">
        <f>SUMIFS('[13]inland_taf_hatchgrp_tableraw&amp;yy'!K$3:K$39,'[13]inland_taf_hatchgrp_tableraw&amp;yy'!$AC$3:$AC$39,'2020 Table 10 CWTs exp '!$A20)</f>
        <v>0</v>
      </c>
      <c r="K20" s="38">
        <f>SUMIFS('[13]inland_taf_hatchgrp_tableraw&amp;yy'!L$3:L$39,'[13]inland_taf_hatchgrp_tableraw&amp;yy'!$AC$3:$AC$39,'2020 Table 10 CWTs exp '!$A20)</f>
        <v>0</v>
      </c>
      <c r="L20" s="38">
        <f>SUMIFS('[13]inland_taf_hatchgrp_tableraw&amp;yy'!M$3:M$39,'[13]inland_taf_hatchgrp_tableraw&amp;yy'!$AC$3:$AC$39,'2020 Table 10 CWTs exp '!$A20)</f>
        <v>0</v>
      </c>
      <c r="M20" s="40">
        <f>SUMIFS('[13]inland_taf_hatchgrp_tableraw&amp;yy'!N$3:N$39,'[13]inland_taf_hatchgrp_tableraw&amp;yy'!$AC$3:$AC$39,'2020 Table 10 CWTs exp '!$A20)</f>
        <v>0</v>
      </c>
      <c r="N20" s="38">
        <f>SUMIFS('[13]inland_taf_hatchgrp_tableraw&amp;yy'!O$3:O$39,'[13]inland_taf_hatchgrp_tableraw&amp;yy'!$AC$3:$AC$39,'2020 Table 10 CWTs exp '!$A20)</f>
        <v>0</v>
      </c>
      <c r="O20" s="40">
        <f>SUMIFS('[13]inland_taf_hatchgrp_tableraw&amp;yy'!P$3:P$39,'[13]inland_taf_hatchgrp_tableraw&amp;yy'!$AC$3:$AC$39,'2020 Table 10 CWTs exp '!$A20)</f>
        <v>0</v>
      </c>
      <c r="P20" s="38">
        <f>SUMIFS('[13]inland_taf_hatchgrp_tableraw&amp;yy'!Q$3:Q$39,'[13]inland_taf_hatchgrp_tableraw&amp;yy'!$AC$3:$AC$39,'2020 Table 10 CWTs exp '!$A20)</f>
        <v>0</v>
      </c>
      <c r="Q20" s="38">
        <f>SUMIFS('[13]inland_taf_hatchgrp_tableraw&amp;yy'!R$3:R$39,'[13]inland_taf_hatchgrp_tableraw&amp;yy'!$AC$3:$AC$39,'2020 Table 10 CWTs exp '!$A20)</f>
        <v>0</v>
      </c>
      <c r="R20" s="38">
        <f>SUMIFS('[13]inland_taf_hatchgrp_tableraw&amp;yy'!S$3:S$39,'[13]inland_taf_hatchgrp_tableraw&amp;yy'!$AC$3:$AC$39,'2020 Table 10 CWTs exp '!$A20)</f>
        <v>0</v>
      </c>
      <c r="S20" s="40">
        <f>SUMIFS('[13]inland_taf_hatchgrp_tableraw&amp;yy'!T$3:T$39,'[13]inland_taf_hatchgrp_tableraw&amp;yy'!$AC$3:$AC$39,'2020 Table 10 CWTs exp '!$A20)</f>
        <v>0</v>
      </c>
      <c r="T20" s="38">
        <f>SUMIFS('[13]inland_taf_hatchgrp_tableraw&amp;yy'!U$3:U$39,'[13]inland_taf_hatchgrp_tableraw&amp;yy'!$AC$3:$AC$39,'2020 Table 10 CWTs exp '!$A20)</f>
        <v>0</v>
      </c>
      <c r="U20" s="40">
        <f>SUMIFS('[13]inland_taf_hatchgrp_tableraw&amp;yy'!V$3:V$39,'[13]inland_taf_hatchgrp_tableraw&amp;yy'!$AC$3:$AC$39,'2020 Table 10 CWTs exp '!$A20)</f>
        <v>0</v>
      </c>
      <c r="V20" s="40">
        <f>SUMIFS('[13]inland_taf_hatchgrp_tableraw&amp;yy'!W$3:W$39,'[13]inland_taf_hatchgrp_tableraw&amp;yy'!$AC$3:$AC$39,'2020 Table 10 CWTs exp '!$A20)</f>
        <v>0</v>
      </c>
      <c r="W20" s="38">
        <f>SUMIFS('[13]inland_taf_hatchgrp_tableraw&amp;yy'!X$3:X$39,'[13]inland_taf_hatchgrp_tableraw&amp;yy'!$AC$3:$AC$39,'2020 Table 10 CWTs exp '!$A20)</f>
        <v>0</v>
      </c>
      <c r="X20" s="41">
        <f>SUMIFS('[13]inland_taf_hatchgrp_tableraw&amp;yy'!Y$3:Y$39,'[13]inland_taf_hatchgrp_tableraw&amp;yy'!$AC$3:$AC$39,'2020 Table 10 CWTs exp '!$A20)</f>
        <v>2681</v>
      </c>
      <c r="Y20" s="42">
        <f>SUMIFS('[13]inland_taf_hatchgrp_tableraw&amp;yy'!Z$3:Z$39,'[13]inland_taf_hatchgrp_tableraw&amp;yy'!$AC$3:$AC$39,'2020 Table 10 CWTs exp '!$A20)</f>
        <v>3514</v>
      </c>
      <c r="Z20" s="38">
        <f>SUMIFS('[13]inland_taf_hatchgrp_tableraw&amp;yy'!AA$3:AA$39,'[13]inland_taf_hatchgrp_tableraw&amp;yy'!$AC$3:$AC$39,'2020 Table 10 CWTs exp '!$A20)</f>
        <v>6195</v>
      </c>
      <c r="AA20" s="44"/>
      <c r="AB20" s="636"/>
      <c r="AC20" s="567">
        <f>SUMIFS('[13]inland_taf_hatchgrp_tableraw&amp;yy'!AB$3:AB$39,'[13]inland_taf_hatchgrp_tableraw&amp;yy'!$AC$3:$AC$39,'2020 Table 10 CWTs exp '!$A20)</f>
        <v>0.433</v>
      </c>
      <c r="AD20" s="604" t="str">
        <f t="shared" ref="AD20:AD41" si="9">A20</f>
        <v>USAC544</v>
      </c>
      <c r="AE20" s="442"/>
      <c r="AF20" s="622">
        <f t="shared" ref="AF20:AF41" si="10">X20/Z20</f>
        <v>0.43276836158192089</v>
      </c>
      <c r="AG20" s="652">
        <f t="shared" ref="AG20:AG39" si="11">Y20/Z20</f>
        <v>0.56723163841807911</v>
      </c>
      <c r="AH20" s="597"/>
      <c r="AI20" s="599"/>
      <c r="AJ20" s="451"/>
      <c r="AK20" s="451"/>
      <c r="AL20" s="442"/>
      <c r="AM20" s="442"/>
      <c r="AN20" s="442"/>
      <c r="AO20" s="442"/>
      <c r="AP20" s="442"/>
      <c r="AQ20" s="442"/>
      <c r="AR20" s="442"/>
      <c r="AS20" s="442"/>
      <c r="AT20" s="442"/>
      <c r="AU20" s="442"/>
      <c r="AV20" s="442"/>
      <c r="AW20" s="442"/>
      <c r="AX20" s="442"/>
      <c r="AY20" s="442"/>
      <c r="AZ20" s="442"/>
      <c r="BA20" s="442"/>
      <c r="BB20" s="442"/>
      <c r="BC20" s="442"/>
      <c r="BD20" s="442"/>
      <c r="BE20" s="442"/>
      <c r="BF20" s="442"/>
    </row>
    <row r="21" spans="1:58" ht="14.25" customHeight="1" x14ac:dyDescent="0.25">
      <c r="A21" s="50" t="str">
        <f>CONCATENATE(B21,C21,D21)</f>
        <v>BUTT541</v>
      </c>
      <c r="B21" s="13" t="s">
        <v>66</v>
      </c>
      <c r="C21" s="13">
        <v>54</v>
      </c>
      <c r="D21" s="13">
        <v>1</v>
      </c>
      <c r="E21" s="3" t="s">
        <v>67</v>
      </c>
      <c r="F21" s="43" t="str">
        <f>LOOKUP(D21,$AK$8:$AK$11,$AL$8:$AL$11)</f>
        <v>Spring</v>
      </c>
      <c r="G21" s="38">
        <f>SUMIFS('[13]inland_taf_hatchgrp_tableraw&amp;yy'!G$3:G$39,'[13]inland_taf_hatchgrp_tableraw&amp;yy'!$AC$3:$AC$39,'2020 Table 10 CWTs exp '!$A21)</f>
        <v>0</v>
      </c>
      <c r="H21" s="39">
        <f>SUMIFS('[13]inland_taf_hatchgrp_tableraw&amp;yy'!H$3:H$39,'[13]inland_taf_hatchgrp_tableraw&amp;yy'!$AC$3:$AC$39,'2020 Table 10 CWTs exp '!$A21)</f>
        <v>0</v>
      </c>
      <c r="I21" s="40">
        <f>SUMIFS('[13]inland_taf_hatchgrp_tableraw&amp;yy'!I$3:I$39,'[13]inland_taf_hatchgrp_tableraw&amp;yy'!$AC$3:$AC$39,'2020 Table 10 CWTs exp '!$A21)</f>
        <v>0</v>
      </c>
      <c r="J21" s="38">
        <f>SUMIFS('[13]inland_taf_hatchgrp_tableraw&amp;yy'!K$3:K$39,'[13]inland_taf_hatchgrp_tableraw&amp;yy'!$AC$3:$AC$39,'2020 Table 10 CWTs exp '!$A21)</f>
        <v>0</v>
      </c>
      <c r="K21" s="38">
        <f>SUMIFS('[13]inland_taf_hatchgrp_tableraw&amp;yy'!L$3:L$39,'[13]inland_taf_hatchgrp_tableraw&amp;yy'!$AC$3:$AC$39,'2020 Table 10 CWTs exp '!$A21)</f>
        <v>0</v>
      </c>
      <c r="L21" s="38">
        <f>SUMIFS('[13]inland_taf_hatchgrp_tableraw&amp;yy'!M$3:M$39,'[13]inland_taf_hatchgrp_tableraw&amp;yy'!$AC$3:$AC$39,'2020 Table 10 CWTs exp '!$A21)</f>
        <v>0</v>
      </c>
      <c r="M21" s="40">
        <f>SUMIFS('[13]inland_taf_hatchgrp_tableraw&amp;yy'!N$3:N$39,'[13]inland_taf_hatchgrp_tableraw&amp;yy'!$AC$3:$AC$39,'2020 Table 10 CWTs exp '!$A21)</f>
        <v>0</v>
      </c>
      <c r="N21" s="38">
        <f>SUMIFS('[13]inland_taf_hatchgrp_tableraw&amp;yy'!O$3:O$39,'[13]inland_taf_hatchgrp_tableraw&amp;yy'!$AC$3:$AC$39,'2020 Table 10 CWTs exp '!$A21)</f>
        <v>0</v>
      </c>
      <c r="O21" s="40">
        <f>SUMIFS('[13]inland_taf_hatchgrp_tableraw&amp;yy'!P$3:P$39,'[13]inland_taf_hatchgrp_tableraw&amp;yy'!$AC$3:$AC$39,'2020 Table 10 CWTs exp '!$A21)</f>
        <v>0</v>
      </c>
      <c r="P21" s="38">
        <f>SUMIFS('[13]inland_taf_hatchgrp_tableraw&amp;yy'!Q$3:Q$39,'[13]inland_taf_hatchgrp_tableraw&amp;yy'!$AC$3:$AC$39,'2020 Table 10 CWTs exp '!$A21)</f>
        <v>0</v>
      </c>
      <c r="Q21" s="38">
        <f>SUMIFS('[13]inland_taf_hatchgrp_tableraw&amp;yy'!R$3:R$39,'[13]inland_taf_hatchgrp_tableraw&amp;yy'!$AC$3:$AC$39,'2020 Table 10 CWTs exp '!$A21)</f>
        <v>0</v>
      </c>
      <c r="R21" s="38">
        <f>SUMIFS('[13]inland_taf_hatchgrp_tableraw&amp;yy'!S$3:S$39,'[13]inland_taf_hatchgrp_tableraw&amp;yy'!$AC$3:$AC$39,'2020 Table 10 CWTs exp '!$A21)</f>
        <v>0</v>
      </c>
      <c r="S21" s="40">
        <f>SUMIFS('[13]inland_taf_hatchgrp_tableraw&amp;yy'!T$3:T$39,'[13]inland_taf_hatchgrp_tableraw&amp;yy'!$AC$3:$AC$39,'2020 Table 10 CWTs exp '!$A21)</f>
        <v>0</v>
      </c>
      <c r="T21" s="38">
        <f>SUMIFS('[13]inland_taf_hatchgrp_tableraw&amp;yy'!U$3:U$39,'[13]inland_taf_hatchgrp_tableraw&amp;yy'!$AC$3:$AC$39,'2020 Table 10 CWTs exp '!$A21)</f>
        <v>0</v>
      </c>
      <c r="U21" s="40">
        <f>SUMIFS('[13]inland_taf_hatchgrp_tableraw&amp;yy'!V$3:V$39,'[13]inland_taf_hatchgrp_tableraw&amp;yy'!$AC$3:$AC$39,'2020 Table 10 CWTs exp '!$A21)</f>
        <v>0</v>
      </c>
      <c r="V21" s="40">
        <f>SUMIFS('[13]inland_taf_hatchgrp_tableraw&amp;yy'!W$3:W$39,'[13]inland_taf_hatchgrp_tableraw&amp;yy'!$AC$3:$AC$39,'2020 Table 10 CWTs exp '!$A21)</f>
        <v>0</v>
      </c>
      <c r="W21" s="38">
        <f>SUMIFS('[13]inland_taf_hatchgrp_tableraw&amp;yy'!X$3:X$39,'[13]inland_taf_hatchgrp_tableraw&amp;yy'!$AC$3:$AC$39,'2020 Table 10 CWTs exp '!$A21)</f>
        <v>0</v>
      </c>
      <c r="X21" s="41">
        <f>SUM(G21:W21)</f>
        <v>0</v>
      </c>
      <c r="Y21" s="42">
        <f>SUMIFS('[13]inland_taf_hatchgrp_tableraw&amp;yy'!Z$3:Z$39,'[13]inland_taf_hatchgrp_tableraw&amp;yy'!$AC$3:$AC$39,'2020 Table 10 CWTs exp '!$A21)</f>
        <v>1281</v>
      </c>
      <c r="Z21" s="38">
        <f>SUMIFS('[13]inland_taf_hatchgrp_tableraw&amp;yy'!AA$3:AA$39,'[13]inland_taf_hatchgrp_tableraw&amp;yy'!$AC$3:$AC$39,'2020 Table 10 CWTs exp '!$A21)</f>
        <v>1281</v>
      </c>
      <c r="AA21" s="44"/>
      <c r="AB21" s="636"/>
      <c r="AC21" s="567">
        <v>0</v>
      </c>
      <c r="AD21" s="604" t="str">
        <f t="shared" si="9"/>
        <v>BUTT541</v>
      </c>
      <c r="AE21" s="442"/>
      <c r="AF21" s="622">
        <f t="shared" si="10"/>
        <v>0</v>
      </c>
      <c r="AG21" s="652">
        <f t="shared" si="11"/>
        <v>1</v>
      </c>
      <c r="AH21" s="597"/>
      <c r="AI21" s="599"/>
      <c r="AJ21" s="451"/>
      <c r="AK21" s="451"/>
      <c r="AL21" s="442"/>
      <c r="AM21" s="442"/>
      <c r="AN21" s="442"/>
      <c r="AO21" s="442"/>
      <c r="AP21" s="442"/>
      <c r="AQ21" s="442"/>
      <c r="AR21" s="442"/>
      <c r="AS21" s="442"/>
      <c r="AT21" s="442"/>
      <c r="AU21" s="442"/>
      <c r="AV21" s="442"/>
      <c r="AW21" s="442"/>
      <c r="AX21" s="442"/>
      <c r="AY21" s="442"/>
      <c r="AZ21" s="442"/>
      <c r="BA21" s="442"/>
      <c r="BB21" s="442"/>
      <c r="BC21" s="442"/>
      <c r="BD21" s="442"/>
      <c r="BE21" s="442"/>
      <c r="BF21" s="442"/>
    </row>
    <row r="22" spans="1:58" ht="14.25" customHeight="1" x14ac:dyDescent="0.25">
      <c r="A22" s="50" t="str">
        <f>CONCATENATE(B22,C22,D22)</f>
        <v>UPSJ541</v>
      </c>
      <c r="B22" s="13" t="s">
        <v>68</v>
      </c>
      <c r="C22" s="13">
        <v>54</v>
      </c>
      <c r="D22" s="13">
        <v>1</v>
      </c>
      <c r="E22" s="3" t="s">
        <v>69</v>
      </c>
      <c r="F22" s="43" t="s">
        <v>47</v>
      </c>
      <c r="G22" s="38">
        <f>SUMIFS('[13]inland_taf_hatchgrp_tableraw&amp;yy'!G$3:G$39,'[13]inland_taf_hatchgrp_tableraw&amp;yy'!$AC$3:$AC$39,'2020 Table 10 CWTs exp '!$A22)</f>
        <v>0</v>
      </c>
      <c r="H22" s="39">
        <f>SUMIFS('[13]inland_taf_hatchgrp_tableraw&amp;yy'!H$3:H$39,'[13]inland_taf_hatchgrp_tableraw&amp;yy'!$AC$3:$AC$39,'2020 Table 10 CWTs exp '!$A22)</f>
        <v>0</v>
      </c>
      <c r="I22" s="40">
        <f>SUMIFS('[13]inland_taf_hatchgrp_tableraw&amp;yy'!I$3:I$39,'[13]inland_taf_hatchgrp_tableraw&amp;yy'!$AC$3:$AC$39,'2020 Table 10 CWTs exp '!$A22)</f>
        <v>0</v>
      </c>
      <c r="J22" s="38">
        <f>SUMIFS('[13]inland_taf_hatchgrp_tableraw&amp;yy'!K$3:K$39,'[13]inland_taf_hatchgrp_tableraw&amp;yy'!$AC$3:$AC$39,'2020 Table 10 CWTs exp '!$A22)</f>
        <v>0</v>
      </c>
      <c r="K22" s="38">
        <f>SUMIFS('[13]inland_taf_hatchgrp_tableraw&amp;yy'!L$3:L$39,'[13]inland_taf_hatchgrp_tableraw&amp;yy'!$AC$3:$AC$39,'2020 Table 10 CWTs exp '!$A22)</f>
        <v>0</v>
      </c>
      <c r="L22" s="38">
        <f>SUMIFS('[13]inland_taf_hatchgrp_tableraw&amp;yy'!M$3:M$39,'[13]inland_taf_hatchgrp_tableraw&amp;yy'!$AC$3:$AC$39,'2020 Table 10 CWTs exp '!$A22)</f>
        <v>0</v>
      </c>
      <c r="M22" s="40">
        <f>SUMIFS('[13]inland_taf_hatchgrp_tableraw&amp;yy'!N$3:N$39,'[13]inland_taf_hatchgrp_tableraw&amp;yy'!$AC$3:$AC$39,'2020 Table 10 CWTs exp '!$A22)</f>
        <v>0</v>
      </c>
      <c r="N22" s="38">
        <f>SUMIFS('[13]inland_taf_hatchgrp_tableraw&amp;yy'!O$3:O$39,'[13]inland_taf_hatchgrp_tableraw&amp;yy'!$AC$3:$AC$39,'2020 Table 10 CWTs exp '!$A22)</f>
        <v>0</v>
      </c>
      <c r="O22" s="40">
        <f>SUMIFS('[13]inland_taf_hatchgrp_tableraw&amp;yy'!P$3:P$39,'[13]inland_taf_hatchgrp_tableraw&amp;yy'!$AC$3:$AC$39,'2020 Table 10 CWTs exp '!$A22)</f>
        <v>4</v>
      </c>
      <c r="P22" s="38">
        <f>SUMIFS('[13]inland_taf_hatchgrp_tableraw&amp;yy'!Q$3:Q$39,'[13]inland_taf_hatchgrp_tableraw&amp;yy'!$AC$3:$AC$39,'2020 Table 10 CWTs exp '!$A22)</f>
        <v>0</v>
      </c>
      <c r="Q22" s="38">
        <f>SUMIFS('[13]inland_taf_hatchgrp_tableraw&amp;yy'!R$3:R$39,'[13]inland_taf_hatchgrp_tableraw&amp;yy'!$AC$3:$AC$39,'2020 Table 10 CWTs exp '!$A22)</f>
        <v>0</v>
      </c>
      <c r="R22" s="38">
        <f>SUMIFS('[13]inland_taf_hatchgrp_tableraw&amp;yy'!S$3:S$39,'[13]inland_taf_hatchgrp_tableraw&amp;yy'!$AC$3:$AC$39,'2020 Table 10 CWTs exp '!$A22)</f>
        <v>0</v>
      </c>
      <c r="S22" s="40">
        <f>SUMIFS('[13]inland_taf_hatchgrp_tableraw&amp;yy'!T$3:T$39,'[13]inland_taf_hatchgrp_tableraw&amp;yy'!$AC$3:$AC$39,'2020 Table 10 CWTs exp '!$A22)</f>
        <v>0</v>
      </c>
      <c r="T22" s="38">
        <f>SUMIFS('[13]inland_taf_hatchgrp_tableraw&amp;yy'!U$3:U$39,'[13]inland_taf_hatchgrp_tableraw&amp;yy'!$AC$3:$AC$39,'2020 Table 10 CWTs exp '!$A22)</f>
        <v>0</v>
      </c>
      <c r="U22" s="40">
        <f>SUMIFS('[13]inland_taf_hatchgrp_tableraw&amp;yy'!V$3:V$39,'[13]inland_taf_hatchgrp_tableraw&amp;yy'!$AC$3:$AC$39,'2020 Table 10 CWTs exp '!$A22)</f>
        <v>0</v>
      </c>
      <c r="V22" s="40">
        <f>SUMIFS('[13]inland_taf_hatchgrp_tableraw&amp;yy'!W$3:W$39,'[13]inland_taf_hatchgrp_tableraw&amp;yy'!$AC$3:$AC$39,'2020 Table 10 CWTs exp '!$A22)</f>
        <v>13</v>
      </c>
      <c r="W22" s="38">
        <f>SUMIFS('[13]inland_taf_hatchgrp_tableraw&amp;yy'!X$3:X$39,'[13]inland_taf_hatchgrp_tableraw&amp;yy'!$AC$3:$AC$39,'2020 Table 10 CWTs exp '!$A22)</f>
        <v>0</v>
      </c>
      <c r="X22" s="41">
        <f>SUM(G22:W22)</f>
        <v>17</v>
      </c>
      <c r="Y22" s="42">
        <f>SUMIFS('[13]inland_taf_hatchgrp_tableraw&amp;yy'!Z$3:Z$39,'[13]inland_taf_hatchgrp_tableraw&amp;yy'!$AC$3:$AC$39,'2020 Table 10 CWTs exp '!$A22)</f>
        <v>2</v>
      </c>
      <c r="Z22" s="38">
        <f>SUMIFS('[13]inland_taf_hatchgrp_tableraw&amp;yy'!AA$3:AA$39,'[13]inland_taf_hatchgrp_tableraw&amp;yy'!$AC$3:$AC$39,'2020 Table 10 CWTs exp '!$A22)</f>
        <v>19</v>
      </c>
      <c r="AA22" s="44"/>
      <c r="AB22" s="636"/>
      <c r="AC22" s="567">
        <f>SUMIFS('[13]inland_taf_hatchgrp_tableraw&amp;yy'!AB$3:AB$39,'[13]inland_taf_hatchgrp_tableraw&amp;yy'!$AC$3:$AC$39,'2020 Table 10 CWTs exp '!$A22)</f>
        <v>0.89500000000000002</v>
      </c>
      <c r="AD22" s="604" t="str">
        <f t="shared" si="9"/>
        <v>UPSJ541</v>
      </c>
      <c r="AE22" s="442"/>
      <c r="AF22" s="622">
        <f t="shared" si="10"/>
        <v>0.89473684210526316</v>
      </c>
      <c r="AG22" s="652"/>
      <c r="AH22" s="597"/>
      <c r="AI22" s="599"/>
      <c r="AJ22" s="451"/>
      <c r="AK22" s="451"/>
      <c r="AL22" s="442"/>
      <c r="AM22" s="442"/>
      <c r="AN22" s="442"/>
      <c r="AO22" s="442"/>
      <c r="AP22" s="442"/>
      <c r="AQ22" s="442"/>
      <c r="AR22" s="442"/>
      <c r="AS22" s="442"/>
      <c r="AT22" s="442"/>
      <c r="AU22" s="442"/>
      <c r="AV22" s="442"/>
      <c r="AW22" s="442"/>
      <c r="AX22" s="442"/>
      <c r="AY22" s="442"/>
      <c r="AZ22" s="442"/>
      <c r="BA22" s="442"/>
      <c r="BB22" s="442"/>
      <c r="BC22" s="442"/>
      <c r="BD22" s="442"/>
      <c r="BE22" s="442"/>
      <c r="BF22" s="442"/>
    </row>
    <row r="23" spans="1:58" ht="14.5" customHeight="1" x14ac:dyDescent="0.25">
      <c r="A23" s="50" t="str">
        <f t="shared" si="8"/>
        <v>USAC543</v>
      </c>
      <c r="B23" s="13" t="s">
        <v>64</v>
      </c>
      <c r="C23" s="13">
        <v>54</v>
      </c>
      <c r="D23" s="13">
        <v>3</v>
      </c>
      <c r="E23" s="3" t="s">
        <v>65</v>
      </c>
      <c r="F23" s="43" t="str">
        <f>LOOKUP(D23,$AK$8:$AK$11,$AL$8:$AL$11)</f>
        <v>Fall</v>
      </c>
      <c r="G23" s="38">
        <f>SUMIFS('[13]inland_taf_hatchgrp_tableraw&amp;yy'!G$3:G$39,'[13]inland_taf_hatchgrp_tableraw&amp;yy'!$AC$3:$AC$39,'2020 Table 10 CWTs exp '!$A23)</f>
        <v>0</v>
      </c>
      <c r="H23" s="39">
        <f>SUMIFS('[13]inland_taf_hatchgrp_tableraw&amp;yy'!H$3:H$39,'[13]inland_taf_hatchgrp_tableraw&amp;yy'!$AC$3:$AC$39,'2020 Table 10 CWTs exp '!$A23)</f>
        <v>0</v>
      </c>
      <c r="I23" s="40">
        <f>SUMIFS('[13]inland_taf_hatchgrp_tableraw&amp;yy'!I$3:I$39,'[13]inland_taf_hatchgrp_tableraw&amp;yy'!$AC$3:$AC$39,'2020 Table 10 CWTs exp '!$A23)</f>
        <v>3266</v>
      </c>
      <c r="J23" s="38">
        <f>SUMIFS('[13]inland_taf_hatchgrp_tableraw&amp;yy'!K$3:K$39,'[13]inland_taf_hatchgrp_tableraw&amp;yy'!$AC$3:$AC$39,'2020 Table 10 CWTs exp '!$A23)</f>
        <v>17</v>
      </c>
      <c r="K23" s="38">
        <f>SUMIFS('[13]inland_taf_hatchgrp_tableraw&amp;yy'!L$3:L$39,'[13]inland_taf_hatchgrp_tableraw&amp;yy'!$AC$3:$AC$39,'2020 Table 10 CWTs exp '!$A23)</f>
        <v>0</v>
      </c>
      <c r="L23" s="38">
        <f>SUMIFS('[13]inland_taf_hatchgrp_tableraw&amp;yy'!M$3:M$39,'[13]inland_taf_hatchgrp_tableraw&amp;yy'!$AC$3:$AC$39,'2020 Table 10 CWTs exp '!$A23)</f>
        <v>1465</v>
      </c>
      <c r="M23" s="40">
        <f>SUMIFS('[13]inland_taf_hatchgrp_tableraw&amp;yy'!N$3:N$39,'[13]inland_taf_hatchgrp_tableraw&amp;yy'!$AC$3:$AC$39,'2020 Table 10 CWTs exp '!$A23)</f>
        <v>835</v>
      </c>
      <c r="N23" s="38">
        <f>SUMIFS('[13]inland_taf_hatchgrp_tableraw&amp;yy'!O$3:O$39,'[13]inland_taf_hatchgrp_tableraw&amp;yy'!$AC$3:$AC$39,'2020 Table 10 CWTs exp '!$A23)</f>
        <v>0</v>
      </c>
      <c r="O23" s="40">
        <f>SUMIFS('[13]inland_taf_hatchgrp_tableraw&amp;yy'!P$3:P$39,'[13]inland_taf_hatchgrp_tableraw&amp;yy'!$AC$3:$AC$39,'2020 Table 10 CWTs exp '!$A23)</f>
        <v>0</v>
      </c>
      <c r="P23" s="38">
        <f>SUMIFS('[13]inland_taf_hatchgrp_tableraw&amp;yy'!Q$3:Q$39,'[13]inland_taf_hatchgrp_tableraw&amp;yy'!$AC$3:$AC$39,'2020 Table 10 CWTs exp '!$A23)</f>
        <v>0</v>
      </c>
      <c r="Q23" s="38">
        <f>SUMIFS('[13]inland_taf_hatchgrp_tableraw&amp;yy'!R$3:R$39,'[13]inland_taf_hatchgrp_tableraw&amp;yy'!$AC$3:$AC$39,'2020 Table 10 CWTs exp '!$A23)</f>
        <v>33</v>
      </c>
      <c r="R23" s="38">
        <f>SUMIFS('[13]inland_taf_hatchgrp_tableraw&amp;yy'!S$3:S$39,'[13]inland_taf_hatchgrp_tableraw&amp;yy'!$AC$3:$AC$39,'2020 Table 10 CWTs exp '!$A23)</f>
        <v>17</v>
      </c>
      <c r="S23" s="40">
        <f>SUMIFS('[13]inland_taf_hatchgrp_tableraw&amp;yy'!T$3:T$39,'[13]inland_taf_hatchgrp_tableraw&amp;yy'!$AC$3:$AC$39,'2020 Table 10 CWTs exp '!$A23)</f>
        <v>0</v>
      </c>
      <c r="T23" s="38">
        <f>SUMIFS('[13]inland_taf_hatchgrp_tableraw&amp;yy'!U$3:U$39,'[13]inland_taf_hatchgrp_tableraw&amp;yy'!$AC$3:$AC$39,'2020 Table 10 CWTs exp '!$A23)</f>
        <v>0</v>
      </c>
      <c r="U23" s="40">
        <f>SUMIFS('[13]inland_taf_hatchgrp_tableraw&amp;yy'!V$3:V$39,'[13]inland_taf_hatchgrp_tableraw&amp;yy'!$AC$3:$AC$39,'2020 Table 10 CWTs exp '!$A23)</f>
        <v>34</v>
      </c>
      <c r="V23" s="40">
        <f>SUMIFS('[13]inland_taf_hatchgrp_tableraw&amp;yy'!W$3:W$39,'[13]inland_taf_hatchgrp_tableraw&amp;yy'!$AC$3:$AC$39,'2020 Table 10 CWTs exp '!$A23)</f>
        <v>0</v>
      </c>
      <c r="W23" s="38">
        <f>SUMIFS('[13]inland_taf_hatchgrp_tableraw&amp;yy'!X$3:X$39,'[13]inland_taf_hatchgrp_tableraw&amp;yy'!$AC$3:$AC$39,'2020 Table 10 CWTs exp '!$A23)</f>
        <v>0</v>
      </c>
      <c r="X23" s="41">
        <f>SUMIFS('[13]inland_taf_hatchgrp_tableraw&amp;yy'!Y$3:Y$39,'[13]inland_taf_hatchgrp_tableraw&amp;yy'!$AC$3:$AC$39,'2020 Table 10 CWTs exp '!$A23)</f>
        <v>5667</v>
      </c>
      <c r="Y23" s="42">
        <f>SUMIFS('[13]inland_taf_hatchgrp_tableraw&amp;yy'!Z$3:Z$39,'[13]inland_taf_hatchgrp_tableraw&amp;yy'!$AC$3:$AC$39,'2020 Table 10 CWTs exp '!$A23)</f>
        <v>7860</v>
      </c>
      <c r="Z23" s="38">
        <f>SUMIFS('[13]inland_taf_hatchgrp_tableraw&amp;yy'!AA$3:AA$39,'[13]inland_taf_hatchgrp_tableraw&amp;yy'!$AC$3:$AC$39,'2020 Table 10 CWTs exp '!$A23)</f>
        <v>13527</v>
      </c>
      <c r="AA23" s="44"/>
      <c r="AB23" s="636"/>
      <c r="AC23" s="567">
        <f>SUMIFS('[13]inland_taf_hatchgrp_tableraw&amp;yy'!AB$3:AB$39,'[13]inland_taf_hatchgrp_tableraw&amp;yy'!$AC$3:$AC$39,'2020 Table 10 CWTs exp '!$A23)</f>
        <v>0.41899999999999998</v>
      </c>
      <c r="AD23" s="604" t="str">
        <f t="shared" si="9"/>
        <v>USAC543</v>
      </c>
      <c r="AE23" s="442"/>
      <c r="AF23" s="622">
        <f t="shared" si="10"/>
        <v>0.41893989798181414</v>
      </c>
      <c r="AG23" s="652">
        <f t="shared" si="11"/>
        <v>0.58106010201818581</v>
      </c>
      <c r="AH23" s="605">
        <f>1-AC23</f>
        <v>0.58099999999999996</v>
      </c>
      <c r="AI23" s="447">
        <f t="shared" ref="AI23:AI39" si="12">Y23</f>
        <v>7860</v>
      </c>
      <c r="AJ23" s="650">
        <f>AI23/Z23</f>
        <v>0.58106010201818581</v>
      </c>
      <c r="AK23" s="451"/>
      <c r="AL23" s="442"/>
      <c r="AM23" s="442"/>
      <c r="AN23" s="442"/>
      <c r="AO23" s="442"/>
      <c r="AP23" s="442"/>
      <c r="AQ23" s="442"/>
      <c r="AR23" s="442"/>
      <c r="AS23" s="442"/>
      <c r="AT23" s="442"/>
      <c r="AU23" s="442"/>
      <c r="AV23" s="442"/>
      <c r="AW23" s="442"/>
      <c r="AX23" s="442"/>
      <c r="AY23" s="442"/>
      <c r="AZ23" s="442"/>
      <c r="BA23" s="442"/>
      <c r="BB23" s="442"/>
      <c r="BC23" s="442"/>
      <c r="BD23" s="442"/>
      <c r="BE23" s="442"/>
      <c r="BF23" s="442"/>
    </row>
    <row r="24" spans="1:58" ht="14.25" customHeight="1" x14ac:dyDescent="0.25">
      <c r="A24" s="50" t="str">
        <f t="shared" si="8"/>
        <v>CLR543</v>
      </c>
      <c r="B24" s="13" t="s">
        <v>70</v>
      </c>
      <c r="C24" s="13">
        <v>54</v>
      </c>
      <c r="D24" s="13">
        <v>3</v>
      </c>
      <c r="E24" s="3" t="s">
        <v>71</v>
      </c>
      <c r="F24" s="43" t="str">
        <f>LOOKUP(D24,$AK$8:$AK$11,$AL$8:$AL$11)</f>
        <v>Fall</v>
      </c>
      <c r="G24" s="38">
        <f>SUMIFS('[13]inland_taf_hatchgrp_tableraw&amp;yy'!G$3:G$39,'[13]inland_taf_hatchgrp_tableraw&amp;yy'!$AC$3:$AC$39,'2020 Table 10 CWTs exp '!$A24)</f>
        <v>0</v>
      </c>
      <c r="H24" s="39">
        <f>SUMIFS('[13]inland_taf_hatchgrp_tableraw&amp;yy'!H$3:H$39,'[13]inland_taf_hatchgrp_tableraw&amp;yy'!$AC$3:$AC$39,'2020 Table 10 CWTs exp '!$A24)</f>
        <v>0</v>
      </c>
      <c r="I24" s="40">
        <f>SUMIFS('[13]inland_taf_hatchgrp_tableraw&amp;yy'!I$3:I$39,'[13]inland_taf_hatchgrp_tableraw&amp;yy'!$AC$3:$AC$39,'2020 Table 10 CWTs exp '!$A24)</f>
        <v>2361</v>
      </c>
      <c r="J24" s="38">
        <f>SUMIFS('[13]inland_taf_hatchgrp_tableraw&amp;yy'!K$3:K$39,'[13]inland_taf_hatchgrp_tableraw&amp;yy'!$AC$3:$AC$39,'2020 Table 10 CWTs exp '!$A24)</f>
        <v>0</v>
      </c>
      <c r="K24" s="38">
        <f>SUMIFS('[13]inland_taf_hatchgrp_tableraw&amp;yy'!L$3:L$39,'[13]inland_taf_hatchgrp_tableraw&amp;yy'!$AC$3:$AC$39,'2020 Table 10 CWTs exp '!$A24)</f>
        <v>8</v>
      </c>
      <c r="L24" s="38">
        <f>SUMIFS('[13]inland_taf_hatchgrp_tableraw&amp;yy'!M$3:M$39,'[13]inland_taf_hatchgrp_tableraw&amp;yy'!$AC$3:$AC$39,'2020 Table 10 CWTs exp '!$A24)</f>
        <v>683</v>
      </c>
      <c r="M24" s="40">
        <f>SUMIFS('[13]inland_taf_hatchgrp_tableraw&amp;yy'!N$3:N$39,'[13]inland_taf_hatchgrp_tableraw&amp;yy'!$AC$3:$AC$39,'2020 Table 10 CWTs exp '!$A24)</f>
        <v>314</v>
      </c>
      <c r="N24" s="38">
        <f>SUMIFS('[13]inland_taf_hatchgrp_tableraw&amp;yy'!O$3:O$39,'[13]inland_taf_hatchgrp_tableraw&amp;yy'!$AC$3:$AC$39,'2020 Table 10 CWTs exp '!$A24)</f>
        <v>0</v>
      </c>
      <c r="O24" s="40">
        <f>SUMIFS('[13]inland_taf_hatchgrp_tableraw&amp;yy'!P$3:P$39,'[13]inland_taf_hatchgrp_tableraw&amp;yy'!$AC$3:$AC$39,'2020 Table 10 CWTs exp '!$A24)</f>
        <v>0</v>
      </c>
      <c r="P24" s="38">
        <f>SUMIFS('[13]inland_taf_hatchgrp_tableraw&amp;yy'!Q$3:Q$39,'[13]inland_taf_hatchgrp_tableraw&amp;yy'!$AC$3:$AC$39,'2020 Table 10 CWTs exp '!$A24)</f>
        <v>0</v>
      </c>
      <c r="Q24" s="38">
        <f>SUMIFS('[13]inland_taf_hatchgrp_tableraw&amp;yy'!R$3:R$39,'[13]inland_taf_hatchgrp_tableraw&amp;yy'!$AC$3:$AC$39,'2020 Table 10 CWTs exp '!$A24)</f>
        <v>0</v>
      </c>
      <c r="R24" s="38">
        <f>SUMIFS('[13]inland_taf_hatchgrp_tableraw&amp;yy'!S$3:S$39,'[13]inland_taf_hatchgrp_tableraw&amp;yy'!$AC$3:$AC$39,'2020 Table 10 CWTs exp '!$A24)</f>
        <v>24</v>
      </c>
      <c r="S24" s="40">
        <f>SUMIFS('[13]inland_taf_hatchgrp_tableraw&amp;yy'!T$3:T$39,'[13]inland_taf_hatchgrp_tableraw&amp;yy'!$AC$3:$AC$39,'2020 Table 10 CWTs exp '!$A24)</f>
        <v>0</v>
      </c>
      <c r="T24" s="38">
        <f>SUMIFS('[13]inland_taf_hatchgrp_tableraw&amp;yy'!U$3:U$39,'[13]inland_taf_hatchgrp_tableraw&amp;yy'!$AC$3:$AC$39,'2020 Table 10 CWTs exp '!$A24)</f>
        <v>0</v>
      </c>
      <c r="U24" s="40">
        <f>SUMIFS('[13]inland_taf_hatchgrp_tableraw&amp;yy'!V$3:V$39,'[13]inland_taf_hatchgrp_tableraw&amp;yy'!$AC$3:$AC$39,'2020 Table 10 CWTs exp '!$A24)</f>
        <v>0</v>
      </c>
      <c r="V24" s="40">
        <f>SUMIFS('[13]inland_taf_hatchgrp_tableraw&amp;yy'!W$3:W$39,'[13]inland_taf_hatchgrp_tableraw&amp;yy'!$AC$3:$AC$39,'2020 Table 10 CWTs exp '!$A24)</f>
        <v>0</v>
      </c>
      <c r="W24" s="38">
        <f>SUMIFS('[13]inland_taf_hatchgrp_tableraw&amp;yy'!X$3:X$39,'[13]inland_taf_hatchgrp_tableraw&amp;yy'!$AC$3:$AC$39,'2020 Table 10 CWTs exp '!$A24)</f>
        <v>0</v>
      </c>
      <c r="X24" s="41">
        <f>SUMIFS('[13]inland_taf_hatchgrp_tableraw&amp;yy'!Y$3:Y$39,'[13]inland_taf_hatchgrp_tableraw&amp;yy'!$AC$3:$AC$39,'2020 Table 10 CWTs exp '!$A24)</f>
        <v>3390</v>
      </c>
      <c r="Y24" s="42">
        <f>SUMIFS('[13]inland_taf_hatchgrp_tableraw&amp;yy'!Z$3:Z$39,'[13]inland_taf_hatchgrp_tableraw&amp;yy'!$AC$3:$AC$39,'2020 Table 10 CWTs exp '!$A24)</f>
        <v>3241</v>
      </c>
      <c r="Z24" s="38">
        <f>SUMIFS('[13]inland_taf_hatchgrp_tableraw&amp;yy'!AA$3:AA$39,'[13]inland_taf_hatchgrp_tableraw&amp;yy'!$AC$3:$AC$39,'2020 Table 10 CWTs exp '!$A24)</f>
        <v>6631</v>
      </c>
      <c r="AA24" s="44"/>
      <c r="AB24" s="636"/>
      <c r="AC24" s="567">
        <f>SUMIFS('[13]inland_taf_hatchgrp_tableraw&amp;yy'!AB$3:AB$39,'[13]inland_taf_hatchgrp_tableraw&amp;yy'!$AC$3:$AC$39,'2020 Table 10 CWTs exp '!$A24)</f>
        <v>0.51100000000000001</v>
      </c>
      <c r="AD24" s="604" t="str">
        <f t="shared" si="9"/>
        <v>CLR543</v>
      </c>
      <c r="AE24" s="613"/>
      <c r="AF24" s="622">
        <f t="shared" si="10"/>
        <v>0.51123510782687376</v>
      </c>
      <c r="AG24" s="652">
        <f t="shared" si="11"/>
        <v>0.48876489217312624</v>
      </c>
      <c r="AH24" s="605">
        <f t="shared" ref="AH24:AH40" si="13">1-AC24</f>
        <v>0.48899999999999999</v>
      </c>
      <c r="AI24" s="447">
        <f t="shared" si="12"/>
        <v>3241</v>
      </c>
      <c r="AJ24" s="650">
        <f t="shared" ref="AJ24:AJ40" si="14">AI24/Z24</f>
        <v>0.48876489217312624</v>
      </c>
      <c r="AK24" s="451"/>
      <c r="AL24" s="442"/>
      <c r="AM24" s="442"/>
      <c r="AN24" s="442"/>
      <c r="AO24" s="442"/>
      <c r="AP24" s="442"/>
      <c r="AQ24" s="442"/>
      <c r="AR24" s="442"/>
      <c r="AS24" s="442"/>
      <c r="AT24" s="442"/>
      <c r="AU24" s="442"/>
      <c r="AV24" s="442"/>
      <c r="AW24" s="442"/>
      <c r="AX24" s="442"/>
      <c r="AY24" s="442"/>
      <c r="AZ24" s="442"/>
      <c r="BA24" s="442"/>
      <c r="BB24" s="442"/>
      <c r="BC24" s="442"/>
      <c r="BD24" s="442"/>
      <c r="BE24" s="442"/>
      <c r="BF24" s="442"/>
    </row>
    <row r="25" spans="1:58" ht="14.5" x14ac:dyDescent="0.25">
      <c r="A25" s="50" t="str">
        <f t="shared" si="8"/>
        <v>BATT543</v>
      </c>
      <c r="B25" s="13" t="s">
        <v>72</v>
      </c>
      <c r="C25" s="13">
        <v>54</v>
      </c>
      <c r="D25" s="13">
        <v>3</v>
      </c>
      <c r="E25" s="75" t="s">
        <v>73</v>
      </c>
      <c r="F25" s="43" t="s">
        <v>48</v>
      </c>
      <c r="G25" s="38">
        <f>SUMIFS('[13]inland_taf_hatchgrp_tableraw&amp;yy'!G$3:G$39,'[13]inland_taf_hatchgrp_tableraw&amp;yy'!$AC$3:$AC$39,'2020 Table 10 CWTs exp '!$A25)</f>
        <v>0</v>
      </c>
      <c r="H25" s="39">
        <f>SUMIFS('[13]inland_taf_hatchgrp_tableraw&amp;yy'!H$3:H$39,'[13]inland_taf_hatchgrp_tableraw&amp;yy'!$AC$3:$AC$39,'2020 Table 10 CWTs exp '!$A25)</f>
        <v>31</v>
      </c>
      <c r="I25" s="40">
        <f>SUMIFS('[13]inland_taf_hatchgrp_tableraw&amp;yy'!I$3:I$39,'[13]inland_taf_hatchgrp_tableraw&amp;yy'!$AC$3:$AC$39,'2020 Table 10 CWTs exp '!$A25)</f>
        <v>16330</v>
      </c>
      <c r="J25" s="38">
        <f>SUMIFS('[13]inland_taf_hatchgrp_tableraw&amp;yy'!K$3:K$39,'[13]inland_taf_hatchgrp_tableraw&amp;yy'!$AC$3:$AC$39,'2020 Table 10 CWTs exp '!$A25)</f>
        <v>0</v>
      </c>
      <c r="K25" s="38">
        <f>SUMIFS('[13]inland_taf_hatchgrp_tableraw&amp;yy'!L$3:L$39,'[13]inland_taf_hatchgrp_tableraw&amp;yy'!$AC$3:$AC$39,'2020 Table 10 CWTs exp '!$A25)</f>
        <v>0</v>
      </c>
      <c r="L25" s="38">
        <f>SUMIFS('[13]inland_taf_hatchgrp_tableraw&amp;yy'!M$3:M$39,'[13]inland_taf_hatchgrp_tableraw&amp;yy'!$AC$3:$AC$39,'2020 Table 10 CWTs exp '!$A25)</f>
        <v>101</v>
      </c>
      <c r="M25" s="40">
        <f>SUMIFS('[13]inland_taf_hatchgrp_tableraw&amp;yy'!N$3:N$39,'[13]inland_taf_hatchgrp_tableraw&amp;yy'!$AC$3:$AC$39,'2020 Table 10 CWTs exp '!$A25)</f>
        <v>96</v>
      </c>
      <c r="N25" s="38">
        <f>SUMIFS('[13]inland_taf_hatchgrp_tableraw&amp;yy'!O$3:O$39,'[13]inland_taf_hatchgrp_tableraw&amp;yy'!$AC$3:$AC$39,'2020 Table 10 CWTs exp '!$A25)</f>
        <v>6</v>
      </c>
      <c r="O25" s="40">
        <f>SUMIFS('[13]inland_taf_hatchgrp_tableraw&amp;yy'!P$3:P$39,'[13]inland_taf_hatchgrp_tableraw&amp;yy'!$AC$3:$AC$39,'2020 Table 10 CWTs exp '!$A25)</f>
        <v>11</v>
      </c>
      <c r="P25" s="38">
        <f>SUMIFS('[13]inland_taf_hatchgrp_tableraw&amp;yy'!Q$3:Q$39,'[13]inland_taf_hatchgrp_tableraw&amp;yy'!$AC$3:$AC$39,'2020 Table 10 CWTs exp '!$A25)</f>
        <v>0</v>
      </c>
      <c r="Q25" s="38">
        <f>SUMIFS('[13]inland_taf_hatchgrp_tableraw&amp;yy'!R$3:R$39,'[13]inland_taf_hatchgrp_tableraw&amp;yy'!$AC$3:$AC$39,'2020 Table 10 CWTs exp '!$A25)</f>
        <v>6</v>
      </c>
      <c r="R25" s="38">
        <f>SUMIFS('[13]inland_taf_hatchgrp_tableraw&amp;yy'!S$3:S$39,'[13]inland_taf_hatchgrp_tableraw&amp;yy'!$AC$3:$AC$39,'2020 Table 10 CWTs exp '!$A25)</f>
        <v>1</v>
      </c>
      <c r="S25" s="40">
        <f>SUMIFS('[13]inland_taf_hatchgrp_tableraw&amp;yy'!T$3:T$39,'[13]inland_taf_hatchgrp_tableraw&amp;yy'!$AC$3:$AC$39,'2020 Table 10 CWTs exp '!$A25)</f>
        <v>6</v>
      </c>
      <c r="T25" s="38">
        <f>SUMIFS('[13]inland_taf_hatchgrp_tableraw&amp;yy'!U$3:U$39,'[13]inland_taf_hatchgrp_tableraw&amp;yy'!$AC$3:$AC$39,'2020 Table 10 CWTs exp '!$A25)</f>
        <v>0</v>
      </c>
      <c r="U25" s="40">
        <f>SUMIFS('[13]inland_taf_hatchgrp_tableraw&amp;yy'!V$3:V$39,'[13]inland_taf_hatchgrp_tableraw&amp;yy'!$AC$3:$AC$39,'2020 Table 10 CWTs exp '!$A25)</f>
        <v>0</v>
      </c>
      <c r="V25" s="40">
        <f>SUMIFS('[13]inland_taf_hatchgrp_tableraw&amp;yy'!W$3:W$39,'[13]inland_taf_hatchgrp_tableraw&amp;yy'!$AC$3:$AC$39,'2020 Table 10 CWTs exp '!$A25)</f>
        <v>0</v>
      </c>
      <c r="W25" s="38">
        <f>SUMIFS('[13]inland_taf_hatchgrp_tableraw&amp;yy'!X$3:X$39,'[13]inland_taf_hatchgrp_tableraw&amp;yy'!$AC$3:$AC$39,'2020 Table 10 CWTs exp '!$A25)</f>
        <v>0</v>
      </c>
      <c r="X25" s="41">
        <f>SUMIFS('[13]inland_taf_hatchgrp_tableraw&amp;yy'!Y$3:Y$39,'[13]inland_taf_hatchgrp_tableraw&amp;yy'!$AC$3:$AC$39,'2020 Table 10 CWTs exp '!$A25)</f>
        <v>16588</v>
      </c>
      <c r="Y25" s="42">
        <f>SUMIFS('[13]inland_taf_hatchgrp_tableraw&amp;yy'!Z$3:Z$39,'[13]inland_taf_hatchgrp_tableraw&amp;yy'!$AC$3:$AC$39,'2020 Table 10 CWTs exp '!$A25)</f>
        <v>2467</v>
      </c>
      <c r="Z25" s="38">
        <f>SUMIFS('[13]inland_taf_hatchgrp_tableraw&amp;yy'!AA$3:AA$39,'[13]inland_taf_hatchgrp_tableraw&amp;yy'!$AC$3:$AC$39,'2020 Table 10 CWTs exp '!$A25)</f>
        <v>19055</v>
      </c>
      <c r="AA25" s="76"/>
      <c r="AB25" s="636"/>
      <c r="AC25" s="567">
        <f>X25/Z25</f>
        <v>0.87053266859092104</v>
      </c>
      <c r="AD25" s="604" t="str">
        <f t="shared" si="9"/>
        <v>BATT543</v>
      </c>
      <c r="AE25" s="442"/>
      <c r="AF25" s="622">
        <f t="shared" si="10"/>
        <v>0.87053266859092104</v>
      </c>
      <c r="AG25" s="652">
        <f t="shared" si="11"/>
        <v>0.12946733140907898</v>
      </c>
      <c r="AH25" s="605">
        <f t="shared" si="13"/>
        <v>0.12946733140907896</v>
      </c>
      <c r="AI25" s="447">
        <f t="shared" si="12"/>
        <v>2467</v>
      </c>
      <c r="AJ25" s="650">
        <f t="shared" si="14"/>
        <v>0.12946733140907898</v>
      </c>
      <c r="AK25" s="451"/>
      <c r="AL25" s="442"/>
      <c r="AM25" s="442"/>
      <c r="AN25" s="442"/>
      <c r="AO25" s="442"/>
      <c r="AP25" s="442"/>
      <c r="AQ25" s="442"/>
      <c r="AR25" s="442"/>
      <c r="AS25" s="442"/>
      <c r="AT25" s="442"/>
      <c r="AU25" s="442"/>
      <c r="AV25" s="442"/>
      <c r="AW25" s="442"/>
      <c r="AX25" s="442"/>
      <c r="AY25" s="442"/>
      <c r="AZ25" s="442"/>
      <c r="BA25" s="442"/>
      <c r="BB25" s="442"/>
      <c r="BC25" s="442"/>
      <c r="BD25" s="442"/>
      <c r="BE25" s="442"/>
      <c r="BF25" s="442"/>
    </row>
    <row r="26" spans="1:58" hidden="1" x14ac:dyDescent="0.25">
      <c r="A26" s="50" t="str">
        <f t="shared" si="8"/>
        <v>COT543</v>
      </c>
      <c r="B26" s="13" t="s">
        <v>74</v>
      </c>
      <c r="C26" s="13">
        <v>54</v>
      </c>
      <c r="D26" s="13">
        <v>3</v>
      </c>
      <c r="E26" s="3" t="s">
        <v>75</v>
      </c>
      <c r="F26" s="43" t="str">
        <f t="shared" ref="F26:F40" si="15">LOOKUP(D26,$AK$8:$AK$11,$AL$8:$AL$11)</f>
        <v>Fall</v>
      </c>
      <c r="G26" s="38">
        <f>SUMIFS('[13]inland_taf_hatchgrp_tableraw&amp;yy'!G$3:G$39,'[13]inland_taf_hatchgrp_tableraw&amp;yy'!$AC$3:$AC$39,'2020 Table 10 CWTs exp '!$A26)</f>
        <v>0</v>
      </c>
      <c r="H26" s="39">
        <f>SUMIFS('[13]inland_taf_hatchgrp_tableraw&amp;yy'!H$3:H$39,'[13]inland_taf_hatchgrp_tableraw&amp;yy'!$AC$3:$AC$39,'2020 Table 10 CWTs exp '!$A26)</f>
        <v>0</v>
      </c>
      <c r="I26" s="40">
        <f>SUMIFS('[13]inland_taf_hatchgrp_tableraw&amp;yy'!I$3:I$39,'[13]inland_taf_hatchgrp_tableraw&amp;yy'!$AC$3:$AC$39,'2020 Table 10 CWTs exp '!$A26)</f>
        <v>0</v>
      </c>
      <c r="J26" s="38">
        <f>SUMIFS('[13]inland_taf_hatchgrp_tableraw&amp;yy'!K$3:K$39,'[13]inland_taf_hatchgrp_tableraw&amp;yy'!$AC$3:$AC$39,'2020 Table 10 CWTs exp '!$A26)</f>
        <v>0</v>
      </c>
      <c r="K26" s="38">
        <f>SUMIFS('[13]inland_taf_hatchgrp_tableraw&amp;yy'!L$3:L$39,'[13]inland_taf_hatchgrp_tableraw&amp;yy'!$AC$3:$AC$39,'2020 Table 10 CWTs exp '!$A26)</f>
        <v>0</v>
      </c>
      <c r="L26" s="38">
        <f>SUMIFS('[13]inland_taf_hatchgrp_tableraw&amp;yy'!M$3:M$39,'[13]inland_taf_hatchgrp_tableraw&amp;yy'!$AC$3:$AC$39,'2020 Table 10 CWTs exp '!$A26)</f>
        <v>0</v>
      </c>
      <c r="M26" s="40">
        <f>SUMIFS('[13]inland_taf_hatchgrp_tableraw&amp;yy'!N$3:N$39,'[13]inland_taf_hatchgrp_tableraw&amp;yy'!$AC$3:$AC$39,'2020 Table 10 CWTs exp '!$A26)</f>
        <v>0</v>
      </c>
      <c r="N26" s="38">
        <f>SUMIFS('[13]inland_taf_hatchgrp_tableraw&amp;yy'!O$3:O$39,'[13]inland_taf_hatchgrp_tableraw&amp;yy'!$AC$3:$AC$39,'2020 Table 10 CWTs exp '!$A26)</f>
        <v>0</v>
      </c>
      <c r="O26" s="40">
        <f>SUMIFS('[13]inland_taf_hatchgrp_tableraw&amp;yy'!P$3:P$39,'[13]inland_taf_hatchgrp_tableraw&amp;yy'!$AC$3:$AC$39,'2020 Table 10 CWTs exp '!$A26)</f>
        <v>0</v>
      </c>
      <c r="P26" s="38">
        <f>SUMIFS('[13]inland_taf_hatchgrp_tableraw&amp;yy'!Q$3:Q$39,'[13]inland_taf_hatchgrp_tableraw&amp;yy'!$AC$3:$AC$39,'2020 Table 10 CWTs exp '!$A26)</f>
        <v>0</v>
      </c>
      <c r="Q26" s="38">
        <f>SUMIFS('[13]inland_taf_hatchgrp_tableraw&amp;yy'!R$3:R$39,'[13]inland_taf_hatchgrp_tableraw&amp;yy'!$AC$3:$AC$39,'2020 Table 10 CWTs exp '!$A26)</f>
        <v>0</v>
      </c>
      <c r="R26" s="38">
        <f>SUMIFS('[13]inland_taf_hatchgrp_tableraw&amp;yy'!S$3:S$39,'[13]inland_taf_hatchgrp_tableraw&amp;yy'!$AC$3:$AC$39,'2020 Table 10 CWTs exp '!$A26)</f>
        <v>0</v>
      </c>
      <c r="S26" s="40">
        <f>SUMIFS('[13]inland_taf_hatchgrp_tableraw&amp;yy'!T$3:T$39,'[13]inland_taf_hatchgrp_tableraw&amp;yy'!$AC$3:$AC$39,'2020 Table 10 CWTs exp '!$A26)</f>
        <v>0</v>
      </c>
      <c r="T26" s="38">
        <f>SUMIFS('[13]inland_taf_hatchgrp_tableraw&amp;yy'!U$3:U$39,'[13]inland_taf_hatchgrp_tableraw&amp;yy'!$AC$3:$AC$39,'2020 Table 10 CWTs exp '!$A26)</f>
        <v>0</v>
      </c>
      <c r="U26" s="40">
        <f>SUMIFS('[13]inland_taf_hatchgrp_tableraw&amp;yy'!V$3:V$39,'[13]inland_taf_hatchgrp_tableraw&amp;yy'!$AC$3:$AC$39,'2020 Table 10 CWTs exp '!$A26)</f>
        <v>0</v>
      </c>
      <c r="V26" s="40">
        <f>SUMIFS('[13]inland_taf_hatchgrp_tableraw&amp;yy'!W$3:W$39,'[13]inland_taf_hatchgrp_tableraw&amp;yy'!$AC$3:$AC$39,'2020 Table 10 CWTs exp '!$A26)</f>
        <v>0</v>
      </c>
      <c r="W26" s="38">
        <f>SUMIFS('[13]inland_taf_hatchgrp_tableraw&amp;yy'!X$3:X$39,'[13]inland_taf_hatchgrp_tableraw&amp;yy'!$AC$3:$AC$39,'2020 Table 10 CWTs exp '!$A26)</f>
        <v>0</v>
      </c>
      <c r="X26" s="41">
        <f>SUMIFS('[13]inland_taf_hatchgrp_tableraw&amp;yy'!Y$3:Y$39,'[13]inland_taf_hatchgrp_tableraw&amp;yy'!$AC$3:$AC$39,'2020 Table 10 CWTs exp '!$A26)</f>
        <v>0</v>
      </c>
      <c r="Y26" s="42">
        <f>SUMIFS('[13]inland_taf_hatchgrp_tableraw&amp;yy'!Z$3:Z$39,'[13]inland_taf_hatchgrp_tableraw&amp;yy'!$AC$3:$AC$39,'2020 Table 10 CWTs exp '!$A26)</f>
        <v>0</v>
      </c>
      <c r="Z26" s="38">
        <f>SUMIFS('[13]inland_taf_hatchgrp_tableraw&amp;yy'!AA$3:AA$39,'[13]inland_taf_hatchgrp_tableraw&amp;yy'!$AC$3:$AC$39,'2020 Table 10 CWTs exp '!$A26)</f>
        <v>0</v>
      </c>
      <c r="AA26" s="44"/>
      <c r="AB26" s="636"/>
      <c r="AC26" s="567">
        <f>SUMIFS('[13]inland_taf_hatchgrp_tableraw&amp;yy'!AB$3:AB$39,'[13]inland_taf_hatchgrp_tableraw&amp;yy'!$AC$3:$AC$39,'2020 Table 10 CWTs exp '!$A26)</f>
        <v>0</v>
      </c>
      <c r="AD26" s="604" t="str">
        <f t="shared" si="9"/>
        <v>COT543</v>
      </c>
      <c r="AE26" s="442"/>
      <c r="AF26" s="622" t="e">
        <f t="shared" si="10"/>
        <v>#DIV/0!</v>
      </c>
      <c r="AG26" s="652" t="e">
        <f t="shared" si="11"/>
        <v>#DIV/0!</v>
      </c>
      <c r="AH26" s="605">
        <f t="shared" si="13"/>
        <v>1</v>
      </c>
      <c r="AI26" s="447">
        <f t="shared" si="12"/>
        <v>0</v>
      </c>
      <c r="AJ26" s="650" t="e">
        <f t="shared" si="14"/>
        <v>#DIV/0!</v>
      </c>
      <c r="AK26" s="451"/>
      <c r="AL26" s="442"/>
      <c r="AM26" s="442"/>
      <c r="AN26" s="442"/>
      <c r="AO26" s="442"/>
      <c r="AP26" s="442"/>
      <c r="AQ26" s="442"/>
      <c r="AR26" s="442"/>
      <c r="AS26" s="442"/>
      <c r="AT26" s="442"/>
      <c r="AU26" s="442"/>
      <c r="AV26" s="442"/>
      <c r="AW26" s="442"/>
      <c r="AX26" s="442"/>
      <c r="AY26" s="442"/>
      <c r="AZ26" s="442"/>
      <c r="BA26" s="442"/>
      <c r="BB26" s="442"/>
      <c r="BC26" s="442"/>
      <c r="BD26" s="442"/>
      <c r="BE26" s="442"/>
      <c r="BF26" s="442"/>
    </row>
    <row r="27" spans="1:58" hidden="1" x14ac:dyDescent="0.25">
      <c r="A27" s="50" t="str">
        <f t="shared" si="8"/>
        <v>COW543</v>
      </c>
      <c r="B27" s="13" t="s">
        <v>76</v>
      </c>
      <c r="C27" s="13">
        <v>54</v>
      </c>
      <c r="D27" s="13">
        <v>3</v>
      </c>
      <c r="E27" s="3" t="s">
        <v>77</v>
      </c>
      <c r="F27" s="43" t="str">
        <f t="shared" si="15"/>
        <v>Fall</v>
      </c>
      <c r="G27" s="38">
        <f>SUMIFS('[13]inland_taf_hatchgrp_tableraw&amp;yy'!G$3:G$39,'[13]inland_taf_hatchgrp_tableraw&amp;yy'!$AC$3:$AC$39,'2020 Table 10 CWTs exp '!$A27)</f>
        <v>0</v>
      </c>
      <c r="H27" s="39">
        <f>SUMIFS('[13]inland_taf_hatchgrp_tableraw&amp;yy'!H$3:H$39,'[13]inland_taf_hatchgrp_tableraw&amp;yy'!$AC$3:$AC$39,'2020 Table 10 CWTs exp '!$A27)</f>
        <v>0</v>
      </c>
      <c r="I27" s="40">
        <f>SUMIFS('[13]inland_taf_hatchgrp_tableraw&amp;yy'!I$3:I$39,'[13]inland_taf_hatchgrp_tableraw&amp;yy'!$AC$3:$AC$39,'2020 Table 10 CWTs exp '!$A27)</f>
        <v>0</v>
      </c>
      <c r="J27" s="38">
        <f>SUMIFS('[13]inland_taf_hatchgrp_tableraw&amp;yy'!K$3:K$39,'[13]inland_taf_hatchgrp_tableraw&amp;yy'!$AC$3:$AC$39,'2020 Table 10 CWTs exp '!$A27)</f>
        <v>0</v>
      </c>
      <c r="K27" s="38">
        <f>SUMIFS('[13]inland_taf_hatchgrp_tableraw&amp;yy'!L$3:L$39,'[13]inland_taf_hatchgrp_tableraw&amp;yy'!$AC$3:$AC$39,'2020 Table 10 CWTs exp '!$A27)</f>
        <v>0</v>
      </c>
      <c r="L27" s="38">
        <f>SUMIFS('[13]inland_taf_hatchgrp_tableraw&amp;yy'!M$3:M$39,'[13]inland_taf_hatchgrp_tableraw&amp;yy'!$AC$3:$AC$39,'2020 Table 10 CWTs exp '!$A27)</f>
        <v>0</v>
      </c>
      <c r="M27" s="40">
        <f>SUMIFS('[13]inland_taf_hatchgrp_tableraw&amp;yy'!N$3:N$39,'[13]inland_taf_hatchgrp_tableraw&amp;yy'!$AC$3:$AC$39,'2020 Table 10 CWTs exp '!$A27)</f>
        <v>0</v>
      </c>
      <c r="N27" s="38">
        <f>SUMIFS('[13]inland_taf_hatchgrp_tableraw&amp;yy'!O$3:O$39,'[13]inland_taf_hatchgrp_tableraw&amp;yy'!$AC$3:$AC$39,'2020 Table 10 CWTs exp '!$A27)</f>
        <v>0</v>
      </c>
      <c r="O27" s="40">
        <f>SUMIFS('[13]inland_taf_hatchgrp_tableraw&amp;yy'!P$3:P$39,'[13]inland_taf_hatchgrp_tableraw&amp;yy'!$AC$3:$AC$39,'2020 Table 10 CWTs exp '!$A27)</f>
        <v>0</v>
      </c>
      <c r="P27" s="38">
        <f>SUMIFS('[13]inland_taf_hatchgrp_tableraw&amp;yy'!Q$3:Q$39,'[13]inland_taf_hatchgrp_tableraw&amp;yy'!$AC$3:$AC$39,'2020 Table 10 CWTs exp '!$A27)</f>
        <v>0</v>
      </c>
      <c r="Q27" s="38">
        <f>SUMIFS('[13]inland_taf_hatchgrp_tableraw&amp;yy'!R$3:R$39,'[13]inland_taf_hatchgrp_tableraw&amp;yy'!$AC$3:$AC$39,'2020 Table 10 CWTs exp '!$A27)</f>
        <v>0</v>
      </c>
      <c r="R27" s="38">
        <f>SUMIFS('[13]inland_taf_hatchgrp_tableraw&amp;yy'!S$3:S$39,'[13]inland_taf_hatchgrp_tableraw&amp;yy'!$AC$3:$AC$39,'2020 Table 10 CWTs exp '!$A27)</f>
        <v>0</v>
      </c>
      <c r="S27" s="40">
        <f>SUMIFS('[13]inland_taf_hatchgrp_tableraw&amp;yy'!T$3:T$39,'[13]inland_taf_hatchgrp_tableraw&amp;yy'!$AC$3:$AC$39,'2020 Table 10 CWTs exp '!$A27)</f>
        <v>0</v>
      </c>
      <c r="T27" s="38">
        <f>SUMIFS('[13]inland_taf_hatchgrp_tableraw&amp;yy'!U$3:U$39,'[13]inland_taf_hatchgrp_tableraw&amp;yy'!$AC$3:$AC$39,'2020 Table 10 CWTs exp '!$A27)</f>
        <v>0</v>
      </c>
      <c r="U27" s="40">
        <f>SUMIFS('[13]inland_taf_hatchgrp_tableraw&amp;yy'!V$3:V$39,'[13]inland_taf_hatchgrp_tableraw&amp;yy'!$AC$3:$AC$39,'2020 Table 10 CWTs exp '!$A27)</f>
        <v>0</v>
      </c>
      <c r="V27" s="40">
        <f>SUMIFS('[13]inland_taf_hatchgrp_tableraw&amp;yy'!W$3:W$39,'[13]inland_taf_hatchgrp_tableraw&amp;yy'!$AC$3:$AC$39,'2020 Table 10 CWTs exp '!$A27)</f>
        <v>0</v>
      </c>
      <c r="W27" s="38">
        <f>SUMIFS('[13]inland_taf_hatchgrp_tableraw&amp;yy'!X$3:X$39,'[13]inland_taf_hatchgrp_tableraw&amp;yy'!$AC$3:$AC$39,'2020 Table 10 CWTs exp '!$A27)</f>
        <v>0</v>
      </c>
      <c r="X27" s="41">
        <f>SUMIFS('[13]inland_taf_hatchgrp_tableraw&amp;yy'!Y$3:Y$39,'[13]inland_taf_hatchgrp_tableraw&amp;yy'!$AC$3:$AC$39,'2020 Table 10 CWTs exp '!$A27)</f>
        <v>0</v>
      </c>
      <c r="Y27" s="42">
        <f>SUMIFS('[13]inland_taf_hatchgrp_tableraw&amp;yy'!Z$3:Z$39,'[13]inland_taf_hatchgrp_tableraw&amp;yy'!$AC$3:$AC$39,'2020 Table 10 CWTs exp '!$A27)</f>
        <v>0</v>
      </c>
      <c r="Z27" s="38">
        <f>SUMIFS('[13]inland_taf_hatchgrp_tableraw&amp;yy'!AA$3:AA$39,'[13]inland_taf_hatchgrp_tableraw&amp;yy'!$AC$3:$AC$39,'2020 Table 10 CWTs exp '!$A27)</f>
        <v>0</v>
      </c>
      <c r="AA27" s="44"/>
      <c r="AB27" s="636"/>
      <c r="AC27" s="567">
        <f>SUMIFS('[13]inland_taf_hatchgrp_tableraw&amp;yy'!AB$3:AB$39,'[13]inland_taf_hatchgrp_tableraw&amp;yy'!$AC$3:$AC$39,'2020 Table 10 CWTs exp '!$A27)</f>
        <v>0</v>
      </c>
      <c r="AD27" s="604" t="str">
        <f t="shared" si="9"/>
        <v>COW543</v>
      </c>
      <c r="AE27" s="442"/>
      <c r="AF27" s="622" t="e">
        <f t="shared" si="10"/>
        <v>#DIV/0!</v>
      </c>
      <c r="AG27" s="652" t="e">
        <f t="shared" si="11"/>
        <v>#DIV/0!</v>
      </c>
      <c r="AH27" s="605">
        <f t="shared" si="13"/>
        <v>1</v>
      </c>
      <c r="AI27" s="447">
        <f t="shared" si="12"/>
        <v>0</v>
      </c>
      <c r="AJ27" s="650" t="e">
        <f t="shared" si="14"/>
        <v>#DIV/0!</v>
      </c>
      <c r="AK27" s="451"/>
      <c r="AL27" s="442"/>
      <c r="AM27" s="442"/>
      <c r="AN27" s="442"/>
      <c r="AO27" s="442"/>
      <c r="AP27" s="442"/>
      <c r="AQ27" s="442"/>
      <c r="AR27" s="442"/>
      <c r="AS27" s="442"/>
      <c r="AT27" s="442"/>
      <c r="AU27" s="442"/>
      <c r="AV27" s="442"/>
      <c r="AW27" s="442"/>
      <c r="AX27" s="442"/>
      <c r="AY27" s="442"/>
      <c r="AZ27" s="442"/>
      <c r="BA27" s="442"/>
      <c r="BB27" s="442"/>
      <c r="BC27" s="442"/>
      <c r="BD27" s="442"/>
      <c r="BE27" s="442"/>
      <c r="BF27" s="442"/>
    </row>
    <row r="28" spans="1:58" ht="14.25" hidden="1" customHeight="1" x14ac:dyDescent="0.25">
      <c r="A28" s="50" t="str">
        <f t="shared" si="8"/>
        <v>MLC543</v>
      </c>
      <c r="B28" s="13" t="s">
        <v>78</v>
      </c>
      <c r="C28" s="13">
        <v>54</v>
      </c>
      <c r="D28" s="13">
        <v>3</v>
      </c>
      <c r="E28" s="3" t="s">
        <v>79</v>
      </c>
      <c r="F28" s="43" t="str">
        <f t="shared" si="15"/>
        <v>Fall</v>
      </c>
      <c r="G28" s="38">
        <f>SUMIFS('[13]inland_taf_hatchgrp_tableraw&amp;yy'!G$3:G$39,'[13]inland_taf_hatchgrp_tableraw&amp;yy'!$AC$3:$AC$39,'2020 Table 10 CWTs exp '!$A28)</f>
        <v>0</v>
      </c>
      <c r="H28" s="39">
        <f>SUMIFS('[13]inland_taf_hatchgrp_tableraw&amp;yy'!H$3:H$39,'[13]inland_taf_hatchgrp_tableraw&amp;yy'!$AC$3:$AC$39,'2020 Table 10 CWTs exp '!$A28)</f>
        <v>0</v>
      </c>
      <c r="I28" s="40">
        <f>SUMIFS('[13]inland_taf_hatchgrp_tableraw&amp;yy'!I$3:I$39,'[13]inland_taf_hatchgrp_tableraw&amp;yy'!$AC$3:$AC$39,'2020 Table 10 CWTs exp '!$A28)</f>
        <v>0</v>
      </c>
      <c r="J28" s="38">
        <f>SUMIFS('[13]inland_taf_hatchgrp_tableraw&amp;yy'!K$3:K$39,'[13]inland_taf_hatchgrp_tableraw&amp;yy'!$AC$3:$AC$39,'2020 Table 10 CWTs exp '!$A28)</f>
        <v>0</v>
      </c>
      <c r="K28" s="38">
        <f>SUMIFS('[13]inland_taf_hatchgrp_tableraw&amp;yy'!L$3:L$39,'[13]inland_taf_hatchgrp_tableraw&amp;yy'!$AC$3:$AC$39,'2020 Table 10 CWTs exp '!$A28)</f>
        <v>0</v>
      </c>
      <c r="L28" s="38">
        <f>SUMIFS('[13]inland_taf_hatchgrp_tableraw&amp;yy'!M$3:M$39,'[13]inland_taf_hatchgrp_tableraw&amp;yy'!$AC$3:$AC$39,'2020 Table 10 CWTs exp '!$A28)</f>
        <v>0</v>
      </c>
      <c r="M28" s="40">
        <f>SUMIFS('[13]inland_taf_hatchgrp_tableraw&amp;yy'!N$3:N$39,'[13]inland_taf_hatchgrp_tableraw&amp;yy'!$AC$3:$AC$39,'2020 Table 10 CWTs exp '!$A28)</f>
        <v>0</v>
      </c>
      <c r="N28" s="38">
        <f>SUMIFS('[13]inland_taf_hatchgrp_tableraw&amp;yy'!O$3:O$39,'[13]inland_taf_hatchgrp_tableraw&amp;yy'!$AC$3:$AC$39,'2020 Table 10 CWTs exp '!$A28)</f>
        <v>0</v>
      </c>
      <c r="O28" s="40">
        <f>SUMIFS('[13]inland_taf_hatchgrp_tableraw&amp;yy'!P$3:P$39,'[13]inland_taf_hatchgrp_tableraw&amp;yy'!$AC$3:$AC$39,'2020 Table 10 CWTs exp '!$A28)</f>
        <v>0</v>
      </c>
      <c r="P28" s="38">
        <f>SUMIFS('[13]inland_taf_hatchgrp_tableraw&amp;yy'!Q$3:Q$39,'[13]inland_taf_hatchgrp_tableraw&amp;yy'!$AC$3:$AC$39,'2020 Table 10 CWTs exp '!$A28)</f>
        <v>0</v>
      </c>
      <c r="Q28" s="38">
        <f>SUMIFS('[13]inland_taf_hatchgrp_tableraw&amp;yy'!R$3:R$39,'[13]inland_taf_hatchgrp_tableraw&amp;yy'!$AC$3:$AC$39,'2020 Table 10 CWTs exp '!$A28)</f>
        <v>0</v>
      </c>
      <c r="R28" s="38">
        <f>SUMIFS('[13]inland_taf_hatchgrp_tableraw&amp;yy'!S$3:S$39,'[13]inland_taf_hatchgrp_tableraw&amp;yy'!$AC$3:$AC$39,'2020 Table 10 CWTs exp '!$A28)</f>
        <v>0</v>
      </c>
      <c r="S28" s="40">
        <f>SUMIFS('[13]inland_taf_hatchgrp_tableraw&amp;yy'!T$3:T$39,'[13]inland_taf_hatchgrp_tableraw&amp;yy'!$AC$3:$AC$39,'2020 Table 10 CWTs exp '!$A28)</f>
        <v>0</v>
      </c>
      <c r="T28" s="38">
        <f>SUMIFS('[13]inland_taf_hatchgrp_tableraw&amp;yy'!U$3:U$39,'[13]inland_taf_hatchgrp_tableraw&amp;yy'!$AC$3:$AC$39,'2020 Table 10 CWTs exp '!$A28)</f>
        <v>0</v>
      </c>
      <c r="U28" s="40">
        <f>SUMIFS('[13]inland_taf_hatchgrp_tableraw&amp;yy'!V$3:V$39,'[13]inland_taf_hatchgrp_tableraw&amp;yy'!$AC$3:$AC$39,'2020 Table 10 CWTs exp '!$A28)</f>
        <v>0</v>
      </c>
      <c r="V28" s="40">
        <f>SUMIFS('[13]inland_taf_hatchgrp_tableraw&amp;yy'!W$3:W$39,'[13]inland_taf_hatchgrp_tableraw&amp;yy'!$AC$3:$AC$39,'2020 Table 10 CWTs exp '!$A28)</f>
        <v>0</v>
      </c>
      <c r="W28" s="38">
        <f>SUMIFS('[13]inland_taf_hatchgrp_tableraw&amp;yy'!X$3:X$39,'[13]inland_taf_hatchgrp_tableraw&amp;yy'!$AC$3:$AC$39,'2020 Table 10 CWTs exp '!$A28)</f>
        <v>0</v>
      </c>
      <c r="X28" s="41">
        <f>SUMIFS('[13]inland_taf_hatchgrp_tableraw&amp;yy'!Y$3:Y$39,'[13]inland_taf_hatchgrp_tableraw&amp;yy'!$AC$3:$AC$39,'2020 Table 10 CWTs exp '!$A28)</f>
        <v>0</v>
      </c>
      <c r="Y28" s="42">
        <f>SUMIFS('[13]inland_taf_hatchgrp_tableraw&amp;yy'!Z$3:Z$39,'[13]inland_taf_hatchgrp_tableraw&amp;yy'!$AC$3:$AC$39,'2020 Table 10 CWTs exp '!$A28)</f>
        <v>0</v>
      </c>
      <c r="Z28" s="38">
        <f>SUMIFS('[13]inland_taf_hatchgrp_tableraw&amp;yy'!AA$3:AA$39,'[13]inland_taf_hatchgrp_tableraw&amp;yy'!$AC$3:$AC$39,'2020 Table 10 CWTs exp '!$A28)</f>
        <v>0</v>
      </c>
      <c r="AA28" s="44"/>
      <c r="AB28" s="636"/>
      <c r="AC28" s="567">
        <f>SUMIFS('[13]inland_taf_hatchgrp_tableraw&amp;yy'!AB$3:AB$39,'[13]inland_taf_hatchgrp_tableraw&amp;yy'!$AC$3:$AC$39,'2020 Table 10 CWTs exp '!$A28)</f>
        <v>0</v>
      </c>
      <c r="AD28" s="604" t="str">
        <f t="shared" si="9"/>
        <v>MLC543</v>
      </c>
      <c r="AE28" s="442"/>
      <c r="AF28" s="622" t="e">
        <f t="shared" si="10"/>
        <v>#DIV/0!</v>
      </c>
      <c r="AG28" s="652" t="e">
        <f t="shared" si="11"/>
        <v>#DIV/0!</v>
      </c>
      <c r="AH28" s="605">
        <f t="shared" si="13"/>
        <v>1</v>
      </c>
      <c r="AI28" s="447">
        <f t="shared" si="12"/>
        <v>0</v>
      </c>
      <c r="AJ28" s="650" t="e">
        <f t="shared" si="14"/>
        <v>#DIV/0!</v>
      </c>
      <c r="AK28" s="451"/>
      <c r="AL28" s="442"/>
      <c r="AM28" s="442"/>
      <c r="AN28" s="442"/>
      <c r="AO28" s="442"/>
      <c r="AP28" s="442"/>
      <c r="AQ28" s="442"/>
      <c r="AR28" s="442"/>
      <c r="AS28" s="442"/>
      <c r="AT28" s="442"/>
      <c r="AU28" s="442"/>
      <c r="AV28" s="442"/>
      <c r="AW28" s="442"/>
      <c r="AX28" s="442"/>
      <c r="AY28" s="442"/>
      <c r="AZ28" s="442"/>
      <c r="BA28" s="442"/>
      <c r="BB28" s="442"/>
      <c r="BC28" s="442"/>
      <c r="BD28" s="442"/>
      <c r="BE28" s="442"/>
      <c r="BF28" s="442"/>
    </row>
    <row r="29" spans="1:58" ht="14.25" hidden="1" customHeight="1" x14ac:dyDescent="0.25">
      <c r="A29" s="50" t="str">
        <f t="shared" si="8"/>
        <v>BUTT543</v>
      </c>
      <c r="B29" s="13" t="s">
        <v>66</v>
      </c>
      <c r="C29" s="13">
        <v>54</v>
      </c>
      <c r="D29" s="13">
        <v>3</v>
      </c>
      <c r="E29" s="3" t="s">
        <v>67</v>
      </c>
      <c r="F29" s="43" t="str">
        <f t="shared" si="15"/>
        <v>Fall</v>
      </c>
      <c r="G29" s="38">
        <f>SUMIFS('[13]inland_taf_hatchgrp_tableraw&amp;yy'!G$3:G$39,'[13]inland_taf_hatchgrp_tableraw&amp;yy'!$AC$3:$AC$39,'2020 Table 10 CWTs exp '!$A29)</f>
        <v>0</v>
      </c>
      <c r="H29" s="39">
        <f>SUMIFS('[13]inland_taf_hatchgrp_tableraw&amp;yy'!H$3:H$39,'[13]inland_taf_hatchgrp_tableraw&amp;yy'!$AC$3:$AC$39,'2020 Table 10 CWTs exp '!$A29)</f>
        <v>0</v>
      </c>
      <c r="I29" s="40">
        <f>SUMIFS('[13]inland_taf_hatchgrp_tableraw&amp;yy'!I$3:I$39,'[13]inland_taf_hatchgrp_tableraw&amp;yy'!$AC$3:$AC$39,'2020 Table 10 CWTs exp '!$A29)</f>
        <v>0</v>
      </c>
      <c r="J29" s="38">
        <f>SUMIFS('[13]inland_taf_hatchgrp_tableraw&amp;yy'!K$3:K$39,'[13]inland_taf_hatchgrp_tableraw&amp;yy'!$AC$3:$AC$39,'2020 Table 10 CWTs exp '!$A29)</f>
        <v>0</v>
      </c>
      <c r="K29" s="38">
        <f>SUMIFS('[13]inland_taf_hatchgrp_tableraw&amp;yy'!L$3:L$39,'[13]inland_taf_hatchgrp_tableraw&amp;yy'!$AC$3:$AC$39,'2020 Table 10 CWTs exp '!$A29)</f>
        <v>0</v>
      </c>
      <c r="L29" s="38">
        <f>SUMIFS('[13]inland_taf_hatchgrp_tableraw&amp;yy'!M$3:M$39,'[13]inland_taf_hatchgrp_tableraw&amp;yy'!$AC$3:$AC$39,'2020 Table 10 CWTs exp '!$A29)</f>
        <v>0</v>
      </c>
      <c r="M29" s="40">
        <f>SUMIFS('[13]inland_taf_hatchgrp_tableraw&amp;yy'!N$3:N$39,'[13]inland_taf_hatchgrp_tableraw&amp;yy'!$AC$3:$AC$39,'2020 Table 10 CWTs exp '!$A29)</f>
        <v>0</v>
      </c>
      <c r="N29" s="38">
        <f>SUMIFS('[13]inland_taf_hatchgrp_tableraw&amp;yy'!O$3:O$39,'[13]inland_taf_hatchgrp_tableraw&amp;yy'!$AC$3:$AC$39,'2020 Table 10 CWTs exp '!$A29)</f>
        <v>0</v>
      </c>
      <c r="O29" s="40">
        <f>SUMIFS('[13]inland_taf_hatchgrp_tableraw&amp;yy'!P$3:P$39,'[13]inland_taf_hatchgrp_tableraw&amp;yy'!$AC$3:$AC$39,'2020 Table 10 CWTs exp '!$A29)</f>
        <v>0</v>
      </c>
      <c r="P29" s="38">
        <f>SUMIFS('[13]inland_taf_hatchgrp_tableraw&amp;yy'!Q$3:Q$39,'[13]inland_taf_hatchgrp_tableraw&amp;yy'!$AC$3:$AC$39,'2020 Table 10 CWTs exp '!$A29)</f>
        <v>0</v>
      </c>
      <c r="Q29" s="38">
        <f>SUMIFS('[13]inland_taf_hatchgrp_tableraw&amp;yy'!R$3:R$39,'[13]inland_taf_hatchgrp_tableraw&amp;yy'!$AC$3:$AC$39,'2020 Table 10 CWTs exp '!$A29)</f>
        <v>0</v>
      </c>
      <c r="R29" s="38">
        <f>SUMIFS('[13]inland_taf_hatchgrp_tableraw&amp;yy'!S$3:S$39,'[13]inland_taf_hatchgrp_tableraw&amp;yy'!$AC$3:$AC$39,'2020 Table 10 CWTs exp '!$A29)</f>
        <v>0</v>
      </c>
      <c r="S29" s="40">
        <f>SUMIFS('[13]inland_taf_hatchgrp_tableraw&amp;yy'!T$3:T$39,'[13]inland_taf_hatchgrp_tableraw&amp;yy'!$AC$3:$AC$39,'2020 Table 10 CWTs exp '!$A29)</f>
        <v>0</v>
      </c>
      <c r="T29" s="38">
        <f>SUMIFS('[13]inland_taf_hatchgrp_tableraw&amp;yy'!U$3:U$39,'[13]inland_taf_hatchgrp_tableraw&amp;yy'!$AC$3:$AC$39,'2020 Table 10 CWTs exp '!$A29)</f>
        <v>0</v>
      </c>
      <c r="U29" s="40">
        <f>SUMIFS('[13]inland_taf_hatchgrp_tableraw&amp;yy'!V$3:V$39,'[13]inland_taf_hatchgrp_tableraw&amp;yy'!$AC$3:$AC$39,'2020 Table 10 CWTs exp '!$A29)</f>
        <v>0</v>
      </c>
      <c r="V29" s="40">
        <f>SUMIFS('[13]inland_taf_hatchgrp_tableraw&amp;yy'!W$3:W$39,'[13]inland_taf_hatchgrp_tableraw&amp;yy'!$AC$3:$AC$39,'2020 Table 10 CWTs exp '!$A29)</f>
        <v>0</v>
      </c>
      <c r="W29" s="38">
        <f>SUMIFS('[13]inland_taf_hatchgrp_tableraw&amp;yy'!X$3:X$39,'[13]inland_taf_hatchgrp_tableraw&amp;yy'!$AC$3:$AC$39,'2020 Table 10 CWTs exp '!$A29)</f>
        <v>0</v>
      </c>
      <c r="X29" s="41">
        <f>SUMIFS('[13]inland_taf_hatchgrp_tableraw&amp;yy'!Y$3:Y$39,'[13]inland_taf_hatchgrp_tableraw&amp;yy'!$AC$3:$AC$39,'2020 Table 10 CWTs exp '!$A29)</f>
        <v>0</v>
      </c>
      <c r="Y29" s="42">
        <f>SUMIFS('[13]inland_taf_hatchgrp_tableraw&amp;yy'!Z$3:Z$39,'[13]inland_taf_hatchgrp_tableraw&amp;yy'!$AC$3:$AC$39,'2020 Table 10 CWTs exp '!$A29)</f>
        <v>0</v>
      </c>
      <c r="Z29" s="38">
        <f>SUMIFS('[13]inland_taf_hatchgrp_tableraw&amp;yy'!AA$3:AA$39,'[13]inland_taf_hatchgrp_tableraw&amp;yy'!$AC$3:$AC$39,'2020 Table 10 CWTs exp '!$A29)</f>
        <v>0</v>
      </c>
      <c r="AA29" s="44"/>
      <c r="AB29" s="636"/>
      <c r="AC29" s="567">
        <f>SUMIFS('[13]inland_taf_hatchgrp_tableraw&amp;yy'!AB$3:AB$39,'[13]inland_taf_hatchgrp_tableraw&amp;yy'!$AC$3:$AC$39,'2020 Table 10 CWTs exp '!$A29)</f>
        <v>0</v>
      </c>
      <c r="AD29" s="604" t="str">
        <f t="shared" si="9"/>
        <v>BUTT543</v>
      </c>
      <c r="AE29" s="442"/>
      <c r="AF29" s="622" t="e">
        <f t="shared" si="10"/>
        <v>#DIV/0!</v>
      </c>
      <c r="AG29" s="652" t="e">
        <f t="shared" si="11"/>
        <v>#DIV/0!</v>
      </c>
      <c r="AH29" s="605">
        <f t="shared" si="13"/>
        <v>1</v>
      </c>
      <c r="AI29" s="447">
        <f t="shared" si="12"/>
        <v>0</v>
      </c>
      <c r="AJ29" s="650" t="e">
        <f t="shared" si="14"/>
        <v>#DIV/0!</v>
      </c>
      <c r="AK29" s="451"/>
      <c r="AL29" s="442"/>
      <c r="AM29" s="442"/>
      <c r="AN29" s="442"/>
      <c r="AO29" s="442"/>
      <c r="AP29" s="442"/>
      <c r="AQ29" s="442"/>
      <c r="AR29" s="442"/>
      <c r="AS29" s="442"/>
      <c r="AT29" s="442"/>
      <c r="AU29" s="442"/>
      <c r="AV29" s="442"/>
      <c r="AW29" s="442"/>
      <c r="AX29" s="442"/>
      <c r="AY29" s="442"/>
      <c r="AZ29" s="442"/>
      <c r="BA29" s="442"/>
      <c r="BB29" s="442"/>
      <c r="BC29" s="442"/>
      <c r="BD29" s="442"/>
      <c r="BE29" s="442"/>
      <c r="BF29" s="442"/>
    </row>
    <row r="30" spans="1:58" ht="14.5" customHeight="1" x14ac:dyDescent="0.25">
      <c r="A30" s="50" t="str">
        <f t="shared" si="8"/>
        <v>FEA543</v>
      </c>
      <c r="B30" s="13" t="s">
        <v>80</v>
      </c>
      <c r="C30" s="13">
        <v>54</v>
      </c>
      <c r="D30" s="13">
        <v>3</v>
      </c>
      <c r="E30" s="3" t="s">
        <v>81</v>
      </c>
      <c r="F30" s="43" t="str">
        <f t="shared" si="15"/>
        <v>Fall</v>
      </c>
      <c r="G30" s="38">
        <f>SUMIFS('[13]inland_taf_hatchgrp_tableraw&amp;yy'!G$3:G$39,'[13]inland_taf_hatchgrp_tableraw&amp;yy'!$AC$3:$AC$39,'2020 Table 10 CWTs exp '!$A30)</f>
        <v>0</v>
      </c>
      <c r="H30" s="39">
        <f>SUMIFS('[13]inland_taf_hatchgrp_tableraw&amp;yy'!H$3:H$39,'[13]inland_taf_hatchgrp_tableraw&amp;yy'!$AC$3:$AC$39,'2020 Table 10 CWTs exp '!$A30)</f>
        <v>0</v>
      </c>
      <c r="I30" s="40">
        <f>SUMIFS('[13]inland_taf_hatchgrp_tableraw&amp;yy'!I$3:I$39,'[13]inland_taf_hatchgrp_tableraw&amp;yy'!$AC$3:$AC$39,'2020 Table 10 CWTs exp '!$A30)</f>
        <v>0</v>
      </c>
      <c r="J30" s="38">
        <f>SUMIFS('[13]inland_taf_hatchgrp_tableraw&amp;yy'!K$3:K$39,'[13]inland_taf_hatchgrp_tableraw&amp;yy'!$AC$3:$AC$39,'2020 Table 10 CWTs exp '!$A30)</f>
        <v>1772</v>
      </c>
      <c r="K30" s="38">
        <f>SUMIFS('[13]inland_taf_hatchgrp_tableraw&amp;yy'!L$3:L$39,'[13]inland_taf_hatchgrp_tableraw&amp;yy'!$AC$3:$AC$39,'2020 Table 10 CWTs exp '!$A30)</f>
        <v>583</v>
      </c>
      <c r="L30" s="38">
        <f>SUMIFS('[13]inland_taf_hatchgrp_tableraw&amp;yy'!M$3:M$39,'[13]inland_taf_hatchgrp_tableraw&amp;yy'!$AC$3:$AC$39,'2020 Table 10 CWTs exp '!$A30)</f>
        <v>17212</v>
      </c>
      <c r="M30" s="40">
        <f>SUMIFS('[13]inland_taf_hatchgrp_tableraw&amp;yy'!N$3:N$39,'[13]inland_taf_hatchgrp_tableraw&amp;yy'!$AC$3:$AC$39,'2020 Table 10 CWTs exp '!$A30)</f>
        <v>10021</v>
      </c>
      <c r="N30" s="38">
        <f>SUMIFS('[13]inland_taf_hatchgrp_tableraw&amp;yy'!O$3:O$39,'[13]inland_taf_hatchgrp_tableraw&amp;yy'!$AC$3:$AC$39,'2020 Table 10 CWTs exp '!$A30)</f>
        <v>0</v>
      </c>
      <c r="O30" s="40">
        <f>SUMIFS('[13]inland_taf_hatchgrp_tableraw&amp;yy'!P$3:P$39,'[13]inland_taf_hatchgrp_tableraw&amp;yy'!$AC$3:$AC$39,'2020 Table 10 CWTs exp '!$A30)</f>
        <v>71</v>
      </c>
      <c r="P30" s="38">
        <f>SUMIFS('[13]inland_taf_hatchgrp_tableraw&amp;yy'!Q$3:Q$39,'[13]inland_taf_hatchgrp_tableraw&amp;yy'!$AC$3:$AC$39,'2020 Table 10 CWTs exp '!$A30)</f>
        <v>0</v>
      </c>
      <c r="Q30" s="38">
        <f>SUMIFS('[13]inland_taf_hatchgrp_tableraw&amp;yy'!R$3:R$39,'[13]inland_taf_hatchgrp_tableraw&amp;yy'!$AC$3:$AC$39,'2020 Table 10 CWTs exp '!$A30)</f>
        <v>212</v>
      </c>
      <c r="R30" s="38">
        <f>SUMIFS('[13]inland_taf_hatchgrp_tableraw&amp;yy'!S$3:S$39,'[13]inland_taf_hatchgrp_tableraw&amp;yy'!$AC$3:$AC$39,'2020 Table 10 CWTs exp '!$A30)</f>
        <v>197</v>
      </c>
      <c r="S30" s="40">
        <f>SUMIFS('[13]inland_taf_hatchgrp_tableraw&amp;yy'!T$3:T$39,'[13]inland_taf_hatchgrp_tableraw&amp;yy'!$AC$3:$AC$39,'2020 Table 10 CWTs exp '!$A30)</f>
        <v>0</v>
      </c>
      <c r="T30" s="38">
        <f>SUMIFS('[13]inland_taf_hatchgrp_tableraw&amp;yy'!U$3:U$39,'[13]inland_taf_hatchgrp_tableraw&amp;yy'!$AC$3:$AC$39,'2020 Table 10 CWTs exp '!$A30)</f>
        <v>0</v>
      </c>
      <c r="U30" s="40">
        <f>SUMIFS('[13]inland_taf_hatchgrp_tableraw&amp;yy'!V$3:V$39,'[13]inland_taf_hatchgrp_tableraw&amp;yy'!$AC$3:$AC$39,'2020 Table 10 CWTs exp '!$A30)</f>
        <v>342</v>
      </c>
      <c r="V30" s="40">
        <f>SUMIFS('[13]inland_taf_hatchgrp_tableraw&amp;yy'!W$3:W$39,'[13]inland_taf_hatchgrp_tableraw&amp;yy'!$AC$3:$AC$39,'2020 Table 10 CWTs exp '!$A30)</f>
        <v>9</v>
      </c>
      <c r="W30" s="38">
        <f>SUMIFS('[13]inland_taf_hatchgrp_tableraw&amp;yy'!X$3:X$39,'[13]inland_taf_hatchgrp_tableraw&amp;yy'!$AC$3:$AC$39,'2020 Table 10 CWTs exp '!$A30)</f>
        <v>0</v>
      </c>
      <c r="X30" s="41">
        <f>SUMIFS('[13]inland_taf_hatchgrp_tableraw&amp;yy'!Y$3:Y$39,'[13]inland_taf_hatchgrp_tableraw&amp;yy'!$AC$3:$AC$39,'2020 Table 10 CWTs exp '!$A30)</f>
        <v>30419</v>
      </c>
      <c r="Y30" s="42">
        <f>SUMIFS('[13]inland_taf_hatchgrp_tableraw&amp;yy'!Z$3:Z$39,'[13]inland_taf_hatchgrp_tableraw&amp;yy'!$AC$3:$AC$39,'2020 Table 10 CWTs exp '!$A30)</f>
        <v>12550</v>
      </c>
      <c r="Z30" s="38">
        <f>SUMIFS('[13]inland_taf_hatchgrp_tableraw&amp;yy'!AA$3:AA$39,'[13]inland_taf_hatchgrp_tableraw&amp;yy'!$AC$3:$AC$39,'2020 Table 10 CWTs exp '!$A30)</f>
        <v>42969</v>
      </c>
      <c r="AA30" s="44"/>
      <c r="AB30" s="636"/>
      <c r="AC30" s="567">
        <f>SUMIFS('[13]inland_taf_hatchgrp_tableraw&amp;yy'!AB$3:AB$39,'[13]inland_taf_hatchgrp_tableraw&amp;yy'!$AC$3:$AC$39,'2020 Table 10 CWTs exp '!$A30)</f>
        <v>0.70799999999999996</v>
      </c>
      <c r="AD30" s="604" t="str">
        <f t="shared" si="9"/>
        <v>FEA543</v>
      </c>
      <c r="AE30" s="442"/>
      <c r="AF30" s="622">
        <f t="shared" si="10"/>
        <v>0.70792897204961713</v>
      </c>
      <c r="AG30" s="652">
        <f t="shared" si="11"/>
        <v>0.29207102795038281</v>
      </c>
      <c r="AH30" s="605">
        <f t="shared" si="13"/>
        <v>0.29200000000000004</v>
      </c>
      <c r="AI30" s="447">
        <f t="shared" si="12"/>
        <v>12550</v>
      </c>
      <c r="AJ30" s="650">
        <f t="shared" si="14"/>
        <v>0.29207102795038281</v>
      </c>
      <c r="AK30" s="451"/>
      <c r="AL30" s="442"/>
      <c r="AM30" s="442"/>
      <c r="AN30" s="442"/>
      <c r="AO30" s="442"/>
      <c r="AP30" s="442"/>
      <c r="AQ30" s="442"/>
      <c r="AR30" s="442"/>
      <c r="AS30" s="442"/>
      <c r="AT30" s="442"/>
      <c r="AU30" s="442"/>
      <c r="AV30" s="442"/>
      <c r="AW30" s="442"/>
      <c r="AX30" s="442"/>
      <c r="AY30" s="442"/>
      <c r="AZ30" s="442"/>
      <c r="BA30" s="442"/>
      <c r="BB30" s="442"/>
      <c r="BC30" s="442"/>
      <c r="BD30" s="442"/>
      <c r="BE30" s="442"/>
      <c r="BF30" s="442"/>
    </row>
    <row r="31" spans="1:58" ht="14.5" customHeight="1" x14ac:dyDescent="0.25">
      <c r="A31" s="50" t="str">
        <f t="shared" si="8"/>
        <v>YUBA543</v>
      </c>
      <c r="B31" s="13" t="s">
        <v>82</v>
      </c>
      <c r="C31" s="13">
        <v>54</v>
      </c>
      <c r="D31" s="13">
        <v>3</v>
      </c>
      <c r="E31" s="79" t="s">
        <v>147</v>
      </c>
      <c r="F31" s="43" t="str">
        <f t="shared" si="15"/>
        <v>Fall</v>
      </c>
      <c r="G31" s="38">
        <f>SUMIFS('[13]inland_taf_hatchgrp_tableraw&amp;yy'!G$3:G$39,'[13]inland_taf_hatchgrp_tableraw&amp;yy'!$AC$3:$AC$39,'2020 Table 10 CWTs exp '!$A31)</f>
        <v>0</v>
      </c>
      <c r="H31" s="39">
        <f>SUMIFS('[13]inland_taf_hatchgrp_tableraw&amp;yy'!H$3:H$39,'[13]inland_taf_hatchgrp_tableraw&amp;yy'!$AC$3:$AC$39,'2020 Table 10 CWTs exp '!$A31)</f>
        <v>0</v>
      </c>
      <c r="I31" s="40">
        <f>SUMIFS('[13]inland_taf_hatchgrp_tableraw&amp;yy'!I$3:I$39,'[13]inland_taf_hatchgrp_tableraw&amp;yy'!$AC$3:$AC$39,'2020 Table 10 CWTs exp '!$A31)</f>
        <v>0</v>
      </c>
      <c r="J31" s="38">
        <f>SUMIFS('[13]inland_taf_hatchgrp_tableraw&amp;yy'!K$3:K$39,'[13]inland_taf_hatchgrp_tableraw&amp;yy'!$AC$3:$AC$39,'2020 Table 10 CWTs exp '!$A31)</f>
        <v>13</v>
      </c>
      <c r="K31" s="38">
        <f>SUMIFS('[13]inland_taf_hatchgrp_tableraw&amp;yy'!L$3:L$39,'[13]inland_taf_hatchgrp_tableraw&amp;yy'!$AC$3:$AC$39,'2020 Table 10 CWTs exp '!$A31)</f>
        <v>51</v>
      </c>
      <c r="L31" s="38">
        <f>SUMIFS('[13]inland_taf_hatchgrp_tableraw&amp;yy'!M$3:M$39,'[13]inland_taf_hatchgrp_tableraw&amp;yy'!$AC$3:$AC$39,'2020 Table 10 CWTs exp '!$A31)</f>
        <v>352</v>
      </c>
      <c r="M31" s="40">
        <f>SUMIFS('[13]inland_taf_hatchgrp_tableraw&amp;yy'!N$3:N$39,'[13]inland_taf_hatchgrp_tableraw&amp;yy'!$AC$3:$AC$39,'2020 Table 10 CWTs exp '!$A31)</f>
        <v>152</v>
      </c>
      <c r="N31" s="38">
        <f>SUMIFS('[13]inland_taf_hatchgrp_tableraw&amp;yy'!O$3:O$39,'[13]inland_taf_hatchgrp_tableraw&amp;yy'!$AC$3:$AC$39,'2020 Table 10 CWTs exp '!$A31)</f>
        <v>0</v>
      </c>
      <c r="O31" s="40">
        <f>SUMIFS('[13]inland_taf_hatchgrp_tableraw&amp;yy'!P$3:P$39,'[13]inland_taf_hatchgrp_tableraw&amp;yy'!$AC$3:$AC$39,'2020 Table 10 CWTs exp '!$A31)</f>
        <v>303</v>
      </c>
      <c r="P31" s="38">
        <f>SUMIFS('[13]inland_taf_hatchgrp_tableraw&amp;yy'!Q$3:Q$39,'[13]inland_taf_hatchgrp_tableraw&amp;yy'!$AC$3:$AC$39,'2020 Table 10 CWTs exp '!$A31)</f>
        <v>13</v>
      </c>
      <c r="Q31" s="38">
        <f>SUMIFS('[13]inland_taf_hatchgrp_tableraw&amp;yy'!R$3:R$39,'[13]inland_taf_hatchgrp_tableraw&amp;yy'!$AC$3:$AC$39,'2020 Table 10 CWTs exp '!$A31)</f>
        <v>405</v>
      </c>
      <c r="R31" s="38">
        <f>SUMIFS('[13]inland_taf_hatchgrp_tableraw&amp;yy'!S$3:S$39,'[13]inland_taf_hatchgrp_tableraw&amp;yy'!$AC$3:$AC$39,'2020 Table 10 CWTs exp '!$A31)</f>
        <v>103</v>
      </c>
      <c r="S31" s="40">
        <f>SUMIFS('[13]inland_taf_hatchgrp_tableraw&amp;yy'!T$3:T$39,'[13]inland_taf_hatchgrp_tableraw&amp;yy'!$AC$3:$AC$39,'2020 Table 10 CWTs exp '!$A31)</f>
        <v>50</v>
      </c>
      <c r="T31" s="38">
        <f>SUMIFS('[13]inland_taf_hatchgrp_tableraw&amp;yy'!U$3:U$39,'[13]inland_taf_hatchgrp_tableraw&amp;yy'!$AC$3:$AC$39,'2020 Table 10 CWTs exp '!$A31)</f>
        <v>0</v>
      </c>
      <c r="U31" s="40">
        <f>SUMIFS('[13]inland_taf_hatchgrp_tableraw&amp;yy'!V$3:V$39,'[13]inland_taf_hatchgrp_tableraw&amp;yy'!$AC$3:$AC$39,'2020 Table 10 CWTs exp '!$A31)</f>
        <v>176</v>
      </c>
      <c r="V31" s="40">
        <f>SUMIFS('[13]inland_taf_hatchgrp_tableraw&amp;yy'!W$3:W$39,'[13]inland_taf_hatchgrp_tableraw&amp;yy'!$AC$3:$AC$39,'2020 Table 10 CWTs exp '!$A31)</f>
        <v>0</v>
      </c>
      <c r="W31" s="38">
        <f>SUMIFS('[13]inland_taf_hatchgrp_tableraw&amp;yy'!X$3:X$39,'[13]inland_taf_hatchgrp_tableraw&amp;yy'!$AC$3:$AC$39,'2020 Table 10 CWTs exp '!$A31)</f>
        <v>0</v>
      </c>
      <c r="X31" s="41">
        <f>SUMIFS('[13]inland_taf_hatchgrp_tableraw&amp;yy'!Y$3:Y$39,'[13]inland_taf_hatchgrp_tableraw&amp;yy'!$AC$3:$AC$39,'2020 Table 10 CWTs exp '!$A31)</f>
        <v>1618</v>
      </c>
      <c r="Y31" s="42">
        <f>SUMIFS('[13]inland_taf_hatchgrp_tableraw&amp;yy'!Z$3:Z$39,'[13]inland_taf_hatchgrp_tableraw&amp;yy'!$AC$3:$AC$39,'2020 Table 10 CWTs exp '!$A31)</f>
        <v>2228</v>
      </c>
      <c r="Z31" s="38">
        <f>SUMIFS('[13]inland_taf_hatchgrp_tableraw&amp;yy'!AA$3:AA$39,'[13]inland_taf_hatchgrp_tableraw&amp;yy'!$AC$3:$AC$39,'2020 Table 10 CWTs exp '!$A31)</f>
        <v>3846</v>
      </c>
      <c r="AA31" s="44"/>
      <c r="AB31" s="636"/>
      <c r="AC31" s="567">
        <f>SUMIFS('[13]inland_taf_hatchgrp_tableraw&amp;yy'!AB$3:AB$39,'[13]inland_taf_hatchgrp_tableraw&amp;yy'!$AC$3:$AC$39,'2020 Table 10 CWTs exp '!$A31)</f>
        <v>0.42099999999999999</v>
      </c>
      <c r="AD31" s="604" t="str">
        <f t="shared" si="9"/>
        <v>YUBA543</v>
      </c>
      <c r="AE31" s="442"/>
      <c r="AF31" s="622">
        <f t="shared" si="10"/>
        <v>0.42069682787311491</v>
      </c>
      <c r="AG31" s="652">
        <f t="shared" si="11"/>
        <v>0.57930317212688509</v>
      </c>
      <c r="AH31" s="605">
        <f t="shared" si="13"/>
        <v>0.57899999999999996</v>
      </c>
      <c r="AI31" s="447">
        <f t="shared" si="12"/>
        <v>2228</v>
      </c>
      <c r="AJ31" s="650">
        <f t="shared" si="14"/>
        <v>0.57930317212688509</v>
      </c>
      <c r="AK31" s="451"/>
      <c r="AL31" s="442"/>
      <c r="AM31" s="442"/>
      <c r="AN31" s="442"/>
      <c r="AO31" s="442"/>
      <c r="AP31" s="442"/>
      <c r="AQ31" s="442"/>
      <c r="AR31" s="442"/>
      <c r="AS31" s="442"/>
      <c r="AT31" s="442"/>
      <c r="AU31" s="442"/>
      <c r="AV31" s="442"/>
      <c r="AW31" s="442"/>
      <c r="AX31" s="442"/>
      <c r="AY31" s="442"/>
      <c r="AZ31" s="442"/>
      <c r="BA31" s="442"/>
      <c r="BB31" s="442"/>
      <c r="BC31" s="442"/>
      <c r="BD31" s="442"/>
      <c r="BE31" s="442"/>
      <c r="BF31" s="442"/>
    </row>
    <row r="32" spans="1:58" ht="14.25" customHeight="1" x14ac:dyDescent="0.25">
      <c r="A32" s="50" t="str">
        <f t="shared" si="8"/>
        <v>YUBB543</v>
      </c>
      <c r="B32" s="13" t="s">
        <v>84</v>
      </c>
      <c r="C32" s="13">
        <v>54</v>
      </c>
      <c r="D32" s="13">
        <v>3</v>
      </c>
      <c r="E32" s="79" t="s">
        <v>85</v>
      </c>
      <c r="F32" s="43" t="str">
        <f t="shared" si="15"/>
        <v>Fall</v>
      </c>
      <c r="G32" s="38">
        <f>SUMIFS('[13]inland_taf_hatchgrp_tableraw&amp;yy'!G$3:G$39,'[13]inland_taf_hatchgrp_tableraw&amp;yy'!$AC$3:$AC$39,'2020 Table 10 CWTs exp '!$A32)</f>
        <v>0</v>
      </c>
      <c r="H32" s="39">
        <f>SUMIFS('[13]inland_taf_hatchgrp_tableraw&amp;yy'!H$3:H$39,'[13]inland_taf_hatchgrp_tableraw&amp;yy'!$AC$3:$AC$39,'2020 Table 10 CWTs exp '!$A32)</f>
        <v>0</v>
      </c>
      <c r="I32" s="40">
        <f>SUMIFS('[13]inland_taf_hatchgrp_tableraw&amp;yy'!I$3:I$39,'[13]inland_taf_hatchgrp_tableraw&amp;yy'!$AC$3:$AC$39,'2020 Table 10 CWTs exp '!$A32)</f>
        <v>0</v>
      </c>
      <c r="J32" s="38">
        <f>SUMIFS('[13]inland_taf_hatchgrp_tableraw&amp;yy'!K$3:K$39,'[13]inland_taf_hatchgrp_tableraw&amp;yy'!$AC$3:$AC$39,'2020 Table 10 CWTs exp '!$A32)</f>
        <v>0</v>
      </c>
      <c r="K32" s="38">
        <f>SUMIFS('[13]inland_taf_hatchgrp_tableraw&amp;yy'!L$3:L$39,'[13]inland_taf_hatchgrp_tableraw&amp;yy'!$AC$3:$AC$39,'2020 Table 10 CWTs exp '!$A32)</f>
        <v>0</v>
      </c>
      <c r="L32" s="38">
        <f>SUMIFS('[13]inland_taf_hatchgrp_tableraw&amp;yy'!M$3:M$39,'[13]inland_taf_hatchgrp_tableraw&amp;yy'!$AC$3:$AC$39,'2020 Table 10 CWTs exp '!$A32)</f>
        <v>157</v>
      </c>
      <c r="M32" s="40">
        <f>SUMIFS('[13]inland_taf_hatchgrp_tableraw&amp;yy'!N$3:N$39,'[13]inland_taf_hatchgrp_tableraw&amp;yy'!$AC$3:$AC$39,'2020 Table 10 CWTs exp '!$A32)</f>
        <v>45</v>
      </c>
      <c r="N32" s="38">
        <f>SUMIFS('[13]inland_taf_hatchgrp_tableraw&amp;yy'!O$3:O$39,'[13]inland_taf_hatchgrp_tableraw&amp;yy'!$AC$3:$AC$39,'2020 Table 10 CWTs exp '!$A32)</f>
        <v>0</v>
      </c>
      <c r="O32" s="40">
        <f>SUMIFS('[13]inland_taf_hatchgrp_tableraw&amp;yy'!P$3:P$39,'[13]inland_taf_hatchgrp_tableraw&amp;yy'!$AC$3:$AC$39,'2020 Table 10 CWTs exp '!$A32)</f>
        <v>22</v>
      </c>
      <c r="P32" s="38">
        <f>SUMIFS('[13]inland_taf_hatchgrp_tableraw&amp;yy'!Q$3:Q$39,'[13]inland_taf_hatchgrp_tableraw&amp;yy'!$AC$3:$AC$39,'2020 Table 10 CWTs exp '!$A32)</f>
        <v>0</v>
      </c>
      <c r="Q32" s="38">
        <f>SUMIFS('[13]inland_taf_hatchgrp_tableraw&amp;yy'!R$3:R$39,'[13]inland_taf_hatchgrp_tableraw&amp;yy'!$AC$3:$AC$39,'2020 Table 10 CWTs exp '!$A32)</f>
        <v>6</v>
      </c>
      <c r="R32" s="38">
        <f>SUMIFS('[13]inland_taf_hatchgrp_tableraw&amp;yy'!S$3:S$39,'[13]inland_taf_hatchgrp_tableraw&amp;yy'!$AC$3:$AC$39,'2020 Table 10 CWTs exp '!$A32)</f>
        <v>17</v>
      </c>
      <c r="S32" s="40">
        <f>SUMIFS('[13]inland_taf_hatchgrp_tableraw&amp;yy'!T$3:T$39,'[13]inland_taf_hatchgrp_tableraw&amp;yy'!$AC$3:$AC$39,'2020 Table 10 CWTs exp '!$A32)</f>
        <v>6</v>
      </c>
      <c r="T32" s="38">
        <f>SUMIFS('[13]inland_taf_hatchgrp_tableraw&amp;yy'!U$3:U$39,'[13]inland_taf_hatchgrp_tableraw&amp;yy'!$AC$3:$AC$39,'2020 Table 10 CWTs exp '!$A32)</f>
        <v>0</v>
      </c>
      <c r="U32" s="40">
        <f>SUMIFS('[13]inland_taf_hatchgrp_tableraw&amp;yy'!V$3:V$39,'[13]inland_taf_hatchgrp_tableraw&amp;yy'!$AC$3:$AC$39,'2020 Table 10 CWTs exp '!$A32)</f>
        <v>29</v>
      </c>
      <c r="V32" s="40">
        <f>SUMIFS('[13]inland_taf_hatchgrp_tableraw&amp;yy'!W$3:W$39,'[13]inland_taf_hatchgrp_tableraw&amp;yy'!$AC$3:$AC$39,'2020 Table 10 CWTs exp '!$A32)</f>
        <v>0</v>
      </c>
      <c r="W32" s="38">
        <f>SUMIFS('[13]inland_taf_hatchgrp_tableraw&amp;yy'!X$3:X$39,'[13]inland_taf_hatchgrp_tableraw&amp;yy'!$AC$3:$AC$39,'2020 Table 10 CWTs exp '!$A32)</f>
        <v>0</v>
      </c>
      <c r="X32" s="41">
        <f>SUMIFS('[13]inland_taf_hatchgrp_tableraw&amp;yy'!Y$3:Y$39,'[13]inland_taf_hatchgrp_tableraw&amp;yy'!$AC$3:$AC$39,'2020 Table 10 CWTs exp '!$A32)</f>
        <v>282</v>
      </c>
      <c r="Y32" s="42">
        <f>SUMIFS('[13]inland_taf_hatchgrp_tableraw&amp;yy'!Z$3:Z$39,'[13]inland_taf_hatchgrp_tableraw&amp;yy'!$AC$3:$AC$39,'2020 Table 10 CWTs exp '!$A32)</f>
        <v>66</v>
      </c>
      <c r="Z32" s="38">
        <f>SUMIFS('[13]inland_taf_hatchgrp_tableraw&amp;yy'!AA$3:AA$39,'[13]inland_taf_hatchgrp_tableraw&amp;yy'!$AC$3:$AC$39,'2020 Table 10 CWTs exp '!$A32)</f>
        <v>348</v>
      </c>
      <c r="AA32" s="44"/>
      <c r="AB32" s="636"/>
      <c r="AC32" s="567">
        <f>SUMIFS('[13]inland_taf_hatchgrp_tableraw&amp;yy'!AB$3:AB$39,'[13]inland_taf_hatchgrp_tableraw&amp;yy'!$AC$3:$AC$39,'2020 Table 10 CWTs exp '!$A32)</f>
        <v>0.81</v>
      </c>
      <c r="AD32" s="604" t="str">
        <f t="shared" si="9"/>
        <v>YUBB543</v>
      </c>
      <c r="AE32" s="442"/>
      <c r="AF32" s="622">
        <f t="shared" si="10"/>
        <v>0.81034482758620685</v>
      </c>
      <c r="AG32" s="652">
        <f t="shared" si="11"/>
        <v>0.18965517241379309</v>
      </c>
      <c r="AH32" s="605">
        <f t="shared" si="13"/>
        <v>0.18999999999999995</v>
      </c>
      <c r="AI32" s="447">
        <f t="shared" si="12"/>
        <v>66</v>
      </c>
      <c r="AJ32" s="650">
        <f t="shared" si="14"/>
        <v>0.18965517241379309</v>
      </c>
      <c r="AK32" s="451"/>
      <c r="AL32" s="442"/>
      <c r="AM32" s="442"/>
      <c r="AN32" s="442"/>
      <c r="AO32" s="442"/>
      <c r="AP32" s="442"/>
      <c r="AQ32" s="442"/>
      <c r="AR32" s="442"/>
      <c r="AS32" s="442"/>
      <c r="AT32" s="442"/>
      <c r="AU32" s="442"/>
      <c r="AV32" s="442"/>
      <c r="AW32" s="442"/>
      <c r="AX32" s="442"/>
      <c r="AY32" s="442"/>
      <c r="AZ32" s="442"/>
      <c r="BA32" s="442"/>
      <c r="BB32" s="442"/>
      <c r="BC32" s="442"/>
      <c r="BD32" s="442"/>
      <c r="BE32" s="442"/>
      <c r="BF32" s="442"/>
    </row>
    <row r="33" spans="1:58" ht="14.5" customHeight="1" x14ac:dyDescent="0.25">
      <c r="A33" s="50" t="str">
        <f t="shared" si="8"/>
        <v>LARC543</v>
      </c>
      <c r="B33" s="13" t="s">
        <v>86</v>
      </c>
      <c r="C33" s="13">
        <v>54</v>
      </c>
      <c r="D33" s="13">
        <v>3</v>
      </c>
      <c r="E33" s="3" t="s">
        <v>87</v>
      </c>
      <c r="F33" s="43" t="str">
        <f t="shared" si="15"/>
        <v>Fall</v>
      </c>
      <c r="G33" s="38">
        <f>SUMIFS('[13]inland_taf_hatchgrp_tableraw&amp;yy'!G$3:G$39,'[13]inland_taf_hatchgrp_tableraw&amp;yy'!$AC$3:$AC$39,'2020 Table 10 CWTs exp '!$A33)</f>
        <v>0</v>
      </c>
      <c r="H33" s="39">
        <f>SUMIFS('[13]inland_taf_hatchgrp_tableraw&amp;yy'!H$3:H$39,'[13]inland_taf_hatchgrp_tableraw&amp;yy'!$AC$3:$AC$39,'2020 Table 10 CWTs exp '!$A33)</f>
        <v>0</v>
      </c>
      <c r="I33" s="40">
        <f>SUMIFS('[13]inland_taf_hatchgrp_tableraw&amp;yy'!I$3:I$39,'[13]inland_taf_hatchgrp_tableraw&amp;yy'!$AC$3:$AC$39,'2020 Table 10 CWTs exp '!$A33)</f>
        <v>0</v>
      </c>
      <c r="J33" s="38">
        <f>SUMIFS('[13]inland_taf_hatchgrp_tableraw&amp;yy'!K$3:K$39,'[13]inland_taf_hatchgrp_tableraw&amp;yy'!$AC$3:$AC$39,'2020 Table 10 CWTs exp '!$A33)</f>
        <v>2</v>
      </c>
      <c r="K33" s="38">
        <f>SUMIFS('[13]inland_taf_hatchgrp_tableraw&amp;yy'!L$3:L$39,'[13]inland_taf_hatchgrp_tableraw&amp;yy'!$AC$3:$AC$39,'2020 Table 10 CWTs exp '!$A33)</f>
        <v>0</v>
      </c>
      <c r="L33" s="38">
        <f>SUMIFS('[13]inland_taf_hatchgrp_tableraw&amp;yy'!M$3:M$39,'[13]inland_taf_hatchgrp_tableraw&amp;yy'!$AC$3:$AC$39,'2020 Table 10 CWTs exp '!$A33)</f>
        <v>844</v>
      </c>
      <c r="M33" s="40">
        <f>SUMIFS('[13]inland_taf_hatchgrp_tableraw&amp;yy'!N$3:N$39,'[13]inland_taf_hatchgrp_tableraw&amp;yy'!$AC$3:$AC$39,'2020 Table 10 CWTs exp '!$A33)</f>
        <v>554</v>
      </c>
      <c r="N33" s="38">
        <f>SUMIFS('[13]inland_taf_hatchgrp_tableraw&amp;yy'!O$3:O$39,'[13]inland_taf_hatchgrp_tableraw&amp;yy'!$AC$3:$AC$39,'2020 Table 10 CWTs exp '!$A33)</f>
        <v>1902</v>
      </c>
      <c r="O33" s="40">
        <f>SUMIFS('[13]inland_taf_hatchgrp_tableraw&amp;yy'!P$3:P$39,'[13]inland_taf_hatchgrp_tableraw&amp;yy'!$AC$3:$AC$39,'2020 Table 10 CWTs exp '!$A33)</f>
        <v>10286</v>
      </c>
      <c r="P33" s="38">
        <f>SUMIFS('[13]inland_taf_hatchgrp_tableraw&amp;yy'!Q$3:Q$39,'[13]inland_taf_hatchgrp_tableraw&amp;yy'!$AC$3:$AC$39,'2020 Table 10 CWTs exp '!$A33)</f>
        <v>25</v>
      </c>
      <c r="Q33" s="38">
        <f>SUMIFS('[13]inland_taf_hatchgrp_tableraw&amp;yy'!R$3:R$39,'[13]inland_taf_hatchgrp_tableraw&amp;yy'!$AC$3:$AC$39,'2020 Table 10 CWTs exp '!$A33)</f>
        <v>3945</v>
      </c>
      <c r="R33" s="38">
        <f>SUMIFS('[13]inland_taf_hatchgrp_tableraw&amp;yy'!S$3:S$39,'[13]inland_taf_hatchgrp_tableraw&amp;yy'!$AC$3:$AC$39,'2020 Table 10 CWTs exp '!$A33)</f>
        <v>638</v>
      </c>
      <c r="S33" s="40">
        <f>SUMIFS('[13]inland_taf_hatchgrp_tableraw&amp;yy'!T$3:T$39,'[13]inland_taf_hatchgrp_tableraw&amp;yy'!$AC$3:$AC$39,'2020 Table 10 CWTs exp '!$A33)</f>
        <v>205</v>
      </c>
      <c r="T33" s="38">
        <f>SUMIFS('[13]inland_taf_hatchgrp_tableraw&amp;yy'!U$3:U$39,'[13]inland_taf_hatchgrp_tableraw&amp;yy'!$AC$3:$AC$39,'2020 Table 10 CWTs exp '!$A33)</f>
        <v>0</v>
      </c>
      <c r="U33" s="40">
        <f>SUMIFS('[13]inland_taf_hatchgrp_tableraw&amp;yy'!V$3:V$39,'[13]inland_taf_hatchgrp_tableraw&amp;yy'!$AC$3:$AC$39,'2020 Table 10 CWTs exp '!$A33)</f>
        <v>1034</v>
      </c>
      <c r="V33" s="40">
        <f>SUMIFS('[13]inland_taf_hatchgrp_tableraw&amp;yy'!W$3:W$39,'[13]inland_taf_hatchgrp_tableraw&amp;yy'!$AC$3:$AC$39,'2020 Table 10 CWTs exp '!$A33)</f>
        <v>2</v>
      </c>
      <c r="W33" s="38">
        <f>SUMIFS('[13]inland_taf_hatchgrp_tableraw&amp;yy'!X$3:X$39,'[13]inland_taf_hatchgrp_tableraw&amp;yy'!$AC$3:$AC$39,'2020 Table 10 CWTs exp '!$A33)</f>
        <v>0</v>
      </c>
      <c r="X33" s="41">
        <f>SUMIFS('[13]inland_taf_hatchgrp_tableraw&amp;yy'!Y$3:Y$39,'[13]inland_taf_hatchgrp_tableraw&amp;yy'!$AC$3:$AC$39,'2020 Table 10 CWTs exp '!$A33)</f>
        <v>19437</v>
      </c>
      <c r="Y33" s="42">
        <f>SUMIFS('[13]inland_taf_hatchgrp_tableraw&amp;yy'!Z$3:Z$39,'[13]inland_taf_hatchgrp_tableraw&amp;yy'!$AC$3:$AC$39,'2020 Table 10 CWTs exp '!$A33)</f>
        <v>3019</v>
      </c>
      <c r="Z33" s="38">
        <f>SUMIFS('[13]inland_taf_hatchgrp_tableraw&amp;yy'!AA$3:AA$39,'[13]inland_taf_hatchgrp_tableraw&amp;yy'!$AC$3:$AC$39,'2020 Table 10 CWTs exp '!$A33)</f>
        <v>22456</v>
      </c>
      <c r="AA33" s="44"/>
      <c r="AB33" s="636"/>
      <c r="AC33" s="567">
        <f>SUMIFS('[13]inland_taf_hatchgrp_tableraw&amp;yy'!AB$3:AB$39,'[13]inland_taf_hatchgrp_tableraw&amp;yy'!$AC$3:$AC$39,'2020 Table 10 CWTs exp '!$A33)</f>
        <v>0.86599999999999999</v>
      </c>
      <c r="AD33" s="604" t="str">
        <f t="shared" si="9"/>
        <v>LARC543</v>
      </c>
      <c r="AE33" s="442"/>
      <c r="AF33" s="622">
        <f t="shared" si="10"/>
        <v>0.865559315995725</v>
      </c>
      <c r="AG33" s="652">
        <f t="shared" si="11"/>
        <v>0.13444068400427503</v>
      </c>
      <c r="AH33" s="605">
        <f t="shared" si="13"/>
        <v>0.13400000000000001</v>
      </c>
      <c r="AI33" s="447">
        <f t="shared" si="12"/>
        <v>3019</v>
      </c>
      <c r="AJ33" s="650">
        <f t="shared" si="14"/>
        <v>0.13444068400427503</v>
      </c>
      <c r="AK33" s="451"/>
      <c r="AL33" s="442"/>
      <c r="AM33" s="442"/>
      <c r="AN33" s="442"/>
      <c r="AO33" s="442"/>
      <c r="AP33" s="442"/>
      <c r="AQ33" s="442"/>
      <c r="AR33" s="442"/>
      <c r="AS33" s="442"/>
      <c r="AT33" s="442"/>
      <c r="AU33" s="442"/>
      <c r="AV33" s="442"/>
      <c r="AW33" s="442"/>
      <c r="AX33" s="442"/>
      <c r="AY33" s="442"/>
      <c r="AZ33" s="442"/>
      <c r="BA33" s="442"/>
      <c r="BB33" s="442"/>
      <c r="BC33" s="442"/>
      <c r="BD33" s="442"/>
      <c r="BE33" s="442"/>
      <c r="BF33" s="442"/>
    </row>
    <row r="34" spans="1:58" ht="14.25" hidden="1" customHeight="1" x14ac:dyDescent="0.25">
      <c r="A34" s="36" t="str">
        <f t="shared" si="8"/>
        <v>NIMW593</v>
      </c>
      <c r="B34" s="35" t="s">
        <v>88</v>
      </c>
      <c r="C34" s="35">
        <v>59</v>
      </c>
      <c r="D34" s="35">
        <v>3</v>
      </c>
      <c r="E34" s="3" t="s">
        <v>89</v>
      </c>
      <c r="F34" s="43" t="str">
        <f t="shared" si="15"/>
        <v>Fall</v>
      </c>
      <c r="G34" s="38">
        <f>SUMIFS('[13]inland_taf_hatchgrp_tableraw&amp;yy'!G$3:G$39,'[13]inland_taf_hatchgrp_tableraw&amp;yy'!$AC$3:$AC$39,'2020 Table 10 CWTs exp '!$A34)</f>
        <v>0</v>
      </c>
      <c r="H34" s="39">
        <f>SUMIFS('[13]inland_taf_hatchgrp_tableraw&amp;yy'!H$3:H$39,'[13]inland_taf_hatchgrp_tableraw&amp;yy'!$AC$3:$AC$39,'2020 Table 10 CWTs exp '!$A34)</f>
        <v>0</v>
      </c>
      <c r="I34" s="40">
        <f>SUMIFS('[13]inland_taf_hatchgrp_tableraw&amp;yy'!I$3:I$39,'[13]inland_taf_hatchgrp_tableraw&amp;yy'!$AC$3:$AC$39,'2020 Table 10 CWTs exp '!$A34)</f>
        <v>0</v>
      </c>
      <c r="J34" s="38">
        <f>SUMIFS('[13]inland_taf_hatchgrp_tableraw&amp;yy'!K$3:K$39,'[13]inland_taf_hatchgrp_tableraw&amp;yy'!$AC$3:$AC$39,'2020 Table 10 CWTs exp '!$A34)</f>
        <v>0</v>
      </c>
      <c r="K34" s="38">
        <f>SUMIFS('[13]inland_taf_hatchgrp_tableraw&amp;yy'!L$3:L$39,'[13]inland_taf_hatchgrp_tableraw&amp;yy'!$AC$3:$AC$39,'2020 Table 10 CWTs exp '!$A34)</f>
        <v>0</v>
      </c>
      <c r="L34" s="38">
        <f>SUMIFS('[13]inland_taf_hatchgrp_tableraw&amp;yy'!M$3:M$39,'[13]inland_taf_hatchgrp_tableraw&amp;yy'!$AC$3:$AC$39,'2020 Table 10 CWTs exp '!$A34)</f>
        <v>0</v>
      </c>
      <c r="M34" s="40">
        <f>SUMIFS('[13]inland_taf_hatchgrp_tableraw&amp;yy'!N$3:N$39,'[13]inland_taf_hatchgrp_tableraw&amp;yy'!$AC$3:$AC$39,'2020 Table 10 CWTs exp '!$A34)</f>
        <v>0</v>
      </c>
      <c r="N34" s="38">
        <f>SUMIFS('[13]inland_taf_hatchgrp_tableraw&amp;yy'!O$3:O$39,'[13]inland_taf_hatchgrp_tableraw&amp;yy'!$AC$3:$AC$39,'2020 Table 10 CWTs exp '!$A34)</f>
        <v>0</v>
      </c>
      <c r="O34" s="40">
        <f>SUMIFS('[13]inland_taf_hatchgrp_tableraw&amp;yy'!P$3:P$39,'[13]inland_taf_hatchgrp_tableraw&amp;yy'!$AC$3:$AC$39,'2020 Table 10 CWTs exp '!$A34)</f>
        <v>0</v>
      </c>
      <c r="P34" s="38">
        <f>SUMIFS('[13]inland_taf_hatchgrp_tableraw&amp;yy'!Q$3:Q$39,'[13]inland_taf_hatchgrp_tableraw&amp;yy'!$AC$3:$AC$39,'2020 Table 10 CWTs exp '!$A34)</f>
        <v>0</v>
      </c>
      <c r="Q34" s="38">
        <f>SUMIFS('[13]inland_taf_hatchgrp_tableraw&amp;yy'!R$3:R$39,'[13]inland_taf_hatchgrp_tableraw&amp;yy'!$AC$3:$AC$39,'2020 Table 10 CWTs exp '!$A34)</f>
        <v>0</v>
      </c>
      <c r="R34" s="38">
        <f>SUMIFS('[13]inland_taf_hatchgrp_tableraw&amp;yy'!S$3:S$39,'[13]inland_taf_hatchgrp_tableraw&amp;yy'!$AC$3:$AC$39,'2020 Table 10 CWTs exp '!$A34)</f>
        <v>0</v>
      </c>
      <c r="S34" s="40">
        <f>SUMIFS('[13]inland_taf_hatchgrp_tableraw&amp;yy'!T$3:T$39,'[13]inland_taf_hatchgrp_tableraw&amp;yy'!$AC$3:$AC$39,'2020 Table 10 CWTs exp '!$A34)</f>
        <v>0</v>
      </c>
      <c r="T34" s="38">
        <f>SUMIFS('[13]inland_taf_hatchgrp_tableraw&amp;yy'!U$3:U$39,'[13]inland_taf_hatchgrp_tableraw&amp;yy'!$AC$3:$AC$39,'2020 Table 10 CWTs exp '!$A34)</f>
        <v>0</v>
      </c>
      <c r="U34" s="40">
        <f>SUMIFS('[13]inland_taf_hatchgrp_tableraw&amp;yy'!V$3:V$39,'[13]inland_taf_hatchgrp_tableraw&amp;yy'!$AC$3:$AC$39,'2020 Table 10 CWTs exp '!$A34)</f>
        <v>0</v>
      </c>
      <c r="V34" s="40">
        <f>SUMIFS('[13]inland_taf_hatchgrp_tableraw&amp;yy'!W$3:W$39,'[13]inland_taf_hatchgrp_tableraw&amp;yy'!$AC$3:$AC$39,'2020 Table 10 CWTs exp '!$A34)</f>
        <v>0</v>
      </c>
      <c r="W34" s="38">
        <f>SUMIFS('[13]inland_taf_hatchgrp_tableraw&amp;yy'!X$3:X$39,'[13]inland_taf_hatchgrp_tableraw&amp;yy'!$AC$3:$AC$39,'2020 Table 10 CWTs exp '!$A34)</f>
        <v>0</v>
      </c>
      <c r="X34" s="41">
        <f>SUMIFS('[13]inland_taf_hatchgrp_tableraw&amp;yy'!Y$3:Y$39,'[13]inland_taf_hatchgrp_tableraw&amp;yy'!$AC$3:$AC$39,'2020 Table 10 CWTs exp '!$A34)</f>
        <v>0</v>
      </c>
      <c r="Y34" s="42">
        <f>SUMIFS('[13]inland_taf_hatchgrp_tableraw&amp;yy'!Z$3:Z$39,'[13]inland_taf_hatchgrp_tableraw&amp;yy'!$AC$3:$AC$39,'2020 Table 10 CWTs exp '!$A34)</f>
        <v>0</v>
      </c>
      <c r="Z34" s="38">
        <f>SUMIFS('[13]inland_taf_hatchgrp_tableraw&amp;yy'!AA$3:AA$39,'[13]inland_taf_hatchgrp_tableraw&amp;yy'!$AC$3:$AC$39,'2020 Table 10 CWTs exp '!$A34)</f>
        <v>0</v>
      </c>
      <c r="AA34" s="44"/>
      <c r="AB34" s="636"/>
      <c r="AC34" s="603">
        <f>SUMIFS('[13]inland_taf_hatchgrp_tableraw&amp;yy'!AB$3:AB$39,'[13]inland_taf_hatchgrp_tableraw&amp;yy'!$AC$3:$AC$39,'2020 Table 10 CWTs exp '!$A34)</f>
        <v>0</v>
      </c>
      <c r="AD34" s="604" t="str">
        <f t="shared" si="9"/>
        <v>NIMW593</v>
      </c>
      <c r="AE34" s="603"/>
      <c r="AF34" s="622" t="e">
        <f t="shared" si="10"/>
        <v>#DIV/0!</v>
      </c>
      <c r="AG34" s="652" t="e">
        <f t="shared" si="11"/>
        <v>#DIV/0!</v>
      </c>
      <c r="AH34" s="605">
        <f t="shared" si="13"/>
        <v>1</v>
      </c>
      <c r="AI34" s="447">
        <f t="shared" si="12"/>
        <v>0</v>
      </c>
      <c r="AJ34" s="650" t="e">
        <f t="shared" si="14"/>
        <v>#DIV/0!</v>
      </c>
      <c r="AK34" s="451"/>
      <c r="AL34" s="442"/>
      <c r="AM34" s="442"/>
      <c r="AN34" s="442"/>
      <c r="AO34" s="442"/>
      <c r="AP34" s="442"/>
      <c r="AQ34" s="442"/>
      <c r="AR34" s="442"/>
      <c r="AS34" s="442"/>
      <c r="AT34" s="442"/>
      <c r="AU34" s="442"/>
      <c r="AV34" s="442"/>
      <c r="AW34" s="442"/>
      <c r="AX34" s="442"/>
      <c r="AY34" s="442"/>
      <c r="AZ34" s="442"/>
      <c r="BA34" s="442"/>
      <c r="BB34" s="442"/>
      <c r="BC34" s="442"/>
      <c r="BD34" s="442"/>
      <c r="BE34" s="442"/>
      <c r="BF34" s="442"/>
    </row>
    <row r="35" spans="1:58" ht="14.5" customHeight="1" x14ac:dyDescent="0.25">
      <c r="A35" s="50" t="str">
        <f t="shared" si="8"/>
        <v>MOKE543</v>
      </c>
      <c r="B35" s="13" t="s">
        <v>90</v>
      </c>
      <c r="C35" s="13">
        <v>54</v>
      </c>
      <c r="D35" s="13">
        <v>3</v>
      </c>
      <c r="E35" s="3" t="s">
        <v>91</v>
      </c>
      <c r="F35" s="43" t="str">
        <f t="shared" si="15"/>
        <v>Fall</v>
      </c>
      <c r="G35" s="38">
        <f>SUMIFS('[13]inland_taf_hatchgrp_tableraw&amp;yy'!G$3:G$39,'[13]inland_taf_hatchgrp_tableraw&amp;yy'!$AC$3:$AC$39,'2020 Table 10 CWTs exp '!$A35)</f>
        <v>0</v>
      </c>
      <c r="H35" s="39">
        <f>SUMIFS('[13]inland_taf_hatchgrp_tableraw&amp;yy'!H$3:H$39,'[13]inland_taf_hatchgrp_tableraw&amp;yy'!$AC$3:$AC$39,'2020 Table 10 CWTs exp '!$A35)</f>
        <v>0</v>
      </c>
      <c r="I35" s="40">
        <f>SUMIFS('[13]inland_taf_hatchgrp_tableraw&amp;yy'!I$3:I$39,'[13]inland_taf_hatchgrp_tableraw&amp;yy'!$AC$3:$AC$39,'2020 Table 10 CWTs exp '!$A35)</f>
        <v>0</v>
      </c>
      <c r="J35" s="38">
        <f>SUMIFS('[13]inland_taf_hatchgrp_tableraw&amp;yy'!K$3:K$39,'[13]inland_taf_hatchgrp_tableraw&amp;yy'!$AC$3:$AC$39,'2020 Table 10 CWTs exp '!$A35)</f>
        <v>0</v>
      </c>
      <c r="K35" s="38">
        <f>SUMIFS('[13]inland_taf_hatchgrp_tableraw&amp;yy'!L$3:L$39,'[13]inland_taf_hatchgrp_tableraw&amp;yy'!$AC$3:$AC$39,'2020 Table 10 CWTs exp '!$A35)</f>
        <v>0</v>
      </c>
      <c r="L35" s="38">
        <f>SUMIFS('[13]inland_taf_hatchgrp_tableraw&amp;yy'!M$3:M$39,'[13]inland_taf_hatchgrp_tableraw&amp;yy'!$AC$3:$AC$39,'2020 Table 10 CWTs exp '!$A35)</f>
        <v>0</v>
      </c>
      <c r="M35" s="40">
        <f>SUMIFS('[13]inland_taf_hatchgrp_tableraw&amp;yy'!N$3:N$39,'[13]inland_taf_hatchgrp_tableraw&amp;yy'!$AC$3:$AC$39,'2020 Table 10 CWTs exp '!$A35)</f>
        <v>179</v>
      </c>
      <c r="N35" s="38">
        <f>SUMIFS('[13]inland_taf_hatchgrp_tableraw&amp;yy'!O$3:O$39,'[13]inland_taf_hatchgrp_tableraw&amp;yy'!$AC$3:$AC$39,'2020 Table 10 CWTs exp '!$A35)</f>
        <v>0</v>
      </c>
      <c r="O35" s="40">
        <f>SUMIFS('[13]inland_taf_hatchgrp_tableraw&amp;yy'!P$3:P$39,'[13]inland_taf_hatchgrp_tableraw&amp;yy'!$AC$3:$AC$39,'2020 Table 10 CWTs exp '!$A35)</f>
        <v>0</v>
      </c>
      <c r="P35" s="38">
        <f>SUMIFS('[13]inland_taf_hatchgrp_tableraw&amp;yy'!Q$3:Q$39,'[13]inland_taf_hatchgrp_tableraw&amp;yy'!$AC$3:$AC$39,'2020 Table 10 CWTs exp '!$A35)</f>
        <v>0</v>
      </c>
      <c r="Q35" s="38">
        <f>SUMIFS('[13]inland_taf_hatchgrp_tableraw&amp;yy'!R$3:R$39,'[13]inland_taf_hatchgrp_tableraw&amp;yy'!$AC$3:$AC$39,'2020 Table 10 CWTs exp '!$A35)</f>
        <v>176</v>
      </c>
      <c r="R35" s="38">
        <f>SUMIFS('[13]inland_taf_hatchgrp_tableraw&amp;yy'!S$3:S$39,'[13]inland_taf_hatchgrp_tableraw&amp;yy'!$AC$3:$AC$39,'2020 Table 10 CWTs exp '!$A35)</f>
        <v>89</v>
      </c>
      <c r="S35" s="40">
        <f>SUMIFS('[13]inland_taf_hatchgrp_tableraw&amp;yy'!T$3:T$39,'[13]inland_taf_hatchgrp_tableraw&amp;yy'!$AC$3:$AC$39,'2020 Table 10 CWTs exp '!$A35)</f>
        <v>0</v>
      </c>
      <c r="T35" s="38">
        <f>SUMIFS('[13]inland_taf_hatchgrp_tableraw&amp;yy'!U$3:U$39,'[13]inland_taf_hatchgrp_tableraw&amp;yy'!$AC$3:$AC$39,'2020 Table 10 CWTs exp '!$A35)</f>
        <v>0</v>
      </c>
      <c r="U35" s="40">
        <f>SUMIFS('[13]inland_taf_hatchgrp_tableraw&amp;yy'!V$3:V$39,'[13]inland_taf_hatchgrp_tableraw&amp;yy'!$AC$3:$AC$39,'2020 Table 10 CWTs exp '!$A35)</f>
        <v>0</v>
      </c>
      <c r="V35" s="40">
        <f>SUMIFS('[13]inland_taf_hatchgrp_tableraw&amp;yy'!W$3:W$39,'[13]inland_taf_hatchgrp_tableraw&amp;yy'!$AC$3:$AC$39,'2020 Table 10 CWTs exp '!$A35)</f>
        <v>0</v>
      </c>
      <c r="W35" s="38">
        <f>SUMIFS('[13]inland_taf_hatchgrp_tableraw&amp;yy'!X$3:X$39,'[13]inland_taf_hatchgrp_tableraw&amp;yy'!$AC$3:$AC$39,'2020 Table 10 CWTs exp '!$A35)</f>
        <v>0</v>
      </c>
      <c r="X35" s="41">
        <f>SUMIFS('[13]inland_taf_hatchgrp_tableraw&amp;yy'!Y$3:Y$39,'[13]inland_taf_hatchgrp_tableraw&amp;yy'!$AC$3:$AC$39,'2020 Table 10 CWTs exp '!$A35)</f>
        <v>444</v>
      </c>
      <c r="Y35" s="42">
        <f>SUMIFS('[13]inland_taf_hatchgrp_tableraw&amp;yy'!Z$3:Z$39,'[13]inland_taf_hatchgrp_tableraw&amp;yy'!$AC$3:$AC$39,'2020 Table 10 CWTs exp '!$A35)</f>
        <v>157</v>
      </c>
      <c r="Z35" s="38">
        <f>SUMIFS('[13]inland_taf_hatchgrp_tableraw&amp;yy'!AA$3:AA$39,'[13]inland_taf_hatchgrp_tableraw&amp;yy'!$AC$3:$AC$39,'2020 Table 10 CWTs exp '!$A35)</f>
        <v>601</v>
      </c>
      <c r="AA35" s="44"/>
      <c r="AB35" s="636"/>
      <c r="AC35" s="567">
        <f>SUMIFS('[13]inland_taf_hatchgrp_tableraw&amp;yy'!AB$3:AB$39,'[13]inland_taf_hatchgrp_tableraw&amp;yy'!$AC$3:$AC$39,'2020 Table 10 CWTs exp '!$A35)</f>
        <v>0.73899999999999999</v>
      </c>
      <c r="AD35" s="604" t="str">
        <f t="shared" si="9"/>
        <v>MOKE543</v>
      </c>
      <c r="AE35" s="442"/>
      <c r="AF35" s="622">
        <f t="shared" si="10"/>
        <v>0.73876871880199668</v>
      </c>
      <c r="AG35" s="652">
        <f t="shared" si="11"/>
        <v>0.26123128119800332</v>
      </c>
      <c r="AH35" s="605">
        <f t="shared" si="13"/>
        <v>0.26100000000000001</v>
      </c>
      <c r="AI35" s="447">
        <f t="shared" si="12"/>
        <v>157</v>
      </c>
      <c r="AJ35" s="650">
        <f t="shared" si="14"/>
        <v>0.26123128119800332</v>
      </c>
      <c r="AK35" s="451"/>
      <c r="AL35" s="442"/>
      <c r="AM35" s="442"/>
      <c r="AN35" s="442"/>
      <c r="AO35" s="442"/>
      <c r="AP35" s="442"/>
      <c r="AQ35" s="442"/>
      <c r="AR35" s="442"/>
      <c r="AS35" s="442"/>
      <c r="AT35" s="442"/>
      <c r="AU35" s="442"/>
      <c r="AV35" s="442"/>
      <c r="AW35" s="442"/>
      <c r="AX35" s="442"/>
      <c r="AY35" s="442"/>
      <c r="AZ35" s="442"/>
      <c r="BA35" s="442"/>
      <c r="BB35" s="442"/>
      <c r="BC35" s="442"/>
      <c r="BD35" s="442"/>
      <c r="BE35" s="442"/>
      <c r="BF35" s="442"/>
    </row>
    <row r="36" spans="1:58" ht="14.25" hidden="1" customHeight="1" x14ac:dyDescent="0.25">
      <c r="A36" s="50" t="str">
        <f t="shared" si="8"/>
        <v>COSU543</v>
      </c>
      <c r="B36" s="13" t="s">
        <v>92</v>
      </c>
      <c r="C36" s="13">
        <v>54</v>
      </c>
      <c r="D36" s="13">
        <v>3</v>
      </c>
      <c r="E36" s="3" t="s">
        <v>93</v>
      </c>
      <c r="F36" s="43" t="str">
        <f t="shared" si="15"/>
        <v>Fall</v>
      </c>
      <c r="G36" s="38">
        <f>SUMIFS('[13]inland_taf_hatchgrp_tableraw&amp;yy'!G$3:G$39,'[13]inland_taf_hatchgrp_tableraw&amp;yy'!$AC$3:$AC$39,'2020 Table 10 CWTs exp '!$A36)</f>
        <v>0</v>
      </c>
      <c r="H36" s="39">
        <f>SUMIFS('[13]inland_taf_hatchgrp_tableraw&amp;yy'!H$3:H$39,'[13]inland_taf_hatchgrp_tableraw&amp;yy'!$AC$3:$AC$39,'2020 Table 10 CWTs exp '!$A36)</f>
        <v>0</v>
      </c>
      <c r="I36" s="40">
        <f>SUMIFS('[13]inland_taf_hatchgrp_tableraw&amp;yy'!I$3:I$39,'[13]inland_taf_hatchgrp_tableraw&amp;yy'!$AC$3:$AC$39,'2020 Table 10 CWTs exp '!$A36)</f>
        <v>0</v>
      </c>
      <c r="J36" s="38">
        <f>SUMIFS('[13]inland_taf_hatchgrp_tableraw&amp;yy'!K$3:K$39,'[13]inland_taf_hatchgrp_tableraw&amp;yy'!$AC$3:$AC$39,'2020 Table 10 CWTs exp '!$A36)</f>
        <v>0</v>
      </c>
      <c r="K36" s="38">
        <f>SUMIFS('[13]inland_taf_hatchgrp_tableraw&amp;yy'!L$3:L$39,'[13]inland_taf_hatchgrp_tableraw&amp;yy'!$AC$3:$AC$39,'2020 Table 10 CWTs exp '!$A36)</f>
        <v>0</v>
      </c>
      <c r="L36" s="38">
        <f>SUMIFS('[13]inland_taf_hatchgrp_tableraw&amp;yy'!M$3:M$39,'[13]inland_taf_hatchgrp_tableraw&amp;yy'!$AC$3:$AC$39,'2020 Table 10 CWTs exp '!$A36)</f>
        <v>0</v>
      </c>
      <c r="M36" s="40">
        <f>SUMIFS('[13]inland_taf_hatchgrp_tableraw&amp;yy'!N$3:N$39,'[13]inland_taf_hatchgrp_tableraw&amp;yy'!$AC$3:$AC$39,'2020 Table 10 CWTs exp '!$A36)</f>
        <v>0</v>
      </c>
      <c r="N36" s="38">
        <f>SUMIFS('[13]inland_taf_hatchgrp_tableraw&amp;yy'!O$3:O$39,'[13]inland_taf_hatchgrp_tableraw&amp;yy'!$AC$3:$AC$39,'2020 Table 10 CWTs exp '!$A36)</f>
        <v>0</v>
      </c>
      <c r="O36" s="40">
        <f>SUMIFS('[13]inland_taf_hatchgrp_tableraw&amp;yy'!P$3:P$39,'[13]inland_taf_hatchgrp_tableraw&amp;yy'!$AC$3:$AC$39,'2020 Table 10 CWTs exp '!$A36)</f>
        <v>0</v>
      </c>
      <c r="P36" s="38">
        <f>SUMIFS('[13]inland_taf_hatchgrp_tableraw&amp;yy'!Q$3:Q$39,'[13]inland_taf_hatchgrp_tableraw&amp;yy'!$AC$3:$AC$39,'2020 Table 10 CWTs exp '!$A36)</f>
        <v>0</v>
      </c>
      <c r="Q36" s="38">
        <f>SUMIFS('[13]inland_taf_hatchgrp_tableraw&amp;yy'!R$3:R$39,'[13]inland_taf_hatchgrp_tableraw&amp;yy'!$AC$3:$AC$39,'2020 Table 10 CWTs exp '!$A36)</f>
        <v>0</v>
      </c>
      <c r="R36" s="38">
        <f>SUMIFS('[13]inland_taf_hatchgrp_tableraw&amp;yy'!S$3:S$39,'[13]inland_taf_hatchgrp_tableraw&amp;yy'!$AC$3:$AC$39,'2020 Table 10 CWTs exp '!$A36)</f>
        <v>0</v>
      </c>
      <c r="S36" s="40">
        <f>SUMIFS('[13]inland_taf_hatchgrp_tableraw&amp;yy'!T$3:T$39,'[13]inland_taf_hatchgrp_tableraw&amp;yy'!$AC$3:$AC$39,'2020 Table 10 CWTs exp '!$A36)</f>
        <v>0</v>
      </c>
      <c r="T36" s="38">
        <f>SUMIFS('[13]inland_taf_hatchgrp_tableraw&amp;yy'!U$3:U$39,'[13]inland_taf_hatchgrp_tableraw&amp;yy'!$AC$3:$AC$39,'2020 Table 10 CWTs exp '!$A36)</f>
        <v>0</v>
      </c>
      <c r="U36" s="40">
        <f>SUMIFS('[13]inland_taf_hatchgrp_tableraw&amp;yy'!V$3:V$39,'[13]inland_taf_hatchgrp_tableraw&amp;yy'!$AC$3:$AC$39,'2020 Table 10 CWTs exp '!$A36)</f>
        <v>0</v>
      </c>
      <c r="V36" s="40">
        <f>SUMIFS('[13]inland_taf_hatchgrp_tableraw&amp;yy'!W$3:W$39,'[13]inland_taf_hatchgrp_tableraw&amp;yy'!$AC$3:$AC$39,'2020 Table 10 CWTs exp '!$A36)</f>
        <v>0</v>
      </c>
      <c r="W36" s="38">
        <f>SUMIFS('[13]inland_taf_hatchgrp_tableraw&amp;yy'!X$3:X$39,'[13]inland_taf_hatchgrp_tableraw&amp;yy'!$AC$3:$AC$39,'2020 Table 10 CWTs exp '!$A36)</f>
        <v>0</v>
      </c>
      <c r="X36" s="41">
        <f>SUMIFS('[13]inland_taf_hatchgrp_tableraw&amp;yy'!Y$3:Y$39,'[13]inland_taf_hatchgrp_tableraw&amp;yy'!$AC$3:$AC$39,'2020 Table 10 CWTs exp '!$A36)</f>
        <v>0</v>
      </c>
      <c r="Y36" s="42">
        <f>SUMIFS('[13]inland_taf_hatchgrp_tableraw&amp;yy'!Z$3:Z$39,'[13]inland_taf_hatchgrp_tableraw&amp;yy'!$AC$3:$AC$39,'2020 Table 10 CWTs exp '!$A36)</f>
        <v>0</v>
      </c>
      <c r="Z36" s="38">
        <f>SUMIFS('[13]inland_taf_hatchgrp_tableraw&amp;yy'!AA$3:AA$39,'[13]inland_taf_hatchgrp_tableraw&amp;yy'!$AC$3:$AC$39,'2020 Table 10 CWTs exp '!$A36)</f>
        <v>0</v>
      </c>
      <c r="AA36" s="44"/>
      <c r="AB36" s="636"/>
      <c r="AC36" s="567">
        <f>SUMIFS('[13]inland_taf_hatchgrp_tableraw&amp;yy'!AB$3:AB$39,'[13]inland_taf_hatchgrp_tableraw&amp;yy'!$AC$3:$AC$39,'2020 Table 10 CWTs exp '!$A36)</f>
        <v>0</v>
      </c>
      <c r="AD36" s="604" t="str">
        <f t="shared" si="9"/>
        <v>COSU543</v>
      </c>
      <c r="AE36" s="442"/>
      <c r="AF36" s="622" t="e">
        <f t="shared" si="10"/>
        <v>#DIV/0!</v>
      </c>
      <c r="AG36" s="652" t="e">
        <f t="shared" si="11"/>
        <v>#DIV/0!</v>
      </c>
      <c r="AH36" s="605">
        <f t="shared" si="13"/>
        <v>1</v>
      </c>
      <c r="AI36" s="447">
        <f t="shared" si="12"/>
        <v>0</v>
      </c>
      <c r="AJ36" s="650" t="e">
        <f t="shared" si="14"/>
        <v>#DIV/0!</v>
      </c>
      <c r="AK36" s="451"/>
      <c r="AL36" s="442"/>
      <c r="AM36" s="442"/>
      <c r="AN36" s="442"/>
      <c r="AO36" s="442"/>
      <c r="AP36" s="442"/>
      <c r="AQ36" s="442"/>
      <c r="AR36" s="442"/>
      <c r="AS36" s="442"/>
      <c r="AT36" s="442"/>
      <c r="AU36" s="442"/>
      <c r="AV36" s="442"/>
      <c r="AW36" s="442"/>
      <c r="AX36" s="442"/>
      <c r="AY36" s="442"/>
      <c r="AZ36" s="442"/>
      <c r="BA36" s="442"/>
      <c r="BB36" s="442"/>
      <c r="BC36" s="442"/>
      <c r="BD36" s="442"/>
      <c r="BE36" s="442"/>
      <c r="BF36" s="442"/>
    </row>
    <row r="37" spans="1:58" ht="14.25" hidden="1" customHeight="1" x14ac:dyDescent="0.25">
      <c r="A37" s="50" t="str">
        <f t="shared" si="8"/>
        <v>CAL543</v>
      </c>
      <c r="B37" s="13" t="s">
        <v>94</v>
      </c>
      <c r="C37" s="13">
        <v>54</v>
      </c>
      <c r="D37" s="13">
        <v>3</v>
      </c>
      <c r="E37" s="3" t="s">
        <v>95</v>
      </c>
      <c r="F37" s="43" t="str">
        <f t="shared" si="15"/>
        <v>Fall</v>
      </c>
      <c r="G37" s="38">
        <f>SUMIFS('[13]inland_taf_hatchgrp_tableraw&amp;yy'!G$3:G$39,'[13]inland_taf_hatchgrp_tableraw&amp;yy'!$AC$3:$AC$39,'2020 Table 10 CWTs exp '!$A37)</f>
        <v>0</v>
      </c>
      <c r="H37" s="39">
        <f>SUMIFS('[13]inland_taf_hatchgrp_tableraw&amp;yy'!H$3:H$39,'[13]inland_taf_hatchgrp_tableraw&amp;yy'!$AC$3:$AC$39,'2020 Table 10 CWTs exp '!$A37)</f>
        <v>0</v>
      </c>
      <c r="I37" s="40">
        <f>SUMIFS('[13]inland_taf_hatchgrp_tableraw&amp;yy'!I$3:I$39,'[13]inland_taf_hatchgrp_tableraw&amp;yy'!$AC$3:$AC$39,'2020 Table 10 CWTs exp '!$A37)</f>
        <v>0</v>
      </c>
      <c r="J37" s="38">
        <f>SUMIFS('[13]inland_taf_hatchgrp_tableraw&amp;yy'!K$3:K$39,'[13]inland_taf_hatchgrp_tableraw&amp;yy'!$AC$3:$AC$39,'2020 Table 10 CWTs exp '!$A37)</f>
        <v>0</v>
      </c>
      <c r="K37" s="38">
        <f>SUMIFS('[13]inland_taf_hatchgrp_tableraw&amp;yy'!L$3:L$39,'[13]inland_taf_hatchgrp_tableraw&amp;yy'!$AC$3:$AC$39,'2020 Table 10 CWTs exp '!$A37)</f>
        <v>0</v>
      </c>
      <c r="L37" s="38">
        <f>SUMIFS('[13]inland_taf_hatchgrp_tableraw&amp;yy'!M$3:M$39,'[13]inland_taf_hatchgrp_tableraw&amp;yy'!$AC$3:$AC$39,'2020 Table 10 CWTs exp '!$A37)</f>
        <v>0</v>
      </c>
      <c r="M37" s="40">
        <f>SUMIFS('[13]inland_taf_hatchgrp_tableraw&amp;yy'!N$3:N$39,'[13]inland_taf_hatchgrp_tableraw&amp;yy'!$AC$3:$AC$39,'2020 Table 10 CWTs exp '!$A37)</f>
        <v>0</v>
      </c>
      <c r="N37" s="38">
        <f>SUMIFS('[13]inland_taf_hatchgrp_tableraw&amp;yy'!O$3:O$39,'[13]inland_taf_hatchgrp_tableraw&amp;yy'!$AC$3:$AC$39,'2020 Table 10 CWTs exp '!$A37)</f>
        <v>0</v>
      </c>
      <c r="O37" s="40">
        <f>SUMIFS('[13]inland_taf_hatchgrp_tableraw&amp;yy'!P$3:P$39,'[13]inland_taf_hatchgrp_tableraw&amp;yy'!$AC$3:$AC$39,'2020 Table 10 CWTs exp '!$A37)</f>
        <v>0</v>
      </c>
      <c r="P37" s="38">
        <f>SUMIFS('[13]inland_taf_hatchgrp_tableraw&amp;yy'!Q$3:Q$39,'[13]inland_taf_hatchgrp_tableraw&amp;yy'!$AC$3:$AC$39,'2020 Table 10 CWTs exp '!$A37)</f>
        <v>0</v>
      </c>
      <c r="Q37" s="38">
        <f>SUMIFS('[13]inland_taf_hatchgrp_tableraw&amp;yy'!R$3:R$39,'[13]inland_taf_hatchgrp_tableraw&amp;yy'!$AC$3:$AC$39,'2020 Table 10 CWTs exp '!$A37)</f>
        <v>0</v>
      </c>
      <c r="R37" s="38">
        <f>SUMIFS('[13]inland_taf_hatchgrp_tableraw&amp;yy'!S$3:S$39,'[13]inland_taf_hatchgrp_tableraw&amp;yy'!$AC$3:$AC$39,'2020 Table 10 CWTs exp '!$A37)</f>
        <v>0</v>
      </c>
      <c r="S37" s="40">
        <f>SUMIFS('[13]inland_taf_hatchgrp_tableraw&amp;yy'!T$3:T$39,'[13]inland_taf_hatchgrp_tableraw&amp;yy'!$AC$3:$AC$39,'2020 Table 10 CWTs exp '!$A37)</f>
        <v>0</v>
      </c>
      <c r="T37" s="38">
        <f>SUMIFS('[13]inland_taf_hatchgrp_tableraw&amp;yy'!U$3:U$39,'[13]inland_taf_hatchgrp_tableraw&amp;yy'!$AC$3:$AC$39,'2020 Table 10 CWTs exp '!$A37)</f>
        <v>0</v>
      </c>
      <c r="U37" s="40">
        <f>SUMIFS('[13]inland_taf_hatchgrp_tableraw&amp;yy'!V$3:V$39,'[13]inland_taf_hatchgrp_tableraw&amp;yy'!$AC$3:$AC$39,'2020 Table 10 CWTs exp '!$A37)</f>
        <v>0</v>
      </c>
      <c r="V37" s="40">
        <f>SUMIFS('[13]inland_taf_hatchgrp_tableraw&amp;yy'!W$3:W$39,'[13]inland_taf_hatchgrp_tableraw&amp;yy'!$AC$3:$AC$39,'2020 Table 10 CWTs exp '!$A37)</f>
        <v>0</v>
      </c>
      <c r="W37" s="38">
        <f>SUMIFS('[13]inland_taf_hatchgrp_tableraw&amp;yy'!X$3:X$39,'[13]inland_taf_hatchgrp_tableraw&amp;yy'!$AC$3:$AC$39,'2020 Table 10 CWTs exp '!$A37)</f>
        <v>0</v>
      </c>
      <c r="X37" s="41">
        <f>SUMIFS('[13]inland_taf_hatchgrp_tableraw&amp;yy'!Y$3:Y$39,'[13]inland_taf_hatchgrp_tableraw&amp;yy'!$AC$3:$AC$39,'2020 Table 10 CWTs exp '!$A37)</f>
        <v>0</v>
      </c>
      <c r="Y37" s="42">
        <f>SUMIFS('[13]inland_taf_hatchgrp_tableraw&amp;yy'!Z$3:Z$39,'[13]inland_taf_hatchgrp_tableraw&amp;yy'!$AC$3:$AC$39,'2020 Table 10 CWTs exp '!$A37)</f>
        <v>0</v>
      </c>
      <c r="Z37" s="38">
        <f>SUMIFS('[13]inland_taf_hatchgrp_tableraw&amp;yy'!AA$3:AA$39,'[13]inland_taf_hatchgrp_tableraw&amp;yy'!$AC$3:$AC$39,'2020 Table 10 CWTs exp '!$A37)</f>
        <v>0</v>
      </c>
      <c r="AA37" s="44"/>
      <c r="AB37" s="636"/>
      <c r="AC37" s="567">
        <f>SUMIFS('[13]inland_taf_hatchgrp_tableraw&amp;yy'!AB$3:AB$39,'[13]inland_taf_hatchgrp_tableraw&amp;yy'!$AC$3:$AC$39,'2020 Table 10 CWTs exp '!$A37)</f>
        <v>0</v>
      </c>
      <c r="AD37" s="604" t="str">
        <f t="shared" si="9"/>
        <v>CAL543</v>
      </c>
      <c r="AE37" s="442"/>
      <c r="AF37" s="622" t="e">
        <f t="shared" si="10"/>
        <v>#DIV/0!</v>
      </c>
      <c r="AG37" s="652" t="e">
        <f t="shared" si="11"/>
        <v>#DIV/0!</v>
      </c>
      <c r="AH37" s="605">
        <f t="shared" si="13"/>
        <v>1</v>
      </c>
      <c r="AI37" s="447">
        <f t="shared" si="12"/>
        <v>0</v>
      </c>
      <c r="AJ37" s="650" t="e">
        <f t="shared" si="14"/>
        <v>#DIV/0!</v>
      </c>
      <c r="AK37" s="451"/>
      <c r="AL37" s="442"/>
      <c r="AM37" s="442"/>
      <c r="AN37" s="442"/>
      <c r="AO37" s="442"/>
      <c r="AP37" s="442"/>
      <c r="AQ37" s="442"/>
      <c r="AR37" s="442"/>
      <c r="AS37" s="442"/>
      <c r="AT37" s="442"/>
      <c r="AU37" s="442"/>
      <c r="AV37" s="442"/>
      <c r="AW37" s="442"/>
      <c r="AX37" s="442"/>
      <c r="AY37" s="442"/>
      <c r="AZ37" s="442"/>
      <c r="BA37" s="442"/>
      <c r="BB37" s="442"/>
      <c r="BC37" s="442"/>
      <c r="BD37" s="442"/>
      <c r="BE37" s="442"/>
      <c r="BF37" s="442"/>
    </row>
    <row r="38" spans="1:58" ht="14.5" customHeight="1" x14ac:dyDescent="0.25">
      <c r="A38" s="50" t="str">
        <f t="shared" si="8"/>
        <v>STA543</v>
      </c>
      <c r="B38" s="13" t="s">
        <v>96</v>
      </c>
      <c r="C38" s="13">
        <v>54</v>
      </c>
      <c r="D38" s="13">
        <v>3</v>
      </c>
      <c r="E38" s="3" t="s">
        <v>97</v>
      </c>
      <c r="F38" s="43" t="str">
        <f t="shared" si="15"/>
        <v>Fall</v>
      </c>
      <c r="G38" s="38">
        <f>SUMIFS('[13]inland_taf_hatchgrp_tableraw&amp;yy'!G$3:G$39,'[13]inland_taf_hatchgrp_tableraw&amp;yy'!$AC$3:$AC$39,'2020 Table 10 CWTs exp '!$A38)</f>
        <v>0</v>
      </c>
      <c r="H38" s="39">
        <f>SUMIFS('[13]inland_taf_hatchgrp_tableraw&amp;yy'!H$3:H$39,'[13]inland_taf_hatchgrp_tableraw&amp;yy'!$AC$3:$AC$39,'2020 Table 10 CWTs exp '!$A38)</f>
        <v>0</v>
      </c>
      <c r="I38" s="40">
        <f>SUMIFS('[13]inland_taf_hatchgrp_tableraw&amp;yy'!I$3:I$39,'[13]inland_taf_hatchgrp_tableraw&amp;yy'!$AC$3:$AC$39,'2020 Table 10 CWTs exp '!$A38)</f>
        <v>0</v>
      </c>
      <c r="J38" s="38">
        <f>SUMIFS('[13]inland_taf_hatchgrp_tableraw&amp;yy'!K$3:K$39,'[13]inland_taf_hatchgrp_tableraw&amp;yy'!$AC$3:$AC$39,'2020 Table 10 CWTs exp '!$A38)</f>
        <v>0</v>
      </c>
      <c r="K38" s="38">
        <f>SUMIFS('[13]inland_taf_hatchgrp_tableraw&amp;yy'!L$3:L$39,'[13]inland_taf_hatchgrp_tableraw&amp;yy'!$AC$3:$AC$39,'2020 Table 10 CWTs exp '!$A38)</f>
        <v>0</v>
      </c>
      <c r="L38" s="38">
        <f>SUMIFS('[13]inland_taf_hatchgrp_tableraw&amp;yy'!M$3:M$39,'[13]inland_taf_hatchgrp_tableraw&amp;yy'!$AC$3:$AC$39,'2020 Table 10 CWTs exp '!$A38)</f>
        <v>27</v>
      </c>
      <c r="M38" s="40">
        <f>SUMIFS('[13]inland_taf_hatchgrp_tableraw&amp;yy'!N$3:N$39,'[13]inland_taf_hatchgrp_tableraw&amp;yy'!$AC$3:$AC$39,'2020 Table 10 CWTs exp '!$A38)</f>
        <v>0</v>
      </c>
      <c r="N38" s="38">
        <f>SUMIFS('[13]inland_taf_hatchgrp_tableraw&amp;yy'!O$3:O$39,'[13]inland_taf_hatchgrp_tableraw&amp;yy'!$AC$3:$AC$39,'2020 Table 10 CWTs exp '!$A38)</f>
        <v>0</v>
      </c>
      <c r="O38" s="40">
        <f>SUMIFS('[13]inland_taf_hatchgrp_tableraw&amp;yy'!P$3:P$39,'[13]inland_taf_hatchgrp_tableraw&amp;yy'!$AC$3:$AC$39,'2020 Table 10 CWTs exp '!$A38)</f>
        <v>13</v>
      </c>
      <c r="P38" s="38">
        <f>SUMIFS('[13]inland_taf_hatchgrp_tableraw&amp;yy'!Q$3:Q$39,'[13]inland_taf_hatchgrp_tableraw&amp;yy'!$AC$3:$AC$39,'2020 Table 10 CWTs exp '!$A38)</f>
        <v>0</v>
      </c>
      <c r="Q38" s="38">
        <f>SUMIFS('[13]inland_taf_hatchgrp_tableraw&amp;yy'!R$3:R$39,'[13]inland_taf_hatchgrp_tableraw&amp;yy'!$AC$3:$AC$39,'2020 Table 10 CWTs exp '!$A38)</f>
        <v>258</v>
      </c>
      <c r="R38" s="38">
        <f>SUMIFS('[13]inland_taf_hatchgrp_tableraw&amp;yy'!S$3:S$39,'[13]inland_taf_hatchgrp_tableraw&amp;yy'!$AC$3:$AC$39,'2020 Table 10 CWTs exp '!$A38)</f>
        <v>13</v>
      </c>
      <c r="S38" s="40">
        <f>SUMIFS('[13]inland_taf_hatchgrp_tableraw&amp;yy'!T$3:T$39,'[13]inland_taf_hatchgrp_tableraw&amp;yy'!$AC$3:$AC$39,'2020 Table 10 CWTs exp '!$A38)</f>
        <v>0</v>
      </c>
      <c r="T38" s="38">
        <f>SUMIFS('[13]inland_taf_hatchgrp_tableraw&amp;yy'!U$3:U$39,'[13]inland_taf_hatchgrp_tableraw&amp;yy'!$AC$3:$AC$39,'2020 Table 10 CWTs exp '!$A38)</f>
        <v>0</v>
      </c>
      <c r="U38" s="40">
        <f>SUMIFS('[13]inland_taf_hatchgrp_tableraw&amp;yy'!V$3:V$39,'[13]inland_taf_hatchgrp_tableraw&amp;yy'!$AC$3:$AC$39,'2020 Table 10 CWTs exp '!$A38)</f>
        <v>31</v>
      </c>
      <c r="V38" s="40">
        <f>SUMIFS('[13]inland_taf_hatchgrp_tableraw&amp;yy'!W$3:W$39,'[13]inland_taf_hatchgrp_tableraw&amp;yy'!$AC$3:$AC$39,'2020 Table 10 CWTs exp '!$A38)</f>
        <v>0</v>
      </c>
      <c r="W38" s="38">
        <f>SUMIFS('[13]inland_taf_hatchgrp_tableraw&amp;yy'!X$3:X$39,'[13]inland_taf_hatchgrp_tableraw&amp;yy'!$AC$3:$AC$39,'2020 Table 10 CWTs exp '!$A38)</f>
        <v>0</v>
      </c>
      <c r="X38" s="41">
        <f>SUMIFS('[13]inland_taf_hatchgrp_tableraw&amp;yy'!Y$3:Y$39,'[13]inland_taf_hatchgrp_tableraw&amp;yy'!$AC$3:$AC$39,'2020 Table 10 CWTs exp '!$A38)</f>
        <v>342</v>
      </c>
      <c r="Y38" s="42">
        <f>SUMIFS('[13]inland_taf_hatchgrp_tableraw&amp;yy'!Z$3:Z$39,'[13]inland_taf_hatchgrp_tableraw&amp;yy'!$AC$3:$AC$39,'2020 Table 10 CWTs exp '!$A38)</f>
        <v>199</v>
      </c>
      <c r="Z38" s="38">
        <f>SUMIFS('[13]inland_taf_hatchgrp_tableraw&amp;yy'!AA$3:AA$39,'[13]inland_taf_hatchgrp_tableraw&amp;yy'!$AC$3:$AC$39,'2020 Table 10 CWTs exp '!$A38)</f>
        <v>541</v>
      </c>
      <c r="AA38" s="44"/>
      <c r="AB38" s="636"/>
      <c r="AC38" s="567">
        <f>SUMIFS('[13]inland_taf_hatchgrp_tableraw&amp;yy'!AB$3:AB$39,'[13]inland_taf_hatchgrp_tableraw&amp;yy'!$AC$3:$AC$39,'2020 Table 10 CWTs exp '!$A38)</f>
        <v>0.63200000000000001</v>
      </c>
      <c r="AD38" s="604" t="str">
        <f t="shared" si="9"/>
        <v>STA543</v>
      </c>
      <c r="AE38" s="442"/>
      <c r="AF38" s="622">
        <f t="shared" si="10"/>
        <v>0.63216266173752311</v>
      </c>
      <c r="AG38" s="652">
        <f t="shared" si="11"/>
        <v>0.36783733826247689</v>
      </c>
      <c r="AH38" s="605">
        <f t="shared" si="13"/>
        <v>0.36799999999999999</v>
      </c>
      <c r="AI38" s="447">
        <f t="shared" si="12"/>
        <v>199</v>
      </c>
      <c r="AJ38" s="650">
        <f t="shared" si="14"/>
        <v>0.36783733826247689</v>
      </c>
      <c r="AK38" s="451"/>
      <c r="AL38" s="442"/>
      <c r="AM38" s="442"/>
      <c r="AN38" s="442"/>
      <c r="AO38" s="442"/>
      <c r="AP38" s="442"/>
      <c r="AQ38" s="442"/>
      <c r="AR38" s="442"/>
      <c r="AS38" s="442"/>
      <c r="AT38" s="442"/>
      <c r="AU38" s="442"/>
      <c r="AV38" s="442"/>
      <c r="AW38" s="442"/>
      <c r="AX38" s="442"/>
      <c r="AY38" s="442"/>
      <c r="AZ38" s="442"/>
      <c r="BA38" s="442"/>
      <c r="BB38" s="442"/>
      <c r="BC38" s="442"/>
      <c r="BD38" s="442"/>
      <c r="BE38" s="442"/>
      <c r="BF38" s="442"/>
    </row>
    <row r="39" spans="1:58" ht="14.5" customHeight="1" x14ac:dyDescent="0.25">
      <c r="A39" s="50" t="str">
        <f t="shared" si="8"/>
        <v>TUO543</v>
      </c>
      <c r="B39" s="13" t="s">
        <v>98</v>
      </c>
      <c r="C39" s="13">
        <v>54</v>
      </c>
      <c r="D39" s="13">
        <v>3</v>
      </c>
      <c r="E39" s="3" t="s">
        <v>99</v>
      </c>
      <c r="F39" s="43" t="str">
        <f t="shared" si="15"/>
        <v>Fall</v>
      </c>
      <c r="G39" s="38">
        <f>SUMIFS('[13]inland_taf_hatchgrp_tableraw&amp;yy'!G$3:G$39,'[13]inland_taf_hatchgrp_tableraw&amp;yy'!$AC$3:$AC$39,'2020 Table 10 CWTs exp '!$A39)</f>
        <v>0</v>
      </c>
      <c r="H39" s="39">
        <f>SUMIFS('[13]inland_taf_hatchgrp_tableraw&amp;yy'!H$3:H$39,'[13]inland_taf_hatchgrp_tableraw&amp;yy'!$AC$3:$AC$39,'2020 Table 10 CWTs exp '!$A39)</f>
        <v>0</v>
      </c>
      <c r="I39" s="40">
        <f>SUMIFS('[13]inland_taf_hatchgrp_tableraw&amp;yy'!I$3:I$39,'[13]inland_taf_hatchgrp_tableraw&amp;yy'!$AC$3:$AC$39,'2020 Table 10 CWTs exp '!$A39)</f>
        <v>0</v>
      </c>
      <c r="J39" s="38">
        <f>SUMIFS('[13]inland_taf_hatchgrp_tableraw&amp;yy'!K$3:K$39,'[13]inland_taf_hatchgrp_tableraw&amp;yy'!$AC$3:$AC$39,'2020 Table 10 CWTs exp '!$A39)</f>
        <v>0</v>
      </c>
      <c r="K39" s="38">
        <f>SUMIFS('[13]inland_taf_hatchgrp_tableraw&amp;yy'!L$3:L$39,'[13]inland_taf_hatchgrp_tableraw&amp;yy'!$AC$3:$AC$39,'2020 Table 10 CWTs exp '!$A39)</f>
        <v>0</v>
      </c>
      <c r="L39" s="38">
        <f>SUMIFS('[13]inland_taf_hatchgrp_tableraw&amp;yy'!M$3:M$39,'[13]inland_taf_hatchgrp_tableraw&amp;yy'!$AC$3:$AC$39,'2020 Table 10 CWTs exp '!$A39)</f>
        <v>7</v>
      </c>
      <c r="M39" s="40">
        <f>SUMIFS('[13]inland_taf_hatchgrp_tableraw&amp;yy'!N$3:N$39,'[13]inland_taf_hatchgrp_tableraw&amp;yy'!$AC$3:$AC$39,'2020 Table 10 CWTs exp '!$A39)</f>
        <v>0</v>
      </c>
      <c r="N39" s="38">
        <f>SUMIFS('[13]inland_taf_hatchgrp_tableraw&amp;yy'!O$3:O$39,'[13]inland_taf_hatchgrp_tableraw&amp;yy'!$AC$3:$AC$39,'2020 Table 10 CWTs exp '!$A39)</f>
        <v>0</v>
      </c>
      <c r="O39" s="40">
        <f>SUMIFS('[13]inland_taf_hatchgrp_tableraw&amp;yy'!P$3:P$39,'[13]inland_taf_hatchgrp_tableraw&amp;yy'!$AC$3:$AC$39,'2020 Table 10 CWTs exp '!$A39)</f>
        <v>14</v>
      </c>
      <c r="P39" s="38">
        <f>SUMIFS('[13]inland_taf_hatchgrp_tableraw&amp;yy'!Q$3:Q$39,'[13]inland_taf_hatchgrp_tableraw&amp;yy'!$AC$3:$AC$39,'2020 Table 10 CWTs exp '!$A39)</f>
        <v>0</v>
      </c>
      <c r="Q39" s="38">
        <f>SUMIFS('[13]inland_taf_hatchgrp_tableraw&amp;yy'!R$3:R$39,'[13]inland_taf_hatchgrp_tableraw&amp;yy'!$AC$3:$AC$39,'2020 Table 10 CWTs exp '!$A39)</f>
        <v>35</v>
      </c>
      <c r="R39" s="38">
        <f>SUMIFS('[13]inland_taf_hatchgrp_tableraw&amp;yy'!S$3:S$39,'[13]inland_taf_hatchgrp_tableraw&amp;yy'!$AC$3:$AC$39,'2020 Table 10 CWTs exp '!$A39)</f>
        <v>0</v>
      </c>
      <c r="S39" s="40">
        <f>SUMIFS('[13]inland_taf_hatchgrp_tableraw&amp;yy'!T$3:T$39,'[13]inland_taf_hatchgrp_tableraw&amp;yy'!$AC$3:$AC$39,'2020 Table 10 CWTs exp '!$A39)</f>
        <v>0</v>
      </c>
      <c r="T39" s="38">
        <f>SUMIFS('[13]inland_taf_hatchgrp_tableraw&amp;yy'!U$3:U$39,'[13]inland_taf_hatchgrp_tableraw&amp;yy'!$AC$3:$AC$39,'2020 Table 10 CWTs exp '!$A39)</f>
        <v>0</v>
      </c>
      <c r="U39" s="40">
        <f>SUMIFS('[13]inland_taf_hatchgrp_tableraw&amp;yy'!V$3:V$39,'[13]inland_taf_hatchgrp_tableraw&amp;yy'!$AC$3:$AC$39,'2020 Table 10 CWTs exp '!$A39)</f>
        <v>53</v>
      </c>
      <c r="V39" s="40">
        <f>SUMIFS('[13]inland_taf_hatchgrp_tableraw&amp;yy'!W$3:W$39,'[13]inland_taf_hatchgrp_tableraw&amp;yy'!$AC$3:$AC$39,'2020 Table 10 CWTs exp '!$A39)</f>
        <v>0</v>
      </c>
      <c r="W39" s="38">
        <f>SUMIFS('[13]inland_taf_hatchgrp_tableraw&amp;yy'!X$3:X$39,'[13]inland_taf_hatchgrp_tableraw&amp;yy'!$AC$3:$AC$39,'2020 Table 10 CWTs exp '!$A39)</f>
        <v>0</v>
      </c>
      <c r="X39" s="41">
        <f>SUMIFS('[13]inland_taf_hatchgrp_tableraw&amp;yy'!Y$3:Y$39,'[13]inland_taf_hatchgrp_tableraw&amp;yy'!$AC$3:$AC$39,'2020 Table 10 CWTs exp '!$A39)</f>
        <v>109</v>
      </c>
      <c r="Y39" s="42">
        <f>SUMIFS('[13]inland_taf_hatchgrp_tableraw&amp;yy'!Z$3:Z$39,'[13]inland_taf_hatchgrp_tableraw&amp;yy'!$AC$3:$AC$39,'2020 Table 10 CWTs exp '!$A39)</f>
        <v>162</v>
      </c>
      <c r="Z39" s="38">
        <f>SUMIFS('[13]inland_taf_hatchgrp_tableraw&amp;yy'!AA$3:AA$39,'[13]inland_taf_hatchgrp_tableraw&amp;yy'!$AC$3:$AC$39,'2020 Table 10 CWTs exp '!$A39)</f>
        <v>271</v>
      </c>
      <c r="AA39" s="44"/>
      <c r="AB39" s="636"/>
      <c r="AC39" s="567">
        <f>SUMIFS('[13]inland_taf_hatchgrp_tableraw&amp;yy'!AB$3:AB$39,'[13]inland_taf_hatchgrp_tableraw&amp;yy'!$AC$3:$AC$39,'2020 Table 10 CWTs exp '!$A39)</f>
        <v>0.40200000000000002</v>
      </c>
      <c r="AD39" s="604" t="str">
        <f t="shared" si="9"/>
        <v>TUO543</v>
      </c>
      <c r="AE39" s="442"/>
      <c r="AF39" s="622">
        <f>X39/Z39</f>
        <v>0.40221402214022139</v>
      </c>
      <c r="AG39" s="652">
        <f t="shared" si="11"/>
        <v>0.59778597785977861</v>
      </c>
      <c r="AH39" s="605">
        <f t="shared" si="13"/>
        <v>0.59799999999999998</v>
      </c>
      <c r="AI39" s="447">
        <f t="shared" si="12"/>
        <v>162</v>
      </c>
      <c r="AJ39" s="650">
        <f t="shared" si="14"/>
        <v>0.59778597785977861</v>
      </c>
      <c r="AK39" s="451"/>
      <c r="AL39" s="442"/>
      <c r="AM39" s="442"/>
      <c r="AN39" s="442"/>
      <c r="AO39" s="442"/>
      <c r="AP39" s="442"/>
      <c r="AQ39" s="442"/>
      <c r="AR39" s="442"/>
      <c r="AS39" s="442"/>
      <c r="AT39" s="442"/>
      <c r="AU39" s="442"/>
      <c r="AV39" s="442"/>
      <c r="AW39" s="442"/>
      <c r="AX39" s="442"/>
      <c r="AY39" s="442"/>
      <c r="AZ39" s="442"/>
      <c r="BA39" s="442"/>
      <c r="BB39" s="442"/>
      <c r="BC39" s="442"/>
      <c r="BD39" s="442"/>
      <c r="BE39" s="442"/>
      <c r="BF39" s="442"/>
    </row>
    <row r="40" spans="1:58" ht="14.5" customHeight="1" x14ac:dyDescent="0.25">
      <c r="A40" s="50" t="str">
        <f t="shared" si="8"/>
        <v>MER543</v>
      </c>
      <c r="B40" s="13" t="s">
        <v>5</v>
      </c>
      <c r="C40" s="13">
        <v>54</v>
      </c>
      <c r="D40" s="13">
        <v>3</v>
      </c>
      <c r="E40" s="3" t="s">
        <v>100</v>
      </c>
      <c r="F40" s="43" t="str">
        <f t="shared" si="15"/>
        <v>Fall</v>
      </c>
      <c r="G40" s="38">
        <f>SUMIFS('[13]inland_taf_hatchgrp_tableraw&amp;yy'!G$3:G$39,'[13]inland_taf_hatchgrp_tableraw&amp;yy'!$AC$3:$AC$39,'2020 Table 10 CWTs exp '!$A40)</f>
        <v>0</v>
      </c>
      <c r="H40" s="39">
        <f>SUMIFS('[13]inland_taf_hatchgrp_tableraw&amp;yy'!H$3:H$39,'[13]inland_taf_hatchgrp_tableraw&amp;yy'!$AC$3:$AC$39,'2020 Table 10 CWTs exp '!$A40)</f>
        <v>0</v>
      </c>
      <c r="I40" s="40">
        <f>SUMIFS('[13]inland_taf_hatchgrp_tableraw&amp;yy'!I$3:I$39,'[13]inland_taf_hatchgrp_tableraw&amp;yy'!$AC$3:$AC$39,'2020 Table 10 CWTs exp '!$A40)</f>
        <v>0</v>
      </c>
      <c r="J40" s="38">
        <f>SUMIFS('[13]inland_taf_hatchgrp_tableraw&amp;yy'!K$3:K$39,'[13]inland_taf_hatchgrp_tableraw&amp;yy'!$AC$3:$AC$39,'2020 Table 10 CWTs exp '!$A40)</f>
        <v>0</v>
      </c>
      <c r="K40" s="38">
        <f>SUMIFS('[13]inland_taf_hatchgrp_tableraw&amp;yy'!L$3:L$39,'[13]inland_taf_hatchgrp_tableraw&amp;yy'!$AC$3:$AC$39,'2020 Table 10 CWTs exp '!$A40)</f>
        <v>0</v>
      </c>
      <c r="L40" s="38">
        <f>SUMIFS('[13]inland_taf_hatchgrp_tableraw&amp;yy'!M$3:M$39,'[13]inland_taf_hatchgrp_tableraw&amp;yy'!$AC$3:$AC$39,'2020 Table 10 CWTs exp '!$A40)</f>
        <v>0</v>
      </c>
      <c r="M40" s="40">
        <f>SUMIFS('[13]inland_taf_hatchgrp_tableraw&amp;yy'!N$3:N$39,'[13]inland_taf_hatchgrp_tableraw&amp;yy'!$AC$3:$AC$39,'2020 Table 10 CWTs exp '!$A40)</f>
        <v>0</v>
      </c>
      <c r="N40" s="38">
        <f>SUMIFS('[13]inland_taf_hatchgrp_tableraw&amp;yy'!O$3:O$39,'[13]inland_taf_hatchgrp_tableraw&amp;yy'!$AC$3:$AC$39,'2020 Table 10 CWTs exp '!$A40)</f>
        <v>0</v>
      </c>
      <c r="O40" s="40">
        <f>SUMIFS('[13]inland_taf_hatchgrp_tableraw&amp;yy'!P$3:P$39,'[13]inland_taf_hatchgrp_tableraw&amp;yy'!$AC$3:$AC$39,'2020 Table 10 CWTs exp '!$A40)</f>
        <v>43</v>
      </c>
      <c r="P40" s="38">
        <f>SUMIFS('[13]inland_taf_hatchgrp_tableraw&amp;yy'!Q$3:Q$39,'[13]inland_taf_hatchgrp_tableraw&amp;yy'!$AC$3:$AC$39,'2020 Table 10 CWTs exp '!$A40)</f>
        <v>0</v>
      </c>
      <c r="Q40" s="38">
        <f>SUMIFS('[13]inland_taf_hatchgrp_tableraw&amp;yy'!R$3:R$39,'[13]inland_taf_hatchgrp_tableraw&amp;yy'!$AC$3:$AC$39,'2020 Table 10 CWTs exp '!$A40)</f>
        <v>64</v>
      </c>
      <c r="R40" s="38">
        <f>SUMIFS('[13]inland_taf_hatchgrp_tableraw&amp;yy'!S$3:S$39,'[13]inland_taf_hatchgrp_tableraw&amp;yy'!$AC$3:$AC$39,'2020 Table 10 CWTs exp '!$A40)</f>
        <v>0</v>
      </c>
      <c r="S40" s="40">
        <f>SUMIFS('[13]inland_taf_hatchgrp_tableraw&amp;yy'!T$3:T$39,'[13]inland_taf_hatchgrp_tableraw&amp;yy'!$AC$3:$AC$39,'2020 Table 10 CWTs exp '!$A40)</f>
        <v>0</v>
      </c>
      <c r="T40" s="38">
        <f>SUMIFS('[13]inland_taf_hatchgrp_tableraw&amp;yy'!U$3:U$39,'[13]inland_taf_hatchgrp_tableraw&amp;yy'!$AC$3:$AC$39,'2020 Table 10 CWTs exp '!$A40)</f>
        <v>26</v>
      </c>
      <c r="U40" s="40">
        <f>SUMIFS('[13]inland_taf_hatchgrp_tableraw&amp;yy'!V$3:V$39,'[13]inland_taf_hatchgrp_tableraw&amp;yy'!$AC$3:$AC$39,'2020 Table 10 CWTs exp '!$A40)</f>
        <v>74</v>
      </c>
      <c r="V40" s="40">
        <f>SUMIFS('[13]inland_taf_hatchgrp_tableraw&amp;yy'!W$3:W$39,'[13]inland_taf_hatchgrp_tableraw&amp;yy'!$AC$3:$AC$39,'2020 Table 10 CWTs exp '!$A40)</f>
        <v>0</v>
      </c>
      <c r="W40" s="38">
        <f>SUMIFS('[13]inland_taf_hatchgrp_tableraw&amp;yy'!X$3:X$39,'[13]inland_taf_hatchgrp_tableraw&amp;yy'!$AC$3:$AC$39,'2020 Table 10 CWTs exp '!$A40)</f>
        <v>0</v>
      </c>
      <c r="X40" s="41">
        <f>SUMIFS('[13]inland_taf_hatchgrp_tableraw&amp;yy'!Y$3:Y$39,'[13]inland_taf_hatchgrp_tableraw&amp;yy'!$AC$3:$AC$39,'2020 Table 10 CWTs exp '!$A40)</f>
        <v>207</v>
      </c>
      <c r="Y40" s="42">
        <f>SUMIFS('[13]inland_taf_hatchgrp_tableraw&amp;yy'!Z$3:Z$39,'[13]inland_taf_hatchgrp_tableraw&amp;yy'!$AC$3:$AC$39,'2020 Table 10 CWTs exp '!$A40)</f>
        <v>219</v>
      </c>
      <c r="Z40" s="38">
        <f>SUMIFS('[13]inland_taf_hatchgrp_tableraw&amp;yy'!AA$3:AA$39,'[13]inland_taf_hatchgrp_tableraw&amp;yy'!$AC$3:$AC$39,'2020 Table 10 CWTs exp '!$A40)</f>
        <v>426</v>
      </c>
      <c r="AA40" s="44"/>
      <c r="AB40" s="636"/>
      <c r="AC40" s="567">
        <f>SUMIFS('[13]inland_taf_hatchgrp_tableraw&amp;yy'!AB$3:AB$39,'[13]inland_taf_hatchgrp_tableraw&amp;yy'!$AC$3:$AC$39,'2020 Table 10 CWTs exp '!$A40)</f>
        <v>0.48599999999999999</v>
      </c>
      <c r="AD40" s="604" t="str">
        <f t="shared" si="9"/>
        <v>MER543</v>
      </c>
      <c r="AE40" s="442"/>
      <c r="AF40" s="622">
        <f t="shared" si="10"/>
        <v>0.4859154929577465</v>
      </c>
      <c r="AG40" s="652">
        <f>Y40/Z40</f>
        <v>0.5140845070422535</v>
      </c>
      <c r="AH40" s="605">
        <f t="shared" si="13"/>
        <v>0.51400000000000001</v>
      </c>
      <c r="AI40" s="447">
        <f>Y40</f>
        <v>219</v>
      </c>
      <c r="AJ40" s="650">
        <f t="shared" si="14"/>
        <v>0.5140845070422535</v>
      </c>
      <c r="AK40" s="451"/>
      <c r="AL40" s="442"/>
      <c r="AM40" s="442"/>
      <c r="AN40" s="442"/>
      <c r="AO40" s="442"/>
      <c r="AP40" s="442"/>
      <c r="AQ40" s="442"/>
      <c r="AR40" s="442"/>
      <c r="AS40" s="442"/>
      <c r="AT40" s="442"/>
      <c r="AU40" s="442"/>
      <c r="AV40" s="442"/>
      <c r="AW40" s="442"/>
      <c r="AX40" s="442"/>
      <c r="AY40" s="442"/>
      <c r="AZ40" s="442"/>
      <c r="BA40" s="442"/>
      <c r="BB40" s="442"/>
      <c r="BC40" s="442"/>
      <c r="BD40" s="442"/>
      <c r="BE40" s="442"/>
      <c r="BF40" s="442"/>
    </row>
    <row r="41" spans="1:58" ht="14.5" customHeight="1" x14ac:dyDescent="0.25">
      <c r="A41" s="50" t="str">
        <f t="shared" si="8"/>
        <v>USAC547</v>
      </c>
      <c r="B41" s="13" t="s">
        <v>64</v>
      </c>
      <c r="C41" s="13">
        <v>54</v>
      </c>
      <c r="D41" s="13">
        <v>7</v>
      </c>
      <c r="E41" s="3" t="s">
        <v>65</v>
      </c>
      <c r="F41" s="37" t="s">
        <v>57</v>
      </c>
      <c r="G41" s="38">
        <f>SUMIFS('[13]inland_taf_hatchgrp_tableraw&amp;yy'!G$3:G$39,'[13]inland_taf_hatchgrp_tableraw&amp;yy'!$AC$3:$AC$39,'2020 Table 10 CWTs exp '!$A41)</f>
        <v>30</v>
      </c>
      <c r="H41" s="39">
        <f>SUMIFS('[13]inland_taf_hatchgrp_tableraw&amp;yy'!H$3:H$39,'[13]inland_taf_hatchgrp_tableraw&amp;yy'!$AC$3:$AC$39,'2020 Table 10 CWTs exp '!$A41)</f>
        <v>182</v>
      </c>
      <c r="I41" s="40">
        <f>SUMIFS('[13]inland_taf_hatchgrp_tableraw&amp;yy'!I$3:I$39,'[13]inland_taf_hatchgrp_tableraw&amp;yy'!$AC$3:$AC$39,'2020 Table 10 CWTs exp '!$A41)</f>
        <v>0</v>
      </c>
      <c r="J41" s="38">
        <f>SUMIFS('[13]inland_taf_hatchgrp_tableraw&amp;yy'!K$3:K$39,'[13]inland_taf_hatchgrp_tableraw&amp;yy'!$AC$3:$AC$39,'2020 Table 10 CWTs exp '!$A41)</f>
        <v>0</v>
      </c>
      <c r="K41" s="38">
        <f>SUMIFS('[13]inland_taf_hatchgrp_tableraw&amp;yy'!L$3:L$39,'[13]inland_taf_hatchgrp_tableraw&amp;yy'!$AC$3:$AC$39,'2020 Table 10 CWTs exp '!$A41)</f>
        <v>0</v>
      </c>
      <c r="L41" s="38">
        <f>SUMIFS('[13]inland_taf_hatchgrp_tableraw&amp;yy'!M$3:M$39,'[13]inland_taf_hatchgrp_tableraw&amp;yy'!$AC$3:$AC$39,'2020 Table 10 CWTs exp '!$A41)</f>
        <v>0</v>
      </c>
      <c r="M41" s="40">
        <f>SUMIFS('[13]inland_taf_hatchgrp_tableraw&amp;yy'!N$3:N$39,'[13]inland_taf_hatchgrp_tableraw&amp;yy'!$AC$3:$AC$39,'2020 Table 10 CWTs exp '!$A41)</f>
        <v>0</v>
      </c>
      <c r="N41" s="38">
        <f>SUMIFS('[13]inland_taf_hatchgrp_tableraw&amp;yy'!O$3:O$39,'[13]inland_taf_hatchgrp_tableraw&amp;yy'!$AC$3:$AC$39,'2020 Table 10 CWTs exp '!$A41)</f>
        <v>0</v>
      </c>
      <c r="O41" s="40">
        <f>SUMIFS('[13]inland_taf_hatchgrp_tableraw&amp;yy'!P$3:P$39,'[13]inland_taf_hatchgrp_tableraw&amp;yy'!$AC$3:$AC$39,'2020 Table 10 CWTs exp '!$A41)</f>
        <v>24</v>
      </c>
      <c r="P41" s="38">
        <f>SUMIFS('[13]inland_taf_hatchgrp_tableraw&amp;yy'!Q$3:Q$39,'[13]inland_taf_hatchgrp_tableraw&amp;yy'!$AC$3:$AC$39,'2020 Table 10 CWTs exp '!$A41)</f>
        <v>0</v>
      </c>
      <c r="Q41" s="38">
        <f>SUMIFS('[13]inland_taf_hatchgrp_tableraw&amp;yy'!R$3:R$39,'[13]inland_taf_hatchgrp_tableraw&amp;yy'!$AC$3:$AC$39,'2020 Table 10 CWTs exp '!$A41)</f>
        <v>0</v>
      </c>
      <c r="R41" s="38">
        <f>SUMIFS('[13]inland_taf_hatchgrp_tableraw&amp;yy'!S$3:S$39,'[13]inland_taf_hatchgrp_tableraw&amp;yy'!$AC$3:$AC$39,'2020 Table 10 CWTs exp '!$A41)</f>
        <v>0</v>
      </c>
      <c r="S41" s="40">
        <f>SUMIFS('[13]inland_taf_hatchgrp_tableraw&amp;yy'!T$3:T$39,'[13]inland_taf_hatchgrp_tableraw&amp;yy'!$AC$3:$AC$39,'2020 Table 10 CWTs exp '!$A41)</f>
        <v>0</v>
      </c>
      <c r="T41" s="38">
        <f>SUMIFS('[13]inland_taf_hatchgrp_tableraw&amp;yy'!U$3:U$39,'[13]inland_taf_hatchgrp_tableraw&amp;yy'!$AC$3:$AC$39,'2020 Table 10 CWTs exp '!$A41)</f>
        <v>0</v>
      </c>
      <c r="U41" s="40">
        <f>SUMIFS('[13]inland_taf_hatchgrp_tableraw&amp;yy'!V$3:V$39,'[13]inland_taf_hatchgrp_tableraw&amp;yy'!$AC$3:$AC$39,'2020 Table 10 CWTs exp '!$A41)</f>
        <v>0</v>
      </c>
      <c r="V41" s="40">
        <f>SUMIFS('[13]inland_taf_hatchgrp_tableraw&amp;yy'!W$3:W$39,'[13]inland_taf_hatchgrp_tableraw&amp;yy'!$AC$3:$AC$39,'2020 Table 10 CWTs exp '!$A41)</f>
        <v>0</v>
      </c>
      <c r="W41" s="38">
        <f>SUMIFS('[13]inland_taf_hatchgrp_tableraw&amp;yy'!X$3:X$39,'[13]inland_taf_hatchgrp_tableraw&amp;yy'!$AC$3:$AC$39,'2020 Table 10 CWTs exp '!$A41)</f>
        <v>0</v>
      </c>
      <c r="X41" s="41">
        <f>SUMIFS('[13]inland_taf_hatchgrp_tableraw&amp;yy'!Y$3:Y$39,'[13]inland_taf_hatchgrp_tableraw&amp;yy'!$AC$3:$AC$39,'2020 Table 10 CWTs exp '!$A41)</f>
        <v>236</v>
      </c>
      <c r="Y41" s="42">
        <f>SUMIFS('[13]inland_taf_hatchgrp_tableraw&amp;yy'!Z$3:Z$39,'[13]inland_taf_hatchgrp_tableraw&amp;yy'!$AC$3:$AC$39,'2020 Table 10 CWTs exp '!$A41)</f>
        <v>1611</v>
      </c>
      <c r="Z41" s="38">
        <f>SUMIFS('[13]inland_taf_hatchgrp_tableraw&amp;yy'!AA$3:AA$39,'[13]inland_taf_hatchgrp_tableraw&amp;yy'!$AC$3:$AC$39,'2020 Table 10 CWTs exp '!$A41)</f>
        <v>1847</v>
      </c>
      <c r="AA41" s="44"/>
      <c r="AB41" s="636"/>
      <c r="AC41" s="567">
        <f>X41/Z41</f>
        <v>0.12777476989713049</v>
      </c>
      <c r="AD41" s="604" t="str">
        <f t="shared" si="9"/>
        <v>USAC547</v>
      </c>
      <c r="AE41" s="444"/>
      <c r="AF41" s="622">
        <f t="shared" si="10"/>
        <v>0.12777476989713049</v>
      </c>
      <c r="AG41" s="606"/>
      <c r="AH41" s="592">
        <f>AVERAGE(AH23:AH40)</f>
        <v>0.61863707396717105</v>
      </c>
      <c r="AI41" s="447">
        <f>SUM(AI23:AI40)</f>
        <v>32168</v>
      </c>
      <c r="AJ41" s="650">
        <f>AI41/Z42</f>
        <v>0.29066331740022228</v>
      </c>
      <c r="AK41" s="451"/>
      <c r="AL41" s="442"/>
      <c r="AM41" s="442"/>
      <c r="AN41" s="442"/>
      <c r="AO41" s="442"/>
      <c r="AP41" s="442"/>
      <c r="AQ41" s="442"/>
      <c r="AR41" s="442"/>
      <c r="AS41" s="442"/>
      <c r="AT41" s="442"/>
      <c r="AU41" s="442"/>
      <c r="AV41" s="442"/>
      <c r="AW41" s="442"/>
      <c r="AX41" s="442"/>
      <c r="AY41" s="442"/>
      <c r="AZ41" s="442"/>
      <c r="BA41" s="442"/>
      <c r="BB41" s="442"/>
      <c r="BC41" s="442"/>
      <c r="BD41" s="442"/>
      <c r="BE41" s="442"/>
      <c r="BF41" s="442"/>
    </row>
    <row r="42" spans="1:58" ht="14.15" customHeight="1" x14ac:dyDescent="0.25">
      <c r="A42" s="50"/>
      <c r="B42" s="13"/>
      <c r="C42" s="13"/>
      <c r="D42" s="13"/>
      <c r="E42" s="743" t="s">
        <v>101</v>
      </c>
      <c r="F42" s="743"/>
      <c r="G42" s="63">
        <f t="shared" ref="G42:X42" si="16">SUM(G23:G40)</f>
        <v>0</v>
      </c>
      <c r="H42" s="80">
        <f t="shared" si="16"/>
        <v>31</v>
      </c>
      <c r="I42" s="81">
        <f t="shared" si="16"/>
        <v>21957</v>
      </c>
      <c r="J42" s="63">
        <f t="shared" si="16"/>
        <v>1804</v>
      </c>
      <c r="K42" s="63">
        <f t="shared" si="16"/>
        <v>642</v>
      </c>
      <c r="L42" s="63">
        <f t="shared" si="16"/>
        <v>20848</v>
      </c>
      <c r="M42" s="81">
        <f t="shared" si="16"/>
        <v>12196</v>
      </c>
      <c r="N42" s="63">
        <f t="shared" si="16"/>
        <v>1908</v>
      </c>
      <c r="O42" s="81">
        <f t="shared" si="16"/>
        <v>10763</v>
      </c>
      <c r="P42" s="63">
        <f t="shared" si="16"/>
        <v>38</v>
      </c>
      <c r="Q42" s="63">
        <f t="shared" si="16"/>
        <v>5140</v>
      </c>
      <c r="R42" s="63">
        <f t="shared" si="16"/>
        <v>1099</v>
      </c>
      <c r="S42" s="81">
        <f t="shared" si="16"/>
        <v>267</v>
      </c>
      <c r="T42" s="63">
        <f t="shared" si="16"/>
        <v>26</v>
      </c>
      <c r="U42" s="81">
        <f t="shared" si="16"/>
        <v>1773</v>
      </c>
      <c r="V42" s="81">
        <f t="shared" si="16"/>
        <v>11</v>
      </c>
      <c r="W42" s="63">
        <f>SUM(W23:W40)</f>
        <v>0</v>
      </c>
      <c r="X42" s="61">
        <f t="shared" si="16"/>
        <v>78503</v>
      </c>
      <c r="Y42" s="62">
        <f>SUM(Y23:Y40)</f>
        <v>32168</v>
      </c>
      <c r="Z42" s="63">
        <f>SUM(Z23:Z40)</f>
        <v>110671</v>
      </c>
      <c r="AA42" s="64"/>
      <c r="AB42" s="630"/>
      <c r="AC42" s="445">
        <f>X42/(X42+Y42)</f>
        <v>0.70933668259977767</v>
      </c>
      <c r="AD42" s="445"/>
      <c r="AE42" s="607"/>
      <c r="AF42" s="608"/>
      <c r="AG42" s="608"/>
      <c r="AH42" s="606">
        <f>Z42-Z25</f>
        <v>91616</v>
      </c>
      <c r="AI42" s="447">
        <f>AI41-AI25</f>
        <v>29701</v>
      </c>
      <c r="AJ42" s="650">
        <f>AI42/AH42</f>
        <v>0.32419009779951102</v>
      </c>
      <c r="AK42" s="443" t="s">
        <v>102</v>
      </c>
      <c r="AL42" s="442"/>
      <c r="AM42" s="442"/>
      <c r="AN42" s="442"/>
      <c r="AO42" s="442"/>
      <c r="AP42" s="442"/>
      <c r="AQ42" s="442"/>
      <c r="AR42" s="442"/>
      <c r="AS42" s="442"/>
      <c r="AT42" s="442"/>
      <c r="AU42" s="442"/>
      <c r="AV42" s="442"/>
      <c r="AW42" s="442"/>
      <c r="AX42" s="442"/>
      <c r="AY42" s="442"/>
      <c r="AZ42" s="442"/>
      <c r="BA42" s="442"/>
      <c r="BB42" s="442"/>
      <c r="BC42" s="442"/>
      <c r="BD42" s="442"/>
      <c r="BE42" s="442"/>
      <c r="BF42" s="442"/>
    </row>
    <row r="43" spans="1:58" ht="3.75" customHeight="1" x14ac:dyDescent="0.3">
      <c r="A43" s="50"/>
      <c r="B43" s="13"/>
      <c r="C43" s="13"/>
      <c r="D43" s="13"/>
      <c r="E43" s="83"/>
      <c r="G43" s="44"/>
      <c r="H43" s="45"/>
      <c r="I43" s="46"/>
      <c r="J43" s="44"/>
      <c r="K43" s="44"/>
      <c r="L43" s="44"/>
      <c r="M43" s="46"/>
      <c r="N43" s="44"/>
      <c r="O43" s="46"/>
      <c r="P43" s="44"/>
      <c r="Q43" s="44"/>
      <c r="R43" s="44"/>
      <c r="S43" s="46"/>
      <c r="T43" s="44"/>
      <c r="U43" s="46"/>
      <c r="V43" s="46"/>
      <c r="W43" s="44"/>
      <c r="X43" s="84"/>
      <c r="Y43" s="85"/>
      <c r="Z43" s="44"/>
      <c r="AA43" s="64"/>
      <c r="AB43" s="630"/>
      <c r="AC43" s="445"/>
      <c r="AD43" s="445"/>
      <c r="AE43" s="607"/>
      <c r="AF43" s="608"/>
      <c r="AG43" s="608"/>
      <c r="AH43" s="606"/>
      <c r="AI43" s="447"/>
      <c r="AJ43" s="650"/>
      <c r="AK43" s="451"/>
      <c r="AL43" s="442"/>
      <c r="AM43" s="442"/>
      <c r="AN43" s="442"/>
      <c r="AO43" s="442"/>
      <c r="AP43" s="442"/>
      <c r="AQ43" s="442"/>
      <c r="AR43" s="442"/>
      <c r="AS43" s="442"/>
      <c r="AT43" s="442"/>
      <c r="AU43" s="442"/>
      <c r="AV43" s="442"/>
      <c r="AW43" s="442"/>
      <c r="AX43" s="442"/>
      <c r="AY43" s="442"/>
      <c r="AZ43" s="442"/>
      <c r="BA43" s="442"/>
      <c r="BB43" s="442"/>
      <c r="BC43" s="442"/>
      <c r="BD43" s="442"/>
      <c r="BE43" s="442"/>
      <c r="BF43" s="442"/>
    </row>
    <row r="44" spans="1:58" ht="14.9" customHeight="1" x14ac:dyDescent="0.25">
      <c r="A44" s="50"/>
      <c r="B44" s="13"/>
      <c r="C44" s="13"/>
      <c r="D44" s="13"/>
      <c r="E44" s="27" t="s">
        <v>103</v>
      </c>
      <c r="F44" s="37" t="s">
        <v>104</v>
      </c>
      <c r="G44" s="68">
        <f>G10+G16+G15+G23+G25+G41+G17+G9+G7+G20+G6</f>
        <v>3839</v>
      </c>
      <c r="H44" s="69">
        <f>H10+H16+H15+H23+H25+H41+H17+H9+H7+H20+H6</f>
        <v>2081</v>
      </c>
      <c r="I44" s="70">
        <f t="shared" ref="I44" si="17">I10+I16+I15+I23+I25+I41+I17+I9+I7+I20+I6</f>
        <v>31376</v>
      </c>
      <c r="J44" s="68">
        <f>J8+J11+J30+J31+J32</f>
        <v>4476</v>
      </c>
      <c r="K44" s="68">
        <f t="shared" ref="K44" si="18">K8+K11+K30+K31+K32</f>
        <v>969</v>
      </c>
      <c r="L44" s="68">
        <f>L8+L11+L30+L31+L32</f>
        <v>28581</v>
      </c>
      <c r="M44" s="70">
        <f>M8+M11+M30+M31+M32</f>
        <v>16852</v>
      </c>
      <c r="N44" s="68">
        <f>N12+N34+N33</f>
        <v>2478</v>
      </c>
      <c r="O44" s="70">
        <f>O12+O34+O33</f>
        <v>13647</v>
      </c>
      <c r="P44" s="68">
        <f>P13+P35</f>
        <v>44</v>
      </c>
      <c r="Q44" s="68">
        <f t="shared" ref="Q44:R44" si="19">Q13+Q35</f>
        <v>2364</v>
      </c>
      <c r="R44" s="68">
        <f t="shared" si="19"/>
        <v>175</v>
      </c>
      <c r="S44" s="70">
        <f>S13+S35</f>
        <v>58</v>
      </c>
      <c r="T44" s="68">
        <f>T14+T40</f>
        <v>44</v>
      </c>
      <c r="U44" s="70">
        <f>U14+U40</f>
        <v>137</v>
      </c>
      <c r="V44" s="70">
        <f>V22</f>
        <v>13</v>
      </c>
      <c r="W44" s="68"/>
      <c r="X44" s="86">
        <f>SUM(G44:W44)</f>
        <v>107134</v>
      </c>
      <c r="Y44" s="87">
        <f>Y46</f>
        <v>44507</v>
      </c>
      <c r="Z44" s="44">
        <f>Y44+X44</f>
        <v>151641</v>
      </c>
      <c r="AA44" s="64"/>
      <c r="AB44" s="630"/>
      <c r="AC44" s="567">
        <f>X44/Z44</f>
        <v>0.70649758310747091</v>
      </c>
      <c r="AD44" s="445"/>
      <c r="AE44" s="607"/>
      <c r="AF44" s="608"/>
      <c r="AG44" s="608"/>
      <c r="AH44" s="606"/>
      <c r="AI44" s="447"/>
      <c r="AJ44" s="650"/>
      <c r="AK44" s="451"/>
      <c r="AL44" s="442"/>
      <c r="AM44" s="442"/>
      <c r="AN44" s="442"/>
      <c r="AO44" s="442"/>
      <c r="AP44" s="442"/>
      <c r="AQ44" s="442"/>
      <c r="AR44" s="442"/>
      <c r="AS44" s="442"/>
      <c r="AT44" s="442"/>
      <c r="AU44" s="442"/>
      <c r="AV44" s="442"/>
      <c r="AW44" s="442"/>
      <c r="AX44" s="442"/>
      <c r="AY44" s="442"/>
      <c r="AZ44" s="442"/>
      <c r="BA44" s="442"/>
      <c r="BB44" s="442"/>
      <c r="BC44" s="442"/>
      <c r="BD44" s="442"/>
      <c r="BE44" s="442"/>
      <c r="BF44" s="442"/>
    </row>
    <row r="45" spans="1:58" ht="14.9" customHeight="1" x14ac:dyDescent="0.25">
      <c r="A45" s="50"/>
      <c r="B45" s="13"/>
      <c r="C45" s="13"/>
      <c r="D45" s="13"/>
      <c r="E45" s="27" t="s">
        <v>105</v>
      </c>
      <c r="F45" s="37" t="s">
        <v>104</v>
      </c>
      <c r="G45" s="70">
        <f t="shared" ref="G45:X45" si="20">G46-G44</f>
        <v>0</v>
      </c>
      <c r="H45" s="69">
        <f t="shared" si="20"/>
        <v>4</v>
      </c>
      <c r="I45" s="70">
        <f t="shared" si="20"/>
        <v>2369</v>
      </c>
      <c r="J45" s="69">
        <f t="shared" si="20"/>
        <v>19</v>
      </c>
      <c r="K45" s="68">
        <f t="shared" si="20"/>
        <v>8</v>
      </c>
      <c r="L45" s="68">
        <f t="shared" si="20"/>
        <v>3320</v>
      </c>
      <c r="M45" s="70">
        <f t="shared" si="20"/>
        <v>2168</v>
      </c>
      <c r="N45" s="68">
        <f t="shared" si="20"/>
        <v>14</v>
      </c>
      <c r="O45" s="70">
        <f t="shared" si="20"/>
        <v>911</v>
      </c>
      <c r="P45" s="68">
        <f t="shared" si="20"/>
        <v>39</v>
      </c>
      <c r="Q45" s="68">
        <f t="shared" si="20"/>
        <v>6033</v>
      </c>
      <c r="R45" s="68">
        <f t="shared" si="20"/>
        <v>1163</v>
      </c>
      <c r="S45" s="70">
        <f t="shared" si="20"/>
        <v>365</v>
      </c>
      <c r="T45" s="68">
        <f t="shared" si="20"/>
        <v>5</v>
      </c>
      <c r="U45" s="70">
        <f t="shared" si="20"/>
        <v>2412</v>
      </c>
      <c r="V45" s="70">
        <f t="shared" si="20"/>
        <v>17</v>
      </c>
      <c r="W45" s="68">
        <f>W46-W44</f>
        <v>0</v>
      </c>
      <c r="X45" s="86">
        <f t="shared" si="20"/>
        <v>18847</v>
      </c>
      <c r="Y45" s="87"/>
      <c r="Z45" s="44">
        <f>Y45+X45</f>
        <v>18847</v>
      </c>
      <c r="AA45" s="630">
        <f>SUM(G45:W45)</f>
        <v>18847</v>
      </c>
      <c r="AB45" s="630"/>
      <c r="AC45" s="567">
        <f>X45/Z45</f>
        <v>1</v>
      </c>
      <c r="AD45" s="625" t="s">
        <v>106</v>
      </c>
      <c r="AE45" s="626" t="s">
        <v>107</v>
      </c>
      <c r="AF45" s="600" t="s">
        <v>108</v>
      </c>
      <c r="AG45" s="608"/>
      <c r="AH45" s="606"/>
      <c r="AI45" s="447"/>
      <c r="AJ45" s="650"/>
      <c r="AK45" s="451"/>
      <c r="AL45" s="442"/>
      <c r="AM45" s="442"/>
      <c r="AN45" s="442"/>
      <c r="AO45" s="442"/>
      <c r="AP45" s="442"/>
      <c r="AQ45" s="442"/>
      <c r="AR45" s="442"/>
      <c r="AS45" s="442"/>
      <c r="AT45" s="442"/>
      <c r="AU45" s="442"/>
      <c r="AV45" s="442"/>
      <c r="AW45" s="442"/>
      <c r="AX45" s="442"/>
      <c r="AY45" s="442"/>
      <c r="AZ45" s="442"/>
      <c r="BA45" s="442"/>
      <c r="BB45" s="442"/>
      <c r="BC45" s="442"/>
      <c r="BD45" s="442"/>
      <c r="BE45" s="442"/>
      <c r="BF45" s="442"/>
    </row>
    <row r="46" spans="1:58" ht="14.9" customHeight="1" x14ac:dyDescent="0.3">
      <c r="A46" s="50"/>
      <c r="B46" s="13"/>
      <c r="C46" s="13"/>
      <c r="D46" s="13"/>
      <c r="E46" s="27"/>
      <c r="F46" s="88" t="s">
        <v>109</v>
      </c>
      <c r="G46" s="89">
        <f>SUM(G20:G41,G6:G17)</f>
        <v>3839</v>
      </c>
      <c r="H46" s="90">
        <f t="shared" ref="H46:W46" si="21">SUM(H20:H41,H6:H17)</f>
        <v>2085</v>
      </c>
      <c r="I46" s="91">
        <f t="shared" si="21"/>
        <v>33745</v>
      </c>
      <c r="J46" s="89">
        <f t="shared" si="21"/>
        <v>4495</v>
      </c>
      <c r="K46" s="89">
        <f t="shared" si="21"/>
        <v>977</v>
      </c>
      <c r="L46" s="89">
        <f t="shared" si="21"/>
        <v>31901</v>
      </c>
      <c r="M46" s="91">
        <f t="shared" si="21"/>
        <v>19020</v>
      </c>
      <c r="N46" s="89">
        <f t="shared" si="21"/>
        <v>2492</v>
      </c>
      <c r="O46" s="91">
        <f t="shared" si="21"/>
        <v>14558</v>
      </c>
      <c r="P46" s="89">
        <f t="shared" si="21"/>
        <v>83</v>
      </c>
      <c r="Q46" s="89">
        <f t="shared" si="21"/>
        <v>8397</v>
      </c>
      <c r="R46" s="89">
        <f t="shared" si="21"/>
        <v>1338</v>
      </c>
      <c r="S46" s="91">
        <f t="shared" si="21"/>
        <v>423</v>
      </c>
      <c r="T46" s="89">
        <f t="shared" si="21"/>
        <v>49</v>
      </c>
      <c r="U46" s="91">
        <f t="shared" si="21"/>
        <v>2549</v>
      </c>
      <c r="V46" s="91">
        <f t="shared" si="21"/>
        <v>30</v>
      </c>
      <c r="W46" s="89">
        <f t="shared" si="21"/>
        <v>0</v>
      </c>
      <c r="X46" s="92">
        <f>SUM(X20:X41,X6:X17)</f>
        <v>125981</v>
      </c>
      <c r="Y46" s="93">
        <f>SUM(Y20:Y41,Y6:Y17)</f>
        <v>44507</v>
      </c>
      <c r="Z46" s="94">
        <f>Y46+X46</f>
        <v>170488</v>
      </c>
      <c r="AA46" s="14"/>
      <c r="AB46" s="444"/>
      <c r="AC46" s="445">
        <f>X46/Z46</f>
        <v>0.73894350335507486</v>
      </c>
      <c r="AD46" s="627" t="s">
        <v>106</v>
      </c>
      <c r="AE46" s="628" t="s">
        <v>110</v>
      </c>
      <c r="AF46" s="614">
        <f>SUM(G46:W46)</f>
        <v>125981</v>
      </c>
      <c r="AG46" s="608"/>
      <c r="AH46" s="606"/>
      <c r="AI46" s="447"/>
      <c r="AJ46" s="650"/>
      <c r="AK46" s="451"/>
      <c r="AL46" s="442"/>
      <c r="AM46" s="442"/>
      <c r="AN46" s="442"/>
      <c r="AO46" s="442"/>
      <c r="AP46" s="442"/>
      <c r="AQ46" s="442"/>
      <c r="AR46" s="442"/>
      <c r="AS46" s="442"/>
      <c r="AT46" s="442"/>
      <c r="AU46" s="442"/>
      <c r="AV46" s="442"/>
      <c r="AW46" s="442"/>
      <c r="AX46" s="442"/>
      <c r="AY46" s="442"/>
      <c r="AZ46" s="442"/>
      <c r="BA46" s="442"/>
      <c r="BB46" s="442"/>
      <c r="BC46" s="442"/>
      <c r="BD46" s="442"/>
      <c r="BE46" s="442"/>
      <c r="BF46" s="442"/>
    </row>
    <row r="47" spans="1:58" ht="13.5" customHeight="1" x14ac:dyDescent="0.25">
      <c r="A47" s="50"/>
      <c r="B47" s="13"/>
      <c r="C47" s="13"/>
      <c r="D47" s="13"/>
      <c r="E47" s="27"/>
      <c r="F47" s="95" t="s">
        <v>111</v>
      </c>
      <c r="G47" s="96">
        <f t="shared" ref="G47:L47" si="22">IF(G46&gt;0,G45/G46," ")</f>
        <v>0</v>
      </c>
      <c r="H47" s="97">
        <f t="shared" si="22"/>
        <v>1.9184652278177458E-3</v>
      </c>
      <c r="I47" s="99">
        <f t="shared" si="22"/>
        <v>7.0202993036005329E-2</v>
      </c>
      <c r="J47" s="100">
        <f t="shared" si="22"/>
        <v>4.2269187986651831E-3</v>
      </c>
      <c r="K47" s="100">
        <f t="shared" si="22"/>
        <v>8.1883316274309111E-3</v>
      </c>
      <c r="L47" s="98">
        <f t="shared" si="22"/>
        <v>0.10407197266543368</v>
      </c>
      <c r="M47" s="99">
        <f>IF(M46&gt;0,M45/M46," ")</f>
        <v>0.11398527865404837</v>
      </c>
      <c r="N47" s="100">
        <f t="shared" ref="N47:V47" si="23">IF(N46&gt;0,N45/N46," ")</f>
        <v>5.6179775280898875E-3</v>
      </c>
      <c r="O47" s="99">
        <f t="shared" si="23"/>
        <v>6.257727709850254E-2</v>
      </c>
      <c r="P47" s="98">
        <f t="shared" si="23"/>
        <v>0.46987951807228917</v>
      </c>
      <c r="Q47" s="98">
        <f t="shared" si="23"/>
        <v>0.71847088245802071</v>
      </c>
      <c r="R47" s="98">
        <f t="shared" si="23"/>
        <v>0.86920777279521677</v>
      </c>
      <c r="S47" s="99">
        <f t="shared" si="23"/>
        <v>0.86288416075650121</v>
      </c>
      <c r="T47" s="98">
        <f t="shared" si="23"/>
        <v>0.10204081632653061</v>
      </c>
      <c r="U47" s="99">
        <f t="shared" si="23"/>
        <v>0.94625343271871321</v>
      </c>
      <c r="V47" s="99">
        <f t="shared" si="23"/>
        <v>0.56666666666666665</v>
      </c>
      <c r="W47" s="98"/>
      <c r="X47" s="101">
        <f>X45/X46</f>
        <v>0.14960192409966583</v>
      </c>
      <c r="Y47" s="102"/>
      <c r="Z47" s="98">
        <f t="shared" ref="Z47" si="24">Z45/Z46</f>
        <v>0.11054736990286707</v>
      </c>
      <c r="AA47" s="64"/>
      <c r="AB47" s="630"/>
      <c r="AC47" s="445"/>
      <c r="AD47" s="445"/>
      <c r="AE47" s="607"/>
      <c r="AF47" s="608"/>
      <c r="AG47" s="608"/>
      <c r="AH47" s="606"/>
      <c r="AI47" s="447"/>
      <c r="AJ47" s="650"/>
      <c r="AK47" s="451"/>
      <c r="AL47" s="442"/>
      <c r="AM47" s="442"/>
      <c r="AN47" s="442"/>
      <c r="AO47" s="442"/>
      <c r="AP47" s="442"/>
      <c r="AQ47" s="442"/>
      <c r="AR47" s="442"/>
      <c r="AS47" s="442"/>
      <c r="AT47" s="442"/>
      <c r="AU47" s="442"/>
      <c r="AV47" s="442"/>
      <c r="AW47" s="442"/>
      <c r="AX47" s="442"/>
      <c r="AY47" s="442"/>
      <c r="AZ47" s="442"/>
      <c r="BA47" s="442"/>
      <c r="BB47" s="442"/>
      <c r="BC47" s="442"/>
      <c r="BD47" s="442"/>
      <c r="BE47" s="442"/>
      <c r="BF47" s="442"/>
    </row>
    <row r="48" spans="1:58" ht="15" customHeight="1" x14ac:dyDescent="0.25">
      <c r="A48" s="5" t="s">
        <v>112</v>
      </c>
      <c r="B48" s="13"/>
      <c r="C48" s="13"/>
      <c r="D48" s="13"/>
      <c r="E48" s="103" t="s">
        <v>113</v>
      </c>
      <c r="F48" s="47"/>
      <c r="G48" s="68"/>
      <c r="H48" s="69"/>
      <c r="I48" s="70"/>
      <c r="J48" s="68"/>
      <c r="K48" s="68"/>
      <c r="L48" s="68"/>
      <c r="M48" s="70"/>
      <c r="N48" s="68"/>
      <c r="O48" s="70"/>
      <c r="P48" s="68"/>
      <c r="Q48" s="68"/>
      <c r="R48" s="68"/>
      <c r="S48" s="70"/>
      <c r="T48" s="68"/>
      <c r="U48" s="70"/>
      <c r="V48" s="70"/>
      <c r="W48" s="68"/>
      <c r="X48" s="86"/>
      <c r="Y48" s="87"/>
      <c r="Z48" s="68"/>
      <c r="AA48" s="68"/>
      <c r="AB48" s="611"/>
      <c r="AC48" s="567"/>
      <c r="AD48" s="567"/>
      <c r="AE48" s="442"/>
      <c r="AF48" s="597"/>
      <c r="AG48" s="597"/>
      <c r="AH48" s="597"/>
      <c r="AI48" s="599"/>
      <c r="AJ48" s="451"/>
      <c r="AK48" s="451"/>
      <c r="AL48" s="442"/>
      <c r="AM48" s="442"/>
      <c r="AN48" s="442"/>
      <c r="AO48" s="442"/>
      <c r="AP48" s="442"/>
      <c r="AQ48" s="442"/>
      <c r="AR48" s="442"/>
      <c r="AS48" s="442"/>
      <c r="AT48" s="442"/>
      <c r="AU48" s="442"/>
      <c r="AV48" s="442"/>
      <c r="AW48" s="442"/>
      <c r="AX48" s="442"/>
      <c r="AY48" s="442"/>
      <c r="AZ48" s="442"/>
      <c r="BA48" s="442"/>
      <c r="BB48" s="442"/>
      <c r="BC48" s="442"/>
      <c r="BD48" s="442"/>
      <c r="BE48" s="442"/>
      <c r="BF48" s="442"/>
    </row>
    <row r="49" spans="1:58" ht="14.5" customHeight="1" x14ac:dyDescent="0.25">
      <c r="A49" s="50" t="str">
        <f t="shared" ref="A49:A54" si="25">CONCATENATE(B49,C49,D49)</f>
        <v>USAC463</v>
      </c>
      <c r="B49" s="13" t="s">
        <v>64</v>
      </c>
      <c r="C49" s="13">
        <v>46</v>
      </c>
      <c r="D49" s="13">
        <v>3</v>
      </c>
      <c r="E49" s="3" t="s">
        <v>114</v>
      </c>
      <c r="F49" s="43" t="str">
        <f>LOOKUP(D49,$AK$8:$AK$11,$AL$8:$AL$11)</f>
        <v>Fall</v>
      </c>
      <c r="G49" s="38">
        <f>SUMIFS('[13]inland_taf_hatchgrp_tableraw&amp;yy'!G$3:G$39,'[13]inland_taf_hatchgrp_tableraw&amp;yy'!$AC$3:$AC$39,'2020 Table 10 CWTs exp '!$A49)</f>
        <v>12</v>
      </c>
      <c r="H49" s="39">
        <f>SUMIFS('[13]inland_taf_hatchgrp_tableraw&amp;yy'!H$3:H$39,'[13]inland_taf_hatchgrp_tableraw&amp;yy'!$AC$3:$AC$39,'2020 Table 10 CWTs exp '!$A49)</f>
        <v>12</v>
      </c>
      <c r="I49" s="40">
        <f>SUMIFS('[13]inland_taf_hatchgrp_tableraw&amp;yy'!I$3:I$39,'[13]inland_taf_hatchgrp_tableraw&amp;yy'!$AC$3:$AC$39,'2020 Table 10 CWTs exp '!$A49)</f>
        <v>3703</v>
      </c>
      <c r="J49" s="38">
        <f>SUMIFS('[13]inland_taf_hatchgrp_tableraw&amp;yy'!K$3:K$39,'[13]inland_taf_hatchgrp_tableraw&amp;yy'!$AC$3:$AC$39,'2020 Table 10 CWTs exp '!$A49)</f>
        <v>0</v>
      </c>
      <c r="K49" s="38">
        <f>SUMIFS('[13]inland_taf_hatchgrp_tableraw&amp;yy'!L$3:L$39,'[13]inland_taf_hatchgrp_tableraw&amp;yy'!$AC$3:$AC$39,'2020 Table 10 CWTs exp '!$A49)</f>
        <v>0</v>
      </c>
      <c r="L49" s="38">
        <f>SUMIFS('[13]inland_taf_hatchgrp_tableraw&amp;yy'!M$3:M$39,'[13]inland_taf_hatchgrp_tableraw&amp;yy'!$AC$3:$AC$39,'2020 Table 10 CWTs exp '!$A49)</f>
        <v>457</v>
      </c>
      <c r="M49" s="40">
        <f>SUMIFS('[13]inland_taf_hatchgrp_tableraw&amp;yy'!N$3:N$39,'[13]inland_taf_hatchgrp_tableraw&amp;yy'!$AC$3:$AC$39,'2020 Table 10 CWTs exp '!$A49)</f>
        <v>46</v>
      </c>
      <c r="N49" s="38">
        <f>SUMIFS('[13]inland_taf_hatchgrp_tableraw&amp;yy'!O$3:O$39,'[13]inland_taf_hatchgrp_tableraw&amp;yy'!$AC$3:$AC$39,'2020 Table 10 CWTs exp '!$A49)</f>
        <v>0</v>
      </c>
      <c r="O49" s="40">
        <f>SUMIFS('[13]inland_taf_hatchgrp_tableraw&amp;yy'!P$3:P$39,'[13]inland_taf_hatchgrp_tableraw&amp;yy'!$AC$3:$AC$39,'2020 Table 10 CWTs exp '!$A49)</f>
        <v>0</v>
      </c>
      <c r="P49" s="38">
        <f>SUMIFS('[13]inland_taf_hatchgrp_tableraw&amp;yy'!Q$3:Q$39,'[13]inland_taf_hatchgrp_tableraw&amp;yy'!$AC$3:$AC$39,'2020 Table 10 CWTs exp '!$A49)</f>
        <v>0</v>
      </c>
      <c r="Q49" s="38">
        <f>SUMIFS('[13]inland_taf_hatchgrp_tableraw&amp;yy'!R$3:R$39,'[13]inland_taf_hatchgrp_tableraw&amp;yy'!$AC$3:$AC$39,'2020 Table 10 CWTs exp '!$A49)</f>
        <v>0</v>
      </c>
      <c r="R49" s="38">
        <f>SUMIFS('[13]inland_taf_hatchgrp_tableraw&amp;yy'!S$3:S$39,'[13]inland_taf_hatchgrp_tableraw&amp;yy'!$AC$3:$AC$39,'2020 Table 10 CWTs exp '!$A49)</f>
        <v>0</v>
      </c>
      <c r="S49" s="40">
        <f>SUMIFS('[13]inland_taf_hatchgrp_tableraw&amp;yy'!T$3:T$39,'[13]inland_taf_hatchgrp_tableraw&amp;yy'!$AC$3:$AC$39,'2020 Table 10 CWTs exp '!$A49)</f>
        <v>0</v>
      </c>
      <c r="T49" s="38">
        <f>SUMIFS('[13]inland_taf_hatchgrp_tableraw&amp;yy'!U$3:U$39,'[13]inland_taf_hatchgrp_tableraw&amp;yy'!$AC$3:$AC$39,'2020 Table 10 CWTs exp '!$A49)</f>
        <v>0</v>
      </c>
      <c r="U49" s="40">
        <f>SUMIFS('[13]inland_taf_hatchgrp_tableraw&amp;yy'!V$3:V$39,'[13]inland_taf_hatchgrp_tableraw&amp;yy'!$AC$3:$AC$39,'2020 Table 10 CWTs exp '!$A49)</f>
        <v>0</v>
      </c>
      <c r="V49" s="40">
        <f>SUMIFS('[13]inland_taf_hatchgrp_tableraw&amp;yy'!W$3:W$39,'[13]inland_taf_hatchgrp_tableraw&amp;yy'!$AC$3:$AC$39,'2020 Table 10 CWTs exp '!$A49)</f>
        <v>0</v>
      </c>
      <c r="W49" s="38">
        <f>SUMIFS('[13]inland_taf_hatchgrp_tableraw&amp;yy'!X$3:X$39,'[13]inland_taf_hatchgrp_tableraw&amp;yy'!$AC$3:$AC$39,'2020 Table 10 CWTs exp '!$A49)</f>
        <v>0</v>
      </c>
      <c r="X49" s="41">
        <f>SUMIFS('[13]inland_taf_hatchgrp_tableraw&amp;yy'!Y$3:Y$39,'[13]inland_taf_hatchgrp_tableraw&amp;yy'!$AC$3:$AC$39,'2020 Table 10 CWTs exp '!$A49)</f>
        <v>4230</v>
      </c>
      <c r="Y49" s="42">
        <f>SUMIFS('[13]inland_taf_hatchgrp_tableraw&amp;yy'!Z$3:Z$39,'[13]inland_taf_hatchgrp_tableraw&amp;yy'!$AC$3:$AC$39,'2020 Table 10 CWTs exp '!$A49)</f>
        <v>1415</v>
      </c>
      <c r="Z49" s="38">
        <f>SUMIFS('[13]inland_taf_hatchgrp_tableraw&amp;yy'!AA$3:AA$39,'[13]inland_taf_hatchgrp_tableraw&amp;yy'!$AC$3:$AC$39,'2020 Table 10 CWTs exp '!$A49)</f>
        <v>5645</v>
      </c>
      <c r="AA49" s="44"/>
      <c r="AB49" s="636"/>
      <c r="AC49" s="567">
        <f>SUMIFS('[13]inland_taf_hatchgrp_tableraw&amp;yy'!AB$3:AB$39,'[13]inland_taf_hatchgrp_tableraw&amp;yy'!$AC$3:$AC$39,'2020 Table 10 CWTs exp '!$A49)</f>
        <v>0.749</v>
      </c>
      <c r="AD49" s="604" t="str">
        <f t="shared" ref="AD49:AD55" si="26">A49</f>
        <v>USAC463</v>
      </c>
      <c r="AE49" s="442"/>
      <c r="AF49" s="622">
        <f>X49/Z49</f>
        <v>0.7493356953055802</v>
      </c>
      <c r="AG49" s="597"/>
      <c r="AH49" s="597"/>
      <c r="AI49" s="599"/>
      <c r="AJ49" s="451"/>
      <c r="AK49" s="451"/>
      <c r="AL49" s="442"/>
      <c r="AM49" s="442"/>
      <c r="AN49" s="442"/>
      <c r="AO49" s="442"/>
      <c r="AP49" s="442"/>
      <c r="AQ49" s="442"/>
      <c r="AR49" s="442"/>
      <c r="AS49" s="442"/>
      <c r="AT49" s="442"/>
      <c r="AU49" s="442"/>
      <c r="AV49" s="442"/>
      <c r="AW49" s="442"/>
      <c r="AX49" s="442"/>
      <c r="AY49" s="442"/>
      <c r="AZ49" s="442"/>
      <c r="BA49" s="442"/>
      <c r="BB49" s="442"/>
      <c r="BC49" s="442"/>
      <c r="BD49" s="442"/>
      <c r="BE49" s="442"/>
      <c r="BF49" s="442"/>
    </row>
    <row r="50" spans="1:58" ht="14.5" customHeight="1" x14ac:dyDescent="0.25">
      <c r="A50" s="50" t="str">
        <f t="shared" si="25"/>
        <v>LSAC463</v>
      </c>
      <c r="B50" s="13" t="s">
        <v>115</v>
      </c>
      <c r="C50" s="13">
        <v>46</v>
      </c>
      <c r="D50" s="13">
        <v>3</v>
      </c>
      <c r="E50" s="3" t="s">
        <v>116</v>
      </c>
      <c r="F50" s="43" t="str">
        <f>LOOKUP(D50,$AK$8:$AK$11,$AL$8:$AL$11)</f>
        <v>Fall</v>
      </c>
      <c r="G50" s="38">
        <f>SUMIFS('[13]inland_taf_hatchgrp_tableraw&amp;yy'!G$3:G$39,'[13]inland_taf_hatchgrp_tableraw&amp;yy'!$AC$3:$AC$39,'2020 Table 10 CWTs exp '!$A50)</f>
        <v>27</v>
      </c>
      <c r="H50" s="39">
        <f>SUMIFS('[13]inland_taf_hatchgrp_tableraw&amp;yy'!H$3:H$39,'[13]inland_taf_hatchgrp_tableraw&amp;yy'!$AC$3:$AC$39,'2020 Table 10 CWTs exp '!$A50)</f>
        <v>136</v>
      </c>
      <c r="I50" s="40">
        <f>SUMIFS('[13]inland_taf_hatchgrp_tableraw&amp;yy'!I$3:I$39,'[13]inland_taf_hatchgrp_tableraw&amp;yy'!$AC$3:$AC$39,'2020 Table 10 CWTs exp '!$A50)</f>
        <v>108</v>
      </c>
      <c r="J50" s="38">
        <f>SUMIFS('[13]inland_taf_hatchgrp_tableraw&amp;yy'!K$3:K$39,'[13]inland_taf_hatchgrp_tableraw&amp;yy'!$AC$3:$AC$39,'2020 Table 10 CWTs exp '!$A50)</f>
        <v>0</v>
      </c>
      <c r="K50" s="38">
        <f>SUMIFS('[13]inland_taf_hatchgrp_tableraw&amp;yy'!L$3:L$39,'[13]inland_taf_hatchgrp_tableraw&amp;yy'!$AC$3:$AC$39,'2020 Table 10 CWTs exp '!$A50)</f>
        <v>27</v>
      </c>
      <c r="L50" s="38">
        <f>SUMIFS('[13]inland_taf_hatchgrp_tableraw&amp;yy'!M$3:M$39,'[13]inland_taf_hatchgrp_tableraw&amp;yy'!$AC$3:$AC$39,'2020 Table 10 CWTs exp '!$A50)</f>
        <v>1816</v>
      </c>
      <c r="M50" s="40">
        <f>SUMIFS('[13]inland_taf_hatchgrp_tableraw&amp;yy'!N$3:N$39,'[13]inland_taf_hatchgrp_tableraw&amp;yy'!$AC$3:$AC$39,'2020 Table 10 CWTs exp '!$A50)</f>
        <v>536</v>
      </c>
      <c r="N50" s="38">
        <f>SUMIFS('[13]inland_taf_hatchgrp_tableraw&amp;yy'!O$3:O$39,'[13]inland_taf_hatchgrp_tableraw&amp;yy'!$AC$3:$AC$39,'2020 Table 10 CWTs exp '!$A50)</f>
        <v>0</v>
      </c>
      <c r="O50" s="40">
        <f>SUMIFS('[13]inland_taf_hatchgrp_tableraw&amp;yy'!P$3:P$39,'[13]inland_taf_hatchgrp_tableraw&amp;yy'!$AC$3:$AC$39,'2020 Table 10 CWTs exp '!$A50)</f>
        <v>1182</v>
      </c>
      <c r="P50" s="38">
        <f>SUMIFS('[13]inland_taf_hatchgrp_tableraw&amp;yy'!Q$3:Q$39,'[13]inland_taf_hatchgrp_tableraw&amp;yy'!$AC$3:$AC$39,'2020 Table 10 CWTs exp '!$A50)</f>
        <v>0</v>
      </c>
      <c r="Q50" s="38">
        <f>SUMIFS('[13]inland_taf_hatchgrp_tableraw&amp;yy'!R$3:R$39,'[13]inland_taf_hatchgrp_tableraw&amp;yy'!$AC$3:$AC$39,'2020 Table 10 CWTs exp '!$A50)</f>
        <v>135</v>
      </c>
      <c r="R50" s="38">
        <f>SUMIFS('[13]inland_taf_hatchgrp_tableraw&amp;yy'!S$3:S$39,'[13]inland_taf_hatchgrp_tableraw&amp;yy'!$AC$3:$AC$39,'2020 Table 10 CWTs exp '!$A50)</f>
        <v>54</v>
      </c>
      <c r="S50" s="40">
        <f>SUMIFS('[13]inland_taf_hatchgrp_tableraw&amp;yy'!T$3:T$39,'[13]inland_taf_hatchgrp_tableraw&amp;yy'!$AC$3:$AC$39,'2020 Table 10 CWTs exp '!$A50)</f>
        <v>107</v>
      </c>
      <c r="T50" s="38">
        <f>SUMIFS('[13]inland_taf_hatchgrp_tableraw&amp;yy'!U$3:U$39,'[13]inland_taf_hatchgrp_tableraw&amp;yy'!$AC$3:$AC$39,'2020 Table 10 CWTs exp '!$A50)</f>
        <v>0</v>
      </c>
      <c r="U50" s="40">
        <f>SUMIFS('[13]inland_taf_hatchgrp_tableraw&amp;yy'!V$3:V$39,'[13]inland_taf_hatchgrp_tableraw&amp;yy'!$AC$3:$AC$39,'2020 Table 10 CWTs exp '!$A50)</f>
        <v>143</v>
      </c>
      <c r="V50" s="40">
        <f>SUMIFS('[13]inland_taf_hatchgrp_tableraw&amp;yy'!W$3:W$39,'[13]inland_taf_hatchgrp_tableraw&amp;yy'!$AC$3:$AC$39,'2020 Table 10 CWTs exp '!$A50)</f>
        <v>0</v>
      </c>
      <c r="W50" s="38">
        <f>SUMIFS('[13]inland_taf_hatchgrp_tableraw&amp;yy'!X$3:X$39,'[13]inland_taf_hatchgrp_tableraw&amp;yy'!$AC$3:$AC$39,'2020 Table 10 CWTs exp '!$A50)</f>
        <v>0</v>
      </c>
      <c r="X50" s="41">
        <f>SUMIFS('[13]inland_taf_hatchgrp_tableraw&amp;yy'!Y$3:Y$39,'[13]inland_taf_hatchgrp_tableraw&amp;yy'!$AC$3:$AC$39,'2020 Table 10 CWTs exp '!$A50)</f>
        <v>4271</v>
      </c>
      <c r="Y50" s="42">
        <f>SUMIFS('[13]inland_taf_hatchgrp_tableraw&amp;yy'!Z$3:Z$39,'[13]inland_taf_hatchgrp_tableraw&amp;yy'!$AC$3:$AC$39,'2020 Table 10 CWTs exp '!$A50)</f>
        <v>915</v>
      </c>
      <c r="Z50" s="38">
        <f>SUMIFS('[13]inland_taf_hatchgrp_tableraw&amp;yy'!AA$3:AA$39,'[13]inland_taf_hatchgrp_tableraw&amp;yy'!$AC$3:$AC$39,'2020 Table 10 CWTs exp '!$A50)</f>
        <v>5186</v>
      </c>
      <c r="AA50" s="44"/>
      <c r="AB50" s="636"/>
      <c r="AC50" s="567">
        <f>SUMIFS('[13]inland_taf_hatchgrp_tableraw&amp;yy'!AB$3:AB$39,'[13]inland_taf_hatchgrp_tableraw&amp;yy'!$AC$3:$AC$39,'2020 Table 10 CWTs exp '!$A50)</f>
        <v>0.82399999999999995</v>
      </c>
      <c r="AD50" s="604" t="str">
        <f t="shared" si="26"/>
        <v>LSAC463</v>
      </c>
      <c r="AE50" s="442"/>
      <c r="AF50" s="622">
        <f t="shared" ref="AF50:AF54" si="27">X50/Z50</f>
        <v>0.82356344003085225</v>
      </c>
      <c r="AG50" s="597"/>
      <c r="AH50" s="597"/>
      <c r="AI50" s="599"/>
      <c r="AJ50" s="451"/>
      <c r="AK50" s="451"/>
      <c r="AL50" s="442"/>
      <c r="AM50" s="442"/>
      <c r="AN50" s="442"/>
      <c r="AO50" s="442"/>
      <c r="AP50" s="442"/>
      <c r="AQ50" s="442"/>
      <c r="AR50" s="442"/>
      <c r="AS50" s="442"/>
      <c r="AT50" s="442"/>
      <c r="AU50" s="442"/>
      <c r="AV50" s="442"/>
      <c r="AW50" s="442"/>
      <c r="AX50" s="442"/>
      <c r="AY50" s="442"/>
      <c r="AZ50" s="442"/>
      <c r="BA50" s="442"/>
      <c r="BB50" s="442"/>
      <c r="BC50" s="442"/>
      <c r="BD50" s="442"/>
      <c r="BE50" s="442"/>
      <c r="BF50" s="442"/>
    </row>
    <row r="51" spans="1:58" ht="14.5" customHeight="1" x14ac:dyDescent="0.25">
      <c r="A51" s="50" t="str">
        <f t="shared" si="25"/>
        <v>FEA463</v>
      </c>
      <c r="B51" s="13" t="s">
        <v>80</v>
      </c>
      <c r="C51" s="13">
        <v>46</v>
      </c>
      <c r="D51" s="13">
        <v>3</v>
      </c>
      <c r="E51" s="3" t="s">
        <v>117</v>
      </c>
      <c r="F51" s="43" t="str">
        <f>LOOKUP(D51,$AK$8:$AK$11,$AL$8:$AL$11)</f>
        <v>Fall</v>
      </c>
      <c r="G51" s="38">
        <f>SUMIFS('[13]inland_taf_hatchgrp_tableraw&amp;yy'!G$3:G$39,'[13]inland_taf_hatchgrp_tableraw&amp;yy'!$AC$3:$AC$39,'2020 Table 10 CWTs exp '!$A51)</f>
        <v>0</v>
      </c>
      <c r="H51" s="39">
        <f>SUMIFS('[13]inland_taf_hatchgrp_tableraw&amp;yy'!H$3:H$39,'[13]inland_taf_hatchgrp_tableraw&amp;yy'!$AC$3:$AC$39,'2020 Table 10 CWTs exp '!$A51)</f>
        <v>0</v>
      </c>
      <c r="I51" s="40">
        <f>SUMIFS('[13]inland_taf_hatchgrp_tableraw&amp;yy'!I$3:I$39,'[13]inland_taf_hatchgrp_tableraw&amp;yy'!$AC$3:$AC$39,'2020 Table 10 CWTs exp '!$A51)</f>
        <v>0</v>
      </c>
      <c r="J51" s="38">
        <f>SUMIFS('[13]inland_taf_hatchgrp_tableraw&amp;yy'!K$3:K$39,'[13]inland_taf_hatchgrp_tableraw&amp;yy'!$AC$3:$AC$39,'2020 Table 10 CWTs exp '!$A51)</f>
        <v>216</v>
      </c>
      <c r="K51" s="38">
        <f>SUMIFS('[13]inland_taf_hatchgrp_tableraw&amp;yy'!L$3:L$39,'[13]inland_taf_hatchgrp_tableraw&amp;yy'!$AC$3:$AC$39,'2020 Table 10 CWTs exp '!$A51)</f>
        <v>43</v>
      </c>
      <c r="L51" s="38">
        <f>SUMIFS('[13]inland_taf_hatchgrp_tableraw&amp;yy'!M$3:M$39,'[13]inland_taf_hatchgrp_tableraw&amp;yy'!$AC$3:$AC$39,'2020 Table 10 CWTs exp '!$A51)</f>
        <v>1289</v>
      </c>
      <c r="M51" s="40">
        <f>SUMIFS('[13]inland_taf_hatchgrp_tableraw&amp;yy'!N$3:N$39,'[13]inland_taf_hatchgrp_tableraw&amp;yy'!$AC$3:$AC$39,'2020 Table 10 CWTs exp '!$A51)</f>
        <v>779</v>
      </c>
      <c r="N51" s="38">
        <f>SUMIFS('[13]inland_taf_hatchgrp_tableraw&amp;yy'!O$3:O$39,'[13]inland_taf_hatchgrp_tableraw&amp;yy'!$AC$3:$AC$39,'2020 Table 10 CWTs exp '!$A51)</f>
        <v>0</v>
      </c>
      <c r="O51" s="40">
        <f>SUMIFS('[13]inland_taf_hatchgrp_tableraw&amp;yy'!P$3:P$39,'[13]inland_taf_hatchgrp_tableraw&amp;yy'!$AC$3:$AC$39,'2020 Table 10 CWTs exp '!$A51)</f>
        <v>0</v>
      </c>
      <c r="P51" s="38">
        <f>SUMIFS('[13]inland_taf_hatchgrp_tableraw&amp;yy'!Q$3:Q$39,'[13]inland_taf_hatchgrp_tableraw&amp;yy'!$AC$3:$AC$39,'2020 Table 10 CWTs exp '!$A51)</f>
        <v>0</v>
      </c>
      <c r="Q51" s="38">
        <f>SUMIFS('[13]inland_taf_hatchgrp_tableraw&amp;yy'!R$3:R$39,'[13]inland_taf_hatchgrp_tableraw&amp;yy'!$AC$3:$AC$39,'2020 Table 10 CWTs exp '!$A51)</f>
        <v>0</v>
      </c>
      <c r="R51" s="38">
        <f>SUMIFS('[13]inland_taf_hatchgrp_tableraw&amp;yy'!S$3:S$39,'[13]inland_taf_hatchgrp_tableraw&amp;yy'!$AC$3:$AC$39,'2020 Table 10 CWTs exp '!$A51)</f>
        <v>11</v>
      </c>
      <c r="S51" s="40">
        <f>SUMIFS('[13]inland_taf_hatchgrp_tableraw&amp;yy'!T$3:T$39,'[13]inland_taf_hatchgrp_tableraw&amp;yy'!$AC$3:$AC$39,'2020 Table 10 CWTs exp '!$A51)</f>
        <v>0</v>
      </c>
      <c r="T51" s="38">
        <f>SUMIFS('[13]inland_taf_hatchgrp_tableraw&amp;yy'!U$3:U$39,'[13]inland_taf_hatchgrp_tableraw&amp;yy'!$AC$3:$AC$39,'2020 Table 10 CWTs exp '!$A51)</f>
        <v>0</v>
      </c>
      <c r="U51" s="40">
        <f>SUMIFS('[13]inland_taf_hatchgrp_tableraw&amp;yy'!V$3:V$39,'[13]inland_taf_hatchgrp_tableraw&amp;yy'!$AC$3:$AC$39,'2020 Table 10 CWTs exp '!$A51)</f>
        <v>0</v>
      </c>
      <c r="V51" s="40">
        <f>SUMIFS('[13]inland_taf_hatchgrp_tableraw&amp;yy'!W$3:W$39,'[13]inland_taf_hatchgrp_tableraw&amp;yy'!$AC$3:$AC$39,'2020 Table 10 CWTs exp '!$A51)</f>
        <v>0</v>
      </c>
      <c r="W51" s="38">
        <f>SUMIFS('[13]inland_taf_hatchgrp_tableraw&amp;yy'!X$3:X$39,'[13]inland_taf_hatchgrp_tableraw&amp;yy'!$AC$3:$AC$39,'2020 Table 10 CWTs exp '!$A51)</f>
        <v>0</v>
      </c>
      <c r="X51" s="41">
        <f>SUMIFS('[13]inland_taf_hatchgrp_tableraw&amp;yy'!Y$3:Y$39,'[13]inland_taf_hatchgrp_tableraw&amp;yy'!$AC$3:$AC$39,'2020 Table 10 CWTs exp '!$A51)</f>
        <v>2338</v>
      </c>
      <c r="Y51" s="42">
        <f>SUMIFS('[13]inland_taf_hatchgrp_tableraw&amp;yy'!Z$3:Z$39,'[13]inland_taf_hatchgrp_tableraw&amp;yy'!$AC$3:$AC$39,'2020 Table 10 CWTs exp '!$A51)</f>
        <v>1030</v>
      </c>
      <c r="Z51" s="38">
        <f>SUMIFS('[13]inland_taf_hatchgrp_tableraw&amp;yy'!AA$3:AA$39,'[13]inland_taf_hatchgrp_tableraw&amp;yy'!$AC$3:$AC$39,'2020 Table 10 CWTs exp '!$A51)</f>
        <v>3368</v>
      </c>
      <c r="AA51" s="44"/>
      <c r="AB51" s="636"/>
      <c r="AC51" s="567">
        <f>SUMIFS('[13]inland_taf_hatchgrp_tableraw&amp;yy'!AB$3:AB$39,'[13]inland_taf_hatchgrp_tableraw&amp;yy'!$AC$3:$AC$39,'2020 Table 10 CWTs exp '!$A51)</f>
        <v>0.69399999999999995</v>
      </c>
      <c r="AD51" s="604" t="str">
        <f t="shared" si="26"/>
        <v>FEA463</v>
      </c>
      <c r="AE51" s="442"/>
      <c r="AF51" s="622">
        <f t="shared" si="27"/>
        <v>0.6941805225653207</v>
      </c>
      <c r="AG51" s="597"/>
      <c r="AH51" s="597"/>
      <c r="AI51" s="599"/>
      <c r="AJ51" s="451"/>
      <c r="AK51" s="451"/>
      <c r="AL51" s="442"/>
      <c r="AM51" s="442"/>
      <c r="AN51" s="442"/>
      <c r="AO51" s="442"/>
      <c r="AP51" s="442"/>
      <c r="AQ51" s="442"/>
      <c r="AR51" s="442"/>
      <c r="AS51" s="442"/>
      <c r="AT51" s="442"/>
      <c r="AU51" s="442"/>
      <c r="AV51" s="442"/>
      <c r="AW51" s="442"/>
      <c r="AX51" s="442"/>
      <c r="AY51" s="442"/>
      <c r="AZ51" s="442"/>
      <c r="BA51" s="442"/>
      <c r="BB51" s="442"/>
      <c r="BC51" s="442"/>
      <c r="BD51" s="442"/>
      <c r="BE51" s="442"/>
      <c r="BF51" s="442"/>
    </row>
    <row r="52" spans="1:58" ht="14.5" customHeight="1" x14ac:dyDescent="0.25">
      <c r="A52" s="50" t="str">
        <f t="shared" si="25"/>
        <v>AMN463</v>
      </c>
      <c r="B52" s="13" t="s">
        <v>118</v>
      </c>
      <c r="C52" s="13">
        <v>46</v>
      </c>
      <c r="D52" s="13">
        <v>3</v>
      </c>
      <c r="E52" s="3" t="s">
        <v>119</v>
      </c>
      <c r="F52" s="43" t="str">
        <f>LOOKUP(D52,$AK$8:$AK$11,$AL$8:$AL$11)</f>
        <v>Fall</v>
      </c>
      <c r="G52" s="38">
        <f>SUMIFS('[13]inland_taf_hatchgrp_tableraw&amp;yy'!G$3:G$39,'[13]inland_taf_hatchgrp_tableraw&amp;yy'!$AC$3:$AC$39,'2020 Table 10 CWTs exp '!$A52)</f>
        <v>0</v>
      </c>
      <c r="H52" s="39">
        <f>SUMIFS('[13]inland_taf_hatchgrp_tableraw&amp;yy'!H$3:H$39,'[13]inland_taf_hatchgrp_tableraw&amp;yy'!$AC$3:$AC$39,'2020 Table 10 CWTs exp '!$A52)</f>
        <v>0</v>
      </c>
      <c r="I52" s="40">
        <f>SUMIFS('[13]inland_taf_hatchgrp_tableraw&amp;yy'!I$3:I$39,'[13]inland_taf_hatchgrp_tableraw&amp;yy'!$AC$3:$AC$39,'2020 Table 10 CWTs exp '!$A52)</f>
        <v>0</v>
      </c>
      <c r="J52" s="38">
        <f>SUMIFS('[13]inland_taf_hatchgrp_tableraw&amp;yy'!K$3:K$39,'[13]inland_taf_hatchgrp_tableraw&amp;yy'!$AC$3:$AC$39,'2020 Table 10 CWTs exp '!$A52)</f>
        <v>0</v>
      </c>
      <c r="K52" s="38">
        <f>SUMIFS('[13]inland_taf_hatchgrp_tableraw&amp;yy'!L$3:L$39,'[13]inland_taf_hatchgrp_tableraw&amp;yy'!$AC$3:$AC$39,'2020 Table 10 CWTs exp '!$A52)</f>
        <v>0</v>
      </c>
      <c r="L52" s="38">
        <f>SUMIFS('[13]inland_taf_hatchgrp_tableraw&amp;yy'!M$3:M$39,'[13]inland_taf_hatchgrp_tableraw&amp;yy'!$AC$3:$AC$39,'2020 Table 10 CWTs exp '!$A52)</f>
        <v>0</v>
      </c>
      <c r="M52" s="40">
        <f>SUMIFS('[13]inland_taf_hatchgrp_tableraw&amp;yy'!N$3:N$39,'[13]inland_taf_hatchgrp_tableraw&amp;yy'!$AC$3:$AC$39,'2020 Table 10 CWTs exp '!$A52)</f>
        <v>97</v>
      </c>
      <c r="N52" s="38">
        <f>SUMIFS('[13]inland_taf_hatchgrp_tableraw&amp;yy'!O$3:O$39,'[13]inland_taf_hatchgrp_tableraw&amp;yy'!$AC$3:$AC$39,'2020 Table 10 CWTs exp '!$A52)</f>
        <v>0</v>
      </c>
      <c r="O52" s="40">
        <f>SUMIFS('[13]inland_taf_hatchgrp_tableraw&amp;yy'!P$3:P$39,'[13]inland_taf_hatchgrp_tableraw&amp;yy'!$AC$3:$AC$39,'2020 Table 10 CWTs exp '!$A52)</f>
        <v>482</v>
      </c>
      <c r="P52" s="38">
        <f>SUMIFS('[13]inland_taf_hatchgrp_tableraw&amp;yy'!Q$3:Q$39,'[13]inland_taf_hatchgrp_tableraw&amp;yy'!$AC$3:$AC$39,'2020 Table 10 CWTs exp '!$A52)</f>
        <v>0</v>
      </c>
      <c r="Q52" s="38">
        <f>SUMIFS('[13]inland_taf_hatchgrp_tableraw&amp;yy'!R$3:R$39,'[13]inland_taf_hatchgrp_tableraw&amp;yy'!$AC$3:$AC$39,'2020 Table 10 CWTs exp '!$A52)</f>
        <v>289</v>
      </c>
      <c r="R52" s="38">
        <f>SUMIFS('[13]inland_taf_hatchgrp_tableraw&amp;yy'!S$3:S$39,'[13]inland_taf_hatchgrp_tableraw&amp;yy'!$AC$3:$AC$39,'2020 Table 10 CWTs exp '!$A52)</f>
        <v>195</v>
      </c>
      <c r="S52" s="40">
        <f>SUMIFS('[13]inland_taf_hatchgrp_tableraw&amp;yy'!T$3:T$39,'[13]inland_taf_hatchgrp_tableraw&amp;yy'!$AC$3:$AC$39,'2020 Table 10 CWTs exp '!$A52)</f>
        <v>0</v>
      </c>
      <c r="T52" s="38">
        <f>SUMIFS('[13]inland_taf_hatchgrp_tableraw&amp;yy'!U$3:U$39,'[13]inland_taf_hatchgrp_tableraw&amp;yy'!$AC$3:$AC$39,'2020 Table 10 CWTs exp '!$A52)</f>
        <v>0</v>
      </c>
      <c r="U52" s="40">
        <f>SUMIFS('[13]inland_taf_hatchgrp_tableraw&amp;yy'!V$3:V$39,'[13]inland_taf_hatchgrp_tableraw&amp;yy'!$AC$3:$AC$39,'2020 Table 10 CWTs exp '!$A52)</f>
        <v>0</v>
      </c>
      <c r="V52" s="40">
        <f>SUMIFS('[13]inland_taf_hatchgrp_tableraw&amp;yy'!W$3:W$39,'[13]inland_taf_hatchgrp_tableraw&amp;yy'!$AC$3:$AC$39,'2020 Table 10 CWTs exp '!$A52)</f>
        <v>0</v>
      </c>
      <c r="W52" s="38">
        <f>SUMIFS('[13]inland_taf_hatchgrp_tableraw&amp;yy'!X$3:X$39,'[13]inland_taf_hatchgrp_tableraw&amp;yy'!$AC$3:$AC$39,'2020 Table 10 CWTs exp '!$A52)</f>
        <v>0</v>
      </c>
      <c r="X52" s="41">
        <f>SUMIFS('[13]inland_taf_hatchgrp_tableraw&amp;yy'!Y$3:Y$39,'[13]inland_taf_hatchgrp_tableraw&amp;yy'!$AC$3:$AC$39,'2020 Table 10 CWTs exp '!$A52)</f>
        <v>1063</v>
      </c>
      <c r="Y52" s="42">
        <f>SUMIFS('[13]inland_taf_hatchgrp_tableraw&amp;yy'!Z$3:Z$39,'[13]inland_taf_hatchgrp_tableraw&amp;yy'!$AC$3:$AC$39,'2020 Table 10 CWTs exp '!$A52)</f>
        <v>975</v>
      </c>
      <c r="Z52" s="38">
        <f>SUMIFS('[13]inland_taf_hatchgrp_tableraw&amp;yy'!AA$3:AA$39,'[13]inland_taf_hatchgrp_tableraw&amp;yy'!$AC$3:$AC$39,'2020 Table 10 CWTs exp '!$A52)</f>
        <v>2038</v>
      </c>
      <c r="AA52" s="44"/>
      <c r="AB52" s="636"/>
      <c r="AC52" s="567">
        <f>SUMIFS('[13]inland_taf_hatchgrp_tableraw&amp;yy'!AB$3:AB$39,'[13]inland_taf_hatchgrp_tableraw&amp;yy'!$AC$3:$AC$39,'2020 Table 10 CWTs exp '!$A52)</f>
        <v>0.52200000000000002</v>
      </c>
      <c r="AD52" s="604" t="str">
        <f t="shared" si="26"/>
        <v>AMN463</v>
      </c>
      <c r="AE52" s="442"/>
      <c r="AF52" s="622">
        <f t="shared" si="27"/>
        <v>0.52158979391560356</v>
      </c>
      <c r="AG52" s="597"/>
      <c r="AH52" s="442"/>
      <c r="AI52" s="451"/>
      <c r="AJ52" s="451"/>
      <c r="AK52" s="451"/>
      <c r="AL52" s="442"/>
      <c r="AM52" s="442"/>
      <c r="AN52" s="442"/>
      <c r="AO52" s="442"/>
      <c r="AP52" s="442"/>
      <c r="AQ52" s="442"/>
      <c r="AR52" s="442"/>
      <c r="AS52" s="442"/>
      <c r="AT52" s="442"/>
      <c r="AU52" s="442"/>
      <c r="AV52" s="442"/>
      <c r="AW52" s="442"/>
      <c r="AX52" s="442"/>
      <c r="AY52" s="442"/>
      <c r="AZ52" s="442"/>
      <c r="BA52" s="442"/>
      <c r="BB52" s="442"/>
      <c r="BC52" s="442"/>
      <c r="BD52" s="442"/>
      <c r="BE52" s="442"/>
      <c r="BF52" s="442"/>
    </row>
    <row r="53" spans="1:58" ht="14.5" customHeight="1" x14ac:dyDescent="0.25">
      <c r="A53" s="50" t="str">
        <f t="shared" si="25"/>
        <v>MOKE463</v>
      </c>
      <c r="B53" s="13" t="s">
        <v>90</v>
      </c>
      <c r="C53" s="13">
        <v>46</v>
      </c>
      <c r="D53" s="13">
        <v>3</v>
      </c>
      <c r="E53" s="3" t="s">
        <v>91</v>
      </c>
      <c r="F53" s="43" t="str">
        <f>LOOKUP(D53,$AK$8:$AK$11,$AL$8:$AL$11)</f>
        <v>Fall</v>
      </c>
      <c r="G53" s="38">
        <f>SUMIFS('[13]inland_taf_hatchgrp_tableraw&amp;yy'!G$3:G$39,'[13]inland_taf_hatchgrp_tableraw&amp;yy'!$AC$3:$AC$39,'2020 Table 10 CWTs exp '!$A53)</f>
        <v>0</v>
      </c>
      <c r="H53" s="39">
        <f>SUMIFS('[13]inland_taf_hatchgrp_tableraw&amp;yy'!H$3:H$39,'[13]inland_taf_hatchgrp_tableraw&amp;yy'!$AC$3:$AC$39,'2020 Table 10 CWTs exp '!$A53)</f>
        <v>0</v>
      </c>
      <c r="I53" s="40">
        <f>SUMIFS('[13]inland_taf_hatchgrp_tableraw&amp;yy'!I$3:I$39,'[13]inland_taf_hatchgrp_tableraw&amp;yy'!$AC$3:$AC$39,'2020 Table 10 CWTs exp '!$A53)</f>
        <v>0</v>
      </c>
      <c r="J53" s="38">
        <f>SUMIFS('[13]inland_taf_hatchgrp_tableraw&amp;yy'!K$3:K$39,'[13]inland_taf_hatchgrp_tableraw&amp;yy'!$AC$3:$AC$39,'2020 Table 10 CWTs exp '!$A53)</f>
        <v>0</v>
      </c>
      <c r="K53" s="38">
        <f>SUMIFS('[13]inland_taf_hatchgrp_tableraw&amp;yy'!L$3:L$39,'[13]inland_taf_hatchgrp_tableraw&amp;yy'!$AC$3:$AC$39,'2020 Table 10 CWTs exp '!$A53)</f>
        <v>0</v>
      </c>
      <c r="L53" s="38">
        <f>SUMIFS('[13]inland_taf_hatchgrp_tableraw&amp;yy'!M$3:M$39,'[13]inland_taf_hatchgrp_tableraw&amp;yy'!$AC$3:$AC$39,'2020 Table 10 CWTs exp '!$A53)</f>
        <v>0</v>
      </c>
      <c r="M53" s="40">
        <f>SUMIFS('[13]inland_taf_hatchgrp_tableraw&amp;yy'!N$3:N$39,'[13]inland_taf_hatchgrp_tableraw&amp;yy'!$AC$3:$AC$39,'2020 Table 10 CWTs exp '!$A53)</f>
        <v>0</v>
      </c>
      <c r="N53" s="38">
        <f>SUMIFS('[13]inland_taf_hatchgrp_tableraw&amp;yy'!O$3:O$39,'[13]inland_taf_hatchgrp_tableraw&amp;yy'!$AC$3:$AC$39,'2020 Table 10 CWTs exp '!$A53)</f>
        <v>0</v>
      </c>
      <c r="O53" s="40">
        <f>SUMIFS('[13]inland_taf_hatchgrp_tableraw&amp;yy'!P$3:P$39,'[13]inland_taf_hatchgrp_tableraw&amp;yy'!$AC$3:$AC$39,'2020 Table 10 CWTs exp '!$A53)</f>
        <v>0</v>
      </c>
      <c r="P53" s="38">
        <f>SUMIFS('[13]inland_taf_hatchgrp_tableraw&amp;yy'!Q$3:Q$39,'[13]inland_taf_hatchgrp_tableraw&amp;yy'!$AC$3:$AC$39,'2020 Table 10 CWTs exp '!$A53)</f>
        <v>0</v>
      </c>
      <c r="Q53" s="38">
        <f>SUMIFS('[13]inland_taf_hatchgrp_tableraw&amp;yy'!R$3:R$39,'[13]inland_taf_hatchgrp_tableraw&amp;yy'!$AC$3:$AC$39,'2020 Table 10 CWTs exp '!$A53)</f>
        <v>98</v>
      </c>
      <c r="R53" s="38">
        <f>SUMIFS('[13]inland_taf_hatchgrp_tableraw&amp;yy'!S$3:S$39,'[13]inland_taf_hatchgrp_tableraw&amp;yy'!$AC$3:$AC$39,'2020 Table 10 CWTs exp '!$A53)</f>
        <v>12</v>
      </c>
      <c r="S53" s="40">
        <f>SUMIFS('[13]inland_taf_hatchgrp_tableraw&amp;yy'!T$3:T$39,'[13]inland_taf_hatchgrp_tableraw&amp;yy'!$AC$3:$AC$39,'2020 Table 10 CWTs exp '!$A53)</f>
        <v>0</v>
      </c>
      <c r="T53" s="38">
        <f>SUMIFS('[13]inland_taf_hatchgrp_tableraw&amp;yy'!U$3:U$39,'[13]inland_taf_hatchgrp_tableraw&amp;yy'!$AC$3:$AC$39,'2020 Table 10 CWTs exp '!$A53)</f>
        <v>0</v>
      </c>
      <c r="U53" s="40">
        <f>SUMIFS('[13]inland_taf_hatchgrp_tableraw&amp;yy'!V$3:V$39,'[13]inland_taf_hatchgrp_tableraw&amp;yy'!$AC$3:$AC$39,'2020 Table 10 CWTs exp '!$A53)</f>
        <v>0</v>
      </c>
      <c r="V53" s="40">
        <f>SUMIFS('[13]inland_taf_hatchgrp_tableraw&amp;yy'!W$3:W$39,'[13]inland_taf_hatchgrp_tableraw&amp;yy'!$AC$3:$AC$39,'2020 Table 10 CWTs exp '!$A53)</f>
        <v>0</v>
      </c>
      <c r="W53" s="38">
        <f>SUMIFS('[13]inland_taf_hatchgrp_tableraw&amp;yy'!X$3:X$39,'[13]inland_taf_hatchgrp_tableraw&amp;yy'!$AC$3:$AC$39,'2020 Table 10 CWTs exp '!$A53)</f>
        <v>0</v>
      </c>
      <c r="X53" s="41">
        <f>SUMIFS('[13]inland_taf_hatchgrp_tableraw&amp;yy'!Y$3:Y$39,'[13]inland_taf_hatchgrp_tableraw&amp;yy'!$AC$3:$AC$39,'2020 Table 10 CWTs exp '!$A53)</f>
        <v>110</v>
      </c>
      <c r="Y53" s="42">
        <f>SUMIFS('[13]inland_taf_hatchgrp_tableraw&amp;yy'!Z$3:Z$39,'[13]inland_taf_hatchgrp_tableraw&amp;yy'!$AC$3:$AC$39,'2020 Table 10 CWTs exp '!$A53)</f>
        <v>73</v>
      </c>
      <c r="Z53" s="38">
        <f>SUMIFS('[13]inland_taf_hatchgrp_tableraw&amp;yy'!AA$3:AA$39,'[13]inland_taf_hatchgrp_tableraw&amp;yy'!$AC$3:$AC$39,'2020 Table 10 CWTs exp '!$A53)</f>
        <v>183</v>
      </c>
      <c r="AA53" s="44"/>
      <c r="AB53" s="636"/>
      <c r="AC53" s="567">
        <f>SUMIFS('[13]inland_taf_hatchgrp_tableraw&amp;yy'!AB$3:AB$39,'[13]inland_taf_hatchgrp_tableraw&amp;yy'!$AC$3:$AC$39,'2020 Table 10 CWTs exp '!$A53)</f>
        <v>0.60099999999999998</v>
      </c>
      <c r="AD53" s="604" t="str">
        <f t="shared" si="26"/>
        <v>MOKE463</v>
      </c>
      <c r="AE53" s="442"/>
      <c r="AF53" s="622">
        <f t="shared" si="27"/>
        <v>0.60109289617486339</v>
      </c>
      <c r="AG53" s="597"/>
      <c r="AH53" s="442"/>
      <c r="AI53" s="451"/>
      <c r="AJ53" s="451"/>
      <c r="AK53" s="451"/>
      <c r="AL53" s="442"/>
      <c r="AM53" s="442"/>
      <c r="AN53" s="442"/>
      <c r="AO53" s="442"/>
      <c r="AP53" s="442"/>
      <c r="AQ53" s="442"/>
      <c r="AR53" s="442"/>
      <c r="AS53" s="442"/>
      <c r="AT53" s="442"/>
      <c r="AU53" s="442"/>
      <c r="AV53" s="442"/>
      <c r="AW53" s="442"/>
      <c r="AX53" s="442"/>
      <c r="AY53" s="442"/>
      <c r="AZ53" s="442"/>
      <c r="BA53" s="442"/>
      <c r="BB53" s="442"/>
      <c r="BC53" s="442"/>
      <c r="BD53" s="442"/>
      <c r="BE53" s="442"/>
      <c r="BF53" s="442"/>
    </row>
    <row r="54" spans="1:58" ht="14.5" customHeight="1" x14ac:dyDescent="0.25">
      <c r="A54" s="50" t="str">
        <f t="shared" si="25"/>
        <v>USAC467</v>
      </c>
      <c r="B54" s="13" t="s">
        <v>64</v>
      </c>
      <c r="C54" s="13">
        <v>46</v>
      </c>
      <c r="D54" s="13">
        <v>7</v>
      </c>
      <c r="E54" s="3" t="s">
        <v>114</v>
      </c>
      <c r="F54" s="37" t="s">
        <v>49</v>
      </c>
      <c r="G54" s="38">
        <f>SUMIFS('[13]inland_taf_hatchgrp_tableraw&amp;yy'!G$3:G$39,'[13]inland_taf_hatchgrp_tableraw&amp;yy'!$AC$3:$AC$39,'2020 Table 10 CWTs exp '!$A54)</f>
        <v>44</v>
      </c>
      <c r="H54" s="39">
        <f>SUMIFS('[13]inland_taf_hatchgrp_tableraw&amp;yy'!H$3:H$39,'[13]inland_taf_hatchgrp_tableraw&amp;yy'!$AC$3:$AC$39,'2020 Table 10 CWTs exp '!$A54)</f>
        <v>237</v>
      </c>
      <c r="I54" s="40">
        <f>SUMIFS('[13]inland_taf_hatchgrp_tableraw&amp;yy'!I$3:I$39,'[13]inland_taf_hatchgrp_tableraw&amp;yy'!$AC$3:$AC$39,'2020 Table 10 CWTs exp '!$A54)</f>
        <v>0</v>
      </c>
      <c r="J54" s="38">
        <f>SUMIFS('[13]inland_taf_hatchgrp_tableraw&amp;yy'!K$3:K$39,'[13]inland_taf_hatchgrp_tableraw&amp;yy'!$AC$3:$AC$39,'2020 Table 10 CWTs exp '!$A54)</f>
        <v>0</v>
      </c>
      <c r="K54" s="38">
        <f>SUMIFS('[13]inland_taf_hatchgrp_tableraw&amp;yy'!L$3:L$39,'[13]inland_taf_hatchgrp_tableraw&amp;yy'!$AC$3:$AC$39,'2020 Table 10 CWTs exp '!$A54)</f>
        <v>0</v>
      </c>
      <c r="L54" s="38">
        <f>SUMIFS('[13]inland_taf_hatchgrp_tableraw&amp;yy'!M$3:M$39,'[13]inland_taf_hatchgrp_tableraw&amp;yy'!$AC$3:$AC$39,'2020 Table 10 CWTs exp '!$A54)</f>
        <v>0</v>
      </c>
      <c r="M54" s="40">
        <f>SUMIFS('[13]inland_taf_hatchgrp_tableraw&amp;yy'!N$3:N$39,'[13]inland_taf_hatchgrp_tableraw&amp;yy'!$AC$3:$AC$39,'2020 Table 10 CWTs exp '!$A54)</f>
        <v>0</v>
      </c>
      <c r="N54" s="38">
        <f>SUMIFS('[13]inland_taf_hatchgrp_tableraw&amp;yy'!O$3:O$39,'[13]inland_taf_hatchgrp_tableraw&amp;yy'!$AC$3:$AC$39,'2020 Table 10 CWTs exp '!$A54)</f>
        <v>0</v>
      </c>
      <c r="O54" s="40">
        <f>SUMIFS('[13]inland_taf_hatchgrp_tableraw&amp;yy'!P$3:P$39,'[13]inland_taf_hatchgrp_tableraw&amp;yy'!$AC$3:$AC$39,'2020 Table 10 CWTs exp '!$A54)</f>
        <v>0</v>
      </c>
      <c r="P54" s="38">
        <f>SUMIFS('[13]inland_taf_hatchgrp_tableraw&amp;yy'!Q$3:Q$39,'[13]inland_taf_hatchgrp_tableraw&amp;yy'!$AC$3:$AC$39,'2020 Table 10 CWTs exp '!$A54)</f>
        <v>0</v>
      </c>
      <c r="Q54" s="38">
        <f>SUMIFS('[13]inland_taf_hatchgrp_tableraw&amp;yy'!R$3:R$39,'[13]inland_taf_hatchgrp_tableraw&amp;yy'!$AC$3:$AC$39,'2020 Table 10 CWTs exp '!$A54)</f>
        <v>0</v>
      </c>
      <c r="R54" s="38">
        <f>SUMIFS('[13]inland_taf_hatchgrp_tableraw&amp;yy'!S$3:S$39,'[13]inland_taf_hatchgrp_tableraw&amp;yy'!$AC$3:$AC$39,'2020 Table 10 CWTs exp '!$A54)</f>
        <v>0</v>
      </c>
      <c r="S54" s="40">
        <f>SUMIFS('[13]inland_taf_hatchgrp_tableraw&amp;yy'!T$3:T$39,'[13]inland_taf_hatchgrp_tableraw&amp;yy'!$AC$3:$AC$39,'2020 Table 10 CWTs exp '!$A54)</f>
        <v>0</v>
      </c>
      <c r="T54" s="38">
        <f>SUMIFS('[13]inland_taf_hatchgrp_tableraw&amp;yy'!U$3:U$39,'[13]inland_taf_hatchgrp_tableraw&amp;yy'!$AC$3:$AC$39,'2020 Table 10 CWTs exp '!$A54)</f>
        <v>0</v>
      </c>
      <c r="U54" s="40">
        <f>SUMIFS('[13]inland_taf_hatchgrp_tableraw&amp;yy'!V$3:V$39,'[13]inland_taf_hatchgrp_tableraw&amp;yy'!$AC$3:$AC$39,'2020 Table 10 CWTs exp '!$A54)</f>
        <v>0</v>
      </c>
      <c r="V54" s="40">
        <f>SUMIFS('[13]inland_taf_hatchgrp_tableraw&amp;yy'!W$3:W$39,'[13]inland_taf_hatchgrp_tableraw&amp;yy'!$AC$3:$AC$39,'2020 Table 10 CWTs exp '!$A54)</f>
        <v>0</v>
      </c>
      <c r="W54" s="38">
        <f>SUMIFS('[13]inland_taf_hatchgrp_tableraw&amp;yy'!X$3:X$39,'[13]inland_taf_hatchgrp_tableraw&amp;yy'!$AC$3:$AC$39,'2020 Table 10 CWTs exp '!$A54)</f>
        <v>0</v>
      </c>
      <c r="X54" s="41">
        <f>SUMIFS('[13]inland_taf_hatchgrp_tableraw&amp;yy'!Y$3:Y$39,'[13]inland_taf_hatchgrp_tableraw&amp;yy'!$AC$3:$AC$39,'2020 Table 10 CWTs exp '!$A54)</f>
        <v>281</v>
      </c>
      <c r="Y54" s="42">
        <f>SUMIFS('[13]inland_taf_hatchgrp_tableraw&amp;yy'!Z$3:Z$39,'[13]inland_taf_hatchgrp_tableraw&amp;yy'!$AC$3:$AC$39,'2020 Table 10 CWTs exp '!$A54)</f>
        <v>157</v>
      </c>
      <c r="Z54" s="38">
        <f>SUMIFS('[13]inland_taf_hatchgrp_tableraw&amp;yy'!AA$3:AA$39,'[13]inland_taf_hatchgrp_tableraw&amp;yy'!$AC$3:$AC$39,'2020 Table 10 CWTs exp '!$A54)</f>
        <v>438</v>
      </c>
      <c r="AA54" s="44"/>
      <c r="AB54" s="636"/>
      <c r="AC54" s="567">
        <f>SUMIFS('[13]inland_taf_hatchgrp_tableraw&amp;yy'!AB$3:AB$39,'[13]inland_taf_hatchgrp_tableraw&amp;yy'!$AC$3:$AC$39,'2020 Table 10 CWTs exp '!$A54)</f>
        <v>0.64200000000000002</v>
      </c>
      <c r="AD54" s="604" t="str">
        <f t="shared" si="26"/>
        <v>USAC467</v>
      </c>
      <c r="AE54" s="444"/>
      <c r="AF54" s="622">
        <f t="shared" si="27"/>
        <v>0.64155251141552516</v>
      </c>
      <c r="AG54" s="606"/>
      <c r="AH54" s="442"/>
      <c r="AI54" s="451"/>
      <c r="AJ54" s="451"/>
      <c r="AK54" s="451"/>
      <c r="AL54" s="442"/>
      <c r="AM54" s="442"/>
      <c r="AN54" s="442"/>
      <c r="AO54" s="442"/>
      <c r="AP54" s="442"/>
      <c r="AQ54" s="442"/>
      <c r="AR54" s="442"/>
      <c r="AS54" s="442"/>
      <c r="AT54" s="442"/>
      <c r="AU54" s="442"/>
      <c r="AV54" s="442"/>
      <c r="AW54" s="442"/>
      <c r="AX54" s="442"/>
      <c r="AY54" s="442"/>
      <c r="AZ54" s="442"/>
      <c r="BA54" s="442"/>
      <c r="BB54" s="442"/>
      <c r="BC54" s="442"/>
      <c r="BD54" s="442"/>
      <c r="BE54" s="442"/>
      <c r="BF54" s="442"/>
    </row>
    <row r="55" spans="1:58" ht="14.15" customHeight="1" x14ac:dyDescent="0.3">
      <c r="A55" s="50"/>
      <c r="B55" s="13"/>
      <c r="C55" s="13"/>
      <c r="D55" s="13"/>
      <c r="E55" s="3"/>
      <c r="F55" s="88" t="s">
        <v>120</v>
      </c>
      <c r="G55" s="104">
        <f>SUM(G49:G54)</f>
        <v>83</v>
      </c>
      <c r="H55" s="105">
        <f>SUM(H49:H54)</f>
        <v>385</v>
      </c>
      <c r="I55" s="106">
        <f t="shared" ref="I55:Z55" si="28">SUM(I49:I54)</f>
        <v>3811</v>
      </c>
      <c r="J55" s="94">
        <f t="shared" si="28"/>
        <v>216</v>
      </c>
      <c r="K55" s="94">
        <f t="shared" si="28"/>
        <v>70</v>
      </c>
      <c r="L55" s="94">
        <f t="shared" si="28"/>
        <v>3562</v>
      </c>
      <c r="M55" s="106">
        <f t="shared" si="28"/>
        <v>1458</v>
      </c>
      <c r="N55" s="94">
        <f t="shared" si="28"/>
        <v>0</v>
      </c>
      <c r="O55" s="106">
        <f t="shared" si="28"/>
        <v>1664</v>
      </c>
      <c r="P55" s="94">
        <f t="shared" si="28"/>
        <v>0</v>
      </c>
      <c r="Q55" s="94">
        <f t="shared" si="28"/>
        <v>522</v>
      </c>
      <c r="R55" s="94">
        <f t="shared" si="28"/>
        <v>272</v>
      </c>
      <c r="S55" s="106">
        <f t="shared" si="28"/>
        <v>107</v>
      </c>
      <c r="T55" s="94">
        <f t="shared" si="28"/>
        <v>0</v>
      </c>
      <c r="U55" s="106">
        <f t="shared" si="28"/>
        <v>143</v>
      </c>
      <c r="V55" s="106">
        <f t="shared" si="28"/>
        <v>0</v>
      </c>
      <c r="W55" s="94">
        <f t="shared" si="28"/>
        <v>0</v>
      </c>
      <c r="X55" s="92">
        <f t="shared" si="28"/>
        <v>12293</v>
      </c>
      <c r="Y55" s="107">
        <f t="shared" si="28"/>
        <v>4565</v>
      </c>
      <c r="Z55" s="89">
        <f t="shared" si="28"/>
        <v>16858</v>
      </c>
      <c r="AA55" s="44"/>
      <c r="AB55" s="636"/>
      <c r="AC55" s="445">
        <f>X55/Z55</f>
        <v>0.72920868430418795</v>
      </c>
      <c r="AD55" s="642">
        <f t="shared" si="26"/>
        <v>0</v>
      </c>
      <c r="AE55" s="643">
        <f>SUM(X49:X54)</f>
        <v>12293</v>
      </c>
      <c r="AF55" s="644">
        <f>SUM(Y49:Y54)</f>
        <v>4565</v>
      </c>
      <c r="AG55" s="644">
        <f>SUM(Z49:Z54)</f>
        <v>16858</v>
      </c>
      <c r="AH55" s="645"/>
      <c r="AI55" s="451"/>
      <c r="AJ55" s="451"/>
      <c r="AK55" s="451"/>
      <c r="AL55" s="442"/>
      <c r="AM55" s="442"/>
      <c r="AN55" s="442"/>
      <c r="AO55" s="442"/>
      <c r="AP55" s="442"/>
      <c r="AQ55" s="442"/>
      <c r="AR55" s="442"/>
      <c r="AS55" s="442"/>
      <c r="AT55" s="442"/>
      <c r="AU55" s="442"/>
      <c r="AV55" s="442"/>
      <c r="AW55" s="442"/>
      <c r="AX55" s="442"/>
      <c r="AY55" s="442"/>
      <c r="AZ55" s="442"/>
      <c r="BA55" s="442"/>
      <c r="BB55" s="442"/>
      <c r="BC55" s="442"/>
      <c r="BD55" s="442"/>
      <c r="BE55" s="442"/>
      <c r="BF55" s="442"/>
    </row>
    <row r="56" spans="1:58" ht="2.9" customHeight="1" x14ac:dyDescent="0.3">
      <c r="A56" s="50"/>
      <c r="B56" s="11"/>
      <c r="C56" s="11"/>
      <c r="D56" s="11"/>
      <c r="E56" s="110"/>
      <c r="F56" s="110"/>
      <c r="G56" s="111"/>
      <c r="H56" s="112"/>
      <c r="I56" s="111"/>
      <c r="J56" s="111"/>
      <c r="K56" s="111"/>
      <c r="L56" s="111"/>
      <c r="M56" s="113"/>
      <c r="N56" s="111"/>
      <c r="O56" s="113"/>
      <c r="P56" s="111"/>
      <c r="Q56" s="111"/>
      <c r="R56" s="111"/>
      <c r="S56" s="113"/>
      <c r="T56" s="111"/>
      <c r="U56" s="113"/>
      <c r="V56" s="113"/>
      <c r="W56" s="111"/>
      <c r="X56" s="114"/>
      <c r="Y56" s="115"/>
      <c r="Z56" s="111"/>
      <c r="AA56" s="1"/>
      <c r="AB56" s="451"/>
      <c r="AC56" s="451"/>
      <c r="AD56" s="451"/>
      <c r="AE56" s="442"/>
      <c r="AF56" s="597"/>
      <c r="AG56" s="597"/>
      <c r="AH56" s="442"/>
      <c r="AI56" s="451"/>
      <c r="AJ56" s="451"/>
      <c r="AK56" s="451"/>
      <c r="AL56" s="442"/>
      <c r="AM56" s="442"/>
      <c r="AN56" s="442"/>
      <c r="AO56" s="442"/>
      <c r="AP56" s="442"/>
      <c r="AQ56" s="442"/>
      <c r="AR56" s="442"/>
      <c r="AS56" s="442"/>
      <c r="AT56" s="442"/>
      <c r="AU56" s="442"/>
      <c r="AV56" s="442"/>
      <c r="AW56" s="442"/>
      <c r="AX56" s="442"/>
      <c r="AY56" s="442"/>
      <c r="AZ56" s="442"/>
      <c r="BA56" s="442"/>
      <c r="BB56" s="442"/>
      <c r="BC56" s="442"/>
      <c r="BD56" s="442"/>
      <c r="BE56" s="442"/>
      <c r="BF56" s="442"/>
    </row>
    <row r="57" spans="1:58" s="47" customFormat="1" ht="14.25" customHeight="1" x14ac:dyDescent="0.25">
      <c r="A57" s="36"/>
      <c r="B57" s="48"/>
      <c r="C57" s="48"/>
      <c r="D57" s="48"/>
      <c r="E57" s="186" t="s">
        <v>151</v>
      </c>
      <c r="F57" s="187"/>
      <c r="G57" s="187"/>
      <c r="H57" s="187"/>
      <c r="I57" s="187"/>
      <c r="J57" s="187"/>
      <c r="K57" s="187"/>
      <c r="L57" s="187"/>
      <c r="M57" s="187"/>
      <c r="N57" s="187"/>
      <c r="O57" s="187"/>
      <c r="P57" s="187"/>
      <c r="Q57" s="187"/>
      <c r="R57" s="187"/>
      <c r="S57" s="187"/>
      <c r="T57" s="187"/>
      <c r="U57" s="187"/>
      <c r="V57" s="187"/>
      <c r="W57" s="187"/>
      <c r="X57" s="187"/>
      <c r="Y57" s="187"/>
      <c r="Z57" s="187"/>
      <c r="AA57" s="159"/>
      <c r="AB57" s="595"/>
      <c r="AC57" s="615"/>
      <c r="AD57" s="615"/>
      <c r="AE57" s="594"/>
      <c r="AF57" s="616"/>
      <c r="AG57" s="616"/>
      <c r="AH57" s="594"/>
      <c r="AI57" s="601"/>
      <c r="AJ57" s="601"/>
      <c r="AK57" s="601"/>
      <c r="AL57" s="594"/>
      <c r="AM57" s="594"/>
      <c r="AN57" s="594"/>
      <c r="AO57" s="594"/>
      <c r="AP57" s="594"/>
      <c r="AQ57" s="594"/>
      <c r="AR57" s="594"/>
      <c r="AS57" s="594"/>
      <c r="AT57" s="594"/>
      <c r="AU57" s="594"/>
      <c r="AV57" s="594"/>
      <c r="AW57" s="594"/>
      <c r="AX57" s="594"/>
      <c r="AY57" s="594"/>
      <c r="AZ57" s="594"/>
      <c r="BA57" s="594"/>
      <c r="BB57" s="594"/>
      <c r="BC57" s="594"/>
      <c r="BD57" s="594"/>
      <c r="BE57" s="594"/>
      <c r="BF57" s="594"/>
    </row>
    <row r="58" spans="1:58" s="47" customFormat="1" ht="14.25" customHeight="1" x14ac:dyDescent="0.25">
      <c r="A58" s="116"/>
      <c r="B58" s="117"/>
      <c r="C58" s="48"/>
      <c r="D58" s="48"/>
      <c r="E58" s="27" t="s">
        <v>152</v>
      </c>
      <c r="F58" s="27"/>
      <c r="G58" s="27"/>
      <c r="H58" s="27"/>
      <c r="I58" s="27"/>
      <c r="J58" s="27"/>
      <c r="K58" s="27"/>
      <c r="L58" s="27"/>
      <c r="M58" s="27"/>
      <c r="N58" s="27"/>
      <c r="O58" s="27"/>
      <c r="P58" s="27"/>
      <c r="Q58" s="27"/>
      <c r="R58" s="27"/>
      <c r="S58" s="27"/>
      <c r="T58" s="27"/>
      <c r="U58" s="27"/>
      <c r="V58" s="27"/>
      <c r="W58" s="27"/>
      <c r="X58" s="118"/>
      <c r="Y58" s="27"/>
      <c r="Z58" s="27"/>
      <c r="AA58" s="27"/>
      <c r="AB58" s="594"/>
      <c r="AC58" s="646">
        <f>SUM(X49:X53)</f>
        <v>12012</v>
      </c>
      <c r="AD58" s="646">
        <f>SUM(Z49:Z53)</f>
        <v>16420</v>
      </c>
      <c r="AE58" s="647" t="s">
        <v>123</v>
      </c>
      <c r="AF58" s="618"/>
      <c r="AG58" s="618"/>
      <c r="AH58" s="594"/>
      <c r="AI58" s="601"/>
      <c r="AJ58" s="601"/>
      <c r="AK58" s="601"/>
      <c r="AL58" s="594"/>
      <c r="AM58" s="594"/>
      <c r="AN58" s="594"/>
      <c r="AO58" s="594"/>
      <c r="AP58" s="594"/>
      <c r="AQ58" s="594"/>
      <c r="AR58" s="594"/>
      <c r="AS58" s="594"/>
      <c r="AT58" s="594"/>
      <c r="AU58" s="594"/>
      <c r="AV58" s="594"/>
      <c r="AW58" s="594"/>
      <c r="AX58" s="594"/>
      <c r="AY58" s="594"/>
      <c r="AZ58" s="594"/>
      <c r="BA58" s="594"/>
      <c r="BB58" s="594"/>
      <c r="BC58" s="594"/>
      <c r="BD58" s="594"/>
      <c r="BE58" s="594"/>
      <c r="BF58" s="594"/>
    </row>
    <row r="59" spans="1:58" s="47" customFormat="1" ht="14.25" customHeight="1" x14ac:dyDescent="0.25">
      <c r="A59" s="116"/>
      <c r="B59" s="48"/>
      <c r="C59" s="48"/>
      <c r="D59" s="48"/>
      <c r="E59" s="27" t="s">
        <v>124</v>
      </c>
      <c r="F59" s="27"/>
      <c r="G59" s="27"/>
      <c r="H59" s="27"/>
      <c r="I59" s="27"/>
      <c r="J59" s="27"/>
      <c r="K59" s="27"/>
      <c r="L59" s="27"/>
      <c r="M59" s="27"/>
      <c r="N59" s="27"/>
      <c r="O59" s="27"/>
      <c r="P59" s="27"/>
      <c r="Q59" s="27"/>
      <c r="R59" s="27"/>
      <c r="S59" s="27"/>
      <c r="T59" s="27"/>
      <c r="U59" s="27"/>
      <c r="V59" s="27"/>
      <c r="W59" s="27"/>
      <c r="X59" s="27"/>
      <c r="Y59" s="27"/>
      <c r="Z59" s="27"/>
      <c r="AA59" s="27"/>
      <c r="AB59" s="594"/>
      <c r="AC59" s="594"/>
      <c r="AD59" s="594"/>
      <c r="AE59" s="594"/>
      <c r="AF59" s="594"/>
      <c r="AG59" s="594"/>
      <c r="AH59" s="594"/>
      <c r="AI59" s="601"/>
      <c r="AJ59" s="601"/>
      <c r="AK59" s="601"/>
      <c r="AL59" s="594"/>
      <c r="AM59" s="594"/>
      <c r="AN59" s="594"/>
      <c r="AO59" s="594"/>
      <c r="AP59" s="594"/>
      <c r="AQ59" s="594"/>
      <c r="AR59" s="594"/>
      <c r="AS59" s="594"/>
      <c r="AT59" s="594"/>
      <c r="AU59" s="594"/>
      <c r="AV59" s="594"/>
      <c r="AW59" s="594"/>
      <c r="AX59" s="594"/>
      <c r="AY59" s="594"/>
      <c r="AZ59" s="594"/>
      <c r="BA59" s="594"/>
      <c r="BB59" s="594"/>
      <c r="BC59" s="594"/>
      <c r="BD59" s="594"/>
      <c r="BE59" s="594"/>
      <c r="BF59" s="594"/>
    </row>
    <row r="60" spans="1:58" s="47" customFormat="1" ht="14.25" customHeight="1" x14ac:dyDescent="0.25">
      <c r="A60" s="116"/>
      <c r="B60" s="48"/>
      <c r="C60" s="48"/>
      <c r="D60" s="48"/>
      <c r="F60" s="34"/>
      <c r="G60" s="34"/>
      <c r="H60" s="27"/>
      <c r="I60" s="27"/>
      <c r="J60" s="27"/>
      <c r="K60" s="27"/>
      <c r="L60" s="27"/>
      <c r="M60" s="27"/>
      <c r="N60" s="27"/>
      <c r="O60" s="27"/>
      <c r="P60" s="27"/>
      <c r="Q60" s="27"/>
      <c r="R60" s="27"/>
      <c r="S60" s="27"/>
      <c r="T60" s="27"/>
      <c r="U60" s="27"/>
      <c r="V60" s="27"/>
      <c r="W60" s="27"/>
      <c r="X60" s="27"/>
      <c r="Y60" s="27"/>
      <c r="Z60" s="27"/>
      <c r="AA60" s="27"/>
      <c r="AB60" s="594"/>
      <c r="AC60" s="617"/>
      <c r="AD60" s="617"/>
      <c r="AE60" s="617"/>
      <c r="AF60" s="617"/>
      <c r="AG60" s="617"/>
      <c r="AH60" s="594"/>
      <c r="AI60" s="601"/>
      <c r="AJ60" s="601"/>
      <c r="AK60" s="601"/>
      <c r="AL60" s="594"/>
      <c r="AM60" s="594"/>
      <c r="AN60" s="594"/>
      <c r="AO60" s="594"/>
      <c r="AP60" s="594"/>
      <c r="AQ60" s="594"/>
      <c r="AR60" s="594"/>
      <c r="AS60" s="594"/>
      <c r="AT60" s="594"/>
      <c r="AU60" s="594"/>
      <c r="AV60" s="594"/>
      <c r="AW60" s="594"/>
      <c r="AX60" s="594"/>
      <c r="AY60" s="594"/>
      <c r="AZ60" s="594"/>
      <c r="BA60" s="594"/>
      <c r="BB60" s="594"/>
      <c r="BC60" s="594"/>
      <c r="BD60" s="594"/>
      <c r="BE60" s="594"/>
      <c r="BF60" s="594"/>
    </row>
    <row r="61" spans="1:58" x14ac:dyDescent="0.25">
      <c r="A61" s="15"/>
      <c r="AB61" s="442"/>
      <c r="AC61" s="442"/>
      <c r="AD61" s="442"/>
      <c r="AE61" s="442"/>
      <c r="AF61" s="442"/>
      <c r="AG61" s="442"/>
      <c r="AH61" s="442"/>
      <c r="AI61" s="451"/>
      <c r="AJ61" s="451"/>
      <c r="AK61" s="451"/>
      <c r="AL61" s="442"/>
      <c r="AM61" s="442"/>
      <c r="AN61" s="442"/>
      <c r="AO61" s="442"/>
      <c r="AP61" s="442"/>
      <c r="AQ61" s="442"/>
      <c r="AR61" s="442"/>
      <c r="AS61" s="442"/>
      <c r="AT61" s="442"/>
      <c r="AU61" s="442"/>
      <c r="AV61" s="442"/>
      <c r="AW61" s="442"/>
      <c r="AX61" s="442"/>
      <c r="AY61" s="442"/>
      <c r="AZ61" s="442"/>
      <c r="BA61" s="442"/>
      <c r="BB61" s="442"/>
      <c r="BC61" s="442"/>
      <c r="BD61" s="442"/>
      <c r="BE61" s="442"/>
      <c r="BF61" s="442"/>
    </row>
    <row r="62" spans="1:58" x14ac:dyDescent="0.25">
      <c r="A62" s="15"/>
      <c r="AB62" s="442"/>
      <c r="AC62" s="442"/>
      <c r="AD62" s="442"/>
      <c r="AE62" s="442"/>
      <c r="AF62" s="442"/>
      <c r="AG62" s="442"/>
      <c r="AH62" s="442"/>
      <c r="AI62" s="451"/>
      <c r="AJ62" s="451"/>
      <c r="AK62" s="451"/>
      <c r="AL62" s="442"/>
      <c r="AM62" s="442"/>
      <c r="AN62" s="442"/>
      <c r="AO62" s="442" t="s">
        <v>126</v>
      </c>
      <c r="AP62" s="442"/>
      <c r="AQ62" s="442"/>
      <c r="AR62" s="442" t="s">
        <v>127</v>
      </c>
      <c r="AS62" s="442"/>
      <c r="AT62" s="442"/>
      <c r="AU62" s="442"/>
      <c r="AV62" s="442"/>
      <c r="AW62" s="442"/>
      <c r="AX62" s="442"/>
      <c r="AY62" s="442"/>
      <c r="AZ62" s="442"/>
      <c r="BA62" s="442"/>
      <c r="BB62" s="442"/>
      <c r="BC62" s="442"/>
      <c r="BD62" s="442"/>
      <c r="BE62" s="442"/>
      <c r="BF62" s="442"/>
    </row>
    <row r="63" spans="1:58" x14ac:dyDescent="0.25">
      <c r="A63" s="15"/>
      <c r="X63" s="14"/>
      <c r="Z63" s="14"/>
      <c r="AB63" s="442"/>
      <c r="AC63" s="445"/>
      <c r="AD63" s="445"/>
      <c r="AE63" s="445"/>
      <c r="AF63" s="442"/>
      <c r="AG63" s="442"/>
      <c r="AH63" s="442"/>
      <c r="AI63" s="451"/>
      <c r="AJ63" s="451"/>
      <c r="AK63" s="451"/>
      <c r="AL63" s="442"/>
      <c r="AM63" s="442"/>
      <c r="AN63" s="442"/>
      <c r="AO63" s="442"/>
      <c r="AP63" s="442"/>
      <c r="AQ63" s="442"/>
      <c r="AR63" s="442"/>
      <c r="AS63" s="442"/>
      <c r="AT63" s="442"/>
      <c r="AU63" s="442"/>
      <c r="AV63" s="442"/>
      <c r="AW63" s="442"/>
      <c r="AX63" s="442"/>
      <c r="AY63" s="442"/>
      <c r="AZ63" s="442"/>
      <c r="BA63" s="442"/>
      <c r="BB63" s="442"/>
      <c r="BC63" s="442"/>
      <c r="BD63" s="442"/>
      <c r="BE63" s="442"/>
      <c r="BF63" s="442"/>
    </row>
    <row r="64" spans="1:58" ht="4.5" customHeight="1" x14ac:dyDescent="0.3">
      <c r="A64" s="15"/>
      <c r="F64" s="119"/>
      <c r="G64" s="120"/>
      <c r="H64" s="741"/>
      <c r="I64" s="741"/>
      <c r="J64" s="741"/>
      <c r="K64" s="744"/>
      <c r="L64" s="744"/>
      <c r="M64" s="744"/>
      <c r="N64" s="744"/>
      <c r="O64" s="744"/>
      <c r="P64" s="741"/>
      <c r="Q64" s="741"/>
      <c r="R64" s="122"/>
      <c r="S64" s="123"/>
      <c r="T64" s="122"/>
      <c r="U64" s="741"/>
      <c r="V64" s="741"/>
      <c r="W64" s="124"/>
      <c r="X64" s="742"/>
      <c r="Y64" s="742"/>
      <c r="Z64" s="126"/>
      <c r="AB64" s="442"/>
      <c r="AC64" s="442"/>
      <c r="AD64" s="442"/>
      <c r="AE64" s="442"/>
      <c r="AF64" s="442"/>
      <c r="AG64" s="442"/>
      <c r="AH64" s="442"/>
      <c r="AI64" s="451"/>
      <c r="AJ64" s="451"/>
      <c r="AK64" s="451"/>
      <c r="AL64" s="442"/>
      <c r="AM64" s="442"/>
      <c r="AN64" s="442"/>
      <c r="AO64" s="442"/>
      <c r="AP64" s="442"/>
      <c r="AQ64" s="442"/>
      <c r="AR64" s="442"/>
      <c r="AS64" s="442"/>
      <c r="AT64" s="442"/>
      <c r="AU64" s="442"/>
      <c r="AV64" s="442"/>
      <c r="AW64" s="442"/>
      <c r="AX64" s="442"/>
      <c r="AY64" s="442"/>
      <c r="AZ64" s="442"/>
      <c r="BA64" s="442"/>
      <c r="BB64" s="442"/>
      <c r="BC64" s="442"/>
      <c r="BD64" s="442"/>
      <c r="BE64" s="442"/>
      <c r="BF64" s="442"/>
    </row>
    <row r="65" spans="1:58" ht="17.5" customHeight="1" x14ac:dyDescent="0.3">
      <c r="A65" s="15"/>
      <c r="F65" s="119"/>
      <c r="G65" s="120"/>
      <c r="H65" s="120"/>
      <c r="I65" s="120"/>
      <c r="J65" s="120"/>
      <c r="K65" s="121"/>
      <c r="L65" s="121"/>
      <c r="M65" s="121"/>
      <c r="N65" s="121"/>
      <c r="O65" s="121"/>
      <c r="P65" s="120"/>
      <c r="Q65" s="120"/>
      <c r="R65" s="122"/>
      <c r="S65" s="123"/>
      <c r="T65" s="122"/>
      <c r="U65" s="120"/>
      <c r="V65" s="120"/>
      <c r="W65" s="124"/>
      <c r="X65" s="125"/>
      <c r="Y65" s="125"/>
      <c r="Z65" s="126"/>
      <c r="AB65" s="442"/>
      <c r="AC65" s="442"/>
      <c r="AD65" s="442"/>
      <c r="AE65" s="442"/>
      <c r="AF65" s="442"/>
      <c r="AG65" s="442"/>
      <c r="AH65" s="442"/>
      <c r="AI65" s="451"/>
      <c r="AJ65" s="451"/>
      <c r="AK65" s="451"/>
      <c r="AL65" s="442"/>
      <c r="AM65" s="442"/>
      <c r="AN65" s="442"/>
      <c r="AO65" s="442"/>
      <c r="AP65" s="442"/>
      <c r="AQ65" s="442"/>
      <c r="AR65" s="442"/>
      <c r="AS65" s="442"/>
      <c r="AT65" s="442"/>
      <c r="AU65" s="442"/>
      <c r="AV65" s="442"/>
      <c r="AW65" s="442"/>
      <c r="AX65" s="442"/>
      <c r="AY65" s="613"/>
      <c r="AZ65" s="442"/>
      <c r="BA65" s="442"/>
      <c r="BB65" s="442"/>
      <c r="BC65" s="442"/>
      <c r="BD65" s="442"/>
      <c r="BE65" s="442"/>
      <c r="BF65" s="442"/>
    </row>
    <row r="66" spans="1:58" x14ac:dyDescent="0.25">
      <c r="A66" s="15"/>
      <c r="E66" s="128" t="s">
        <v>128</v>
      </c>
      <c r="F66" s="129"/>
      <c r="G66" s="130"/>
      <c r="H66" s="131"/>
      <c r="I66" s="131"/>
      <c r="J66" s="131"/>
      <c r="K66" s="131"/>
      <c r="L66" s="132"/>
      <c r="M66" s="132"/>
      <c r="N66" s="132"/>
      <c r="O66" s="132"/>
      <c r="P66" s="132"/>
      <c r="Q66" s="132"/>
      <c r="R66" s="132"/>
      <c r="S66" s="132"/>
      <c r="T66" s="132"/>
      <c r="U66" s="132"/>
      <c r="V66" s="132"/>
      <c r="W66" s="133"/>
      <c r="X66" s="132"/>
      <c r="Y66" s="132"/>
      <c r="AB66" s="442"/>
      <c r="AC66" s="442"/>
      <c r="AD66" s="442"/>
      <c r="AE66" s="442"/>
      <c r="AF66" s="442"/>
      <c r="AG66" s="442"/>
      <c r="AH66" s="442"/>
      <c r="AI66" s="451"/>
      <c r="AJ66" s="451"/>
      <c r="AK66" s="451"/>
      <c r="AL66" s="442"/>
      <c r="AM66" s="442"/>
      <c r="AN66" s="442"/>
      <c r="AO66" s="442"/>
      <c r="AP66" s="442"/>
      <c r="AQ66" s="442"/>
      <c r="AR66" s="442"/>
      <c r="AS66" s="442"/>
      <c r="AT66" s="442"/>
      <c r="AU66" s="442"/>
      <c r="AV66" s="442"/>
      <c r="AW66" s="442"/>
      <c r="AX66" s="442"/>
      <c r="AY66" s="442"/>
      <c r="AZ66" s="442"/>
      <c r="BA66" s="442"/>
      <c r="BB66" s="442"/>
      <c r="BC66" s="442"/>
      <c r="BD66" s="442"/>
      <c r="BE66" s="442"/>
      <c r="BF66" s="442"/>
    </row>
    <row r="67" spans="1:58" x14ac:dyDescent="0.25">
      <c r="A67" s="15"/>
      <c r="H67" s="134"/>
      <c r="I67" s="134"/>
      <c r="AB67" s="442"/>
      <c r="AC67" s="442"/>
      <c r="AD67" s="442"/>
      <c r="AE67" s="442"/>
      <c r="AF67" s="442"/>
      <c r="AG67" s="442"/>
      <c r="AH67" s="442"/>
      <c r="AI67" s="451"/>
      <c r="AJ67" s="451"/>
      <c r="AK67" s="451"/>
      <c r="AL67" s="442"/>
      <c r="AM67" s="442"/>
      <c r="AN67" s="442"/>
      <c r="AO67" s="442"/>
      <c r="AP67" s="442"/>
      <c r="AQ67" s="442"/>
      <c r="AR67" s="442"/>
      <c r="AS67" s="442"/>
      <c r="AT67" s="442"/>
      <c r="AU67" s="442"/>
      <c r="AV67" s="442"/>
      <c r="AW67" s="442"/>
      <c r="AX67" s="442"/>
      <c r="AY67" s="442"/>
      <c r="AZ67" s="442"/>
      <c r="BA67" s="442"/>
      <c r="BB67" s="442"/>
      <c r="BC67" s="442"/>
      <c r="BD67" s="442"/>
      <c r="BE67" s="442"/>
      <c r="BF67" s="442"/>
    </row>
    <row r="68" spans="1:58" ht="20.9" customHeight="1" x14ac:dyDescent="0.25">
      <c r="A68" s="15"/>
      <c r="AA68" s="77"/>
      <c r="AB68" s="447"/>
      <c r="AC68" s="444"/>
      <c r="AD68" s="444"/>
      <c r="AE68" s="442"/>
      <c r="AF68" s="442"/>
      <c r="AG68" s="442"/>
      <c r="AH68" s="442"/>
      <c r="AI68" s="451"/>
      <c r="AJ68" s="451"/>
      <c r="AK68" s="451"/>
      <c r="AL68" s="442"/>
      <c r="AM68" s="442"/>
      <c r="AN68" s="442"/>
      <c r="AO68" s="442"/>
      <c r="AP68" s="442"/>
      <c r="AQ68" s="442"/>
      <c r="AR68" s="442"/>
      <c r="AS68" s="442"/>
      <c r="AT68" s="442"/>
      <c r="AU68" s="442"/>
      <c r="AV68" s="442"/>
      <c r="AW68" s="442"/>
      <c r="AX68" s="442"/>
      <c r="AY68" s="442"/>
      <c r="AZ68" s="442"/>
      <c r="BA68" s="442"/>
      <c r="BB68" s="442"/>
      <c r="BC68" s="442"/>
      <c r="BD68" s="442"/>
      <c r="BE68" s="442"/>
      <c r="BF68" s="442"/>
    </row>
    <row r="69" spans="1:58" x14ac:dyDescent="0.25">
      <c r="A69" s="15"/>
      <c r="AA69" s="78"/>
      <c r="AB69" s="650"/>
      <c r="AC69" s="442"/>
      <c r="AD69" s="442"/>
      <c r="AE69" s="442"/>
      <c r="AF69" s="442"/>
      <c r="AG69" s="442"/>
      <c r="AH69" s="442"/>
      <c r="AI69" s="451"/>
      <c r="AJ69" s="451"/>
      <c r="AK69" s="451"/>
      <c r="AL69" s="442"/>
      <c r="AM69" s="442"/>
      <c r="AN69" s="442"/>
      <c r="AO69" s="442"/>
      <c r="AP69" s="442"/>
      <c r="AQ69" s="442"/>
      <c r="AR69" s="442"/>
      <c r="AS69" s="442"/>
      <c r="AT69" s="442"/>
      <c r="AU69" s="442"/>
      <c r="AV69" s="442"/>
      <c r="AW69" s="442"/>
      <c r="AX69" s="442"/>
      <c r="AY69" s="442"/>
      <c r="AZ69" s="442"/>
      <c r="BA69" s="442"/>
      <c r="BB69" s="442"/>
      <c r="BC69" s="442"/>
      <c r="BD69" s="442"/>
      <c r="BE69" s="442"/>
      <c r="BF69" s="442"/>
    </row>
    <row r="70" spans="1:58" x14ac:dyDescent="0.25">
      <c r="A70" s="15"/>
      <c r="AB70" s="442"/>
      <c r="AC70" s="442"/>
      <c r="AD70" s="442"/>
      <c r="AE70" s="442"/>
      <c r="AF70" s="442"/>
      <c r="AG70" s="442"/>
      <c r="AH70" s="442"/>
      <c r="AI70" s="451"/>
      <c r="AJ70" s="451"/>
      <c r="AK70" s="451"/>
      <c r="AL70" s="442"/>
      <c r="AM70" s="442"/>
      <c r="AN70" s="442"/>
      <c r="AO70" s="442"/>
      <c r="AP70" s="442"/>
      <c r="AQ70" s="442"/>
      <c r="AR70" s="442"/>
      <c r="AS70" s="442"/>
      <c r="AT70" s="442"/>
      <c r="AU70" s="442"/>
      <c r="AV70" s="442"/>
      <c r="AW70" s="442"/>
      <c r="AX70" s="442"/>
      <c r="AY70" s="442"/>
      <c r="AZ70" s="442"/>
      <c r="BA70" s="442"/>
      <c r="BB70" s="442"/>
      <c r="BC70" s="442"/>
      <c r="BD70" s="442"/>
      <c r="BE70" s="442"/>
      <c r="BF70" s="442"/>
    </row>
    <row r="71" spans="1:58" x14ac:dyDescent="0.25">
      <c r="A71" s="15"/>
      <c r="AB71" s="442"/>
      <c r="AC71" s="442"/>
      <c r="AD71" s="442"/>
      <c r="AE71" s="442"/>
      <c r="AF71" s="442"/>
      <c r="AG71" s="442"/>
      <c r="AH71" s="442"/>
      <c r="AI71" s="451"/>
      <c r="AJ71" s="451"/>
      <c r="AK71" s="451"/>
      <c r="AL71" s="442"/>
      <c r="AM71" s="442"/>
      <c r="AN71" s="442"/>
      <c r="AO71" s="442"/>
      <c r="AP71" s="442"/>
      <c r="AQ71" s="442"/>
      <c r="AR71" s="442"/>
      <c r="AS71" s="442"/>
      <c r="AT71" s="442"/>
      <c r="AU71" s="442"/>
      <c r="AV71" s="442"/>
      <c r="AW71" s="442"/>
      <c r="AX71" s="442"/>
      <c r="AY71" s="442"/>
      <c r="AZ71" s="442"/>
      <c r="BA71" s="442"/>
      <c r="BB71" s="442"/>
      <c r="BC71" s="442"/>
      <c r="BD71" s="442"/>
      <c r="BE71" s="442"/>
      <c r="BF71" s="442"/>
    </row>
    <row r="72" spans="1:58" ht="20.9" customHeight="1" x14ac:dyDescent="0.25">
      <c r="A72" s="15"/>
      <c r="F72" s="135"/>
      <c r="G72" s="136"/>
      <c r="H72" s="136"/>
      <c r="I72" s="137"/>
      <c r="J72" s="136"/>
      <c r="K72" s="136"/>
      <c r="L72" s="136"/>
      <c r="M72" s="136"/>
      <c r="N72" s="136"/>
      <c r="O72" s="136"/>
      <c r="P72" s="136"/>
      <c r="Q72" s="136"/>
      <c r="R72" s="136"/>
      <c r="S72" s="136"/>
      <c r="T72" s="136"/>
      <c r="U72" s="136"/>
      <c r="V72" s="136"/>
      <c r="W72" s="136"/>
      <c r="X72" s="136"/>
      <c r="Y72" s="136"/>
      <c r="Z72" s="136"/>
      <c r="AB72" s="442"/>
      <c r="AC72" s="442"/>
      <c r="AD72" s="442"/>
      <c r="AE72" s="442"/>
      <c r="AF72" s="442"/>
      <c r="AG72" s="442"/>
      <c r="AH72" s="442"/>
      <c r="AI72" s="451"/>
      <c r="AJ72" s="451"/>
      <c r="AK72" s="451"/>
      <c r="AL72" s="442"/>
      <c r="AM72" s="442"/>
      <c r="AN72" s="442"/>
      <c r="AO72" s="442"/>
      <c r="AP72" s="442"/>
      <c r="AQ72" s="442"/>
      <c r="AR72" s="442"/>
      <c r="AS72" s="442"/>
      <c r="AT72" s="442"/>
      <c r="AU72" s="442"/>
      <c r="AV72" s="442"/>
      <c r="AW72" s="442"/>
      <c r="AX72" s="442"/>
      <c r="AY72" s="442"/>
      <c r="AZ72" s="442"/>
      <c r="BA72" s="442"/>
      <c r="BB72" s="442"/>
      <c r="BC72" s="442"/>
      <c r="BD72" s="442"/>
      <c r="BE72" s="442"/>
      <c r="BF72" s="442"/>
    </row>
    <row r="73" spans="1:58" x14ac:dyDescent="0.25">
      <c r="A73" s="15"/>
      <c r="F73" s="135"/>
      <c r="G73" s="138"/>
      <c r="H73" s="138"/>
      <c r="I73" s="138"/>
      <c r="J73" s="138"/>
      <c r="K73" s="138"/>
      <c r="L73" s="138"/>
      <c r="M73" s="138"/>
      <c r="N73" s="138"/>
      <c r="O73" s="138"/>
      <c r="P73" s="138"/>
      <c r="Q73" s="138"/>
      <c r="R73" s="138"/>
      <c r="S73" s="138"/>
      <c r="T73" s="138"/>
      <c r="U73" s="138"/>
      <c r="V73" s="138"/>
      <c r="W73" s="138"/>
      <c r="X73" s="138"/>
      <c r="AB73" s="442"/>
      <c r="AC73" s="442"/>
      <c r="AD73" s="442"/>
      <c r="AE73" s="442"/>
      <c r="AF73" s="442"/>
      <c r="AG73" s="442"/>
      <c r="AH73" s="442"/>
      <c r="AI73" s="451"/>
      <c r="AJ73" s="451"/>
      <c r="AK73" s="451"/>
      <c r="AL73" s="442"/>
      <c r="AM73" s="442"/>
      <c r="AN73" s="442"/>
      <c r="AO73" s="442"/>
      <c r="AP73" s="442"/>
      <c r="AQ73" s="442"/>
      <c r="AR73" s="442"/>
      <c r="AS73" s="442"/>
      <c r="AT73" s="442"/>
      <c r="AU73" s="442"/>
      <c r="AV73" s="442"/>
      <c r="AW73" s="442"/>
      <c r="AX73" s="442"/>
      <c r="AY73" s="442"/>
      <c r="AZ73" s="442"/>
      <c r="BA73" s="442"/>
      <c r="BB73" s="442"/>
      <c r="BC73" s="442"/>
      <c r="BD73" s="442"/>
      <c r="BE73" s="442"/>
      <c r="BF73" s="442"/>
    </row>
    <row r="74" spans="1:58" ht="20.9" customHeight="1" x14ac:dyDescent="0.25">
      <c r="A74" s="15"/>
      <c r="AB74" s="442"/>
      <c r="AC74" s="442"/>
      <c r="AD74" s="442"/>
      <c r="AE74" s="442"/>
      <c r="AF74" s="442"/>
      <c r="AG74" s="442"/>
      <c r="AH74" s="442"/>
      <c r="AI74" s="451"/>
      <c r="AJ74" s="451"/>
      <c r="AK74" s="451"/>
      <c r="AL74" s="442"/>
      <c r="AM74" s="442"/>
      <c r="AN74" s="442"/>
      <c r="AO74" s="442"/>
      <c r="AP74" s="442"/>
      <c r="AQ74" s="442"/>
      <c r="AR74" s="442"/>
      <c r="AS74" s="442"/>
      <c r="AT74" s="442"/>
      <c r="AU74" s="442"/>
      <c r="AV74" s="442"/>
      <c r="AW74" s="442"/>
      <c r="AX74" s="442"/>
      <c r="AY74" s="442"/>
      <c r="AZ74" s="442"/>
      <c r="BA74" s="442"/>
      <c r="BB74" s="442"/>
      <c r="BC74" s="442"/>
      <c r="BD74" s="442"/>
      <c r="BE74" s="442"/>
      <c r="BF74" s="442"/>
    </row>
    <row r="75" spans="1:58" x14ac:dyDescent="0.25">
      <c r="AB75" s="442"/>
      <c r="AC75" s="442"/>
      <c r="AD75" s="442"/>
      <c r="AE75" s="442"/>
      <c r="AF75" s="442"/>
      <c r="AG75" s="442"/>
      <c r="AH75" s="442"/>
      <c r="AI75" s="451"/>
      <c r="AJ75" s="451"/>
      <c r="AK75" s="451"/>
      <c r="AL75" s="442"/>
      <c r="AM75" s="442"/>
      <c r="AN75" s="442"/>
      <c r="AO75" s="442"/>
      <c r="AP75" s="442"/>
      <c r="AQ75" s="442"/>
      <c r="AR75" s="442"/>
      <c r="AS75" s="442"/>
      <c r="AT75" s="442"/>
      <c r="AU75" s="442"/>
      <c r="AV75" s="442"/>
      <c r="AW75" s="442"/>
      <c r="AX75" s="442"/>
      <c r="AY75" s="442"/>
      <c r="AZ75" s="442"/>
      <c r="BA75" s="442"/>
      <c r="BB75" s="442"/>
      <c r="BC75" s="442"/>
      <c r="BD75" s="442"/>
      <c r="BE75" s="442"/>
      <c r="BF75" s="442"/>
    </row>
    <row r="76" spans="1:58" x14ac:dyDescent="0.25">
      <c r="AB76" s="442"/>
      <c r="AC76" s="442"/>
      <c r="AD76" s="442"/>
      <c r="AE76" s="442"/>
      <c r="AF76" s="442"/>
      <c r="AG76" s="442"/>
      <c r="AH76" s="442"/>
      <c r="AI76" s="451"/>
      <c r="AJ76" s="451"/>
      <c r="AK76" s="451"/>
      <c r="AL76" s="442"/>
      <c r="AM76" s="442"/>
      <c r="AN76" s="442"/>
      <c r="AO76" s="442"/>
      <c r="AP76" s="442"/>
      <c r="AQ76" s="442"/>
      <c r="AR76" s="442"/>
      <c r="AS76" s="442"/>
      <c r="AT76" s="442"/>
      <c r="AU76" s="442"/>
      <c r="AV76" s="442"/>
      <c r="AW76" s="442"/>
      <c r="AX76" s="442"/>
      <c r="AY76" s="442"/>
      <c r="AZ76" s="442"/>
      <c r="BA76" s="442"/>
      <c r="BB76" s="442"/>
      <c r="BC76" s="442"/>
      <c r="BD76" s="442"/>
      <c r="BE76" s="442"/>
      <c r="BF76" s="442"/>
    </row>
    <row r="77" spans="1:58" ht="20.9" customHeight="1" x14ac:dyDescent="0.25">
      <c r="AB77" s="442"/>
      <c r="AC77" s="442"/>
      <c r="AD77" s="442"/>
      <c r="AE77" s="442"/>
      <c r="AF77" s="442"/>
      <c r="AG77" s="442"/>
      <c r="AH77" s="442"/>
      <c r="AI77" s="451"/>
      <c r="AJ77" s="451"/>
      <c r="AK77" s="451"/>
      <c r="AL77" s="442"/>
      <c r="AM77" s="442"/>
      <c r="AN77" s="442"/>
      <c r="AO77" s="442"/>
      <c r="AP77" s="442"/>
      <c r="AQ77" s="442"/>
      <c r="AR77" s="442"/>
      <c r="AS77" s="442"/>
      <c r="AT77" s="442"/>
      <c r="AU77" s="442"/>
      <c r="AV77" s="442"/>
      <c r="AW77" s="442"/>
      <c r="AX77" s="442"/>
      <c r="AY77" s="442"/>
      <c r="AZ77" s="442"/>
      <c r="BA77" s="442"/>
      <c r="BB77" s="442"/>
      <c r="BC77" s="442"/>
      <c r="BD77" s="442"/>
      <c r="BE77" s="442"/>
      <c r="BF77" s="442"/>
    </row>
    <row r="78" spans="1:58" x14ac:dyDescent="0.25">
      <c r="AB78" s="442"/>
      <c r="AC78" s="442"/>
      <c r="AD78" s="442"/>
      <c r="AE78" s="442"/>
      <c r="AF78" s="442"/>
      <c r="AG78" s="442"/>
      <c r="AH78" s="442"/>
      <c r="AI78" s="451"/>
      <c r="AJ78" s="451"/>
      <c r="AK78" s="451"/>
      <c r="AL78" s="442"/>
      <c r="AM78" s="442"/>
      <c r="AN78" s="442"/>
      <c r="AO78" s="442"/>
      <c r="AP78" s="442"/>
      <c r="AQ78" s="442"/>
      <c r="AR78" s="442"/>
      <c r="AS78" s="442"/>
      <c r="AT78" s="442"/>
      <c r="AU78" s="442"/>
      <c r="AV78" s="442"/>
      <c r="AW78" s="442"/>
      <c r="AX78" s="442"/>
      <c r="AY78" s="442"/>
      <c r="AZ78" s="442"/>
      <c r="BA78" s="442"/>
      <c r="BB78" s="442"/>
      <c r="BC78" s="442"/>
      <c r="BD78" s="442"/>
      <c r="BE78" s="442"/>
      <c r="BF78" s="442"/>
    </row>
    <row r="79" spans="1:58" ht="20.9" customHeight="1" x14ac:dyDescent="0.25">
      <c r="AB79" s="442"/>
      <c r="AC79" s="442"/>
      <c r="AD79" s="442"/>
      <c r="AE79" s="442"/>
      <c r="AF79" s="442"/>
      <c r="AG79" s="442"/>
      <c r="AH79" s="442"/>
      <c r="AI79" s="451"/>
      <c r="AJ79" s="451"/>
      <c r="AK79" s="451"/>
      <c r="AL79" s="442"/>
      <c r="AM79" s="442"/>
      <c r="AN79" s="442"/>
      <c r="AO79" s="442"/>
      <c r="AP79" s="442"/>
      <c r="AQ79" s="442"/>
      <c r="AR79" s="442"/>
      <c r="AS79" s="442"/>
      <c r="AT79" s="442"/>
      <c r="AU79" s="442"/>
      <c r="AV79" s="442"/>
      <c r="AW79" s="442"/>
      <c r="AX79" s="442"/>
      <c r="AY79" s="442"/>
      <c r="AZ79" s="442"/>
      <c r="BA79" s="442"/>
      <c r="BB79" s="442"/>
      <c r="BC79" s="442"/>
      <c r="BD79" s="442"/>
      <c r="BE79" s="442"/>
      <c r="BF79" s="442"/>
    </row>
    <row r="80" spans="1:58" x14ac:dyDescent="0.25">
      <c r="AB80" s="442"/>
      <c r="AC80" s="442"/>
      <c r="AD80" s="442"/>
      <c r="AE80" s="442"/>
      <c r="AF80" s="442"/>
      <c r="AG80" s="442"/>
      <c r="AH80" s="442"/>
      <c r="AI80" s="451"/>
      <c r="AJ80" s="451"/>
      <c r="AK80" s="451"/>
      <c r="AL80" s="442"/>
      <c r="AM80" s="442"/>
      <c r="AN80" s="442"/>
      <c r="AO80" s="442"/>
      <c r="AP80" s="442"/>
      <c r="AQ80" s="442"/>
      <c r="AR80" s="442"/>
      <c r="AS80" s="442"/>
      <c r="AT80" s="442"/>
      <c r="AU80" s="442"/>
      <c r="AV80" s="442"/>
      <c r="AW80" s="442"/>
      <c r="AX80" s="442"/>
      <c r="AY80" s="442"/>
      <c r="AZ80" s="442"/>
      <c r="BA80" s="442"/>
      <c r="BB80" s="442"/>
      <c r="BC80" s="442"/>
      <c r="BD80" s="442"/>
      <c r="BE80" s="442"/>
      <c r="BF80" s="442"/>
    </row>
    <row r="81" spans="6:58" ht="20.9" customHeight="1" x14ac:dyDescent="0.25">
      <c r="AB81" s="442"/>
      <c r="AC81" s="442"/>
      <c r="AD81" s="442"/>
      <c r="AE81" s="442"/>
      <c r="AF81" s="442"/>
      <c r="AG81" s="442"/>
      <c r="AH81" s="442"/>
      <c r="AI81" s="451"/>
      <c r="AJ81" s="451"/>
      <c r="AK81" s="451"/>
      <c r="AL81" s="442"/>
      <c r="AM81" s="442"/>
      <c r="AN81" s="442"/>
      <c r="AO81" s="442"/>
      <c r="AP81" s="442"/>
      <c r="AQ81" s="442"/>
      <c r="AR81" s="442"/>
      <c r="AS81" s="442"/>
      <c r="AT81" s="442"/>
      <c r="AU81" s="442"/>
      <c r="AV81" s="442"/>
      <c r="AW81" s="442"/>
      <c r="AX81" s="442"/>
      <c r="AY81" s="442"/>
      <c r="AZ81" s="442"/>
      <c r="BA81" s="442"/>
      <c r="BB81" s="442"/>
      <c r="BC81" s="442"/>
      <c r="BD81" s="442"/>
      <c r="BE81" s="442"/>
      <c r="BF81" s="442"/>
    </row>
    <row r="82" spans="6:58" ht="15" customHeight="1" x14ac:dyDescent="0.25">
      <c r="AB82" s="442"/>
      <c r="AC82" s="442"/>
      <c r="AD82" s="442"/>
      <c r="AE82" s="442"/>
      <c r="AF82" s="442"/>
      <c r="AG82" s="442"/>
      <c r="AH82" s="442"/>
      <c r="AI82" s="451"/>
      <c r="AJ82" s="451"/>
      <c r="AK82" s="451"/>
      <c r="AL82" s="442"/>
      <c r="AM82" s="442"/>
      <c r="AN82" s="442"/>
      <c r="AO82" s="442"/>
      <c r="AP82" s="442"/>
      <c r="AQ82" s="442"/>
      <c r="AR82" s="442"/>
      <c r="AS82" s="442"/>
      <c r="AT82" s="442"/>
      <c r="AU82" s="442"/>
      <c r="AV82" s="442"/>
      <c r="AW82" s="442"/>
      <c r="AX82" s="442"/>
      <c r="AY82" s="442"/>
      <c r="AZ82" s="442"/>
      <c r="BA82" s="442"/>
      <c r="BB82" s="442"/>
      <c r="BC82" s="442"/>
      <c r="BD82" s="442"/>
      <c r="BE82" s="442"/>
      <c r="BF82" s="442"/>
    </row>
    <row r="83" spans="6:58" ht="21" customHeight="1" x14ac:dyDescent="0.25"/>
    <row r="84" spans="6:58" ht="21" customHeight="1" x14ac:dyDescent="0.25"/>
    <row r="85" spans="6:58" x14ac:dyDescent="0.25">
      <c r="AB85" s="442"/>
      <c r="AC85" s="442"/>
      <c r="AD85" s="442"/>
      <c r="AE85" s="442"/>
      <c r="AF85" s="442"/>
      <c r="AG85" s="442"/>
    </row>
    <row r="86" spans="6:58" x14ac:dyDescent="0.25">
      <c r="AB86" s="442"/>
      <c r="AC86" s="442" t="s">
        <v>129</v>
      </c>
      <c r="AD86" s="442"/>
      <c r="AE86" s="442" t="s">
        <v>38</v>
      </c>
      <c r="AF86" s="442"/>
      <c r="AG86" s="442"/>
    </row>
    <row r="87" spans="6:58" x14ac:dyDescent="0.25">
      <c r="F87" s="4"/>
      <c r="H87" s="4"/>
      <c r="I87" s="4"/>
      <c r="AB87" s="442"/>
      <c r="AC87" s="442"/>
      <c r="AD87" s="442"/>
      <c r="AE87" s="442" t="s">
        <v>130</v>
      </c>
      <c r="AF87" s="442"/>
      <c r="AG87" s="442"/>
    </row>
    <row r="88" spans="6:58" x14ac:dyDescent="0.25">
      <c r="G88"/>
      <c r="AB88" s="442"/>
      <c r="AC88" s="442"/>
      <c r="AD88" s="442"/>
      <c r="AE88" s="442" t="s">
        <v>9</v>
      </c>
      <c r="AF88" s="442"/>
      <c r="AG88" s="442"/>
    </row>
    <row r="89" spans="6:58" x14ac:dyDescent="0.25">
      <c r="G89"/>
      <c r="AB89" s="442"/>
      <c r="AC89" s="442"/>
      <c r="AD89" s="442"/>
      <c r="AE89" s="442"/>
      <c r="AF89" s="442"/>
      <c r="AG89" s="442"/>
      <c r="AJ89"/>
      <c r="AL89" s="1"/>
    </row>
    <row r="90" spans="6:58" x14ac:dyDescent="0.25">
      <c r="G90"/>
      <c r="AB90" s="442"/>
      <c r="AC90" s="442"/>
      <c r="AD90" s="442"/>
      <c r="AE90" s="442"/>
      <c r="AF90" s="442"/>
      <c r="AG90" s="442"/>
    </row>
    <row r="91" spans="6:58" x14ac:dyDescent="0.25">
      <c r="G91"/>
    </row>
    <row r="92" spans="6:58" x14ac:dyDescent="0.25">
      <c r="G92"/>
    </row>
    <row r="93" spans="6:58" x14ac:dyDescent="0.25">
      <c r="G93"/>
    </row>
    <row r="94" spans="6:58" ht="21" customHeight="1" x14ac:dyDescent="0.25">
      <c r="G94"/>
    </row>
    <row r="95" spans="6:58" x14ac:dyDescent="0.25">
      <c r="G95"/>
    </row>
    <row r="96" spans="6:58" x14ac:dyDescent="0.25">
      <c r="G96"/>
    </row>
    <row r="97" spans="7:31" x14ac:dyDescent="0.25">
      <c r="G97"/>
    </row>
    <row r="98" spans="7:31" ht="20.9" customHeight="1" x14ac:dyDescent="0.25">
      <c r="G98"/>
    </row>
    <row r="99" spans="7:31" x14ac:dyDescent="0.25">
      <c r="G99"/>
    </row>
    <row r="100" spans="7:31" ht="21" customHeight="1" x14ac:dyDescent="0.25">
      <c r="G100"/>
    </row>
    <row r="101" spans="7:31" x14ac:dyDescent="0.25">
      <c r="G101"/>
    </row>
    <row r="102" spans="7:31" x14ac:dyDescent="0.25">
      <c r="G102"/>
    </row>
    <row r="103" spans="7:31" ht="21" customHeight="1" x14ac:dyDescent="0.25">
      <c r="G103"/>
    </row>
    <row r="105" spans="7:31" ht="21" customHeight="1" x14ac:dyDescent="0.25"/>
    <row r="107" spans="7:31" ht="21" customHeight="1" x14ac:dyDescent="0.25"/>
    <row r="110" spans="7:31" x14ac:dyDescent="0.25">
      <c r="AE110" s="3"/>
    </row>
    <row r="111" spans="7:31" x14ac:dyDescent="0.25">
      <c r="AE111" s="3"/>
    </row>
    <row r="112" spans="7:31" x14ac:dyDescent="0.25">
      <c r="AE112" s="3" t="s">
        <v>9</v>
      </c>
    </row>
  </sheetData>
  <mergeCells count="14">
    <mergeCell ref="X3:Y3"/>
    <mergeCell ref="E18:F18"/>
    <mergeCell ref="E42:F42"/>
    <mergeCell ref="H64:I64"/>
    <mergeCell ref="J64:O64"/>
    <mergeCell ref="P64:Q64"/>
    <mergeCell ref="U64:V64"/>
    <mergeCell ref="X64:Y64"/>
    <mergeCell ref="H3:I3"/>
    <mergeCell ref="J3:M3"/>
    <mergeCell ref="N3:O3"/>
    <mergeCell ref="P3:S3"/>
    <mergeCell ref="T3:U3"/>
    <mergeCell ref="W3:W4"/>
  </mergeCells>
  <pageMargins left="0.5" right="0.25" top="0.5" bottom="0.25" header="0.3" footer="0.3"/>
  <pageSetup scale="72" fitToHeight="0" orientation="landscape"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B6773-C350-4A42-83FD-22BC91AB7791}">
  <sheetPr>
    <pageSetUpPr fitToPage="1"/>
  </sheetPr>
  <dimension ref="A2:AY68"/>
  <sheetViews>
    <sheetView showGridLines="0" topLeftCell="A40" zoomScale="90" zoomScaleNormal="90" zoomScaleSheetLayoutView="90" workbookViewId="0">
      <selection activeCell="E58" sqref="E58:AB58"/>
    </sheetView>
  </sheetViews>
  <sheetFormatPr defaultRowHeight="12.5" x14ac:dyDescent="0.25"/>
  <cols>
    <col min="1" max="1" width="10.54296875" customWidth="1"/>
    <col min="2" max="4" width="0.453125" customWidth="1"/>
    <col min="5" max="5" width="28.7265625" customWidth="1"/>
    <col min="6" max="6" width="7.54296875" style="1" customWidth="1"/>
    <col min="7" max="7" width="7.1796875" style="1" customWidth="1"/>
    <col min="8" max="9" width="7.1796875" customWidth="1"/>
    <col min="10" max="10" width="7.1796875" hidden="1" customWidth="1"/>
    <col min="11" max="18" width="7.1796875" customWidth="1"/>
    <col min="19" max="20" width="7.54296875" customWidth="1"/>
    <col min="21" max="23" width="7.1796875" customWidth="1"/>
    <col min="24" max="24" width="6.26953125" customWidth="1"/>
    <col min="25" max="26" width="9" customWidth="1"/>
    <col min="27" max="27" width="10.81640625" customWidth="1"/>
    <col min="28" max="28" width="1.453125" customWidth="1"/>
  </cols>
  <sheetData>
    <row r="2" spans="1:51" ht="21.75" customHeight="1" x14ac:dyDescent="0.25">
      <c r="E2" s="2" t="s">
        <v>131</v>
      </c>
    </row>
    <row r="3" spans="1:51" ht="17.899999999999999" customHeight="1" x14ac:dyDescent="0.3">
      <c r="E3" s="6"/>
      <c r="F3" s="7"/>
      <c r="G3" s="8"/>
      <c r="H3" s="727" t="str">
        <f>'[14]Table 10 CWTs exp'!H3:J3</f>
        <v>CFH</v>
      </c>
      <c r="I3" s="727"/>
      <c r="J3" s="727"/>
      <c r="K3" s="727" t="str">
        <f>'[14]Table 10 CWTs exp'!K3:P3</f>
        <v>FRH</v>
      </c>
      <c r="L3" s="727"/>
      <c r="M3" s="727"/>
      <c r="N3" s="727"/>
      <c r="O3" s="727" t="str">
        <f>'[14]Table 10 CWTs exp'!O3:P3</f>
        <v>NIM</v>
      </c>
      <c r="P3" s="727"/>
      <c r="Q3" s="727" t="str">
        <f>'[14]Table 10 CWTs exp'!Q3:R3</f>
        <v>MOK</v>
      </c>
      <c r="R3" s="727"/>
      <c r="S3" s="727"/>
      <c r="T3" s="727"/>
      <c r="U3" s="727" t="str">
        <f>'[14]Table 10 CWTs exp'!U3:V3</f>
        <v>MER</v>
      </c>
      <c r="V3" s="727"/>
      <c r="W3" s="9" t="str">
        <f>'[14]Table 10 CWTs exp'!W3</f>
        <v>SJO</v>
      </c>
      <c r="X3" s="747" t="str">
        <f>'[14]Table 10 CWTs exp'!X3</f>
        <v>Non-CV</v>
      </c>
      <c r="Y3" s="729" t="s">
        <v>132</v>
      </c>
      <c r="Z3" s="730"/>
      <c r="AA3" s="10" t="s">
        <v>9</v>
      </c>
      <c r="AC3" s="3"/>
      <c r="AD3" s="3"/>
    </row>
    <row r="4" spans="1:51" ht="15.75" customHeight="1" x14ac:dyDescent="0.3">
      <c r="E4" s="17" t="s">
        <v>17</v>
      </c>
      <c r="F4" s="18" t="s">
        <v>18</v>
      </c>
      <c r="G4" s="19" t="str">
        <f>'[14]Table 10 CWTs exp'!G4</f>
        <v>SacW</v>
      </c>
      <c r="H4" s="20" t="str">
        <f>'[14]Table 10 CWTs exp'!H4</f>
        <v>CFHL</v>
      </c>
      <c r="I4" s="19" t="str">
        <f>'[14]Table 10 CWTs exp'!I4</f>
        <v>CFHF</v>
      </c>
      <c r="J4" s="21" t="str">
        <f>'[14]Table 10 CWTs exp'!J4</f>
        <v>CFHFn</v>
      </c>
      <c r="K4" s="20" t="str">
        <f>'[14]Table 10 CWTs exp'!K4</f>
        <v>FRHS</v>
      </c>
      <c r="L4" s="19" t="str">
        <f>'[14]Table 10 CWTs exp'!L4</f>
        <v>FRHF</v>
      </c>
      <c r="M4" s="19" t="str">
        <f>'[14]Table 10 CWTs exp'!M4</f>
        <v>FRHFn</v>
      </c>
      <c r="N4" s="21" t="str">
        <f>'[14]Table 10 CWTs exp'!N4</f>
        <v>FRHFgg</v>
      </c>
      <c r="O4" s="19" t="str">
        <f>'[14]Table 10 CWTs exp'!O4</f>
        <v>NIMF</v>
      </c>
      <c r="P4" s="21" t="str">
        <f>'[14]Table 10 CWTs exp'!P4</f>
        <v>NIMFn</v>
      </c>
      <c r="Q4" s="19" t="str">
        <f>'[14]Table 10 CWTs exp'!Q4</f>
        <v>MOKF</v>
      </c>
      <c r="R4" s="19" t="str">
        <f>'[14]Table 10 CWTs exp'!R4</f>
        <v>MOKFn</v>
      </c>
      <c r="S4" s="19" t="str">
        <f>'[14]Table 10 CWTs exp'!S4</f>
        <v>MOKFnc</v>
      </c>
      <c r="T4" s="21" t="str">
        <f>'[14]Table 10 CWTs exp'!T4</f>
        <v>MOKFgg</v>
      </c>
      <c r="U4" s="19" t="str">
        <f>'[14]Table 10 CWTs exp'!U4</f>
        <v>MERF</v>
      </c>
      <c r="V4" s="21" t="str">
        <f>'[14]Table 10 CWTs exp'!V4</f>
        <v>MERFn</v>
      </c>
      <c r="W4" s="21" t="str">
        <f>'[14]Table 10 CWTs exp'!W4</f>
        <v>SJOSx</v>
      </c>
      <c r="X4" s="748"/>
      <c r="Y4" s="22" t="s">
        <v>36</v>
      </c>
      <c r="Z4" s="23" t="s">
        <v>37</v>
      </c>
      <c r="AA4" s="24" t="s">
        <v>18</v>
      </c>
    </row>
    <row r="5" spans="1:51" ht="14.15" customHeight="1" x14ac:dyDescent="0.3">
      <c r="E5" s="26" t="s">
        <v>39</v>
      </c>
      <c r="F5" s="11"/>
      <c r="G5" s="4"/>
      <c r="H5" s="139"/>
      <c r="J5" s="140"/>
      <c r="K5" s="139"/>
      <c r="N5" s="140"/>
      <c r="P5" s="140"/>
      <c r="T5" s="140"/>
      <c r="V5" s="140"/>
      <c r="W5" s="140"/>
      <c r="X5" s="11"/>
      <c r="Y5" s="141"/>
      <c r="Z5" s="142"/>
      <c r="AA5" s="88"/>
      <c r="AC5" s="442"/>
      <c r="AD5" s="442"/>
      <c r="AE5" s="442"/>
      <c r="AF5" s="442"/>
      <c r="AG5" s="442"/>
      <c r="AH5" s="442"/>
      <c r="AI5" s="442"/>
      <c r="AJ5" s="442"/>
      <c r="AK5" s="442"/>
      <c r="AL5" s="442"/>
      <c r="AM5" s="442"/>
      <c r="AN5" s="442"/>
      <c r="AO5" s="442"/>
      <c r="AP5" s="442"/>
      <c r="AQ5" s="442"/>
      <c r="AR5" s="442"/>
      <c r="AS5" s="442"/>
      <c r="AT5" s="442"/>
      <c r="AU5" s="442"/>
      <c r="AV5" s="442"/>
      <c r="AW5" s="442"/>
      <c r="AX5" s="442"/>
      <c r="AY5" s="442"/>
    </row>
    <row r="6" spans="1:51" ht="14.25" customHeight="1" x14ac:dyDescent="0.25">
      <c r="A6" s="54" t="str">
        <f>'[14]Table 10 CWTs exp'!A6</f>
        <v>CNFH504</v>
      </c>
      <c r="E6" s="3" t="str">
        <f>'[14]Table 10 CWTs exp'!E6</f>
        <v>Coleman National Fish Hatchery</v>
      </c>
      <c r="F6" s="143" t="str">
        <f>'[14]Table 10 CWTs exp'!F6</f>
        <v>Winter</v>
      </c>
      <c r="G6" s="144">
        <f>IF('[14]Table 10 CWTs exp'!G6/'[14]Table 10 CWTs exp'!$AA6&gt;0,'[14]Table 10 CWTs exp'!G6/'[14]Table 10 CWTs exp'!$AA6," ")</f>
        <v>0.23886639676113361</v>
      </c>
      <c r="H6" s="145" t="str">
        <f>IF('[14]Table 10 CWTs exp'!H6/'[14]Table 10 CWTs exp'!$AA6&gt;0,'[14]Table 10 CWTs exp'!H6/'[14]Table 10 CWTs exp'!$AA6," ")</f>
        <v xml:space="preserve"> </v>
      </c>
      <c r="I6" s="144" t="str">
        <f>IF('[14]Table 10 CWTs exp'!I6/'[14]Table 10 CWTs exp'!$AA6&gt;0,'[14]Table 10 CWTs exp'!I6/'[14]Table 10 CWTs exp'!$AA6," ")</f>
        <v xml:space="preserve"> </v>
      </c>
      <c r="J6" s="146" t="str">
        <f>IF('[14]Table 10 CWTs exp'!J6/'[14]Table 10 CWTs exp'!$AA6&gt;0,'[14]Table 10 CWTs exp'!J6/'[14]Table 10 CWTs exp'!$AA6," ")</f>
        <v xml:space="preserve"> </v>
      </c>
      <c r="K6" s="145" t="str">
        <f>IF('[14]Table 10 CWTs exp'!K6/'[14]Table 10 CWTs exp'!$AA6&gt;0,'[14]Table 10 CWTs exp'!K6/'[14]Table 10 CWTs exp'!$AA6," ")</f>
        <v xml:space="preserve"> </v>
      </c>
      <c r="L6" s="144" t="str">
        <f>IF('[14]Table 10 CWTs exp'!L6/'[14]Table 10 CWTs exp'!$AA6&gt;0,'[14]Table 10 CWTs exp'!L6/'[14]Table 10 CWTs exp'!$AA6," ")</f>
        <v xml:space="preserve"> </v>
      </c>
      <c r="M6" s="144" t="str">
        <f>IF('[14]Table 10 CWTs exp'!M6/'[14]Table 10 CWTs exp'!$AA6&gt;0,'[14]Table 10 CWTs exp'!M6/'[14]Table 10 CWTs exp'!$AA6," ")</f>
        <v xml:space="preserve"> </v>
      </c>
      <c r="N6" s="146" t="str">
        <f>IF('[14]Table 10 CWTs exp'!N6/'[14]Table 10 CWTs exp'!$AA6&gt;0,'[14]Table 10 CWTs exp'!N6/'[14]Table 10 CWTs exp'!$AA6," ")</f>
        <v xml:space="preserve"> </v>
      </c>
      <c r="O6" s="144" t="str">
        <f>IF('[14]Table 10 CWTs exp'!O6/'[14]Table 10 CWTs exp'!$AA6&gt;0,'[14]Table 10 CWTs exp'!O6/'[14]Table 10 CWTs exp'!$AA6," ")</f>
        <v xml:space="preserve"> </v>
      </c>
      <c r="P6" s="146" t="str">
        <f>IF('[14]Table 10 CWTs exp'!P6/'[14]Table 10 CWTs exp'!$AA6&gt;0,'[14]Table 10 CWTs exp'!P6/'[14]Table 10 CWTs exp'!$AA6," ")</f>
        <v xml:space="preserve"> </v>
      </c>
      <c r="Q6" s="144" t="str">
        <f>IF('[14]Table 10 CWTs exp'!Q6/'[14]Table 10 CWTs exp'!$AA6&gt;0,'[14]Table 10 CWTs exp'!Q6/'[14]Table 10 CWTs exp'!$AA6," ")</f>
        <v xml:space="preserve"> </v>
      </c>
      <c r="R6" s="144" t="str">
        <f>IF('[14]Table 10 CWTs exp'!R6/'[14]Table 10 CWTs exp'!$AA6&gt;0,'[14]Table 10 CWTs exp'!R6/'[14]Table 10 CWTs exp'!$AA6," ")</f>
        <v xml:space="preserve"> </v>
      </c>
      <c r="S6" s="144" t="str">
        <f>IF('[14]Table 10 CWTs exp'!S6/'[14]Table 10 CWTs exp'!$AA6&gt;0,'[14]Table 10 CWTs exp'!S6/'[14]Table 10 CWTs exp'!$AA6," ")</f>
        <v xml:space="preserve"> </v>
      </c>
      <c r="T6" s="146" t="str">
        <f>IF('[14]Table 10 CWTs exp'!T6/'[14]Table 10 CWTs exp'!$AA6&gt;0,'[14]Table 10 CWTs exp'!T6/'[14]Table 10 CWTs exp'!$AA6," ")</f>
        <v xml:space="preserve"> </v>
      </c>
      <c r="U6" s="144" t="str">
        <f>IF('[14]Table 10 CWTs exp'!U6/'[14]Table 10 CWTs exp'!$AA6&gt;0,'[14]Table 10 CWTs exp'!U6/'[14]Table 10 CWTs exp'!$AA6," ")</f>
        <v xml:space="preserve"> </v>
      </c>
      <c r="V6" s="146" t="str">
        <f>IF('[14]Table 10 CWTs exp'!V6/'[14]Table 10 CWTs exp'!$AA6&gt;0,'[14]Table 10 CWTs exp'!V6/'[14]Table 10 CWTs exp'!$AA6," ")</f>
        <v xml:space="preserve"> </v>
      </c>
      <c r="W6" s="146" t="str">
        <f>IF('[14]Table 10 CWTs exp'!W6/'[14]Table 10 CWTs exp'!$AA6&gt;0,'[14]Table 10 CWTs exp'!W6/'[14]Table 10 CWTs exp'!$AA6," ")</f>
        <v xml:space="preserve"> </v>
      </c>
      <c r="X6" s="144" t="str">
        <f>IF('[14]Table 10 CWTs exp'!X6/'[14]Table 10 CWTs exp'!$AA6&gt;0,'[14]Table 10 CWTs exp'!X6/'[14]Table 10 CWTs exp'!$AA6," ")</f>
        <v xml:space="preserve"> </v>
      </c>
      <c r="Y6" s="147">
        <f>SUM(G6:X6)</f>
        <v>0.23886639676113361</v>
      </c>
      <c r="Z6" s="148">
        <f>1-Y6</f>
        <v>0.76113360323886636</v>
      </c>
      <c r="AA6" s="38">
        <f>'[14]Table 10 CWTs exp'!AA6</f>
        <v>247</v>
      </c>
      <c r="AC6" s="592">
        <f>'[14]Table 10 CWTs exp'!AD6</f>
        <v>0.23899999999999999</v>
      </c>
      <c r="AD6" s="592">
        <f>Y6-AC6</f>
        <v>-1.3360323886638104E-4</v>
      </c>
      <c r="AE6" s="593" t="str">
        <f>A6</f>
        <v>CNFH504</v>
      </c>
      <c r="AF6" s="442"/>
      <c r="AG6" s="442"/>
      <c r="AH6" s="442"/>
      <c r="AI6" s="442"/>
      <c r="AJ6" s="442"/>
      <c r="AK6" s="442"/>
      <c r="AL6" s="442"/>
      <c r="AM6" s="442"/>
      <c r="AN6" s="442"/>
      <c r="AO6" s="442"/>
      <c r="AP6" s="442"/>
      <c r="AQ6" s="442"/>
      <c r="AR6" s="442"/>
      <c r="AS6" s="442"/>
      <c r="AT6" s="442"/>
      <c r="AU6" s="442"/>
      <c r="AV6" s="442"/>
      <c r="AW6" s="442"/>
      <c r="AX6" s="442"/>
      <c r="AY6" s="442"/>
    </row>
    <row r="7" spans="1:51" ht="14.25" customHeight="1" x14ac:dyDescent="0.25">
      <c r="A7" s="54" t="str">
        <f>'[14]Table 10 CWTs exp'!A7</f>
        <v>KESW504</v>
      </c>
      <c r="E7" s="3" t="str">
        <f>'[14]Table 10 CWTs exp'!E7</f>
        <v>Keswick Dam Fish Trap</v>
      </c>
      <c r="F7" s="143" t="str">
        <f>'[14]Table 10 CWTs exp'!F7</f>
        <v>Winter</v>
      </c>
      <c r="G7" s="144">
        <f>IF('[14]Table 10 CWTs exp'!G7/'[14]Table 10 CWTs exp'!$AA7&gt;0,'[14]Table 10 CWTs exp'!G7/'[14]Table 10 CWTs exp'!$AA7," ")</f>
        <v>0.81543624161073824</v>
      </c>
      <c r="H7" s="145" t="str">
        <f>IF('[14]Table 10 CWTs exp'!H7/'[14]Table 10 CWTs exp'!$AA7&gt;0,'[14]Table 10 CWTs exp'!H7/'[14]Table 10 CWTs exp'!$AA7," ")</f>
        <v xml:space="preserve"> </v>
      </c>
      <c r="I7" s="144" t="str">
        <f>IF('[14]Table 10 CWTs exp'!I7/'[14]Table 10 CWTs exp'!$AA7&gt;0,'[14]Table 10 CWTs exp'!I7/'[14]Table 10 CWTs exp'!$AA7," ")</f>
        <v xml:space="preserve"> </v>
      </c>
      <c r="J7" s="146" t="str">
        <f>IF('[14]Table 10 CWTs exp'!J7/'[14]Table 10 CWTs exp'!$AA7&gt;0,'[14]Table 10 CWTs exp'!J7/'[14]Table 10 CWTs exp'!$AA7," ")</f>
        <v xml:space="preserve"> </v>
      </c>
      <c r="K7" s="145" t="str">
        <f>IF('[14]Table 10 CWTs exp'!K7/'[14]Table 10 CWTs exp'!$AA7&gt;0,'[14]Table 10 CWTs exp'!K7/'[14]Table 10 CWTs exp'!$AA7," ")</f>
        <v xml:space="preserve"> </v>
      </c>
      <c r="L7" s="144" t="str">
        <f>IF('[14]Table 10 CWTs exp'!L7/'[14]Table 10 CWTs exp'!$AA7&gt;0,'[14]Table 10 CWTs exp'!L7/'[14]Table 10 CWTs exp'!$AA7," ")</f>
        <v xml:space="preserve"> </v>
      </c>
      <c r="M7" s="144" t="str">
        <f>IF('[14]Table 10 CWTs exp'!M7/'[14]Table 10 CWTs exp'!$AA7&gt;0,'[14]Table 10 CWTs exp'!M7/'[14]Table 10 CWTs exp'!$AA7," ")</f>
        <v xml:space="preserve"> </v>
      </c>
      <c r="N7" s="146" t="str">
        <f>IF('[14]Table 10 CWTs exp'!N7/'[14]Table 10 CWTs exp'!$AA7&gt;0,'[14]Table 10 CWTs exp'!N7/'[14]Table 10 CWTs exp'!$AA7," ")</f>
        <v xml:space="preserve"> </v>
      </c>
      <c r="O7" s="144" t="str">
        <f>IF('[14]Table 10 CWTs exp'!O7/'[14]Table 10 CWTs exp'!$AA7&gt;0,'[14]Table 10 CWTs exp'!O7/'[14]Table 10 CWTs exp'!$AA7," ")</f>
        <v xml:space="preserve"> </v>
      </c>
      <c r="P7" s="146" t="str">
        <f>IF('[14]Table 10 CWTs exp'!P7/'[14]Table 10 CWTs exp'!$AA7&gt;0,'[14]Table 10 CWTs exp'!P7/'[14]Table 10 CWTs exp'!$AA7," ")</f>
        <v xml:space="preserve"> </v>
      </c>
      <c r="Q7" s="144" t="str">
        <f>IF('[14]Table 10 CWTs exp'!Q7/'[14]Table 10 CWTs exp'!$AA7&gt;0,'[14]Table 10 CWTs exp'!Q7/'[14]Table 10 CWTs exp'!$AA7," ")</f>
        <v xml:space="preserve"> </v>
      </c>
      <c r="R7" s="144" t="str">
        <f>IF('[14]Table 10 CWTs exp'!R7/'[14]Table 10 CWTs exp'!$AA7&gt;0,'[14]Table 10 CWTs exp'!R7/'[14]Table 10 CWTs exp'!$AA7," ")</f>
        <v xml:space="preserve"> </v>
      </c>
      <c r="S7" s="144" t="str">
        <f>IF('[14]Table 10 CWTs exp'!S7/'[14]Table 10 CWTs exp'!$AA7&gt;0,'[14]Table 10 CWTs exp'!S7/'[14]Table 10 CWTs exp'!$AA7," ")</f>
        <v xml:space="preserve"> </v>
      </c>
      <c r="T7" s="146" t="str">
        <f>IF('[14]Table 10 CWTs exp'!T7/'[14]Table 10 CWTs exp'!$AA7&gt;0,'[14]Table 10 CWTs exp'!T7/'[14]Table 10 CWTs exp'!$AA7," ")</f>
        <v xml:space="preserve"> </v>
      </c>
      <c r="U7" s="144" t="str">
        <f>IF('[14]Table 10 CWTs exp'!U7/'[14]Table 10 CWTs exp'!$AA7&gt;0,'[14]Table 10 CWTs exp'!U7/'[14]Table 10 CWTs exp'!$AA7," ")</f>
        <v xml:space="preserve"> </v>
      </c>
      <c r="V7" s="146" t="str">
        <f>IF('[14]Table 10 CWTs exp'!V7/'[14]Table 10 CWTs exp'!$AA7&gt;0,'[14]Table 10 CWTs exp'!V7/'[14]Table 10 CWTs exp'!$AA7," ")</f>
        <v xml:space="preserve"> </v>
      </c>
      <c r="W7" s="146" t="str">
        <f>IF('[14]Table 10 CWTs exp'!W7/'[14]Table 10 CWTs exp'!$AA7&gt;0,'[14]Table 10 CWTs exp'!W7/'[14]Table 10 CWTs exp'!$AA7," ")</f>
        <v xml:space="preserve"> </v>
      </c>
      <c r="X7" s="144" t="str">
        <f>IF('[14]Table 10 CWTs exp'!X7/'[14]Table 10 CWTs exp'!$AA7&gt;0,'[14]Table 10 CWTs exp'!X7/'[14]Table 10 CWTs exp'!$AA7," ")</f>
        <v xml:space="preserve"> </v>
      </c>
      <c r="Y7" s="147">
        <f>SUM(G7:X7)</f>
        <v>0.81543624161073824</v>
      </c>
      <c r="Z7" s="148">
        <f>1-Y7</f>
        <v>0.18456375838926176</v>
      </c>
      <c r="AA7" s="38">
        <f>'[14]Table 10 CWTs exp'!AA7</f>
        <v>298</v>
      </c>
      <c r="AC7" s="592">
        <f>'[14]Table 10 CWTs exp'!AD7</f>
        <v>0.81499999999999995</v>
      </c>
      <c r="AD7" s="592">
        <f>Y7-AC7</f>
        <v>4.3624161073829715E-4</v>
      </c>
      <c r="AE7" s="593" t="str">
        <f>A7</f>
        <v>KESW504</v>
      </c>
      <c r="AF7" s="442"/>
      <c r="AG7" s="442"/>
      <c r="AH7" s="648"/>
      <c r="AI7" s="454"/>
      <c r="AJ7" s="442"/>
      <c r="AK7" s="442"/>
      <c r="AL7" s="442"/>
      <c r="AM7" s="442"/>
      <c r="AN7" s="442"/>
      <c r="AO7" s="442"/>
      <c r="AP7" s="442"/>
      <c r="AQ7" s="442"/>
      <c r="AR7" s="442"/>
      <c r="AS7" s="442"/>
      <c r="AT7" s="442"/>
      <c r="AU7" s="442"/>
      <c r="AV7" s="442"/>
      <c r="AW7" s="442"/>
      <c r="AX7" s="442"/>
      <c r="AY7" s="442"/>
    </row>
    <row r="8" spans="1:51" ht="14.5" customHeight="1" x14ac:dyDescent="0.25">
      <c r="A8" s="54" t="str">
        <f>'[14]Table 10 CWTs exp'!A8</f>
        <v>FRFH501</v>
      </c>
      <c r="B8" s="75" t="str">
        <f>'[14]Table 10 CWTs exp'!B8</f>
        <v>FRFH</v>
      </c>
      <c r="C8" s="75">
        <f>'[14]Table 10 CWTs exp'!C8</f>
        <v>50</v>
      </c>
      <c r="D8" s="75">
        <f>'[14]Table 10 CWTs exp'!D8</f>
        <v>1</v>
      </c>
      <c r="E8" s="3" t="str">
        <f>'[14]Table 10 CWTs exp'!E8</f>
        <v>Feather River Hatchery</v>
      </c>
      <c r="F8" s="143" t="str">
        <f>'[14]Table 10 CWTs exp'!F8</f>
        <v>Spring</v>
      </c>
      <c r="G8" s="151" t="str">
        <f>IF('[14]Table 10 CWTs exp'!G8/'[14]Table 10 CWTs exp'!$AA8&gt;0,'[14]Table 10 CWTs exp'!G8/'[14]Table 10 CWTs exp'!$AA8," ")</f>
        <v xml:space="preserve"> </v>
      </c>
      <c r="H8" s="145" t="str">
        <f>IF('[14]Table 10 CWTs exp'!H8/'[14]Table 10 CWTs exp'!$AA8&gt;0,'[14]Table 10 CWTs exp'!H8/'[14]Table 10 CWTs exp'!$AA8," ")</f>
        <v xml:space="preserve"> </v>
      </c>
      <c r="I8" s="144" t="str">
        <f>IF('[14]Table 10 CWTs exp'!I8/'[14]Table 10 CWTs exp'!$AA8&gt;0,'[14]Table 10 CWTs exp'!I8/'[14]Table 10 CWTs exp'!$AA8," ")</f>
        <v xml:space="preserve"> </v>
      </c>
      <c r="J8" s="146" t="str">
        <f>IF('[14]Table 10 CWTs exp'!J8/'[14]Table 10 CWTs exp'!$AA8&gt;0,'[14]Table 10 CWTs exp'!J8/'[14]Table 10 CWTs exp'!$AA8," ")</f>
        <v xml:space="preserve"> </v>
      </c>
      <c r="K8" s="145">
        <f>IF('[14]Table 10 CWTs exp'!K8/'[14]Table 10 CWTs exp'!$AA8&gt;0,'[14]Table 10 CWTs exp'!K8/'[14]Table 10 CWTs exp'!$AA8," ")</f>
        <v>0.9233449477351916</v>
      </c>
      <c r="L8" s="144" t="str">
        <f>IF('[14]Table 10 CWTs exp'!L8/'[14]Table 10 CWTs exp'!$AA8&gt;0,'[14]Table 10 CWTs exp'!L8/'[14]Table 10 CWTs exp'!$AA8," ")</f>
        <v xml:space="preserve"> </v>
      </c>
      <c r="M8" s="144">
        <f>IF('[14]Table 10 CWTs exp'!M8/'[14]Table 10 CWTs exp'!$AA8&gt;0,'[14]Table 10 CWTs exp'!M8/'[14]Table 10 CWTs exp'!$AA8," ")</f>
        <v>6.9686411149825784E-3</v>
      </c>
      <c r="N8" s="146">
        <f>IF('[14]Table 10 CWTs exp'!N8/'[14]Table 10 CWTs exp'!$AA8&gt;0,'[14]Table 10 CWTs exp'!N8/'[14]Table 10 CWTs exp'!$AA8," ")</f>
        <v>2.3228803716608595E-3</v>
      </c>
      <c r="O8" s="144" t="str">
        <f>IF('[14]Table 10 CWTs exp'!O8/'[14]Table 10 CWTs exp'!$AA8&gt;0,'[14]Table 10 CWTs exp'!O8/'[14]Table 10 CWTs exp'!$AA8," ")</f>
        <v xml:space="preserve"> </v>
      </c>
      <c r="P8" s="146" t="str">
        <f>IF('[14]Table 10 CWTs exp'!P8/'[14]Table 10 CWTs exp'!$AA8&gt;0,'[14]Table 10 CWTs exp'!P8/'[14]Table 10 CWTs exp'!$AA8," ")</f>
        <v xml:space="preserve"> </v>
      </c>
      <c r="Q8" s="144" t="str">
        <f>IF('[14]Table 10 CWTs exp'!Q8/'[14]Table 10 CWTs exp'!$AA8&gt;0,'[14]Table 10 CWTs exp'!Q8/'[14]Table 10 CWTs exp'!$AA8," ")</f>
        <v xml:space="preserve"> </v>
      </c>
      <c r="R8" s="144" t="str">
        <f>IF('[14]Table 10 CWTs exp'!R8/'[14]Table 10 CWTs exp'!$AA8&gt;0,'[14]Table 10 CWTs exp'!R8/'[14]Table 10 CWTs exp'!$AA8," ")</f>
        <v xml:space="preserve"> </v>
      </c>
      <c r="S8" s="144" t="str">
        <f>IF('[14]Table 10 CWTs exp'!S8/'[14]Table 10 CWTs exp'!$AA8&gt;0,'[14]Table 10 CWTs exp'!S8/'[14]Table 10 CWTs exp'!$AA8," ")</f>
        <v xml:space="preserve"> </v>
      </c>
      <c r="T8" s="146" t="str">
        <f>IF('[14]Table 10 CWTs exp'!T8/'[14]Table 10 CWTs exp'!$AA8&gt;0,'[14]Table 10 CWTs exp'!T8/'[14]Table 10 CWTs exp'!$AA8," ")</f>
        <v xml:space="preserve"> </v>
      </c>
      <c r="U8" s="144" t="str">
        <f>IF('[14]Table 10 CWTs exp'!U8/'[14]Table 10 CWTs exp'!$AA8&gt;0,'[14]Table 10 CWTs exp'!U8/'[14]Table 10 CWTs exp'!$AA8," ")</f>
        <v xml:space="preserve"> </v>
      </c>
      <c r="V8" s="146" t="str">
        <f>IF('[14]Table 10 CWTs exp'!V8/'[14]Table 10 CWTs exp'!$AA8&gt;0,'[14]Table 10 CWTs exp'!V8/'[14]Table 10 CWTs exp'!$AA8," ")</f>
        <v xml:space="preserve"> </v>
      </c>
      <c r="W8" s="146">
        <f>IF('[14]Table 10 CWTs exp'!W8/'[14]Table 10 CWTs exp'!$AA8&gt;0,'[14]Table 10 CWTs exp'!W8/'[14]Table 10 CWTs exp'!$AA8," ")</f>
        <v>6.387921022067364E-3</v>
      </c>
      <c r="X8" s="144" t="str">
        <f>IF('[14]Table 10 CWTs exp'!X8/'[14]Table 10 CWTs exp'!$AA8&gt;0,'[14]Table 10 CWTs exp'!X8/'[14]Table 10 CWTs exp'!$AA8," ")</f>
        <v xml:space="preserve"> </v>
      </c>
      <c r="Y8" s="147">
        <f>SUM(G8:X8)</f>
        <v>0.93902439024390238</v>
      </c>
      <c r="Z8" s="148">
        <f>1-Y8</f>
        <v>6.0975609756097615E-2</v>
      </c>
      <c r="AA8" s="38">
        <f>'[14]Table 10 CWTs exp'!AA8</f>
        <v>1722</v>
      </c>
      <c r="AC8" s="592">
        <f>'[14]Table 10 CWTs exp'!AD8</f>
        <v>0.93899999999999995</v>
      </c>
      <c r="AD8" s="592">
        <f>Y8-AC8</f>
        <v>2.4390243902439046E-5</v>
      </c>
      <c r="AE8" s="593" t="str">
        <f>A8</f>
        <v>FRFH501</v>
      </c>
      <c r="AF8" s="442"/>
      <c r="AG8" s="442"/>
      <c r="AH8" s="648"/>
      <c r="AI8" s="454"/>
      <c r="AJ8" s="442"/>
      <c r="AK8" s="442"/>
      <c r="AL8" s="442"/>
      <c r="AM8" s="442"/>
      <c r="AN8" s="442"/>
      <c r="AO8" s="442"/>
      <c r="AP8" s="442"/>
      <c r="AQ8" s="442"/>
      <c r="AR8" s="442"/>
      <c r="AS8" s="442"/>
      <c r="AT8" s="442"/>
      <c r="AU8" s="442"/>
      <c r="AV8" s="442"/>
      <c r="AW8" s="442"/>
      <c r="AX8" s="442"/>
      <c r="AY8" s="442"/>
    </row>
    <row r="9" spans="1:51" ht="12.75" hidden="1" customHeight="1" x14ac:dyDescent="0.25">
      <c r="A9" s="54" t="str">
        <f>'[14]Table 10 CWTs exp'!A9</f>
        <v>KESW503</v>
      </c>
      <c r="B9" s="75" t="str">
        <f>'[14]Table 10 CWTs exp'!B9</f>
        <v>KESW</v>
      </c>
      <c r="C9" s="75">
        <f>'[14]Table 10 CWTs exp'!C9</f>
        <v>50</v>
      </c>
      <c r="D9" s="75">
        <f>'[14]Table 10 CWTs exp'!D9</f>
        <v>3</v>
      </c>
      <c r="E9" s="3" t="str">
        <f>'[14]Table 10 CWTs exp'!E9</f>
        <v>Keswick Dam Fish Trap</v>
      </c>
      <c r="F9" s="143" t="str">
        <f>'[14]Table 10 CWTs exp'!F9</f>
        <v>Fall</v>
      </c>
      <c r="G9" s="151" t="e">
        <f>IF('[14]Table 10 CWTs exp'!G9/'[14]Table 10 CWTs exp'!$AA9&gt;0,'[14]Table 10 CWTs exp'!G9/'[14]Table 10 CWTs exp'!$AA9," ")</f>
        <v>#DIV/0!</v>
      </c>
      <c r="H9" s="145" t="e">
        <f>IF('[14]Table 10 CWTs exp'!H9/'[14]Table 10 CWTs exp'!$AA9&gt;0,'[14]Table 10 CWTs exp'!H9/'[14]Table 10 CWTs exp'!$AA9," ")</f>
        <v>#DIV/0!</v>
      </c>
      <c r="I9" s="144" t="e">
        <f>IF('[14]Table 10 CWTs exp'!I9/'[14]Table 10 CWTs exp'!$AA9&gt;0,'[14]Table 10 CWTs exp'!I9/'[14]Table 10 CWTs exp'!$AA9," ")</f>
        <v>#DIV/0!</v>
      </c>
      <c r="J9" s="146" t="e">
        <f>IF('[14]Table 10 CWTs exp'!J9/'[14]Table 10 CWTs exp'!$AA9&gt;0,'[14]Table 10 CWTs exp'!J9/'[14]Table 10 CWTs exp'!$AA9," ")</f>
        <v>#DIV/0!</v>
      </c>
      <c r="K9" s="145" t="e">
        <f>IF('[14]Table 10 CWTs exp'!K9/'[14]Table 10 CWTs exp'!$AA9&gt;0,'[14]Table 10 CWTs exp'!K9/'[14]Table 10 CWTs exp'!$AA9," ")</f>
        <v>#DIV/0!</v>
      </c>
      <c r="L9" s="144" t="e">
        <f>IF('[14]Table 10 CWTs exp'!L9/'[14]Table 10 CWTs exp'!$AA9&gt;0,'[14]Table 10 CWTs exp'!L9/'[14]Table 10 CWTs exp'!$AA9," ")</f>
        <v>#DIV/0!</v>
      </c>
      <c r="M9" s="144" t="e">
        <f>IF('[14]Table 10 CWTs exp'!M9/'[14]Table 10 CWTs exp'!$AA9&gt;0,'[14]Table 10 CWTs exp'!M9/'[14]Table 10 CWTs exp'!$AA9," ")</f>
        <v>#DIV/0!</v>
      </c>
      <c r="N9" s="146" t="e">
        <f>IF('[14]Table 10 CWTs exp'!N9/'[14]Table 10 CWTs exp'!$AA9&gt;0,'[14]Table 10 CWTs exp'!N9/'[14]Table 10 CWTs exp'!$AA9," ")</f>
        <v>#DIV/0!</v>
      </c>
      <c r="O9" s="144" t="e">
        <f>IF('[14]Table 10 CWTs exp'!O9/'[14]Table 10 CWTs exp'!$AA9&gt;0,'[14]Table 10 CWTs exp'!O9/'[14]Table 10 CWTs exp'!$AA9," ")</f>
        <v>#DIV/0!</v>
      </c>
      <c r="P9" s="146" t="e">
        <f>IF('[14]Table 10 CWTs exp'!P9/'[14]Table 10 CWTs exp'!$AA9&gt;0,'[14]Table 10 CWTs exp'!P9/'[14]Table 10 CWTs exp'!$AA9," ")</f>
        <v>#DIV/0!</v>
      </c>
      <c r="Q9" s="144" t="e">
        <f>IF('[14]Table 10 CWTs exp'!Q9/'[14]Table 10 CWTs exp'!$AA9&gt;0,'[14]Table 10 CWTs exp'!Q9/'[14]Table 10 CWTs exp'!$AA9," ")</f>
        <v>#DIV/0!</v>
      </c>
      <c r="R9" s="144" t="e">
        <f>IF('[14]Table 10 CWTs exp'!R9/'[14]Table 10 CWTs exp'!$AA9&gt;0,'[14]Table 10 CWTs exp'!R9/'[14]Table 10 CWTs exp'!$AA9," ")</f>
        <v>#DIV/0!</v>
      </c>
      <c r="S9" s="144" t="e">
        <f>IF('[14]Table 10 CWTs exp'!S9/'[14]Table 10 CWTs exp'!$AA9&gt;0,'[14]Table 10 CWTs exp'!S9/'[14]Table 10 CWTs exp'!$AA9," ")</f>
        <v>#DIV/0!</v>
      </c>
      <c r="T9" s="146" t="e">
        <f>IF('[14]Table 10 CWTs exp'!T9/'[14]Table 10 CWTs exp'!$AA9&gt;0,'[14]Table 10 CWTs exp'!T9/'[14]Table 10 CWTs exp'!$AA9," ")</f>
        <v>#DIV/0!</v>
      </c>
      <c r="U9" s="144" t="e">
        <f>IF('[14]Table 10 CWTs exp'!U9/'[14]Table 10 CWTs exp'!$AA9&gt;0,'[14]Table 10 CWTs exp'!U9/'[14]Table 10 CWTs exp'!$AA9," ")</f>
        <v>#DIV/0!</v>
      </c>
      <c r="V9" s="146" t="e">
        <f>IF('[14]Table 10 CWTs exp'!V9/'[14]Table 10 CWTs exp'!$AA9&gt;0,'[14]Table 10 CWTs exp'!V9/'[14]Table 10 CWTs exp'!$AA9," ")</f>
        <v>#DIV/0!</v>
      </c>
      <c r="W9" s="146" t="e">
        <f>IF('[14]Table 10 CWTs exp'!W9/'[14]Table 10 CWTs exp'!$AA9&gt;0,'[14]Table 10 CWTs exp'!W9/'[14]Table 10 CWTs exp'!$AA9," ")</f>
        <v>#DIV/0!</v>
      </c>
      <c r="X9" s="144" t="e">
        <f>IF('[14]Table 10 CWTs exp'!X9/'[14]Table 10 CWTs exp'!$AA9&gt;0,'[14]Table 10 CWTs exp'!X9/'[14]Table 10 CWTs exp'!$AA9," ")</f>
        <v>#DIV/0!</v>
      </c>
      <c r="Y9" s="147" t="e">
        <f t="shared" ref="Y9:Y17" si="0">SUM(G9:X9)</f>
        <v>#DIV/0!</v>
      </c>
      <c r="Z9" s="148" t="e">
        <f t="shared" ref="Z9:Z17" si="1">1-Y9</f>
        <v>#DIV/0!</v>
      </c>
      <c r="AA9" s="38">
        <f>'[14]Table 10 CWTs exp'!AA9</f>
        <v>0</v>
      </c>
      <c r="AC9" s="592">
        <f>'[14]Table 10 CWTs exp'!AD9</f>
        <v>0</v>
      </c>
      <c r="AD9" s="592" t="e">
        <f t="shared" ref="AD9:AD55" si="2">Y9-AC9</f>
        <v>#DIV/0!</v>
      </c>
      <c r="AE9" s="593" t="str">
        <f t="shared" ref="AE9:AE41" si="3">A9</f>
        <v>KESW503</v>
      </c>
      <c r="AF9" s="442"/>
      <c r="AG9" s="442"/>
      <c r="AH9" s="648"/>
      <c r="AI9" s="454"/>
      <c r="AJ9" s="442"/>
      <c r="AK9" s="442"/>
      <c r="AL9" s="442"/>
      <c r="AM9" s="442"/>
      <c r="AN9" s="442"/>
      <c r="AO9" s="442"/>
      <c r="AP9" s="442"/>
      <c r="AQ9" s="442"/>
      <c r="AR9" s="442"/>
      <c r="AS9" s="442"/>
      <c r="AT9" s="442"/>
      <c r="AU9" s="442"/>
      <c r="AV9" s="442"/>
      <c r="AW9" s="442"/>
      <c r="AX9" s="442"/>
      <c r="AY9" s="442"/>
    </row>
    <row r="10" spans="1:51" ht="14.5" customHeight="1" x14ac:dyDescent="0.25">
      <c r="A10" s="54" t="str">
        <f>'[14]Table 10 CWTs exp'!A10</f>
        <v>CNFH503</v>
      </c>
      <c r="B10" s="75" t="str">
        <f>'[14]Table 10 CWTs exp'!B10</f>
        <v>CNFH</v>
      </c>
      <c r="C10" s="75">
        <f>'[14]Table 10 CWTs exp'!C10</f>
        <v>50</v>
      </c>
      <c r="D10" s="75">
        <f>'[14]Table 10 CWTs exp'!D10</f>
        <v>3</v>
      </c>
      <c r="E10" s="3" t="str">
        <f>'[14]Table 10 CWTs exp'!E10</f>
        <v>Coleman National Fish Hatchery</v>
      </c>
      <c r="F10" s="143" t="str">
        <f>'[14]Table 10 CWTs exp'!F10</f>
        <v>Fall</v>
      </c>
      <c r="G10" s="151" t="str">
        <f>IF('[14]Table 10 CWTs exp'!G10/'[14]Table 10 CWTs exp'!$AA10&gt;0,'[14]Table 10 CWTs exp'!G10/'[14]Table 10 CWTs exp'!$AA10," ")</f>
        <v xml:space="preserve"> </v>
      </c>
      <c r="H10" s="145">
        <f>IF('[14]Table 10 CWTs exp'!H10/'[14]Table 10 CWTs exp'!$AA10&gt;0,'[14]Table 10 CWTs exp'!H10/'[14]Table 10 CWTs exp'!$AA10," ")</f>
        <v>6.0834651417447376E-5</v>
      </c>
      <c r="I10" s="144">
        <f>IF('[14]Table 10 CWTs exp'!I10/'[14]Table 10 CWTs exp'!$AA10&gt;0,'[14]Table 10 CWTs exp'!I10/'[14]Table 10 CWTs exp'!$AA10," ")</f>
        <v>0.87899987833069715</v>
      </c>
      <c r="J10" s="146" t="str">
        <f>IF('[14]Table 10 CWTs exp'!J10/'[14]Table 10 CWTs exp'!$AA10&gt;0,'[14]Table 10 CWTs exp'!J10/'[14]Table 10 CWTs exp'!$AA10," ")</f>
        <v xml:space="preserve"> </v>
      </c>
      <c r="K10" s="145" t="str">
        <f>IF('[14]Table 10 CWTs exp'!K10/'[14]Table 10 CWTs exp'!$AA10&gt;0,'[14]Table 10 CWTs exp'!K10/'[14]Table 10 CWTs exp'!$AA10," ")</f>
        <v xml:space="preserve"> </v>
      </c>
      <c r="L10" s="144" t="str">
        <f>IF('[14]Table 10 CWTs exp'!L10/'[14]Table 10 CWTs exp'!$AA10&gt;0,'[14]Table 10 CWTs exp'!L10/'[14]Table 10 CWTs exp'!$AA10," ")</f>
        <v xml:space="preserve"> </v>
      </c>
      <c r="M10" s="144">
        <f>IF('[14]Table 10 CWTs exp'!M10/'[14]Table 10 CWTs exp'!$AA10&gt;0,'[14]Table 10 CWTs exp'!M10/'[14]Table 10 CWTs exp'!$AA10," ")</f>
        <v>1.1132741209392871E-2</v>
      </c>
      <c r="N10" s="146">
        <f>IF('[14]Table 10 CWTs exp'!N10/'[14]Table 10 CWTs exp'!$AA10&gt;0,'[14]Table 10 CWTs exp'!N10/'[14]Table 10 CWTs exp'!$AA10," ")</f>
        <v>2.433386056697895E-4</v>
      </c>
      <c r="O10" s="144" t="str">
        <f>IF('[14]Table 10 CWTs exp'!O10/'[14]Table 10 CWTs exp'!$AA10&gt;0,'[14]Table 10 CWTs exp'!O10/'[14]Table 10 CWTs exp'!$AA10," ")</f>
        <v xml:space="preserve"> </v>
      </c>
      <c r="P10" s="146">
        <f>IF('[14]Table 10 CWTs exp'!P10/'[14]Table 10 CWTs exp'!$AA10&gt;0,'[14]Table 10 CWTs exp'!P10/'[14]Table 10 CWTs exp'!$AA10," ")</f>
        <v>2.433386056697895E-4</v>
      </c>
      <c r="Q10" s="144" t="str">
        <f>IF('[14]Table 10 CWTs exp'!Q10/'[14]Table 10 CWTs exp'!$AA10&gt;0,'[14]Table 10 CWTs exp'!Q10/'[14]Table 10 CWTs exp'!$AA10," ")</f>
        <v xml:space="preserve"> </v>
      </c>
      <c r="R10" s="144" t="str">
        <f>IF('[14]Table 10 CWTs exp'!R10/'[14]Table 10 CWTs exp'!$AA10&gt;0,'[14]Table 10 CWTs exp'!R10/'[14]Table 10 CWTs exp'!$AA10," ")</f>
        <v xml:space="preserve"> </v>
      </c>
      <c r="S10" s="144">
        <f>IF('[14]Table 10 CWTs exp'!S10/'[14]Table 10 CWTs exp'!$AA10&gt;0,'[14]Table 10 CWTs exp'!S10/'[14]Table 10 CWTs exp'!$AA10," ")</f>
        <v>6.0834651417447376E-5</v>
      </c>
      <c r="T10" s="146">
        <f>IF('[14]Table 10 CWTs exp'!T10/'[14]Table 10 CWTs exp'!$AA10&gt;0,'[14]Table 10 CWTs exp'!T10/'[14]Table 10 CWTs exp'!$AA10," ")</f>
        <v>4.86677211339579E-4</v>
      </c>
      <c r="U10" s="144" t="str">
        <f>IF('[14]Table 10 CWTs exp'!U10/'[14]Table 10 CWTs exp'!$AA10&gt;0,'[14]Table 10 CWTs exp'!U10/'[14]Table 10 CWTs exp'!$AA10," ")</f>
        <v xml:space="preserve"> </v>
      </c>
      <c r="V10" s="146">
        <f>IF('[14]Table 10 CWTs exp'!V10/'[14]Table 10 CWTs exp'!$AA10&gt;0,'[14]Table 10 CWTs exp'!V10/'[14]Table 10 CWTs exp'!$AA10," ")</f>
        <v>2.433386056697895E-4</v>
      </c>
      <c r="W10" s="146" t="str">
        <f>IF('[14]Table 10 CWTs exp'!W10/'[14]Table 10 CWTs exp'!$AA10&gt;0,'[14]Table 10 CWTs exp'!W10/'[14]Table 10 CWTs exp'!$AA10," ")</f>
        <v xml:space="preserve"> </v>
      </c>
      <c r="X10" s="144" t="str">
        <f>IF('[14]Table 10 CWTs exp'!X10/'[14]Table 10 CWTs exp'!$AA10&gt;0,'[14]Table 10 CWTs exp'!X10/'[14]Table 10 CWTs exp'!$AA10," ")</f>
        <v xml:space="preserve"> </v>
      </c>
      <c r="Y10" s="147">
        <f t="shared" si="0"/>
        <v>0.89147098187127405</v>
      </c>
      <c r="Z10" s="148">
        <f t="shared" si="1"/>
        <v>0.10852901812872595</v>
      </c>
      <c r="AA10" s="38">
        <f>'[14]Table 10 CWTs exp'!AA10</f>
        <v>16438</v>
      </c>
      <c r="AC10" s="592">
        <f>'[14]Table 10 CWTs exp'!AD10</f>
        <v>0.89100000000000001</v>
      </c>
      <c r="AD10" s="592">
        <f t="shared" si="2"/>
        <v>4.7098187127403435E-4</v>
      </c>
      <c r="AE10" s="593" t="str">
        <f t="shared" si="3"/>
        <v>CNFH503</v>
      </c>
      <c r="AF10" s="442"/>
      <c r="AG10" s="442"/>
      <c r="AH10" s="648"/>
      <c r="AI10" s="454"/>
      <c r="AJ10" s="442"/>
      <c r="AK10" s="442"/>
      <c r="AL10" s="442"/>
      <c r="AM10" s="442"/>
      <c r="AN10" s="442"/>
      <c r="AO10" s="442"/>
      <c r="AP10" s="442"/>
      <c r="AQ10" s="442"/>
      <c r="AR10" s="442"/>
      <c r="AS10" s="442"/>
      <c r="AT10" s="442"/>
      <c r="AU10" s="442"/>
      <c r="AV10" s="442"/>
      <c r="AW10" s="442"/>
      <c r="AX10" s="442"/>
      <c r="AY10" s="442"/>
    </row>
    <row r="11" spans="1:51" ht="14.5" customHeight="1" x14ac:dyDescent="0.25">
      <c r="A11" s="54" t="str">
        <f>'[14]Table 10 CWTs exp'!A11</f>
        <v>FRFH503</v>
      </c>
      <c r="B11" s="75" t="str">
        <f>'[14]Table 10 CWTs exp'!B11</f>
        <v>FRFH</v>
      </c>
      <c r="C11" s="75">
        <f>'[14]Table 10 CWTs exp'!C11</f>
        <v>50</v>
      </c>
      <c r="D11" s="75">
        <f>'[14]Table 10 CWTs exp'!D11</f>
        <v>3</v>
      </c>
      <c r="E11" s="3" t="str">
        <f>'[14]Table 10 CWTs exp'!E11</f>
        <v>Feather River Hatchery</v>
      </c>
      <c r="F11" s="143" t="str">
        <f>'[14]Table 10 CWTs exp'!F11</f>
        <v>Fall</v>
      </c>
      <c r="G11" s="151" t="str">
        <f>IF('[14]Table 10 CWTs exp'!G11/'[14]Table 10 CWTs exp'!$AA11&gt;0,'[14]Table 10 CWTs exp'!G11/'[14]Table 10 CWTs exp'!$AA11," ")</f>
        <v xml:space="preserve"> </v>
      </c>
      <c r="H11" s="145" t="str">
        <f>IF('[14]Table 10 CWTs exp'!H11/'[14]Table 10 CWTs exp'!$AA11&gt;0,'[14]Table 10 CWTs exp'!H11/'[14]Table 10 CWTs exp'!$AA11," ")</f>
        <v xml:space="preserve"> </v>
      </c>
      <c r="I11" s="144">
        <f>IF('[14]Table 10 CWTs exp'!I11/'[14]Table 10 CWTs exp'!$AA11&gt;0,'[14]Table 10 CWTs exp'!I11/'[14]Table 10 CWTs exp'!$AA11," ")</f>
        <v>8.0742834073475975E-4</v>
      </c>
      <c r="J11" s="146" t="str">
        <f>IF('[14]Table 10 CWTs exp'!J11/'[14]Table 10 CWTs exp'!$AA11&gt;0,'[14]Table 10 CWTs exp'!J11/'[14]Table 10 CWTs exp'!$AA11," ")</f>
        <v xml:space="preserve"> </v>
      </c>
      <c r="K11" s="145">
        <f>IF('[14]Table 10 CWTs exp'!K11/'[14]Table 10 CWTs exp'!$AA11&gt;0,'[14]Table 10 CWTs exp'!K11/'[14]Table 10 CWTs exp'!$AA11," ")</f>
        <v>0.13201453371013322</v>
      </c>
      <c r="L11" s="144">
        <f>IF('[14]Table 10 CWTs exp'!L11/'[14]Table 10 CWTs exp'!$AA11&gt;0,'[14]Table 10 CWTs exp'!L11/'[14]Table 10 CWTs exp'!$AA11," ")</f>
        <v>6.0557125555106986E-3</v>
      </c>
      <c r="M11" s="144">
        <f>IF('[14]Table 10 CWTs exp'!M11/'[14]Table 10 CWTs exp'!$AA11&gt;0,'[14]Table 10 CWTs exp'!M11/'[14]Table 10 CWTs exp'!$AA11," ")</f>
        <v>0.5416229309648769</v>
      </c>
      <c r="N11" s="146">
        <f>IF('[14]Table 10 CWTs exp'!N11/'[14]Table 10 CWTs exp'!$AA11&gt;0,'[14]Table 10 CWTs exp'!N11/'[14]Table 10 CWTs exp'!$AA11," ")</f>
        <v>6.2333467904723452E-2</v>
      </c>
      <c r="O11" s="144">
        <f>IF('[14]Table 10 CWTs exp'!O11/'[14]Table 10 CWTs exp'!$AA11&gt;0,'[14]Table 10 CWTs exp'!O11/'[14]Table 10 CWTs exp'!$AA11," ")</f>
        <v>3.875656035526847E-3</v>
      </c>
      <c r="P11" s="146">
        <f>IF('[14]Table 10 CWTs exp'!P11/'[14]Table 10 CWTs exp'!$AA11&gt;0,'[14]Table 10 CWTs exp'!P11/'[14]Table 10 CWTs exp'!$AA11," ")</f>
        <v>1.7521194993944288E-2</v>
      </c>
      <c r="Q11" s="144">
        <f>IF('[14]Table 10 CWTs exp'!Q11/'[14]Table 10 CWTs exp'!$AA11&gt;0,'[14]Table 10 CWTs exp'!Q11/'[14]Table 10 CWTs exp'!$AA11," ")</f>
        <v>1.6148566814695197E-4</v>
      </c>
      <c r="R11" s="144">
        <f>IF('[14]Table 10 CWTs exp'!R11/'[14]Table 10 CWTs exp'!$AA11&gt;0,'[14]Table 10 CWTs exp'!R11/'[14]Table 10 CWTs exp'!$AA11," ")</f>
        <v>1.0738796931772305E-2</v>
      </c>
      <c r="S11" s="144">
        <f>IF('[14]Table 10 CWTs exp'!S11/'[14]Table 10 CWTs exp'!$AA11&gt;0,'[14]Table 10 CWTs exp'!S11/'[14]Table 10 CWTs exp'!$AA11," ")</f>
        <v>3.3104561970125151E-3</v>
      </c>
      <c r="T11" s="146">
        <f>IF('[14]Table 10 CWTs exp'!T11/'[14]Table 10 CWTs exp'!$AA11&gt;0,'[14]Table 10 CWTs exp'!T11/'[14]Table 10 CWTs exp'!$AA11," ")</f>
        <v>9.6891400888171175E-3</v>
      </c>
      <c r="U11" s="144" t="str">
        <f>IF('[14]Table 10 CWTs exp'!U11/'[14]Table 10 CWTs exp'!$AA11&gt;0,'[14]Table 10 CWTs exp'!U11/'[14]Table 10 CWTs exp'!$AA11," ")</f>
        <v xml:space="preserve"> </v>
      </c>
      <c r="V11" s="146">
        <f>IF('[14]Table 10 CWTs exp'!V11/'[14]Table 10 CWTs exp'!$AA11&gt;0,'[14]Table 10 CWTs exp'!V11/'[14]Table 10 CWTs exp'!$AA11," ")</f>
        <v>1.0496568429551878E-2</v>
      </c>
      <c r="W11" s="146">
        <f>IF('[14]Table 10 CWTs exp'!W11/'[14]Table 10 CWTs exp'!$AA11&gt;0,'[14]Table 10 CWTs exp'!W11/'[14]Table 10 CWTs exp'!$AA11," ")</f>
        <v>2.3415421881308033E-3</v>
      </c>
      <c r="X11" s="144" t="str">
        <f>IF('[14]Table 10 CWTs exp'!X11/'[14]Table 10 CWTs exp'!$AA11&gt;0,'[14]Table 10 CWTs exp'!X11/'[14]Table 10 CWTs exp'!$AA11," ")</f>
        <v xml:space="preserve"> </v>
      </c>
      <c r="Y11" s="147">
        <f t="shared" si="0"/>
        <v>0.80096891400888182</v>
      </c>
      <c r="Z11" s="148">
        <f t="shared" si="1"/>
        <v>0.19903108599111818</v>
      </c>
      <c r="AA11" s="38">
        <f>'[14]Table 10 CWTs exp'!AA11</f>
        <v>12385</v>
      </c>
      <c r="AC11" s="592">
        <f>'[14]Table 10 CWTs exp'!AD11</f>
        <v>0.80100000000000005</v>
      </c>
      <c r="AD11" s="592">
        <f t="shared" si="2"/>
        <v>-3.1085991118229295E-5</v>
      </c>
      <c r="AE11" s="593" t="str">
        <f t="shared" si="3"/>
        <v>FRFH503</v>
      </c>
      <c r="AF11" s="442"/>
      <c r="AG11" s="442"/>
      <c r="AH11" s="648"/>
      <c r="AI11" s="454"/>
      <c r="AJ11" s="442"/>
      <c r="AK11" s="442"/>
      <c r="AL11" s="442"/>
      <c r="AM11" s="442"/>
      <c r="AN11" s="442"/>
      <c r="AO11" s="442"/>
      <c r="AP11" s="442"/>
      <c r="AQ11" s="442"/>
      <c r="AR11" s="442"/>
      <c r="AS11" s="442"/>
      <c r="AT11" s="442"/>
      <c r="AU11" s="442"/>
      <c r="AV11" s="442"/>
      <c r="AW11" s="442"/>
      <c r="AX11" s="442"/>
      <c r="AY11" s="442"/>
    </row>
    <row r="12" spans="1:51" ht="14.5" customHeight="1" x14ac:dyDescent="0.25">
      <c r="A12" s="54" t="str">
        <f>'[14]Table 10 CWTs exp'!A12</f>
        <v>NBFH503</v>
      </c>
      <c r="B12" s="75" t="str">
        <f>'[14]Table 10 CWTs exp'!B12</f>
        <v>NBFH</v>
      </c>
      <c r="C12" s="75">
        <f>'[14]Table 10 CWTs exp'!C12</f>
        <v>50</v>
      </c>
      <c r="D12" s="75">
        <f>'[14]Table 10 CWTs exp'!D12</f>
        <v>3</v>
      </c>
      <c r="E12" s="3" t="str">
        <f>'[14]Table 10 CWTs exp'!E12</f>
        <v>Nimbus Fish Hatchery</v>
      </c>
      <c r="F12" s="143" t="str">
        <f>'[14]Table 10 CWTs exp'!F12</f>
        <v>Fall</v>
      </c>
      <c r="G12" s="151" t="str">
        <f>IF('[14]Table 10 CWTs exp'!G12/'[14]Table 10 CWTs exp'!$AA12&gt;0,'[14]Table 10 CWTs exp'!G12/'[14]Table 10 CWTs exp'!$AA12," ")</f>
        <v xml:space="preserve"> </v>
      </c>
      <c r="H12" s="145" t="str">
        <f>IF('[14]Table 10 CWTs exp'!H12/'[14]Table 10 CWTs exp'!$AA12&gt;0,'[14]Table 10 CWTs exp'!H12/'[14]Table 10 CWTs exp'!$AA12," ")</f>
        <v xml:space="preserve"> </v>
      </c>
      <c r="I12" s="144">
        <f>IF('[14]Table 10 CWTs exp'!I12/'[14]Table 10 CWTs exp'!$AA12&gt;0,'[14]Table 10 CWTs exp'!I12/'[14]Table 10 CWTs exp'!$AA12," ")</f>
        <v>3.611086034124763E-4</v>
      </c>
      <c r="J12" s="146" t="str">
        <f>IF('[14]Table 10 CWTs exp'!J12/'[14]Table 10 CWTs exp'!$AA12&gt;0,'[14]Table 10 CWTs exp'!J12/'[14]Table 10 CWTs exp'!$AA12," ")</f>
        <v xml:space="preserve"> </v>
      </c>
      <c r="K12" s="145" t="str">
        <f>IF('[14]Table 10 CWTs exp'!K12/'[14]Table 10 CWTs exp'!$AA12&gt;0,'[14]Table 10 CWTs exp'!K12/'[14]Table 10 CWTs exp'!$AA12," ")</f>
        <v xml:space="preserve"> </v>
      </c>
      <c r="L12" s="144" t="str">
        <f>IF('[14]Table 10 CWTs exp'!L12/'[14]Table 10 CWTs exp'!$AA12&gt;0,'[14]Table 10 CWTs exp'!L12/'[14]Table 10 CWTs exp'!$AA12," ")</f>
        <v xml:space="preserve"> </v>
      </c>
      <c r="M12" s="144">
        <f>IF('[14]Table 10 CWTs exp'!M12/'[14]Table 10 CWTs exp'!$AA12&gt;0,'[14]Table 10 CWTs exp'!M12/'[14]Table 10 CWTs exp'!$AA12," ")</f>
        <v>1.2458246817730433E-2</v>
      </c>
      <c r="N12" s="146">
        <f>IF('[14]Table 10 CWTs exp'!N12/'[14]Table 10 CWTs exp'!$AA12&gt;0,'[14]Table 10 CWTs exp'!N12/'[14]Table 10 CWTs exp'!$AA12," ")</f>
        <v>2.1666516204748576E-3</v>
      </c>
      <c r="O12" s="144">
        <f>IF('[14]Table 10 CWTs exp'!O12/'[14]Table 10 CWTs exp'!$AA12&gt;0,'[14]Table 10 CWTs exp'!O12/'[14]Table 10 CWTs exp'!$AA12," ")</f>
        <v>0.18876952243387199</v>
      </c>
      <c r="P12" s="146">
        <f>IF('[14]Table 10 CWTs exp'!P12/'[14]Table 10 CWTs exp'!$AA12&gt;0,'[14]Table 10 CWTs exp'!P12/'[14]Table 10 CWTs exp'!$AA12," ")</f>
        <v>0.36833077548072585</v>
      </c>
      <c r="Q12" s="144">
        <f>IF('[14]Table 10 CWTs exp'!Q12/'[14]Table 10 CWTs exp'!$AA12&gt;0,'[14]Table 10 CWTs exp'!Q12/'[14]Table 10 CWTs exp'!$AA12," ")</f>
        <v>1.4444344136499052E-3</v>
      </c>
      <c r="R12" s="144">
        <f>IF('[14]Table 10 CWTs exp'!R12/'[14]Table 10 CWTs exp'!$AA12&gt;0,'[14]Table 10 CWTs exp'!R12/'[14]Table 10 CWTs exp'!$AA12," ")</f>
        <v>0.16466552315608921</v>
      </c>
      <c r="S12" s="144">
        <f>IF('[14]Table 10 CWTs exp'!S12/'[14]Table 10 CWTs exp'!$AA12&gt;0,'[14]Table 10 CWTs exp'!S12/'[14]Table 10 CWTs exp'!$AA12," ")</f>
        <v>2.1756793355601697E-2</v>
      </c>
      <c r="T12" s="146">
        <f>IF('[14]Table 10 CWTs exp'!T12/'[14]Table 10 CWTs exp'!$AA12&gt;0,'[14]Table 10 CWTs exp'!T12/'[14]Table 10 CWTs exp'!$AA12," ")</f>
        <v>8.8110499232644218E-2</v>
      </c>
      <c r="U12" s="144" t="str">
        <f>IF('[14]Table 10 CWTs exp'!U12/'[14]Table 10 CWTs exp'!$AA12&gt;0,'[14]Table 10 CWTs exp'!U12/'[14]Table 10 CWTs exp'!$AA12," ")</f>
        <v xml:space="preserve"> </v>
      </c>
      <c r="V12" s="146">
        <f>IF('[14]Table 10 CWTs exp'!V12/'[14]Table 10 CWTs exp'!$AA12&gt;0,'[14]Table 10 CWTs exp'!V12/'[14]Table 10 CWTs exp'!$AA12," ")</f>
        <v>1.5527669946736482E-2</v>
      </c>
      <c r="W12" s="146">
        <f>IF('[14]Table 10 CWTs exp'!W12/'[14]Table 10 CWTs exp'!$AA12&gt;0,'[14]Table 10 CWTs exp'!W12/'[14]Table 10 CWTs exp'!$AA12," ")</f>
        <v>9.0277150853119076E-5</v>
      </c>
      <c r="X12" s="144" t="str">
        <f>IF('[14]Table 10 CWTs exp'!X12/'[14]Table 10 CWTs exp'!$AA12&gt;0,'[14]Table 10 CWTs exp'!X12/'[14]Table 10 CWTs exp'!$AA12," ")</f>
        <v xml:space="preserve"> </v>
      </c>
      <c r="Y12" s="147">
        <f t="shared" si="0"/>
        <v>0.86368150221179019</v>
      </c>
      <c r="Z12" s="148">
        <f t="shared" si="1"/>
        <v>0.13631849778820981</v>
      </c>
      <c r="AA12" s="38">
        <f>'[14]Table 10 CWTs exp'!AA12</f>
        <v>11077</v>
      </c>
      <c r="AC12" s="592">
        <f>'[14]Table 10 CWTs exp'!AD12</f>
        <v>0.86399999999999999</v>
      </c>
      <c r="AD12" s="592">
        <f t="shared" si="2"/>
        <v>-3.184977882098039E-4</v>
      </c>
      <c r="AE12" s="593" t="str">
        <f t="shared" si="3"/>
        <v>NBFH503</v>
      </c>
      <c r="AF12" s="442"/>
      <c r="AG12" s="442"/>
      <c r="AH12" s="648"/>
      <c r="AI12" s="454"/>
      <c r="AJ12" s="442"/>
      <c r="AK12" s="442"/>
      <c r="AL12" s="442"/>
      <c r="AM12" s="442"/>
      <c r="AN12" s="442"/>
      <c r="AO12" s="442"/>
      <c r="AP12" s="442"/>
      <c r="AQ12" s="442"/>
      <c r="AR12" s="442"/>
      <c r="AS12" s="442"/>
      <c r="AT12" s="442"/>
      <c r="AU12" s="442"/>
      <c r="AV12" s="442"/>
      <c r="AW12" s="442"/>
      <c r="AX12" s="442"/>
      <c r="AY12" s="442"/>
    </row>
    <row r="13" spans="1:51" ht="14.5" customHeight="1" x14ac:dyDescent="0.25">
      <c r="A13" s="54" t="str">
        <f>'[14]Table 10 CWTs exp'!A13</f>
        <v>MRFI503</v>
      </c>
      <c r="B13" s="75" t="str">
        <f>'[14]Table 10 CWTs exp'!B13</f>
        <v>MRFI</v>
      </c>
      <c r="C13" s="75">
        <f>'[14]Table 10 CWTs exp'!C13</f>
        <v>50</v>
      </c>
      <c r="D13" s="75">
        <f>'[14]Table 10 CWTs exp'!D13</f>
        <v>3</v>
      </c>
      <c r="E13" s="3" t="str">
        <f>'[14]Table 10 CWTs exp'!E13</f>
        <v>Mokelumne River Hatchery</v>
      </c>
      <c r="F13" s="143" t="str">
        <f>'[14]Table 10 CWTs exp'!F13</f>
        <v>Fall</v>
      </c>
      <c r="G13" s="151" t="str">
        <f>IF('[14]Table 10 CWTs exp'!G13/'[14]Table 10 CWTs exp'!$AA13&gt;0,'[14]Table 10 CWTs exp'!G13/'[14]Table 10 CWTs exp'!$AA13," ")</f>
        <v xml:space="preserve"> </v>
      </c>
      <c r="H13" s="145" t="str">
        <f>IF('[14]Table 10 CWTs exp'!H13/'[14]Table 10 CWTs exp'!$AA13&gt;0,'[14]Table 10 CWTs exp'!H13/'[14]Table 10 CWTs exp'!$AA13," ")</f>
        <v xml:space="preserve"> </v>
      </c>
      <c r="I13" s="144">
        <f>IF('[14]Table 10 CWTs exp'!I13/'[14]Table 10 CWTs exp'!$AA13&gt;0,'[14]Table 10 CWTs exp'!I13/'[14]Table 10 CWTs exp'!$AA13," ")</f>
        <v>9.4854161726345748E-4</v>
      </c>
      <c r="J13" s="146" t="str">
        <f>IF('[14]Table 10 CWTs exp'!J13/'[14]Table 10 CWTs exp'!$AA13&gt;0,'[14]Table 10 CWTs exp'!J13/'[14]Table 10 CWTs exp'!$AA13," ")</f>
        <v xml:space="preserve"> </v>
      </c>
      <c r="K13" s="145" t="str">
        <f>IF('[14]Table 10 CWTs exp'!K13/'[14]Table 10 CWTs exp'!$AA13&gt;0,'[14]Table 10 CWTs exp'!K13/'[14]Table 10 CWTs exp'!$AA13," ")</f>
        <v xml:space="preserve"> </v>
      </c>
      <c r="L13" s="144" t="str">
        <f>IF('[14]Table 10 CWTs exp'!L13/'[14]Table 10 CWTs exp'!$AA13&gt;0,'[14]Table 10 CWTs exp'!L13/'[14]Table 10 CWTs exp'!$AA13," ")</f>
        <v xml:space="preserve"> </v>
      </c>
      <c r="M13" s="144">
        <f>IF('[14]Table 10 CWTs exp'!M13/'[14]Table 10 CWTs exp'!$AA13&gt;0,'[14]Table 10 CWTs exp'!M13/'[14]Table 10 CWTs exp'!$AA13," ")</f>
        <v>4.2210101968223855E-2</v>
      </c>
      <c r="N13" s="146">
        <f>IF('[14]Table 10 CWTs exp'!N13/'[14]Table 10 CWTs exp'!$AA13&gt;0,'[14]Table 10 CWTs exp'!N13/'[14]Table 10 CWTs exp'!$AA13," ")</f>
        <v>4.7427080863172875E-3</v>
      </c>
      <c r="O13" s="144">
        <f>IF('[14]Table 10 CWTs exp'!O13/'[14]Table 10 CWTs exp'!$AA13&gt;0,'[14]Table 10 CWTs exp'!O13/'[14]Table 10 CWTs exp'!$AA13," ")</f>
        <v>1.897083234526915E-3</v>
      </c>
      <c r="P13" s="146">
        <f>IF('[14]Table 10 CWTs exp'!P13/'[14]Table 10 CWTs exp'!$AA13&gt;0,'[14]Table 10 CWTs exp'!P13/'[14]Table 10 CWTs exp'!$AA13," ")</f>
        <v>0.10196822385582167</v>
      </c>
      <c r="Q13" s="144">
        <f>IF('[14]Table 10 CWTs exp'!Q13/'[14]Table 10 CWTs exp'!$AA13&gt;0,'[14]Table 10 CWTs exp'!Q13/'[14]Table 10 CWTs exp'!$AA13," ")</f>
        <v>1.2805311833056676E-2</v>
      </c>
      <c r="R13" s="144">
        <f>IF('[14]Table 10 CWTs exp'!R13/'[14]Table 10 CWTs exp'!$AA13&gt;0,'[14]Table 10 CWTs exp'!R13/'[14]Table 10 CWTs exp'!$AA13," ")</f>
        <v>0.50889257766184492</v>
      </c>
      <c r="S13" s="144">
        <f>IF('[14]Table 10 CWTs exp'!S13/'[14]Table 10 CWTs exp'!$AA13&gt;0,'[14]Table 10 CWTs exp'!S13/'[14]Table 10 CWTs exp'!$AA13," ")</f>
        <v>2.347640502727057E-2</v>
      </c>
      <c r="T13" s="146">
        <f>IF('[14]Table 10 CWTs exp'!T13/'[14]Table 10 CWTs exp'!$AA13&gt;0,'[14]Table 10 CWTs exp'!T13/'[14]Table 10 CWTs exp'!$AA13," ")</f>
        <v>0.13374436803414749</v>
      </c>
      <c r="U13" s="144" t="str">
        <f>IF('[14]Table 10 CWTs exp'!U13/'[14]Table 10 CWTs exp'!$AA13&gt;0,'[14]Table 10 CWTs exp'!U13/'[14]Table 10 CWTs exp'!$AA13," ")</f>
        <v xml:space="preserve"> </v>
      </c>
      <c r="V13" s="146">
        <f>IF('[14]Table 10 CWTs exp'!V13/'[14]Table 10 CWTs exp'!$AA13&gt;0,'[14]Table 10 CWTs exp'!V13/'[14]Table 10 CWTs exp'!$AA13," ")</f>
        <v>5.8572444866018494E-2</v>
      </c>
      <c r="W13" s="146">
        <f>IF('[14]Table 10 CWTs exp'!W13/'[14]Table 10 CWTs exp'!$AA13&gt;0,'[14]Table 10 CWTs exp'!W13/'[14]Table 10 CWTs exp'!$AA13," ")</f>
        <v>2.3713540431586437E-4</v>
      </c>
      <c r="X13" s="144" t="str">
        <f>IF('[14]Table 10 CWTs exp'!X13/'[14]Table 10 CWTs exp'!$AA13&gt;0,'[14]Table 10 CWTs exp'!X13/'[14]Table 10 CWTs exp'!$AA13," ")</f>
        <v xml:space="preserve"> </v>
      </c>
      <c r="Y13" s="147">
        <f t="shared" si="0"/>
        <v>0.88949490158880717</v>
      </c>
      <c r="Z13" s="148">
        <f t="shared" si="1"/>
        <v>0.11050509841119283</v>
      </c>
      <c r="AA13" s="38">
        <f>'[14]Table 10 CWTs exp'!AA13</f>
        <v>4217</v>
      </c>
      <c r="AC13" s="592">
        <f>'[14]Table 10 CWTs exp'!AD13</f>
        <v>0.88900000000000001</v>
      </c>
      <c r="AD13" s="592">
        <f t="shared" si="2"/>
        <v>4.9490158880716173E-4</v>
      </c>
      <c r="AE13" s="593" t="str">
        <f t="shared" si="3"/>
        <v>MRFI503</v>
      </c>
      <c r="AF13" s="442"/>
      <c r="AG13" s="442"/>
      <c r="AH13" s="648"/>
      <c r="AI13" s="454"/>
      <c r="AJ13" s="442"/>
      <c r="AK13" s="442"/>
      <c r="AL13" s="442"/>
      <c r="AM13" s="442"/>
      <c r="AN13" s="442"/>
      <c r="AO13" s="442"/>
      <c r="AP13" s="442"/>
      <c r="AQ13" s="442"/>
      <c r="AR13" s="442"/>
      <c r="AS13" s="442"/>
      <c r="AT13" s="442"/>
      <c r="AU13" s="442"/>
      <c r="AV13" s="442"/>
      <c r="AW13" s="442"/>
      <c r="AX13" s="442"/>
      <c r="AY13" s="442"/>
    </row>
    <row r="14" spans="1:51" ht="14.5" customHeight="1" x14ac:dyDescent="0.25">
      <c r="A14" s="54" t="str">
        <f>'[14]Table 10 CWTs exp'!A14</f>
        <v>MRFF503</v>
      </c>
      <c r="B14" s="75" t="str">
        <f>'[14]Table 10 CWTs exp'!B14</f>
        <v>MRFF</v>
      </c>
      <c r="C14" s="75">
        <f>'[14]Table 10 CWTs exp'!C14</f>
        <v>50</v>
      </c>
      <c r="D14" s="75">
        <f>'[14]Table 10 CWTs exp'!D14</f>
        <v>3</v>
      </c>
      <c r="E14" s="3" t="str">
        <f>'[14]Table 10 CWTs exp'!E14</f>
        <v>Merced River Hatchery</v>
      </c>
      <c r="F14" s="143" t="str">
        <f>'[14]Table 10 CWTs exp'!F14</f>
        <v>Fall</v>
      </c>
      <c r="G14" s="151" t="str">
        <f>IF('[14]Table 10 CWTs exp'!G14/'[14]Table 10 CWTs exp'!$AA14&gt;0,'[14]Table 10 CWTs exp'!G14/'[14]Table 10 CWTs exp'!$AA14," ")</f>
        <v xml:space="preserve"> </v>
      </c>
      <c r="H14" s="145">
        <f>IF('[14]Table 10 CWTs exp'!H14/'[14]Table 10 CWTs exp'!$AA14&gt;0,'[14]Table 10 CWTs exp'!H14/'[14]Table 10 CWTs exp'!$AA14," ")</f>
        <v>3.7453183520599251E-3</v>
      </c>
      <c r="I14" s="144" t="str">
        <f>IF('[14]Table 10 CWTs exp'!I14/'[14]Table 10 CWTs exp'!$AA14&gt;0,'[14]Table 10 CWTs exp'!I14/'[14]Table 10 CWTs exp'!$AA14," ")</f>
        <v xml:space="preserve"> </v>
      </c>
      <c r="J14" s="146" t="str">
        <f>IF('[14]Table 10 CWTs exp'!J14/'[14]Table 10 CWTs exp'!$AA14&gt;0,'[14]Table 10 CWTs exp'!J14/'[14]Table 10 CWTs exp'!$AA14," ")</f>
        <v xml:space="preserve"> </v>
      </c>
      <c r="K14" s="145" t="str">
        <f>IF('[14]Table 10 CWTs exp'!K14/'[14]Table 10 CWTs exp'!$AA14&gt;0,'[14]Table 10 CWTs exp'!K14/'[14]Table 10 CWTs exp'!$AA14," ")</f>
        <v xml:space="preserve"> </v>
      </c>
      <c r="L14" s="144" t="str">
        <f>IF('[14]Table 10 CWTs exp'!L14/'[14]Table 10 CWTs exp'!$AA14&gt;0,'[14]Table 10 CWTs exp'!L14/'[14]Table 10 CWTs exp'!$AA14," ")</f>
        <v xml:space="preserve"> </v>
      </c>
      <c r="M14" s="144">
        <f>IF('[14]Table 10 CWTs exp'!M14/'[14]Table 10 CWTs exp'!$AA14&gt;0,'[14]Table 10 CWTs exp'!M14/'[14]Table 10 CWTs exp'!$AA14," ")</f>
        <v>2.9962546816479401E-2</v>
      </c>
      <c r="N14" s="146" t="str">
        <f>IF('[14]Table 10 CWTs exp'!N14/'[14]Table 10 CWTs exp'!$AA14&gt;0,'[14]Table 10 CWTs exp'!N14/'[14]Table 10 CWTs exp'!$AA14," ")</f>
        <v xml:space="preserve"> </v>
      </c>
      <c r="O14" s="144" t="str">
        <f>IF('[14]Table 10 CWTs exp'!O14/'[14]Table 10 CWTs exp'!$AA14&gt;0,'[14]Table 10 CWTs exp'!O14/'[14]Table 10 CWTs exp'!$AA14," ")</f>
        <v xml:space="preserve"> </v>
      </c>
      <c r="P14" s="146">
        <f>IF('[14]Table 10 CWTs exp'!P14/'[14]Table 10 CWTs exp'!$AA14&gt;0,'[14]Table 10 CWTs exp'!P14/'[14]Table 10 CWTs exp'!$AA14," ")</f>
        <v>7.4906367041198504E-2</v>
      </c>
      <c r="Q14" s="144" t="str">
        <f>IF('[14]Table 10 CWTs exp'!Q14/'[14]Table 10 CWTs exp'!$AA14&gt;0,'[14]Table 10 CWTs exp'!Q14/'[14]Table 10 CWTs exp'!$AA14," ")</f>
        <v xml:space="preserve"> </v>
      </c>
      <c r="R14" s="144">
        <f>IF('[14]Table 10 CWTs exp'!R14/'[14]Table 10 CWTs exp'!$AA14&gt;0,'[14]Table 10 CWTs exp'!R14/'[14]Table 10 CWTs exp'!$AA14," ")</f>
        <v>0.6067415730337079</v>
      </c>
      <c r="S14" s="144" t="str">
        <f>IF('[14]Table 10 CWTs exp'!S14/'[14]Table 10 CWTs exp'!$AA14&gt;0,'[14]Table 10 CWTs exp'!S14/'[14]Table 10 CWTs exp'!$AA14," ")</f>
        <v xml:space="preserve"> </v>
      </c>
      <c r="T14" s="146">
        <f>IF('[14]Table 10 CWTs exp'!T14/'[14]Table 10 CWTs exp'!$AA14&gt;0,'[14]Table 10 CWTs exp'!T14/'[14]Table 10 CWTs exp'!$AA14," ")</f>
        <v>0.10112359550561797</v>
      </c>
      <c r="U14" s="144" t="str">
        <f>IF('[14]Table 10 CWTs exp'!U14/'[14]Table 10 CWTs exp'!$AA14&gt;0,'[14]Table 10 CWTs exp'!U14/'[14]Table 10 CWTs exp'!$AA14," ")</f>
        <v xml:space="preserve"> </v>
      </c>
      <c r="V14" s="146">
        <f>IF('[14]Table 10 CWTs exp'!V14/'[14]Table 10 CWTs exp'!$AA14&gt;0,'[14]Table 10 CWTs exp'!V14/'[14]Table 10 CWTs exp'!$AA14," ")</f>
        <v>0.17228464419475656</v>
      </c>
      <c r="W14" s="146">
        <f>IF('[14]Table 10 CWTs exp'!W14/'[14]Table 10 CWTs exp'!$AA14&gt;0,'[14]Table 10 CWTs exp'!W14/'[14]Table 10 CWTs exp'!$AA14," ")</f>
        <v>7.4906367041198503E-3</v>
      </c>
      <c r="X14" s="144" t="str">
        <f>IF('[14]Table 10 CWTs exp'!X14/'[14]Table 10 CWTs exp'!$AA14&gt;0,'[14]Table 10 CWTs exp'!X14/'[14]Table 10 CWTs exp'!$AA14," ")</f>
        <v xml:space="preserve"> </v>
      </c>
      <c r="Y14" s="147">
        <f t="shared" si="0"/>
        <v>0.99625468164794018</v>
      </c>
      <c r="Z14" s="148">
        <f t="shared" si="1"/>
        <v>3.7453183520598232E-3</v>
      </c>
      <c r="AA14" s="38">
        <f>'[14]Table 10 CWTs exp'!AA14</f>
        <v>267</v>
      </c>
      <c r="AC14" s="592">
        <f>'[14]Table 10 CWTs exp'!AD14</f>
        <v>0.996</v>
      </c>
      <c r="AD14" s="592">
        <f t="shared" si="2"/>
        <v>2.5468164794018033E-4</v>
      </c>
      <c r="AE14" s="593" t="str">
        <f t="shared" si="3"/>
        <v>MRFF503</v>
      </c>
      <c r="AF14" s="442"/>
      <c r="AG14" s="442"/>
      <c r="AH14" s="648"/>
      <c r="AI14" s="454"/>
      <c r="AJ14" s="442"/>
      <c r="AK14" s="442"/>
      <c r="AL14" s="442"/>
      <c r="AM14" s="442"/>
      <c r="AN14" s="442"/>
      <c r="AO14" s="442"/>
      <c r="AP14" s="442"/>
      <c r="AQ14" s="442"/>
      <c r="AR14" s="442"/>
      <c r="AS14" s="442"/>
      <c r="AT14" s="442"/>
      <c r="AU14" s="442"/>
      <c r="AV14" s="442"/>
      <c r="AW14" s="442"/>
      <c r="AX14" s="442"/>
      <c r="AY14" s="442"/>
    </row>
    <row r="15" spans="1:51" ht="14.5" customHeight="1" x14ac:dyDescent="0.25">
      <c r="A15" s="54" t="str">
        <f>'[14]Table 10 CWTs exp'!A15</f>
        <v>CNFH507</v>
      </c>
      <c r="B15" s="75" t="str">
        <f>'[14]Table 10 CWTs exp'!B15</f>
        <v>CNFH</v>
      </c>
      <c r="C15" s="75">
        <f>'[14]Table 10 CWTs exp'!C15</f>
        <v>50</v>
      </c>
      <c r="D15" s="75">
        <f>'[14]Table 10 CWTs exp'!D15</f>
        <v>7</v>
      </c>
      <c r="E15" s="3" t="str">
        <f>'[14]Table 10 CWTs exp'!E15</f>
        <v xml:space="preserve">Coleman National Fish Hatchery </v>
      </c>
      <c r="F15" s="37" t="s">
        <v>133</v>
      </c>
      <c r="G15" s="151" t="str">
        <f>IF('[14]Table 10 CWTs exp'!G15/'[14]Table 10 CWTs exp'!$AA15&gt;0,'[14]Table 10 CWTs exp'!G15/'[14]Table 10 CWTs exp'!$AA15," ")</f>
        <v xml:space="preserve"> </v>
      </c>
      <c r="H15" s="145">
        <f>IF('[14]Table 10 CWTs exp'!H15/'[14]Table 10 CWTs exp'!$AA15&gt;0,'[14]Table 10 CWTs exp'!H15/'[14]Table 10 CWTs exp'!$AA15," ")</f>
        <v>0.99956709956709955</v>
      </c>
      <c r="I15" s="144" t="str">
        <f>IF('[14]Table 10 CWTs exp'!I15/'[14]Table 10 CWTs exp'!$AA15&gt;0,'[14]Table 10 CWTs exp'!I15/'[14]Table 10 CWTs exp'!$AA15," ")</f>
        <v xml:space="preserve"> </v>
      </c>
      <c r="J15" s="146" t="str">
        <f>IF('[14]Table 10 CWTs exp'!J15/'[14]Table 10 CWTs exp'!$AA15&gt;0,'[14]Table 10 CWTs exp'!J15/'[14]Table 10 CWTs exp'!$AA15," ")</f>
        <v xml:space="preserve"> </v>
      </c>
      <c r="K15" s="145" t="str">
        <f>IF('[14]Table 10 CWTs exp'!K15/'[14]Table 10 CWTs exp'!$AA15&gt;0,'[14]Table 10 CWTs exp'!K15/'[14]Table 10 CWTs exp'!$AA15," ")</f>
        <v xml:space="preserve"> </v>
      </c>
      <c r="L15" s="144" t="str">
        <f>IF('[14]Table 10 CWTs exp'!L15/'[14]Table 10 CWTs exp'!$AA15&gt;0,'[14]Table 10 CWTs exp'!L15/'[14]Table 10 CWTs exp'!$AA15," ")</f>
        <v xml:space="preserve"> </v>
      </c>
      <c r="M15" s="144" t="str">
        <f>IF('[14]Table 10 CWTs exp'!M15/'[14]Table 10 CWTs exp'!$AA15&gt;0,'[14]Table 10 CWTs exp'!M15/'[14]Table 10 CWTs exp'!$AA15," ")</f>
        <v xml:space="preserve"> </v>
      </c>
      <c r="N15" s="146" t="str">
        <f>IF('[14]Table 10 CWTs exp'!N15/'[14]Table 10 CWTs exp'!$AA15&gt;0,'[14]Table 10 CWTs exp'!N15/'[14]Table 10 CWTs exp'!$AA15," ")</f>
        <v xml:space="preserve"> </v>
      </c>
      <c r="O15" s="144" t="str">
        <f>IF('[14]Table 10 CWTs exp'!O15/'[14]Table 10 CWTs exp'!$AA15&gt;0,'[14]Table 10 CWTs exp'!O15/'[14]Table 10 CWTs exp'!$AA15," ")</f>
        <v xml:space="preserve"> </v>
      </c>
      <c r="P15" s="146" t="str">
        <f>IF('[14]Table 10 CWTs exp'!P15/'[14]Table 10 CWTs exp'!$AA15&gt;0,'[14]Table 10 CWTs exp'!P15/'[14]Table 10 CWTs exp'!$AA15," ")</f>
        <v xml:space="preserve"> </v>
      </c>
      <c r="Q15" s="144" t="str">
        <f>IF('[14]Table 10 CWTs exp'!Q15/'[14]Table 10 CWTs exp'!$AA15&gt;0,'[14]Table 10 CWTs exp'!Q15/'[14]Table 10 CWTs exp'!$AA15," ")</f>
        <v xml:space="preserve"> </v>
      </c>
      <c r="R15" s="144" t="str">
        <f>IF('[14]Table 10 CWTs exp'!R15/'[14]Table 10 CWTs exp'!$AA15&gt;0,'[14]Table 10 CWTs exp'!R15/'[14]Table 10 CWTs exp'!$AA15," ")</f>
        <v xml:space="preserve"> </v>
      </c>
      <c r="S15" s="144" t="str">
        <f>IF('[14]Table 10 CWTs exp'!S15/'[14]Table 10 CWTs exp'!$AA15&gt;0,'[14]Table 10 CWTs exp'!S15/'[14]Table 10 CWTs exp'!$AA15," ")</f>
        <v xml:space="preserve"> </v>
      </c>
      <c r="T15" s="146" t="str">
        <f>IF('[14]Table 10 CWTs exp'!T15/'[14]Table 10 CWTs exp'!$AA15&gt;0,'[14]Table 10 CWTs exp'!T15/'[14]Table 10 CWTs exp'!$AA15," ")</f>
        <v xml:space="preserve"> </v>
      </c>
      <c r="U15" s="144" t="str">
        <f>IF('[14]Table 10 CWTs exp'!U15/'[14]Table 10 CWTs exp'!$AA15&gt;0,'[14]Table 10 CWTs exp'!U15/'[14]Table 10 CWTs exp'!$AA15," ")</f>
        <v xml:space="preserve"> </v>
      </c>
      <c r="V15" s="146" t="str">
        <f>IF('[14]Table 10 CWTs exp'!V15/'[14]Table 10 CWTs exp'!$AA15&gt;0,'[14]Table 10 CWTs exp'!V15/'[14]Table 10 CWTs exp'!$AA15," ")</f>
        <v xml:space="preserve"> </v>
      </c>
      <c r="W15" s="146" t="str">
        <f>IF('[14]Table 10 CWTs exp'!W15/'[14]Table 10 CWTs exp'!$AA15&gt;0,'[14]Table 10 CWTs exp'!W15/'[14]Table 10 CWTs exp'!$AA15," ")</f>
        <v xml:space="preserve"> </v>
      </c>
      <c r="X15" s="144" t="str">
        <f>IF('[14]Table 10 CWTs exp'!X15/'[14]Table 10 CWTs exp'!$AA15&gt;0,'[14]Table 10 CWTs exp'!X15/'[14]Table 10 CWTs exp'!$AA15," ")</f>
        <v xml:space="preserve"> </v>
      </c>
      <c r="Y15" s="147">
        <f t="shared" si="0"/>
        <v>0.99956709956709955</v>
      </c>
      <c r="Z15" s="148">
        <f t="shared" si="1"/>
        <v>4.3290043290045155E-4</v>
      </c>
      <c r="AA15" s="38">
        <f>'[14]Table 10 CWTs exp'!AA15</f>
        <v>2310</v>
      </c>
      <c r="AC15" s="592">
        <f>'[14]Table 10 CWTs exp'!AD15</f>
        <v>1</v>
      </c>
      <c r="AD15" s="592">
        <f t="shared" si="2"/>
        <v>-4.3290043290045155E-4</v>
      </c>
      <c r="AE15" s="593" t="str">
        <f t="shared" si="3"/>
        <v>CNFH507</v>
      </c>
      <c r="AF15" s="442"/>
      <c r="AG15" s="442"/>
      <c r="AH15" s="648"/>
      <c r="AI15" s="454"/>
      <c r="AJ15" s="442"/>
      <c r="AK15" s="442"/>
      <c r="AL15" s="442"/>
      <c r="AM15" s="442"/>
      <c r="AN15" s="442"/>
      <c r="AO15" s="442"/>
      <c r="AP15" s="442"/>
      <c r="AQ15" s="442"/>
      <c r="AR15" s="442"/>
      <c r="AS15" s="442"/>
      <c r="AT15" s="442"/>
      <c r="AU15" s="442"/>
      <c r="AV15" s="442"/>
      <c r="AW15" s="442"/>
      <c r="AX15" s="442"/>
      <c r="AY15" s="442"/>
    </row>
    <row r="16" spans="1:51" ht="14.5" customHeight="1" x14ac:dyDescent="0.25">
      <c r="A16" s="54" t="str">
        <f>'[14]Table 10 CWTs exp'!A16</f>
        <v>CNFW527</v>
      </c>
      <c r="B16" s="75" t="str">
        <f>'[14]Table 10 CWTs exp'!B16</f>
        <v>CNFW</v>
      </c>
      <c r="C16" s="75">
        <f>'[14]Table 10 CWTs exp'!C16</f>
        <v>52</v>
      </c>
      <c r="D16" s="75">
        <f>'[14]Table 10 CWTs exp'!D16</f>
        <v>7</v>
      </c>
      <c r="E16" s="3" t="str">
        <f>'[14]Table 10 CWTs exp'!E16</f>
        <v>Coleman Hatchery Fish Trap</v>
      </c>
      <c r="F16" s="37" t="s">
        <v>133</v>
      </c>
      <c r="G16" s="151" t="str">
        <f>IF('[14]Table 10 CWTs exp'!G16/'[14]Table 10 CWTs exp'!$AA16&gt;0,'[14]Table 10 CWTs exp'!G16/'[14]Table 10 CWTs exp'!$AA16," ")</f>
        <v xml:space="preserve"> </v>
      </c>
      <c r="H16" s="145">
        <f>IF('[14]Table 10 CWTs exp'!H16/'[14]Table 10 CWTs exp'!$AA16&gt;0,'[14]Table 10 CWTs exp'!H16/'[14]Table 10 CWTs exp'!$AA16," ")</f>
        <v>1</v>
      </c>
      <c r="I16" s="144" t="str">
        <f>IF('[14]Table 10 CWTs exp'!I16/'[14]Table 10 CWTs exp'!$AA16&gt;0,'[14]Table 10 CWTs exp'!I16/'[14]Table 10 CWTs exp'!$AA16," ")</f>
        <v xml:space="preserve"> </v>
      </c>
      <c r="J16" s="146" t="str">
        <f>IF('[14]Table 10 CWTs exp'!J16/'[14]Table 10 CWTs exp'!$AA16&gt;0,'[14]Table 10 CWTs exp'!J16/'[14]Table 10 CWTs exp'!$AA16," ")</f>
        <v xml:space="preserve"> </v>
      </c>
      <c r="K16" s="145" t="str">
        <f>IF('[14]Table 10 CWTs exp'!K16/'[14]Table 10 CWTs exp'!$AA16&gt;0,'[14]Table 10 CWTs exp'!K16/'[14]Table 10 CWTs exp'!$AA16," ")</f>
        <v xml:space="preserve"> </v>
      </c>
      <c r="L16" s="144" t="str">
        <f>IF('[14]Table 10 CWTs exp'!L16/'[14]Table 10 CWTs exp'!$AA16&gt;0,'[14]Table 10 CWTs exp'!L16/'[14]Table 10 CWTs exp'!$AA16," ")</f>
        <v xml:space="preserve"> </v>
      </c>
      <c r="M16" s="144" t="str">
        <f>IF('[14]Table 10 CWTs exp'!M16/'[14]Table 10 CWTs exp'!$AA16&gt;0,'[14]Table 10 CWTs exp'!M16/'[14]Table 10 CWTs exp'!$AA16," ")</f>
        <v xml:space="preserve"> </v>
      </c>
      <c r="N16" s="146" t="str">
        <f>IF('[14]Table 10 CWTs exp'!N16/'[14]Table 10 CWTs exp'!$AA16&gt;0,'[14]Table 10 CWTs exp'!N16/'[14]Table 10 CWTs exp'!$AA16," ")</f>
        <v xml:space="preserve"> </v>
      </c>
      <c r="O16" s="144" t="str">
        <f>IF('[14]Table 10 CWTs exp'!O16/'[14]Table 10 CWTs exp'!$AA16&gt;0,'[14]Table 10 CWTs exp'!O16/'[14]Table 10 CWTs exp'!$AA16," ")</f>
        <v xml:space="preserve"> </v>
      </c>
      <c r="P16" s="146" t="str">
        <f>IF('[14]Table 10 CWTs exp'!P16/'[14]Table 10 CWTs exp'!$AA16&gt;0,'[14]Table 10 CWTs exp'!P16/'[14]Table 10 CWTs exp'!$AA16," ")</f>
        <v xml:space="preserve"> </v>
      </c>
      <c r="Q16" s="144" t="str">
        <f>IF('[14]Table 10 CWTs exp'!Q16/'[14]Table 10 CWTs exp'!$AA16&gt;0,'[14]Table 10 CWTs exp'!Q16/'[14]Table 10 CWTs exp'!$AA16," ")</f>
        <v xml:space="preserve"> </v>
      </c>
      <c r="R16" s="144" t="str">
        <f>IF('[14]Table 10 CWTs exp'!R16/'[14]Table 10 CWTs exp'!$AA16&gt;0,'[14]Table 10 CWTs exp'!R16/'[14]Table 10 CWTs exp'!$AA16," ")</f>
        <v xml:space="preserve"> </v>
      </c>
      <c r="S16" s="144" t="str">
        <f>IF('[14]Table 10 CWTs exp'!S16/'[14]Table 10 CWTs exp'!$AA16&gt;0,'[14]Table 10 CWTs exp'!S16/'[14]Table 10 CWTs exp'!$AA16," ")</f>
        <v xml:space="preserve"> </v>
      </c>
      <c r="T16" s="146" t="str">
        <f>IF('[14]Table 10 CWTs exp'!T16/'[14]Table 10 CWTs exp'!$AA16&gt;0,'[14]Table 10 CWTs exp'!T16/'[14]Table 10 CWTs exp'!$AA16," ")</f>
        <v xml:space="preserve"> </v>
      </c>
      <c r="U16" s="144" t="str">
        <f>IF('[14]Table 10 CWTs exp'!U16/'[14]Table 10 CWTs exp'!$AA16&gt;0,'[14]Table 10 CWTs exp'!U16/'[14]Table 10 CWTs exp'!$AA16," ")</f>
        <v xml:space="preserve"> </v>
      </c>
      <c r="V16" s="146" t="str">
        <f>IF('[14]Table 10 CWTs exp'!V16/'[14]Table 10 CWTs exp'!$AA16&gt;0,'[14]Table 10 CWTs exp'!V16/'[14]Table 10 CWTs exp'!$AA16," ")</f>
        <v xml:space="preserve"> </v>
      </c>
      <c r="W16" s="146" t="str">
        <f>IF('[14]Table 10 CWTs exp'!W16/'[14]Table 10 CWTs exp'!$AA16&gt;0,'[14]Table 10 CWTs exp'!W16/'[14]Table 10 CWTs exp'!$AA16," ")</f>
        <v xml:space="preserve"> </v>
      </c>
      <c r="X16" s="144" t="str">
        <f>IF('[14]Table 10 CWTs exp'!X16/'[14]Table 10 CWTs exp'!$AA16&gt;0,'[14]Table 10 CWTs exp'!X16/'[14]Table 10 CWTs exp'!$AA16," ")</f>
        <v xml:space="preserve"> </v>
      </c>
      <c r="Y16" s="147">
        <f t="shared" si="0"/>
        <v>1</v>
      </c>
      <c r="Z16" s="148">
        <f t="shared" si="1"/>
        <v>0</v>
      </c>
      <c r="AA16" s="38">
        <f>'[14]Table 10 CWTs exp'!AA16</f>
        <v>74</v>
      </c>
      <c r="AC16" s="592">
        <f>'[14]Table 10 CWTs exp'!AD16</f>
        <v>1</v>
      </c>
      <c r="AD16" s="592">
        <f t="shared" si="2"/>
        <v>0</v>
      </c>
      <c r="AE16" s="593" t="str">
        <f t="shared" si="3"/>
        <v>CNFW527</v>
      </c>
      <c r="AF16" s="442"/>
      <c r="AG16" s="442"/>
      <c r="AH16" s="648"/>
      <c r="AI16" s="454"/>
      <c r="AJ16" s="442"/>
      <c r="AK16" s="442"/>
      <c r="AL16" s="442"/>
      <c r="AM16" s="442"/>
      <c r="AN16" s="442"/>
      <c r="AO16" s="442"/>
      <c r="AP16" s="442"/>
      <c r="AQ16" s="442"/>
      <c r="AR16" s="442"/>
      <c r="AS16" s="442"/>
      <c r="AT16" s="442"/>
      <c r="AU16" s="442"/>
      <c r="AV16" s="442"/>
      <c r="AW16" s="442"/>
      <c r="AX16" s="442"/>
      <c r="AY16" s="442"/>
    </row>
    <row r="17" spans="1:51" ht="14.5" hidden="1" customHeight="1" x14ac:dyDescent="0.25">
      <c r="A17" s="50" t="s">
        <v>134</v>
      </c>
      <c r="B17" s="75" t="str">
        <f>'[14]Table 10 CWTs exp'!B17</f>
        <v>KESW</v>
      </c>
      <c r="C17" s="75">
        <f>'[14]Table 10 CWTs exp'!C17</f>
        <v>50</v>
      </c>
      <c r="D17" s="75">
        <f>'[14]Table 10 CWTs exp'!D17</f>
        <v>7</v>
      </c>
      <c r="E17" s="3" t="str">
        <f>'[14]Table 10 CWTs exp'!E17</f>
        <v>Keswick Dam Fish Trap</v>
      </c>
      <c r="F17" s="37" t="s">
        <v>133</v>
      </c>
      <c r="G17" s="151" t="e">
        <f>IF('[14]Table 10 CWTs exp'!G17/'[14]Table 10 CWTs exp'!$AA17&gt;0,'[14]Table 10 CWTs exp'!G17/'[14]Table 10 CWTs exp'!$AA17," ")</f>
        <v>#DIV/0!</v>
      </c>
      <c r="H17" s="145" t="e">
        <f>IF('[14]Table 10 CWTs exp'!H17/'[14]Table 10 CWTs exp'!$AA17&gt;0,'[14]Table 10 CWTs exp'!H17/'[14]Table 10 CWTs exp'!$AA17," ")</f>
        <v>#DIV/0!</v>
      </c>
      <c r="I17" s="144" t="e">
        <f>IF('[14]Table 10 CWTs exp'!I17/'[14]Table 10 CWTs exp'!$AA17&gt;0,'[14]Table 10 CWTs exp'!I17/'[14]Table 10 CWTs exp'!$AA17," ")</f>
        <v>#DIV/0!</v>
      </c>
      <c r="J17" s="146" t="e">
        <f>IF('[14]Table 10 CWTs exp'!J17/'[14]Table 10 CWTs exp'!$AA17&gt;0,'[14]Table 10 CWTs exp'!J17/'[14]Table 10 CWTs exp'!$AA17," ")</f>
        <v>#DIV/0!</v>
      </c>
      <c r="K17" s="145" t="e">
        <f>IF('[14]Table 10 CWTs exp'!K17/'[14]Table 10 CWTs exp'!$AA17&gt;0,'[14]Table 10 CWTs exp'!K17/'[14]Table 10 CWTs exp'!$AA17," ")</f>
        <v>#DIV/0!</v>
      </c>
      <c r="L17" s="144" t="e">
        <f>IF('[14]Table 10 CWTs exp'!L17/'[14]Table 10 CWTs exp'!$AA17&gt;0,'[14]Table 10 CWTs exp'!L17/'[14]Table 10 CWTs exp'!$AA17," ")</f>
        <v>#DIV/0!</v>
      </c>
      <c r="M17" s="144" t="e">
        <f>IF('[14]Table 10 CWTs exp'!M17/'[14]Table 10 CWTs exp'!$AA17&gt;0,'[14]Table 10 CWTs exp'!M17/'[14]Table 10 CWTs exp'!$AA17," ")</f>
        <v>#DIV/0!</v>
      </c>
      <c r="N17" s="146" t="e">
        <f>IF('[14]Table 10 CWTs exp'!N17/'[14]Table 10 CWTs exp'!$AA17&gt;0,'[14]Table 10 CWTs exp'!N17/'[14]Table 10 CWTs exp'!$AA17," ")</f>
        <v>#DIV/0!</v>
      </c>
      <c r="O17" s="144" t="e">
        <f>IF('[14]Table 10 CWTs exp'!O17/'[14]Table 10 CWTs exp'!$AA17&gt;0,'[14]Table 10 CWTs exp'!O17/'[14]Table 10 CWTs exp'!$AA17," ")</f>
        <v>#DIV/0!</v>
      </c>
      <c r="P17" s="146" t="e">
        <f>IF('[14]Table 10 CWTs exp'!P17/'[14]Table 10 CWTs exp'!$AA17&gt;0,'[14]Table 10 CWTs exp'!P17/'[14]Table 10 CWTs exp'!$AA17," ")</f>
        <v>#DIV/0!</v>
      </c>
      <c r="Q17" s="144" t="e">
        <f>IF('[14]Table 10 CWTs exp'!Q17/'[14]Table 10 CWTs exp'!$AA17&gt;0,'[14]Table 10 CWTs exp'!Q17/'[14]Table 10 CWTs exp'!$AA17," ")</f>
        <v>#DIV/0!</v>
      </c>
      <c r="R17" s="144" t="e">
        <f>IF('[14]Table 10 CWTs exp'!R17/'[14]Table 10 CWTs exp'!$AA17&gt;0,'[14]Table 10 CWTs exp'!R17/'[14]Table 10 CWTs exp'!$AA17," ")</f>
        <v>#DIV/0!</v>
      </c>
      <c r="S17" s="144" t="e">
        <f>IF('[14]Table 10 CWTs exp'!S17/'[14]Table 10 CWTs exp'!$AA17&gt;0,'[14]Table 10 CWTs exp'!S17/'[14]Table 10 CWTs exp'!$AA17," ")</f>
        <v>#DIV/0!</v>
      </c>
      <c r="T17" s="146" t="e">
        <f>IF('[14]Table 10 CWTs exp'!T17/'[14]Table 10 CWTs exp'!$AA17&gt;0,'[14]Table 10 CWTs exp'!T17/'[14]Table 10 CWTs exp'!$AA17," ")</f>
        <v>#DIV/0!</v>
      </c>
      <c r="U17" s="144" t="e">
        <f>IF('[14]Table 10 CWTs exp'!U17/'[14]Table 10 CWTs exp'!$AA17&gt;0,'[14]Table 10 CWTs exp'!U17/'[14]Table 10 CWTs exp'!$AA17," ")</f>
        <v>#DIV/0!</v>
      </c>
      <c r="V17" s="146" t="e">
        <f>IF('[14]Table 10 CWTs exp'!V17/'[14]Table 10 CWTs exp'!$AA17&gt;0,'[14]Table 10 CWTs exp'!V17/'[14]Table 10 CWTs exp'!$AA17," ")</f>
        <v>#DIV/0!</v>
      </c>
      <c r="W17" s="146" t="e">
        <f>IF('[14]Table 10 CWTs exp'!W17/'[14]Table 10 CWTs exp'!$AA17&gt;0,'[14]Table 10 CWTs exp'!W17/'[14]Table 10 CWTs exp'!$AA17," ")</f>
        <v>#DIV/0!</v>
      </c>
      <c r="X17" s="144" t="e">
        <f>IF('[14]Table 10 CWTs exp'!X17/'[14]Table 10 CWTs exp'!$AA17&gt;0,'[14]Table 10 CWTs exp'!X17/'[14]Table 10 CWTs exp'!$AA17," ")</f>
        <v>#DIV/0!</v>
      </c>
      <c r="Y17" s="147" t="e">
        <f t="shared" si="0"/>
        <v>#DIV/0!</v>
      </c>
      <c r="Z17" s="148" t="e">
        <f t="shared" si="1"/>
        <v>#DIV/0!</v>
      </c>
      <c r="AA17" s="38">
        <f>'[14]Table 10 CWTs exp'!AA17</f>
        <v>0</v>
      </c>
      <c r="AC17" s="592">
        <f>'[14]Table 10 CWTs exp'!AD17</f>
        <v>0</v>
      </c>
      <c r="AD17" s="592" t="e">
        <f t="shared" si="2"/>
        <v>#DIV/0!</v>
      </c>
      <c r="AE17" s="593" t="str">
        <f t="shared" si="3"/>
        <v>KESW507</v>
      </c>
      <c r="AF17" s="442"/>
      <c r="AG17" s="442"/>
      <c r="AH17" s="648"/>
      <c r="AI17" s="454"/>
      <c r="AJ17" s="442"/>
      <c r="AK17" s="442"/>
      <c r="AL17" s="442"/>
      <c r="AM17" s="442"/>
      <c r="AN17" s="442"/>
      <c r="AO17" s="442"/>
      <c r="AP17" s="442"/>
      <c r="AQ17" s="442"/>
      <c r="AR17" s="442"/>
      <c r="AS17" s="442"/>
      <c r="AT17" s="442"/>
      <c r="AU17" s="442"/>
      <c r="AV17" s="442"/>
      <c r="AW17" s="442"/>
      <c r="AX17" s="442"/>
      <c r="AY17" s="442"/>
    </row>
    <row r="18" spans="1:51" ht="14.15" customHeight="1" x14ac:dyDescent="0.25">
      <c r="A18" s="5"/>
      <c r="E18" s="743" t="s">
        <v>135</v>
      </c>
      <c r="F18" s="743"/>
      <c r="G18" s="152" t="str">
        <f>IF('[14]Table 10 CWTs exp'!G18/'[14]Table 10 CWTs exp'!$AA18&gt;0,'[14]Table 10 CWTs exp'!G18/'[14]Table 10 CWTs exp'!$AA18," ")</f>
        <v xml:space="preserve"> </v>
      </c>
      <c r="H18" s="153">
        <f>IF('[14]Table 10 CWTs exp'!H18/'[14]Table 10 CWTs exp'!$AA18&gt;0,'[14]Table 10 CWTs exp'!H18/'[14]Table 10 CWTs exp'!$AA18," ")</f>
        <v>4.5061283345349673E-5</v>
      </c>
      <c r="I18" s="152">
        <f>IF('[14]Table 10 CWTs exp'!I18/'[14]Table 10 CWTs exp'!$AA18&gt;0,'[14]Table 10 CWTs exp'!I18/'[14]Table 10 CWTs exp'!$AA18," ")</f>
        <v>0.32595079307858688</v>
      </c>
      <c r="J18" s="154" t="str">
        <f>IF('[14]Table 10 CWTs exp'!J18/'[14]Table 10 CWTs exp'!$AA18&gt;0,'[14]Table 10 CWTs exp'!J18/'[14]Table 10 CWTs exp'!$AA18," ")</f>
        <v xml:space="preserve"> </v>
      </c>
      <c r="K18" s="153">
        <f>IF('[14]Table 10 CWTs exp'!K18/'[14]Table 10 CWTs exp'!$AA18&gt;0,'[14]Table 10 CWTs exp'!K18/'[14]Table 10 CWTs exp'!$AA18," ")</f>
        <v>3.6837599134823359E-2</v>
      </c>
      <c r="L18" s="152">
        <f>IF('[14]Table 10 CWTs exp'!L18/'[14]Table 10 CWTs exp'!$AA18&gt;0,'[14]Table 10 CWTs exp'!L18/'[14]Table 10 CWTs exp'!$AA18," ")</f>
        <v>1.6897981254506127E-3</v>
      </c>
      <c r="M18" s="152">
        <f>IF('[14]Table 10 CWTs exp'!M18/'[14]Table 10 CWTs exp'!$AA18&gt;0,'[14]Table 10 CWTs exp'!M18/'[14]Table 10 CWTs exp'!$AA18," ")</f>
        <v>0.16255857966834897</v>
      </c>
      <c r="N18" s="154">
        <f>IF('[14]Table 10 CWTs exp'!N18/'[14]Table 10 CWTs exp'!$AA18&gt;0,'[14]Table 10 CWTs exp'!N18/'[14]Table 10 CWTs exp'!$AA18," ")</f>
        <v>1.8475126171593366E-2</v>
      </c>
      <c r="O18" s="152">
        <f>IF('[14]Table 10 CWTs exp'!O18/'[14]Table 10 CWTs exp'!$AA18&gt;0,'[14]Table 10 CWTs exp'!O18/'[14]Table 10 CWTs exp'!$AA18," ")</f>
        <v>4.8373287671232876E-2</v>
      </c>
      <c r="P18" s="154">
        <f>IF('[14]Table 10 CWTs exp'!P18/'[14]Table 10 CWTs exp'!$AA18&gt;0,'[14]Table 10 CWTs exp'!P18/'[14]Table 10 CWTs exp'!$AA18," ")</f>
        <v>0.10704307858687816</v>
      </c>
      <c r="Q18" s="152">
        <f>IF('[14]Table 10 CWTs exp'!Q18/'[14]Table 10 CWTs exp'!$AA18&gt;0,'[14]Table 10 CWTs exp'!Q18/'[14]Table 10 CWTs exp'!$AA18," ")</f>
        <v>1.6222062004325882E-3</v>
      </c>
      <c r="R18" s="152">
        <f>IF('[14]Table 10 CWTs exp'!R18/'[14]Table 10 CWTs exp'!$AA18&gt;0,'[14]Table 10 CWTs exp'!R18/'[14]Table 10 CWTs exp'!$AA18," ")</f>
        <v>9.6093186733958183E-2</v>
      </c>
      <c r="S18" s="152">
        <f>IF('[14]Table 10 CWTs exp'!S18/'[14]Table 10 CWTs exp'!$AA18&gt;0,'[14]Table 10 CWTs exp'!S18/'[14]Table 10 CWTs exp'!$AA18," ")</f>
        <v>8.6067051189617876E-3</v>
      </c>
      <c r="T18" s="154">
        <f>IF('[14]Table 10 CWTs exp'!T18/'[14]Table 10 CWTs exp'!$AA18&gt;0,'[14]Table 10 CWTs exp'!T18/'[14]Table 10 CWTs exp'!$AA18," ")</f>
        <v>3.818943763518385E-2</v>
      </c>
      <c r="U18" s="152" t="str">
        <f>IF('[14]Table 10 CWTs exp'!U18/'[14]Table 10 CWTs exp'!$AA18&gt;0,'[14]Table 10 CWTs exp'!U18/'[14]Table 10 CWTs exp'!$AA18," ")</f>
        <v xml:space="preserve"> </v>
      </c>
      <c r="V18" s="154">
        <f>IF('[14]Table 10 CWTs exp'!V18/'[14]Table 10 CWTs exp'!$AA18&gt;0,'[14]Table 10 CWTs exp'!V18/'[14]Table 10 CWTs exp'!$AA18," ")</f>
        <v>1.3495854361932227E-2</v>
      </c>
      <c r="W18" s="154">
        <f>IF('[14]Table 10 CWTs exp'!W18/'[14]Table 10 CWTs exp'!$AA18&gt;0,'[14]Table 10 CWTs exp'!W18/'[14]Table 10 CWTs exp'!$AA18," ")</f>
        <v>7.4351117519826961E-4</v>
      </c>
      <c r="X18" s="152" t="str">
        <f>IF('[14]Table 10 CWTs exp'!X18/'[14]Table 10 CWTs exp'!$AA18&gt;0,'[14]Table 10 CWTs exp'!X18/'[14]Table 10 CWTs exp'!$AA18," ")</f>
        <v xml:space="preserve"> </v>
      </c>
      <c r="Y18" s="155">
        <f>SUM(G18:X18)</f>
        <v>0.85972422494592649</v>
      </c>
      <c r="Z18" s="156">
        <f>IF('[14]Table 10 CWTs exp'!Z18&gt;0,'[14]Table 10 CWTs exp'!Z18/'[14]Table 10 CWTs exp'!$AA18," ")</f>
        <v>0.14027577505407354</v>
      </c>
      <c r="AA18" s="63">
        <f>'[14]Table 10 CWTs exp'!AA18</f>
        <v>44384</v>
      </c>
      <c r="AB18" s="47"/>
      <c r="AC18" s="592">
        <f>'[14]Table 10 CWTs exp'!AD18</f>
        <v>0.85972422494592649</v>
      </c>
      <c r="AD18" s="592">
        <f t="shared" si="2"/>
        <v>0</v>
      </c>
      <c r="AE18" s="593"/>
      <c r="AF18" s="594"/>
      <c r="AG18" s="442"/>
      <c r="AH18" s="648"/>
      <c r="AI18" s="454"/>
      <c r="AJ18" s="442"/>
      <c r="AK18" s="442"/>
      <c r="AL18" s="442"/>
      <c r="AM18" s="442"/>
      <c r="AN18" s="442"/>
      <c r="AO18" s="442"/>
      <c r="AP18" s="442"/>
      <c r="AQ18" s="442"/>
      <c r="AR18" s="442"/>
      <c r="AS18" s="442"/>
      <c r="AT18" s="442"/>
      <c r="AU18" s="442"/>
      <c r="AV18" s="442"/>
      <c r="AW18" s="442"/>
      <c r="AX18" s="442"/>
      <c r="AY18" s="442"/>
    </row>
    <row r="19" spans="1:51" ht="14.15" customHeight="1" x14ac:dyDescent="0.3">
      <c r="A19" s="5"/>
      <c r="E19" s="26" t="s">
        <v>63</v>
      </c>
      <c r="F19"/>
      <c r="G19" s="151"/>
      <c r="H19" s="157"/>
      <c r="I19" s="151"/>
      <c r="J19" s="158"/>
      <c r="K19" s="157"/>
      <c r="L19" s="151"/>
      <c r="M19" s="151"/>
      <c r="N19" s="158"/>
      <c r="O19" s="151"/>
      <c r="P19" s="158"/>
      <c r="Q19" s="151"/>
      <c r="R19" s="151"/>
      <c r="S19" s="151"/>
      <c r="T19" s="158"/>
      <c r="U19" s="151"/>
      <c r="V19" s="158"/>
      <c r="W19" s="158"/>
      <c r="X19" s="144"/>
      <c r="Y19" s="147"/>
      <c r="Z19" s="148"/>
      <c r="AA19" s="38"/>
      <c r="AC19" s="592"/>
      <c r="AD19" s="592"/>
      <c r="AE19" s="593"/>
      <c r="AF19" s="442"/>
      <c r="AG19" s="442"/>
      <c r="AH19" s="648"/>
      <c r="AI19" s="454"/>
      <c r="AJ19" s="442"/>
      <c r="AK19" s="442"/>
      <c r="AL19" s="442"/>
      <c r="AM19" s="442"/>
      <c r="AN19" s="442"/>
      <c r="AO19" s="442"/>
      <c r="AP19" s="442"/>
      <c r="AQ19" s="442"/>
      <c r="AR19" s="442"/>
      <c r="AS19" s="442"/>
      <c r="AT19" s="442"/>
      <c r="AU19" s="442"/>
      <c r="AV19" s="442"/>
      <c r="AW19" s="442"/>
      <c r="AX19" s="442"/>
      <c r="AY19" s="442"/>
    </row>
    <row r="20" spans="1:51" ht="14.5" customHeight="1" x14ac:dyDescent="0.25">
      <c r="A20" s="54" t="str">
        <f>'[14]Table 10 CWTs exp'!A20</f>
        <v>USAC544</v>
      </c>
      <c r="B20" s="75" t="str">
        <f>'[14]Table 10 CWTs exp'!B20</f>
        <v>USAC</v>
      </c>
      <c r="C20" s="75">
        <f>'[14]Table 10 CWTs exp'!C20</f>
        <v>54</v>
      </c>
      <c r="D20" s="75">
        <f>'[14]Table 10 CWTs exp'!D20</f>
        <v>4</v>
      </c>
      <c r="E20" t="str">
        <f>'[14]Table 10 CWTs exp'!E20</f>
        <v>Upper Sacramento River</v>
      </c>
      <c r="F20" s="37" t="str">
        <f>'[14]Table 10 CWTs exp'!F20</f>
        <v>Winter</v>
      </c>
      <c r="G20" s="144">
        <f>IF('[14]Table 10 CWTs exp'!G20/'[14]Table 10 CWTs exp'!$AA20&gt;0,'[14]Table 10 CWTs exp'!G20/'[14]Table 10 CWTs exp'!$AA20," ")</f>
        <v>0.29485507973122055</v>
      </c>
      <c r="H20" s="145" t="str">
        <f>IF('[14]Table 10 CWTs exp'!H20/'[14]Table 10 CWTs exp'!$AA20&gt;0,'[14]Table 10 CWTs exp'!H20/'[14]Table 10 CWTs exp'!$AA20," ")</f>
        <v xml:space="preserve"> </v>
      </c>
      <c r="I20" s="144" t="str">
        <f>IF('[14]Table 10 CWTs exp'!I20/'[14]Table 10 CWTs exp'!$AA20&gt;0,'[14]Table 10 CWTs exp'!I20/'[14]Table 10 CWTs exp'!$AA20," ")</f>
        <v xml:space="preserve"> </v>
      </c>
      <c r="J20" s="146" t="str">
        <f>IF('[14]Table 10 CWTs exp'!J20/'[14]Table 10 CWTs exp'!$AA20&gt;0,'[14]Table 10 CWTs exp'!J20/'[14]Table 10 CWTs exp'!$AA20," ")</f>
        <v xml:space="preserve"> </v>
      </c>
      <c r="K20" s="145" t="str">
        <f>IF('[14]Table 10 CWTs exp'!K20/'[14]Table 10 CWTs exp'!$AA20&gt;0,'[14]Table 10 CWTs exp'!K20/'[14]Table 10 CWTs exp'!$AA20," ")</f>
        <v xml:space="preserve"> </v>
      </c>
      <c r="L20" s="144" t="str">
        <f>IF('[14]Table 10 CWTs exp'!L20/'[14]Table 10 CWTs exp'!$AA20&gt;0,'[14]Table 10 CWTs exp'!L20/'[14]Table 10 CWTs exp'!$AA20," ")</f>
        <v xml:space="preserve"> </v>
      </c>
      <c r="M20" s="144" t="str">
        <f>IF('[14]Table 10 CWTs exp'!M20/'[14]Table 10 CWTs exp'!$AA20&gt;0,'[14]Table 10 CWTs exp'!M20/'[14]Table 10 CWTs exp'!$AA20," ")</f>
        <v xml:space="preserve"> </v>
      </c>
      <c r="N20" s="146" t="str">
        <f>IF('[14]Table 10 CWTs exp'!N20/'[14]Table 10 CWTs exp'!$AA20&gt;0,'[14]Table 10 CWTs exp'!N20/'[14]Table 10 CWTs exp'!$AA20," ")</f>
        <v xml:space="preserve"> </v>
      </c>
      <c r="O20" s="144" t="str">
        <f>IF('[14]Table 10 CWTs exp'!O20/'[14]Table 10 CWTs exp'!$AA20&gt;0,'[14]Table 10 CWTs exp'!O20/'[14]Table 10 CWTs exp'!$AA20," ")</f>
        <v xml:space="preserve"> </v>
      </c>
      <c r="P20" s="146" t="str">
        <f>IF('[14]Table 10 CWTs exp'!P20/'[14]Table 10 CWTs exp'!$AA20&gt;0,'[14]Table 10 CWTs exp'!P20/'[14]Table 10 CWTs exp'!$AA20," ")</f>
        <v xml:space="preserve"> </v>
      </c>
      <c r="Q20" s="144" t="str">
        <f>IF('[14]Table 10 CWTs exp'!Q20/'[14]Table 10 CWTs exp'!$AA20&gt;0,'[14]Table 10 CWTs exp'!Q20/'[14]Table 10 CWTs exp'!$AA20," ")</f>
        <v xml:space="preserve"> </v>
      </c>
      <c r="R20" s="144" t="str">
        <f>IF('[14]Table 10 CWTs exp'!R20/'[14]Table 10 CWTs exp'!$AA20&gt;0,'[14]Table 10 CWTs exp'!R20/'[14]Table 10 CWTs exp'!$AA20," ")</f>
        <v xml:space="preserve"> </v>
      </c>
      <c r="S20" s="144" t="str">
        <f>IF('[14]Table 10 CWTs exp'!S20/'[14]Table 10 CWTs exp'!$AA20&gt;0,'[14]Table 10 CWTs exp'!S20/'[14]Table 10 CWTs exp'!$AA20," ")</f>
        <v xml:space="preserve"> </v>
      </c>
      <c r="T20" s="146" t="str">
        <f>IF('[14]Table 10 CWTs exp'!T20/'[14]Table 10 CWTs exp'!$AA20&gt;0,'[14]Table 10 CWTs exp'!T20/'[14]Table 10 CWTs exp'!$AA20," ")</f>
        <v xml:space="preserve"> </v>
      </c>
      <c r="U20" s="144" t="str">
        <f>IF('[14]Table 10 CWTs exp'!U20/'[14]Table 10 CWTs exp'!$AA20&gt;0,'[14]Table 10 CWTs exp'!U20/'[14]Table 10 CWTs exp'!$AA20," ")</f>
        <v xml:space="preserve"> </v>
      </c>
      <c r="V20" s="146" t="str">
        <f>IF('[14]Table 10 CWTs exp'!V20/'[14]Table 10 CWTs exp'!$AA20&gt;0,'[14]Table 10 CWTs exp'!V20/'[14]Table 10 CWTs exp'!$AA20," ")</f>
        <v xml:space="preserve"> </v>
      </c>
      <c r="W20" s="146" t="str">
        <f>IF('[14]Table 10 CWTs exp'!W20/'[14]Table 10 CWTs exp'!$AA20&gt;0,'[14]Table 10 CWTs exp'!W20/'[14]Table 10 CWTs exp'!$AA20," ")</f>
        <v xml:space="preserve"> </v>
      </c>
      <c r="X20" s="144" t="str">
        <f>IF('[14]Table 10 CWTs exp'!X20/'[14]Table 10 CWTs exp'!$AA20&gt;0,'[14]Table 10 CWTs exp'!X20/'[14]Table 10 CWTs exp'!$AA20," ")</f>
        <v xml:space="preserve"> </v>
      </c>
      <c r="Y20" s="147">
        <f t="shared" ref="Y20:Y42" si="4">SUM(G20:X20)</f>
        <v>0.29485507973122055</v>
      </c>
      <c r="Z20" s="148">
        <f t="shared" ref="Z20:Z41" si="5">1-Y20</f>
        <v>0.7051449202687794</v>
      </c>
      <c r="AA20" s="38">
        <f>'[14]Table 10 CWTs exp'!AA20</f>
        <v>9971</v>
      </c>
      <c r="AC20" s="592">
        <f>'[14]Table 10 CWTs exp'!AD20</f>
        <v>0.29499999999999998</v>
      </c>
      <c r="AD20" s="592">
        <f t="shared" si="2"/>
        <v>-1.4492026877943598E-4</v>
      </c>
      <c r="AE20" s="593" t="str">
        <f t="shared" si="3"/>
        <v>USAC544</v>
      </c>
      <c r="AF20" s="442"/>
      <c r="AG20" s="442"/>
      <c r="AH20" s="648"/>
      <c r="AI20" s="454"/>
      <c r="AJ20" s="442"/>
      <c r="AK20" s="442"/>
      <c r="AL20" s="442"/>
      <c r="AM20" s="442"/>
      <c r="AN20" s="442"/>
      <c r="AO20" s="442"/>
      <c r="AP20" s="442"/>
      <c r="AQ20" s="442"/>
      <c r="AR20" s="442"/>
      <c r="AS20" s="442"/>
      <c r="AT20" s="442"/>
      <c r="AU20" s="442"/>
      <c r="AV20" s="442"/>
      <c r="AW20" s="442"/>
      <c r="AX20" s="442"/>
      <c r="AY20" s="442"/>
    </row>
    <row r="21" spans="1:51" ht="14.25" customHeight="1" x14ac:dyDescent="0.25">
      <c r="A21" s="54" t="str">
        <f>'[14]Table 10 CWTs exp'!A21</f>
        <v>BUTT541</v>
      </c>
      <c r="B21" s="75" t="str">
        <f>'[14]Table 10 CWTs exp'!B21</f>
        <v>BUTT</v>
      </c>
      <c r="C21" s="75">
        <f>'[14]Table 10 CWTs exp'!C21</f>
        <v>54</v>
      </c>
      <c r="D21" s="75">
        <f>'[14]Table 10 CWTs exp'!D21</f>
        <v>1</v>
      </c>
      <c r="E21" t="str">
        <f>'[14]Table 10 CWTs exp'!E21</f>
        <v>Butte Creek</v>
      </c>
      <c r="F21" s="37" t="str">
        <f>'[14]Table 10 CWTs exp'!F21</f>
        <v>Spring</v>
      </c>
      <c r="G21" s="144" t="str">
        <f>IF('[14]Table 10 CWTs exp'!G21/'[14]Table 10 CWTs exp'!$AA21&gt;0,'[14]Table 10 CWTs exp'!G21/'[14]Table 10 CWTs exp'!$AA21," ")</f>
        <v xml:space="preserve"> </v>
      </c>
      <c r="H21" s="145" t="str">
        <f>IF('[14]Table 10 CWTs exp'!H21/'[14]Table 10 CWTs exp'!$AA21&gt;0,'[14]Table 10 CWTs exp'!H21/'[14]Table 10 CWTs exp'!$AA21," ")</f>
        <v xml:space="preserve"> </v>
      </c>
      <c r="I21" s="144" t="str">
        <f>IF('[14]Table 10 CWTs exp'!I21/'[14]Table 10 CWTs exp'!$AA21&gt;0,'[14]Table 10 CWTs exp'!I21/'[14]Table 10 CWTs exp'!$AA21," ")</f>
        <v xml:space="preserve"> </v>
      </c>
      <c r="J21" s="146" t="str">
        <f>IF('[14]Table 10 CWTs exp'!J21/'[14]Table 10 CWTs exp'!$AA21&gt;0,'[14]Table 10 CWTs exp'!J21/'[14]Table 10 CWTs exp'!$AA21," ")</f>
        <v xml:space="preserve"> </v>
      </c>
      <c r="K21" s="145" t="str">
        <f>IF('[14]Table 10 CWTs exp'!K21/'[14]Table 10 CWTs exp'!$AA21&gt;0,'[14]Table 10 CWTs exp'!K21/'[14]Table 10 CWTs exp'!$AA21," ")</f>
        <v xml:space="preserve"> </v>
      </c>
      <c r="L21" s="144" t="str">
        <f>IF('[14]Table 10 CWTs exp'!L21/'[14]Table 10 CWTs exp'!$AA21&gt;0,'[14]Table 10 CWTs exp'!L21/'[14]Table 10 CWTs exp'!$AA21," ")</f>
        <v xml:space="preserve"> </v>
      </c>
      <c r="M21" s="144" t="str">
        <f>IF('[14]Table 10 CWTs exp'!M21/'[14]Table 10 CWTs exp'!$AA21&gt;0,'[14]Table 10 CWTs exp'!M21/'[14]Table 10 CWTs exp'!$AA21," ")</f>
        <v xml:space="preserve"> </v>
      </c>
      <c r="N21" s="146" t="str">
        <f>IF('[14]Table 10 CWTs exp'!N21/'[14]Table 10 CWTs exp'!$AA21&gt;0,'[14]Table 10 CWTs exp'!N21/'[14]Table 10 CWTs exp'!$AA21," ")</f>
        <v xml:space="preserve"> </v>
      </c>
      <c r="O21" s="144" t="str">
        <f>IF('[14]Table 10 CWTs exp'!O21/'[14]Table 10 CWTs exp'!$AA21&gt;0,'[14]Table 10 CWTs exp'!O21/'[14]Table 10 CWTs exp'!$AA21," ")</f>
        <v xml:space="preserve"> </v>
      </c>
      <c r="P21" s="146" t="str">
        <f>IF('[14]Table 10 CWTs exp'!P21/'[14]Table 10 CWTs exp'!$AA21&gt;0,'[14]Table 10 CWTs exp'!P21/'[14]Table 10 CWTs exp'!$AA21," ")</f>
        <v xml:space="preserve"> </v>
      </c>
      <c r="Q21" s="144" t="str">
        <f>IF('[14]Table 10 CWTs exp'!Q21/'[14]Table 10 CWTs exp'!$AA21&gt;0,'[14]Table 10 CWTs exp'!Q21/'[14]Table 10 CWTs exp'!$AA21," ")</f>
        <v xml:space="preserve"> </v>
      </c>
      <c r="R21" s="144" t="str">
        <f>IF('[14]Table 10 CWTs exp'!R21/'[14]Table 10 CWTs exp'!$AA21&gt;0,'[14]Table 10 CWTs exp'!R21/'[14]Table 10 CWTs exp'!$AA21," ")</f>
        <v xml:space="preserve"> </v>
      </c>
      <c r="S21" s="144" t="str">
        <f>IF('[14]Table 10 CWTs exp'!S21/'[14]Table 10 CWTs exp'!$AA21&gt;0,'[14]Table 10 CWTs exp'!S21/'[14]Table 10 CWTs exp'!$AA21," ")</f>
        <v xml:space="preserve"> </v>
      </c>
      <c r="T21" s="146" t="str">
        <f>IF('[14]Table 10 CWTs exp'!T21/'[14]Table 10 CWTs exp'!$AA21&gt;0,'[14]Table 10 CWTs exp'!T21/'[14]Table 10 CWTs exp'!$AA21," ")</f>
        <v xml:space="preserve"> </v>
      </c>
      <c r="U21" s="144" t="str">
        <f>IF('[14]Table 10 CWTs exp'!U21/'[14]Table 10 CWTs exp'!$AA21&gt;0,'[14]Table 10 CWTs exp'!U21/'[14]Table 10 CWTs exp'!$AA21," ")</f>
        <v xml:space="preserve"> </v>
      </c>
      <c r="V21" s="146" t="str">
        <f>IF('[14]Table 10 CWTs exp'!V21/'[14]Table 10 CWTs exp'!$AA21&gt;0,'[14]Table 10 CWTs exp'!V21/'[14]Table 10 CWTs exp'!$AA21," ")</f>
        <v xml:space="preserve"> </v>
      </c>
      <c r="W21" s="146" t="str">
        <f>IF('[14]Table 10 CWTs exp'!W21/'[14]Table 10 CWTs exp'!$AA21&gt;0,'[14]Table 10 CWTs exp'!W21/'[14]Table 10 CWTs exp'!$AA21," ")</f>
        <v xml:space="preserve"> </v>
      </c>
      <c r="X21" s="144" t="str">
        <f>IF('[14]Table 10 CWTs exp'!X21/'[14]Table 10 CWTs exp'!$AA21&gt;0,'[14]Table 10 CWTs exp'!X21/'[14]Table 10 CWTs exp'!$AA21," ")</f>
        <v xml:space="preserve"> </v>
      </c>
      <c r="Y21" s="147">
        <f t="shared" si="4"/>
        <v>0</v>
      </c>
      <c r="Z21" s="148">
        <f t="shared" si="5"/>
        <v>1</v>
      </c>
      <c r="AA21" s="38">
        <f>'[14]Table 10 CWTs exp'!AA21</f>
        <v>1807</v>
      </c>
      <c r="AC21" s="592">
        <f>'[14]Table 10 CWTs exp'!AD21</f>
        <v>0</v>
      </c>
      <c r="AD21" s="592">
        <f t="shared" si="2"/>
        <v>0</v>
      </c>
      <c r="AE21" s="593" t="str">
        <f t="shared" si="3"/>
        <v>BUTT541</v>
      </c>
      <c r="AF21" s="442"/>
      <c r="AG21" s="442"/>
      <c r="AH21" s="648"/>
      <c r="AI21" s="454"/>
      <c r="AJ21" s="442"/>
      <c r="AK21" s="442"/>
      <c r="AL21" s="442"/>
      <c r="AM21" s="442"/>
      <c r="AN21" s="442"/>
      <c r="AO21" s="442"/>
      <c r="AP21" s="442"/>
      <c r="AQ21" s="442"/>
      <c r="AR21" s="442"/>
      <c r="AS21" s="442"/>
      <c r="AT21" s="442"/>
      <c r="AU21" s="442"/>
      <c r="AV21" s="442"/>
      <c r="AW21" s="442"/>
      <c r="AX21" s="442"/>
      <c r="AY21" s="442"/>
    </row>
    <row r="22" spans="1:51" ht="14.25" customHeight="1" x14ac:dyDescent="0.25">
      <c r="A22" s="54" t="str">
        <f>'[14]Table 10 CWTs exp'!A22</f>
        <v>UPSJ541</v>
      </c>
      <c r="B22" s="75" t="str">
        <f>'[14]Table 10 CWTs exp'!B22</f>
        <v>UPSJ</v>
      </c>
      <c r="C22" s="75">
        <f>'[14]Table 10 CWTs exp'!C22</f>
        <v>54</v>
      </c>
      <c r="D22" s="75">
        <f>'[14]Table 10 CWTs exp'!D22</f>
        <v>1</v>
      </c>
      <c r="E22" t="str">
        <f>'[14]Table 10 CWTs exp'!E22</f>
        <v>Upper San Joaquin River</v>
      </c>
      <c r="F22" s="37" t="str">
        <f>'[14]Table 10 CWTs exp'!F22</f>
        <v>Spring</v>
      </c>
      <c r="G22" s="144" t="str">
        <f>IF('[14]Table 10 CWTs exp'!G22/'[14]Table 10 CWTs exp'!$AA22&gt;0,'[14]Table 10 CWTs exp'!G22/'[14]Table 10 CWTs exp'!$AA22," ")</f>
        <v xml:space="preserve"> </v>
      </c>
      <c r="H22" s="145" t="str">
        <f>IF('[14]Table 10 CWTs exp'!H22/'[14]Table 10 CWTs exp'!$AA22&gt;0,'[14]Table 10 CWTs exp'!H22/'[14]Table 10 CWTs exp'!$AA22," ")</f>
        <v xml:space="preserve"> </v>
      </c>
      <c r="I22" s="144" t="str">
        <f>IF('[14]Table 10 CWTs exp'!I22/'[14]Table 10 CWTs exp'!$AA22&gt;0,'[14]Table 10 CWTs exp'!I22/'[14]Table 10 CWTs exp'!$AA22," ")</f>
        <v xml:space="preserve"> </v>
      </c>
      <c r="J22" s="146" t="str">
        <f>IF('[14]Table 10 CWTs exp'!J22/'[14]Table 10 CWTs exp'!$AA22&gt;0,'[14]Table 10 CWTs exp'!J22/'[14]Table 10 CWTs exp'!$AA22," ")</f>
        <v xml:space="preserve"> </v>
      </c>
      <c r="K22" s="145" t="str">
        <f>IF('[14]Table 10 CWTs exp'!K22/'[14]Table 10 CWTs exp'!$AA22&gt;0,'[14]Table 10 CWTs exp'!K22/'[14]Table 10 CWTs exp'!$AA22," ")</f>
        <v xml:space="preserve"> </v>
      </c>
      <c r="L22" s="144" t="str">
        <f>IF('[14]Table 10 CWTs exp'!L22/'[14]Table 10 CWTs exp'!$AA22&gt;0,'[14]Table 10 CWTs exp'!L22/'[14]Table 10 CWTs exp'!$AA22," ")</f>
        <v xml:space="preserve"> </v>
      </c>
      <c r="M22" s="144" t="str">
        <f>IF('[14]Table 10 CWTs exp'!M22/'[14]Table 10 CWTs exp'!$AA22&gt;0,'[14]Table 10 CWTs exp'!M22/'[14]Table 10 CWTs exp'!$AA22," ")</f>
        <v xml:space="preserve"> </v>
      </c>
      <c r="N22" s="146" t="str">
        <f>IF('[14]Table 10 CWTs exp'!N22/'[14]Table 10 CWTs exp'!$AA22&gt;0,'[14]Table 10 CWTs exp'!N22/'[14]Table 10 CWTs exp'!$AA22," ")</f>
        <v xml:space="preserve"> </v>
      </c>
      <c r="O22" s="144" t="str">
        <f>IF('[14]Table 10 CWTs exp'!O22/'[14]Table 10 CWTs exp'!$AA22&gt;0,'[14]Table 10 CWTs exp'!O22/'[14]Table 10 CWTs exp'!$AA22," ")</f>
        <v xml:space="preserve"> </v>
      </c>
      <c r="P22" s="146" t="str">
        <f>IF('[14]Table 10 CWTs exp'!P22/'[14]Table 10 CWTs exp'!$AA22&gt;0,'[14]Table 10 CWTs exp'!P22/'[14]Table 10 CWTs exp'!$AA22," ")</f>
        <v xml:space="preserve"> </v>
      </c>
      <c r="Q22" s="144" t="str">
        <f>IF('[14]Table 10 CWTs exp'!Q22/'[14]Table 10 CWTs exp'!$AA22&gt;0,'[14]Table 10 CWTs exp'!Q22/'[14]Table 10 CWTs exp'!$AA22," ")</f>
        <v xml:space="preserve"> </v>
      </c>
      <c r="R22" s="144" t="str">
        <f>IF('[14]Table 10 CWTs exp'!R22/'[14]Table 10 CWTs exp'!$AA22&gt;0,'[14]Table 10 CWTs exp'!R22/'[14]Table 10 CWTs exp'!$AA22," ")</f>
        <v xml:space="preserve"> </v>
      </c>
      <c r="S22" s="144" t="str">
        <f>IF('[14]Table 10 CWTs exp'!S22/'[14]Table 10 CWTs exp'!$AA22&gt;0,'[14]Table 10 CWTs exp'!S22/'[14]Table 10 CWTs exp'!$AA22," ")</f>
        <v xml:space="preserve"> </v>
      </c>
      <c r="T22" s="146" t="str">
        <f>IF('[14]Table 10 CWTs exp'!T22/'[14]Table 10 CWTs exp'!$AA22&gt;0,'[14]Table 10 CWTs exp'!T22/'[14]Table 10 CWTs exp'!$AA22," ")</f>
        <v xml:space="preserve"> </v>
      </c>
      <c r="U22" s="144" t="str">
        <f>IF('[14]Table 10 CWTs exp'!U22/'[14]Table 10 CWTs exp'!$AA22&gt;0,'[14]Table 10 CWTs exp'!U22/'[14]Table 10 CWTs exp'!$AA22," ")</f>
        <v xml:space="preserve"> </v>
      </c>
      <c r="V22" s="146" t="str">
        <f>IF('[14]Table 10 CWTs exp'!V22/'[14]Table 10 CWTs exp'!$AA22&gt;0,'[14]Table 10 CWTs exp'!V22/'[14]Table 10 CWTs exp'!$AA22," ")</f>
        <v xml:space="preserve"> </v>
      </c>
      <c r="W22" s="146">
        <f>IF('[14]Table 10 CWTs exp'!W22/'[14]Table 10 CWTs exp'!$AA22&gt;0,'[14]Table 10 CWTs exp'!W22/'[14]Table 10 CWTs exp'!$AA22," ")</f>
        <v>0.75</v>
      </c>
      <c r="X22" s="144" t="str">
        <f>IF('[14]Table 10 CWTs exp'!X22/'[14]Table 10 CWTs exp'!$AA22&gt;0,'[14]Table 10 CWTs exp'!X22/'[14]Table 10 CWTs exp'!$AA22," ")</f>
        <v xml:space="preserve"> </v>
      </c>
      <c r="Y22" s="147">
        <f t="shared" si="4"/>
        <v>0.75</v>
      </c>
      <c r="Z22" s="148">
        <f t="shared" si="5"/>
        <v>0.25</v>
      </c>
      <c r="AA22" s="38">
        <f>'[14]Table 10 CWTs exp'!AA22</f>
        <v>32</v>
      </c>
      <c r="AC22" s="592">
        <f>'[14]Table 10 CWTs exp'!AD22</f>
        <v>0.75</v>
      </c>
      <c r="AD22" s="592">
        <f t="shared" si="2"/>
        <v>0</v>
      </c>
      <c r="AE22" s="593" t="str">
        <f t="shared" si="3"/>
        <v>UPSJ541</v>
      </c>
      <c r="AF22" s="442"/>
      <c r="AG22" s="442"/>
      <c r="AH22" s="648"/>
      <c r="AI22" s="454"/>
      <c r="AJ22" s="442"/>
      <c r="AK22" s="442"/>
      <c r="AL22" s="442"/>
      <c r="AM22" s="442"/>
      <c r="AN22" s="442"/>
      <c r="AO22" s="442"/>
      <c r="AP22" s="442"/>
      <c r="AQ22" s="442"/>
      <c r="AR22" s="442"/>
      <c r="AS22" s="442"/>
      <c r="AT22" s="442"/>
      <c r="AU22" s="442"/>
      <c r="AV22" s="442"/>
      <c r="AW22" s="442"/>
      <c r="AX22" s="442"/>
      <c r="AY22" s="442"/>
    </row>
    <row r="23" spans="1:51" ht="14.5" customHeight="1" x14ac:dyDescent="0.25">
      <c r="A23" s="54" t="str">
        <f>'[14]Table 10 CWTs exp'!A23</f>
        <v>USAC543</v>
      </c>
      <c r="B23" s="75" t="str">
        <f>'[14]Table 10 CWTs exp'!B23</f>
        <v>USAC</v>
      </c>
      <c r="C23" s="75">
        <f>'[14]Table 10 CWTs exp'!C23</f>
        <v>54</v>
      </c>
      <c r="D23" s="75">
        <f>'[14]Table 10 CWTs exp'!D23</f>
        <v>3</v>
      </c>
      <c r="E23" t="str">
        <f>'[14]Table 10 CWTs exp'!E23</f>
        <v>Upper Sacramento River</v>
      </c>
      <c r="F23" s="37" t="str">
        <f>'[14]Table 10 CWTs exp'!F23</f>
        <v>Fall</v>
      </c>
      <c r="G23" s="144" t="str">
        <f>IF('[14]Table 10 CWTs exp'!G23/'[14]Table 10 CWTs exp'!$AA23&gt;0,'[14]Table 10 CWTs exp'!G23/'[14]Table 10 CWTs exp'!$AA23," ")</f>
        <v xml:space="preserve"> </v>
      </c>
      <c r="H23" s="145" t="str">
        <f>IF('[14]Table 10 CWTs exp'!H23/'[14]Table 10 CWTs exp'!$AA23&gt;0,'[14]Table 10 CWTs exp'!H23/'[14]Table 10 CWTs exp'!$AA23," ")</f>
        <v xml:space="preserve"> </v>
      </c>
      <c r="I23" s="144">
        <f>IF('[14]Table 10 CWTs exp'!I23/'[14]Table 10 CWTs exp'!$AA23&gt;0,'[14]Table 10 CWTs exp'!I23/'[14]Table 10 CWTs exp'!$AA23," ")</f>
        <v>0.2556785462921492</v>
      </c>
      <c r="J23" s="146" t="str">
        <f>IF('[14]Table 10 CWTs exp'!J23/'[14]Table 10 CWTs exp'!$AA23&gt;0,'[14]Table 10 CWTs exp'!J23/'[14]Table 10 CWTs exp'!$AA23," ")</f>
        <v xml:space="preserve"> </v>
      </c>
      <c r="K23" s="145" t="str">
        <f>IF('[14]Table 10 CWTs exp'!K23/'[14]Table 10 CWTs exp'!$AA23&gt;0,'[14]Table 10 CWTs exp'!K23/'[14]Table 10 CWTs exp'!$AA23," ")</f>
        <v xml:space="preserve"> </v>
      </c>
      <c r="L23" s="144" t="str">
        <f>IF('[14]Table 10 CWTs exp'!L23/'[14]Table 10 CWTs exp'!$AA23&gt;0,'[14]Table 10 CWTs exp'!L23/'[14]Table 10 CWTs exp'!$AA23," ")</f>
        <v xml:space="preserve"> </v>
      </c>
      <c r="M23" s="144">
        <f>IF('[14]Table 10 CWTs exp'!M23/'[14]Table 10 CWTs exp'!$AA23&gt;0,'[14]Table 10 CWTs exp'!M23/'[14]Table 10 CWTs exp'!$AA23," ")</f>
        <v>0.12144091112675155</v>
      </c>
      <c r="N23" s="146">
        <f>IF('[14]Table 10 CWTs exp'!N23/'[14]Table 10 CWTs exp'!$AA23&gt;0,'[14]Table 10 CWTs exp'!N23/'[14]Table 10 CWTs exp'!$AA23," ")</f>
        <v>1.5164117985795636E-2</v>
      </c>
      <c r="O23" s="144" t="str">
        <f>IF('[14]Table 10 CWTs exp'!O23/'[14]Table 10 CWTs exp'!$AA23&gt;0,'[14]Table 10 CWTs exp'!O23/'[14]Table 10 CWTs exp'!$AA23," ")</f>
        <v xml:space="preserve"> </v>
      </c>
      <c r="P23" s="146" t="str">
        <f>IF('[14]Table 10 CWTs exp'!P23/'[14]Table 10 CWTs exp'!$AA23&gt;0,'[14]Table 10 CWTs exp'!P23/'[14]Table 10 CWTs exp'!$AA23," ")</f>
        <v xml:space="preserve"> </v>
      </c>
      <c r="Q23" s="144" t="str">
        <f>IF('[14]Table 10 CWTs exp'!Q23/'[14]Table 10 CWTs exp'!$AA23&gt;0,'[14]Table 10 CWTs exp'!Q23/'[14]Table 10 CWTs exp'!$AA23," ")</f>
        <v xml:space="preserve"> </v>
      </c>
      <c r="R23" s="144" t="str">
        <f>IF('[14]Table 10 CWTs exp'!R23/'[14]Table 10 CWTs exp'!$AA23&gt;0,'[14]Table 10 CWTs exp'!R23/'[14]Table 10 CWTs exp'!$AA23," ")</f>
        <v xml:space="preserve"> </v>
      </c>
      <c r="S23" s="144" t="str">
        <f>IF('[14]Table 10 CWTs exp'!S23/'[14]Table 10 CWTs exp'!$AA23&gt;0,'[14]Table 10 CWTs exp'!S23/'[14]Table 10 CWTs exp'!$AA23," ")</f>
        <v xml:space="preserve"> </v>
      </c>
      <c r="T23" s="146" t="str">
        <f>IF('[14]Table 10 CWTs exp'!T23/'[14]Table 10 CWTs exp'!$AA23&gt;0,'[14]Table 10 CWTs exp'!T23/'[14]Table 10 CWTs exp'!$AA23," ")</f>
        <v xml:space="preserve"> </v>
      </c>
      <c r="U23" s="144" t="str">
        <f>IF('[14]Table 10 CWTs exp'!U23/'[14]Table 10 CWTs exp'!$AA23&gt;0,'[14]Table 10 CWTs exp'!U23/'[14]Table 10 CWTs exp'!$AA23," ")</f>
        <v xml:space="preserve"> </v>
      </c>
      <c r="V23" s="146" t="str">
        <f>IF('[14]Table 10 CWTs exp'!V23/'[14]Table 10 CWTs exp'!$AA23&gt;0,'[14]Table 10 CWTs exp'!V23/'[14]Table 10 CWTs exp'!$AA23," ")</f>
        <v xml:space="preserve"> </v>
      </c>
      <c r="W23" s="146">
        <f>IF('[14]Table 10 CWTs exp'!W23/'[14]Table 10 CWTs exp'!$AA23&gt;0,'[14]Table 10 CWTs exp'!W23/'[14]Table 10 CWTs exp'!$AA23," ")</f>
        <v>1.919508605796916E-3</v>
      </c>
      <c r="X23" s="144" t="str">
        <f>IF('[14]Table 10 CWTs exp'!X23/'[14]Table 10 CWTs exp'!$AA23&gt;0,'[14]Table 10 CWTs exp'!X23/'[14]Table 10 CWTs exp'!$AA23," ")</f>
        <v xml:space="preserve"> </v>
      </c>
      <c r="Y23" s="147">
        <f t="shared" si="4"/>
        <v>0.39420308401049331</v>
      </c>
      <c r="Z23" s="148">
        <f t="shared" si="5"/>
        <v>0.60579691598950669</v>
      </c>
      <c r="AA23" s="38">
        <f>'[14]Table 10 CWTs exp'!AA23</f>
        <v>15629</v>
      </c>
      <c r="AC23" s="592">
        <f>'[14]Table 10 CWTs exp'!AD23</f>
        <v>0.39400000000000002</v>
      </c>
      <c r="AD23" s="592">
        <f t="shared" si="2"/>
        <v>2.0308401049329294E-4</v>
      </c>
      <c r="AE23" s="593" t="str">
        <f t="shared" si="3"/>
        <v>USAC543</v>
      </c>
      <c r="AF23" s="442"/>
      <c r="AG23" s="442"/>
      <c r="AH23" s="648"/>
      <c r="AI23" s="454"/>
      <c r="AJ23" s="442"/>
      <c r="AK23" s="442"/>
      <c r="AL23" s="442"/>
      <c r="AM23" s="442"/>
      <c r="AN23" s="442"/>
      <c r="AO23" s="442"/>
      <c r="AP23" s="442"/>
      <c r="AQ23" s="442"/>
      <c r="AR23" s="442"/>
      <c r="AS23" s="442"/>
      <c r="AT23" s="442"/>
      <c r="AU23" s="442"/>
      <c r="AV23" s="442"/>
      <c r="AW23" s="442"/>
      <c r="AX23" s="442"/>
      <c r="AY23" s="442"/>
    </row>
    <row r="24" spans="1:51" ht="14.25" customHeight="1" x14ac:dyDescent="0.25">
      <c r="A24" s="54" t="str">
        <f>'[14]Table 10 CWTs exp'!A24</f>
        <v>CLR543</v>
      </c>
      <c r="B24" s="75" t="str">
        <f>'[14]Table 10 CWTs exp'!B24</f>
        <v>CLR</v>
      </c>
      <c r="C24" s="75">
        <f>'[14]Table 10 CWTs exp'!C24</f>
        <v>54</v>
      </c>
      <c r="D24" s="75">
        <f>'[14]Table 10 CWTs exp'!D24</f>
        <v>3</v>
      </c>
      <c r="E24" t="str">
        <f>'[14]Table 10 CWTs exp'!E24</f>
        <v>Clear Creek</v>
      </c>
      <c r="F24" s="37" t="str">
        <f>'[14]Table 10 CWTs exp'!F24</f>
        <v>Fall</v>
      </c>
      <c r="G24" s="144" t="str">
        <f>IF('[14]Table 10 CWTs exp'!G24/'[14]Table 10 CWTs exp'!$AA24&gt;0,'[14]Table 10 CWTs exp'!G24/'[14]Table 10 CWTs exp'!$AA24," ")</f>
        <v xml:space="preserve"> </v>
      </c>
      <c r="H24" s="145" t="str">
        <f>IF('[14]Table 10 CWTs exp'!H24/'[14]Table 10 CWTs exp'!$AA24&gt;0,'[14]Table 10 CWTs exp'!H24/'[14]Table 10 CWTs exp'!$AA24," ")</f>
        <v xml:space="preserve"> </v>
      </c>
      <c r="I24" s="144">
        <f>IF('[14]Table 10 CWTs exp'!I24/'[14]Table 10 CWTs exp'!$AA24&gt;0,'[14]Table 10 CWTs exp'!I24/'[14]Table 10 CWTs exp'!$AA24," ")</f>
        <v>0.32249458901696282</v>
      </c>
      <c r="J24" s="146" t="str">
        <f>IF('[14]Table 10 CWTs exp'!J24/'[14]Table 10 CWTs exp'!$AA24&gt;0,'[14]Table 10 CWTs exp'!J24/'[14]Table 10 CWTs exp'!$AA24," ")</f>
        <v xml:space="preserve"> </v>
      </c>
      <c r="K24" s="145" t="str">
        <f>IF('[14]Table 10 CWTs exp'!K24/'[14]Table 10 CWTs exp'!$AA24&gt;0,'[14]Table 10 CWTs exp'!K24/'[14]Table 10 CWTs exp'!$AA24," ")</f>
        <v xml:space="preserve"> </v>
      </c>
      <c r="L24" s="144" t="str">
        <f>IF('[14]Table 10 CWTs exp'!L24/'[14]Table 10 CWTs exp'!$AA24&gt;0,'[14]Table 10 CWTs exp'!L24/'[14]Table 10 CWTs exp'!$AA24," ")</f>
        <v xml:space="preserve"> </v>
      </c>
      <c r="M24" s="144">
        <f>IF('[14]Table 10 CWTs exp'!M24/'[14]Table 10 CWTs exp'!$AA24&gt;0,'[14]Table 10 CWTs exp'!M24/'[14]Table 10 CWTs exp'!$AA24," ")</f>
        <v>0.16071877988624353</v>
      </c>
      <c r="N24" s="146">
        <f>IF('[14]Table 10 CWTs exp'!N24/'[14]Table 10 CWTs exp'!$AA24&gt;0,'[14]Table 10 CWTs exp'!N24/'[14]Table 10 CWTs exp'!$AA24," ")</f>
        <v>3.4529621986208285E-2</v>
      </c>
      <c r="O24" s="144">
        <f>IF('[14]Table 10 CWTs exp'!O24/'[14]Table 10 CWTs exp'!$AA24&gt;0,'[14]Table 10 CWTs exp'!O24/'[14]Table 10 CWTs exp'!$AA24," ")</f>
        <v>2.8690793778627876E-3</v>
      </c>
      <c r="P24" s="146">
        <f>IF('[14]Table 10 CWTs exp'!P24/'[14]Table 10 CWTs exp'!$AA24&gt;0,'[14]Table 10 CWTs exp'!P24/'[14]Table 10 CWTs exp'!$AA24," ")</f>
        <v>1.1425982785523732E-2</v>
      </c>
      <c r="Q24" s="144" t="str">
        <f>IF('[14]Table 10 CWTs exp'!Q24/'[14]Table 10 CWTs exp'!$AA24&gt;0,'[14]Table 10 CWTs exp'!Q24/'[14]Table 10 CWTs exp'!$AA24," ")</f>
        <v xml:space="preserve"> </v>
      </c>
      <c r="R24" s="144" t="str">
        <f>IF('[14]Table 10 CWTs exp'!R24/'[14]Table 10 CWTs exp'!$AA24&gt;0,'[14]Table 10 CWTs exp'!R24/'[14]Table 10 CWTs exp'!$AA24," ")</f>
        <v xml:space="preserve"> </v>
      </c>
      <c r="S24" s="144">
        <f>IF('[14]Table 10 CWTs exp'!S24/'[14]Table 10 CWTs exp'!$AA24&gt;0,'[14]Table 10 CWTs exp'!S24/'[14]Table 10 CWTs exp'!$AA24," ")</f>
        <v>7.0468616298384251E-4</v>
      </c>
      <c r="T24" s="146">
        <f>IF('[14]Table 10 CWTs exp'!T24/'[14]Table 10 CWTs exp'!$AA24&gt;0,'[14]Table 10 CWTs exp'!T24/'[14]Table 10 CWTs exp'!$AA24," ")</f>
        <v>2.8690793778627876E-3</v>
      </c>
      <c r="U24" s="144" t="str">
        <f>IF('[14]Table 10 CWTs exp'!U24/'[14]Table 10 CWTs exp'!$AA24&gt;0,'[14]Table 10 CWTs exp'!U24/'[14]Table 10 CWTs exp'!$AA24," ")</f>
        <v xml:space="preserve"> </v>
      </c>
      <c r="V24" s="146">
        <f>IF('[14]Table 10 CWTs exp'!V24/'[14]Table 10 CWTs exp'!$AA24&gt;0,'[14]Table 10 CWTs exp'!V24/'[14]Table 10 CWTs exp'!$AA24," ")</f>
        <v>6.6945185483465045E-3</v>
      </c>
      <c r="W24" s="146" t="str">
        <f>IF('[14]Table 10 CWTs exp'!W24/'[14]Table 10 CWTs exp'!$AA24&gt;0,'[14]Table 10 CWTs exp'!W24/'[14]Table 10 CWTs exp'!$AA24," ")</f>
        <v xml:space="preserve"> </v>
      </c>
      <c r="X24" s="144" t="str">
        <f>IF('[14]Table 10 CWTs exp'!X24/'[14]Table 10 CWTs exp'!$AA24&gt;0,'[14]Table 10 CWTs exp'!X24/'[14]Table 10 CWTs exp'!$AA24," ")</f>
        <v xml:space="preserve"> </v>
      </c>
      <c r="Y24" s="147">
        <f t="shared" si="4"/>
        <v>0.54230633714199405</v>
      </c>
      <c r="Z24" s="148">
        <f t="shared" si="5"/>
        <v>0.45769366285800595</v>
      </c>
      <c r="AA24" s="38">
        <f>'[14]Table 10 CWTs exp'!AA24</f>
        <v>19867</v>
      </c>
      <c r="AC24" s="592">
        <f>'[14]Table 10 CWTs exp'!AD24</f>
        <v>0.54200000000000004</v>
      </c>
      <c r="AD24" s="592">
        <f t="shared" si="2"/>
        <v>3.0633714199401751E-4</v>
      </c>
      <c r="AE24" s="593" t="str">
        <f t="shared" si="3"/>
        <v>CLR543</v>
      </c>
      <c r="AF24" s="442"/>
      <c r="AG24" s="442"/>
      <c r="AH24" s="648"/>
      <c r="AI24" s="454"/>
      <c r="AJ24" s="442"/>
      <c r="AK24" s="442"/>
      <c r="AL24" s="442"/>
      <c r="AM24" s="442"/>
      <c r="AN24" s="442"/>
      <c r="AO24" s="442"/>
      <c r="AP24" s="442"/>
      <c r="AQ24" s="442"/>
      <c r="AR24" s="442"/>
      <c r="AS24" s="442"/>
      <c r="AT24" s="442"/>
      <c r="AU24" s="442"/>
      <c r="AV24" s="442"/>
      <c r="AW24" s="442"/>
      <c r="AX24" s="442"/>
      <c r="AY24" s="442"/>
    </row>
    <row r="25" spans="1:51" ht="14.5" customHeight="1" x14ac:dyDescent="0.25">
      <c r="A25" s="54" t="str">
        <f>'[14]Table 10 CWTs exp'!A25</f>
        <v>BATT543</v>
      </c>
      <c r="B25" s="75" t="str">
        <f>'[14]Table 10 CWTs exp'!B25</f>
        <v>BATT</v>
      </c>
      <c r="C25" s="75">
        <f>'[14]Table 10 CWTs exp'!C25</f>
        <v>54</v>
      </c>
      <c r="D25" s="75">
        <f>'[14]Table 10 CWTs exp'!D25</f>
        <v>3</v>
      </c>
      <c r="E25" s="75" t="s">
        <v>136</v>
      </c>
      <c r="F25" s="37" t="str">
        <f>'[14]Table 10 CWTs exp'!F25</f>
        <v>Fall</v>
      </c>
      <c r="G25" s="144" t="str">
        <f>IF('[14]Table 10 CWTs exp'!G25/'[14]Table 10 CWTs exp'!$AA25&gt;0,'[14]Table 10 CWTs exp'!G25/'[14]Table 10 CWTs exp'!$AA25," ")</f>
        <v xml:space="preserve"> </v>
      </c>
      <c r="H25" s="145">
        <f>IF('[14]Table 10 CWTs exp'!H25/'[14]Table 10 CWTs exp'!$AA25&gt;0,'[14]Table 10 CWTs exp'!H25/'[14]Table 10 CWTs exp'!$AA25," ")</f>
        <v>5.72967398155045E-5</v>
      </c>
      <c r="I25" s="144">
        <f>IF('[14]Table 10 CWTs exp'!I25/'[14]Table 10 CWTs exp'!$AA25&gt;0,'[14]Table 10 CWTs exp'!I25/'[14]Table 10 CWTs exp'!$AA25," ")</f>
        <v>0.87973414312725606</v>
      </c>
      <c r="J25" s="146" t="str">
        <f>IF('[14]Table 10 CWTs exp'!J25/'[14]Table 10 CWTs exp'!$AA25&gt;0,'[14]Table 10 CWTs exp'!J25/'[14]Table 10 CWTs exp'!$AA25," ")</f>
        <v xml:space="preserve"> </v>
      </c>
      <c r="K25" s="145" t="str">
        <f>IF('[14]Table 10 CWTs exp'!K25/'[14]Table 10 CWTs exp'!$AA25&gt;0,'[14]Table 10 CWTs exp'!K25/'[14]Table 10 CWTs exp'!$AA25," ")</f>
        <v xml:space="preserve"> </v>
      </c>
      <c r="L25" s="144" t="str">
        <f>IF('[14]Table 10 CWTs exp'!L25/'[14]Table 10 CWTs exp'!$AA25&gt;0,'[14]Table 10 CWTs exp'!L25/'[14]Table 10 CWTs exp'!$AA25," ")</f>
        <v xml:space="preserve"> </v>
      </c>
      <c r="M25" s="144">
        <f>IF('[14]Table 10 CWTs exp'!M25/'[14]Table 10 CWTs exp'!$AA25&gt;0,'[14]Table 10 CWTs exp'!M25/'[14]Table 10 CWTs exp'!$AA25," ")</f>
        <v>1.1172864264023377E-2</v>
      </c>
      <c r="N25" s="146">
        <f>IF('[14]Table 10 CWTs exp'!N25/'[14]Table 10 CWTs exp'!$AA25&gt;0,'[14]Table 10 CWTs exp'!N25/'[14]Table 10 CWTs exp'!$AA25," ")</f>
        <v>2.29186959262018E-4</v>
      </c>
      <c r="O25" s="144" t="str">
        <f>IF('[14]Table 10 CWTs exp'!O25/'[14]Table 10 CWTs exp'!$AA25&gt;0,'[14]Table 10 CWTs exp'!O25/'[14]Table 10 CWTs exp'!$AA25," ")</f>
        <v xml:space="preserve"> </v>
      </c>
      <c r="P25" s="146">
        <f>IF('[14]Table 10 CWTs exp'!P25/'[14]Table 10 CWTs exp'!$AA25&gt;0,'[14]Table 10 CWTs exp'!P25/'[14]Table 10 CWTs exp'!$AA25," ")</f>
        <v>2.29186959262018E-4</v>
      </c>
      <c r="Q25" s="144" t="str">
        <f>IF('[14]Table 10 CWTs exp'!Q25/'[14]Table 10 CWTs exp'!$AA25&gt;0,'[14]Table 10 CWTs exp'!Q25/'[14]Table 10 CWTs exp'!$AA25," ")</f>
        <v xml:space="preserve"> </v>
      </c>
      <c r="R25" s="144" t="str">
        <f>IF('[14]Table 10 CWTs exp'!R25/'[14]Table 10 CWTs exp'!$AA25&gt;0,'[14]Table 10 CWTs exp'!R25/'[14]Table 10 CWTs exp'!$AA25," ")</f>
        <v xml:space="preserve"> </v>
      </c>
      <c r="S25" s="144">
        <f>IF('[14]Table 10 CWTs exp'!S25/'[14]Table 10 CWTs exp'!$AA25&gt;0,'[14]Table 10 CWTs exp'!S25/'[14]Table 10 CWTs exp'!$AA25," ")</f>
        <v>5.72967398155045E-5</v>
      </c>
      <c r="T25" s="146">
        <f>IF('[14]Table 10 CWTs exp'!T25/'[14]Table 10 CWTs exp'!$AA25&gt;0,'[14]Table 10 CWTs exp'!T25/'[14]Table 10 CWTs exp'!$AA25," ")</f>
        <v>5.1567065833954052E-4</v>
      </c>
      <c r="U25" s="144" t="str">
        <f>IF('[14]Table 10 CWTs exp'!U25/'[14]Table 10 CWTs exp'!$AA25&gt;0,'[14]Table 10 CWTs exp'!U25/'[14]Table 10 CWTs exp'!$AA25," ")</f>
        <v xml:space="preserve"> </v>
      </c>
      <c r="V25" s="146">
        <f>IF('[14]Table 10 CWTs exp'!V25/'[14]Table 10 CWTs exp'!$AA25&gt;0,'[14]Table 10 CWTs exp'!V25/'[14]Table 10 CWTs exp'!$AA25," ")</f>
        <v>2.29186959262018E-4</v>
      </c>
      <c r="W25" s="146" t="str">
        <f>IF('[14]Table 10 CWTs exp'!W25/'[14]Table 10 CWTs exp'!$AA25&gt;0,'[14]Table 10 CWTs exp'!W25/'[14]Table 10 CWTs exp'!$AA25," ")</f>
        <v xml:space="preserve"> </v>
      </c>
      <c r="X25" s="144" t="str">
        <f>IF('[14]Table 10 CWTs exp'!X25/'[14]Table 10 CWTs exp'!$AA25&gt;0,'[14]Table 10 CWTs exp'!X25/'[14]Table 10 CWTs exp'!$AA25," ")</f>
        <v xml:space="preserve"> </v>
      </c>
      <c r="Y25" s="147">
        <f t="shared" si="4"/>
        <v>0.89222483240703598</v>
      </c>
      <c r="Z25" s="148">
        <f t="shared" si="5"/>
        <v>0.10777516759296402</v>
      </c>
      <c r="AA25" s="38">
        <f>'[14]Table 10 CWTs exp'!AA25</f>
        <v>17453</v>
      </c>
      <c r="AC25" s="592">
        <f>'[14]Table 10 CWTs exp'!AD25</f>
        <v>0.89222483240703609</v>
      </c>
      <c r="AD25" s="592">
        <f t="shared" si="2"/>
        <v>0</v>
      </c>
      <c r="AE25" s="593" t="str">
        <f t="shared" si="3"/>
        <v>BATT543</v>
      </c>
      <c r="AF25" s="442"/>
      <c r="AG25" s="442"/>
      <c r="AH25" s="648"/>
      <c r="AI25" s="454"/>
      <c r="AJ25" s="442"/>
      <c r="AK25" s="442"/>
      <c r="AL25" s="442"/>
      <c r="AM25" s="442"/>
      <c r="AN25" s="442"/>
      <c r="AO25" s="442"/>
      <c r="AP25" s="442"/>
      <c r="AQ25" s="442"/>
      <c r="AR25" s="442"/>
      <c r="AS25" s="442"/>
      <c r="AT25" s="442"/>
      <c r="AU25" s="442"/>
      <c r="AV25" s="442"/>
      <c r="AW25" s="442"/>
      <c r="AX25" s="442"/>
      <c r="AY25" s="442"/>
    </row>
    <row r="26" spans="1:51" ht="12.75" hidden="1" customHeight="1" x14ac:dyDescent="0.25">
      <c r="A26" s="54" t="str">
        <f>'[14]Table 10 CWTs exp'!A26</f>
        <v>COT543</v>
      </c>
      <c r="B26" s="75" t="str">
        <f>'[14]Table 10 CWTs exp'!B26</f>
        <v>COT</v>
      </c>
      <c r="C26" s="75">
        <f>'[14]Table 10 CWTs exp'!C26</f>
        <v>54</v>
      </c>
      <c r="D26" s="75">
        <f>'[14]Table 10 CWTs exp'!D26</f>
        <v>3</v>
      </c>
      <c r="E26" t="str">
        <f>'[14]Table 10 CWTs exp'!E26</f>
        <v>Cottonwood Creek</v>
      </c>
      <c r="F26" s="37" t="str">
        <f>'[14]Table 10 CWTs exp'!F26</f>
        <v>Fall</v>
      </c>
      <c r="G26" s="144" t="e">
        <f>IF('[14]Table 10 CWTs exp'!G26/'[14]Table 10 CWTs exp'!$AA26&gt;0,'[14]Table 10 CWTs exp'!G26/'[14]Table 10 CWTs exp'!$AA26," ")</f>
        <v>#DIV/0!</v>
      </c>
      <c r="H26" s="145" t="e">
        <f>IF('[14]Table 10 CWTs exp'!H26/'[14]Table 10 CWTs exp'!$AA26&gt;0,'[14]Table 10 CWTs exp'!H26/'[14]Table 10 CWTs exp'!$AA26," ")</f>
        <v>#DIV/0!</v>
      </c>
      <c r="I26" s="144" t="e">
        <f>IF('[14]Table 10 CWTs exp'!I26/'[14]Table 10 CWTs exp'!$AA26&gt;0,'[14]Table 10 CWTs exp'!I26/'[14]Table 10 CWTs exp'!$AA26," ")</f>
        <v>#DIV/0!</v>
      </c>
      <c r="J26" s="146" t="e">
        <f>IF('[14]Table 10 CWTs exp'!J26/'[14]Table 10 CWTs exp'!$AA26&gt;0,'[14]Table 10 CWTs exp'!J26/'[14]Table 10 CWTs exp'!$AA26," ")</f>
        <v>#DIV/0!</v>
      </c>
      <c r="K26" s="145" t="e">
        <f>IF('[14]Table 10 CWTs exp'!K26/'[14]Table 10 CWTs exp'!$AA26&gt;0,'[14]Table 10 CWTs exp'!K26/'[14]Table 10 CWTs exp'!$AA26," ")</f>
        <v>#DIV/0!</v>
      </c>
      <c r="L26" s="144" t="e">
        <f>IF('[14]Table 10 CWTs exp'!L26/'[14]Table 10 CWTs exp'!$AA26&gt;0,'[14]Table 10 CWTs exp'!L26/'[14]Table 10 CWTs exp'!$AA26," ")</f>
        <v>#DIV/0!</v>
      </c>
      <c r="M26" s="144" t="e">
        <f>IF('[14]Table 10 CWTs exp'!M26/'[14]Table 10 CWTs exp'!$AA26&gt;0,'[14]Table 10 CWTs exp'!M26/'[14]Table 10 CWTs exp'!$AA26," ")</f>
        <v>#DIV/0!</v>
      </c>
      <c r="N26" s="146" t="e">
        <f>IF('[14]Table 10 CWTs exp'!N26/'[14]Table 10 CWTs exp'!$AA26&gt;0,'[14]Table 10 CWTs exp'!N26/'[14]Table 10 CWTs exp'!$AA26," ")</f>
        <v>#DIV/0!</v>
      </c>
      <c r="O26" s="144" t="e">
        <f>IF('[14]Table 10 CWTs exp'!O26/'[14]Table 10 CWTs exp'!$AA26&gt;0,'[14]Table 10 CWTs exp'!O26/'[14]Table 10 CWTs exp'!$AA26," ")</f>
        <v>#DIV/0!</v>
      </c>
      <c r="P26" s="146" t="e">
        <f>IF('[14]Table 10 CWTs exp'!P26/'[14]Table 10 CWTs exp'!$AA26&gt;0,'[14]Table 10 CWTs exp'!P26/'[14]Table 10 CWTs exp'!$AA26," ")</f>
        <v>#DIV/0!</v>
      </c>
      <c r="Q26" s="144" t="e">
        <f>IF('[14]Table 10 CWTs exp'!Q26/'[14]Table 10 CWTs exp'!$AA26&gt;0,'[14]Table 10 CWTs exp'!Q26/'[14]Table 10 CWTs exp'!$AA26," ")</f>
        <v>#DIV/0!</v>
      </c>
      <c r="R26" s="144" t="e">
        <f>IF('[14]Table 10 CWTs exp'!R26/'[14]Table 10 CWTs exp'!$AA26&gt;0,'[14]Table 10 CWTs exp'!R26/'[14]Table 10 CWTs exp'!$AA26," ")</f>
        <v>#DIV/0!</v>
      </c>
      <c r="S26" s="144" t="e">
        <f>IF('[14]Table 10 CWTs exp'!S26/'[14]Table 10 CWTs exp'!$AA26&gt;0,'[14]Table 10 CWTs exp'!S26/'[14]Table 10 CWTs exp'!$AA26," ")</f>
        <v>#DIV/0!</v>
      </c>
      <c r="T26" s="146" t="e">
        <f>IF('[14]Table 10 CWTs exp'!T26/'[14]Table 10 CWTs exp'!$AA26&gt;0,'[14]Table 10 CWTs exp'!T26/'[14]Table 10 CWTs exp'!$AA26," ")</f>
        <v>#DIV/0!</v>
      </c>
      <c r="U26" s="144" t="e">
        <f>IF('[14]Table 10 CWTs exp'!U26/'[14]Table 10 CWTs exp'!$AA26&gt;0,'[14]Table 10 CWTs exp'!U26/'[14]Table 10 CWTs exp'!$AA26," ")</f>
        <v>#DIV/0!</v>
      </c>
      <c r="V26" s="146" t="e">
        <f>IF('[14]Table 10 CWTs exp'!V26/'[14]Table 10 CWTs exp'!$AA26&gt;0,'[14]Table 10 CWTs exp'!V26/'[14]Table 10 CWTs exp'!$AA26," ")</f>
        <v>#DIV/0!</v>
      </c>
      <c r="W26" s="146" t="e">
        <f>IF('[14]Table 10 CWTs exp'!W26/'[14]Table 10 CWTs exp'!$AA26&gt;0,'[14]Table 10 CWTs exp'!W26/'[14]Table 10 CWTs exp'!$AA26," ")</f>
        <v>#DIV/0!</v>
      </c>
      <c r="X26" s="144" t="e">
        <f>IF('[14]Table 10 CWTs exp'!X26/'[14]Table 10 CWTs exp'!$AA26&gt;0,'[14]Table 10 CWTs exp'!X26/'[14]Table 10 CWTs exp'!$AA26," ")</f>
        <v>#DIV/0!</v>
      </c>
      <c r="Y26" s="147" t="e">
        <f t="shared" si="4"/>
        <v>#DIV/0!</v>
      </c>
      <c r="Z26" s="148" t="e">
        <f t="shared" si="5"/>
        <v>#DIV/0!</v>
      </c>
      <c r="AA26" s="38">
        <f>'[14]Table 10 CWTs exp'!AA26</f>
        <v>0</v>
      </c>
      <c r="AC26" s="592">
        <f>'[14]Table 10 CWTs exp'!AD26</f>
        <v>0</v>
      </c>
      <c r="AD26" s="592" t="e">
        <f t="shared" si="2"/>
        <v>#DIV/0!</v>
      </c>
      <c r="AE26" s="593" t="str">
        <f t="shared" si="3"/>
        <v>COT543</v>
      </c>
      <c r="AF26" s="442"/>
      <c r="AG26" s="442"/>
      <c r="AH26" s="648"/>
      <c r="AI26" s="454"/>
      <c r="AJ26" s="442"/>
      <c r="AK26" s="442"/>
      <c r="AL26" s="442"/>
      <c r="AM26" s="442"/>
      <c r="AN26" s="442"/>
      <c r="AO26" s="442"/>
      <c r="AP26" s="442"/>
      <c r="AQ26" s="442"/>
      <c r="AR26" s="442"/>
      <c r="AS26" s="442"/>
      <c r="AT26" s="442"/>
      <c r="AU26" s="442"/>
      <c r="AV26" s="442"/>
      <c r="AW26" s="442"/>
      <c r="AX26" s="442"/>
      <c r="AY26" s="442"/>
    </row>
    <row r="27" spans="1:51" ht="12.75" hidden="1" customHeight="1" x14ac:dyDescent="0.25">
      <c r="A27" s="54" t="str">
        <f>'[14]Table 10 CWTs exp'!A27</f>
        <v>COW543</v>
      </c>
      <c r="B27" s="75" t="str">
        <f>'[14]Table 10 CWTs exp'!B27</f>
        <v>COW</v>
      </c>
      <c r="C27" s="75">
        <f>'[14]Table 10 CWTs exp'!C27</f>
        <v>54</v>
      </c>
      <c r="D27" s="75">
        <f>'[14]Table 10 CWTs exp'!D27</f>
        <v>3</v>
      </c>
      <c r="E27" t="str">
        <f>'[14]Table 10 CWTs exp'!E27</f>
        <v>Cow Creek</v>
      </c>
      <c r="F27" s="37" t="str">
        <f>'[14]Table 10 CWTs exp'!F27</f>
        <v>Fall</v>
      </c>
      <c r="G27" s="144" t="e">
        <f>IF('[14]Table 10 CWTs exp'!G27/'[14]Table 10 CWTs exp'!$AA27&gt;0,'[14]Table 10 CWTs exp'!G27/'[14]Table 10 CWTs exp'!$AA27," ")</f>
        <v>#DIV/0!</v>
      </c>
      <c r="H27" s="145" t="e">
        <f>IF('[14]Table 10 CWTs exp'!H27/'[14]Table 10 CWTs exp'!$AA27&gt;0,'[14]Table 10 CWTs exp'!H27/'[14]Table 10 CWTs exp'!$AA27," ")</f>
        <v>#DIV/0!</v>
      </c>
      <c r="I27" s="144" t="e">
        <f>IF('[14]Table 10 CWTs exp'!I27/'[14]Table 10 CWTs exp'!$AA27&gt;0,'[14]Table 10 CWTs exp'!I27/'[14]Table 10 CWTs exp'!$AA27," ")</f>
        <v>#DIV/0!</v>
      </c>
      <c r="J27" s="146" t="e">
        <f>IF('[14]Table 10 CWTs exp'!J27/'[14]Table 10 CWTs exp'!$AA27&gt;0,'[14]Table 10 CWTs exp'!J27/'[14]Table 10 CWTs exp'!$AA27," ")</f>
        <v>#DIV/0!</v>
      </c>
      <c r="K27" s="145" t="e">
        <f>IF('[14]Table 10 CWTs exp'!K27/'[14]Table 10 CWTs exp'!$AA27&gt;0,'[14]Table 10 CWTs exp'!K27/'[14]Table 10 CWTs exp'!$AA27," ")</f>
        <v>#DIV/0!</v>
      </c>
      <c r="L27" s="144" t="e">
        <f>IF('[14]Table 10 CWTs exp'!L27/'[14]Table 10 CWTs exp'!$AA27&gt;0,'[14]Table 10 CWTs exp'!L27/'[14]Table 10 CWTs exp'!$AA27," ")</f>
        <v>#DIV/0!</v>
      </c>
      <c r="M27" s="144" t="e">
        <f>IF('[14]Table 10 CWTs exp'!M27/'[14]Table 10 CWTs exp'!$AA27&gt;0,'[14]Table 10 CWTs exp'!M27/'[14]Table 10 CWTs exp'!$AA27," ")</f>
        <v>#DIV/0!</v>
      </c>
      <c r="N27" s="146" t="e">
        <f>IF('[14]Table 10 CWTs exp'!N27/'[14]Table 10 CWTs exp'!$AA27&gt;0,'[14]Table 10 CWTs exp'!N27/'[14]Table 10 CWTs exp'!$AA27," ")</f>
        <v>#DIV/0!</v>
      </c>
      <c r="O27" s="144" t="e">
        <f>IF('[14]Table 10 CWTs exp'!O27/'[14]Table 10 CWTs exp'!$AA27&gt;0,'[14]Table 10 CWTs exp'!O27/'[14]Table 10 CWTs exp'!$AA27," ")</f>
        <v>#DIV/0!</v>
      </c>
      <c r="P27" s="146" t="e">
        <f>IF('[14]Table 10 CWTs exp'!P27/'[14]Table 10 CWTs exp'!$AA27&gt;0,'[14]Table 10 CWTs exp'!P27/'[14]Table 10 CWTs exp'!$AA27," ")</f>
        <v>#DIV/0!</v>
      </c>
      <c r="Q27" s="144" t="e">
        <f>IF('[14]Table 10 CWTs exp'!Q27/'[14]Table 10 CWTs exp'!$AA27&gt;0,'[14]Table 10 CWTs exp'!Q27/'[14]Table 10 CWTs exp'!$AA27," ")</f>
        <v>#DIV/0!</v>
      </c>
      <c r="R27" s="144" t="e">
        <f>IF('[14]Table 10 CWTs exp'!R27/'[14]Table 10 CWTs exp'!$AA27&gt;0,'[14]Table 10 CWTs exp'!R27/'[14]Table 10 CWTs exp'!$AA27," ")</f>
        <v>#DIV/0!</v>
      </c>
      <c r="S27" s="144" t="e">
        <f>IF('[14]Table 10 CWTs exp'!S27/'[14]Table 10 CWTs exp'!$AA27&gt;0,'[14]Table 10 CWTs exp'!S27/'[14]Table 10 CWTs exp'!$AA27," ")</f>
        <v>#DIV/0!</v>
      </c>
      <c r="T27" s="146" t="e">
        <f>IF('[14]Table 10 CWTs exp'!T27/'[14]Table 10 CWTs exp'!$AA27&gt;0,'[14]Table 10 CWTs exp'!T27/'[14]Table 10 CWTs exp'!$AA27," ")</f>
        <v>#DIV/0!</v>
      </c>
      <c r="U27" s="144" t="e">
        <f>IF('[14]Table 10 CWTs exp'!U27/'[14]Table 10 CWTs exp'!$AA27&gt;0,'[14]Table 10 CWTs exp'!U27/'[14]Table 10 CWTs exp'!$AA27," ")</f>
        <v>#DIV/0!</v>
      </c>
      <c r="V27" s="146" t="e">
        <f>IF('[14]Table 10 CWTs exp'!V27/'[14]Table 10 CWTs exp'!$AA27&gt;0,'[14]Table 10 CWTs exp'!V27/'[14]Table 10 CWTs exp'!$AA27," ")</f>
        <v>#DIV/0!</v>
      </c>
      <c r="W27" s="146" t="e">
        <f>IF('[14]Table 10 CWTs exp'!W27/'[14]Table 10 CWTs exp'!$AA27&gt;0,'[14]Table 10 CWTs exp'!W27/'[14]Table 10 CWTs exp'!$AA27," ")</f>
        <v>#DIV/0!</v>
      </c>
      <c r="X27" s="144" t="e">
        <f>IF('[14]Table 10 CWTs exp'!X27/'[14]Table 10 CWTs exp'!$AA27&gt;0,'[14]Table 10 CWTs exp'!X27/'[14]Table 10 CWTs exp'!$AA27," ")</f>
        <v>#DIV/0!</v>
      </c>
      <c r="Y27" s="147" t="e">
        <f t="shared" si="4"/>
        <v>#DIV/0!</v>
      </c>
      <c r="Z27" s="148" t="e">
        <f t="shared" si="5"/>
        <v>#DIV/0!</v>
      </c>
      <c r="AA27" s="38">
        <f>'[14]Table 10 CWTs exp'!AA27</f>
        <v>0</v>
      </c>
      <c r="AC27" s="592">
        <f>'[14]Table 10 CWTs exp'!AD27</f>
        <v>0</v>
      </c>
      <c r="AD27" s="592" t="e">
        <f t="shared" si="2"/>
        <v>#DIV/0!</v>
      </c>
      <c r="AE27" s="593" t="str">
        <f t="shared" si="3"/>
        <v>COW543</v>
      </c>
      <c r="AF27" s="442"/>
      <c r="AG27" s="442"/>
      <c r="AH27" s="648"/>
      <c r="AI27" s="454"/>
      <c r="AJ27" s="442"/>
      <c r="AK27" s="442"/>
      <c r="AL27" s="442"/>
      <c r="AM27" s="442"/>
      <c r="AN27" s="442"/>
      <c r="AO27" s="442"/>
      <c r="AP27" s="442"/>
      <c r="AQ27" s="442"/>
      <c r="AR27" s="442"/>
      <c r="AS27" s="442"/>
      <c r="AT27" s="442"/>
      <c r="AU27" s="442"/>
      <c r="AV27" s="442"/>
      <c r="AW27" s="442"/>
      <c r="AX27" s="442"/>
      <c r="AY27" s="442"/>
    </row>
    <row r="28" spans="1:51" ht="14.25" hidden="1" customHeight="1" x14ac:dyDescent="0.25">
      <c r="A28" s="54" t="str">
        <f>'[14]Table 10 CWTs exp'!A28</f>
        <v>MLC543</v>
      </c>
      <c r="B28" s="75" t="str">
        <f>'[14]Table 10 CWTs exp'!B28</f>
        <v>MLC</v>
      </c>
      <c r="C28" s="75">
        <f>'[14]Table 10 CWTs exp'!C28</f>
        <v>54</v>
      </c>
      <c r="D28" s="75">
        <f>'[14]Table 10 CWTs exp'!D28</f>
        <v>3</v>
      </c>
      <c r="E28" t="str">
        <f>'[14]Table 10 CWTs exp'!E28</f>
        <v>Mill Creek</v>
      </c>
      <c r="F28" s="37" t="str">
        <f>'[14]Table 10 CWTs exp'!F28</f>
        <v>Fall</v>
      </c>
      <c r="G28" s="144" t="e">
        <f>IF('[14]Table 10 CWTs exp'!G28/'[14]Table 10 CWTs exp'!$AA28&gt;0,'[14]Table 10 CWTs exp'!G28/'[14]Table 10 CWTs exp'!$AA28," ")</f>
        <v>#DIV/0!</v>
      </c>
      <c r="H28" s="145" t="e">
        <f>IF('[14]Table 10 CWTs exp'!H28/'[14]Table 10 CWTs exp'!$AA28&gt;0,'[14]Table 10 CWTs exp'!H28/'[14]Table 10 CWTs exp'!$AA28," ")</f>
        <v>#DIV/0!</v>
      </c>
      <c r="I28" s="144" t="e">
        <f>IF('[14]Table 10 CWTs exp'!I28/'[14]Table 10 CWTs exp'!$AA28&gt;0,'[14]Table 10 CWTs exp'!I28/'[14]Table 10 CWTs exp'!$AA28," ")</f>
        <v>#DIV/0!</v>
      </c>
      <c r="J28" s="146" t="e">
        <f>IF('[14]Table 10 CWTs exp'!J28/'[14]Table 10 CWTs exp'!$AA28&gt;0,'[14]Table 10 CWTs exp'!J28/'[14]Table 10 CWTs exp'!$AA28," ")</f>
        <v>#DIV/0!</v>
      </c>
      <c r="K28" s="145" t="e">
        <f>IF('[14]Table 10 CWTs exp'!K28/'[14]Table 10 CWTs exp'!$AA28&gt;0,'[14]Table 10 CWTs exp'!K28/'[14]Table 10 CWTs exp'!$AA28," ")</f>
        <v>#DIV/0!</v>
      </c>
      <c r="L28" s="144" t="e">
        <f>IF('[14]Table 10 CWTs exp'!L28/'[14]Table 10 CWTs exp'!$AA28&gt;0,'[14]Table 10 CWTs exp'!L28/'[14]Table 10 CWTs exp'!$AA28," ")</f>
        <v>#DIV/0!</v>
      </c>
      <c r="M28" s="144" t="e">
        <f>IF('[14]Table 10 CWTs exp'!M28/'[14]Table 10 CWTs exp'!$AA28&gt;0,'[14]Table 10 CWTs exp'!M28/'[14]Table 10 CWTs exp'!$AA28," ")</f>
        <v>#DIV/0!</v>
      </c>
      <c r="N28" s="146" t="e">
        <f>IF('[14]Table 10 CWTs exp'!N28/'[14]Table 10 CWTs exp'!$AA28&gt;0,'[14]Table 10 CWTs exp'!N28/'[14]Table 10 CWTs exp'!$AA28," ")</f>
        <v>#DIV/0!</v>
      </c>
      <c r="O28" s="144" t="e">
        <f>IF('[14]Table 10 CWTs exp'!O28/'[14]Table 10 CWTs exp'!$AA28&gt;0,'[14]Table 10 CWTs exp'!O28/'[14]Table 10 CWTs exp'!$AA28," ")</f>
        <v>#DIV/0!</v>
      </c>
      <c r="P28" s="146" t="e">
        <f>IF('[14]Table 10 CWTs exp'!P28/'[14]Table 10 CWTs exp'!$AA28&gt;0,'[14]Table 10 CWTs exp'!P28/'[14]Table 10 CWTs exp'!$AA28," ")</f>
        <v>#DIV/0!</v>
      </c>
      <c r="Q28" s="144" t="e">
        <f>IF('[14]Table 10 CWTs exp'!Q28/'[14]Table 10 CWTs exp'!$AA28&gt;0,'[14]Table 10 CWTs exp'!Q28/'[14]Table 10 CWTs exp'!$AA28," ")</f>
        <v>#DIV/0!</v>
      </c>
      <c r="R28" s="144" t="e">
        <f>IF('[14]Table 10 CWTs exp'!R28/'[14]Table 10 CWTs exp'!$AA28&gt;0,'[14]Table 10 CWTs exp'!R28/'[14]Table 10 CWTs exp'!$AA28," ")</f>
        <v>#DIV/0!</v>
      </c>
      <c r="S28" s="144" t="e">
        <f>IF('[14]Table 10 CWTs exp'!S28/'[14]Table 10 CWTs exp'!$AA28&gt;0,'[14]Table 10 CWTs exp'!S28/'[14]Table 10 CWTs exp'!$AA28," ")</f>
        <v>#DIV/0!</v>
      </c>
      <c r="T28" s="146" t="e">
        <f>IF('[14]Table 10 CWTs exp'!T28/'[14]Table 10 CWTs exp'!$AA28&gt;0,'[14]Table 10 CWTs exp'!T28/'[14]Table 10 CWTs exp'!$AA28," ")</f>
        <v>#DIV/0!</v>
      </c>
      <c r="U28" s="144" t="e">
        <f>IF('[14]Table 10 CWTs exp'!U28/'[14]Table 10 CWTs exp'!$AA28&gt;0,'[14]Table 10 CWTs exp'!U28/'[14]Table 10 CWTs exp'!$AA28," ")</f>
        <v>#DIV/0!</v>
      </c>
      <c r="V28" s="146" t="e">
        <f>IF('[14]Table 10 CWTs exp'!V28/'[14]Table 10 CWTs exp'!$AA28&gt;0,'[14]Table 10 CWTs exp'!V28/'[14]Table 10 CWTs exp'!$AA28," ")</f>
        <v>#DIV/0!</v>
      </c>
      <c r="W28" s="146" t="e">
        <f>IF('[14]Table 10 CWTs exp'!W28/'[14]Table 10 CWTs exp'!$AA28&gt;0,'[14]Table 10 CWTs exp'!W28/'[14]Table 10 CWTs exp'!$AA28," ")</f>
        <v>#DIV/0!</v>
      </c>
      <c r="X28" s="144" t="e">
        <f>IF('[14]Table 10 CWTs exp'!X28/'[14]Table 10 CWTs exp'!$AA28&gt;0,'[14]Table 10 CWTs exp'!X28/'[14]Table 10 CWTs exp'!$AA28," ")</f>
        <v>#DIV/0!</v>
      </c>
      <c r="Y28" s="147" t="e">
        <f t="shared" si="4"/>
        <v>#DIV/0!</v>
      </c>
      <c r="Z28" s="148" t="e">
        <f t="shared" si="5"/>
        <v>#DIV/0!</v>
      </c>
      <c r="AA28" s="38">
        <f>'[14]Table 10 CWTs exp'!AA28</f>
        <v>0</v>
      </c>
      <c r="AC28" s="592">
        <f>'[14]Table 10 CWTs exp'!AD28</f>
        <v>0</v>
      </c>
      <c r="AD28" s="592" t="e">
        <f t="shared" si="2"/>
        <v>#DIV/0!</v>
      </c>
      <c r="AE28" s="593" t="str">
        <f t="shared" si="3"/>
        <v>MLC543</v>
      </c>
      <c r="AF28" s="442"/>
      <c r="AG28" s="442"/>
      <c r="AH28" s="648"/>
      <c r="AI28" s="454"/>
      <c r="AJ28" s="442"/>
      <c r="AK28" s="442"/>
      <c r="AL28" s="442"/>
      <c r="AM28" s="442"/>
      <c r="AN28" s="442"/>
      <c r="AO28" s="442"/>
      <c r="AP28" s="442"/>
      <c r="AQ28" s="442"/>
      <c r="AR28" s="442"/>
      <c r="AS28" s="442"/>
      <c r="AT28" s="442"/>
      <c r="AU28" s="442"/>
      <c r="AV28" s="442"/>
      <c r="AW28" s="442"/>
      <c r="AX28" s="442"/>
      <c r="AY28" s="442"/>
    </row>
    <row r="29" spans="1:51" ht="14.25" hidden="1" customHeight="1" x14ac:dyDescent="0.25">
      <c r="A29" s="54" t="str">
        <f>'[14]Table 10 CWTs exp'!A29</f>
        <v>BUTT543</v>
      </c>
      <c r="B29" s="75" t="str">
        <f>'[14]Table 10 CWTs exp'!B29</f>
        <v>BUTT</v>
      </c>
      <c r="C29" s="75">
        <f>'[14]Table 10 CWTs exp'!C29</f>
        <v>54</v>
      </c>
      <c r="D29" s="75">
        <f>'[14]Table 10 CWTs exp'!D29</f>
        <v>3</v>
      </c>
      <c r="E29" t="str">
        <f>'[14]Table 10 CWTs exp'!E29</f>
        <v>Butte Creek</v>
      </c>
      <c r="F29" s="37" t="str">
        <f>'[14]Table 10 CWTs exp'!F29</f>
        <v>Fall</v>
      </c>
      <c r="G29" s="144" t="e">
        <f>IF('[14]Table 10 CWTs exp'!G29/'[14]Table 10 CWTs exp'!$AA29&gt;0,'[14]Table 10 CWTs exp'!G29/'[14]Table 10 CWTs exp'!$AA29," ")</f>
        <v>#DIV/0!</v>
      </c>
      <c r="H29" s="145" t="e">
        <f>IF('[14]Table 10 CWTs exp'!H29/'[14]Table 10 CWTs exp'!$AA29&gt;0,'[14]Table 10 CWTs exp'!H29/'[14]Table 10 CWTs exp'!$AA29," ")</f>
        <v>#DIV/0!</v>
      </c>
      <c r="I29" s="144" t="e">
        <f>IF('[14]Table 10 CWTs exp'!I29/'[14]Table 10 CWTs exp'!$AA29&gt;0,'[14]Table 10 CWTs exp'!I29/'[14]Table 10 CWTs exp'!$AA29," ")</f>
        <v>#DIV/0!</v>
      </c>
      <c r="J29" s="146" t="e">
        <f>IF('[14]Table 10 CWTs exp'!J29/'[14]Table 10 CWTs exp'!$AA29&gt;0,'[14]Table 10 CWTs exp'!J29/'[14]Table 10 CWTs exp'!$AA29," ")</f>
        <v>#DIV/0!</v>
      </c>
      <c r="K29" s="145" t="e">
        <f>IF('[14]Table 10 CWTs exp'!K29/'[14]Table 10 CWTs exp'!$AA29&gt;0,'[14]Table 10 CWTs exp'!K29/'[14]Table 10 CWTs exp'!$AA29," ")</f>
        <v>#DIV/0!</v>
      </c>
      <c r="L29" s="144" t="e">
        <f>IF('[14]Table 10 CWTs exp'!L29/'[14]Table 10 CWTs exp'!$AA29&gt;0,'[14]Table 10 CWTs exp'!L29/'[14]Table 10 CWTs exp'!$AA29," ")</f>
        <v>#DIV/0!</v>
      </c>
      <c r="M29" s="144" t="e">
        <f>IF('[14]Table 10 CWTs exp'!M29/'[14]Table 10 CWTs exp'!$AA29&gt;0,'[14]Table 10 CWTs exp'!M29/'[14]Table 10 CWTs exp'!$AA29," ")</f>
        <v>#DIV/0!</v>
      </c>
      <c r="N29" s="146" t="e">
        <f>IF('[14]Table 10 CWTs exp'!N29/'[14]Table 10 CWTs exp'!$AA29&gt;0,'[14]Table 10 CWTs exp'!N29/'[14]Table 10 CWTs exp'!$AA29," ")</f>
        <v>#DIV/0!</v>
      </c>
      <c r="O29" s="144" t="e">
        <f>IF('[14]Table 10 CWTs exp'!O29/'[14]Table 10 CWTs exp'!$AA29&gt;0,'[14]Table 10 CWTs exp'!O29/'[14]Table 10 CWTs exp'!$AA29," ")</f>
        <v>#DIV/0!</v>
      </c>
      <c r="P29" s="146" t="e">
        <f>IF('[14]Table 10 CWTs exp'!P29/'[14]Table 10 CWTs exp'!$AA29&gt;0,'[14]Table 10 CWTs exp'!P29/'[14]Table 10 CWTs exp'!$AA29," ")</f>
        <v>#DIV/0!</v>
      </c>
      <c r="Q29" s="144" t="e">
        <f>IF('[14]Table 10 CWTs exp'!Q29/'[14]Table 10 CWTs exp'!$AA29&gt;0,'[14]Table 10 CWTs exp'!Q29/'[14]Table 10 CWTs exp'!$AA29," ")</f>
        <v>#DIV/0!</v>
      </c>
      <c r="R29" s="144" t="e">
        <f>IF('[14]Table 10 CWTs exp'!R29/'[14]Table 10 CWTs exp'!$AA29&gt;0,'[14]Table 10 CWTs exp'!R29/'[14]Table 10 CWTs exp'!$AA29," ")</f>
        <v>#DIV/0!</v>
      </c>
      <c r="S29" s="144" t="e">
        <f>IF('[14]Table 10 CWTs exp'!S29/'[14]Table 10 CWTs exp'!$AA29&gt;0,'[14]Table 10 CWTs exp'!S29/'[14]Table 10 CWTs exp'!$AA29," ")</f>
        <v>#DIV/0!</v>
      </c>
      <c r="T29" s="146" t="e">
        <f>IF('[14]Table 10 CWTs exp'!T29/'[14]Table 10 CWTs exp'!$AA29&gt;0,'[14]Table 10 CWTs exp'!T29/'[14]Table 10 CWTs exp'!$AA29," ")</f>
        <v>#DIV/0!</v>
      </c>
      <c r="U29" s="144" t="e">
        <f>IF('[14]Table 10 CWTs exp'!U29/'[14]Table 10 CWTs exp'!$AA29&gt;0,'[14]Table 10 CWTs exp'!U29/'[14]Table 10 CWTs exp'!$AA29," ")</f>
        <v>#DIV/0!</v>
      </c>
      <c r="V29" s="146" t="e">
        <f>IF('[14]Table 10 CWTs exp'!V29/'[14]Table 10 CWTs exp'!$AA29&gt;0,'[14]Table 10 CWTs exp'!V29/'[14]Table 10 CWTs exp'!$AA29," ")</f>
        <v>#DIV/0!</v>
      </c>
      <c r="W29" s="146" t="e">
        <f>IF('[14]Table 10 CWTs exp'!W29/'[14]Table 10 CWTs exp'!$AA29&gt;0,'[14]Table 10 CWTs exp'!W29/'[14]Table 10 CWTs exp'!$AA29," ")</f>
        <v>#DIV/0!</v>
      </c>
      <c r="X29" s="144" t="e">
        <f>IF('[14]Table 10 CWTs exp'!X29/'[14]Table 10 CWTs exp'!$AA29&gt;0,'[14]Table 10 CWTs exp'!X29/'[14]Table 10 CWTs exp'!$AA29," ")</f>
        <v>#DIV/0!</v>
      </c>
      <c r="Y29" s="147" t="e">
        <f t="shared" si="4"/>
        <v>#DIV/0!</v>
      </c>
      <c r="Z29" s="148" t="e">
        <f t="shared" si="5"/>
        <v>#DIV/0!</v>
      </c>
      <c r="AA29" s="38">
        <f>'[14]Table 10 CWTs exp'!AA29</f>
        <v>0</v>
      </c>
      <c r="AC29" s="592">
        <f>'[14]Table 10 CWTs exp'!AD29</f>
        <v>0</v>
      </c>
      <c r="AD29" s="592" t="e">
        <f t="shared" si="2"/>
        <v>#DIV/0!</v>
      </c>
      <c r="AE29" s="593" t="str">
        <f t="shared" si="3"/>
        <v>BUTT543</v>
      </c>
      <c r="AF29" s="442"/>
      <c r="AG29" s="442"/>
      <c r="AH29" s="648"/>
      <c r="AI29" s="454"/>
      <c r="AJ29" s="442"/>
      <c r="AK29" s="442"/>
      <c r="AL29" s="442"/>
      <c r="AM29" s="442"/>
      <c r="AN29" s="442"/>
      <c r="AO29" s="442"/>
      <c r="AP29" s="442"/>
      <c r="AQ29" s="442"/>
      <c r="AR29" s="442"/>
      <c r="AS29" s="442"/>
      <c r="AT29" s="442"/>
      <c r="AU29" s="442"/>
      <c r="AV29" s="442"/>
      <c r="AW29" s="442"/>
      <c r="AX29" s="442"/>
      <c r="AY29" s="442"/>
    </row>
    <row r="30" spans="1:51" ht="14.5" customHeight="1" x14ac:dyDescent="0.25">
      <c r="A30" s="54" t="str">
        <f>'[14]Table 10 CWTs exp'!A30</f>
        <v>FEA543</v>
      </c>
      <c r="B30" s="75" t="str">
        <f>'[14]Table 10 CWTs exp'!B30</f>
        <v>FEA</v>
      </c>
      <c r="C30" s="75">
        <f>'[14]Table 10 CWTs exp'!C30</f>
        <v>54</v>
      </c>
      <c r="D30" s="75">
        <f>'[14]Table 10 CWTs exp'!D30</f>
        <v>3</v>
      </c>
      <c r="E30" t="str">
        <f>'[14]Table 10 CWTs exp'!E30</f>
        <v>Feather River</v>
      </c>
      <c r="F30" s="37" t="str">
        <f>'[14]Table 10 CWTs exp'!F30</f>
        <v>Fall</v>
      </c>
      <c r="G30" s="144" t="str">
        <f>IF('[14]Table 10 CWTs exp'!G30/'[14]Table 10 CWTs exp'!$AA30&gt;0,'[14]Table 10 CWTs exp'!G30/'[14]Table 10 CWTs exp'!$AA30," ")</f>
        <v xml:space="preserve"> </v>
      </c>
      <c r="H30" s="145" t="str">
        <f>IF('[14]Table 10 CWTs exp'!H30/'[14]Table 10 CWTs exp'!$AA30&gt;0,'[14]Table 10 CWTs exp'!H30/'[14]Table 10 CWTs exp'!$AA30," ")</f>
        <v xml:space="preserve"> </v>
      </c>
      <c r="I30" s="144" t="str">
        <f>IF('[14]Table 10 CWTs exp'!I30/'[14]Table 10 CWTs exp'!$AA30&gt;0,'[14]Table 10 CWTs exp'!I30/'[14]Table 10 CWTs exp'!$AA30," ")</f>
        <v xml:space="preserve"> </v>
      </c>
      <c r="J30" s="146" t="str">
        <f>IF('[14]Table 10 CWTs exp'!J30/'[14]Table 10 CWTs exp'!$AA30&gt;0,'[14]Table 10 CWTs exp'!J30/'[14]Table 10 CWTs exp'!$AA30," ")</f>
        <v xml:space="preserve"> </v>
      </c>
      <c r="K30" s="145">
        <f>IF('[14]Table 10 CWTs exp'!K30/'[14]Table 10 CWTs exp'!$AA30&gt;0,'[14]Table 10 CWTs exp'!K30/'[14]Table 10 CWTs exp'!$AA30," ")</f>
        <v>0.46129232039636664</v>
      </c>
      <c r="L30" s="144">
        <f>IF('[14]Table 10 CWTs exp'!L30/'[14]Table 10 CWTs exp'!$AA30&gt;0,'[14]Table 10 CWTs exp'!L30/'[14]Table 10 CWTs exp'!$AA30," ")</f>
        <v>8.2576383154417832E-4</v>
      </c>
      <c r="M30" s="144">
        <f>IF('[14]Table 10 CWTs exp'!M30/'[14]Table 10 CWTs exp'!$AA30&gt;0,'[14]Table 10 CWTs exp'!M30/'[14]Table 10 CWTs exp'!$AA30," ")</f>
        <v>0.29810074318744839</v>
      </c>
      <c r="N30" s="146">
        <f>IF('[14]Table 10 CWTs exp'!N30/'[14]Table 10 CWTs exp'!$AA30&gt;0,'[14]Table 10 CWTs exp'!N30/'[14]Table 10 CWTs exp'!$AA30," ")</f>
        <v>2.2502064409578859E-2</v>
      </c>
      <c r="O30" s="144">
        <f>IF('[14]Table 10 CWTs exp'!O30/'[14]Table 10 CWTs exp'!$AA30&gt;0,'[14]Table 10 CWTs exp'!O30/'[14]Table 10 CWTs exp'!$AA30," ")</f>
        <v>3.1998348472336911E-3</v>
      </c>
      <c r="P30" s="146">
        <f>IF('[14]Table 10 CWTs exp'!P30/'[14]Table 10 CWTs exp'!$AA30&gt;0,'[14]Table 10 CWTs exp'!P30/'[14]Table 10 CWTs exp'!$AA30," ")</f>
        <v>1.2799339388934764E-2</v>
      </c>
      <c r="Q30" s="144" t="str">
        <f>IF('[14]Table 10 CWTs exp'!Q30/'[14]Table 10 CWTs exp'!$AA30&gt;0,'[14]Table 10 CWTs exp'!Q30/'[14]Table 10 CWTs exp'!$AA30," ")</f>
        <v xml:space="preserve"> </v>
      </c>
      <c r="R30" s="144">
        <f>IF('[14]Table 10 CWTs exp'!R30/'[14]Table 10 CWTs exp'!$AA30&gt;0,'[14]Table 10 CWTs exp'!R30/'[14]Table 10 CWTs exp'!$AA30," ")</f>
        <v>1.6721717588769613E-2</v>
      </c>
      <c r="S30" s="144">
        <f>IF('[14]Table 10 CWTs exp'!S30/'[14]Table 10 CWTs exp'!$AA30&gt;0,'[14]Table 10 CWTs exp'!S30/'[14]Table 10 CWTs exp'!$AA30," ")</f>
        <v>2.3740710156895128E-3</v>
      </c>
      <c r="T30" s="146">
        <f>IF('[14]Table 10 CWTs exp'!T30/'[14]Table 10 CWTs exp'!$AA30&gt;0,'[14]Table 10 CWTs exp'!T30/'[14]Table 10 CWTs exp'!$AA30," ")</f>
        <v>1.9095788604459124E-2</v>
      </c>
      <c r="U30" s="144" t="str">
        <f>IF('[14]Table 10 CWTs exp'!U30/'[14]Table 10 CWTs exp'!$AA30&gt;0,'[14]Table 10 CWTs exp'!U30/'[14]Table 10 CWTs exp'!$AA30," ")</f>
        <v xml:space="preserve"> </v>
      </c>
      <c r="V30" s="146">
        <f>IF('[14]Table 10 CWTs exp'!V30/'[14]Table 10 CWTs exp'!$AA30&gt;0,'[14]Table 10 CWTs exp'!V30/'[14]Table 10 CWTs exp'!$AA30," ")</f>
        <v>3.0966143682906689E-3</v>
      </c>
      <c r="W30" s="146">
        <f>IF('[14]Table 10 CWTs exp'!W30/'[14]Table 10 CWTs exp'!$AA30&gt;0,'[14]Table 10 CWTs exp'!W30/'[14]Table 10 CWTs exp'!$AA30," ")</f>
        <v>5.6771263418662265E-3</v>
      </c>
      <c r="X30" s="144" t="str">
        <f>IF('[14]Table 10 CWTs exp'!X30/'[14]Table 10 CWTs exp'!$AA30&gt;0,'[14]Table 10 CWTs exp'!X30/'[14]Table 10 CWTs exp'!$AA30," ")</f>
        <v xml:space="preserve"> </v>
      </c>
      <c r="Y30" s="147">
        <f t="shared" si="4"/>
        <v>0.84568538398018167</v>
      </c>
      <c r="Z30" s="148">
        <f t="shared" si="5"/>
        <v>0.15431461601981833</v>
      </c>
      <c r="AA30" s="38">
        <f>'[14]Table 10 CWTs exp'!AA30</f>
        <v>9688</v>
      </c>
      <c r="AC30" s="592">
        <f>'[14]Table 10 CWTs exp'!AD30</f>
        <v>0.84599999999999997</v>
      </c>
      <c r="AD30" s="592">
        <f t="shared" si="2"/>
        <v>-3.1461601981830345E-4</v>
      </c>
      <c r="AE30" s="593" t="str">
        <f t="shared" si="3"/>
        <v>FEA543</v>
      </c>
      <c r="AF30" s="442"/>
      <c r="AG30" s="442"/>
      <c r="AH30" s="648"/>
      <c r="AI30" s="454"/>
      <c r="AJ30" s="442"/>
      <c r="AK30" s="442"/>
      <c r="AL30" s="442"/>
      <c r="AM30" s="442"/>
      <c r="AN30" s="442"/>
      <c r="AO30" s="442"/>
      <c r="AP30" s="442"/>
      <c r="AQ30" s="442"/>
      <c r="AR30" s="442"/>
      <c r="AS30" s="442"/>
      <c r="AT30" s="442"/>
      <c r="AU30" s="442"/>
      <c r="AV30" s="442"/>
      <c r="AW30" s="442"/>
      <c r="AX30" s="442"/>
      <c r="AY30" s="442"/>
    </row>
    <row r="31" spans="1:51" ht="14.5" customHeight="1" x14ac:dyDescent="0.25">
      <c r="A31" s="54" t="str">
        <f>'[14]Table 10 CWTs exp'!A31</f>
        <v>YUBA543</v>
      </c>
      <c r="B31" s="75" t="str">
        <f>'[14]Table 10 CWTs exp'!B31</f>
        <v>YUBA</v>
      </c>
      <c r="C31" s="75">
        <f>'[14]Table 10 CWTs exp'!C31</f>
        <v>54</v>
      </c>
      <c r="D31" s="75">
        <f>'[14]Table 10 CWTs exp'!D31</f>
        <v>3</v>
      </c>
      <c r="E31" s="79" t="s">
        <v>137</v>
      </c>
      <c r="F31" s="37" t="str">
        <f>'[14]Table 10 CWTs exp'!F31</f>
        <v>Fall</v>
      </c>
      <c r="G31" s="144" t="str">
        <f>IF('[14]Table 10 CWTs exp'!G31/'[14]Table 10 CWTs exp'!$AA31&gt;0,'[14]Table 10 CWTs exp'!G31/'[14]Table 10 CWTs exp'!$AA31," ")</f>
        <v xml:space="preserve"> </v>
      </c>
      <c r="H31" s="145" t="str">
        <f>IF('[14]Table 10 CWTs exp'!H31/'[14]Table 10 CWTs exp'!$AA31&gt;0,'[14]Table 10 CWTs exp'!H31/'[14]Table 10 CWTs exp'!$AA31," ")</f>
        <v xml:space="preserve"> </v>
      </c>
      <c r="I31" s="144" t="str">
        <f>IF('[14]Table 10 CWTs exp'!I31/'[14]Table 10 CWTs exp'!$AA31&gt;0,'[14]Table 10 CWTs exp'!I31/'[14]Table 10 CWTs exp'!$AA31," ")</f>
        <v xml:space="preserve"> </v>
      </c>
      <c r="J31" s="146" t="str">
        <f>IF('[14]Table 10 CWTs exp'!J31/'[14]Table 10 CWTs exp'!$AA31&gt;0,'[14]Table 10 CWTs exp'!J31/'[14]Table 10 CWTs exp'!$AA31," ")</f>
        <v xml:space="preserve"> </v>
      </c>
      <c r="K31" s="145">
        <f>IF('[14]Table 10 CWTs exp'!K31/'[14]Table 10 CWTs exp'!$AA31&gt;0,'[14]Table 10 CWTs exp'!K31/'[14]Table 10 CWTs exp'!$AA31," ")</f>
        <v>0.14435639323195545</v>
      </c>
      <c r="L31" s="144" t="str">
        <f>IF('[14]Table 10 CWTs exp'!L31/'[14]Table 10 CWTs exp'!$AA31&gt;0,'[14]Table 10 CWTs exp'!L31/'[14]Table 10 CWTs exp'!$AA31," ")</f>
        <v xml:space="preserve"> </v>
      </c>
      <c r="M31" s="144">
        <f>IF('[14]Table 10 CWTs exp'!M31/'[14]Table 10 CWTs exp'!$AA31&gt;0,'[14]Table 10 CWTs exp'!M31/'[14]Table 10 CWTs exp'!$AA31," ")</f>
        <v>3.5982008995502246E-2</v>
      </c>
      <c r="N31" s="146" t="str">
        <f>IF('[14]Table 10 CWTs exp'!N31/'[14]Table 10 CWTs exp'!$AA31&gt;0,'[14]Table 10 CWTs exp'!N31/'[14]Table 10 CWTs exp'!$AA31," ")</f>
        <v xml:space="preserve"> </v>
      </c>
      <c r="O31" s="144">
        <f>IF('[14]Table 10 CWTs exp'!O31/'[14]Table 10 CWTs exp'!$AA31&gt;0,'[14]Table 10 CWTs exp'!O31/'[14]Table 10 CWTs exp'!$AA31," ")</f>
        <v>8.9955022488755615E-3</v>
      </c>
      <c r="P31" s="146">
        <f>IF('[14]Table 10 CWTs exp'!P31/'[14]Table 10 CWTs exp'!$AA31&gt;0,'[14]Table 10 CWTs exp'!P31/'[14]Table 10 CWTs exp'!$AA31," ")</f>
        <v>0.14349967873206254</v>
      </c>
      <c r="Q31" s="144" t="str">
        <f>IF('[14]Table 10 CWTs exp'!Q31/'[14]Table 10 CWTs exp'!$AA31&gt;0,'[14]Table 10 CWTs exp'!Q31/'[14]Table 10 CWTs exp'!$AA31," ")</f>
        <v xml:space="preserve"> </v>
      </c>
      <c r="R31" s="144">
        <f>IF('[14]Table 10 CWTs exp'!R31/'[14]Table 10 CWTs exp'!$AA31&gt;0,'[14]Table 10 CWTs exp'!R31/'[14]Table 10 CWTs exp'!$AA31," ")</f>
        <v>7.1964017991004492E-2</v>
      </c>
      <c r="S31" s="144">
        <f>IF('[14]Table 10 CWTs exp'!S31/'[14]Table 10 CWTs exp'!$AA31&gt;0,'[14]Table 10 CWTs exp'!S31/'[14]Table 10 CWTs exp'!$AA31," ")</f>
        <v>8.9955022488755615E-3</v>
      </c>
      <c r="T31" s="146">
        <f>IF('[14]Table 10 CWTs exp'!T31/'[14]Table 10 CWTs exp'!$AA31&gt;0,'[14]Table 10 CWTs exp'!T31/'[14]Table 10 CWTs exp'!$AA31," ")</f>
        <v>0.10708931248661384</v>
      </c>
      <c r="U31" s="144" t="str">
        <f>IF('[14]Table 10 CWTs exp'!U31/'[14]Table 10 CWTs exp'!$AA31&gt;0,'[14]Table 10 CWTs exp'!U31/'[14]Table 10 CWTs exp'!$AA31," ")</f>
        <v xml:space="preserve"> </v>
      </c>
      <c r="V31" s="146" t="str">
        <f>IF('[14]Table 10 CWTs exp'!V31/'[14]Table 10 CWTs exp'!$AA31&gt;0,'[14]Table 10 CWTs exp'!V31/'[14]Table 10 CWTs exp'!$AA31," ")</f>
        <v xml:space="preserve"> </v>
      </c>
      <c r="W31" s="146" t="str">
        <f>IF('[14]Table 10 CWTs exp'!W31/'[14]Table 10 CWTs exp'!$AA31&gt;0,'[14]Table 10 CWTs exp'!W31/'[14]Table 10 CWTs exp'!$AA31," ")</f>
        <v xml:space="preserve"> </v>
      </c>
      <c r="X31" s="144" t="str">
        <f>IF('[14]Table 10 CWTs exp'!X31/'[14]Table 10 CWTs exp'!$AA31&gt;0,'[14]Table 10 CWTs exp'!X31/'[14]Table 10 CWTs exp'!$AA31," ")</f>
        <v xml:space="preserve"> </v>
      </c>
      <c r="Y31" s="147">
        <f t="shared" si="4"/>
        <v>0.52088241593488971</v>
      </c>
      <c r="Z31" s="148">
        <f t="shared" si="5"/>
        <v>0.47911758406511029</v>
      </c>
      <c r="AA31" s="38">
        <f>'[14]Table 10 CWTs exp'!AA31</f>
        <v>4669</v>
      </c>
      <c r="AC31" s="592">
        <f>'[14]Table 10 CWTs exp'!AD31</f>
        <v>0.52100000000000002</v>
      </c>
      <c r="AD31" s="592">
        <f t="shared" si="2"/>
        <v>-1.1758406511030994E-4</v>
      </c>
      <c r="AE31" s="593" t="str">
        <f t="shared" si="3"/>
        <v>YUBA543</v>
      </c>
      <c r="AF31" s="749" t="s">
        <v>138</v>
      </c>
      <c r="AG31" s="749"/>
      <c r="AH31" s="749"/>
      <c r="AI31" s="749"/>
      <c r="AJ31" s="749"/>
      <c r="AK31" s="442"/>
      <c r="AL31" s="442"/>
      <c r="AM31" s="442"/>
      <c r="AN31" s="442"/>
      <c r="AO31" s="442"/>
      <c r="AP31" s="442"/>
      <c r="AQ31" s="442"/>
      <c r="AR31" s="442"/>
      <c r="AS31" s="442"/>
      <c r="AT31" s="442"/>
      <c r="AU31" s="442"/>
      <c r="AV31" s="442"/>
      <c r="AW31" s="442"/>
      <c r="AX31" s="442"/>
      <c r="AY31" s="442"/>
    </row>
    <row r="32" spans="1:51" ht="14.25" hidden="1" customHeight="1" x14ac:dyDescent="0.25">
      <c r="A32" s="54" t="str">
        <f>'[14]Table 10 CWTs exp'!A32</f>
        <v>YUBB543</v>
      </c>
      <c r="B32" s="75" t="str">
        <f>'[14]Table 10 CWTs exp'!B32</f>
        <v>YUBB</v>
      </c>
      <c r="C32" s="75">
        <f>'[14]Table 10 CWTs exp'!C32</f>
        <v>54</v>
      </c>
      <c r="D32" s="75">
        <f>'[14]Table 10 CWTs exp'!D32</f>
        <v>3</v>
      </c>
      <c r="E32" s="79" t="s">
        <v>85</v>
      </c>
      <c r="F32" s="37" t="str">
        <f>'[14]Table 10 CWTs exp'!F32</f>
        <v>Fall</v>
      </c>
      <c r="G32" s="144" t="e">
        <f>IF('[14]Table 10 CWTs exp'!G32/'[14]Table 10 CWTs exp'!$AA32&gt;0,'[14]Table 10 CWTs exp'!G32/'[14]Table 10 CWTs exp'!$AA32," ")</f>
        <v>#DIV/0!</v>
      </c>
      <c r="H32" s="145" t="e">
        <f>IF('[14]Table 10 CWTs exp'!H32/'[14]Table 10 CWTs exp'!$AA32&gt;0,'[14]Table 10 CWTs exp'!H32/'[14]Table 10 CWTs exp'!$AA32," ")</f>
        <v>#DIV/0!</v>
      </c>
      <c r="I32" s="144" t="e">
        <f>IF('[14]Table 10 CWTs exp'!I32/'[14]Table 10 CWTs exp'!$AA32&gt;0,'[14]Table 10 CWTs exp'!I32/'[14]Table 10 CWTs exp'!$AA32," ")</f>
        <v>#DIV/0!</v>
      </c>
      <c r="J32" s="146" t="e">
        <f>IF('[14]Table 10 CWTs exp'!J32/'[14]Table 10 CWTs exp'!$AA32&gt;0,'[14]Table 10 CWTs exp'!J32/'[14]Table 10 CWTs exp'!$AA32," ")</f>
        <v>#DIV/0!</v>
      </c>
      <c r="K32" s="145" t="e">
        <f>IF('[14]Table 10 CWTs exp'!K32/'[14]Table 10 CWTs exp'!$AA32&gt;0,'[14]Table 10 CWTs exp'!K32/'[14]Table 10 CWTs exp'!$AA32," ")</f>
        <v>#DIV/0!</v>
      </c>
      <c r="L32" s="144" t="e">
        <f>IF('[14]Table 10 CWTs exp'!L32/'[14]Table 10 CWTs exp'!$AA32&gt;0,'[14]Table 10 CWTs exp'!L32/'[14]Table 10 CWTs exp'!$AA32," ")</f>
        <v>#DIV/0!</v>
      </c>
      <c r="M32" s="144" t="e">
        <f>IF('[14]Table 10 CWTs exp'!M32/'[14]Table 10 CWTs exp'!$AA32&gt;0,'[14]Table 10 CWTs exp'!M32/'[14]Table 10 CWTs exp'!$AA32," ")</f>
        <v>#DIV/0!</v>
      </c>
      <c r="N32" s="146" t="e">
        <f>IF('[14]Table 10 CWTs exp'!N32/'[14]Table 10 CWTs exp'!$AA32&gt;0,'[14]Table 10 CWTs exp'!N32/'[14]Table 10 CWTs exp'!$AA32," ")</f>
        <v>#DIV/0!</v>
      </c>
      <c r="O32" s="144" t="e">
        <f>IF('[14]Table 10 CWTs exp'!O32/'[14]Table 10 CWTs exp'!$AA32&gt;0,'[14]Table 10 CWTs exp'!O32/'[14]Table 10 CWTs exp'!$AA32," ")</f>
        <v>#DIV/0!</v>
      </c>
      <c r="P32" s="146" t="e">
        <f>IF('[14]Table 10 CWTs exp'!P32/'[14]Table 10 CWTs exp'!$AA32&gt;0,'[14]Table 10 CWTs exp'!P32/'[14]Table 10 CWTs exp'!$AA32," ")</f>
        <v>#DIV/0!</v>
      </c>
      <c r="Q32" s="144" t="e">
        <f>IF('[14]Table 10 CWTs exp'!Q32/'[14]Table 10 CWTs exp'!$AA32&gt;0,'[14]Table 10 CWTs exp'!Q32/'[14]Table 10 CWTs exp'!$AA32," ")</f>
        <v>#DIV/0!</v>
      </c>
      <c r="R32" s="144" t="e">
        <f>IF('[14]Table 10 CWTs exp'!R32/'[14]Table 10 CWTs exp'!$AA32&gt;0,'[14]Table 10 CWTs exp'!R32/'[14]Table 10 CWTs exp'!$AA32," ")</f>
        <v>#DIV/0!</v>
      </c>
      <c r="S32" s="144" t="e">
        <f>IF('[14]Table 10 CWTs exp'!S32/'[14]Table 10 CWTs exp'!$AA32&gt;0,'[14]Table 10 CWTs exp'!S32/'[14]Table 10 CWTs exp'!$AA32," ")</f>
        <v>#DIV/0!</v>
      </c>
      <c r="T32" s="146" t="e">
        <f>IF('[14]Table 10 CWTs exp'!T32/'[14]Table 10 CWTs exp'!$AA32&gt;0,'[14]Table 10 CWTs exp'!T32/'[14]Table 10 CWTs exp'!$AA32," ")</f>
        <v>#DIV/0!</v>
      </c>
      <c r="U32" s="144" t="e">
        <f>IF('[14]Table 10 CWTs exp'!U32/'[14]Table 10 CWTs exp'!$AA32&gt;0,'[14]Table 10 CWTs exp'!U32/'[14]Table 10 CWTs exp'!$AA32," ")</f>
        <v>#DIV/0!</v>
      </c>
      <c r="V32" s="146" t="e">
        <f>IF('[14]Table 10 CWTs exp'!V32/'[14]Table 10 CWTs exp'!$AA32&gt;0,'[14]Table 10 CWTs exp'!V32/'[14]Table 10 CWTs exp'!$AA32," ")</f>
        <v>#DIV/0!</v>
      </c>
      <c r="W32" s="146" t="e">
        <f>IF('[14]Table 10 CWTs exp'!W32/'[14]Table 10 CWTs exp'!$AA32&gt;0,'[14]Table 10 CWTs exp'!W32/'[14]Table 10 CWTs exp'!$AA32," ")</f>
        <v>#DIV/0!</v>
      </c>
      <c r="X32" s="144" t="e">
        <f>IF('[14]Table 10 CWTs exp'!X32/'[14]Table 10 CWTs exp'!$AA32&gt;0,'[14]Table 10 CWTs exp'!X32/'[14]Table 10 CWTs exp'!$AA32," ")</f>
        <v>#DIV/0!</v>
      </c>
      <c r="Y32" s="147" t="e">
        <f t="shared" si="4"/>
        <v>#DIV/0!</v>
      </c>
      <c r="Z32" s="148" t="e">
        <f t="shared" si="5"/>
        <v>#DIV/0!</v>
      </c>
      <c r="AA32" s="38">
        <f>'[14]Table 10 CWTs exp'!AA32</f>
        <v>0</v>
      </c>
      <c r="AC32" s="592">
        <f>'[14]Table 10 CWTs exp'!AD32</f>
        <v>0</v>
      </c>
      <c r="AD32" s="592" t="e">
        <f t="shared" si="2"/>
        <v>#DIV/0!</v>
      </c>
      <c r="AE32" s="593" t="str">
        <f t="shared" si="3"/>
        <v>YUBB543</v>
      </c>
      <c r="AF32" s="749"/>
      <c r="AG32" s="749"/>
      <c r="AH32" s="749"/>
      <c r="AI32" s="749"/>
      <c r="AJ32" s="749"/>
      <c r="AK32" s="442"/>
      <c r="AL32" s="442"/>
      <c r="AM32" s="442"/>
      <c r="AN32" s="442"/>
      <c r="AO32" s="442"/>
      <c r="AP32" s="442"/>
      <c r="AQ32" s="442"/>
      <c r="AR32" s="442"/>
      <c r="AS32" s="442"/>
      <c r="AT32" s="442"/>
      <c r="AU32" s="442"/>
      <c r="AV32" s="442"/>
      <c r="AW32" s="442"/>
      <c r="AX32" s="442"/>
      <c r="AY32" s="442"/>
    </row>
    <row r="33" spans="1:51" ht="14.5" customHeight="1" x14ac:dyDescent="0.25">
      <c r="A33" s="54" t="str">
        <f>'[14]Table 10 CWTs exp'!A33</f>
        <v>LARC543</v>
      </c>
      <c r="B33" s="75" t="str">
        <f>'[14]Table 10 CWTs exp'!B33</f>
        <v>LARC</v>
      </c>
      <c r="C33" s="75">
        <f>'[14]Table 10 CWTs exp'!C33</f>
        <v>54</v>
      </c>
      <c r="D33" s="75">
        <f>'[14]Table 10 CWTs exp'!D33</f>
        <v>3</v>
      </c>
      <c r="E33" t="str">
        <f>'[14]Table 10 CWTs exp'!E33</f>
        <v>American River</v>
      </c>
      <c r="F33" s="37" t="str">
        <f>'[14]Table 10 CWTs exp'!F33</f>
        <v>Fall</v>
      </c>
      <c r="G33" s="144" t="str">
        <f>IF('[14]Table 10 CWTs exp'!G33/'[14]Table 10 CWTs exp'!$AA33&gt;0,'[14]Table 10 CWTs exp'!G33/'[14]Table 10 CWTs exp'!$AA33," ")</f>
        <v xml:space="preserve"> </v>
      </c>
      <c r="H33" s="145" t="str">
        <f>IF('[14]Table 10 CWTs exp'!H33/'[14]Table 10 CWTs exp'!$AA33&gt;0,'[14]Table 10 CWTs exp'!H33/'[14]Table 10 CWTs exp'!$AA33," ")</f>
        <v xml:space="preserve"> </v>
      </c>
      <c r="I33" s="144" t="str">
        <f>IF('[14]Table 10 CWTs exp'!I33/'[14]Table 10 CWTs exp'!$AA33&gt;0,'[14]Table 10 CWTs exp'!I33/'[14]Table 10 CWTs exp'!$AA33," ")</f>
        <v xml:space="preserve"> </v>
      </c>
      <c r="J33" s="146" t="str">
        <f>IF('[14]Table 10 CWTs exp'!J33/'[14]Table 10 CWTs exp'!$AA33&gt;0,'[14]Table 10 CWTs exp'!J33/'[14]Table 10 CWTs exp'!$AA33," ")</f>
        <v xml:space="preserve"> </v>
      </c>
      <c r="K33" s="145">
        <f>IF('[14]Table 10 CWTs exp'!K33/'[14]Table 10 CWTs exp'!$AA33&gt;0,'[14]Table 10 CWTs exp'!K33/'[14]Table 10 CWTs exp'!$AA33," ")</f>
        <v>3.5612535612535614E-4</v>
      </c>
      <c r="L33" s="144" t="str">
        <f>IF('[14]Table 10 CWTs exp'!L33/'[14]Table 10 CWTs exp'!$AA33&gt;0,'[14]Table 10 CWTs exp'!L33/'[14]Table 10 CWTs exp'!$AA33," ")</f>
        <v xml:space="preserve"> </v>
      </c>
      <c r="M33" s="144">
        <f>IF('[14]Table 10 CWTs exp'!M33/'[14]Table 10 CWTs exp'!$AA33&gt;0,'[14]Table 10 CWTs exp'!M33/'[14]Table 10 CWTs exp'!$AA33," ")</f>
        <v>1.6470797720797722E-2</v>
      </c>
      <c r="N33" s="146">
        <f>IF('[14]Table 10 CWTs exp'!N33/'[14]Table 10 CWTs exp'!$AA33&gt;0,'[14]Table 10 CWTs exp'!N33/'[14]Table 10 CWTs exp'!$AA33," ")</f>
        <v>2.7599715099715099E-3</v>
      </c>
      <c r="O33" s="144">
        <f>IF('[14]Table 10 CWTs exp'!O33/'[14]Table 10 CWTs exp'!$AA33&gt;0,'[14]Table 10 CWTs exp'!O33/'[14]Table 10 CWTs exp'!$AA33," ")</f>
        <v>0.21011396011396011</v>
      </c>
      <c r="P33" s="146">
        <f>IF('[14]Table 10 CWTs exp'!P33/'[14]Table 10 CWTs exp'!$AA33&gt;0,'[14]Table 10 CWTs exp'!P33/'[14]Table 10 CWTs exp'!$AA33," ")</f>
        <v>0.33742877492877493</v>
      </c>
      <c r="Q33" s="144">
        <f>IF('[14]Table 10 CWTs exp'!Q33/'[14]Table 10 CWTs exp'!$AA33&gt;0,'[14]Table 10 CWTs exp'!Q33/'[14]Table 10 CWTs exp'!$AA33," ")</f>
        <v>7.1225071225071229E-4</v>
      </c>
      <c r="R33" s="144">
        <f>IF('[14]Table 10 CWTs exp'!R33/'[14]Table 10 CWTs exp'!$AA33&gt;0,'[14]Table 10 CWTs exp'!R33/'[14]Table 10 CWTs exp'!$AA33," ")</f>
        <v>0.20993589743589744</v>
      </c>
      <c r="S33" s="144">
        <f>IF('[14]Table 10 CWTs exp'!S33/'[14]Table 10 CWTs exp'!$AA33&gt;0,'[14]Table 10 CWTs exp'!S33/'[14]Table 10 CWTs exp'!$AA33," ")</f>
        <v>1.5402421652421653E-2</v>
      </c>
      <c r="T33" s="146">
        <f>IF('[14]Table 10 CWTs exp'!T33/'[14]Table 10 CWTs exp'!$AA33&gt;0,'[14]Table 10 CWTs exp'!T33/'[14]Table 10 CWTs exp'!$AA33," ")</f>
        <v>4.8700142450142453E-2</v>
      </c>
      <c r="U33" s="144" t="str">
        <f>IF('[14]Table 10 CWTs exp'!U33/'[14]Table 10 CWTs exp'!$AA33&gt;0,'[14]Table 10 CWTs exp'!U33/'[14]Table 10 CWTs exp'!$AA33," ")</f>
        <v xml:space="preserve"> </v>
      </c>
      <c r="V33" s="146">
        <f>IF('[14]Table 10 CWTs exp'!V33/'[14]Table 10 CWTs exp'!$AA33&gt;0,'[14]Table 10 CWTs exp'!V33/'[14]Table 10 CWTs exp'!$AA33," ")</f>
        <v>5.5644586894586893E-2</v>
      </c>
      <c r="W33" s="146">
        <f>IF('[14]Table 10 CWTs exp'!W33/'[14]Table 10 CWTs exp'!$AA33&gt;0,'[14]Table 10 CWTs exp'!W33/'[14]Table 10 CWTs exp'!$AA33," ")</f>
        <v>3.5612535612535614E-4</v>
      </c>
      <c r="X33" s="144" t="str">
        <f>IF('[14]Table 10 CWTs exp'!X33/'[14]Table 10 CWTs exp'!$AA33&gt;0,'[14]Table 10 CWTs exp'!X33/'[14]Table 10 CWTs exp'!$AA33," ")</f>
        <v xml:space="preserve"> </v>
      </c>
      <c r="Y33" s="147">
        <f t="shared" si="4"/>
        <v>0.89788105413105412</v>
      </c>
      <c r="Z33" s="148">
        <f t="shared" si="5"/>
        <v>0.10211894586894588</v>
      </c>
      <c r="AA33" s="38">
        <f>'[14]Table 10 CWTs exp'!AA33</f>
        <v>11232</v>
      </c>
      <c r="AC33" s="592">
        <f>'[14]Table 10 CWTs exp'!AD33</f>
        <v>0.89800000000000002</v>
      </c>
      <c r="AD33" s="592">
        <f t="shared" si="2"/>
        <v>-1.1894586894589665E-4</v>
      </c>
      <c r="AE33" s="593" t="str">
        <f t="shared" si="3"/>
        <v>LARC543</v>
      </c>
      <c r="AF33" s="442"/>
      <c r="AG33" s="442"/>
      <c r="AH33" s="648"/>
      <c r="AI33" s="454"/>
      <c r="AJ33" s="442"/>
      <c r="AK33" s="442"/>
      <c r="AL33" s="442"/>
      <c r="AM33" s="442"/>
      <c r="AN33" s="442"/>
      <c r="AO33" s="442"/>
      <c r="AP33" s="442"/>
      <c r="AQ33" s="442"/>
      <c r="AR33" s="442"/>
      <c r="AS33" s="442"/>
      <c r="AT33" s="442"/>
      <c r="AU33" s="442"/>
      <c r="AV33" s="442"/>
      <c r="AW33" s="442"/>
      <c r="AX33" s="442"/>
      <c r="AY33" s="442"/>
    </row>
    <row r="34" spans="1:51" ht="14.25" hidden="1" customHeight="1" x14ac:dyDescent="0.25">
      <c r="A34" s="54" t="str">
        <f>'[14]Table 10 CWTs exp'!A34</f>
        <v>NIMW593</v>
      </c>
      <c r="B34" s="75" t="str">
        <f>'[14]Table 10 CWTs exp'!B34</f>
        <v>NIMW</v>
      </c>
      <c r="C34" s="75">
        <f>'[14]Table 10 CWTs exp'!C34</f>
        <v>59</v>
      </c>
      <c r="D34" s="75">
        <f>'[14]Table 10 CWTs exp'!D34</f>
        <v>3</v>
      </c>
      <c r="E34" t="str">
        <f>'[14]Table 10 CWTs exp'!E34</f>
        <v>Nimbus Fish Hatchery Weir</v>
      </c>
      <c r="F34" s="37" t="str">
        <f>'[14]Table 10 CWTs exp'!F34</f>
        <v>Fall</v>
      </c>
      <c r="G34" s="144" t="e">
        <f>IF('[14]Table 10 CWTs exp'!G34/'[14]Table 10 CWTs exp'!$AA34&gt;0,'[14]Table 10 CWTs exp'!G34/'[14]Table 10 CWTs exp'!$AA34," ")</f>
        <v>#DIV/0!</v>
      </c>
      <c r="H34" s="145" t="e">
        <f>IF('[14]Table 10 CWTs exp'!H34/'[14]Table 10 CWTs exp'!$AA34&gt;0,'[14]Table 10 CWTs exp'!H34/'[14]Table 10 CWTs exp'!$AA34," ")</f>
        <v>#DIV/0!</v>
      </c>
      <c r="I34" s="144" t="e">
        <f>IF('[14]Table 10 CWTs exp'!I34/'[14]Table 10 CWTs exp'!$AA34&gt;0,'[14]Table 10 CWTs exp'!I34/'[14]Table 10 CWTs exp'!$AA34," ")</f>
        <v>#DIV/0!</v>
      </c>
      <c r="J34" s="146" t="e">
        <f>IF('[14]Table 10 CWTs exp'!J34/'[14]Table 10 CWTs exp'!$AA34&gt;0,'[14]Table 10 CWTs exp'!J34/'[14]Table 10 CWTs exp'!$AA34," ")</f>
        <v>#DIV/0!</v>
      </c>
      <c r="K34" s="145" t="e">
        <f>IF('[14]Table 10 CWTs exp'!K34/'[14]Table 10 CWTs exp'!$AA34&gt;0,'[14]Table 10 CWTs exp'!K34/'[14]Table 10 CWTs exp'!$AA34," ")</f>
        <v>#DIV/0!</v>
      </c>
      <c r="L34" s="144" t="e">
        <f>IF('[14]Table 10 CWTs exp'!L34/'[14]Table 10 CWTs exp'!$AA34&gt;0,'[14]Table 10 CWTs exp'!L34/'[14]Table 10 CWTs exp'!$AA34," ")</f>
        <v>#DIV/0!</v>
      </c>
      <c r="M34" s="144" t="e">
        <f>IF('[14]Table 10 CWTs exp'!M34/'[14]Table 10 CWTs exp'!$AA34&gt;0,'[14]Table 10 CWTs exp'!M34/'[14]Table 10 CWTs exp'!$AA34," ")</f>
        <v>#DIV/0!</v>
      </c>
      <c r="N34" s="146" t="e">
        <f>IF('[14]Table 10 CWTs exp'!N34/'[14]Table 10 CWTs exp'!$AA34&gt;0,'[14]Table 10 CWTs exp'!N34/'[14]Table 10 CWTs exp'!$AA34," ")</f>
        <v>#DIV/0!</v>
      </c>
      <c r="O34" s="144" t="e">
        <f>IF('[14]Table 10 CWTs exp'!O34/'[14]Table 10 CWTs exp'!$AA34&gt;0,'[14]Table 10 CWTs exp'!O34/'[14]Table 10 CWTs exp'!$AA34," ")</f>
        <v>#DIV/0!</v>
      </c>
      <c r="P34" s="146" t="e">
        <f>IF('[14]Table 10 CWTs exp'!P34/'[14]Table 10 CWTs exp'!$AA34&gt;0,'[14]Table 10 CWTs exp'!P34/'[14]Table 10 CWTs exp'!$AA34," ")</f>
        <v>#DIV/0!</v>
      </c>
      <c r="Q34" s="144" t="e">
        <f>IF('[14]Table 10 CWTs exp'!Q34/'[14]Table 10 CWTs exp'!$AA34&gt;0,'[14]Table 10 CWTs exp'!Q34/'[14]Table 10 CWTs exp'!$AA34," ")</f>
        <v>#DIV/0!</v>
      </c>
      <c r="R34" s="144" t="e">
        <f>IF('[14]Table 10 CWTs exp'!R34/'[14]Table 10 CWTs exp'!$AA34&gt;0,'[14]Table 10 CWTs exp'!R34/'[14]Table 10 CWTs exp'!$AA34," ")</f>
        <v>#DIV/0!</v>
      </c>
      <c r="S34" s="144" t="e">
        <f>IF('[14]Table 10 CWTs exp'!S34/'[14]Table 10 CWTs exp'!$AA34&gt;0,'[14]Table 10 CWTs exp'!S34/'[14]Table 10 CWTs exp'!$AA34," ")</f>
        <v>#DIV/0!</v>
      </c>
      <c r="T34" s="146" t="e">
        <f>IF('[14]Table 10 CWTs exp'!T34/'[14]Table 10 CWTs exp'!$AA34&gt;0,'[14]Table 10 CWTs exp'!T34/'[14]Table 10 CWTs exp'!$AA34," ")</f>
        <v>#DIV/0!</v>
      </c>
      <c r="U34" s="144" t="e">
        <f>IF('[14]Table 10 CWTs exp'!U34/'[14]Table 10 CWTs exp'!$AA34&gt;0,'[14]Table 10 CWTs exp'!U34/'[14]Table 10 CWTs exp'!$AA34," ")</f>
        <v>#DIV/0!</v>
      </c>
      <c r="V34" s="146" t="e">
        <f>IF('[14]Table 10 CWTs exp'!V34/'[14]Table 10 CWTs exp'!$AA34&gt;0,'[14]Table 10 CWTs exp'!V34/'[14]Table 10 CWTs exp'!$AA34," ")</f>
        <v>#DIV/0!</v>
      </c>
      <c r="W34" s="146" t="e">
        <f>IF('[14]Table 10 CWTs exp'!W34/'[14]Table 10 CWTs exp'!$AA34&gt;0,'[14]Table 10 CWTs exp'!W34/'[14]Table 10 CWTs exp'!$AA34," ")</f>
        <v>#DIV/0!</v>
      </c>
      <c r="X34" s="144" t="e">
        <f>IF('[14]Table 10 CWTs exp'!X34/'[14]Table 10 CWTs exp'!$AA34&gt;0,'[14]Table 10 CWTs exp'!X34/'[14]Table 10 CWTs exp'!$AA34," ")</f>
        <v>#DIV/0!</v>
      </c>
      <c r="Y34" s="147" t="e">
        <f t="shared" si="4"/>
        <v>#DIV/0!</v>
      </c>
      <c r="Z34" s="148" t="e">
        <f t="shared" si="5"/>
        <v>#DIV/0!</v>
      </c>
      <c r="AA34" s="38">
        <f>'[14]Table 10 CWTs exp'!AA34</f>
        <v>0</v>
      </c>
      <c r="AC34" s="592">
        <f>'[14]Table 10 CWTs exp'!AD34</f>
        <v>0</v>
      </c>
      <c r="AD34" s="592" t="e">
        <f t="shared" si="2"/>
        <v>#DIV/0!</v>
      </c>
      <c r="AE34" s="593" t="str">
        <f t="shared" si="3"/>
        <v>NIMW593</v>
      </c>
      <c r="AF34" s="442"/>
      <c r="AG34" s="442"/>
      <c r="AH34" s="648"/>
      <c r="AI34" s="454"/>
      <c r="AJ34" s="442"/>
      <c r="AK34" s="442"/>
      <c r="AL34" s="442"/>
      <c r="AM34" s="442"/>
      <c r="AN34" s="442"/>
      <c r="AO34" s="442"/>
      <c r="AP34" s="442"/>
      <c r="AQ34" s="442"/>
      <c r="AR34" s="442"/>
      <c r="AS34" s="442"/>
      <c r="AT34" s="442"/>
      <c r="AU34" s="442"/>
      <c r="AV34" s="442"/>
      <c r="AW34" s="442"/>
      <c r="AX34" s="442"/>
      <c r="AY34" s="442"/>
    </row>
    <row r="35" spans="1:51" ht="14.5" hidden="1" customHeight="1" x14ac:dyDescent="0.25">
      <c r="A35" s="54" t="str">
        <f>'[14]Table 10 CWTs exp'!A35</f>
        <v>MOKE543</v>
      </c>
      <c r="B35" s="75" t="str">
        <f>'[14]Table 10 CWTs exp'!B35</f>
        <v>MOKE</v>
      </c>
      <c r="C35" s="75">
        <f>'[14]Table 10 CWTs exp'!C35</f>
        <v>54</v>
      </c>
      <c r="D35" s="75">
        <f>'[14]Table 10 CWTs exp'!D35</f>
        <v>3</v>
      </c>
      <c r="E35" t="str">
        <f>'[14]Table 10 CWTs exp'!E35</f>
        <v>Mokelumne River</v>
      </c>
      <c r="F35" s="37" t="str">
        <f>'[14]Table 10 CWTs exp'!F35</f>
        <v>Fall</v>
      </c>
      <c r="G35" s="144" t="e">
        <f>IF('[14]Table 10 CWTs exp'!G35/'[14]Table 10 CWTs exp'!$AA35&gt;0,'[14]Table 10 CWTs exp'!G35/'[14]Table 10 CWTs exp'!$AA35," ")</f>
        <v>#DIV/0!</v>
      </c>
      <c r="H35" s="145" t="e">
        <f>IF('[14]Table 10 CWTs exp'!H35/'[14]Table 10 CWTs exp'!$AA35&gt;0,'[14]Table 10 CWTs exp'!H35/'[14]Table 10 CWTs exp'!$AA35," ")</f>
        <v>#DIV/0!</v>
      </c>
      <c r="I35" s="144" t="e">
        <f>IF('[14]Table 10 CWTs exp'!I35/'[14]Table 10 CWTs exp'!$AA35&gt;0,'[14]Table 10 CWTs exp'!I35/'[14]Table 10 CWTs exp'!$AA35," ")</f>
        <v>#DIV/0!</v>
      </c>
      <c r="J35" s="146" t="e">
        <f>IF('[14]Table 10 CWTs exp'!J35/'[14]Table 10 CWTs exp'!$AA35&gt;0,'[14]Table 10 CWTs exp'!J35/'[14]Table 10 CWTs exp'!$AA35," ")</f>
        <v>#DIV/0!</v>
      </c>
      <c r="K35" s="145" t="e">
        <f>IF('[14]Table 10 CWTs exp'!K35/'[14]Table 10 CWTs exp'!$AA35&gt;0,'[14]Table 10 CWTs exp'!K35/'[14]Table 10 CWTs exp'!$AA35," ")</f>
        <v>#DIV/0!</v>
      </c>
      <c r="L35" s="144" t="e">
        <f>IF('[14]Table 10 CWTs exp'!L35/'[14]Table 10 CWTs exp'!$AA35&gt;0,'[14]Table 10 CWTs exp'!L35/'[14]Table 10 CWTs exp'!$AA35," ")</f>
        <v>#DIV/0!</v>
      </c>
      <c r="M35" s="144" t="e">
        <f>IF('[14]Table 10 CWTs exp'!M35/'[14]Table 10 CWTs exp'!$AA35&gt;0,'[14]Table 10 CWTs exp'!M35/'[14]Table 10 CWTs exp'!$AA35," ")</f>
        <v>#DIV/0!</v>
      </c>
      <c r="N35" s="146" t="e">
        <f>IF('[14]Table 10 CWTs exp'!N35/'[14]Table 10 CWTs exp'!$AA35&gt;0,'[14]Table 10 CWTs exp'!N35/'[14]Table 10 CWTs exp'!$AA35," ")</f>
        <v>#DIV/0!</v>
      </c>
      <c r="O35" s="144" t="e">
        <f>IF('[14]Table 10 CWTs exp'!O35/'[14]Table 10 CWTs exp'!$AA35&gt;0,'[14]Table 10 CWTs exp'!O35/'[14]Table 10 CWTs exp'!$AA35," ")</f>
        <v>#DIV/0!</v>
      </c>
      <c r="P35" s="146" t="e">
        <f>IF('[14]Table 10 CWTs exp'!P35/'[14]Table 10 CWTs exp'!$AA35&gt;0,'[14]Table 10 CWTs exp'!P35/'[14]Table 10 CWTs exp'!$AA35," ")</f>
        <v>#DIV/0!</v>
      </c>
      <c r="Q35" s="144" t="e">
        <f>IF('[14]Table 10 CWTs exp'!Q35/'[14]Table 10 CWTs exp'!$AA35&gt;0,'[14]Table 10 CWTs exp'!Q35/'[14]Table 10 CWTs exp'!$AA35," ")</f>
        <v>#DIV/0!</v>
      </c>
      <c r="R35" s="144" t="e">
        <f>IF('[14]Table 10 CWTs exp'!R35/'[14]Table 10 CWTs exp'!$AA35&gt;0,'[14]Table 10 CWTs exp'!R35/'[14]Table 10 CWTs exp'!$AA35," ")</f>
        <v>#DIV/0!</v>
      </c>
      <c r="S35" s="144" t="e">
        <f>IF('[14]Table 10 CWTs exp'!S35/'[14]Table 10 CWTs exp'!$AA35&gt;0,'[14]Table 10 CWTs exp'!S35/'[14]Table 10 CWTs exp'!$AA35," ")</f>
        <v>#DIV/0!</v>
      </c>
      <c r="T35" s="146" t="e">
        <f>IF('[14]Table 10 CWTs exp'!T35/'[14]Table 10 CWTs exp'!$AA35&gt;0,'[14]Table 10 CWTs exp'!T35/'[14]Table 10 CWTs exp'!$AA35," ")</f>
        <v>#DIV/0!</v>
      </c>
      <c r="U35" s="144" t="e">
        <f>IF('[14]Table 10 CWTs exp'!U35/'[14]Table 10 CWTs exp'!$AA35&gt;0,'[14]Table 10 CWTs exp'!U35/'[14]Table 10 CWTs exp'!$AA35," ")</f>
        <v>#DIV/0!</v>
      </c>
      <c r="V35" s="146" t="e">
        <f>IF('[14]Table 10 CWTs exp'!V35/'[14]Table 10 CWTs exp'!$AA35&gt;0,'[14]Table 10 CWTs exp'!V35/'[14]Table 10 CWTs exp'!$AA35," ")</f>
        <v>#DIV/0!</v>
      </c>
      <c r="W35" s="146" t="e">
        <f>IF('[14]Table 10 CWTs exp'!W35/'[14]Table 10 CWTs exp'!$AA35&gt;0,'[14]Table 10 CWTs exp'!W35/'[14]Table 10 CWTs exp'!$AA35," ")</f>
        <v>#DIV/0!</v>
      </c>
      <c r="X35" s="144" t="e">
        <f>IF('[14]Table 10 CWTs exp'!X35/'[14]Table 10 CWTs exp'!$AA35&gt;0,'[14]Table 10 CWTs exp'!X35/'[14]Table 10 CWTs exp'!$AA35," ")</f>
        <v>#DIV/0!</v>
      </c>
      <c r="Y35" s="147" t="e">
        <f t="shared" si="4"/>
        <v>#DIV/0!</v>
      </c>
      <c r="Z35" s="148" t="e">
        <f t="shared" si="5"/>
        <v>#DIV/0!</v>
      </c>
      <c r="AA35" s="38">
        <f>'[14]Table 10 CWTs exp'!AA35</f>
        <v>0</v>
      </c>
      <c r="AC35" s="592">
        <f>'[14]Table 10 CWTs exp'!AD35</f>
        <v>0</v>
      </c>
      <c r="AD35" s="592" t="e">
        <f t="shared" si="2"/>
        <v>#DIV/0!</v>
      </c>
      <c r="AE35" s="593" t="str">
        <f t="shared" si="3"/>
        <v>MOKE543</v>
      </c>
      <c r="AF35" s="442"/>
      <c r="AG35" s="442"/>
      <c r="AH35" s="648"/>
      <c r="AI35" s="454"/>
      <c r="AJ35" s="442"/>
      <c r="AK35" s="442"/>
      <c r="AL35" s="442"/>
      <c r="AM35" s="442"/>
      <c r="AN35" s="442"/>
      <c r="AO35" s="442"/>
      <c r="AP35" s="442"/>
      <c r="AQ35" s="442"/>
      <c r="AR35" s="442"/>
      <c r="AS35" s="442"/>
      <c r="AT35" s="442"/>
      <c r="AU35" s="442"/>
      <c r="AV35" s="442"/>
      <c r="AW35" s="442"/>
      <c r="AX35" s="442"/>
      <c r="AY35" s="442"/>
    </row>
    <row r="36" spans="1:51" ht="14.25" hidden="1" customHeight="1" x14ac:dyDescent="0.25">
      <c r="A36" s="54" t="str">
        <f>'[14]Table 10 CWTs exp'!A36</f>
        <v>COSU543</v>
      </c>
      <c r="B36" s="75" t="str">
        <f>'[14]Table 10 CWTs exp'!B36</f>
        <v>COSU</v>
      </c>
      <c r="C36" s="75">
        <f>'[14]Table 10 CWTs exp'!C36</f>
        <v>54</v>
      </c>
      <c r="D36" s="75">
        <f>'[14]Table 10 CWTs exp'!D36</f>
        <v>3</v>
      </c>
      <c r="E36" t="str">
        <f>'[14]Table 10 CWTs exp'!E36</f>
        <v>Cosumnes River</v>
      </c>
      <c r="F36" s="37" t="str">
        <f>'[14]Table 10 CWTs exp'!F36</f>
        <v>Fall</v>
      </c>
      <c r="G36" s="144" t="e">
        <f>IF('[14]Table 10 CWTs exp'!G36/'[14]Table 10 CWTs exp'!$AA36&gt;0,'[14]Table 10 CWTs exp'!G36/'[14]Table 10 CWTs exp'!$AA36," ")</f>
        <v>#DIV/0!</v>
      </c>
      <c r="H36" s="145" t="e">
        <f>IF('[14]Table 10 CWTs exp'!H36/'[14]Table 10 CWTs exp'!$AA36&gt;0,'[14]Table 10 CWTs exp'!H36/'[14]Table 10 CWTs exp'!$AA36," ")</f>
        <v>#DIV/0!</v>
      </c>
      <c r="I36" s="144" t="e">
        <f>IF('[14]Table 10 CWTs exp'!I36/'[14]Table 10 CWTs exp'!$AA36&gt;0,'[14]Table 10 CWTs exp'!I36/'[14]Table 10 CWTs exp'!$AA36," ")</f>
        <v>#DIV/0!</v>
      </c>
      <c r="J36" s="146" t="e">
        <f>IF('[14]Table 10 CWTs exp'!J36/'[14]Table 10 CWTs exp'!$AA36&gt;0,'[14]Table 10 CWTs exp'!J36/'[14]Table 10 CWTs exp'!$AA36," ")</f>
        <v>#DIV/0!</v>
      </c>
      <c r="K36" s="145" t="e">
        <f>IF('[14]Table 10 CWTs exp'!K36/'[14]Table 10 CWTs exp'!$AA36&gt;0,'[14]Table 10 CWTs exp'!K36/'[14]Table 10 CWTs exp'!$AA36," ")</f>
        <v>#DIV/0!</v>
      </c>
      <c r="L36" s="144" t="e">
        <f>IF('[14]Table 10 CWTs exp'!L36/'[14]Table 10 CWTs exp'!$AA36&gt;0,'[14]Table 10 CWTs exp'!L36/'[14]Table 10 CWTs exp'!$AA36," ")</f>
        <v>#DIV/0!</v>
      </c>
      <c r="M36" s="144" t="e">
        <f>IF('[14]Table 10 CWTs exp'!M36/'[14]Table 10 CWTs exp'!$AA36&gt;0,'[14]Table 10 CWTs exp'!M36/'[14]Table 10 CWTs exp'!$AA36," ")</f>
        <v>#DIV/0!</v>
      </c>
      <c r="N36" s="146" t="e">
        <f>IF('[14]Table 10 CWTs exp'!N36/'[14]Table 10 CWTs exp'!$AA36&gt;0,'[14]Table 10 CWTs exp'!N36/'[14]Table 10 CWTs exp'!$AA36," ")</f>
        <v>#DIV/0!</v>
      </c>
      <c r="O36" s="144" t="e">
        <f>IF('[14]Table 10 CWTs exp'!O36/'[14]Table 10 CWTs exp'!$AA36&gt;0,'[14]Table 10 CWTs exp'!O36/'[14]Table 10 CWTs exp'!$AA36," ")</f>
        <v>#DIV/0!</v>
      </c>
      <c r="P36" s="146" t="e">
        <f>IF('[14]Table 10 CWTs exp'!P36/'[14]Table 10 CWTs exp'!$AA36&gt;0,'[14]Table 10 CWTs exp'!P36/'[14]Table 10 CWTs exp'!$AA36," ")</f>
        <v>#DIV/0!</v>
      </c>
      <c r="Q36" s="144" t="e">
        <f>IF('[14]Table 10 CWTs exp'!Q36/'[14]Table 10 CWTs exp'!$AA36&gt;0,'[14]Table 10 CWTs exp'!Q36/'[14]Table 10 CWTs exp'!$AA36," ")</f>
        <v>#DIV/0!</v>
      </c>
      <c r="R36" s="144" t="e">
        <f>IF('[14]Table 10 CWTs exp'!R36/'[14]Table 10 CWTs exp'!$AA36&gt;0,'[14]Table 10 CWTs exp'!R36/'[14]Table 10 CWTs exp'!$AA36," ")</f>
        <v>#DIV/0!</v>
      </c>
      <c r="S36" s="144" t="e">
        <f>IF('[14]Table 10 CWTs exp'!S36/'[14]Table 10 CWTs exp'!$AA36&gt;0,'[14]Table 10 CWTs exp'!S36/'[14]Table 10 CWTs exp'!$AA36," ")</f>
        <v>#DIV/0!</v>
      </c>
      <c r="T36" s="146" t="e">
        <f>IF('[14]Table 10 CWTs exp'!T36/'[14]Table 10 CWTs exp'!$AA36&gt;0,'[14]Table 10 CWTs exp'!T36/'[14]Table 10 CWTs exp'!$AA36," ")</f>
        <v>#DIV/0!</v>
      </c>
      <c r="U36" s="144" t="e">
        <f>IF('[14]Table 10 CWTs exp'!U36/'[14]Table 10 CWTs exp'!$AA36&gt;0,'[14]Table 10 CWTs exp'!U36/'[14]Table 10 CWTs exp'!$AA36," ")</f>
        <v>#DIV/0!</v>
      </c>
      <c r="V36" s="146" t="e">
        <f>IF('[14]Table 10 CWTs exp'!V36/'[14]Table 10 CWTs exp'!$AA36&gt;0,'[14]Table 10 CWTs exp'!V36/'[14]Table 10 CWTs exp'!$AA36," ")</f>
        <v>#DIV/0!</v>
      </c>
      <c r="W36" s="146" t="e">
        <f>IF('[14]Table 10 CWTs exp'!W36/'[14]Table 10 CWTs exp'!$AA36&gt;0,'[14]Table 10 CWTs exp'!W36/'[14]Table 10 CWTs exp'!$AA36," ")</f>
        <v>#DIV/0!</v>
      </c>
      <c r="X36" s="144" t="e">
        <f>IF('[14]Table 10 CWTs exp'!X36/'[14]Table 10 CWTs exp'!$AA36&gt;0,'[14]Table 10 CWTs exp'!X36/'[14]Table 10 CWTs exp'!$AA36," ")</f>
        <v>#DIV/0!</v>
      </c>
      <c r="Y36" s="147" t="e">
        <f t="shared" si="4"/>
        <v>#DIV/0!</v>
      </c>
      <c r="Z36" s="148" t="e">
        <f t="shared" si="5"/>
        <v>#DIV/0!</v>
      </c>
      <c r="AA36" s="38">
        <f>'[14]Table 10 CWTs exp'!AA36</f>
        <v>0</v>
      </c>
      <c r="AC36" s="592">
        <f>'[14]Table 10 CWTs exp'!AD36</f>
        <v>0</v>
      </c>
      <c r="AD36" s="592" t="e">
        <f t="shared" si="2"/>
        <v>#DIV/0!</v>
      </c>
      <c r="AE36" s="593" t="str">
        <f t="shared" si="3"/>
        <v>COSU543</v>
      </c>
      <c r="AF36" s="442"/>
      <c r="AG36" s="442"/>
      <c r="AH36" s="648"/>
      <c r="AI36" s="454"/>
      <c r="AJ36" s="442"/>
      <c r="AK36" s="442"/>
      <c r="AL36" s="442"/>
      <c r="AM36" s="442"/>
      <c r="AN36" s="442"/>
      <c r="AO36" s="442"/>
      <c r="AP36" s="442"/>
      <c r="AQ36" s="442"/>
      <c r="AR36" s="442"/>
      <c r="AS36" s="442"/>
      <c r="AT36" s="442"/>
      <c r="AU36" s="442"/>
      <c r="AV36" s="442"/>
      <c r="AW36" s="442"/>
      <c r="AX36" s="442"/>
      <c r="AY36" s="442"/>
    </row>
    <row r="37" spans="1:51" ht="14.25" hidden="1" customHeight="1" x14ac:dyDescent="0.25">
      <c r="A37" s="54" t="str">
        <f>'[14]Table 10 CWTs exp'!A37</f>
        <v>CAL543</v>
      </c>
      <c r="B37" s="75" t="str">
        <f>'[14]Table 10 CWTs exp'!B37</f>
        <v>CAL</v>
      </c>
      <c r="C37" s="75">
        <f>'[14]Table 10 CWTs exp'!C37</f>
        <v>54</v>
      </c>
      <c r="D37" s="75">
        <f>'[14]Table 10 CWTs exp'!D37</f>
        <v>3</v>
      </c>
      <c r="E37" t="str">
        <f>'[14]Table 10 CWTs exp'!E37</f>
        <v>Calaveras River</v>
      </c>
      <c r="F37" s="37" t="str">
        <f>'[14]Table 10 CWTs exp'!F37</f>
        <v>Fall</v>
      </c>
      <c r="G37" s="144" t="e">
        <f>IF('[14]Table 10 CWTs exp'!G37/'[14]Table 10 CWTs exp'!$AA37&gt;0,'[14]Table 10 CWTs exp'!G37/'[14]Table 10 CWTs exp'!$AA37," ")</f>
        <v>#DIV/0!</v>
      </c>
      <c r="H37" s="145" t="e">
        <f>IF('[14]Table 10 CWTs exp'!H37/'[14]Table 10 CWTs exp'!$AA37&gt;0,'[14]Table 10 CWTs exp'!H37/'[14]Table 10 CWTs exp'!$AA37," ")</f>
        <v>#DIV/0!</v>
      </c>
      <c r="I37" s="144" t="e">
        <f>IF('[14]Table 10 CWTs exp'!I37/'[14]Table 10 CWTs exp'!$AA37&gt;0,'[14]Table 10 CWTs exp'!I37/'[14]Table 10 CWTs exp'!$AA37," ")</f>
        <v>#DIV/0!</v>
      </c>
      <c r="J37" s="146" t="e">
        <f>IF('[14]Table 10 CWTs exp'!J37/'[14]Table 10 CWTs exp'!$AA37&gt;0,'[14]Table 10 CWTs exp'!J37/'[14]Table 10 CWTs exp'!$AA37," ")</f>
        <v>#DIV/0!</v>
      </c>
      <c r="K37" s="145" t="e">
        <f>IF('[14]Table 10 CWTs exp'!K37/'[14]Table 10 CWTs exp'!$AA37&gt;0,'[14]Table 10 CWTs exp'!K37/'[14]Table 10 CWTs exp'!$AA37," ")</f>
        <v>#DIV/0!</v>
      </c>
      <c r="L37" s="144" t="e">
        <f>IF('[14]Table 10 CWTs exp'!L37/'[14]Table 10 CWTs exp'!$AA37&gt;0,'[14]Table 10 CWTs exp'!L37/'[14]Table 10 CWTs exp'!$AA37," ")</f>
        <v>#DIV/0!</v>
      </c>
      <c r="M37" s="144" t="e">
        <f>IF('[14]Table 10 CWTs exp'!M37/'[14]Table 10 CWTs exp'!$AA37&gt;0,'[14]Table 10 CWTs exp'!M37/'[14]Table 10 CWTs exp'!$AA37," ")</f>
        <v>#DIV/0!</v>
      </c>
      <c r="N37" s="146" t="e">
        <f>IF('[14]Table 10 CWTs exp'!N37/'[14]Table 10 CWTs exp'!$AA37&gt;0,'[14]Table 10 CWTs exp'!N37/'[14]Table 10 CWTs exp'!$AA37," ")</f>
        <v>#DIV/0!</v>
      </c>
      <c r="O37" s="144" t="e">
        <f>IF('[14]Table 10 CWTs exp'!O37/'[14]Table 10 CWTs exp'!$AA37&gt;0,'[14]Table 10 CWTs exp'!O37/'[14]Table 10 CWTs exp'!$AA37," ")</f>
        <v>#DIV/0!</v>
      </c>
      <c r="P37" s="146" t="e">
        <f>IF('[14]Table 10 CWTs exp'!P37/'[14]Table 10 CWTs exp'!$AA37&gt;0,'[14]Table 10 CWTs exp'!P37/'[14]Table 10 CWTs exp'!$AA37," ")</f>
        <v>#DIV/0!</v>
      </c>
      <c r="Q37" s="144" t="e">
        <f>IF('[14]Table 10 CWTs exp'!Q37/'[14]Table 10 CWTs exp'!$AA37&gt;0,'[14]Table 10 CWTs exp'!Q37/'[14]Table 10 CWTs exp'!$AA37," ")</f>
        <v>#DIV/0!</v>
      </c>
      <c r="R37" s="144" t="e">
        <f>IF('[14]Table 10 CWTs exp'!R37/'[14]Table 10 CWTs exp'!$AA37&gt;0,'[14]Table 10 CWTs exp'!R37/'[14]Table 10 CWTs exp'!$AA37," ")</f>
        <v>#DIV/0!</v>
      </c>
      <c r="S37" s="144" t="e">
        <f>IF('[14]Table 10 CWTs exp'!S37/'[14]Table 10 CWTs exp'!$AA37&gt;0,'[14]Table 10 CWTs exp'!S37/'[14]Table 10 CWTs exp'!$AA37," ")</f>
        <v>#DIV/0!</v>
      </c>
      <c r="T37" s="146" t="e">
        <f>IF('[14]Table 10 CWTs exp'!T37/'[14]Table 10 CWTs exp'!$AA37&gt;0,'[14]Table 10 CWTs exp'!T37/'[14]Table 10 CWTs exp'!$AA37," ")</f>
        <v>#DIV/0!</v>
      </c>
      <c r="U37" s="144" t="e">
        <f>IF('[14]Table 10 CWTs exp'!U37/'[14]Table 10 CWTs exp'!$AA37&gt;0,'[14]Table 10 CWTs exp'!U37/'[14]Table 10 CWTs exp'!$AA37," ")</f>
        <v>#DIV/0!</v>
      </c>
      <c r="V37" s="146" t="e">
        <f>IF('[14]Table 10 CWTs exp'!V37/'[14]Table 10 CWTs exp'!$AA37&gt;0,'[14]Table 10 CWTs exp'!V37/'[14]Table 10 CWTs exp'!$AA37," ")</f>
        <v>#DIV/0!</v>
      </c>
      <c r="W37" s="146" t="e">
        <f>IF('[14]Table 10 CWTs exp'!W37/'[14]Table 10 CWTs exp'!$AA37&gt;0,'[14]Table 10 CWTs exp'!W37/'[14]Table 10 CWTs exp'!$AA37," ")</f>
        <v>#DIV/0!</v>
      </c>
      <c r="X37" s="144" t="e">
        <f>IF('[14]Table 10 CWTs exp'!X37/'[14]Table 10 CWTs exp'!$AA37&gt;0,'[14]Table 10 CWTs exp'!X37/'[14]Table 10 CWTs exp'!$AA37," ")</f>
        <v>#DIV/0!</v>
      </c>
      <c r="Y37" s="147" t="e">
        <f t="shared" si="4"/>
        <v>#DIV/0!</v>
      </c>
      <c r="Z37" s="148" t="e">
        <f t="shared" si="5"/>
        <v>#DIV/0!</v>
      </c>
      <c r="AA37" s="38">
        <f>'[14]Table 10 CWTs exp'!AA37</f>
        <v>0</v>
      </c>
      <c r="AC37" s="592">
        <f>'[14]Table 10 CWTs exp'!AD37</f>
        <v>0</v>
      </c>
      <c r="AD37" s="592" t="e">
        <f t="shared" si="2"/>
        <v>#DIV/0!</v>
      </c>
      <c r="AE37" s="593" t="str">
        <f t="shared" si="3"/>
        <v>CAL543</v>
      </c>
      <c r="AF37" s="442"/>
      <c r="AG37" s="442"/>
      <c r="AH37" s="648"/>
      <c r="AI37" s="454"/>
      <c r="AJ37" s="442"/>
      <c r="AK37" s="442"/>
      <c r="AL37" s="442"/>
      <c r="AM37" s="442"/>
      <c r="AN37" s="442"/>
      <c r="AO37" s="442"/>
      <c r="AP37" s="442"/>
      <c r="AQ37" s="442"/>
      <c r="AR37" s="442"/>
      <c r="AS37" s="442"/>
      <c r="AT37" s="442"/>
      <c r="AU37" s="442"/>
      <c r="AV37" s="442"/>
      <c r="AW37" s="442"/>
      <c r="AX37" s="442"/>
      <c r="AY37" s="442"/>
    </row>
    <row r="38" spans="1:51" ht="14.5" customHeight="1" x14ac:dyDescent="0.25">
      <c r="A38" s="54" t="str">
        <f>'[14]Table 10 CWTs exp'!A38</f>
        <v>STA543</v>
      </c>
      <c r="B38" s="75" t="str">
        <f>'[14]Table 10 CWTs exp'!B38</f>
        <v>STA</v>
      </c>
      <c r="C38" s="75">
        <f>'[14]Table 10 CWTs exp'!C38</f>
        <v>54</v>
      </c>
      <c r="D38" s="75">
        <f>'[14]Table 10 CWTs exp'!D38</f>
        <v>3</v>
      </c>
      <c r="E38" t="str">
        <f>'[14]Table 10 CWTs exp'!E38</f>
        <v>Stanislaus River</v>
      </c>
      <c r="F38" s="37" t="str">
        <f>'[14]Table 10 CWTs exp'!F38</f>
        <v>Fall</v>
      </c>
      <c r="G38" s="144" t="str">
        <f>IF('[14]Table 10 CWTs exp'!G38/'[14]Table 10 CWTs exp'!$AA38&gt;0,'[14]Table 10 CWTs exp'!G38/'[14]Table 10 CWTs exp'!$AA38," ")</f>
        <v xml:space="preserve"> </v>
      </c>
      <c r="H38" s="145" t="str">
        <f>IF('[14]Table 10 CWTs exp'!H38/'[14]Table 10 CWTs exp'!$AA38&gt;0,'[14]Table 10 CWTs exp'!H38/'[14]Table 10 CWTs exp'!$AA38," ")</f>
        <v xml:space="preserve"> </v>
      </c>
      <c r="I38" s="144" t="str">
        <f>IF('[14]Table 10 CWTs exp'!I38/'[14]Table 10 CWTs exp'!$AA38&gt;0,'[14]Table 10 CWTs exp'!I38/'[14]Table 10 CWTs exp'!$AA38," ")</f>
        <v xml:space="preserve"> </v>
      </c>
      <c r="J38" s="146" t="str">
        <f>IF('[14]Table 10 CWTs exp'!J38/'[14]Table 10 CWTs exp'!$AA38&gt;0,'[14]Table 10 CWTs exp'!J38/'[14]Table 10 CWTs exp'!$AA38," ")</f>
        <v xml:space="preserve"> </v>
      </c>
      <c r="K38" s="145" t="str">
        <f>IF('[14]Table 10 CWTs exp'!K38/'[14]Table 10 CWTs exp'!$AA38&gt;0,'[14]Table 10 CWTs exp'!K38/'[14]Table 10 CWTs exp'!$AA38," ")</f>
        <v xml:space="preserve"> </v>
      </c>
      <c r="L38" s="144" t="str">
        <f>IF('[14]Table 10 CWTs exp'!L38/'[14]Table 10 CWTs exp'!$AA38&gt;0,'[14]Table 10 CWTs exp'!L38/'[14]Table 10 CWTs exp'!$AA38," ")</f>
        <v xml:space="preserve"> </v>
      </c>
      <c r="M38" s="144">
        <f>IF('[14]Table 10 CWTs exp'!M38/'[14]Table 10 CWTs exp'!$AA38&gt;0,'[14]Table 10 CWTs exp'!M38/'[14]Table 10 CWTs exp'!$AA38," ")</f>
        <v>3.3843300880853036E-2</v>
      </c>
      <c r="N38" s="146">
        <f>IF('[14]Table 10 CWTs exp'!N38/'[14]Table 10 CWTs exp'!$AA38&gt;0,'[14]Table 10 CWTs exp'!N38/'[14]Table 10 CWTs exp'!$AA38," ")</f>
        <v>1.923968474733426E-2</v>
      </c>
      <c r="O38" s="144" t="str">
        <f>IF('[14]Table 10 CWTs exp'!O38/'[14]Table 10 CWTs exp'!$AA38&gt;0,'[14]Table 10 CWTs exp'!O38/'[14]Table 10 CWTs exp'!$AA38," ")</f>
        <v xml:space="preserve"> </v>
      </c>
      <c r="P38" s="146">
        <f>IF('[14]Table 10 CWTs exp'!P38/'[14]Table 10 CWTs exp'!$AA38&gt;0,'[14]Table 10 CWTs exp'!P38/'[14]Table 10 CWTs exp'!$AA38," ")</f>
        <v>5.7487250811312007E-2</v>
      </c>
      <c r="Q38" s="144" t="str">
        <f>IF('[14]Table 10 CWTs exp'!Q38/'[14]Table 10 CWTs exp'!$AA38&gt;0,'[14]Table 10 CWTs exp'!Q38/'[14]Table 10 CWTs exp'!$AA38," ")</f>
        <v xml:space="preserve"> </v>
      </c>
      <c r="R38" s="144">
        <f>IF('[14]Table 10 CWTs exp'!R38/'[14]Table 10 CWTs exp'!$AA38&gt;0,'[14]Table 10 CWTs exp'!R38/'[14]Table 10 CWTs exp'!$AA38," ")</f>
        <v>0.57626332869726471</v>
      </c>
      <c r="S38" s="144">
        <f>IF('[14]Table 10 CWTs exp'!S38/'[14]Table 10 CWTs exp'!$AA38&gt;0,'[14]Table 10 CWTs exp'!S38/'[14]Table 10 CWTs exp'!$AA38," ")</f>
        <v>8.576726935558646E-3</v>
      </c>
      <c r="T38" s="146">
        <f>IF('[14]Table 10 CWTs exp'!T38/'[14]Table 10 CWTs exp'!$AA38&gt;0,'[14]Table 10 CWTs exp'!T38/'[14]Table 10 CWTs exp'!$AA38," ")</f>
        <v>0.14765878535002319</v>
      </c>
      <c r="U38" s="144" t="str">
        <f>IF('[14]Table 10 CWTs exp'!U38/'[14]Table 10 CWTs exp'!$AA38&gt;0,'[14]Table 10 CWTs exp'!U38/'[14]Table 10 CWTs exp'!$AA38," ")</f>
        <v xml:space="preserve"> </v>
      </c>
      <c r="V38" s="146">
        <f>IF('[14]Table 10 CWTs exp'!V38/'[14]Table 10 CWTs exp'!$AA38&gt;0,'[14]Table 10 CWTs exp'!V38/'[14]Table 10 CWTs exp'!$AA38," ")</f>
        <v>6.1427909133055167E-2</v>
      </c>
      <c r="W38" s="146">
        <f>IF('[14]Table 10 CWTs exp'!W38/'[14]Table 10 CWTs exp'!$AA38&gt;0,'[14]Table 10 CWTs exp'!W38/'[14]Table 10 CWTs exp'!$AA38," ")</f>
        <v>2.3180343069077423E-3</v>
      </c>
      <c r="X38" s="144" t="str">
        <f>IF('[14]Table 10 CWTs exp'!X38/'[14]Table 10 CWTs exp'!$AA38&gt;0,'[14]Table 10 CWTs exp'!X38/'[14]Table 10 CWTs exp'!$AA38," ")</f>
        <v xml:space="preserve"> </v>
      </c>
      <c r="Y38" s="147">
        <f t="shared" si="4"/>
        <v>0.9068150208623087</v>
      </c>
      <c r="Z38" s="148">
        <f t="shared" si="5"/>
        <v>9.3184979137691304E-2</v>
      </c>
      <c r="AA38" s="38">
        <f>'[14]Table 10 CWTs exp'!AA38</f>
        <v>4314</v>
      </c>
      <c r="AC38" s="592">
        <f>'[14]Table 10 CWTs exp'!AD38</f>
        <v>0.90700000000000003</v>
      </c>
      <c r="AD38" s="592">
        <f t="shared" si="2"/>
        <v>-1.8497913769133234E-4</v>
      </c>
      <c r="AE38" s="593" t="str">
        <f t="shared" si="3"/>
        <v>STA543</v>
      </c>
      <c r="AF38" s="442"/>
      <c r="AG38" s="442"/>
      <c r="AH38" s="648"/>
      <c r="AI38" s="454"/>
      <c r="AJ38" s="442"/>
      <c r="AK38" s="442"/>
      <c r="AL38" s="442"/>
      <c r="AM38" s="442"/>
      <c r="AN38" s="442"/>
      <c r="AO38" s="442"/>
      <c r="AP38" s="442"/>
      <c r="AQ38" s="442"/>
      <c r="AR38" s="442"/>
      <c r="AS38" s="442"/>
      <c r="AT38" s="442"/>
      <c r="AU38" s="442"/>
      <c r="AV38" s="442"/>
      <c r="AW38" s="442"/>
      <c r="AX38" s="442"/>
      <c r="AY38" s="442"/>
    </row>
    <row r="39" spans="1:51" ht="14.5" customHeight="1" x14ac:dyDescent="0.25">
      <c r="A39" s="54" t="str">
        <f>'[14]Table 10 CWTs exp'!A39</f>
        <v>TUO543</v>
      </c>
      <c r="B39" s="75" t="str">
        <f>'[14]Table 10 CWTs exp'!B39</f>
        <v>TUO</v>
      </c>
      <c r="C39" s="75">
        <f>'[14]Table 10 CWTs exp'!C39</f>
        <v>54</v>
      </c>
      <c r="D39" s="75">
        <f>'[14]Table 10 CWTs exp'!D39</f>
        <v>3</v>
      </c>
      <c r="E39" t="str">
        <f>'[14]Table 10 CWTs exp'!E39</f>
        <v>Tuolumne River</v>
      </c>
      <c r="F39" s="37" t="str">
        <f>'[14]Table 10 CWTs exp'!F39</f>
        <v>Fall</v>
      </c>
      <c r="G39" s="144" t="str">
        <f>IF('[14]Table 10 CWTs exp'!G39/'[14]Table 10 CWTs exp'!$AA39&gt;0,'[14]Table 10 CWTs exp'!G39/'[14]Table 10 CWTs exp'!$AA39," ")</f>
        <v xml:space="preserve"> </v>
      </c>
      <c r="H39" s="145" t="str">
        <f>IF('[14]Table 10 CWTs exp'!H39/'[14]Table 10 CWTs exp'!$AA39&gt;0,'[14]Table 10 CWTs exp'!H39/'[14]Table 10 CWTs exp'!$AA39," ")</f>
        <v xml:space="preserve"> </v>
      </c>
      <c r="I39" s="144" t="str">
        <f>IF('[14]Table 10 CWTs exp'!I39/'[14]Table 10 CWTs exp'!$AA39&gt;0,'[14]Table 10 CWTs exp'!I39/'[14]Table 10 CWTs exp'!$AA39," ")</f>
        <v xml:space="preserve"> </v>
      </c>
      <c r="J39" s="146" t="str">
        <f>IF('[14]Table 10 CWTs exp'!J39/'[14]Table 10 CWTs exp'!$AA39&gt;0,'[14]Table 10 CWTs exp'!J39/'[14]Table 10 CWTs exp'!$AA39," ")</f>
        <v xml:space="preserve"> </v>
      </c>
      <c r="K39" s="145" t="str">
        <f>IF('[14]Table 10 CWTs exp'!K39/'[14]Table 10 CWTs exp'!$AA39&gt;0,'[14]Table 10 CWTs exp'!K39/'[14]Table 10 CWTs exp'!$AA39," ")</f>
        <v xml:space="preserve"> </v>
      </c>
      <c r="L39" s="144" t="str">
        <f>IF('[14]Table 10 CWTs exp'!L39/'[14]Table 10 CWTs exp'!$AA39&gt;0,'[14]Table 10 CWTs exp'!L39/'[14]Table 10 CWTs exp'!$AA39," ")</f>
        <v xml:space="preserve"> </v>
      </c>
      <c r="M39" s="144" t="str">
        <f>IF('[14]Table 10 CWTs exp'!M39/'[14]Table 10 CWTs exp'!$AA39&gt;0,'[14]Table 10 CWTs exp'!M39/'[14]Table 10 CWTs exp'!$AA39," ")</f>
        <v xml:space="preserve"> </v>
      </c>
      <c r="N39" s="146" t="str">
        <f>IF('[14]Table 10 CWTs exp'!N39/'[14]Table 10 CWTs exp'!$AA39&gt;0,'[14]Table 10 CWTs exp'!N39/'[14]Table 10 CWTs exp'!$AA39," ")</f>
        <v xml:space="preserve"> </v>
      </c>
      <c r="O39" s="144" t="str">
        <f>IF('[14]Table 10 CWTs exp'!O39/'[14]Table 10 CWTs exp'!$AA39&gt;0,'[14]Table 10 CWTs exp'!O39/'[14]Table 10 CWTs exp'!$AA39," ")</f>
        <v xml:space="preserve"> </v>
      </c>
      <c r="P39" s="146" t="str">
        <f>IF('[14]Table 10 CWTs exp'!P39/'[14]Table 10 CWTs exp'!$AA39&gt;0,'[14]Table 10 CWTs exp'!P39/'[14]Table 10 CWTs exp'!$AA39," ")</f>
        <v xml:space="preserve"> </v>
      </c>
      <c r="Q39" s="144" t="str">
        <f>IF('[14]Table 10 CWTs exp'!Q39/'[14]Table 10 CWTs exp'!$AA39&gt;0,'[14]Table 10 CWTs exp'!Q39/'[14]Table 10 CWTs exp'!$AA39," ")</f>
        <v xml:space="preserve"> </v>
      </c>
      <c r="R39" s="144">
        <f>IF('[14]Table 10 CWTs exp'!R39/'[14]Table 10 CWTs exp'!$AA39&gt;0,'[14]Table 10 CWTs exp'!R39/'[14]Table 10 CWTs exp'!$AA39," ")</f>
        <v>0.29255319148936171</v>
      </c>
      <c r="S39" s="144" t="str">
        <f>IF('[14]Table 10 CWTs exp'!S39/'[14]Table 10 CWTs exp'!$AA39&gt;0,'[14]Table 10 CWTs exp'!S39/'[14]Table 10 CWTs exp'!$AA39," ")</f>
        <v xml:space="preserve"> </v>
      </c>
      <c r="T39" s="146" t="str">
        <f>IF('[14]Table 10 CWTs exp'!T39/'[14]Table 10 CWTs exp'!$AA39&gt;0,'[14]Table 10 CWTs exp'!T39/'[14]Table 10 CWTs exp'!$AA39," ")</f>
        <v xml:space="preserve"> </v>
      </c>
      <c r="U39" s="144" t="str">
        <f>IF('[14]Table 10 CWTs exp'!U39/'[14]Table 10 CWTs exp'!$AA39&gt;0,'[14]Table 10 CWTs exp'!U39/'[14]Table 10 CWTs exp'!$AA39," ")</f>
        <v xml:space="preserve"> </v>
      </c>
      <c r="V39" s="146">
        <f>IF('[14]Table 10 CWTs exp'!V39/'[14]Table 10 CWTs exp'!$AA39&gt;0,'[14]Table 10 CWTs exp'!V39/'[14]Table 10 CWTs exp'!$AA39," ")</f>
        <v>0.10106382978723404</v>
      </c>
      <c r="W39" s="146">
        <f>IF('[14]Table 10 CWTs exp'!W39/'[14]Table 10 CWTs exp'!$AA39&gt;0,'[14]Table 10 CWTs exp'!W39/'[14]Table 10 CWTs exp'!$AA39," ")</f>
        <v>0.44680851063829785</v>
      </c>
      <c r="X39" s="144" t="str">
        <f>IF('[14]Table 10 CWTs exp'!X39/'[14]Table 10 CWTs exp'!$AA39&gt;0,'[14]Table 10 CWTs exp'!X39/'[14]Table 10 CWTs exp'!$AA39," ")</f>
        <v xml:space="preserve"> </v>
      </c>
      <c r="Y39" s="147">
        <f t="shared" si="4"/>
        <v>0.84042553191489366</v>
      </c>
      <c r="Z39" s="148">
        <f t="shared" si="5"/>
        <v>0.15957446808510634</v>
      </c>
      <c r="AA39" s="38">
        <f>'[14]Table 10 CWTs exp'!AA39</f>
        <v>188</v>
      </c>
      <c r="AC39" s="592">
        <f>'[14]Table 10 CWTs exp'!AD39</f>
        <v>0.84</v>
      </c>
      <c r="AD39" s="592">
        <f t="shared" si="2"/>
        <v>4.2553191489369535E-4</v>
      </c>
      <c r="AE39" s="593" t="str">
        <f t="shared" si="3"/>
        <v>TUO543</v>
      </c>
      <c r="AF39" s="442"/>
      <c r="AG39" s="442"/>
      <c r="AH39" s="648"/>
      <c r="AI39" s="454"/>
      <c r="AJ39" s="442"/>
      <c r="AK39" s="442"/>
      <c r="AL39" s="442"/>
      <c r="AM39" s="442"/>
      <c r="AN39" s="442"/>
      <c r="AO39" s="442"/>
      <c r="AP39" s="442"/>
      <c r="AQ39" s="442"/>
      <c r="AR39" s="442"/>
      <c r="AS39" s="442"/>
      <c r="AT39" s="442"/>
      <c r="AU39" s="442"/>
      <c r="AV39" s="442"/>
      <c r="AW39" s="442"/>
      <c r="AX39" s="442"/>
      <c r="AY39" s="442"/>
    </row>
    <row r="40" spans="1:51" ht="14.25" customHeight="1" x14ac:dyDescent="0.25">
      <c r="A40" s="54" t="str">
        <f>'[14]Table 10 CWTs exp'!A40</f>
        <v>MER543</v>
      </c>
      <c r="B40" s="75" t="str">
        <f>'[14]Table 10 CWTs exp'!B40</f>
        <v>MER</v>
      </c>
      <c r="C40" s="75">
        <f>'[14]Table 10 CWTs exp'!C40</f>
        <v>54</v>
      </c>
      <c r="D40" s="75">
        <f>'[14]Table 10 CWTs exp'!D40</f>
        <v>3</v>
      </c>
      <c r="E40" t="str">
        <f>'[14]Table 10 CWTs exp'!E40</f>
        <v>Merced River</v>
      </c>
      <c r="F40" s="37" t="str">
        <f>'[14]Table 10 CWTs exp'!F40</f>
        <v>Fall</v>
      </c>
      <c r="G40" s="144" t="str">
        <f>IF('[14]Table 10 CWTs exp'!G40/'[14]Table 10 CWTs exp'!$AA40&gt;0,'[14]Table 10 CWTs exp'!G40/'[14]Table 10 CWTs exp'!$AA40," ")</f>
        <v xml:space="preserve"> </v>
      </c>
      <c r="H40" s="145" t="str">
        <f>IF('[14]Table 10 CWTs exp'!H40/'[14]Table 10 CWTs exp'!$AA40&gt;0,'[14]Table 10 CWTs exp'!H40/'[14]Table 10 CWTs exp'!$AA40," ")</f>
        <v xml:space="preserve"> </v>
      </c>
      <c r="I40" s="144" t="str">
        <f>IF('[14]Table 10 CWTs exp'!I40/'[14]Table 10 CWTs exp'!$AA40&gt;0,'[14]Table 10 CWTs exp'!I40/'[14]Table 10 CWTs exp'!$AA40," ")</f>
        <v xml:space="preserve"> </v>
      </c>
      <c r="J40" s="146" t="str">
        <f>IF('[14]Table 10 CWTs exp'!J40/'[14]Table 10 CWTs exp'!$AA40&gt;0,'[14]Table 10 CWTs exp'!J40/'[14]Table 10 CWTs exp'!$AA40," ")</f>
        <v xml:space="preserve"> </v>
      </c>
      <c r="K40" s="145" t="str">
        <f>IF('[14]Table 10 CWTs exp'!K40/'[14]Table 10 CWTs exp'!$AA40&gt;0,'[14]Table 10 CWTs exp'!K40/'[14]Table 10 CWTs exp'!$AA40," ")</f>
        <v xml:space="preserve"> </v>
      </c>
      <c r="L40" s="144" t="str">
        <f>IF('[14]Table 10 CWTs exp'!L40/'[14]Table 10 CWTs exp'!$AA40&gt;0,'[14]Table 10 CWTs exp'!L40/'[14]Table 10 CWTs exp'!$AA40," ")</f>
        <v xml:space="preserve"> </v>
      </c>
      <c r="M40" s="144" t="str">
        <f>IF('[14]Table 10 CWTs exp'!M40/'[14]Table 10 CWTs exp'!$AA40&gt;0,'[14]Table 10 CWTs exp'!M40/'[14]Table 10 CWTs exp'!$AA40," ")</f>
        <v xml:space="preserve"> </v>
      </c>
      <c r="N40" s="146" t="str">
        <f>IF('[14]Table 10 CWTs exp'!N40/'[14]Table 10 CWTs exp'!$AA40&gt;0,'[14]Table 10 CWTs exp'!N40/'[14]Table 10 CWTs exp'!$AA40," ")</f>
        <v xml:space="preserve"> </v>
      </c>
      <c r="O40" s="144" t="str">
        <f>IF('[14]Table 10 CWTs exp'!O40/'[14]Table 10 CWTs exp'!$AA40&gt;0,'[14]Table 10 CWTs exp'!O40/'[14]Table 10 CWTs exp'!$AA40," ")</f>
        <v xml:space="preserve"> </v>
      </c>
      <c r="P40" s="146">
        <f>IF('[14]Table 10 CWTs exp'!P40/'[14]Table 10 CWTs exp'!$AA40&gt;0,'[14]Table 10 CWTs exp'!P40/'[14]Table 10 CWTs exp'!$AA40," ")</f>
        <v>0.11063829787234042</v>
      </c>
      <c r="Q40" s="144" t="str">
        <f>IF('[14]Table 10 CWTs exp'!Q40/'[14]Table 10 CWTs exp'!$AA40&gt;0,'[14]Table 10 CWTs exp'!Q40/'[14]Table 10 CWTs exp'!$AA40," ")</f>
        <v xml:space="preserve"> </v>
      </c>
      <c r="R40" s="144">
        <f>IF('[14]Table 10 CWTs exp'!R40/'[14]Table 10 CWTs exp'!$AA40&gt;0,'[14]Table 10 CWTs exp'!R40/'[14]Table 10 CWTs exp'!$AA40," ")</f>
        <v>0.38936170212765958</v>
      </c>
      <c r="S40" s="144" t="str">
        <f>IF('[14]Table 10 CWTs exp'!S40/'[14]Table 10 CWTs exp'!$AA40&gt;0,'[14]Table 10 CWTs exp'!S40/'[14]Table 10 CWTs exp'!$AA40," ")</f>
        <v xml:space="preserve"> </v>
      </c>
      <c r="T40" s="146">
        <f>IF('[14]Table 10 CWTs exp'!T40/'[14]Table 10 CWTs exp'!$AA40&gt;0,'[14]Table 10 CWTs exp'!T40/'[14]Table 10 CWTs exp'!$AA40," ")</f>
        <v>5.5319148936170209E-2</v>
      </c>
      <c r="U40" s="144">
        <f>IF('[14]Table 10 CWTs exp'!U40/'[14]Table 10 CWTs exp'!$AA40&gt;0,'[14]Table 10 CWTs exp'!U40/'[14]Table 10 CWTs exp'!$AA40," ")</f>
        <v>7.2340425531914887E-2</v>
      </c>
      <c r="V40" s="146">
        <f>IF('[14]Table 10 CWTs exp'!V40/'[14]Table 10 CWTs exp'!$AA40&gt;0,'[14]Table 10 CWTs exp'!V40/'[14]Table 10 CWTs exp'!$AA40," ")</f>
        <v>5.5319148936170209E-2</v>
      </c>
      <c r="W40" s="146" t="str">
        <f>IF('[14]Table 10 CWTs exp'!W40/'[14]Table 10 CWTs exp'!$AA40&gt;0,'[14]Table 10 CWTs exp'!W40/'[14]Table 10 CWTs exp'!$AA40," ")</f>
        <v xml:space="preserve"> </v>
      </c>
      <c r="X40" s="144" t="str">
        <f>IF('[14]Table 10 CWTs exp'!X40/'[14]Table 10 CWTs exp'!$AA40&gt;0,'[14]Table 10 CWTs exp'!X40/'[14]Table 10 CWTs exp'!$AA40," ")</f>
        <v xml:space="preserve"> </v>
      </c>
      <c r="Y40" s="147">
        <f t="shared" si="4"/>
        <v>0.68297872340425525</v>
      </c>
      <c r="Z40" s="148">
        <f t="shared" si="5"/>
        <v>0.31702127659574475</v>
      </c>
      <c r="AA40" s="38">
        <f>'[14]Table 10 CWTs exp'!AA40</f>
        <v>470</v>
      </c>
      <c r="AC40" s="592">
        <f>'[14]Table 10 CWTs exp'!AD40</f>
        <v>0.68300000000000005</v>
      </c>
      <c r="AD40" s="592">
        <f t="shared" si="2"/>
        <v>-2.1276595744801341E-5</v>
      </c>
      <c r="AE40" s="593" t="str">
        <f t="shared" si="3"/>
        <v>MER543</v>
      </c>
      <c r="AF40" s="442"/>
      <c r="AG40" s="442"/>
      <c r="AH40" s="648"/>
      <c r="AI40" s="454"/>
      <c r="AJ40" s="442"/>
      <c r="AK40" s="442"/>
      <c r="AL40" s="442"/>
      <c r="AM40" s="442"/>
      <c r="AN40" s="442"/>
      <c r="AO40" s="442"/>
      <c r="AP40" s="442"/>
      <c r="AQ40" s="442"/>
      <c r="AR40" s="442"/>
      <c r="AS40" s="442"/>
      <c r="AT40" s="442"/>
      <c r="AU40" s="442"/>
      <c r="AV40" s="442"/>
      <c r="AW40" s="442"/>
      <c r="AX40" s="442"/>
      <c r="AY40" s="442"/>
    </row>
    <row r="41" spans="1:51" ht="14.5" customHeight="1" x14ac:dyDescent="0.25">
      <c r="A41" s="54" t="str">
        <f>'[14]Table 10 CWTs exp'!A41</f>
        <v>USAC547</v>
      </c>
      <c r="B41" s="75" t="str">
        <f>'[14]Table 10 CWTs exp'!B41</f>
        <v>USAC</v>
      </c>
      <c r="C41" s="75">
        <f>'[14]Table 10 CWTs exp'!C41</f>
        <v>54</v>
      </c>
      <c r="D41" s="75">
        <f>'[14]Table 10 CWTs exp'!D41</f>
        <v>7</v>
      </c>
      <c r="E41" t="str">
        <f>'[14]Table 10 CWTs exp'!E41</f>
        <v>Upper Sacramento River</v>
      </c>
      <c r="F41" s="37" t="s">
        <v>133</v>
      </c>
      <c r="G41" s="144">
        <f>IF('[14]Table 10 CWTs exp'!G41/'[14]Table 10 CWTs exp'!$AA41&gt;0,'[14]Table 10 CWTs exp'!G41/'[14]Table 10 CWTs exp'!$AA41," ")</f>
        <v>2.5348542458808618E-2</v>
      </c>
      <c r="H41" s="145">
        <f>IF('[14]Table 10 CWTs exp'!H41/'[14]Table 10 CWTs exp'!$AA41&gt;0,'[14]Table 10 CWTs exp'!H41/'[14]Table 10 CWTs exp'!$AA41," ")</f>
        <v>1.2885509083227715E-2</v>
      </c>
      <c r="I41" s="144" t="str">
        <f>IF('[14]Table 10 CWTs exp'!I41/'[14]Table 10 CWTs exp'!$AA41&gt;0,'[14]Table 10 CWTs exp'!I41/'[14]Table 10 CWTs exp'!$AA41," ")</f>
        <v xml:space="preserve"> </v>
      </c>
      <c r="J41" s="146" t="str">
        <f>IF('[14]Table 10 CWTs exp'!J41/'[14]Table 10 CWTs exp'!$AA41&gt;0,'[14]Table 10 CWTs exp'!J41/'[14]Table 10 CWTs exp'!$AA41," ")</f>
        <v xml:space="preserve"> </v>
      </c>
      <c r="K41" s="145" t="str">
        <f>IF('[14]Table 10 CWTs exp'!K41/'[14]Table 10 CWTs exp'!$AA41&gt;0,'[14]Table 10 CWTs exp'!K41/'[14]Table 10 CWTs exp'!$AA41," ")</f>
        <v xml:space="preserve"> </v>
      </c>
      <c r="L41" s="144" t="str">
        <f>IF('[14]Table 10 CWTs exp'!L41/'[14]Table 10 CWTs exp'!$AA41&gt;0,'[14]Table 10 CWTs exp'!L41/'[14]Table 10 CWTs exp'!$AA41," ")</f>
        <v xml:space="preserve"> </v>
      </c>
      <c r="M41" s="144" t="str">
        <f>IF('[14]Table 10 CWTs exp'!M41/'[14]Table 10 CWTs exp'!$AA41&gt;0,'[14]Table 10 CWTs exp'!M41/'[14]Table 10 CWTs exp'!$AA41," ")</f>
        <v xml:space="preserve"> </v>
      </c>
      <c r="N41" s="146" t="str">
        <f>IF('[14]Table 10 CWTs exp'!N41/'[14]Table 10 CWTs exp'!$AA41&gt;0,'[14]Table 10 CWTs exp'!N41/'[14]Table 10 CWTs exp'!$AA41," ")</f>
        <v xml:space="preserve"> </v>
      </c>
      <c r="O41" s="144" t="str">
        <f>IF('[14]Table 10 CWTs exp'!O41/'[14]Table 10 CWTs exp'!$AA41&gt;0,'[14]Table 10 CWTs exp'!O41/'[14]Table 10 CWTs exp'!$AA41," ")</f>
        <v xml:space="preserve"> </v>
      </c>
      <c r="P41" s="146" t="str">
        <f>IF('[14]Table 10 CWTs exp'!P41/'[14]Table 10 CWTs exp'!$AA41&gt;0,'[14]Table 10 CWTs exp'!P41/'[14]Table 10 CWTs exp'!$AA41," ")</f>
        <v xml:space="preserve"> </v>
      </c>
      <c r="Q41" s="144" t="str">
        <f>IF('[14]Table 10 CWTs exp'!Q41/'[14]Table 10 CWTs exp'!$AA41&gt;0,'[14]Table 10 CWTs exp'!Q41/'[14]Table 10 CWTs exp'!$AA41," ")</f>
        <v xml:space="preserve"> </v>
      </c>
      <c r="R41" s="144" t="str">
        <f>IF('[14]Table 10 CWTs exp'!R41/'[14]Table 10 CWTs exp'!$AA41&gt;0,'[14]Table 10 CWTs exp'!R41/'[14]Table 10 CWTs exp'!$AA41," ")</f>
        <v xml:space="preserve"> </v>
      </c>
      <c r="S41" s="144">
        <f>IF('[14]Table 10 CWTs exp'!S41/'[14]Table 10 CWTs exp'!$AA41&gt;0,'[14]Table 10 CWTs exp'!S41/'[14]Table 10 CWTs exp'!$AA41," ")</f>
        <v>1.2674271229404309E-2</v>
      </c>
      <c r="T41" s="146" t="str">
        <f>IF('[14]Table 10 CWTs exp'!T41/'[14]Table 10 CWTs exp'!$AA41&gt;0,'[14]Table 10 CWTs exp'!T41/'[14]Table 10 CWTs exp'!$AA41," ")</f>
        <v xml:space="preserve"> </v>
      </c>
      <c r="U41" s="144" t="str">
        <f>IF('[14]Table 10 CWTs exp'!U41/'[14]Table 10 CWTs exp'!$AA41&gt;0,'[14]Table 10 CWTs exp'!U41/'[14]Table 10 CWTs exp'!$AA41," ")</f>
        <v xml:space="preserve"> </v>
      </c>
      <c r="V41" s="146" t="str">
        <f>IF('[14]Table 10 CWTs exp'!V41/'[14]Table 10 CWTs exp'!$AA41&gt;0,'[14]Table 10 CWTs exp'!V41/'[14]Table 10 CWTs exp'!$AA41," ")</f>
        <v xml:space="preserve"> </v>
      </c>
      <c r="W41" s="146" t="str">
        <f>IF('[14]Table 10 CWTs exp'!W41/'[14]Table 10 CWTs exp'!$AA41&gt;0,'[14]Table 10 CWTs exp'!W41/'[14]Table 10 CWTs exp'!$AA41," ")</f>
        <v xml:space="preserve"> </v>
      </c>
      <c r="X41" s="144" t="str">
        <f>IF('[14]Table 10 CWTs exp'!X41/'[14]Table 10 CWTs exp'!$AA41&gt;0,'[14]Table 10 CWTs exp'!X41/'[14]Table 10 CWTs exp'!$AA41," ")</f>
        <v xml:space="preserve"> </v>
      </c>
      <c r="Y41" s="147">
        <f t="shared" si="4"/>
        <v>5.0908322771440639E-2</v>
      </c>
      <c r="Z41" s="148">
        <f t="shared" si="5"/>
        <v>0.94909167722855936</v>
      </c>
      <c r="AA41" s="38">
        <f>'[14]Table 10 CWTs exp'!AA41</f>
        <v>4734</v>
      </c>
      <c r="AC41" s="592">
        <f>'[14]Table 10 CWTs exp'!AD41</f>
        <v>5.0908322771440639E-2</v>
      </c>
      <c r="AD41" s="592">
        <f t="shared" si="2"/>
        <v>0</v>
      </c>
      <c r="AE41" s="593" t="str">
        <f t="shared" si="3"/>
        <v>USAC547</v>
      </c>
      <c r="AF41" s="442"/>
      <c r="AG41" s="442"/>
      <c r="AH41" s="648"/>
      <c r="AI41" s="454"/>
      <c r="AJ41" s="442"/>
      <c r="AK41" s="442"/>
      <c r="AL41" s="442"/>
      <c r="AM41" s="442"/>
      <c r="AN41" s="442"/>
      <c r="AO41" s="442"/>
      <c r="AP41" s="442"/>
      <c r="AQ41" s="442"/>
      <c r="AR41" s="442"/>
      <c r="AS41" s="442"/>
      <c r="AT41" s="442"/>
      <c r="AU41" s="442"/>
      <c r="AV41" s="442"/>
      <c r="AW41" s="442"/>
      <c r="AX41" s="442"/>
      <c r="AY41" s="442"/>
    </row>
    <row r="42" spans="1:51" ht="14.15" customHeight="1" x14ac:dyDescent="0.25">
      <c r="E42" s="743" t="s">
        <v>101</v>
      </c>
      <c r="F42" s="743"/>
      <c r="G42" s="152" t="str">
        <f>IF('[14]Table 10 CWTs exp'!G42/'[14]Table 10 CWTs exp'!$AA42&gt;0,'[14]Table 10 CWTs exp'!G42/'[14]Table 10 CWTs exp'!$AA42," ")</f>
        <v xml:space="preserve"> </v>
      </c>
      <c r="H42" s="153">
        <f>IF('[14]Table 10 CWTs exp'!H42/'[14]Table 10 CWTs exp'!$AA42&gt;0,'[14]Table 10 CWTs exp'!H42/'[14]Table 10 CWTs exp'!$AA42," ")</f>
        <v>1.1974613818704346E-5</v>
      </c>
      <c r="I42" s="152">
        <f>IF('[14]Table 10 CWTs exp'!I42/'[14]Table 10 CWTs exp'!$AA42&gt;0,'[14]Table 10 CWTs exp'!I42/'[14]Table 10 CWTs exp'!$AA42," ")</f>
        <v>0.30843012812836784</v>
      </c>
      <c r="J42" s="154" t="str">
        <f>IF('[14]Table 10 CWTs exp'!J42/'[14]Table 10 CWTs exp'!$AA42&gt;0,'[14]Table 10 CWTs exp'!J42/'[14]Table 10 CWTs exp'!$AA42," ")</f>
        <v xml:space="preserve"> </v>
      </c>
      <c r="K42" s="153">
        <f>IF('[14]Table 10 CWTs exp'!K42/'[14]Table 10 CWTs exp'!$AA42&gt;0,'[14]Table 10 CWTs exp'!K42/'[14]Table 10 CWTs exp'!$AA42," ")</f>
        <v>6.1633337324871272E-2</v>
      </c>
      <c r="L42" s="152">
        <f>IF('[14]Table 10 CWTs exp'!L42/'[14]Table 10 CWTs exp'!$AA42&gt;0,'[14]Table 10 CWTs exp'!L42/'[14]Table 10 CWTs exp'!$AA42," ")</f>
        <v>9.5796910549634772E-5</v>
      </c>
      <c r="M42" s="152">
        <f>IF('[14]Table 10 CWTs exp'!M42/'[14]Table 10 CWTs exp'!$AA42&gt;0,'[14]Table 10 CWTs exp'!M42/'[14]Table 10 CWTs exp'!$AA42," ")</f>
        <v>0.1038558256496228</v>
      </c>
      <c r="N42" s="154">
        <f>IF('[14]Table 10 CWTs exp'!N42/'[14]Table 10 CWTs exp'!$AA42&gt;0,'[14]Table 10 CWTs exp'!N42/'[14]Table 10 CWTs exp'!$AA42," ")</f>
        <v>1.5076038797748773E-2</v>
      </c>
      <c r="O42" s="152">
        <f>IF('[14]Table 10 CWTs exp'!O42/'[14]Table 10 CWTs exp'!$AA42&gt;0,'[14]Table 10 CWTs exp'!O42/'[14]Table 10 CWTs exp'!$AA42," ")</f>
        <v>2.9816788408573824E-2</v>
      </c>
      <c r="P42" s="154">
        <f>IF('[14]Table 10 CWTs exp'!P42/'[14]Table 10 CWTs exp'!$AA42&gt;0,'[14]Table 10 CWTs exp'!P42/'[14]Table 10 CWTs exp'!$AA42," ")</f>
        <v>6.1250149682672735E-2</v>
      </c>
      <c r="Q42" s="152">
        <f>IF('[14]Table 10 CWTs exp'!Q42/'[14]Table 10 CWTs exp'!$AA42&gt;0,'[14]Table 10 CWTs exp'!Q42/'[14]Table 10 CWTs exp'!$AA42," ")</f>
        <v>9.5796910549634772E-5</v>
      </c>
      <c r="R42" s="152">
        <f>IF('[14]Table 10 CWTs exp'!R42/'[14]Table 10 CWTs exp'!$AA42&gt;0,'[14]Table 10 CWTs exp'!R42/'[14]Table 10 CWTs exp'!$AA42," ")</f>
        <v>6.6818345108370258E-2</v>
      </c>
      <c r="S42" s="152">
        <f>IF('[14]Table 10 CWTs exp'!S42/'[14]Table 10 CWTs exp'!$AA42&gt;0,'[14]Table 10 CWTs exp'!S42/'[14]Table 10 CWTs exp'!$AA42," ")</f>
        <v>3.4726380074242605E-3</v>
      </c>
      <c r="T42" s="154">
        <f>IF('[14]Table 10 CWTs exp'!T42/'[14]Table 10 CWTs exp'!$AA42&gt;0,'[14]Table 10 CWTs exp'!T42/'[14]Table 10 CWTs exp'!$AA42," ")</f>
        <v>2.3482217698479226E-2</v>
      </c>
      <c r="U42" s="152">
        <f>IF('[14]Table 10 CWTs exp'!U42/'[14]Table 10 CWTs exp'!$AA42&gt;0,'[14]Table 10 CWTs exp'!U42/'[14]Table 10 CWTs exp'!$AA42," ")</f>
        <v>4.0713686983594779E-4</v>
      </c>
      <c r="V42" s="154">
        <f>IF('[14]Table 10 CWTs exp'!V42/'[14]Table 10 CWTs exp'!$AA42&gt;0,'[14]Table 10 CWTs exp'!V42/'[14]Table 10 CWTs exp'!$AA42," ")</f>
        <v>1.319602442821219E-2</v>
      </c>
      <c r="W42" s="154">
        <f>IF('[14]Table 10 CWTs exp'!W42/'[14]Table 10 CWTs exp'!$AA42&gt;0,'[14]Table 10 CWTs exp'!W42/'[14]Table 10 CWTs exp'!$AA42," ")</f>
        <v>2.1913543288228955E-3</v>
      </c>
      <c r="X42" s="152" t="str">
        <f>IF('[14]Table 10 CWTs exp'!X42/'[14]Table 10 CWTs exp'!$AA42&gt;0,'[14]Table 10 CWTs exp'!X42/'[14]Table 10 CWTs exp'!$AA42," ")</f>
        <v xml:space="preserve"> </v>
      </c>
      <c r="Y42" s="155">
        <f t="shared" si="4"/>
        <v>0.68983355286791992</v>
      </c>
      <c r="Z42" s="156">
        <f>1-Y42</f>
        <v>0.31016644713208008</v>
      </c>
      <c r="AA42" s="63">
        <f>'[14]Table 10 CWTs exp'!AA42</f>
        <v>83510</v>
      </c>
      <c r="AB42" s="159"/>
      <c r="AC42" s="592">
        <f>'[14]Table 10 CWTs exp'!AD42</f>
        <v>0.68983355286792003</v>
      </c>
      <c r="AD42" s="592">
        <f t="shared" si="2"/>
        <v>0</v>
      </c>
      <c r="AE42" s="595"/>
      <c r="AF42" s="596"/>
      <c r="AG42" s="596"/>
      <c r="AH42" s="649"/>
      <c r="AI42" s="454"/>
      <c r="AJ42" s="442"/>
      <c r="AK42" s="442"/>
      <c r="AL42" s="442"/>
      <c r="AM42" s="442"/>
      <c r="AN42" s="442"/>
      <c r="AO42" s="442"/>
      <c r="AP42" s="442"/>
      <c r="AQ42" s="442"/>
      <c r="AR42" s="442"/>
      <c r="AS42" s="442"/>
      <c r="AT42" s="442"/>
      <c r="AU42" s="442"/>
      <c r="AV42" s="442"/>
      <c r="AW42" s="442"/>
      <c r="AX42" s="442"/>
      <c r="AY42" s="442"/>
    </row>
    <row r="43" spans="1:51" ht="4.5" customHeight="1" x14ac:dyDescent="0.3">
      <c r="E43" s="83"/>
      <c r="F43"/>
      <c r="G43" s="161"/>
      <c r="H43" s="162"/>
      <c r="I43" s="161"/>
      <c r="J43" s="163"/>
      <c r="K43" s="162"/>
      <c r="L43" s="161"/>
      <c r="M43" s="161"/>
      <c r="N43" s="163"/>
      <c r="O43" s="161"/>
      <c r="P43" s="163"/>
      <c r="Q43" s="161"/>
      <c r="R43" s="161"/>
      <c r="S43" s="161"/>
      <c r="T43" s="163"/>
      <c r="U43" s="161"/>
      <c r="V43" s="163"/>
      <c r="W43" s="163"/>
      <c r="X43" s="161"/>
      <c r="Y43" s="164"/>
      <c r="Z43" s="165"/>
      <c r="AA43" s="64"/>
      <c r="AB43" s="159"/>
      <c r="AC43" s="592"/>
      <c r="AD43" s="592"/>
      <c r="AE43" s="595"/>
      <c r="AF43" s="596"/>
      <c r="AG43" s="596"/>
      <c r="AH43" s="649"/>
      <c r="AI43" s="454"/>
      <c r="AJ43" s="442"/>
      <c r="AK43" s="442"/>
      <c r="AL43" s="442"/>
      <c r="AM43" s="442"/>
      <c r="AN43" s="442"/>
      <c r="AO43" s="442"/>
      <c r="AP43" s="442"/>
      <c r="AQ43" s="442"/>
      <c r="AR43" s="442"/>
      <c r="AS43" s="442"/>
      <c r="AT43" s="442"/>
      <c r="AU43" s="442"/>
      <c r="AV43" s="442"/>
      <c r="AW43" s="442"/>
      <c r="AX43" s="442"/>
      <c r="AY43" s="442"/>
    </row>
    <row r="44" spans="1:51" ht="14.9" customHeight="1" x14ac:dyDescent="0.25">
      <c r="E44" s="27" t="s">
        <v>103</v>
      </c>
      <c r="F44" s="37" t="s">
        <v>104</v>
      </c>
      <c r="G44" s="151">
        <f>IF('[14]Table 10 CWTs exp'!G44/'[14]Table 10 CWTs exp'!$AA44&gt;0,'[14]Table 10 CWTs exp'!G44/'[14]Table 10 CWTs exp'!$AA44," ")</f>
        <v>2.8026475933243301E-2</v>
      </c>
      <c r="H44" s="157">
        <f>IF('[14]Table 10 CWTs exp'!H44/'[14]Table 10 CWTs exp'!$AA44&gt;0,'[14]Table 10 CWTs exp'!H44/'[14]Table 10 CWTs exp'!$AA44," ")</f>
        <v>2.0390469997832575E-2</v>
      </c>
      <c r="I44" s="151">
        <f>IF('[14]Table 10 CWTs exp'!I44/'[14]Table 10 CWTs exp'!$AA44&gt;0,'[14]Table 10 CWTs exp'!I44/'[14]Table 10 CWTs exp'!$AA44," ")</f>
        <v>0.28175694826522618</v>
      </c>
      <c r="J44" s="158" t="str">
        <f>IF('[14]Table 10 CWTs exp'!J44/'[14]Table 10 CWTs exp'!$AA44&gt;0,'[14]Table 10 CWTs exp'!J44/'[14]Table 10 CWTs exp'!$AA44," ")</f>
        <v xml:space="preserve"> </v>
      </c>
      <c r="K44" s="157">
        <f>IF('[14]Table 10 CWTs exp'!K44/'[14]Table 10 CWTs exp'!$AA44&gt;0,'[14]Table 10 CWTs exp'!K44/'[14]Table 10 CWTs exp'!$AA44," ")</f>
        <v>6.9757748545324197E-2</v>
      </c>
      <c r="L44" s="151">
        <f>IF('[14]Table 10 CWTs exp'!L44/'[14]Table 10 CWTs exp'!$AA44&gt;0,'[14]Table 10 CWTs exp'!L44/'[14]Table 10 CWTs exp'!$AA44," ")</f>
        <v>6.9190883475883224E-4</v>
      </c>
      <c r="M44" s="151">
        <f>IF('[14]Table 10 CWTs exp'!M44/'[14]Table 10 CWTs exp'!$AA44&gt;0,'[14]Table 10 CWTs exp'!M44/'[14]Table 10 CWTs exp'!$AA44," ")</f>
        <v>8.1495189983160771E-2</v>
      </c>
      <c r="N44" s="158">
        <f>IF('[14]Table 10 CWTs exp'!N44/'[14]Table 10 CWTs exp'!$AA44&gt;0,'[14]Table 10 CWTs exp'!N44/'[14]Table 10 CWTs exp'!$AA44," ")</f>
        <v>8.2862335150636051E-3</v>
      </c>
      <c r="O44" s="151">
        <f>IF('[14]Table 10 CWTs exp'!O44/'[14]Table 10 CWTs exp'!$AA44&gt;0,'[14]Table 10 CWTs exp'!O44/'[14]Table 10 CWTs exp'!$AA44," ")</f>
        <v>3.7104653295320027E-2</v>
      </c>
      <c r="P44" s="158">
        <f>IF('[14]Table 10 CWTs exp'!P44/'[14]Table 10 CWTs exp'!$AA44&gt;0,'[14]Table 10 CWTs exp'!P44/'[14]Table 10 CWTs exp'!$AA44," ")</f>
        <v>6.5606295536771206E-2</v>
      </c>
      <c r="Q44" s="151">
        <f>IF('[14]Table 10 CWTs exp'!Q44/'[14]Table 10 CWTs exp'!$AA44&gt;0,'[14]Table 10 CWTs exp'!Q44/'[14]Table 10 CWTs exp'!$AA44," ")</f>
        <v>4.501575551443005E-4</v>
      </c>
      <c r="R44" s="151">
        <f>IF('[14]Table 10 CWTs exp'!R44/'[14]Table 10 CWTs exp'!$AA44&gt;0,'[14]Table 10 CWTs exp'!R44/'[14]Table 10 CWTs exp'!$AA44," ")</f>
        <v>1.7889594691475351E-2</v>
      </c>
      <c r="S44" s="151">
        <f>IF('[14]Table 10 CWTs exp'!S44/'[14]Table 10 CWTs exp'!$AA44&gt;0,'[14]Table 10 CWTs exp'!S44/'[14]Table 10 CWTs exp'!$AA44," ")</f>
        <v>8.2528885109788431E-4</v>
      </c>
      <c r="T44" s="158">
        <f>IF('[14]Table 10 CWTs exp'!T44/'[14]Table 10 CWTs exp'!$AA44&gt;0,'[14]Table 10 CWTs exp'!T44/'[14]Table 10 CWTs exp'!$AA44," ")</f>
        <v>4.7016455759515833E-3</v>
      </c>
      <c r="U44" s="151">
        <f>IF('[14]Table 10 CWTs exp'!U44/'[14]Table 10 CWTs exp'!$AA44&gt;0,'[14]Table 10 CWTs exp'!U44/'[14]Table 10 CWTs exp'!$AA44," ")</f>
        <v>2.8343253472048552E-4</v>
      </c>
      <c r="V44" s="158">
        <f>IF('[14]Table 10 CWTs exp'!V44/'[14]Table 10 CWTs exp'!$AA44&gt;0,'[14]Table 10 CWTs exp'!V44/'[14]Table 10 CWTs exp'!$AA44," ")</f>
        <v>6.0021007352573401E-4</v>
      </c>
      <c r="W44" s="158">
        <f>IF('[14]Table 10 CWTs exp'!W44/'[14]Table 10 CWTs exp'!$AA44&gt;0,'[14]Table 10 CWTs exp'!W44/'[14]Table 10 CWTs exp'!$AA44," ")</f>
        <v>2.00070024508578E-4</v>
      </c>
      <c r="X44" s="151" t="str">
        <f>IF('[14]Table 10 CWTs exp'!X44/'[14]Table 10 CWTs exp'!$AA44&gt;0,'[14]Table 10 CWTs exp'!X44/'[14]Table 10 CWTs exp'!$AA44," ")</f>
        <v xml:space="preserve"> </v>
      </c>
      <c r="Y44" s="166">
        <f t="shared" ref="Y44:Y46" si="6">SUM(G44:X44)</f>
        <v>0.6180663232131246</v>
      </c>
      <c r="Z44" s="167">
        <f t="shared" ref="Z44:Z46" si="7">1-Y44</f>
        <v>0.3819336767868754</v>
      </c>
      <c r="AA44" s="38">
        <f>'[14]Table 10 CWTs exp'!AA44</f>
        <v>119958</v>
      </c>
      <c r="AB44" s="159"/>
      <c r="AC44" s="592">
        <f>'[14]Table 10 CWTs exp'!AD44</f>
        <v>0.6180663232131246</v>
      </c>
      <c r="AD44" s="592">
        <f>Y44-AC44</f>
        <v>0</v>
      </c>
      <c r="AE44" s="595"/>
      <c r="AF44" s="596"/>
      <c r="AG44" s="596"/>
      <c r="AH44" s="649"/>
      <c r="AI44" s="454"/>
      <c r="AJ44" s="442"/>
      <c r="AK44" s="442"/>
      <c r="AL44" s="442"/>
      <c r="AM44" s="442"/>
      <c r="AN44" s="442"/>
      <c r="AO44" s="442"/>
      <c r="AP44" s="442"/>
      <c r="AQ44" s="442"/>
      <c r="AR44" s="442"/>
      <c r="AS44" s="442"/>
      <c r="AT44" s="442"/>
      <c r="AU44" s="442"/>
      <c r="AV44" s="442"/>
      <c r="AW44" s="442"/>
      <c r="AX44" s="442"/>
      <c r="AY44" s="442"/>
    </row>
    <row r="45" spans="1:51" ht="14.9" customHeight="1" x14ac:dyDescent="0.25">
      <c r="E45" s="27" t="s">
        <v>105</v>
      </c>
      <c r="F45" s="37" t="s">
        <v>104</v>
      </c>
      <c r="G45" s="151" t="str">
        <f>IF('[14]Table 10 CWTs exp'!G45/'[14]Table 10 CWTs exp'!$AA45&gt;0,'[14]Table 10 CWTs exp'!G45/'[14]Table 10 CWTs exp'!$AA45," ")</f>
        <v xml:space="preserve"> </v>
      </c>
      <c r="H45" s="157">
        <f>IF('[14]Table 10 CWTs exp'!H45/'[14]Table 10 CWTs exp'!$AA45&gt;0,'[14]Table 10 CWTs exp'!H45/'[14]Table 10 CWTs exp'!$AA45," ")</f>
        <v>3.4327692149256805E-5</v>
      </c>
      <c r="I45" s="151">
        <f>IF('[14]Table 10 CWTs exp'!I45/'[14]Table 10 CWTs exp'!$AA45&gt;0,'[14]Table 10 CWTs exp'!I45/'[14]Table 10 CWTs exp'!$AA45," ")</f>
        <v>0.22055542205897496</v>
      </c>
      <c r="J45" s="158" t="str">
        <f>IF('[14]Table 10 CWTs exp'!J45/'[14]Table 10 CWTs exp'!$AA45&gt;0,'[14]Table 10 CWTs exp'!J45/'[14]Table 10 CWTs exp'!$AA45," ")</f>
        <v xml:space="preserve"> </v>
      </c>
      <c r="K45" s="157">
        <f>IF('[14]Table 10 CWTs exp'!K45/'[14]Table 10 CWTs exp'!$AA45&gt;0,'[14]Table 10 CWTs exp'!K45/'[14]Table 10 CWTs exp'!$AA45," ")</f>
        <v>1.3731076859702722E-4</v>
      </c>
      <c r="L45" s="151" t="str">
        <f>IF('[14]Table 10 CWTs exp'!L45/'[14]Table 10 CWTs exp'!$AA45&gt;0,'[14]Table 10 CWTs exp'!L45/'[14]Table 10 CWTs exp'!$AA45," ")</f>
        <v xml:space="preserve"> </v>
      </c>
      <c r="M45" s="151">
        <f>IF('[14]Table 10 CWTs exp'!M45/'[14]Table 10 CWTs exp'!$AA45&gt;0,'[14]Table 10 CWTs exp'!M45/'[14]Table 10 CWTs exp'!$AA45," ")</f>
        <v>0.21022278672204867</v>
      </c>
      <c r="N45" s="158">
        <f>IF('[14]Table 10 CWTs exp'!N45/'[14]Table 10 CWTs exp'!$AA45&gt;0,'[14]Table 10 CWTs exp'!N45/'[14]Table 10 CWTs exp'!$AA45," ")</f>
        <v>3.7382856750540663E-2</v>
      </c>
      <c r="O45" s="151">
        <f>IF('[14]Table 10 CWTs exp'!O45/'[14]Table 10 CWTs exp'!$AA45&gt;0,'[14]Table 10 CWTs exp'!O45/'[14]Table 10 CWTs exp'!$AA45," ")</f>
        <v>6.3849507397617661E-3</v>
      </c>
      <c r="P45" s="158">
        <f>IF('[14]Table 10 CWTs exp'!P45/'[14]Table 10 CWTs exp'!$AA45&gt;0,'[14]Table 10 CWTs exp'!P45/'[14]Table 10 CWTs exp'!$AA45," ")</f>
        <v>6.8518073529916582E-2</v>
      </c>
      <c r="Q45" s="151">
        <f>IF('[14]Table 10 CWTs exp'!Q45/'[14]Table 10 CWTs exp'!$AA45&gt;0,'[14]Table 10 CWTs exp'!Q45/'[14]Table 10 CWTs exp'!$AA45," ")</f>
        <v>8.925199958806769E-4</v>
      </c>
      <c r="R45" s="151">
        <f>IF('[14]Table 10 CWTs exp'!R45/'[14]Table 10 CWTs exp'!$AA45&gt;0,'[14]Table 10 CWTs exp'!R45/'[14]Table 10 CWTs exp'!$AA45," ")</f>
        <v>0.26428890185712817</v>
      </c>
      <c r="S45" s="151">
        <f>IF('[14]Table 10 CWTs exp'!S45/'[14]Table 10 CWTs exp'!$AA45&gt;0,'[14]Table 10 CWTs exp'!S45/'[14]Table 10 CWTs exp'!$AA45," ")</f>
        <v>2.1729429130479559E-2</v>
      </c>
      <c r="T45" s="158">
        <f>IF('[14]Table 10 CWTs exp'!T45/'[14]Table 10 CWTs exp'!$AA45&gt;0,'[14]Table 10 CWTs exp'!T45/'[14]Table 10 CWTs exp'!$AA45," ")</f>
        <v>0.10614122412550205</v>
      </c>
      <c r="U45" s="151" t="str">
        <f>IF('[14]Table 10 CWTs exp'!U45/'[14]Table 10 CWTs exp'!$AA45&gt;0,'[14]Table 10 CWTs exp'!U45/'[14]Table 10 CWTs exp'!$AA45," ")</f>
        <v xml:space="preserve"> </v>
      </c>
      <c r="V45" s="158">
        <f>IF('[14]Table 10 CWTs exp'!V45/'[14]Table 10 CWTs exp'!$AA45&gt;0,'[14]Table 10 CWTs exp'!V45/'[14]Table 10 CWTs exp'!$AA45," ")</f>
        <v>5.591981051113934E-2</v>
      </c>
      <c r="W45" s="158">
        <f>IF('[14]Table 10 CWTs exp'!W45/'[14]Table 10 CWTs exp'!$AA45&gt;0,'[14]Table 10 CWTs exp'!W45/'[14]Table 10 CWTs exp'!$AA45," ")</f>
        <v>7.7923861178812951E-3</v>
      </c>
      <c r="X45" s="151" t="str">
        <f>IF('[14]Table 10 CWTs exp'!X45/'[14]Table 10 CWTs exp'!$AA45&gt;0,'[14]Table 10 CWTs exp'!X45/'[14]Table 10 CWTs exp'!$AA45," ")</f>
        <v xml:space="preserve"> </v>
      </c>
      <c r="Y45" s="166">
        <f>SUM(G45:X45)</f>
        <v>1</v>
      </c>
      <c r="Z45" s="167"/>
      <c r="AA45" s="38">
        <f>'[14]Table 10 CWTs exp'!AA45</f>
        <v>29131</v>
      </c>
      <c r="AB45" s="159"/>
      <c r="AC45" s="592">
        <f>'[14]Table 10 CWTs exp'!AD45</f>
        <v>1</v>
      </c>
      <c r="AD45" s="592">
        <f t="shared" si="2"/>
        <v>0</v>
      </c>
      <c r="AE45" s="595"/>
      <c r="AF45" s="596"/>
      <c r="AG45" s="596"/>
      <c r="AH45" s="649"/>
      <c r="AI45" s="454"/>
      <c r="AJ45" s="442"/>
      <c r="AK45" s="442"/>
      <c r="AL45" s="442"/>
      <c r="AM45" s="442"/>
      <c r="AN45" s="442"/>
      <c r="AO45" s="442"/>
      <c r="AP45" s="442"/>
      <c r="AQ45" s="442"/>
      <c r="AR45" s="442"/>
      <c r="AS45" s="442"/>
      <c r="AT45" s="442"/>
      <c r="AU45" s="442"/>
      <c r="AV45" s="442"/>
      <c r="AW45" s="442"/>
      <c r="AX45" s="442"/>
      <c r="AY45" s="442"/>
    </row>
    <row r="46" spans="1:51" ht="18" customHeight="1" x14ac:dyDescent="0.3">
      <c r="E46" s="27"/>
      <c r="F46" s="88" t="s">
        <v>109</v>
      </c>
      <c r="G46" s="168">
        <f>IF('[14]Table 10 CWTs exp'!G46/'[14]Table 10 CWTs exp'!$AA46&gt;0,'[14]Table 10 CWTs exp'!G46/'[14]Table 10 CWTs exp'!$AA46," ")</f>
        <v>2.2550288753697457E-2</v>
      </c>
      <c r="H46" s="169">
        <f>IF('[14]Table 10 CWTs exp'!H46/'[14]Table 10 CWTs exp'!$AA46&gt;0,'[14]Table 10 CWTs exp'!H46/'[14]Table 10 CWTs exp'!$AA46," ")</f>
        <v>1.641301504470484E-2</v>
      </c>
      <c r="I46" s="168">
        <f>IF('[14]Table 10 CWTs exp'!I46/'[14]Table 10 CWTs exp'!$AA46&gt;0,'[14]Table 10 CWTs exp'!I46/'[14]Table 10 CWTs exp'!$AA46," ")</f>
        <v>0.26979857668909174</v>
      </c>
      <c r="J46" s="170" t="str">
        <f>IF('[14]Table 10 CWTs exp'!J46/'[14]Table 10 CWTs exp'!$AA46&gt;0,'[14]Table 10 CWTs exp'!J46/'[14]Table 10 CWTs exp'!$AA46," ")</f>
        <v xml:space="preserve"> </v>
      </c>
      <c r="K46" s="169">
        <f>IF('[14]Table 10 CWTs exp'!K46/'[14]Table 10 CWTs exp'!$AA46&gt;0,'[14]Table 10 CWTs exp'!K46/'[14]Table 10 CWTs exp'!$AA46," ")</f>
        <v>5.6154377586542265E-2</v>
      </c>
      <c r="L46" s="168">
        <f>IF('[14]Table 10 CWTs exp'!L46/'[14]Table 10 CWTs exp'!$AA46&gt;0,'[14]Table 10 CWTs exp'!L46/'[14]Table 10 CWTs exp'!$AA46," ")</f>
        <v>5.5671444573375637E-4</v>
      </c>
      <c r="M46" s="168">
        <f>IF('[14]Table 10 CWTs exp'!M46/'[14]Table 10 CWTs exp'!$AA46&gt;0,'[14]Table 10 CWTs exp'!M46/'[14]Table 10 CWTs exp'!$AA46," ")</f>
        <v>0.10664770707429791</v>
      </c>
      <c r="N46" s="170">
        <f>IF('[14]Table 10 CWTs exp'!N46/'[14]Table 10 CWTs exp'!$AA46&gt;0,'[14]Table 10 CWTs exp'!N46/'[14]Table 10 CWTs exp'!$AA46," ")</f>
        <v>1.3971520367029091E-2</v>
      </c>
      <c r="O46" s="168">
        <f>IF('[14]Table 10 CWTs exp'!O46/'[14]Table 10 CWTs exp'!$AA46&gt;0,'[14]Table 10 CWTs exp'!O46/'[14]Table 10 CWTs exp'!$AA46," ")</f>
        <v>3.1102227528523232E-2</v>
      </c>
      <c r="P46" s="170">
        <f>IF('[14]Table 10 CWTs exp'!P46/'[14]Table 10 CWTs exp'!$AA46&gt;0,'[14]Table 10 CWTs exp'!P46/'[14]Table 10 CWTs exp'!$AA46," ")</f>
        <v>6.6175237609749887E-2</v>
      </c>
      <c r="Q46" s="168">
        <f>IF('[14]Table 10 CWTs exp'!Q46/'[14]Table 10 CWTs exp'!$AA46&gt;0,'[14]Table 10 CWTs exp'!Q46/'[14]Table 10 CWTs exp'!$AA46," ")</f>
        <v>5.3659223685181335E-4</v>
      </c>
      <c r="R46" s="168">
        <f>IF('[14]Table 10 CWTs exp'!R46/'[14]Table 10 CWTs exp'!$AA46&gt;0,'[14]Table 10 CWTs exp'!R46/'[14]Table 10 CWTs exp'!$AA46," ")</f>
        <v>6.6034382147576273E-2</v>
      </c>
      <c r="S46" s="168">
        <f>IF('[14]Table 10 CWTs exp'!S46/'[14]Table 10 CWTs exp'!$AA46&gt;0,'[14]Table 10 CWTs exp'!S46/'[14]Table 10 CWTs exp'!$AA46," ")</f>
        <v>4.909818967194092E-3</v>
      </c>
      <c r="T46" s="170">
        <f>IF('[14]Table 10 CWTs exp'!T46/'[14]Table 10 CWTs exp'!$AA46&gt;0,'[14]Table 10 CWTs exp'!T46/'[14]Table 10 CWTs exp'!$AA46," ")</f>
        <v>2.452226522412787E-2</v>
      </c>
      <c r="U46" s="168">
        <f>IF('[14]Table 10 CWTs exp'!U46/'[14]Table 10 CWTs exp'!$AA46&gt;0,'[14]Table 10 CWTs exp'!U46/'[14]Table 10 CWTs exp'!$AA46," ")</f>
        <v>2.2805170066202067E-4</v>
      </c>
      <c r="V46" s="170">
        <f>IF('[14]Table 10 CWTs exp'!V46/'[14]Table 10 CWTs exp'!$AA46&gt;0,'[14]Table 10 CWTs exp'!V46/'[14]Table 10 CWTs exp'!$AA46," ")</f>
        <v>1.1409292436061681E-2</v>
      </c>
      <c r="W46" s="170">
        <f>IF('[14]Table 10 CWTs exp'!W46/'[14]Table 10 CWTs exp'!$AA46&gt;0,'[14]Table 10 CWTs exp'!W46/'[14]Table 10 CWTs exp'!$AA46," ")</f>
        <v>1.6835581431225643E-3</v>
      </c>
      <c r="X46" s="168" t="str">
        <f>IF('[14]Table 10 CWTs exp'!X46/'[14]Table 10 CWTs exp'!$AA46&gt;0,'[14]Table 10 CWTs exp'!X46/'[14]Table 10 CWTs exp'!$AA46," ")</f>
        <v xml:space="preserve"> </v>
      </c>
      <c r="Y46" s="171">
        <f t="shared" si="6"/>
        <v>0.69269362595496642</v>
      </c>
      <c r="Z46" s="172">
        <f t="shared" si="7"/>
        <v>0.30730637404503358</v>
      </c>
      <c r="AA46" s="89">
        <f>'[14]Table 10 CWTs exp'!AA46</f>
        <v>149089</v>
      </c>
      <c r="AB46" s="159"/>
      <c r="AC46" s="592">
        <f>'[14]Table 10 CWTs exp'!AD46</f>
        <v>0.69269362595496653</v>
      </c>
      <c r="AD46" s="592">
        <f t="shared" si="2"/>
        <v>0</v>
      </c>
      <c r="AE46" s="595"/>
      <c r="AF46" s="596"/>
      <c r="AG46" s="596"/>
      <c r="AH46" s="649"/>
      <c r="AI46" s="454"/>
      <c r="AJ46" s="442"/>
      <c r="AK46" s="442"/>
      <c r="AL46" s="442"/>
      <c r="AM46" s="442"/>
      <c r="AN46" s="442"/>
      <c r="AO46" s="442"/>
      <c r="AP46" s="442"/>
      <c r="AQ46" s="442"/>
      <c r="AR46" s="442"/>
      <c r="AS46" s="442"/>
      <c r="AT46" s="442"/>
      <c r="AU46" s="442"/>
      <c r="AV46" s="442"/>
      <c r="AW46" s="442"/>
      <c r="AX46" s="442"/>
      <c r="AY46" s="442"/>
    </row>
    <row r="47" spans="1:51" ht="3.75" customHeight="1" x14ac:dyDescent="0.25">
      <c r="E47" s="173"/>
      <c r="F47" s="173"/>
      <c r="G47" s="161"/>
      <c r="H47" s="162"/>
      <c r="I47" s="161"/>
      <c r="J47" s="163"/>
      <c r="K47" s="162"/>
      <c r="L47" s="161"/>
      <c r="M47" s="161"/>
      <c r="N47" s="163"/>
      <c r="O47" s="161"/>
      <c r="P47" s="163"/>
      <c r="Q47" s="161"/>
      <c r="R47" s="161"/>
      <c r="S47" s="161"/>
      <c r="T47" s="163"/>
      <c r="U47" s="161"/>
      <c r="V47" s="163"/>
      <c r="W47" s="163"/>
      <c r="X47" s="161"/>
      <c r="Y47" s="164"/>
      <c r="Z47" s="165"/>
      <c r="AA47" s="64"/>
      <c r="AB47" s="159"/>
      <c r="AC47" s="592"/>
      <c r="AD47" s="592"/>
      <c r="AE47" s="595"/>
      <c r="AF47" s="596"/>
      <c r="AG47" s="596"/>
      <c r="AH47" s="649"/>
      <c r="AI47" s="454"/>
      <c r="AJ47" s="442"/>
      <c r="AK47" s="442"/>
      <c r="AL47" s="442"/>
      <c r="AM47" s="442"/>
      <c r="AN47" s="442"/>
      <c r="AO47" s="442"/>
      <c r="AP47" s="442"/>
      <c r="AQ47" s="442"/>
      <c r="AR47" s="442"/>
      <c r="AS47" s="442"/>
      <c r="AT47" s="442"/>
      <c r="AU47" s="442"/>
      <c r="AV47" s="442"/>
      <c r="AW47" s="442"/>
      <c r="AX47" s="442"/>
      <c r="AY47" s="442"/>
    </row>
    <row r="48" spans="1:51" ht="14.25" customHeight="1" x14ac:dyDescent="0.3">
      <c r="E48" s="26" t="s">
        <v>113</v>
      </c>
      <c r="F48"/>
      <c r="G48" s="144"/>
      <c r="H48" s="145"/>
      <c r="I48" s="144"/>
      <c r="J48" s="146"/>
      <c r="K48" s="145"/>
      <c r="L48" s="144"/>
      <c r="M48" s="144"/>
      <c r="N48" s="146"/>
      <c r="O48" s="144"/>
      <c r="P48" s="146"/>
      <c r="Q48" s="144"/>
      <c r="R48" s="144"/>
      <c r="S48" s="144"/>
      <c r="T48" s="146"/>
      <c r="U48" s="144"/>
      <c r="V48" s="146"/>
      <c r="W48" s="146"/>
      <c r="X48" s="144"/>
      <c r="Y48" s="147"/>
      <c r="Z48" s="148"/>
      <c r="AA48" s="38"/>
      <c r="AC48" s="592"/>
      <c r="AD48" s="592"/>
      <c r="AE48" s="442"/>
      <c r="AF48" s="442"/>
      <c r="AG48" s="442"/>
      <c r="AH48" s="648"/>
      <c r="AI48" s="454"/>
      <c r="AJ48" s="442"/>
      <c r="AK48" s="442"/>
      <c r="AL48" s="442"/>
      <c r="AM48" s="442"/>
      <c r="AN48" s="442"/>
      <c r="AO48" s="442"/>
      <c r="AP48" s="442"/>
      <c r="AQ48" s="442"/>
      <c r="AR48" s="442"/>
      <c r="AS48" s="442"/>
      <c r="AT48" s="442"/>
      <c r="AU48" s="442"/>
      <c r="AV48" s="442"/>
      <c r="AW48" s="442"/>
      <c r="AX48" s="442"/>
      <c r="AY48" s="442"/>
    </row>
    <row r="49" spans="1:51" ht="14.25" customHeight="1" x14ac:dyDescent="0.25">
      <c r="A49" t="str">
        <f>'[14]Table 10 CWTs exp'!A49</f>
        <v>USAC463</v>
      </c>
      <c r="B49" s="4" t="str">
        <f>'[14]Table 10 CWTs exp'!B49</f>
        <v>USAC</v>
      </c>
      <c r="C49" s="4">
        <f>'[14]Table 10 CWTs exp'!C49</f>
        <v>46</v>
      </c>
      <c r="D49" s="4">
        <f>'[14]Table 10 CWTs exp'!D49</f>
        <v>3</v>
      </c>
      <c r="E49" t="str">
        <f>'[14]Table 10 CWTs exp'!E49</f>
        <v xml:space="preserve">Upper Sacramento River </v>
      </c>
      <c r="F49" s="37" t="str">
        <f>'[14]Table 10 CWTs exp'!F49</f>
        <v>Fall</v>
      </c>
      <c r="G49" s="144" t="str">
        <f>IF('[14]Table 10 CWTs exp'!G49/'[14]Table 10 CWTs exp'!$AA49&gt;0,'[14]Table 10 CWTs exp'!G49/'[14]Table 10 CWTs exp'!$AA49," ")</f>
        <v xml:space="preserve"> </v>
      </c>
      <c r="H49" s="145" t="str">
        <f>IF('[14]Table 10 CWTs exp'!H49/'[14]Table 10 CWTs exp'!$AA49&gt;0,'[14]Table 10 CWTs exp'!H49/'[14]Table 10 CWTs exp'!$AA49," ")</f>
        <v xml:space="preserve"> </v>
      </c>
      <c r="I49" s="144">
        <f>IF('[14]Table 10 CWTs exp'!I49/'[14]Table 10 CWTs exp'!$AA49&gt;0,'[14]Table 10 CWTs exp'!I49/'[14]Table 10 CWTs exp'!$AA49," ")</f>
        <v>0.45782594123561615</v>
      </c>
      <c r="J49" s="146" t="str">
        <f>IF('[14]Table 10 CWTs exp'!J49/'[14]Table 10 CWTs exp'!$AA49&gt;0,'[14]Table 10 CWTs exp'!J49/'[14]Table 10 CWTs exp'!$AA49," ")</f>
        <v xml:space="preserve"> </v>
      </c>
      <c r="K49" s="145" t="str">
        <f>IF('[14]Table 10 CWTs exp'!K49/'[14]Table 10 CWTs exp'!$AA49&gt;0,'[14]Table 10 CWTs exp'!K49/'[14]Table 10 CWTs exp'!$AA49," ")</f>
        <v xml:space="preserve"> </v>
      </c>
      <c r="L49" s="144">
        <f>IF('[14]Table 10 CWTs exp'!L49/'[14]Table 10 CWTs exp'!$AA49&gt;0,'[14]Table 10 CWTs exp'!L49/'[14]Table 10 CWTs exp'!$AA49," ")</f>
        <v>1.564071053513574E-3</v>
      </c>
      <c r="M49" s="144">
        <f>IF('[14]Table 10 CWTs exp'!M49/'[14]Table 10 CWTs exp'!$AA49&gt;0,'[14]Table 10 CWTs exp'!M49/'[14]Table 10 CWTs exp'!$AA49," ")</f>
        <v>0.10423416378058317</v>
      </c>
      <c r="N49" s="146">
        <f>IF('[14]Table 10 CWTs exp'!N49/'[14]Table 10 CWTs exp'!$AA49&gt;0,'[14]Table 10 CWTs exp'!N49/'[14]Table 10 CWTs exp'!$AA49," ")</f>
        <v>6.5914422969500612E-3</v>
      </c>
      <c r="O49" s="144" t="str">
        <f>IF('[14]Table 10 CWTs exp'!O49/'[14]Table 10 CWTs exp'!$AA49&gt;0,'[14]Table 10 CWTs exp'!O49/'[14]Table 10 CWTs exp'!$AA49," ")</f>
        <v xml:space="preserve"> </v>
      </c>
      <c r="P49" s="146" t="str">
        <f>IF('[14]Table 10 CWTs exp'!P49/'[14]Table 10 CWTs exp'!$AA49&gt;0,'[14]Table 10 CWTs exp'!P49/'[14]Table 10 CWTs exp'!$AA49," ")</f>
        <v xml:space="preserve"> </v>
      </c>
      <c r="Q49" s="144">
        <f>IF('[14]Table 10 CWTs exp'!Q49/'[14]Table 10 CWTs exp'!$AA49&gt;0,'[14]Table 10 CWTs exp'!Q49/'[14]Table 10 CWTs exp'!$AA49," ")</f>
        <v>1.6757904144788292E-3</v>
      </c>
      <c r="R49" s="144" t="str">
        <f>IF('[14]Table 10 CWTs exp'!R49/'[14]Table 10 CWTs exp'!$AA49&gt;0,'[14]Table 10 CWTs exp'!R49/'[14]Table 10 CWTs exp'!$AA49," ")</f>
        <v xml:space="preserve"> </v>
      </c>
      <c r="S49" s="144" t="str">
        <f>IF('[14]Table 10 CWTs exp'!S49/'[14]Table 10 CWTs exp'!$AA49&gt;0,'[14]Table 10 CWTs exp'!S49/'[14]Table 10 CWTs exp'!$AA49," ")</f>
        <v xml:space="preserve"> </v>
      </c>
      <c r="T49" s="146" t="str">
        <f>IF('[14]Table 10 CWTs exp'!T49/'[14]Table 10 CWTs exp'!$AA49&gt;0,'[14]Table 10 CWTs exp'!T49/'[14]Table 10 CWTs exp'!$AA49," ")</f>
        <v xml:space="preserve"> </v>
      </c>
      <c r="U49" s="144" t="str">
        <f>IF('[14]Table 10 CWTs exp'!U49/'[14]Table 10 CWTs exp'!$AA49&gt;0,'[14]Table 10 CWTs exp'!U49/'[14]Table 10 CWTs exp'!$AA49," ")</f>
        <v xml:space="preserve"> </v>
      </c>
      <c r="V49" s="146" t="str">
        <f>IF('[14]Table 10 CWTs exp'!V49/'[14]Table 10 CWTs exp'!$AA49&gt;0,'[14]Table 10 CWTs exp'!V49/'[14]Table 10 CWTs exp'!$AA49," ")</f>
        <v xml:space="preserve"> </v>
      </c>
      <c r="W49" s="146">
        <f>IF('[14]Table 10 CWTs exp'!W49/'[14]Table 10 CWTs exp'!$AA49&gt;0,'[14]Table 10 CWTs exp'!W49/'[14]Table 10 CWTs exp'!$AA49," ")</f>
        <v>3.2398614679924032E-3</v>
      </c>
      <c r="X49" s="144" t="str">
        <f>IF('[14]Table 10 CWTs exp'!X49/'[14]Table 10 CWTs exp'!$AA49&gt;0,'[14]Table 10 CWTs exp'!X49/'[14]Table 10 CWTs exp'!$AA49," ")</f>
        <v xml:space="preserve"> </v>
      </c>
      <c r="Y49" s="147">
        <f>AC49</f>
        <v>0.57499999999999996</v>
      </c>
      <c r="Z49" s="148">
        <f>1-ROUND(Y49,2)</f>
        <v>0.42000000000000004</v>
      </c>
      <c r="AA49" s="38">
        <f>'[14]Table 10 CWTs exp'!AA49</f>
        <v>8951</v>
      </c>
      <c r="AC49" s="592">
        <f>'[14]Table 10 CWTs exp'!AD49</f>
        <v>0.57499999999999996</v>
      </c>
      <c r="AD49" s="592">
        <f t="shared" si="2"/>
        <v>0</v>
      </c>
      <c r="AE49" s="593" t="str">
        <f t="shared" ref="AE49:AE54" si="8">A49</f>
        <v>USAC463</v>
      </c>
      <c r="AF49" s="442"/>
      <c r="AG49" s="442"/>
      <c r="AH49" s="648"/>
      <c r="AI49" s="454"/>
      <c r="AJ49" s="442"/>
      <c r="AK49" s="442"/>
      <c r="AL49" s="442"/>
      <c r="AM49" s="442"/>
      <c r="AN49" s="442"/>
      <c r="AO49" s="442"/>
      <c r="AP49" s="442"/>
      <c r="AQ49" s="442"/>
      <c r="AR49" s="442"/>
      <c r="AS49" s="442"/>
      <c r="AT49" s="442"/>
      <c r="AU49" s="442"/>
      <c r="AV49" s="442"/>
      <c r="AW49" s="442"/>
      <c r="AX49" s="442"/>
      <c r="AY49" s="442"/>
    </row>
    <row r="50" spans="1:51" ht="14.25" customHeight="1" x14ac:dyDescent="0.25">
      <c r="A50" t="str">
        <f>'[14]Table 10 CWTs exp'!A50</f>
        <v>LSAC463</v>
      </c>
      <c r="B50" s="4" t="str">
        <f>'[14]Table 10 CWTs exp'!B50</f>
        <v>LSAC</v>
      </c>
      <c r="C50" s="4">
        <f>'[14]Table 10 CWTs exp'!C50</f>
        <v>46</v>
      </c>
      <c r="D50" s="4">
        <f>'[14]Table 10 CWTs exp'!D50</f>
        <v>3</v>
      </c>
      <c r="E50" t="str">
        <f>'[14]Table 10 CWTs exp'!E50</f>
        <v xml:space="preserve">Lower Sacramento River </v>
      </c>
      <c r="F50" s="37" t="str">
        <f>'[14]Table 10 CWTs exp'!F50</f>
        <v>Fall</v>
      </c>
      <c r="G50" s="144" t="str">
        <f>IF('[14]Table 10 CWTs exp'!G50/'[14]Table 10 CWTs exp'!$AA50&gt;0,'[14]Table 10 CWTs exp'!G50/'[14]Table 10 CWTs exp'!$AA50," ")</f>
        <v xml:space="preserve"> </v>
      </c>
      <c r="H50" s="145">
        <f>IF('[14]Table 10 CWTs exp'!H50/'[14]Table 10 CWTs exp'!$AA50&gt;0,'[14]Table 10 CWTs exp'!H50/'[14]Table 10 CWTs exp'!$AA50," ")</f>
        <v>1.3534416086620264E-2</v>
      </c>
      <c r="I50" s="144" t="str">
        <f>IF('[14]Table 10 CWTs exp'!I50/'[14]Table 10 CWTs exp'!$AA50&gt;0,'[14]Table 10 CWTs exp'!I50/'[14]Table 10 CWTs exp'!$AA50," ")</f>
        <v xml:space="preserve"> </v>
      </c>
      <c r="J50" s="146" t="str">
        <f>IF('[14]Table 10 CWTs exp'!J50/'[14]Table 10 CWTs exp'!$AA50&gt;0,'[14]Table 10 CWTs exp'!J50/'[14]Table 10 CWTs exp'!$AA50," ")</f>
        <v xml:space="preserve"> </v>
      </c>
      <c r="K50" s="145" t="str">
        <f>IF('[14]Table 10 CWTs exp'!K50/'[14]Table 10 CWTs exp'!$AA50&gt;0,'[14]Table 10 CWTs exp'!K50/'[14]Table 10 CWTs exp'!$AA50," ")</f>
        <v xml:space="preserve"> </v>
      </c>
      <c r="L50" s="144" t="str">
        <f>IF('[14]Table 10 CWTs exp'!L50/'[14]Table 10 CWTs exp'!$AA50&gt;0,'[14]Table 10 CWTs exp'!L50/'[14]Table 10 CWTs exp'!$AA50," ")</f>
        <v xml:space="preserve"> </v>
      </c>
      <c r="M50" s="144">
        <f>IF('[14]Table 10 CWTs exp'!M50/'[14]Table 10 CWTs exp'!$AA50&gt;0,'[14]Table 10 CWTs exp'!M50/'[14]Table 10 CWTs exp'!$AA50," ")</f>
        <v>0.15931941221964424</v>
      </c>
      <c r="N50" s="146">
        <f>IF('[14]Table 10 CWTs exp'!N50/'[14]Table 10 CWTs exp'!$AA50&gt;0,'[14]Table 10 CWTs exp'!N50/'[14]Table 10 CWTs exp'!$AA50," ")</f>
        <v>5.297757153905646E-2</v>
      </c>
      <c r="O50" s="144">
        <f>IF('[14]Table 10 CWTs exp'!O50/'[14]Table 10 CWTs exp'!$AA50&gt;0,'[14]Table 10 CWTs exp'!O50/'[14]Table 10 CWTs exp'!$AA50," ")</f>
        <v>3.2869296210363497E-2</v>
      </c>
      <c r="P50" s="146">
        <f>IF('[14]Table 10 CWTs exp'!P50/'[14]Table 10 CWTs exp'!$AA50&gt;0,'[14]Table 10 CWTs exp'!P50/'[14]Table 10 CWTs exp'!$AA50," ")</f>
        <v>0.15854601701469451</v>
      </c>
      <c r="Q50" s="144" t="str">
        <f>IF('[14]Table 10 CWTs exp'!Q50/'[14]Table 10 CWTs exp'!$AA50&gt;0,'[14]Table 10 CWTs exp'!Q50/'[14]Table 10 CWTs exp'!$AA50," ")</f>
        <v xml:space="preserve"> </v>
      </c>
      <c r="R50" s="144">
        <f>IF('[14]Table 10 CWTs exp'!R50/'[14]Table 10 CWTs exp'!$AA50&gt;0,'[14]Table 10 CWTs exp'!R50/'[14]Table 10 CWTs exp'!$AA50," ")</f>
        <v>8.5460170146945083E-2</v>
      </c>
      <c r="S50" s="144">
        <f>IF('[14]Table 10 CWTs exp'!S50/'[14]Table 10 CWTs exp'!$AA50&gt;0,'[14]Table 10 CWTs exp'!S50/'[14]Table 10 CWTs exp'!$AA50," ")</f>
        <v>3.9443155452436193E-2</v>
      </c>
      <c r="T50" s="146">
        <f>IF('[14]Table 10 CWTs exp'!T50/'[14]Table 10 CWTs exp'!$AA50&gt;0,'[14]Table 10 CWTs exp'!T50/'[14]Table 10 CWTs exp'!$AA50," ")</f>
        <v>0.21036349574632637</v>
      </c>
      <c r="U50" s="144" t="str">
        <f>IF('[14]Table 10 CWTs exp'!U50/'[14]Table 10 CWTs exp'!$AA50&gt;0,'[14]Table 10 CWTs exp'!U50/'[14]Table 10 CWTs exp'!$AA50," ")</f>
        <v xml:space="preserve"> </v>
      </c>
      <c r="V50" s="146">
        <f>IF('[14]Table 10 CWTs exp'!V50/'[14]Table 10 CWTs exp'!$AA50&gt;0,'[14]Table 10 CWTs exp'!V50/'[14]Table 10 CWTs exp'!$AA50," ")</f>
        <v>5.336426914153132E-2</v>
      </c>
      <c r="W50" s="146" t="str">
        <f>IF('[14]Table 10 CWTs exp'!W50/'[14]Table 10 CWTs exp'!$AA50&gt;0,'[14]Table 10 CWTs exp'!W50/'[14]Table 10 CWTs exp'!$AA50," ")</f>
        <v xml:space="preserve"> </v>
      </c>
      <c r="X50" s="144" t="str">
        <f>IF('[14]Table 10 CWTs exp'!X50/'[14]Table 10 CWTs exp'!$AA50&gt;0,'[14]Table 10 CWTs exp'!X50/'[14]Table 10 CWTs exp'!$AA50," ")</f>
        <v xml:space="preserve"> </v>
      </c>
      <c r="Y50" s="147">
        <f t="shared" ref="Y50:Y55" si="9">SUM(G50:X50)</f>
        <v>0.80587780355761796</v>
      </c>
      <c r="Z50" s="148">
        <f t="shared" ref="Z50:Z55" si="10">1-Y50</f>
        <v>0.19412219644238204</v>
      </c>
      <c r="AA50" s="38">
        <f>'[14]Table 10 CWTs exp'!AA50</f>
        <v>2586</v>
      </c>
      <c r="AC50" s="592">
        <f>'[14]Table 10 CWTs exp'!AD50</f>
        <v>0.80600000000000005</v>
      </c>
      <c r="AD50" s="592">
        <f t="shared" si="2"/>
        <v>-1.2219644238209426E-4</v>
      </c>
      <c r="AE50" s="593" t="str">
        <f t="shared" si="8"/>
        <v>LSAC463</v>
      </c>
      <c r="AF50" s="442"/>
      <c r="AG50" s="442"/>
      <c r="AH50" s="648"/>
      <c r="AI50" s="454"/>
      <c r="AJ50" s="442"/>
      <c r="AK50" s="442"/>
      <c r="AL50" s="442"/>
      <c r="AM50" s="442"/>
      <c r="AN50" s="442"/>
      <c r="AO50" s="442"/>
      <c r="AP50" s="442"/>
      <c r="AQ50" s="442"/>
      <c r="AR50" s="442"/>
      <c r="AS50" s="442"/>
      <c r="AT50" s="442"/>
      <c r="AU50" s="442"/>
      <c r="AV50" s="442"/>
      <c r="AW50" s="442"/>
      <c r="AX50" s="442"/>
      <c r="AY50" s="442"/>
    </row>
    <row r="51" spans="1:51" ht="14.25" customHeight="1" x14ac:dyDescent="0.25">
      <c r="A51" t="str">
        <f>'[14]Table 10 CWTs exp'!A51</f>
        <v>FEA463</v>
      </c>
      <c r="B51" s="4" t="str">
        <f>'[14]Table 10 CWTs exp'!B51</f>
        <v>FEA</v>
      </c>
      <c r="C51" s="4">
        <f>'[14]Table 10 CWTs exp'!C51</f>
        <v>46</v>
      </c>
      <c r="D51" s="4">
        <f>'[14]Table 10 CWTs exp'!D51</f>
        <v>3</v>
      </c>
      <c r="E51" t="str">
        <f>'[14]Table 10 CWTs exp'!E51</f>
        <v xml:space="preserve">Feather River </v>
      </c>
      <c r="F51" s="37" t="str">
        <f>'[14]Table 10 CWTs exp'!F51</f>
        <v>Fall</v>
      </c>
      <c r="G51" s="144" t="str">
        <f>IF('[14]Table 10 CWTs exp'!G51/'[14]Table 10 CWTs exp'!$AA51&gt;0,'[14]Table 10 CWTs exp'!G51/'[14]Table 10 CWTs exp'!$AA51," ")</f>
        <v xml:space="preserve"> </v>
      </c>
      <c r="H51" s="145" t="str">
        <f>IF('[14]Table 10 CWTs exp'!H51/'[14]Table 10 CWTs exp'!$AA51&gt;0,'[14]Table 10 CWTs exp'!H51/'[14]Table 10 CWTs exp'!$AA51," ")</f>
        <v xml:space="preserve"> </v>
      </c>
      <c r="I51" s="144" t="str">
        <f>IF('[14]Table 10 CWTs exp'!I51/'[14]Table 10 CWTs exp'!$AA51&gt;0,'[14]Table 10 CWTs exp'!I51/'[14]Table 10 CWTs exp'!$AA51," ")</f>
        <v xml:space="preserve"> </v>
      </c>
      <c r="J51" s="146" t="str">
        <f>IF('[14]Table 10 CWTs exp'!J51/'[14]Table 10 CWTs exp'!$AA51&gt;0,'[14]Table 10 CWTs exp'!J51/'[14]Table 10 CWTs exp'!$AA51," ")</f>
        <v xml:space="preserve"> </v>
      </c>
      <c r="K51" s="145">
        <f>IF('[14]Table 10 CWTs exp'!K51/'[14]Table 10 CWTs exp'!$AA51&gt;0,'[14]Table 10 CWTs exp'!K51/'[14]Table 10 CWTs exp'!$AA51," ")</f>
        <v>4.7440699126092382E-2</v>
      </c>
      <c r="L51" s="144" t="str">
        <f>IF('[14]Table 10 CWTs exp'!L51/'[14]Table 10 CWTs exp'!$AA51&gt;0,'[14]Table 10 CWTs exp'!L51/'[14]Table 10 CWTs exp'!$AA51," ")</f>
        <v xml:space="preserve"> </v>
      </c>
      <c r="M51" s="144">
        <f>IF('[14]Table 10 CWTs exp'!M51/'[14]Table 10 CWTs exp'!$AA51&gt;0,'[14]Table 10 CWTs exp'!M51/'[14]Table 10 CWTs exp'!$AA51," ")</f>
        <v>0.3807740324594257</v>
      </c>
      <c r="N51" s="146" t="str">
        <f>IF('[14]Table 10 CWTs exp'!N51/'[14]Table 10 CWTs exp'!$AA51&gt;0,'[14]Table 10 CWTs exp'!N51/'[14]Table 10 CWTs exp'!$AA51," ")</f>
        <v xml:space="preserve"> </v>
      </c>
      <c r="O51" s="144" t="str">
        <f>IF('[14]Table 10 CWTs exp'!O51/'[14]Table 10 CWTs exp'!$AA51&gt;0,'[14]Table 10 CWTs exp'!O51/'[14]Table 10 CWTs exp'!$AA51," ")</f>
        <v xml:space="preserve"> </v>
      </c>
      <c r="P51" s="146" t="str">
        <f>IF('[14]Table 10 CWTs exp'!P51/'[14]Table 10 CWTs exp'!$AA51&gt;0,'[14]Table 10 CWTs exp'!P51/'[14]Table 10 CWTs exp'!$AA51," ")</f>
        <v xml:space="preserve"> </v>
      </c>
      <c r="Q51" s="144" t="str">
        <f>IF('[14]Table 10 CWTs exp'!Q51/'[14]Table 10 CWTs exp'!$AA51&gt;0,'[14]Table 10 CWTs exp'!Q51/'[14]Table 10 CWTs exp'!$AA51," ")</f>
        <v xml:space="preserve"> </v>
      </c>
      <c r="R51" s="144">
        <f>IF('[14]Table 10 CWTs exp'!R51/'[14]Table 10 CWTs exp'!$AA51&gt;0,'[14]Table 10 CWTs exp'!R51/'[14]Table 10 CWTs exp'!$AA51," ")</f>
        <v>6.3670411985018729E-2</v>
      </c>
      <c r="S51" s="144" t="str">
        <f>IF('[14]Table 10 CWTs exp'!S51/'[14]Table 10 CWTs exp'!$AA51&gt;0,'[14]Table 10 CWTs exp'!S51/'[14]Table 10 CWTs exp'!$AA51," ")</f>
        <v xml:space="preserve"> </v>
      </c>
      <c r="T51" s="146" t="str">
        <f>IF('[14]Table 10 CWTs exp'!T51/'[14]Table 10 CWTs exp'!$AA51&gt;0,'[14]Table 10 CWTs exp'!T51/'[14]Table 10 CWTs exp'!$AA51," ")</f>
        <v xml:space="preserve"> </v>
      </c>
      <c r="U51" s="144" t="str">
        <f>IF('[14]Table 10 CWTs exp'!U51/'[14]Table 10 CWTs exp'!$AA51&gt;0,'[14]Table 10 CWTs exp'!U51/'[14]Table 10 CWTs exp'!$AA51," ")</f>
        <v xml:space="preserve"> </v>
      </c>
      <c r="V51" s="146" t="str">
        <f>IF('[14]Table 10 CWTs exp'!V51/'[14]Table 10 CWTs exp'!$AA51&gt;0,'[14]Table 10 CWTs exp'!V51/'[14]Table 10 CWTs exp'!$AA51," ")</f>
        <v xml:space="preserve"> </v>
      </c>
      <c r="W51" s="146">
        <f>IF('[14]Table 10 CWTs exp'!W51/'[14]Table 10 CWTs exp'!$AA51&gt;0,'[14]Table 10 CWTs exp'!W51/'[14]Table 10 CWTs exp'!$AA51," ")</f>
        <v>1.6229712858926344E-2</v>
      </c>
      <c r="X51" s="144" t="str">
        <f>IF('[14]Table 10 CWTs exp'!X51/'[14]Table 10 CWTs exp'!$AA51&gt;0,'[14]Table 10 CWTs exp'!X51/'[14]Table 10 CWTs exp'!$AA51," ")</f>
        <v xml:space="preserve"> </v>
      </c>
      <c r="Y51" s="147">
        <f t="shared" si="9"/>
        <v>0.50811485642946319</v>
      </c>
      <c r="Z51" s="148">
        <f t="shared" si="10"/>
        <v>0.49188514357053681</v>
      </c>
      <c r="AA51" s="38">
        <f>'[14]Table 10 CWTs exp'!AA51</f>
        <v>801</v>
      </c>
      <c r="AC51" s="592">
        <f>'[14]Table 10 CWTs exp'!AD51</f>
        <v>0.50800000000000001</v>
      </c>
      <c r="AD51" s="592">
        <f t="shared" si="2"/>
        <v>1.1485642946318375E-4</v>
      </c>
      <c r="AE51" s="593" t="str">
        <f t="shared" si="8"/>
        <v>FEA463</v>
      </c>
      <c r="AF51" s="442"/>
      <c r="AG51" s="442"/>
      <c r="AH51" s="648"/>
      <c r="AI51" s="454"/>
      <c r="AJ51" s="442"/>
      <c r="AK51" s="442"/>
      <c r="AL51" s="442"/>
      <c r="AM51" s="442"/>
      <c r="AN51" s="442"/>
      <c r="AO51" s="442"/>
      <c r="AP51" s="442"/>
      <c r="AQ51" s="442"/>
      <c r="AR51" s="442"/>
      <c r="AS51" s="442"/>
      <c r="AT51" s="442"/>
      <c r="AU51" s="442"/>
      <c r="AV51" s="442"/>
      <c r="AW51" s="442"/>
      <c r="AX51" s="442"/>
      <c r="AY51" s="442"/>
    </row>
    <row r="52" spans="1:51" ht="14.25" customHeight="1" x14ac:dyDescent="0.25">
      <c r="A52" t="str">
        <f>'[14]Table 10 CWTs exp'!A52</f>
        <v>AMN463</v>
      </c>
      <c r="B52" s="4" t="str">
        <f>'[14]Table 10 CWTs exp'!B52</f>
        <v>AMN</v>
      </c>
      <c r="C52" s="4">
        <f>'[14]Table 10 CWTs exp'!C52</f>
        <v>46</v>
      </c>
      <c r="D52" s="4">
        <f>'[14]Table 10 CWTs exp'!D52</f>
        <v>3</v>
      </c>
      <c r="E52" t="str">
        <f>'[14]Table 10 CWTs exp'!E52</f>
        <v xml:space="preserve">American River </v>
      </c>
      <c r="F52" s="37" t="str">
        <f>'[14]Table 10 CWTs exp'!F52</f>
        <v>Fall</v>
      </c>
      <c r="G52" s="144" t="str">
        <f>IF('[14]Table 10 CWTs exp'!G52/'[14]Table 10 CWTs exp'!$AA52&gt;0,'[14]Table 10 CWTs exp'!G52/'[14]Table 10 CWTs exp'!$AA52," ")</f>
        <v xml:space="preserve"> </v>
      </c>
      <c r="H52" s="145" t="str">
        <f>IF('[14]Table 10 CWTs exp'!H52/'[14]Table 10 CWTs exp'!$AA52&gt;0,'[14]Table 10 CWTs exp'!H52/'[14]Table 10 CWTs exp'!$AA52," ")</f>
        <v xml:space="preserve"> </v>
      </c>
      <c r="I52" s="144" t="str">
        <f>IF('[14]Table 10 CWTs exp'!I52/'[14]Table 10 CWTs exp'!$AA52&gt;0,'[14]Table 10 CWTs exp'!I52/'[14]Table 10 CWTs exp'!$AA52," ")</f>
        <v xml:space="preserve"> </v>
      </c>
      <c r="J52" s="146" t="str">
        <f>IF('[14]Table 10 CWTs exp'!J52/'[14]Table 10 CWTs exp'!$AA52&gt;0,'[14]Table 10 CWTs exp'!J52/'[14]Table 10 CWTs exp'!$AA52," ")</f>
        <v xml:space="preserve"> </v>
      </c>
      <c r="K52" s="145" t="str">
        <f>IF('[14]Table 10 CWTs exp'!K52/'[14]Table 10 CWTs exp'!$AA52&gt;0,'[14]Table 10 CWTs exp'!K52/'[14]Table 10 CWTs exp'!$AA52," ")</f>
        <v xml:space="preserve"> </v>
      </c>
      <c r="L52" s="144" t="str">
        <f>IF('[14]Table 10 CWTs exp'!L52/'[14]Table 10 CWTs exp'!$AA52&gt;0,'[14]Table 10 CWTs exp'!L52/'[14]Table 10 CWTs exp'!$AA52," ")</f>
        <v xml:space="preserve"> </v>
      </c>
      <c r="M52" s="144" t="str">
        <f>IF('[14]Table 10 CWTs exp'!M52/'[14]Table 10 CWTs exp'!$AA52&gt;0,'[14]Table 10 CWTs exp'!M52/'[14]Table 10 CWTs exp'!$AA52," ")</f>
        <v xml:space="preserve"> </v>
      </c>
      <c r="N52" s="146">
        <f>IF('[14]Table 10 CWTs exp'!N52/'[14]Table 10 CWTs exp'!$AA52&gt;0,'[14]Table 10 CWTs exp'!N52/'[14]Table 10 CWTs exp'!$AA52," ")</f>
        <v>5.6497175141242938E-2</v>
      </c>
      <c r="O52" s="144">
        <f>IF('[14]Table 10 CWTs exp'!O52/'[14]Table 10 CWTs exp'!$AA52&gt;0,'[14]Table 10 CWTs exp'!O52/'[14]Table 10 CWTs exp'!$AA52," ")</f>
        <v>0.11173885750156937</v>
      </c>
      <c r="P52" s="146">
        <f>IF('[14]Table 10 CWTs exp'!P52/'[14]Table 10 CWTs exp'!$AA52&gt;0,'[14]Table 10 CWTs exp'!P52/'[14]Table 10 CWTs exp'!$AA52," ")</f>
        <v>0.50282485875706218</v>
      </c>
      <c r="Q52" s="144" t="str">
        <f>IF('[14]Table 10 CWTs exp'!Q52/'[14]Table 10 CWTs exp'!$AA52&gt;0,'[14]Table 10 CWTs exp'!Q52/'[14]Table 10 CWTs exp'!$AA52," ")</f>
        <v xml:space="preserve"> </v>
      </c>
      <c r="R52" s="144">
        <f>IF('[14]Table 10 CWTs exp'!R52/'[14]Table 10 CWTs exp'!$AA52&gt;0,'[14]Table 10 CWTs exp'!R52/'[14]Table 10 CWTs exp'!$AA52," ")</f>
        <v>5.5869428750784683E-2</v>
      </c>
      <c r="S52" s="144">
        <f>IF('[14]Table 10 CWTs exp'!S52/'[14]Table 10 CWTs exp'!$AA52&gt;0,'[14]Table 10 CWTs exp'!S52/'[14]Table 10 CWTs exp'!$AA52," ")</f>
        <v>1.3810420590081607E-2</v>
      </c>
      <c r="T52" s="146" t="str">
        <f>IF('[14]Table 10 CWTs exp'!T52/'[14]Table 10 CWTs exp'!$AA52&gt;0,'[14]Table 10 CWTs exp'!T52/'[14]Table 10 CWTs exp'!$AA52," ")</f>
        <v xml:space="preserve"> </v>
      </c>
      <c r="U52" s="144" t="str">
        <f>IF('[14]Table 10 CWTs exp'!U52/'[14]Table 10 CWTs exp'!$AA52&gt;0,'[14]Table 10 CWTs exp'!U52/'[14]Table 10 CWTs exp'!$AA52," ")</f>
        <v xml:space="preserve"> </v>
      </c>
      <c r="V52" s="146">
        <f>IF('[14]Table 10 CWTs exp'!V52/'[14]Table 10 CWTs exp'!$AA52&gt;0,'[14]Table 10 CWTs exp'!V52/'[14]Table 10 CWTs exp'!$AA52," ")</f>
        <v>5.6497175141242938E-2</v>
      </c>
      <c r="W52" s="146" t="str">
        <f>IF('[14]Table 10 CWTs exp'!W52/'[14]Table 10 CWTs exp'!$AA52&gt;0,'[14]Table 10 CWTs exp'!W52/'[14]Table 10 CWTs exp'!$AA52," ")</f>
        <v xml:space="preserve"> </v>
      </c>
      <c r="X52" s="144" t="str">
        <f>IF('[14]Table 10 CWTs exp'!X52/'[14]Table 10 CWTs exp'!$AA52&gt;0,'[14]Table 10 CWTs exp'!X52/'[14]Table 10 CWTs exp'!$AA52," ")</f>
        <v xml:space="preserve"> </v>
      </c>
      <c r="Y52" s="147">
        <f t="shared" si="9"/>
        <v>0.79723791588198378</v>
      </c>
      <c r="Z52" s="148">
        <f t="shared" si="10"/>
        <v>0.20276208411801622</v>
      </c>
      <c r="AA52" s="38">
        <f>'[14]Table 10 CWTs exp'!AA52</f>
        <v>1593</v>
      </c>
      <c r="AC52" s="592">
        <f>'[14]Table 10 CWTs exp'!AD52</f>
        <v>0.79700000000000004</v>
      </c>
      <c r="AD52" s="592">
        <f t="shared" si="2"/>
        <v>2.3791588198374125E-4</v>
      </c>
      <c r="AE52" s="593" t="str">
        <f t="shared" si="8"/>
        <v>AMN463</v>
      </c>
      <c r="AF52" s="442"/>
      <c r="AG52" s="442"/>
      <c r="AH52" s="648"/>
      <c r="AI52" s="454"/>
      <c r="AJ52" s="442"/>
      <c r="AK52" s="442"/>
      <c r="AL52" s="442"/>
      <c r="AM52" s="442"/>
      <c r="AN52" s="442"/>
      <c r="AO52" s="442"/>
      <c r="AP52" s="442"/>
      <c r="AQ52" s="442"/>
      <c r="AR52" s="442"/>
      <c r="AS52" s="442"/>
      <c r="AT52" s="442"/>
      <c r="AU52" s="442"/>
      <c r="AV52" s="442"/>
      <c r="AW52" s="442"/>
      <c r="AX52" s="442"/>
      <c r="AY52" s="442"/>
    </row>
    <row r="53" spans="1:51" ht="14.25" hidden="1" customHeight="1" x14ac:dyDescent="0.25">
      <c r="A53" t="str">
        <f>'[14]Table 10 CWTs exp'!A53</f>
        <v>MOKE463</v>
      </c>
      <c r="B53" s="4" t="str">
        <f>'[14]Table 10 CWTs exp'!B53</f>
        <v>MOKE</v>
      </c>
      <c r="C53" s="4">
        <f>'[14]Table 10 CWTs exp'!C53</f>
        <v>46</v>
      </c>
      <c r="D53" s="4">
        <f>'[14]Table 10 CWTs exp'!D53</f>
        <v>3</v>
      </c>
      <c r="E53" t="str">
        <f>'[14]Table 10 CWTs exp'!E53</f>
        <v>Mokelumne River</v>
      </c>
      <c r="F53" s="37" t="str">
        <f>'[14]Table 10 CWTs exp'!F53</f>
        <v>Fall</v>
      </c>
      <c r="G53" s="144" t="e">
        <f>IF('[14]Table 10 CWTs exp'!G53/'[14]Table 10 CWTs exp'!$AA53&gt;0,'[14]Table 10 CWTs exp'!G53/'[14]Table 10 CWTs exp'!$AA53," ")</f>
        <v>#DIV/0!</v>
      </c>
      <c r="H53" s="145" t="e">
        <f>IF('[14]Table 10 CWTs exp'!H53/'[14]Table 10 CWTs exp'!$AA53&gt;0,'[14]Table 10 CWTs exp'!H53/'[14]Table 10 CWTs exp'!$AA53," ")</f>
        <v>#DIV/0!</v>
      </c>
      <c r="I53" s="144" t="e">
        <f>IF('[14]Table 10 CWTs exp'!I53/'[14]Table 10 CWTs exp'!$AA53&gt;0,'[14]Table 10 CWTs exp'!I53/'[14]Table 10 CWTs exp'!$AA53," ")</f>
        <v>#DIV/0!</v>
      </c>
      <c r="J53" s="146" t="e">
        <f>IF('[14]Table 10 CWTs exp'!J53/'[14]Table 10 CWTs exp'!$AA53&gt;0,'[14]Table 10 CWTs exp'!J53/'[14]Table 10 CWTs exp'!$AA53," ")</f>
        <v>#DIV/0!</v>
      </c>
      <c r="K53" s="145" t="e">
        <f>IF('[14]Table 10 CWTs exp'!K53/'[14]Table 10 CWTs exp'!$AA53&gt;0,'[14]Table 10 CWTs exp'!K53/'[14]Table 10 CWTs exp'!$AA53," ")</f>
        <v>#DIV/0!</v>
      </c>
      <c r="L53" s="144" t="e">
        <f>IF('[14]Table 10 CWTs exp'!L53/'[14]Table 10 CWTs exp'!$AA53&gt;0,'[14]Table 10 CWTs exp'!L53/'[14]Table 10 CWTs exp'!$AA53," ")</f>
        <v>#DIV/0!</v>
      </c>
      <c r="M53" s="144" t="e">
        <f>IF('[14]Table 10 CWTs exp'!M53/'[14]Table 10 CWTs exp'!$AA53&gt;0,'[14]Table 10 CWTs exp'!M53/'[14]Table 10 CWTs exp'!$AA53," ")</f>
        <v>#DIV/0!</v>
      </c>
      <c r="N53" s="146" t="e">
        <f>IF('[14]Table 10 CWTs exp'!N53/'[14]Table 10 CWTs exp'!$AA53&gt;0,'[14]Table 10 CWTs exp'!N53/'[14]Table 10 CWTs exp'!$AA53," ")</f>
        <v>#DIV/0!</v>
      </c>
      <c r="O53" s="144" t="e">
        <f>IF('[14]Table 10 CWTs exp'!O53/'[14]Table 10 CWTs exp'!$AA53&gt;0,'[14]Table 10 CWTs exp'!O53/'[14]Table 10 CWTs exp'!$AA53," ")</f>
        <v>#DIV/0!</v>
      </c>
      <c r="P53" s="146" t="e">
        <f>IF('[14]Table 10 CWTs exp'!P53/'[14]Table 10 CWTs exp'!$AA53&gt;0,'[14]Table 10 CWTs exp'!P53/'[14]Table 10 CWTs exp'!$AA53," ")</f>
        <v>#DIV/0!</v>
      </c>
      <c r="Q53" s="144" t="e">
        <f>IF('[14]Table 10 CWTs exp'!Q53/'[14]Table 10 CWTs exp'!$AA53&gt;0,'[14]Table 10 CWTs exp'!Q53/'[14]Table 10 CWTs exp'!$AA53," ")</f>
        <v>#DIV/0!</v>
      </c>
      <c r="R53" s="144" t="e">
        <f>IF('[14]Table 10 CWTs exp'!R53/'[14]Table 10 CWTs exp'!$AA53&gt;0,'[14]Table 10 CWTs exp'!R53/'[14]Table 10 CWTs exp'!$AA53," ")</f>
        <v>#DIV/0!</v>
      </c>
      <c r="S53" s="144" t="e">
        <f>IF('[14]Table 10 CWTs exp'!S53/'[14]Table 10 CWTs exp'!$AA53&gt;0,'[14]Table 10 CWTs exp'!S53/'[14]Table 10 CWTs exp'!$AA53," ")</f>
        <v>#DIV/0!</v>
      </c>
      <c r="T53" s="146" t="e">
        <f>IF('[14]Table 10 CWTs exp'!T53/'[14]Table 10 CWTs exp'!$AA53&gt;0,'[14]Table 10 CWTs exp'!T53/'[14]Table 10 CWTs exp'!$AA53," ")</f>
        <v>#DIV/0!</v>
      </c>
      <c r="U53" s="144" t="e">
        <f>IF('[14]Table 10 CWTs exp'!U53/'[14]Table 10 CWTs exp'!$AA53&gt;0,'[14]Table 10 CWTs exp'!U53/'[14]Table 10 CWTs exp'!$AA53," ")</f>
        <v>#DIV/0!</v>
      </c>
      <c r="V53" s="146" t="e">
        <f>IF('[14]Table 10 CWTs exp'!V53/'[14]Table 10 CWTs exp'!$AA53&gt;0,'[14]Table 10 CWTs exp'!V53/'[14]Table 10 CWTs exp'!$AA53," ")</f>
        <v>#DIV/0!</v>
      </c>
      <c r="W53" s="146" t="e">
        <f>IF('[14]Table 10 CWTs exp'!W53/'[14]Table 10 CWTs exp'!$AA53&gt;0,'[14]Table 10 CWTs exp'!W53/'[14]Table 10 CWTs exp'!$AA53," ")</f>
        <v>#DIV/0!</v>
      </c>
      <c r="X53" s="144" t="e">
        <f>IF('[14]Table 10 CWTs exp'!X53/'[14]Table 10 CWTs exp'!$AA53&gt;0,'[14]Table 10 CWTs exp'!X53/'[14]Table 10 CWTs exp'!$AA53," ")</f>
        <v>#DIV/0!</v>
      </c>
      <c r="Y53" s="147" t="e">
        <f t="shared" si="9"/>
        <v>#DIV/0!</v>
      </c>
      <c r="Z53" s="148" t="e">
        <f t="shared" si="10"/>
        <v>#DIV/0!</v>
      </c>
      <c r="AA53" s="38">
        <f>'[14]Table 10 CWTs exp'!AA53</f>
        <v>0</v>
      </c>
      <c r="AC53" s="592">
        <f>'[14]Table 10 CWTs exp'!AD53</f>
        <v>0</v>
      </c>
      <c r="AD53" s="592" t="e">
        <f t="shared" si="2"/>
        <v>#DIV/0!</v>
      </c>
      <c r="AE53" s="593" t="str">
        <f t="shared" si="8"/>
        <v>MOKE463</v>
      </c>
      <c r="AF53" s="442"/>
      <c r="AG53" s="442"/>
      <c r="AH53" s="648"/>
      <c r="AI53" s="454"/>
      <c r="AJ53" s="442"/>
      <c r="AK53" s="442"/>
      <c r="AL53" s="442"/>
      <c r="AM53" s="442"/>
      <c r="AN53" s="442"/>
      <c r="AO53" s="442"/>
      <c r="AP53" s="442"/>
      <c r="AQ53" s="442"/>
      <c r="AR53" s="442"/>
      <c r="AS53" s="442"/>
      <c r="AT53" s="442"/>
      <c r="AU53" s="442"/>
      <c r="AV53" s="442"/>
      <c r="AW53" s="442"/>
      <c r="AX53" s="442"/>
      <c r="AY53" s="442"/>
    </row>
    <row r="54" spans="1:51" ht="14.25" customHeight="1" x14ac:dyDescent="0.25">
      <c r="A54" t="str">
        <f>'[14]Table 10 CWTs exp'!A54</f>
        <v>USAC467</v>
      </c>
      <c r="B54" s="4" t="str">
        <f>'[14]Table 10 CWTs exp'!B54</f>
        <v>USAC</v>
      </c>
      <c r="C54" s="4">
        <f>'[14]Table 10 CWTs exp'!C54</f>
        <v>46</v>
      </c>
      <c r="D54" s="4">
        <f>'[14]Table 10 CWTs exp'!D54</f>
        <v>7</v>
      </c>
      <c r="E54" t="str">
        <f>'[14]Table 10 CWTs exp'!E54</f>
        <v xml:space="preserve">Upper Sacramento River </v>
      </c>
      <c r="F54" s="37" t="s">
        <v>49</v>
      </c>
      <c r="G54" s="144" t="str">
        <f>IF('[14]Table 10 CWTs exp'!G54/'[14]Table 10 CWTs exp'!$AA54&gt;0,'[14]Table 10 CWTs exp'!G54/'[14]Table 10 CWTs exp'!$AA54," ")</f>
        <v xml:space="preserve"> </v>
      </c>
      <c r="H54" s="145">
        <f>IF('[14]Table 10 CWTs exp'!H54/'[14]Table 10 CWTs exp'!$AA54&gt;0,'[14]Table 10 CWTs exp'!H54/'[14]Table 10 CWTs exp'!$AA54," ")</f>
        <v>0.55311973018549743</v>
      </c>
      <c r="I54" s="144">
        <f>IF('[14]Table 10 CWTs exp'!I54/'[14]Table 10 CWTs exp'!$AA54&gt;0,'[14]Table 10 CWTs exp'!I54/'[14]Table 10 CWTs exp'!$AA54," ")</f>
        <v>1.6863406408094434E-2</v>
      </c>
      <c r="J54" s="146" t="str">
        <f>IF('[14]Table 10 CWTs exp'!J54/'[14]Table 10 CWTs exp'!$AA54&gt;0,'[14]Table 10 CWTs exp'!J54/'[14]Table 10 CWTs exp'!$AA54," ")</f>
        <v xml:space="preserve"> </v>
      </c>
      <c r="K54" s="145" t="str">
        <f>IF('[14]Table 10 CWTs exp'!K54/'[14]Table 10 CWTs exp'!$AA54&gt;0,'[14]Table 10 CWTs exp'!K54/'[14]Table 10 CWTs exp'!$AA54," ")</f>
        <v xml:space="preserve"> </v>
      </c>
      <c r="L54" s="144" t="str">
        <f>IF('[14]Table 10 CWTs exp'!L54/'[14]Table 10 CWTs exp'!$AA54&gt;0,'[14]Table 10 CWTs exp'!L54/'[14]Table 10 CWTs exp'!$AA54," ")</f>
        <v xml:space="preserve"> </v>
      </c>
      <c r="M54" s="144" t="str">
        <f>IF('[14]Table 10 CWTs exp'!M54/'[14]Table 10 CWTs exp'!$AA54&gt;0,'[14]Table 10 CWTs exp'!M54/'[14]Table 10 CWTs exp'!$AA54," ")</f>
        <v xml:space="preserve"> </v>
      </c>
      <c r="N54" s="146" t="str">
        <f>IF('[14]Table 10 CWTs exp'!N54/'[14]Table 10 CWTs exp'!$AA54&gt;0,'[14]Table 10 CWTs exp'!N54/'[14]Table 10 CWTs exp'!$AA54," ")</f>
        <v xml:space="preserve"> </v>
      </c>
      <c r="O54" s="144" t="str">
        <f>IF('[14]Table 10 CWTs exp'!O54/'[14]Table 10 CWTs exp'!$AA54&gt;0,'[14]Table 10 CWTs exp'!O54/'[14]Table 10 CWTs exp'!$AA54," ")</f>
        <v xml:space="preserve"> </v>
      </c>
      <c r="P54" s="146">
        <f>IF('[14]Table 10 CWTs exp'!P54/'[14]Table 10 CWTs exp'!$AA54&gt;0,'[14]Table 10 CWTs exp'!P54/'[14]Table 10 CWTs exp'!$AA54," ")</f>
        <v>6.5767284991568295E-2</v>
      </c>
      <c r="Q54" s="144" t="str">
        <f>IF('[14]Table 10 CWTs exp'!Q54/'[14]Table 10 CWTs exp'!$AA54&gt;0,'[14]Table 10 CWTs exp'!Q54/'[14]Table 10 CWTs exp'!$AA54," ")</f>
        <v xml:space="preserve"> </v>
      </c>
      <c r="R54" s="144" t="str">
        <f>IF('[14]Table 10 CWTs exp'!R54/'[14]Table 10 CWTs exp'!$AA54&gt;0,'[14]Table 10 CWTs exp'!R54/'[14]Table 10 CWTs exp'!$AA54," ")</f>
        <v xml:space="preserve"> </v>
      </c>
      <c r="S54" s="144" t="str">
        <f>IF('[14]Table 10 CWTs exp'!S54/'[14]Table 10 CWTs exp'!$AA54&gt;0,'[14]Table 10 CWTs exp'!S54/'[14]Table 10 CWTs exp'!$AA54," ")</f>
        <v xml:space="preserve"> </v>
      </c>
      <c r="T54" s="146">
        <f>IF('[14]Table 10 CWTs exp'!T54/'[14]Table 10 CWTs exp'!$AA54&gt;0,'[14]Table 10 CWTs exp'!T54/'[14]Table 10 CWTs exp'!$AA54," ")</f>
        <v>6.5767284991568295E-2</v>
      </c>
      <c r="U54" s="144" t="str">
        <f>IF('[14]Table 10 CWTs exp'!U54/'[14]Table 10 CWTs exp'!$AA54&gt;0,'[14]Table 10 CWTs exp'!U54/'[14]Table 10 CWTs exp'!$AA54," ")</f>
        <v xml:space="preserve"> </v>
      </c>
      <c r="V54" s="146" t="str">
        <f>IF('[14]Table 10 CWTs exp'!V54/'[14]Table 10 CWTs exp'!$AA54&gt;0,'[14]Table 10 CWTs exp'!V54/'[14]Table 10 CWTs exp'!$AA54," ")</f>
        <v xml:space="preserve"> </v>
      </c>
      <c r="W54" s="146" t="str">
        <f>IF('[14]Table 10 CWTs exp'!W54/'[14]Table 10 CWTs exp'!$AA54&gt;0,'[14]Table 10 CWTs exp'!W54/'[14]Table 10 CWTs exp'!$AA54," ")</f>
        <v xml:space="preserve"> </v>
      </c>
      <c r="X54" s="144" t="str">
        <f>IF('[14]Table 10 CWTs exp'!X54/'[14]Table 10 CWTs exp'!$AA54&gt;0,'[14]Table 10 CWTs exp'!X54/'[14]Table 10 CWTs exp'!$AA54," ")</f>
        <v xml:space="preserve"> </v>
      </c>
      <c r="Y54" s="147">
        <f t="shared" si="9"/>
        <v>0.70151770657672841</v>
      </c>
      <c r="Z54" s="148">
        <f t="shared" si="10"/>
        <v>0.29848229342327159</v>
      </c>
      <c r="AA54" s="38">
        <f>'[14]Table 10 CWTs exp'!AA54</f>
        <v>593</v>
      </c>
      <c r="AC54" s="592">
        <f>'[14]Table 10 CWTs exp'!AD54</f>
        <v>0.70199999999999996</v>
      </c>
      <c r="AD54" s="592">
        <f t="shared" si="2"/>
        <v>-4.8229342327155145E-4</v>
      </c>
      <c r="AE54" s="593" t="str">
        <f t="shared" si="8"/>
        <v>USAC467</v>
      </c>
      <c r="AF54" s="442"/>
      <c r="AG54" s="442"/>
      <c r="AH54" s="648"/>
      <c r="AI54" s="454"/>
      <c r="AJ54" s="442"/>
      <c r="AK54" s="442"/>
      <c r="AL54" s="442"/>
      <c r="AM54" s="442"/>
      <c r="AN54" s="442"/>
      <c r="AO54" s="442"/>
      <c r="AP54" s="442"/>
      <c r="AQ54" s="442"/>
      <c r="AR54" s="442"/>
      <c r="AS54" s="442"/>
      <c r="AT54" s="442"/>
      <c r="AU54" s="442"/>
      <c r="AV54" s="442"/>
      <c r="AW54" s="442"/>
      <c r="AX54" s="442"/>
      <c r="AY54" s="442"/>
    </row>
    <row r="55" spans="1:51" ht="15.65" customHeight="1" x14ac:dyDescent="0.3">
      <c r="E55" s="716" t="s">
        <v>120</v>
      </c>
      <c r="F55" s="716"/>
      <c r="G55" s="168" t="str">
        <f>IF('[14]Table 10 CWTs exp'!G55/'[14]Table 10 CWTs exp'!$AA55&gt;0,'[14]Table 10 CWTs exp'!G55/'[14]Table 10 CWTs exp'!$AA55," ")</f>
        <v xml:space="preserve"> </v>
      </c>
      <c r="H55" s="169">
        <f>IF('[14]Table 10 CWTs exp'!H55/'[14]Table 10 CWTs exp'!$AA55&gt;0,'[14]Table 10 CWTs exp'!H55/'[14]Table 10 CWTs exp'!$AA55," ")</f>
        <v>2.4993114844395484E-2</v>
      </c>
      <c r="I55" s="168">
        <f>IF('[14]Table 10 CWTs exp'!I55/'[14]Table 10 CWTs exp'!$AA55&gt;0,'[14]Table 10 CWTs exp'!I55/'[14]Table 10 CWTs exp'!$AA55," ")</f>
        <v>0.28284219223354445</v>
      </c>
      <c r="J55" s="170" t="str">
        <f>IF('[14]Table 10 CWTs exp'!J55/'[14]Table 10 CWTs exp'!$AA55&gt;0,'[14]Table 10 CWTs exp'!J55/'[14]Table 10 CWTs exp'!$AA55," ")</f>
        <v xml:space="preserve"> </v>
      </c>
      <c r="K55" s="169">
        <f>IF('[14]Table 10 CWTs exp'!K55/'[14]Table 10 CWTs exp'!$AA55&gt;0,'[14]Table 10 CWTs exp'!K55/'[14]Table 10 CWTs exp'!$AA55," ")</f>
        <v>2.6163591297163314E-3</v>
      </c>
      <c r="L55" s="168">
        <f>IF('[14]Table 10 CWTs exp'!L55/'[14]Table 10 CWTs exp'!$AA55&gt;0,'[14]Table 10 CWTs exp'!L55/'[14]Table 10 CWTs exp'!$AA55," ")</f>
        <v>9.639217846323327E-4</v>
      </c>
      <c r="M55" s="168">
        <f>IF('[14]Table 10 CWTs exp'!M55/'[14]Table 10 CWTs exp'!$AA55&gt;0,'[14]Table 10 CWTs exp'!M55/'[14]Table 10 CWTs exp'!$AA55," ")</f>
        <v>0.11360506747452492</v>
      </c>
      <c r="N55" s="170">
        <f>IF('[14]Table 10 CWTs exp'!N55/'[14]Table 10 CWTs exp'!$AA55&gt;0,'[14]Table 10 CWTs exp'!N55/'[14]Table 10 CWTs exp'!$AA55," ")</f>
        <v>1.9691545028917654E-2</v>
      </c>
      <c r="O55" s="168">
        <f>IF('[14]Table 10 CWTs exp'!O55/'[14]Table 10 CWTs exp'!$AA55&gt;0,'[14]Table 10 CWTs exp'!O55/'[14]Table 10 CWTs exp'!$AA55," ")</f>
        <v>1.8107959239878822E-2</v>
      </c>
      <c r="P55" s="170">
        <f>IF('[14]Table 10 CWTs exp'!P55/'[14]Table 10 CWTs exp'!$AA55&gt;0,'[14]Table 10 CWTs exp'!P55/'[14]Table 10 CWTs exp'!$AA55," ")</f>
        <v>8.6064445056458272E-2</v>
      </c>
      <c r="Q55" s="168">
        <f>IF('[14]Table 10 CWTs exp'!Q55/'[14]Table 10 CWTs exp'!$AA55&gt;0,'[14]Table 10 CWTs exp'!Q55/'[14]Table 10 CWTs exp'!$AA55," ")</f>
        <v>1.0327733406774993E-3</v>
      </c>
      <c r="R55" s="168">
        <f>IF('[14]Table 10 CWTs exp'!R55/'[14]Table 10 CWTs exp'!$AA55&gt;0,'[14]Table 10 CWTs exp'!R55/'[14]Table 10 CWTs exp'!$AA55," ")</f>
        <v>2.4855411732305151E-2</v>
      </c>
      <c r="S55" s="168">
        <f>IF('[14]Table 10 CWTs exp'!S55/'[14]Table 10 CWTs exp'!$AA55&gt;0,'[14]Table 10 CWTs exp'!S55/'[14]Table 10 CWTs exp'!$AA55," ")</f>
        <v>8.5375929496006604E-3</v>
      </c>
      <c r="T55" s="170">
        <f>IF('[14]Table 10 CWTs exp'!T55/'[14]Table 10 CWTs exp'!$AA55&gt;0,'[14]Table 10 CWTs exp'!T55/'[14]Table 10 CWTs exp'!$AA55," ")</f>
        <v>4.0140457174332136E-2</v>
      </c>
      <c r="U55" s="168" t="str">
        <f>IF('[14]Table 10 CWTs exp'!U55/'[14]Table 10 CWTs exp'!$AA55&gt;0,'[14]Table 10 CWTs exp'!U55/'[14]Table 10 CWTs exp'!$AA55," ")</f>
        <v xml:space="preserve"> </v>
      </c>
      <c r="V55" s="170">
        <f>IF('[14]Table 10 CWTs exp'!V55/'[14]Table 10 CWTs exp'!$AA55&gt;0,'[14]Table 10 CWTs exp'!V55/'[14]Table 10 CWTs exp'!$AA55," ")</f>
        <v>1.5698154778297991E-2</v>
      </c>
      <c r="W55" s="170">
        <f>IF('[14]Table 10 CWTs exp'!W55/'[14]Table 10 CWTs exp'!$AA55&gt;0,'[14]Table 10 CWTs exp'!W55/'[14]Table 10 CWTs exp'!$AA55," ")</f>
        <v>2.8917653538969982E-3</v>
      </c>
      <c r="X55" s="168" t="str">
        <f>IF('[14]Table 10 CWTs exp'!X55/'[14]Table 10 CWTs exp'!$AA55&gt;0,'[14]Table 10 CWTs exp'!X55/'[14]Table 10 CWTs exp'!$AA55," ")</f>
        <v xml:space="preserve"> </v>
      </c>
      <c r="Y55" s="171">
        <f t="shared" si="9"/>
        <v>0.64204076012117872</v>
      </c>
      <c r="Z55" s="172">
        <f t="shared" si="10"/>
        <v>0.35795923987882128</v>
      </c>
      <c r="AA55" s="89">
        <f>'[14]Table 10 CWTs exp'!AA55</f>
        <v>14524</v>
      </c>
      <c r="AB55" s="159"/>
      <c r="AC55" s="592">
        <f>'[14]Table 10 CWTs exp'!AD55</f>
        <v>0.64204076012117872</v>
      </c>
      <c r="AD55" s="592">
        <f t="shared" si="2"/>
        <v>0</v>
      </c>
      <c r="AE55" s="442"/>
      <c r="AF55" s="442"/>
      <c r="AG55" s="442"/>
      <c r="AH55" s="648"/>
      <c r="AI55" s="454"/>
      <c r="AJ55" s="442"/>
      <c r="AK55" s="442"/>
      <c r="AL55" s="442"/>
      <c r="AM55" s="442"/>
      <c r="AN55" s="442"/>
      <c r="AO55" s="442"/>
      <c r="AP55" s="442"/>
      <c r="AQ55" s="442"/>
      <c r="AR55" s="442"/>
      <c r="AS55" s="442"/>
      <c r="AT55" s="442"/>
      <c r="AU55" s="442"/>
      <c r="AV55" s="442"/>
      <c r="AW55" s="442"/>
      <c r="AX55" s="442"/>
      <c r="AY55" s="442"/>
    </row>
    <row r="56" spans="1:51" ht="4" customHeight="1" x14ac:dyDescent="0.25">
      <c r="E56" s="110"/>
      <c r="F56" s="111"/>
      <c r="G56" s="25"/>
      <c r="H56" s="174"/>
      <c r="I56" s="175"/>
      <c r="J56" s="176"/>
      <c r="K56" s="174"/>
      <c r="L56" s="175"/>
      <c r="M56" s="175"/>
      <c r="N56" s="176"/>
      <c r="O56" s="175"/>
      <c r="P56" s="176"/>
      <c r="Q56" s="175"/>
      <c r="R56" s="175"/>
      <c r="S56" s="175"/>
      <c r="T56" s="176"/>
      <c r="U56" s="175"/>
      <c r="V56" s="176"/>
      <c r="W56" s="176"/>
      <c r="X56" s="175"/>
      <c r="Y56" s="177"/>
      <c r="Z56" s="178"/>
      <c r="AA56" s="179"/>
      <c r="AC56" s="442"/>
      <c r="AD56" s="453"/>
      <c r="AE56" s="442"/>
      <c r="AF56" s="442"/>
      <c r="AG56" s="442"/>
      <c r="AH56" s="442"/>
      <c r="AI56" s="442"/>
      <c r="AJ56" s="442"/>
      <c r="AK56" s="442"/>
      <c r="AL56" s="442"/>
      <c r="AM56" s="442"/>
      <c r="AN56" s="442"/>
      <c r="AO56" s="442"/>
      <c r="AP56" s="442"/>
      <c r="AQ56" s="442"/>
      <c r="AR56" s="442"/>
      <c r="AS56" s="442"/>
      <c r="AT56" s="442"/>
      <c r="AU56" s="442"/>
      <c r="AV56" s="442"/>
      <c r="AW56" s="442"/>
      <c r="AX56" s="442"/>
      <c r="AY56" s="442"/>
    </row>
    <row r="57" spans="1:51" ht="14.25" customHeight="1" x14ac:dyDescent="0.25">
      <c r="E57" s="181" t="s">
        <v>139</v>
      </c>
      <c r="F57" s="181"/>
      <c r="G57" s="181"/>
      <c r="H57" s="181"/>
      <c r="I57" s="181"/>
      <c r="J57" s="181"/>
      <c r="K57" s="181"/>
      <c r="L57" s="181"/>
      <c r="M57" s="181"/>
      <c r="N57" s="181"/>
      <c r="O57" s="181"/>
      <c r="P57" s="182"/>
      <c r="Q57" s="182"/>
      <c r="R57" s="182"/>
      <c r="S57" s="182"/>
      <c r="T57" s="182"/>
      <c r="U57" s="182"/>
      <c r="V57" s="182"/>
      <c r="W57" s="181"/>
      <c r="X57" s="181"/>
      <c r="Y57" s="181"/>
      <c r="Z57" s="181"/>
      <c r="AA57" s="181"/>
      <c r="AC57" s="442"/>
      <c r="AD57" s="442"/>
      <c r="AE57" s="442"/>
      <c r="AF57" s="442"/>
      <c r="AG57" s="442"/>
      <c r="AH57" s="442"/>
      <c r="AI57" s="442"/>
      <c r="AJ57" s="442"/>
      <c r="AK57" s="442"/>
      <c r="AL57" s="442"/>
      <c r="AM57" s="442"/>
      <c r="AN57" s="442"/>
      <c r="AO57" s="442"/>
      <c r="AP57" s="442"/>
      <c r="AQ57" s="442"/>
      <c r="AR57" s="442"/>
      <c r="AS57" s="442"/>
      <c r="AT57" s="442"/>
      <c r="AU57" s="442"/>
      <c r="AV57" s="442"/>
      <c r="AW57" s="442"/>
      <c r="AX57" s="442"/>
      <c r="AY57" s="442"/>
    </row>
    <row r="58" spans="1:51" ht="24.75" customHeight="1" x14ac:dyDescent="0.25">
      <c r="E58" s="750" t="s">
        <v>140</v>
      </c>
      <c r="F58" s="750"/>
      <c r="G58" s="750"/>
      <c r="H58" s="750"/>
      <c r="I58" s="750"/>
      <c r="J58" s="750"/>
      <c r="K58" s="750"/>
      <c r="L58" s="750"/>
      <c r="M58" s="750"/>
      <c r="N58" s="750"/>
      <c r="O58" s="750"/>
      <c r="P58" s="750"/>
      <c r="Q58" s="750"/>
      <c r="R58" s="750"/>
      <c r="S58" s="750"/>
      <c r="T58" s="750"/>
      <c r="U58" s="750"/>
      <c r="V58" s="750"/>
      <c r="W58" s="750"/>
      <c r="X58" s="750"/>
      <c r="Y58" s="750"/>
      <c r="Z58" s="750"/>
      <c r="AA58" s="750"/>
      <c r="AB58" s="750"/>
      <c r="AC58" s="442"/>
      <c r="AD58" s="442"/>
      <c r="AE58" s="442"/>
      <c r="AF58" s="442"/>
      <c r="AG58" s="442"/>
      <c r="AH58" s="442"/>
      <c r="AI58" s="442"/>
      <c r="AJ58" s="442"/>
      <c r="AK58" s="442"/>
      <c r="AL58" s="442"/>
      <c r="AM58" s="442"/>
      <c r="AN58" s="442"/>
      <c r="AO58" s="442"/>
      <c r="AP58" s="442"/>
      <c r="AQ58" s="442"/>
      <c r="AR58" s="442"/>
      <c r="AS58" s="442"/>
      <c r="AT58" s="442"/>
      <c r="AU58" s="442"/>
      <c r="AV58" s="442"/>
      <c r="AW58" s="442"/>
      <c r="AX58" s="442"/>
      <c r="AY58" s="442"/>
    </row>
    <row r="59" spans="1:51" ht="14.25" customHeight="1" x14ac:dyDescent="0.25">
      <c r="E59" s="27" t="s">
        <v>141</v>
      </c>
      <c r="F59" s="27"/>
      <c r="G59" s="27"/>
      <c r="H59" s="27"/>
      <c r="I59" s="27"/>
      <c r="J59" s="27"/>
      <c r="K59" s="27"/>
      <c r="L59" s="27"/>
      <c r="M59" s="27"/>
      <c r="N59" s="27"/>
      <c r="O59" s="27"/>
      <c r="P59" s="27"/>
      <c r="Q59" s="182"/>
      <c r="R59" s="182"/>
      <c r="S59" s="182"/>
      <c r="T59" s="182"/>
      <c r="U59" s="182"/>
      <c r="V59" s="182"/>
      <c r="W59" s="182"/>
      <c r="X59" s="182"/>
      <c r="Y59" s="182"/>
      <c r="Z59" s="182"/>
      <c r="AA59" s="182"/>
      <c r="AC59" s="442"/>
      <c r="AD59" s="442"/>
      <c r="AE59" s="442"/>
      <c r="AF59" s="442"/>
      <c r="AG59" s="442"/>
      <c r="AH59" s="442"/>
      <c r="AI59" s="442"/>
      <c r="AJ59" s="442"/>
      <c r="AK59" s="442"/>
      <c r="AL59" s="442"/>
      <c r="AM59" s="442"/>
      <c r="AN59" s="442"/>
      <c r="AO59" s="442"/>
      <c r="AP59" s="442"/>
      <c r="AQ59" s="442"/>
      <c r="AR59" s="442"/>
      <c r="AS59" s="442"/>
      <c r="AT59" s="442"/>
      <c r="AU59" s="442"/>
      <c r="AV59" s="442"/>
      <c r="AW59" s="442"/>
      <c r="AX59" s="442"/>
      <c r="AY59" s="442"/>
    </row>
    <row r="60" spans="1:51" hidden="1" x14ac:dyDescent="0.25">
      <c r="E60" s="183" t="s">
        <v>142</v>
      </c>
      <c r="F60" s="183"/>
      <c r="G60" s="183"/>
      <c r="H60" s="183"/>
      <c r="I60" s="183"/>
      <c r="J60" s="183"/>
      <c r="K60" s="183"/>
      <c r="L60" s="183"/>
      <c r="M60" s="183"/>
      <c r="N60" s="183"/>
      <c r="O60" s="183"/>
      <c r="P60" s="183"/>
      <c r="Q60" s="183"/>
      <c r="R60" s="183"/>
      <c r="S60" s="183"/>
      <c r="T60" s="183"/>
      <c r="U60" s="183"/>
      <c r="V60" s="183"/>
      <c r="W60" s="183"/>
      <c r="X60" s="183"/>
      <c r="Y60" s="183"/>
      <c r="Z60" s="183"/>
      <c r="AA60" s="183"/>
      <c r="AC60" s="442"/>
      <c r="AD60" s="442"/>
      <c r="AE60" s="442"/>
      <c r="AF60" s="442"/>
      <c r="AG60" s="442"/>
      <c r="AH60" s="442"/>
      <c r="AI60" s="442"/>
      <c r="AJ60" s="442"/>
      <c r="AK60" s="442"/>
      <c r="AL60" s="442"/>
      <c r="AM60" s="442"/>
      <c r="AN60" s="442"/>
      <c r="AO60" s="442"/>
      <c r="AP60" s="442"/>
      <c r="AQ60" s="442"/>
      <c r="AR60" s="442"/>
      <c r="AS60" s="442"/>
      <c r="AT60" s="442"/>
      <c r="AU60" s="442"/>
      <c r="AV60" s="442"/>
      <c r="AW60" s="442"/>
      <c r="AX60" s="442"/>
      <c r="AY60" s="442"/>
    </row>
    <row r="61" spans="1:51" ht="14.25" customHeight="1" x14ac:dyDescent="0.25">
      <c r="E61" s="27" t="s">
        <v>143</v>
      </c>
      <c r="F61" s="34"/>
      <c r="G61" s="34"/>
      <c r="H61" s="27"/>
      <c r="I61" s="27"/>
      <c r="J61" s="27"/>
      <c r="K61" s="27"/>
      <c r="L61" s="27"/>
      <c r="M61" s="27"/>
      <c r="N61" s="27"/>
      <c r="O61" s="27"/>
      <c r="P61" s="27"/>
      <c r="Q61" s="27"/>
      <c r="R61" s="27"/>
      <c r="S61" s="27"/>
      <c r="T61" s="27"/>
      <c r="U61" s="27"/>
      <c r="V61" s="27"/>
      <c r="W61" s="27"/>
      <c r="X61" s="27"/>
      <c r="Y61" s="27"/>
      <c r="Z61" s="27"/>
      <c r="AA61" s="27"/>
      <c r="AC61" s="442"/>
      <c r="AD61" s="442"/>
      <c r="AE61" s="442"/>
      <c r="AF61" s="442"/>
      <c r="AG61" s="442"/>
      <c r="AH61" s="442"/>
      <c r="AI61" s="442"/>
      <c r="AJ61" s="442"/>
      <c r="AK61" s="442"/>
      <c r="AL61" s="442"/>
      <c r="AM61" s="442"/>
      <c r="AN61" s="442"/>
      <c r="AO61" s="442"/>
      <c r="AP61" s="442"/>
      <c r="AQ61" s="442"/>
      <c r="AR61" s="442"/>
      <c r="AS61" s="442"/>
      <c r="AT61" s="442"/>
      <c r="AU61" s="442"/>
      <c r="AV61" s="442"/>
      <c r="AW61" s="442"/>
      <c r="AX61" s="442"/>
      <c r="AY61" s="442"/>
    </row>
    <row r="62" spans="1:51" ht="14.25" customHeight="1" x14ac:dyDescent="0.25">
      <c r="E62" s="27" t="s">
        <v>144</v>
      </c>
      <c r="AC62" s="442"/>
      <c r="AD62" s="442"/>
      <c r="AE62" s="442"/>
      <c r="AF62" s="442"/>
      <c r="AG62" s="442"/>
      <c r="AH62" s="442"/>
      <c r="AI62" s="442"/>
      <c r="AJ62" s="442"/>
      <c r="AK62" s="442"/>
      <c r="AL62" s="442"/>
      <c r="AM62" s="442"/>
      <c r="AN62" s="442"/>
      <c r="AO62" s="442"/>
      <c r="AP62" s="442"/>
      <c r="AQ62" s="442"/>
      <c r="AR62" s="442"/>
      <c r="AS62" s="442"/>
      <c r="AT62" s="442"/>
      <c r="AU62" s="442"/>
      <c r="AV62" s="442"/>
      <c r="AW62" s="442"/>
      <c r="AX62" s="442"/>
      <c r="AY62" s="442"/>
    </row>
    <row r="63" spans="1:51" x14ac:dyDescent="0.25">
      <c r="AC63" s="442"/>
      <c r="AD63" s="442"/>
      <c r="AE63" s="442"/>
      <c r="AF63" s="442"/>
      <c r="AG63" s="442"/>
      <c r="AH63" s="442"/>
      <c r="AI63" s="442"/>
      <c r="AJ63" s="442"/>
      <c r="AK63" s="442"/>
      <c r="AL63" s="442"/>
      <c r="AM63" s="442"/>
      <c r="AN63" s="442"/>
      <c r="AO63" s="442"/>
      <c r="AP63" s="442"/>
      <c r="AQ63" s="442"/>
      <c r="AR63" s="442"/>
      <c r="AS63" s="442"/>
      <c r="AT63" s="442"/>
      <c r="AU63" s="442"/>
      <c r="AV63" s="442"/>
      <c r="AW63" s="442"/>
      <c r="AX63" s="442"/>
      <c r="AY63" s="442"/>
    </row>
    <row r="64" spans="1:51" x14ac:dyDescent="0.25">
      <c r="AC64" s="442"/>
      <c r="AD64" s="442"/>
      <c r="AE64" s="442"/>
      <c r="AF64" s="442"/>
      <c r="AG64" s="442"/>
      <c r="AH64" s="442"/>
      <c r="AI64" s="442"/>
      <c r="AJ64" s="442"/>
      <c r="AK64" s="442"/>
      <c r="AL64" s="442"/>
      <c r="AM64" s="442"/>
      <c r="AN64" s="442"/>
      <c r="AO64" s="442"/>
      <c r="AP64" s="442"/>
      <c r="AQ64" s="442"/>
      <c r="AR64" s="442"/>
      <c r="AS64" s="442"/>
      <c r="AT64" s="442"/>
      <c r="AU64" s="442"/>
      <c r="AV64" s="442"/>
      <c r="AW64" s="442"/>
      <c r="AX64" s="442"/>
      <c r="AY64" s="442"/>
    </row>
    <row r="65" spans="5:51" x14ac:dyDescent="0.25">
      <c r="AC65" s="442"/>
      <c r="AD65" s="442"/>
      <c r="AE65" s="442"/>
      <c r="AF65" s="442"/>
      <c r="AG65" s="442"/>
      <c r="AH65" s="442"/>
      <c r="AI65" s="442"/>
      <c r="AJ65" s="442"/>
      <c r="AK65" s="442"/>
      <c r="AL65" s="442"/>
      <c r="AM65" s="442"/>
      <c r="AN65" s="442"/>
      <c r="AO65" s="442"/>
      <c r="AP65" s="442"/>
      <c r="AQ65" s="442"/>
      <c r="AR65" s="442"/>
      <c r="AS65" s="442"/>
      <c r="AT65" s="442"/>
      <c r="AU65" s="442"/>
      <c r="AV65" s="442"/>
      <c r="AW65" s="442"/>
      <c r="AX65" s="442"/>
      <c r="AY65" s="442"/>
    </row>
    <row r="66" spans="5:51" x14ac:dyDescent="0.25">
      <c r="AC66" s="442"/>
      <c r="AD66" s="442"/>
      <c r="AE66" s="442"/>
      <c r="AF66" s="442"/>
      <c r="AG66" s="442"/>
      <c r="AH66" s="442"/>
      <c r="AI66" s="442"/>
      <c r="AJ66" s="442"/>
      <c r="AK66" s="442"/>
      <c r="AL66" s="442"/>
      <c r="AM66" s="442"/>
      <c r="AN66" s="442"/>
      <c r="AO66" s="442"/>
      <c r="AP66" s="442"/>
      <c r="AQ66" s="442"/>
      <c r="AR66" s="442"/>
      <c r="AS66" s="442"/>
      <c r="AT66" s="442"/>
      <c r="AU66" s="442"/>
      <c r="AV66" s="442"/>
      <c r="AW66" s="442"/>
      <c r="AX66" s="442"/>
      <c r="AY66" s="442"/>
    </row>
    <row r="68" spans="5:51" x14ac:dyDescent="0.25">
      <c r="E68" s="128" t="s">
        <v>145</v>
      </c>
      <c r="F68" s="184"/>
      <c r="G68" s="184"/>
      <c r="H68" s="185"/>
      <c r="I68" s="185"/>
      <c r="J68" s="185"/>
      <c r="K68" s="185"/>
      <c r="L68" s="185"/>
      <c r="M68" s="185"/>
      <c r="N68" s="185"/>
    </row>
  </sheetData>
  <mergeCells count="12">
    <mergeCell ref="AF31:AJ32"/>
    <mergeCell ref="E42:F42"/>
    <mergeCell ref="E55:F55"/>
    <mergeCell ref="E58:AB58"/>
    <mergeCell ref="H3:J3"/>
    <mergeCell ref="K3:N3"/>
    <mergeCell ref="O3:P3"/>
    <mergeCell ref="Q3:T3"/>
    <mergeCell ref="U3:V3"/>
    <mergeCell ref="X3:X4"/>
    <mergeCell ref="Y3:Z3"/>
    <mergeCell ref="E18:F18"/>
  </mergeCells>
  <pageMargins left="0.5" right="0.25" top="0.5" bottom="0" header="0.5" footer="0.5"/>
  <pageSetup scale="55" fitToHeight="0" orientation="landscape"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6534E-33E6-4218-82B4-171DBB8B3A8B}">
  <sheetPr>
    <pageSetUpPr fitToPage="1"/>
  </sheetPr>
  <dimension ref="A1:BI112"/>
  <sheetViews>
    <sheetView showGridLines="0" showZeros="0" zoomScaleNormal="100" zoomScaleSheetLayoutView="100" workbookViewId="0">
      <selection activeCell="AI84" sqref="AI84"/>
    </sheetView>
  </sheetViews>
  <sheetFormatPr defaultRowHeight="12.5" x14ac:dyDescent="0.25"/>
  <cols>
    <col min="1" max="1" width="8" customWidth="1"/>
    <col min="2" max="2" width="6" style="1" bestFit="1" customWidth="1"/>
    <col min="3" max="3" width="3.81640625" style="1" customWidth="1"/>
    <col min="4" max="4" width="3.1796875" style="1" customWidth="1"/>
    <col min="5" max="5" width="28.7265625" customWidth="1"/>
    <col min="6" max="6" width="7.54296875" customWidth="1"/>
    <col min="7" max="7" width="7.1796875" style="4" customWidth="1"/>
    <col min="8" max="9" width="7.1796875" customWidth="1"/>
    <col min="10" max="10" width="7.1796875" hidden="1" customWidth="1"/>
    <col min="11" max="18" width="7.1796875" customWidth="1"/>
    <col min="19" max="20" width="7.54296875" customWidth="1"/>
    <col min="21" max="23" width="7.1796875" customWidth="1"/>
    <col min="24" max="24" width="6.26953125" customWidth="1"/>
    <col min="25" max="25" width="9" customWidth="1"/>
    <col min="26" max="29" width="8.54296875" customWidth="1"/>
    <col min="30" max="32" width="8" customWidth="1"/>
    <col min="33" max="33" width="12" customWidth="1"/>
    <col min="34" max="34" width="9.1796875" customWidth="1"/>
    <col min="35" max="35" width="10.54296875" customWidth="1"/>
    <col min="36" max="36" width="6.54296875" style="1" customWidth="1"/>
    <col min="37" max="37" width="11.54296875" style="1" customWidth="1"/>
    <col min="38" max="38" width="9.54296875" style="1" customWidth="1"/>
    <col min="39" max="39" width="6.54296875" customWidth="1"/>
    <col min="40" max="40" width="2" customWidth="1"/>
    <col min="43" max="43" width="3.54296875" customWidth="1"/>
    <col min="44" max="44" width="4.453125" customWidth="1"/>
    <col min="45" max="45" width="10.54296875" customWidth="1"/>
    <col min="46" max="46" width="6.54296875" customWidth="1"/>
    <col min="47" max="47" width="11.54296875" customWidth="1"/>
    <col min="48" max="48" width="9.54296875" customWidth="1"/>
    <col min="49" max="49" width="3.54296875" customWidth="1"/>
    <col min="50" max="50" width="2" customWidth="1"/>
  </cols>
  <sheetData>
    <row r="1" spans="1:61" x14ac:dyDescent="0.25">
      <c r="F1" s="442"/>
      <c r="G1" s="451" t="str">
        <f>'[14]inland_taf_hatchgrp_tableraw&amp;yy'!G2</f>
        <v>sacw</v>
      </c>
      <c r="H1" s="451" t="str">
        <f>'[14]inland_taf_hatchgrp_tableraw&amp;yy'!H2</f>
        <v>cfhl</v>
      </c>
      <c r="I1" s="451" t="str">
        <f>'[14]inland_taf_hatchgrp_tableraw&amp;yy'!I2</f>
        <v>cfhf</v>
      </c>
      <c r="J1" s="451" t="str">
        <f>'[14]inland_taf_hatchgrp_tableraw&amp;yy'!J2</f>
        <v>cfhfh</v>
      </c>
      <c r="K1" s="451" t="str">
        <f>'[14]inland_taf_hatchgrp_tableraw&amp;yy'!K2</f>
        <v>frhs</v>
      </c>
      <c r="L1" s="451" t="str">
        <f>'[14]inland_taf_hatchgrp_tableraw&amp;yy'!L2</f>
        <v>frhf</v>
      </c>
      <c r="M1" s="451" t="str">
        <f>'[14]inland_taf_hatchgrp_tableraw&amp;yy'!M2</f>
        <v>frhfn</v>
      </c>
      <c r="N1" s="451" t="str">
        <f>'[14]inland_taf_hatchgrp_tableraw&amp;yy'!N2</f>
        <v>frhfgg</v>
      </c>
      <c r="O1" s="451" t="str">
        <f>'[14]inland_taf_hatchgrp_tableraw&amp;yy'!O2</f>
        <v>nimf</v>
      </c>
      <c r="P1" s="451" t="str">
        <f>'[14]inland_taf_hatchgrp_tableraw&amp;yy'!P2</f>
        <v>nimfn</v>
      </c>
      <c r="Q1" s="451" t="str">
        <f>'[14]inland_taf_hatchgrp_tableraw&amp;yy'!Q2</f>
        <v>mokf</v>
      </c>
      <c r="R1" s="451" t="str">
        <f>'[14]inland_taf_hatchgrp_tableraw&amp;yy'!R2</f>
        <v>mokfn</v>
      </c>
      <c r="S1" s="451" t="str">
        <f>'[14]inland_taf_hatchgrp_tableraw&amp;yy'!S2</f>
        <v>mokfnc</v>
      </c>
      <c r="T1" s="451" t="str">
        <f>'[14]inland_taf_hatchgrp_tableraw&amp;yy'!T2</f>
        <v>mokfgg</v>
      </c>
      <c r="U1" s="451" t="str">
        <f>'[14]inland_taf_hatchgrp_tableraw&amp;yy'!U2</f>
        <v>merf</v>
      </c>
      <c r="V1" s="451" t="str">
        <f>'[14]inland_taf_hatchgrp_tableraw&amp;yy'!V2</f>
        <v>merfn</v>
      </c>
      <c r="W1" s="451" t="str">
        <f>'[14]inland_taf_hatchgrp_tableraw&amp;yy'!W2</f>
        <v>sjosx</v>
      </c>
      <c r="X1" s="451" t="str">
        <f>'[14]inland_taf_hatchgrp_tableraw&amp;yy'!X2</f>
        <v>noncv</v>
      </c>
      <c r="Y1" s="442"/>
      <c r="Z1" s="442"/>
    </row>
    <row r="2" spans="1:61" ht="23.9" customHeight="1" x14ac:dyDescent="0.25">
      <c r="E2" s="2" t="s">
        <v>0</v>
      </c>
      <c r="F2" s="3"/>
      <c r="AB2" s="442"/>
      <c r="AC2" s="442"/>
      <c r="AD2" s="442"/>
      <c r="AE2" s="442"/>
      <c r="AF2" s="442"/>
      <c r="AG2" s="597"/>
      <c r="AH2" s="597"/>
      <c r="AI2" s="442"/>
      <c r="AJ2" s="451"/>
      <c r="AK2" s="451"/>
      <c r="AL2" s="451"/>
      <c r="AM2" s="442"/>
      <c r="AN2" s="442"/>
      <c r="AO2" s="442"/>
      <c r="AP2" s="442"/>
      <c r="AQ2" s="442"/>
      <c r="AR2" s="442"/>
      <c r="AS2" s="442"/>
      <c r="AT2" s="442"/>
      <c r="AU2" s="442"/>
      <c r="AV2" s="442"/>
      <c r="AW2" s="442"/>
      <c r="AX2" s="442"/>
      <c r="AY2" s="442"/>
      <c r="AZ2" s="442"/>
      <c r="BA2" s="442"/>
      <c r="BB2" s="442"/>
      <c r="BC2" s="442"/>
      <c r="BD2" s="442"/>
      <c r="BE2" s="442"/>
      <c r="BF2" s="442"/>
      <c r="BG2" s="442"/>
      <c r="BH2" s="442"/>
      <c r="BI2" s="442"/>
    </row>
    <row r="3" spans="1:61" ht="14.9" customHeight="1" x14ac:dyDescent="0.3">
      <c r="E3" s="6"/>
      <c r="F3" s="7"/>
      <c r="G3" s="8"/>
      <c r="H3" s="727" t="s">
        <v>1</v>
      </c>
      <c r="I3" s="727"/>
      <c r="J3" s="727"/>
      <c r="K3" s="727" t="s">
        <v>2</v>
      </c>
      <c r="L3" s="727"/>
      <c r="M3" s="727"/>
      <c r="N3" s="727"/>
      <c r="O3" s="727" t="s">
        <v>3</v>
      </c>
      <c r="P3" s="727"/>
      <c r="Q3" s="727" t="s">
        <v>4</v>
      </c>
      <c r="R3" s="727"/>
      <c r="S3" s="727"/>
      <c r="T3" s="727"/>
      <c r="U3" s="727" t="s">
        <v>5</v>
      </c>
      <c r="V3" s="727"/>
      <c r="W3" s="9" t="s">
        <v>6</v>
      </c>
      <c r="X3" s="747" t="s">
        <v>7</v>
      </c>
      <c r="Y3" s="745" t="s">
        <v>8</v>
      </c>
      <c r="Z3" s="746"/>
      <c r="AA3" s="10" t="s">
        <v>9</v>
      </c>
      <c r="AB3" s="632"/>
      <c r="AC3" s="451"/>
      <c r="AD3" s="598" t="s">
        <v>10</v>
      </c>
      <c r="AE3" s="598"/>
      <c r="AF3" s="598"/>
      <c r="AG3" s="599"/>
      <c r="AH3" s="597"/>
      <c r="AI3" s="597" t="s">
        <v>11</v>
      </c>
      <c r="AJ3" s="599" t="s">
        <v>12</v>
      </c>
      <c r="AK3" s="451"/>
      <c r="AL3" s="451"/>
      <c r="AM3" s="442"/>
      <c r="AN3" s="442"/>
      <c r="AO3" s="444">
        <f>$G$45</f>
        <v>0</v>
      </c>
      <c r="AP3" s="444">
        <f>$H$45</f>
        <v>1</v>
      </c>
      <c r="AQ3" s="444">
        <f>$I$45</f>
        <v>6425</v>
      </c>
      <c r="AR3" s="444">
        <f>$J$45</f>
        <v>0</v>
      </c>
      <c r="AS3" s="444">
        <f>$K$45</f>
        <v>4</v>
      </c>
      <c r="AT3" s="444"/>
      <c r="AU3" s="444">
        <f>$L$45</f>
        <v>0</v>
      </c>
      <c r="AV3" s="444">
        <f>$M$45</f>
        <v>6124</v>
      </c>
      <c r="AW3" s="444">
        <f>$O$45</f>
        <v>186</v>
      </c>
      <c r="AX3" s="444">
        <f>$P$45</f>
        <v>1996</v>
      </c>
      <c r="AY3" s="444">
        <f>$N$45</f>
        <v>1089</v>
      </c>
      <c r="AZ3" s="444">
        <f>$Q$45</f>
        <v>26</v>
      </c>
      <c r="BA3" s="444">
        <f>$R$45</f>
        <v>7699</v>
      </c>
      <c r="BB3" s="444">
        <f>$S$45</f>
        <v>633</v>
      </c>
      <c r="BC3" s="444">
        <f>$T$45</f>
        <v>3092</v>
      </c>
      <c r="BD3" s="444">
        <f>$U$45</f>
        <v>0</v>
      </c>
      <c r="BE3" s="444">
        <f>$V$45</f>
        <v>1629</v>
      </c>
      <c r="BF3" s="444">
        <f>$W$45</f>
        <v>227</v>
      </c>
      <c r="BG3" s="444">
        <f>$X$45</f>
        <v>0</v>
      </c>
      <c r="BH3" s="442"/>
      <c r="BI3" s="442"/>
    </row>
    <row r="4" spans="1:61" ht="14.9" customHeight="1" x14ac:dyDescent="0.3">
      <c r="A4" s="15" t="s">
        <v>13</v>
      </c>
      <c r="B4" s="16" t="s">
        <v>14</v>
      </c>
      <c r="C4" s="16" t="s">
        <v>15</v>
      </c>
      <c r="D4" s="16" t="s">
        <v>16</v>
      </c>
      <c r="E4" s="17" t="s">
        <v>17</v>
      </c>
      <c r="F4" s="18" t="s">
        <v>18</v>
      </c>
      <c r="G4" s="19" t="s">
        <v>19</v>
      </c>
      <c r="H4" s="20" t="s">
        <v>20</v>
      </c>
      <c r="I4" s="19" t="s">
        <v>21</v>
      </c>
      <c r="J4" s="21" t="s">
        <v>22</v>
      </c>
      <c r="K4" s="20" t="s">
        <v>23</v>
      </c>
      <c r="L4" s="19" t="s">
        <v>24</v>
      </c>
      <c r="M4" s="19" t="s">
        <v>25</v>
      </c>
      <c r="N4" s="21" t="s">
        <v>26</v>
      </c>
      <c r="O4" s="19" t="s">
        <v>27</v>
      </c>
      <c r="P4" s="21" t="s">
        <v>28</v>
      </c>
      <c r="Q4" s="19" t="s">
        <v>29</v>
      </c>
      <c r="R4" s="19" t="s">
        <v>30</v>
      </c>
      <c r="S4" s="19" t="s">
        <v>31</v>
      </c>
      <c r="T4" s="21" t="s">
        <v>32</v>
      </c>
      <c r="U4" s="19" t="s">
        <v>33</v>
      </c>
      <c r="V4" s="21" t="s">
        <v>34</v>
      </c>
      <c r="W4" s="21" t="s">
        <v>35</v>
      </c>
      <c r="X4" s="748"/>
      <c r="Y4" s="22" t="s">
        <v>36</v>
      </c>
      <c r="Z4" s="23" t="s">
        <v>37</v>
      </c>
      <c r="AA4" s="24" t="s">
        <v>18</v>
      </c>
      <c r="AB4" s="632"/>
      <c r="AC4" s="451"/>
      <c r="AD4" s="598" t="s">
        <v>38</v>
      </c>
      <c r="AE4" s="598"/>
      <c r="AF4" s="598"/>
      <c r="AG4" s="599"/>
      <c r="AH4" s="597"/>
      <c r="AI4" s="600"/>
      <c r="AJ4" s="599"/>
      <c r="AK4" s="451"/>
      <c r="AL4" s="451"/>
      <c r="AM4" s="442"/>
      <c r="AN4" s="442"/>
      <c r="AO4" s="442"/>
      <c r="AP4" s="442"/>
      <c r="AQ4" s="442"/>
      <c r="AR4" s="442"/>
      <c r="AS4" s="442"/>
      <c r="AT4" s="442"/>
      <c r="AU4" s="442"/>
      <c r="AV4" s="442"/>
      <c r="AW4" s="442"/>
      <c r="AX4" s="442"/>
      <c r="AY4" s="442"/>
      <c r="AZ4" s="442"/>
      <c r="BA4" s="442"/>
      <c r="BB4" s="442"/>
      <c r="BC4" s="442"/>
      <c r="BD4" s="442"/>
      <c r="BE4" s="442"/>
      <c r="BF4" s="442"/>
      <c r="BG4" s="442"/>
      <c r="BH4" s="442"/>
      <c r="BI4" s="442"/>
    </row>
    <row r="5" spans="1:61" ht="15.65" customHeight="1" x14ac:dyDescent="0.3">
      <c r="A5" s="15" t="s">
        <v>36</v>
      </c>
      <c r="B5" s="13"/>
      <c r="C5" s="13"/>
      <c r="D5" s="13"/>
      <c r="E5" s="26" t="s">
        <v>39</v>
      </c>
      <c r="F5" s="27"/>
      <c r="G5" s="28"/>
      <c r="H5" s="29"/>
      <c r="I5" s="30"/>
      <c r="J5" s="31"/>
      <c r="K5" s="29"/>
      <c r="L5" s="30"/>
      <c r="M5" s="30"/>
      <c r="N5" s="31"/>
      <c r="O5" s="30"/>
      <c r="P5" s="31"/>
      <c r="Q5" s="30"/>
      <c r="R5" s="30"/>
      <c r="S5" s="30"/>
      <c r="T5" s="31"/>
      <c r="U5" s="30"/>
      <c r="V5" s="31"/>
      <c r="W5" s="31"/>
      <c r="X5" s="30"/>
      <c r="Y5" s="32"/>
      <c r="Z5" s="33"/>
      <c r="AA5" s="30"/>
      <c r="AB5" s="633"/>
      <c r="AC5" s="633"/>
      <c r="AD5" s="601"/>
      <c r="AE5" s="601"/>
      <c r="AF5" s="601"/>
      <c r="AG5" s="602"/>
      <c r="AH5" s="597"/>
      <c r="AI5" s="600"/>
      <c r="AJ5" s="599"/>
      <c r="AK5" s="451"/>
      <c r="AL5" s="451"/>
      <c r="AM5" s="442"/>
      <c r="AN5" s="442"/>
      <c r="AO5" s="442"/>
      <c r="AP5" s="442"/>
      <c r="AQ5" s="442"/>
      <c r="AR5" s="442"/>
      <c r="AS5" s="442"/>
      <c r="AT5" s="442"/>
      <c r="AU5" s="442"/>
      <c r="AV5" s="442"/>
      <c r="AW5" s="442"/>
      <c r="AX5" s="442"/>
      <c r="AY5" s="442"/>
      <c r="AZ5" s="442"/>
      <c r="BA5" s="442"/>
      <c r="BB5" s="442"/>
      <c r="BC5" s="442"/>
      <c r="BD5" s="442"/>
      <c r="BE5" s="442"/>
      <c r="BF5" s="442"/>
      <c r="BG5" s="442"/>
      <c r="BH5" s="442"/>
      <c r="BI5" s="442"/>
    </row>
    <row r="6" spans="1:61" ht="14.25" customHeight="1" x14ac:dyDescent="0.25">
      <c r="A6" s="36" t="str">
        <f t="shared" ref="A6:A17" si="0">CONCATENATE(B6,C6,D6)</f>
        <v>CNFH504</v>
      </c>
      <c r="B6" s="13" t="s">
        <v>40</v>
      </c>
      <c r="C6" s="13">
        <v>50</v>
      </c>
      <c r="D6" s="13">
        <v>4</v>
      </c>
      <c r="E6" s="3" t="s">
        <v>41</v>
      </c>
      <c r="F6" s="37" t="s">
        <v>42</v>
      </c>
      <c r="G6" s="38">
        <f>SUMIFS('[14]inland_taf_hatchgrp_tableraw&amp;yy'!G$3:G$38,'[14]inland_taf_hatchgrp_tableraw&amp;yy'!$AC$3:$AC$38,'2021 Table 10 CWTs exp'!$A6)</f>
        <v>59</v>
      </c>
      <c r="H6" s="39">
        <f>SUMIFS('[14]inland_taf_hatchgrp_tableraw&amp;yy'!H$3:H$38,'[14]inland_taf_hatchgrp_tableraw&amp;yy'!$AC$3:$AC$38,'2021 Table 10 CWTs exp'!$A6)</f>
        <v>0</v>
      </c>
      <c r="I6" s="38">
        <f>SUMIFS('[14]inland_taf_hatchgrp_tableraw&amp;yy'!I$3:I$38,'[14]inland_taf_hatchgrp_tableraw&amp;yy'!$AC$3:$AC$38,'2021 Table 10 CWTs exp'!$A6)</f>
        <v>0</v>
      </c>
      <c r="J6" s="40">
        <f>SUMIFS('[14]inland_taf_hatchgrp_tableraw&amp;yy'!J$3:J$38,'[14]inland_taf_hatchgrp_tableraw&amp;yy'!$AC$3:$AC$38,'2021 Table 10 CWTs exp'!$A6)</f>
        <v>0</v>
      </c>
      <c r="K6" s="39">
        <f>SUMIFS('[14]inland_taf_hatchgrp_tableraw&amp;yy'!K$3:K$38,'[14]inland_taf_hatchgrp_tableraw&amp;yy'!$AC$3:$AC$38,'2021 Table 10 CWTs exp'!$A6)</f>
        <v>0</v>
      </c>
      <c r="L6" s="38">
        <f>SUMIFS('[14]inland_taf_hatchgrp_tableraw&amp;yy'!L$3:L$38,'[14]inland_taf_hatchgrp_tableraw&amp;yy'!$AC$3:$AC$38,'2021 Table 10 CWTs exp'!$A6)</f>
        <v>0</v>
      </c>
      <c r="M6" s="38">
        <f>SUMIFS('[14]inland_taf_hatchgrp_tableraw&amp;yy'!M$3:M$38,'[14]inland_taf_hatchgrp_tableraw&amp;yy'!$AC$3:$AC$38,'2021 Table 10 CWTs exp'!$A6)</f>
        <v>0</v>
      </c>
      <c r="N6" s="40">
        <f>SUMIFS('[14]inland_taf_hatchgrp_tableraw&amp;yy'!N$3:N$38,'[14]inland_taf_hatchgrp_tableraw&amp;yy'!$AC$3:$AC$38,'2021 Table 10 CWTs exp'!$A6)</f>
        <v>0</v>
      </c>
      <c r="O6" s="38">
        <f>SUMIFS('[14]inland_taf_hatchgrp_tableraw&amp;yy'!O$3:O$38,'[14]inland_taf_hatchgrp_tableraw&amp;yy'!$AC$3:$AC$38,'2021 Table 10 CWTs exp'!$A6)</f>
        <v>0</v>
      </c>
      <c r="P6" s="40">
        <f>SUMIFS('[14]inland_taf_hatchgrp_tableraw&amp;yy'!P$3:P$38,'[14]inland_taf_hatchgrp_tableraw&amp;yy'!$AC$3:$AC$38,'2021 Table 10 CWTs exp'!$A6)</f>
        <v>0</v>
      </c>
      <c r="Q6" s="38">
        <f>SUMIFS('[14]inland_taf_hatchgrp_tableraw&amp;yy'!Q$3:Q$38,'[14]inland_taf_hatchgrp_tableraw&amp;yy'!$AC$3:$AC$38,'2021 Table 10 CWTs exp'!$A6)</f>
        <v>0</v>
      </c>
      <c r="R6" s="38">
        <f>SUMIFS('[14]inland_taf_hatchgrp_tableraw&amp;yy'!R$3:R$38,'[14]inland_taf_hatchgrp_tableraw&amp;yy'!$AC$3:$AC$38,'2021 Table 10 CWTs exp'!$A6)</f>
        <v>0</v>
      </c>
      <c r="S6" s="38">
        <f>SUMIFS('[14]inland_taf_hatchgrp_tableraw&amp;yy'!S$3:S$38,'[14]inland_taf_hatchgrp_tableraw&amp;yy'!$AC$3:$AC$38,'2021 Table 10 CWTs exp'!$A6)</f>
        <v>0</v>
      </c>
      <c r="T6" s="40">
        <f>SUMIFS('[14]inland_taf_hatchgrp_tableraw&amp;yy'!T$3:T$38,'[14]inland_taf_hatchgrp_tableraw&amp;yy'!$AC$3:$AC$38,'2021 Table 10 CWTs exp'!$A6)</f>
        <v>0</v>
      </c>
      <c r="U6" s="38">
        <f>SUMIFS('[14]inland_taf_hatchgrp_tableraw&amp;yy'!U$3:U$38,'[14]inland_taf_hatchgrp_tableraw&amp;yy'!$AC$3:$AC$38,'2021 Table 10 CWTs exp'!$A6)</f>
        <v>0</v>
      </c>
      <c r="V6" s="40">
        <f>SUMIFS('[14]inland_taf_hatchgrp_tableraw&amp;yy'!V$3:V$38,'[14]inland_taf_hatchgrp_tableraw&amp;yy'!$AC$3:$AC$38,'2021 Table 10 CWTs exp'!$A6)</f>
        <v>0</v>
      </c>
      <c r="W6" s="40">
        <f>SUMIFS('[14]inland_taf_hatchgrp_tableraw&amp;yy'!W$3:W$38,'[14]inland_taf_hatchgrp_tableraw&amp;yy'!$AC$3:$AC$38,'2021 Table 10 CWTs exp'!$A6)</f>
        <v>0</v>
      </c>
      <c r="X6" s="38">
        <f>SUMIFS('[14]inland_taf_hatchgrp_tableraw&amp;yy'!X$3:X$38,'[14]inland_taf_hatchgrp_tableraw&amp;yy'!$AC$3:$AC$38,'2021 Table 10 CWTs exp'!$A6)</f>
        <v>0</v>
      </c>
      <c r="Y6" s="41">
        <f>SUMIFS('[14]inland_taf_hatchgrp_tableraw&amp;yy'!Y$3:Y$38,'[14]inland_taf_hatchgrp_tableraw&amp;yy'!$AC$3:$AC$38,'2021 Table 10 CWTs exp'!$A6)</f>
        <v>59</v>
      </c>
      <c r="Z6" s="42">
        <f>SUMIFS('[14]inland_taf_hatchgrp_tableraw&amp;yy'!Z$3:Z$38,'[14]inland_taf_hatchgrp_tableraw&amp;yy'!$AC$3:$AC$38,'2021 Table 10 CWTs exp'!$A6)</f>
        <v>188</v>
      </c>
      <c r="AA6" s="38">
        <f>SUMIFS('[14]inland_taf_hatchgrp_tableraw&amp;yy'!AA$3:AA$38,'[14]inland_taf_hatchgrp_tableraw&amp;yy'!$AC$3:$AC$38,'2021 Table 10 CWTs exp'!$A6)</f>
        <v>247</v>
      </c>
      <c r="AB6" s="633"/>
      <c r="AC6" s="633"/>
      <c r="AD6" s="603">
        <f>SUMIFS('[14]inland_taf_hatchgrp_tableraw&amp;yy'!AB$3:AB$38,'[14]inland_taf_hatchgrp_tableraw&amp;yy'!$AC$3:$AC$38,'2021 Table 10 CWTs exp'!$A6)</f>
        <v>0.23899999999999999</v>
      </c>
      <c r="AE6" s="604" t="str">
        <f t="shared" ref="AE6:AE17" si="1">A6</f>
        <v>CNFH504</v>
      </c>
      <c r="AF6" s="444"/>
      <c r="AG6" s="622">
        <f>Y6/AA6</f>
        <v>0.23886639676113361</v>
      </c>
      <c r="AH6" s="597"/>
      <c r="AI6" s="600"/>
      <c r="AJ6" s="599"/>
      <c r="AK6" s="451"/>
      <c r="AL6" s="451"/>
      <c r="AM6" s="442"/>
      <c r="AN6" s="442"/>
      <c r="AO6" s="442"/>
      <c r="AP6" s="442"/>
      <c r="AQ6" s="442"/>
      <c r="AR6" s="442"/>
      <c r="AS6" s="442"/>
      <c r="AT6" s="442"/>
      <c r="AU6" s="442"/>
      <c r="AV6" s="442"/>
      <c r="AW6" s="442"/>
      <c r="AX6" s="442"/>
      <c r="AY6" s="442"/>
      <c r="AZ6" s="442"/>
      <c r="BA6" s="442"/>
      <c r="BB6" s="442"/>
      <c r="BC6" s="442"/>
      <c r="BD6" s="442"/>
      <c r="BE6" s="442"/>
      <c r="BF6" s="442"/>
      <c r="BG6" s="442"/>
      <c r="BH6" s="442"/>
      <c r="BI6" s="442"/>
    </row>
    <row r="7" spans="1:61" ht="14.25" customHeight="1" x14ac:dyDescent="0.25">
      <c r="A7" s="36" t="str">
        <f t="shared" si="0"/>
        <v>KESW504</v>
      </c>
      <c r="B7" s="13" t="s">
        <v>43</v>
      </c>
      <c r="C7" s="13">
        <v>50</v>
      </c>
      <c r="D7" s="13">
        <v>4</v>
      </c>
      <c r="E7" s="3" t="s">
        <v>44</v>
      </c>
      <c r="F7" s="37" t="s">
        <v>42</v>
      </c>
      <c r="G7" s="38">
        <f>SUMIFS('[14]inland_taf_hatchgrp_tableraw&amp;yy'!G$3:G$38,'[14]inland_taf_hatchgrp_tableraw&amp;yy'!$AC$3:$AC$38,'2021 Table 10 CWTs exp'!$A7)</f>
        <v>243</v>
      </c>
      <c r="H7" s="39">
        <f>SUMIFS('[14]inland_taf_hatchgrp_tableraw&amp;yy'!H$3:H$38,'[14]inland_taf_hatchgrp_tableraw&amp;yy'!$AC$3:$AC$38,'2021 Table 10 CWTs exp'!$A7)</f>
        <v>0</v>
      </c>
      <c r="I7" s="38">
        <f>SUMIFS('[14]inland_taf_hatchgrp_tableraw&amp;yy'!I$3:I$38,'[14]inland_taf_hatchgrp_tableraw&amp;yy'!$AC$3:$AC$38,'2021 Table 10 CWTs exp'!$A7)</f>
        <v>0</v>
      </c>
      <c r="J7" s="40">
        <f>SUMIFS('[14]inland_taf_hatchgrp_tableraw&amp;yy'!J$3:J$38,'[14]inland_taf_hatchgrp_tableraw&amp;yy'!$AC$3:$AC$38,'2021 Table 10 CWTs exp'!$A7)</f>
        <v>0</v>
      </c>
      <c r="K7" s="39">
        <f>SUMIFS('[14]inland_taf_hatchgrp_tableraw&amp;yy'!K$3:K$38,'[14]inland_taf_hatchgrp_tableraw&amp;yy'!$AC$3:$AC$38,'2021 Table 10 CWTs exp'!$A7)</f>
        <v>0</v>
      </c>
      <c r="L7" s="38">
        <f>SUMIFS('[14]inland_taf_hatchgrp_tableraw&amp;yy'!L$3:L$38,'[14]inland_taf_hatchgrp_tableraw&amp;yy'!$AC$3:$AC$38,'2021 Table 10 CWTs exp'!$A7)</f>
        <v>0</v>
      </c>
      <c r="M7" s="38">
        <f>SUMIFS('[14]inland_taf_hatchgrp_tableraw&amp;yy'!M$3:M$38,'[14]inland_taf_hatchgrp_tableraw&amp;yy'!$AC$3:$AC$38,'2021 Table 10 CWTs exp'!$A7)</f>
        <v>0</v>
      </c>
      <c r="N7" s="40">
        <f>SUMIFS('[14]inland_taf_hatchgrp_tableraw&amp;yy'!N$3:N$38,'[14]inland_taf_hatchgrp_tableraw&amp;yy'!$AC$3:$AC$38,'2021 Table 10 CWTs exp'!$A7)</f>
        <v>0</v>
      </c>
      <c r="O7" s="38">
        <f>SUMIFS('[14]inland_taf_hatchgrp_tableraw&amp;yy'!O$3:O$38,'[14]inland_taf_hatchgrp_tableraw&amp;yy'!$AC$3:$AC$38,'2021 Table 10 CWTs exp'!$A7)</f>
        <v>0</v>
      </c>
      <c r="P7" s="40">
        <f>SUMIFS('[14]inland_taf_hatchgrp_tableraw&amp;yy'!P$3:P$38,'[14]inland_taf_hatchgrp_tableraw&amp;yy'!$AC$3:$AC$38,'2021 Table 10 CWTs exp'!$A7)</f>
        <v>0</v>
      </c>
      <c r="Q7" s="38">
        <f>SUMIFS('[14]inland_taf_hatchgrp_tableraw&amp;yy'!Q$3:Q$38,'[14]inland_taf_hatchgrp_tableraw&amp;yy'!$AC$3:$AC$38,'2021 Table 10 CWTs exp'!$A7)</f>
        <v>0</v>
      </c>
      <c r="R7" s="38">
        <f>SUMIFS('[14]inland_taf_hatchgrp_tableraw&amp;yy'!R$3:R$38,'[14]inland_taf_hatchgrp_tableraw&amp;yy'!$AC$3:$AC$38,'2021 Table 10 CWTs exp'!$A7)</f>
        <v>0</v>
      </c>
      <c r="S7" s="38">
        <f>SUMIFS('[14]inland_taf_hatchgrp_tableraw&amp;yy'!S$3:S$38,'[14]inland_taf_hatchgrp_tableraw&amp;yy'!$AC$3:$AC$38,'2021 Table 10 CWTs exp'!$A7)</f>
        <v>0</v>
      </c>
      <c r="T7" s="40">
        <f>SUMIFS('[14]inland_taf_hatchgrp_tableraw&amp;yy'!T$3:T$38,'[14]inland_taf_hatchgrp_tableraw&amp;yy'!$AC$3:$AC$38,'2021 Table 10 CWTs exp'!$A7)</f>
        <v>0</v>
      </c>
      <c r="U7" s="38">
        <f>SUMIFS('[14]inland_taf_hatchgrp_tableraw&amp;yy'!U$3:U$38,'[14]inland_taf_hatchgrp_tableraw&amp;yy'!$AC$3:$AC$38,'2021 Table 10 CWTs exp'!$A7)</f>
        <v>0</v>
      </c>
      <c r="V7" s="40">
        <f>SUMIFS('[14]inland_taf_hatchgrp_tableraw&amp;yy'!V$3:V$38,'[14]inland_taf_hatchgrp_tableraw&amp;yy'!$AC$3:$AC$38,'2021 Table 10 CWTs exp'!$A7)</f>
        <v>0</v>
      </c>
      <c r="W7" s="40">
        <f>SUMIFS('[14]inland_taf_hatchgrp_tableraw&amp;yy'!W$3:W$38,'[14]inland_taf_hatchgrp_tableraw&amp;yy'!$AC$3:$AC$38,'2021 Table 10 CWTs exp'!$A7)</f>
        <v>0</v>
      </c>
      <c r="X7" s="38">
        <f>SUMIFS('[14]inland_taf_hatchgrp_tableraw&amp;yy'!X$3:X$38,'[14]inland_taf_hatchgrp_tableraw&amp;yy'!$AC$3:$AC$38,'2021 Table 10 CWTs exp'!$A7)</f>
        <v>0</v>
      </c>
      <c r="Y7" s="41">
        <f>SUMIFS('[14]inland_taf_hatchgrp_tableraw&amp;yy'!Y$3:Y$38,'[14]inland_taf_hatchgrp_tableraw&amp;yy'!$AC$3:$AC$38,'2021 Table 10 CWTs exp'!$A7)</f>
        <v>243</v>
      </c>
      <c r="Z7" s="42">
        <f>SUMIFS('[14]inland_taf_hatchgrp_tableraw&amp;yy'!Z$3:Z$38,'[14]inland_taf_hatchgrp_tableraw&amp;yy'!$AC$3:$AC$38,'2021 Table 10 CWTs exp'!$A7)</f>
        <v>55</v>
      </c>
      <c r="AA7" s="38">
        <f>SUMIFS('[14]inland_taf_hatchgrp_tableraw&amp;yy'!AA$3:AA$38,'[14]inland_taf_hatchgrp_tableraw&amp;yy'!$AC$3:$AC$38,'2021 Table 10 CWTs exp'!$A7)</f>
        <v>298</v>
      </c>
      <c r="AB7" s="634"/>
      <c r="AC7" s="634"/>
      <c r="AD7" s="603">
        <f>SUMIFS('[14]inland_taf_hatchgrp_tableraw&amp;yy'!AB$3:AB$38,'[14]inland_taf_hatchgrp_tableraw&amp;yy'!$AC$3:$AC$38,'2021 Table 10 CWTs exp'!$A7)</f>
        <v>0.81499999999999995</v>
      </c>
      <c r="AE7" s="604" t="str">
        <f t="shared" si="1"/>
        <v>KESW504</v>
      </c>
      <c r="AF7" s="444"/>
      <c r="AG7" s="622">
        <f>Y7/AA7</f>
        <v>0.81543624161073824</v>
      </c>
      <c r="AH7" s="597"/>
      <c r="AI7" s="600"/>
      <c r="AJ7" s="599"/>
      <c r="AK7" s="451"/>
      <c r="AL7" s="451"/>
      <c r="AM7" s="442"/>
      <c r="AN7" s="442"/>
      <c r="AO7" s="442"/>
      <c r="AP7" s="442"/>
      <c r="AQ7" s="442"/>
      <c r="AR7" s="442"/>
      <c r="AS7" s="442"/>
      <c r="AT7" s="442"/>
      <c r="AU7" s="442"/>
      <c r="AV7" s="442"/>
      <c r="AW7" s="442"/>
      <c r="AX7" s="442"/>
      <c r="AY7" s="442"/>
      <c r="AZ7" s="442"/>
      <c r="BA7" s="442"/>
      <c r="BB7" s="442"/>
      <c r="BC7" s="442"/>
      <c r="BD7" s="442"/>
      <c r="BE7" s="442"/>
      <c r="BF7" s="442"/>
      <c r="BG7" s="442"/>
      <c r="BH7" s="442"/>
      <c r="BI7" s="442"/>
    </row>
    <row r="8" spans="1:61" s="47" customFormat="1" ht="14.5" customHeight="1" x14ac:dyDescent="0.25">
      <c r="A8" s="36" t="str">
        <f t="shared" si="0"/>
        <v>FRFH501</v>
      </c>
      <c r="B8" s="35" t="s">
        <v>45</v>
      </c>
      <c r="C8" s="35">
        <v>50</v>
      </c>
      <c r="D8" s="35">
        <v>1</v>
      </c>
      <c r="E8" s="3" t="s">
        <v>46</v>
      </c>
      <c r="F8" s="43" t="str">
        <f t="shared" ref="F8:F14" si="2">LOOKUP(D8,$AL$8:$AL$11,$AM$8:$AM$11)</f>
        <v>Spring</v>
      </c>
      <c r="G8" s="44">
        <f>SUMIFS('[14]inland_taf_hatchgrp_tableraw&amp;yy'!G$3:G$38,'[14]inland_taf_hatchgrp_tableraw&amp;yy'!$AC$3:$AC$38,'2021 Table 10 CWTs exp'!$A8)</f>
        <v>0</v>
      </c>
      <c r="H8" s="45">
        <f>SUMIFS('[14]inland_taf_hatchgrp_tableraw&amp;yy'!H$3:H$38,'[14]inland_taf_hatchgrp_tableraw&amp;yy'!$AC$3:$AC$38,'2021 Table 10 CWTs exp'!$A8)</f>
        <v>0</v>
      </c>
      <c r="I8" s="44">
        <f>SUMIFS('[14]inland_taf_hatchgrp_tableraw&amp;yy'!I$3:I$38,'[14]inland_taf_hatchgrp_tableraw&amp;yy'!$AC$3:$AC$38,'2021 Table 10 CWTs exp'!$A8)</f>
        <v>0</v>
      </c>
      <c r="J8" s="46">
        <f>SUMIFS('[14]inland_taf_hatchgrp_tableraw&amp;yy'!J$3:J$38,'[14]inland_taf_hatchgrp_tableraw&amp;yy'!$AC$3:$AC$38,'2021 Table 10 CWTs exp'!$A8)</f>
        <v>0</v>
      </c>
      <c r="K8" s="45">
        <f>SUMIFS('[14]inland_taf_hatchgrp_tableraw&amp;yy'!K$3:K$38,'[14]inland_taf_hatchgrp_tableraw&amp;yy'!$AC$3:$AC$38,'2021 Table 10 CWTs exp'!$A8)</f>
        <v>1590</v>
      </c>
      <c r="L8" s="44">
        <f>SUMIFS('[14]inland_taf_hatchgrp_tableraw&amp;yy'!L$3:L$38,'[14]inland_taf_hatchgrp_tableraw&amp;yy'!$AC$3:$AC$38,'2021 Table 10 CWTs exp'!$A8)</f>
        <v>0</v>
      </c>
      <c r="M8" s="44">
        <f>SUMIFS('[14]inland_taf_hatchgrp_tableraw&amp;yy'!M$3:M$38,'[14]inland_taf_hatchgrp_tableraw&amp;yy'!$AC$3:$AC$38,'2021 Table 10 CWTs exp'!$A8)</f>
        <v>12</v>
      </c>
      <c r="N8" s="46">
        <f>SUMIFS('[14]inland_taf_hatchgrp_tableraw&amp;yy'!N$3:N$38,'[14]inland_taf_hatchgrp_tableraw&amp;yy'!$AC$3:$AC$38,'2021 Table 10 CWTs exp'!$A8)</f>
        <v>4</v>
      </c>
      <c r="O8" s="44">
        <f>SUMIFS('[14]inland_taf_hatchgrp_tableraw&amp;yy'!O$3:O$38,'[14]inland_taf_hatchgrp_tableraw&amp;yy'!$AC$3:$AC$38,'2021 Table 10 CWTs exp'!$A8)</f>
        <v>0</v>
      </c>
      <c r="P8" s="46">
        <f>SUMIFS('[14]inland_taf_hatchgrp_tableraw&amp;yy'!P$3:P$38,'[14]inland_taf_hatchgrp_tableraw&amp;yy'!$AC$3:$AC$38,'2021 Table 10 CWTs exp'!$A8)</f>
        <v>0</v>
      </c>
      <c r="Q8" s="44">
        <f>SUMIFS('[14]inland_taf_hatchgrp_tableraw&amp;yy'!Q$3:Q$38,'[14]inland_taf_hatchgrp_tableraw&amp;yy'!$AC$3:$AC$38,'2021 Table 10 CWTs exp'!$A8)</f>
        <v>0</v>
      </c>
      <c r="R8" s="44">
        <f>SUMIFS('[14]inland_taf_hatchgrp_tableraw&amp;yy'!R$3:R$38,'[14]inland_taf_hatchgrp_tableraw&amp;yy'!$AC$3:$AC$38,'2021 Table 10 CWTs exp'!$A8)</f>
        <v>0</v>
      </c>
      <c r="S8" s="44">
        <f>SUMIFS('[14]inland_taf_hatchgrp_tableraw&amp;yy'!S$3:S$38,'[14]inland_taf_hatchgrp_tableraw&amp;yy'!$AC$3:$AC$38,'2021 Table 10 CWTs exp'!$A8)</f>
        <v>0</v>
      </c>
      <c r="T8" s="46">
        <f>SUMIFS('[14]inland_taf_hatchgrp_tableraw&amp;yy'!T$3:T$38,'[14]inland_taf_hatchgrp_tableraw&amp;yy'!$AC$3:$AC$38,'2021 Table 10 CWTs exp'!$A8)</f>
        <v>0</v>
      </c>
      <c r="U8" s="44">
        <f>SUMIFS('[14]inland_taf_hatchgrp_tableraw&amp;yy'!U$3:U$38,'[14]inland_taf_hatchgrp_tableraw&amp;yy'!$AC$3:$AC$38,'2021 Table 10 CWTs exp'!$A8)</f>
        <v>0</v>
      </c>
      <c r="V8" s="46">
        <f>SUMIFS('[14]inland_taf_hatchgrp_tableraw&amp;yy'!V$3:V$38,'[14]inland_taf_hatchgrp_tableraw&amp;yy'!$AC$3:$AC$38,'2021 Table 10 CWTs exp'!$A8)</f>
        <v>0</v>
      </c>
      <c r="W8" s="46">
        <f>SUMIFS('[14]inland_taf_hatchgrp_tableraw&amp;yy'!W$3:W$38,'[14]inland_taf_hatchgrp_tableraw&amp;yy'!$AC$3:$AC$38,'2021 Table 10 CWTs exp'!$A8)</f>
        <v>11</v>
      </c>
      <c r="X8" s="44">
        <f>SUMIFS('[14]inland_taf_hatchgrp_tableraw&amp;yy'!X$3:X$38,'[14]inland_taf_hatchgrp_tableraw&amp;yy'!$AC$3:$AC$38,'2021 Table 10 CWTs exp'!$A8)</f>
        <v>0</v>
      </c>
      <c r="Y8" s="41">
        <f>SUMIFS('[14]inland_taf_hatchgrp_tableraw&amp;yy'!Y$3:Y$38,'[14]inland_taf_hatchgrp_tableraw&amp;yy'!$AC$3:$AC$38,'2021 Table 10 CWTs exp'!$A8)</f>
        <v>1617</v>
      </c>
      <c r="Z8" s="42">
        <f>SUMIFS('[14]inland_taf_hatchgrp_tableraw&amp;yy'!Z$3:Z$38,'[14]inland_taf_hatchgrp_tableraw&amp;yy'!$AC$3:$AC$38,'2021 Table 10 CWTs exp'!$A8)</f>
        <v>105</v>
      </c>
      <c r="AA8" s="38">
        <f>SUMIFS('[14]inland_taf_hatchgrp_tableraw&amp;yy'!AA$3:AA$38,'[14]inland_taf_hatchgrp_tableraw&amp;yy'!$AC$3:$AC$38,'2021 Table 10 CWTs exp'!$A8)</f>
        <v>1722</v>
      </c>
      <c r="AB8" s="636"/>
      <c r="AC8" s="636"/>
      <c r="AD8" s="603">
        <f>SUMIFS('[14]inland_taf_hatchgrp_tableraw&amp;yy'!AB$3:AB$38,'[14]inland_taf_hatchgrp_tableraw&amp;yy'!$AC$3:$AC$38,'2021 Table 10 CWTs exp'!$A8)</f>
        <v>0.93899999999999995</v>
      </c>
      <c r="AE8" s="604" t="str">
        <f t="shared" si="1"/>
        <v>FRFH501</v>
      </c>
      <c r="AF8" s="594"/>
      <c r="AG8" s="622">
        <f>Y8/AA8</f>
        <v>0.93902439024390238</v>
      </c>
      <c r="AH8" s="616"/>
      <c r="AI8" s="616"/>
      <c r="AJ8" s="602"/>
      <c r="AK8" s="601"/>
      <c r="AL8" s="601">
        <v>1</v>
      </c>
      <c r="AM8" s="594" t="s">
        <v>47</v>
      </c>
      <c r="AN8" s="594"/>
      <c r="AO8" s="594"/>
      <c r="AP8" s="594"/>
      <c r="AQ8" s="594"/>
      <c r="AR8" s="594"/>
      <c r="AS8" s="594"/>
      <c r="AT8" s="594"/>
      <c r="AU8" s="594"/>
      <c r="AV8" s="594"/>
      <c r="AW8" s="594"/>
      <c r="AX8" s="594"/>
      <c r="AY8" s="594"/>
      <c r="AZ8" s="594"/>
      <c r="BA8" s="594"/>
      <c r="BB8" s="594"/>
      <c r="BC8" s="594"/>
      <c r="BD8" s="594"/>
      <c r="BE8" s="594"/>
      <c r="BF8" s="594"/>
      <c r="BG8" s="594"/>
      <c r="BH8" s="617"/>
      <c r="BI8" s="594"/>
    </row>
    <row r="9" spans="1:61" ht="12.75" hidden="1" customHeight="1" x14ac:dyDescent="0.25">
      <c r="A9" s="50" t="str">
        <f>CONCATENATE(B9,C9,D9)</f>
        <v>KESW503</v>
      </c>
      <c r="B9" s="13" t="s">
        <v>43</v>
      </c>
      <c r="C9" s="13">
        <v>50</v>
      </c>
      <c r="D9" s="13">
        <v>3</v>
      </c>
      <c r="E9" s="3" t="s">
        <v>44</v>
      </c>
      <c r="F9" s="43" t="str">
        <f t="shared" si="2"/>
        <v>Fall</v>
      </c>
      <c r="G9" s="38">
        <f>SUMIFS('[14]inland_taf_hatchgrp_tableraw&amp;yy'!G$3:G$38,'[14]inland_taf_hatchgrp_tableraw&amp;yy'!$AC$3:$AC$38,'2021 Table 10 CWTs exp'!$A9)</f>
        <v>0</v>
      </c>
      <c r="H9" s="39">
        <f>SUMIFS('[14]inland_taf_hatchgrp_tableraw&amp;yy'!H$3:H$38,'[14]inland_taf_hatchgrp_tableraw&amp;yy'!$AC$3:$AC$38,'2021 Table 10 CWTs exp'!$A9)</f>
        <v>0</v>
      </c>
      <c r="I9" s="38">
        <f>SUMIFS('[14]inland_taf_hatchgrp_tableraw&amp;yy'!I$3:I$38,'[14]inland_taf_hatchgrp_tableraw&amp;yy'!$AC$3:$AC$38,'2021 Table 10 CWTs exp'!$A9)</f>
        <v>0</v>
      </c>
      <c r="J9" s="40">
        <f>SUMIFS('[14]inland_taf_hatchgrp_tableraw&amp;yy'!J$3:J$38,'[14]inland_taf_hatchgrp_tableraw&amp;yy'!$AC$3:$AC$38,'2021 Table 10 CWTs exp'!$A9)</f>
        <v>0</v>
      </c>
      <c r="K9" s="39">
        <f>SUMIFS('[14]inland_taf_hatchgrp_tableraw&amp;yy'!K$3:K$38,'[14]inland_taf_hatchgrp_tableraw&amp;yy'!$AC$3:$AC$38,'2021 Table 10 CWTs exp'!$A9)</f>
        <v>0</v>
      </c>
      <c r="L9" s="38">
        <f>SUMIFS('[14]inland_taf_hatchgrp_tableraw&amp;yy'!L$3:L$38,'[14]inland_taf_hatchgrp_tableraw&amp;yy'!$AC$3:$AC$38,'2021 Table 10 CWTs exp'!$A9)</f>
        <v>0</v>
      </c>
      <c r="M9" s="38">
        <f>SUMIFS('[14]inland_taf_hatchgrp_tableraw&amp;yy'!M$3:M$38,'[14]inland_taf_hatchgrp_tableraw&amp;yy'!$AC$3:$AC$38,'2021 Table 10 CWTs exp'!$A9)</f>
        <v>0</v>
      </c>
      <c r="N9" s="40">
        <f>SUMIFS('[14]inland_taf_hatchgrp_tableraw&amp;yy'!N$3:N$38,'[14]inland_taf_hatchgrp_tableraw&amp;yy'!$AC$3:$AC$38,'2021 Table 10 CWTs exp'!$A9)</f>
        <v>0</v>
      </c>
      <c r="O9" s="38">
        <f>SUMIFS('[14]inland_taf_hatchgrp_tableraw&amp;yy'!O$3:O$38,'[14]inland_taf_hatchgrp_tableraw&amp;yy'!$AC$3:$AC$38,'2021 Table 10 CWTs exp'!$A9)</f>
        <v>0</v>
      </c>
      <c r="P9" s="40">
        <f>SUMIFS('[14]inland_taf_hatchgrp_tableraw&amp;yy'!P$3:P$38,'[14]inland_taf_hatchgrp_tableraw&amp;yy'!$AC$3:$AC$38,'2021 Table 10 CWTs exp'!$A9)</f>
        <v>0</v>
      </c>
      <c r="Q9" s="38">
        <f>SUMIFS('[14]inland_taf_hatchgrp_tableraw&amp;yy'!Q$3:Q$38,'[14]inland_taf_hatchgrp_tableraw&amp;yy'!$AC$3:$AC$38,'2021 Table 10 CWTs exp'!$A9)</f>
        <v>0</v>
      </c>
      <c r="R9" s="38">
        <f>SUMIFS('[14]inland_taf_hatchgrp_tableraw&amp;yy'!R$3:R$38,'[14]inland_taf_hatchgrp_tableraw&amp;yy'!$AC$3:$AC$38,'2021 Table 10 CWTs exp'!$A9)</f>
        <v>0</v>
      </c>
      <c r="S9" s="38">
        <f>SUMIFS('[14]inland_taf_hatchgrp_tableraw&amp;yy'!S$3:S$38,'[14]inland_taf_hatchgrp_tableraw&amp;yy'!$AC$3:$AC$38,'2021 Table 10 CWTs exp'!$A9)</f>
        <v>0</v>
      </c>
      <c r="T9" s="40">
        <f>SUMIFS('[14]inland_taf_hatchgrp_tableraw&amp;yy'!T$3:T$38,'[14]inland_taf_hatchgrp_tableraw&amp;yy'!$AC$3:$AC$38,'2021 Table 10 CWTs exp'!$A9)</f>
        <v>0</v>
      </c>
      <c r="U9" s="38">
        <f>SUMIFS('[14]inland_taf_hatchgrp_tableraw&amp;yy'!U$3:U$38,'[14]inland_taf_hatchgrp_tableraw&amp;yy'!$AC$3:$AC$38,'2021 Table 10 CWTs exp'!$A9)</f>
        <v>0</v>
      </c>
      <c r="V9" s="40">
        <f>SUMIFS('[14]inland_taf_hatchgrp_tableraw&amp;yy'!V$3:V$38,'[14]inland_taf_hatchgrp_tableraw&amp;yy'!$AC$3:$AC$38,'2021 Table 10 CWTs exp'!$A9)</f>
        <v>0</v>
      </c>
      <c r="W9" s="40">
        <f>SUMIFS('[14]inland_taf_hatchgrp_tableraw&amp;yy'!W$3:W$38,'[14]inland_taf_hatchgrp_tableraw&amp;yy'!$AC$3:$AC$38,'2021 Table 10 CWTs exp'!$A9)</f>
        <v>0</v>
      </c>
      <c r="X9" s="38">
        <f>SUMIFS('[14]inland_taf_hatchgrp_tableraw&amp;yy'!X$3:X$38,'[14]inland_taf_hatchgrp_tableraw&amp;yy'!$AC$3:$AC$38,'2021 Table 10 CWTs exp'!$A9)</f>
        <v>0</v>
      </c>
      <c r="Y9" s="41">
        <f>SUMIFS('[14]inland_taf_hatchgrp_tableraw&amp;yy'!Y$3:Y$38,'[14]inland_taf_hatchgrp_tableraw&amp;yy'!$AC$3:$AC$38,'2021 Table 10 CWTs exp'!$A9)</f>
        <v>0</v>
      </c>
      <c r="Z9" s="42">
        <f>SUMIFS('[14]inland_taf_hatchgrp_tableraw&amp;yy'!Z$3:Z$38,'[14]inland_taf_hatchgrp_tableraw&amp;yy'!$AC$3:$AC$38,'2021 Table 10 CWTs exp'!$A9)</f>
        <v>0</v>
      </c>
      <c r="AA9" s="38">
        <f>SUMIFS('[14]inland_taf_hatchgrp_tableraw&amp;yy'!AA$3:AA$38,'[14]inland_taf_hatchgrp_tableraw&amp;yy'!$AC$3:$AC$38,'2021 Table 10 CWTs exp'!$A9)</f>
        <v>0</v>
      </c>
      <c r="AB9" s="634"/>
      <c r="AC9" s="634"/>
      <c r="AD9" s="603">
        <f>SUMIFS('[14]inland_taf_hatchgrp_tableraw&amp;yy'!AB$3:AB$38,'[14]inland_taf_hatchgrp_tableraw&amp;yy'!$AC$3:$AC$38,'2021 Table 10 CWTs exp'!$A9)</f>
        <v>0</v>
      </c>
      <c r="AE9" s="604" t="str">
        <f t="shared" si="1"/>
        <v>KESW503</v>
      </c>
      <c r="AF9" s="603"/>
      <c r="AG9" s="622" t="e">
        <f>Y9/AA9</f>
        <v>#DIV/0!</v>
      </c>
      <c r="AH9" s="597"/>
      <c r="AI9" s="605">
        <f>1-AD9</f>
        <v>1</v>
      </c>
      <c r="AJ9" s="447">
        <f>Z9</f>
        <v>0</v>
      </c>
      <c r="AK9" s="650" t="e">
        <f t="shared" ref="AK9:AK14" si="3">AJ9/AA9</f>
        <v>#DIV/0!</v>
      </c>
      <c r="AL9" s="451">
        <v>3</v>
      </c>
      <c r="AM9" s="442" t="s">
        <v>48</v>
      </c>
      <c r="AN9" s="442"/>
      <c r="AO9" s="442"/>
      <c r="AP9" s="442"/>
      <c r="AQ9" s="442"/>
      <c r="AR9" s="442"/>
      <c r="AS9" s="442"/>
      <c r="AT9" s="442"/>
      <c r="AU9" s="442"/>
      <c r="AV9" s="442"/>
      <c r="AW9" s="442"/>
      <c r="AX9" s="442"/>
      <c r="AY9" s="442"/>
      <c r="AZ9" s="442"/>
      <c r="BA9" s="442"/>
      <c r="BB9" s="442"/>
      <c r="BC9" s="442"/>
      <c r="BD9" s="442"/>
      <c r="BE9" s="442"/>
      <c r="BF9" s="442"/>
      <c r="BG9" s="442"/>
      <c r="BH9" s="442"/>
      <c r="BI9" s="442"/>
    </row>
    <row r="10" spans="1:61" ht="14.5" customHeight="1" x14ac:dyDescent="0.25">
      <c r="A10" s="50" t="str">
        <f t="shared" si="0"/>
        <v>CNFH503</v>
      </c>
      <c r="B10" s="13" t="s">
        <v>40</v>
      </c>
      <c r="C10" s="13">
        <v>50</v>
      </c>
      <c r="D10" s="13">
        <v>3</v>
      </c>
      <c r="E10" s="3" t="s">
        <v>41</v>
      </c>
      <c r="F10" s="43" t="str">
        <f t="shared" si="2"/>
        <v>Fall</v>
      </c>
      <c r="G10" s="38">
        <f>SUMIFS('[14]inland_taf_hatchgrp_tableraw&amp;yy'!G$3:G$38,'[14]inland_taf_hatchgrp_tableraw&amp;yy'!$AC$3:$AC$38,'2021 Table 10 CWTs exp'!$A10)</f>
        <v>0</v>
      </c>
      <c r="H10" s="39">
        <f>SUMIFS('[14]inland_taf_hatchgrp_tableraw&amp;yy'!H$3:H$38,'[14]inland_taf_hatchgrp_tableraw&amp;yy'!$AC$3:$AC$38,'2021 Table 10 CWTs exp'!$A10)</f>
        <v>1</v>
      </c>
      <c r="I10" s="38">
        <f>SUMIFS('[14]inland_taf_hatchgrp_tableraw&amp;yy'!I$3:I$38,'[14]inland_taf_hatchgrp_tableraw&amp;yy'!$AC$3:$AC$38,'2021 Table 10 CWTs exp'!$A10)</f>
        <v>14449</v>
      </c>
      <c r="J10" s="40">
        <f>SUMIFS('[14]inland_taf_hatchgrp_tableraw&amp;yy'!J$3:J$38,'[14]inland_taf_hatchgrp_tableraw&amp;yy'!$AC$3:$AC$38,'2021 Table 10 CWTs exp'!$A10)</f>
        <v>0</v>
      </c>
      <c r="K10" s="39">
        <f>SUMIFS('[14]inland_taf_hatchgrp_tableraw&amp;yy'!K$3:K$38,'[14]inland_taf_hatchgrp_tableraw&amp;yy'!$AC$3:$AC$38,'2021 Table 10 CWTs exp'!$A10)</f>
        <v>0</v>
      </c>
      <c r="L10" s="38">
        <f>SUMIFS('[14]inland_taf_hatchgrp_tableraw&amp;yy'!L$3:L$38,'[14]inland_taf_hatchgrp_tableraw&amp;yy'!$AC$3:$AC$38,'2021 Table 10 CWTs exp'!$A10)</f>
        <v>0</v>
      </c>
      <c r="M10" s="38">
        <f>SUMIFS('[14]inland_taf_hatchgrp_tableraw&amp;yy'!M$3:M$38,'[14]inland_taf_hatchgrp_tableraw&amp;yy'!$AC$3:$AC$38,'2021 Table 10 CWTs exp'!$A10)</f>
        <v>183</v>
      </c>
      <c r="N10" s="40">
        <f>SUMIFS('[14]inland_taf_hatchgrp_tableraw&amp;yy'!N$3:N$38,'[14]inland_taf_hatchgrp_tableraw&amp;yy'!$AC$3:$AC$38,'2021 Table 10 CWTs exp'!$A10)</f>
        <v>4</v>
      </c>
      <c r="O10" s="38">
        <f>SUMIFS('[14]inland_taf_hatchgrp_tableraw&amp;yy'!O$3:O$38,'[14]inland_taf_hatchgrp_tableraw&amp;yy'!$AC$3:$AC$38,'2021 Table 10 CWTs exp'!$A10)</f>
        <v>0</v>
      </c>
      <c r="P10" s="40">
        <f>SUMIFS('[14]inland_taf_hatchgrp_tableraw&amp;yy'!P$3:P$38,'[14]inland_taf_hatchgrp_tableraw&amp;yy'!$AC$3:$AC$38,'2021 Table 10 CWTs exp'!$A10)</f>
        <v>4</v>
      </c>
      <c r="Q10" s="38">
        <f>SUMIFS('[14]inland_taf_hatchgrp_tableraw&amp;yy'!Q$3:Q$38,'[14]inland_taf_hatchgrp_tableraw&amp;yy'!$AC$3:$AC$38,'2021 Table 10 CWTs exp'!$A10)</f>
        <v>0</v>
      </c>
      <c r="R10" s="38">
        <f>SUMIFS('[14]inland_taf_hatchgrp_tableraw&amp;yy'!R$3:R$38,'[14]inland_taf_hatchgrp_tableraw&amp;yy'!$AC$3:$AC$38,'2021 Table 10 CWTs exp'!$A10)</f>
        <v>0</v>
      </c>
      <c r="S10" s="38">
        <f>SUMIFS('[14]inland_taf_hatchgrp_tableraw&amp;yy'!S$3:S$38,'[14]inland_taf_hatchgrp_tableraw&amp;yy'!$AC$3:$AC$38,'2021 Table 10 CWTs exp'!$A10)</f>
        <v>1</v>
      </c>
      <c r="T10" s="40">
        <f>SUMIFS('[14]inland_taf_hatchgrp_tableraw&amp;yy'!T$3:T$38,'[14]inland_taf_hatchgrp_tableraw&amp;yy'!$AC$3:$AC$38,'2021 Table 10 CWTs exp'!$A10)</f>
        <v>8</v>
      </c>
      <c r="U10" s="38">
        <f>SUMIFS('[14]inland_taf_hatchgrp_tableraw&amp;yy'!U$3:U$38,'[14]inland_taf_hatchgrp_tableraw&amp;yy'!$AC$3:$AC$38,'2021 Table 10 CWTs exp'!$A10)</f>
        <v>0</v>
      </c>
      <c r="V10" s="40">
        <f>SUMIFS('[14]inland_taf_hatchgrp_tableraw&amp;yy'!V$3:V$38,'[14]inland_taf_hatchgrp_tableraw&amp;yy'!$AC$3:$AC$38,'2021 Table 10 CWTs exp'!$A10)</f>
        <v>4</v>
      </c>
      <c r="W10" s="40">
        <f>SUMIFS('[14]inland_taf_hatchgrp_tableraw&amp;yy'!W$3:W$38,'[14]inland_taf_hatchgrp_tableraw&amp;yy'!$AC$3:$AC$38,'2021 Table 10 CWTs exp'!$A10)</f>
        <v>0</v>
      </c>
      <c r="X10" s="38">
        <f>SUMIFS('[14]inland_taf_hatchgrp_tableraw&amp;yy'!X$3:X$38,'[14]inland_taf_hatchgrp_tableraw&amp;yy'!$AC$3:$AC$38,'2021 Table 10 CWTs exp'!$A10)</f>
        <v>0</v>
      </c>
      <c r="Y10" s="41">
        <f>SUMIFS('[14]inland_taf_hatchgrp_tableraw&amp;yy'!Y$3:Y$38,'[14]inland_taf_hatchgrp_tableraw&amp;yy'!$AC$3:$AC$38,'2021 Table 10 CWTs exp'!$A10)</f>
        <v>14654</v>
      </c>
      <c r="Z10" s="42">
        <f>SUMIFS('[14]inland_taf_hatchgrp_tableraw&amp;yy'!Z$3:Z$38,'[14]inland_taf_hatchgrp_tableraw&amp;yy'!$AC$3:$AC$38,'2021 Table 10 CWTs exp'!$A10)</f>
        <v>1784</v>
      </c>
      <c r="AA10" s="38">
        <f>SUMIFS('[14]inland_taf_hatchgrp_tableraw&amp;yy'!AA$3:AA$38,'[14]inland_taf_hatchgrp_tableraw&amp;yy'!$AC$3:$AC$38,'2021 Table 10 CWTs exp'!$A10)</f>
        <v>16438</v>
      </c>
      <c r="AB10" s="634"/>
      <c r="AC10" s="634"/>
      <c r="AD10" s="603">
        <f>SUMIFS('[14]inland_taf_hatchgrp_tableraw&amp;yy'!AB$3:AB$38,'[14]inland_taf_hatchgrp_tableraw&amp;yy'!$AC$3:$AC$38,'2021 Table 10 CWTs exp'!$A10)</f>
        <v>0.89100000000000001</v>
      </c>
      <c r="AE10" s="604" t="str">
        <f t="shared" si="1"/>
        <v>CNFH503</v>
      </c>
      <c r="AF10" s="603"/>
      <c r="AG10" s="622">
        <f t="shared" ref="AG10:AG17" si="4">Y10/AA10</f>
        <v>0.89147098187127383</v>
      </c>
      <c r="AH10" s="597"/>
      <c r="AI10" s="605">
        <f>1-AD10</f>
        <v>0.10899999999999999</v>
      </c>
      <c r="AJ10" s="447">
        <f>Z10</f>
        <v>1784</v>
      </c>
      <c r="AK10" s="650">
        <f t="shared" si="3"/>
        <v>0.10852901812872612</v>
      </c>
      <c r="AL10" s="451">
        <v>4</v>
      </c>
      <c r="AM10" s="442" t="s">
        <v>42</v>
      </c>
      <c r="AN10" s="442"/>
      <c r="AO10" s="442"/>
      <c r="AP10" s="442"/>
      <c r="AQ10" s="442"/>
      <c r="AR10" s="442"/>
      <c r="AS10" s="442"/>
      <c r="AT10" s="442"/>
      <c r="AU10" s="442"/>
      <c r="AV10" s="442"/>
      <c r="AW10" s="442"/>
      <c r="AX10" s="442"/>
      <c r="AY10" s="442"/>
      <c r="AZ10" s="442"/>
      <c r="BA10" s="442"/>
      <c r="BB10" s="442"/>
      <c r="BC10" s="442"/>
      <c r="BD10" s="442"/>
      <c r="BE10" s="442"/>
      <c r="BF10" s="442"/>
      <c r="BG10" s="442"/>
      <c r="BH10" s="442"/>
      <c r="BI10" s="442"/>
    </row>
    <row r="11" spans="1:61" ht="14.5" customHeight="1" x14ac:dyDescent="0.25">
      <c r="A11" s="50" t="str">
        <f t="shared" si="0"/>
        <v>FRFH503</v>
      </c>
      <c r="B11" s="13" t="s">
        <v>45</v>
      </c>
      <c r="C11" s="13">
        <v>50</v>
      </c>
      <c r="D11" s="13">
        <v>3</v>
      </c>
      <c r="E11" s="3" t="s">
        <v>46</v>
      </c>
      <c r="F11" s="43" t="str">
        <f t="shared" si="2"/>
        <v>Fall</v>
      </c>
      <c r="G11" s="38">
        <f>SUMIFS('[14]inland_taf_hatchgrp_tableraw&amp;yy'!G$3:G$38,'[14]inland_taf_hatchgrp_tableraw&amp;yy'!$AC$3:$AC$38,'2021 Table 10 CWTs exp'!$A11)</f>
        <v>0</v>
      </c>
      <c r="H11" s="39">
        <f>SUMIFS('[14]inland_taf_hatchgrp_tableraw&amp;yy'!H$3:H$38,'[14]inland_taf_hatchgrp_tableraw&amp;yy'!$AC$3:$AC$38,'2021 Table 10 CWTs exp'!$A11)</f>
        <v>0</v>
      </c>
      <c r="I11" s="38">
        <f>SUMIFS('[14]inland_taf_hatchgrp_tableraw&amp;yy'!I$3:I$38,'[14]inland_taf_hatchgrp_tableraw&amp;yy'!$AC$3:$AC$38,'2021 Table 10 CWTs exp'!$A11)</f>
        <v>10</v>
      </c>
      <c r="J11" s="40">
        <f>SUMIFS('[14]inland_taf_hatchgrp_tableraw&amp;yy'!J$3:J$38,'[14]inland_taf_hatchgrp_tableraw&amp;yy'!$AC$3:$AC$38,'2021 Table 10 CWTs exp'!$A11)</f>
        <v>0</v>
      </c>
      <c r="K11" s="39">
        <f>SUMIFS('[14]inland_taf_hatchgrp_tableraw&amp;yy'!K$3:K$38,'[14]inland_taf_hatchgrp_tableraw&amp;yy'!$AC$3:$AC$38,'2021 Table 10 CWTs exp'!$A11)</f>
        <v>1635</v>
      </c>
      <c r="L11" s="38">
        <f>SUMIFS('[14]inland_taf_hatchgrp_tableraw&amp;yy'!L$3:L$38,'[14]inland_taf_hatchgrp_tableraw&amp;yy'!$AC$3:$AC$38,'2021 Table 10 CWTs exp'!$A11)</f>
        <v>75</v>
      </c>
      <c r="M11" s="38">
        <f>SUMIFS('[14]inland_taf_hatchgrp_tableraw&amp;yy'!M$3:M$38,'[14]inland_taf_hatchgrp_tableraw&amp;yy'!$AC$3:$AC$38,'2021 Table 10 CWTs exp'!$A11)</f>
        <v>6708</v>
      </c>
      <c r="N11" s="40">
        <f>SUMIFS('[14]inland_taf_hatchgrp_tableraw&amp;yy'!N$3:N$38,'[14]inland_taf_hatchgrp_tableraw&amp;yy'!$AC$3:$AC$38,'2021 Table 10 CWTs exp'!$A11)</f>
        <v>772</v>
      </c>
      <c r="O11" s="38">
        <f>SUMIFS('[14]inland_taf_hatchgrp_tableraw&amp;yy'!O$3:O$38,'[14]inland_taf_hatchgrp_tableraw&amp;yy'!$AC$3:$AC$38,'2021 Table 10 CWTs exp'!$A11)</f>
        <v>48</v>
      </c>
      <c r="P11" s="40">
        <f>SUMIFS('[14]inland_taf_hatchgrp_tableraw&amp;yy'!P$3:P$38,'[14]inland_taf_hatchgrp_tableraw&amp;yy'!$AC$3:$AC$38,'2021 Table 10 CWTs exp'!$A11)</f>
        <v>217</v>
      </c>
      <c r="Q11" s="38">
        <f>SUMIFS('[14]inland_taf_hatchgrp_tableraw&amp;yy'!Q$3:Q$38,'[14]inland_taf_hatchgrp_tableraw&amp;yy'!$AC$3:$AC$38,'2021 Table 10 CWTs exp'!$A11)</f>
        <v>2</v>
      </c>
      <c r="R11" s="38">
        <f>SUMIFS('[14]inland_taf_hatchgrp_tableraw&amp;yy'!R$3:R$38,'[14]inland_taf_hatchgrp_tableraw&amp;yy'!$AC$3:$AC$38,'2021 Table 10 CWTs exp'!$A11)</f>
        <v>133</v>
      </c>
      <c r="S11" s="38">
        <f>SUMIFS('[14]inland_taf_hatchgrp_tableraw&amp;yy'!S$3:S$38,'[14]inland_taf_hatchgrp_tableraw&amp;yy'!$AC$3:$AC$38,'2021 Table 10 CWTs exp'!$A11)</f>
        <v>41</v>
      </c>
      <c r="T11" s="40">
        <f>SUMIFS('[14]inland_taf_hatchgrp_tableraw&amp;yy'!T$3:T$38,'[14]inland_taf_hatchgrp_tableraw&amp;yy'!$AC$3:$AC$38,'2021 Table 10 CWTs exp'!$A11)</f>
        <v>120</v>
      </c>
      <c r="U11" s="38">
        <f>SUMIFS('[14]inland_taf_hatchgrp_tableraw&amp;yy'!U$3:U$38,'[14]inland_taf_hatchgrp_tableraw&amp;yy'!$AC$3:$AC$38,'2021 Table 10 CWTs exp'!$A11)</f>
        <v>0</v>
      </c>
      <c r="V11" s="40">
        <f>SUMIFS('[14]inland_taf_hatchgrp_tableraw&amp;yy'!V$3:V$38,'[14]inland_taf_hatchgrp_tableraw&amp;yy'!$AC$3:$AC$38,'2021 Table 10 CWTs exp'!$A11)</f>
        <v>130</v>
      </c>
      <c r="W11" s="40">
        <f>SUMIFS('[14]inland_taf_hatchgrp_tableraw&amp;yy'!W$3:W$38,'[14]inland_taf_hatchgrp_tableraw&amp;yy'!$AC$3:$AC$38,'2021 Table 10 CWTs exp'!$A11)</f>
        <v>29</v>
      </c>
      <c r="X11" s="38">
        <f>SUMIFS('[14]inland_taf_hatchgrp_tableraw&amp;yy'!X$3:X$38,'[14]inland_taf_hatchgrp_tableraw&amp;yy'!$AC$3:$AC$38,'2021 Table 10 CWTs exp'!$A11)</f>
        <v>0</v>
      </c>
      <c r="Y11" s="41">
        <f>SUMIFS('[14]inland_taf_hatchgrp_tableraw&amp;yy'!Y$3:Y$38,'[14]inland_taf_hatchgrp_tableraw&amp;yy'!$AC$3:$AC$38,'2021 Table 10 CWTs exp'!$A11)</f>
        <v>9920</v>
      </c>
      <c r="Z11" s="42">
        <f>SUMIFS('[14]inland_taf_hatchgrp_tableraw&amp;yy'!Z$3:Z$38,'[14]inland_taf_hatchgrp_tableraw&amp;yy'!$AC$3:$AC$38,'2021 Table 10 CWTs exp'!$A11)</f>
        <v>2465</v>
      </c>
      <c r="AA11" s="38">
        <f>SUMIFS('[14]inland_taf_hatchgrp_tableraw&amp;yy'!AA$3:AA$38,'[14]inland_taf_hatchgrp_tableraw&amp;yy'!$AC$3:$AC$38,'2021 Table 10 CWTs exp'!$A11)</f>
        <v>12385</v>
      </c>
      <c r="AB11" s="634"/>
      <c r="AC11" s="634"/>
      <c r="AD11" s="603">
        <f>SUMIFS('[14]inland_taf_hatchgrp_tableraw&amp;yy'!AB$3:AB$38,'[14]inland_taf_hatchgrp_tableraw&amp;yy'!$AC$3:$AC$38,'2021 Table 10 CWTs exp'!$A11)</f>
        <v>0.80100000000000005</v>
      </c>
      <c r="AE11" s="604" t="str">
        <f t="shared" si="1"/>
        <v>FRFH503</v>
      </c>
      <c r="AF11" s="603"/>
      <c r="AG11" s="622">
        <f t="shared" si="4"/>
        <v>0.8009689140088817</v>
      </c>
      <c r="AH11" s="597"/>
      <c r="AI11" s="605">
        <f t="shared" ref="AI11:AI14" si="5">1-AD11</f>
        <v>0.19899999999999995</v>
      </c>
      <c r="AJ11" s="447">
        <f t="shared" ref="AJ11:AJ14" si="6">Z11</f>
        <v>2465</v>
      </c>
      <c r="AK11" s="650">
        <f t="shared" si="3"/>
        <v>0.1990310859911183</v>
      </c>
      <c r="AL11" s="451">
        <v>7</v>
      </c>
      <c r="AM11" s="442" t="s">
        <v>49</v>
      </c>
      <c r="AN11" s="442"/>
      <c r="AO11" s="442"/>
      <c r="AP11" s="442"/>
      <c r="AQ11" s="442"/>
      <c r="AR11" s="442"/>
      <c r="AS11" s="442"/>
      <c r="AT11" s="442"/>
      <c r="AU11" s="442"/>
      <c r="AV11" s="442"/>
      <c r="AW11" s="442"/>
      <c r="AX11" s="442"/>
      <c r="AY11" s="442"/>
      <c r="AZ11" s="442"/>
      <c r="BA11" s="442"/>
      <c r="BB11" s="442"/>
      <c r="BC11" s="442"/>
      <c r="BD11" s="442"/>
      <c r="BE11" s="442"/>
      <c r="BF11" s="442"/>
      <c r="BG11" s="442"/>
      <c r="BH11" s="442"/>
      <c r="BI11" s="442"/>
    </row>
    <row r="12" spans="1:61" ht="14.5" customHeight="1" x14ac:dyDescent="0.25">
      <c r="A12" s="50" t="str">
        <f t="shared" si="0"/>
        <v>NBFH503</v>
      </c>
      <c r="B12" s="13" t="s">
        <v>50</v>
      </c>
      <c r="C12" s="13">
        <v>50</v>
      </c>
      <c r="D12" s="13">
        <v>3</v>
      </c>
      <c r="E12" s="3" t="s">
        <v>51</v>
      </c>
      <c r="F12" s="43" t="str">
        <f t="shared" si="2"/>
        <v>Fall</v>
      </c>
      <c r="G12" s="38">
        <f>SUMIFS('[14]inland_taf_hatchgrp_tableraw&amp;yy'!G$3:G$38,'[14]inland_taf_hatchgrp_tableraw&amp;yy'!$AC$3:$AC$38,'2021 Table 10 CWTs exp'!$A12)</f>
        <v>0</v>
      </c>
      <c r="H12" s="39">
        <f>SUMIFS('[14]inland_taf_hatchgrp_tableraw&amp;yy'!H$3:H$38,'[14]inland_taf_hatchgrp_tableraw&amp;yy'!$AC$3:$AC$38,'2021 Table 10 CWTs exp'!$A12)</f>
        <v>0</v>
      </c>
      <c r="I12" s="38">
        <f>SUMIFS('[14]inland_taf_hatchgrp_tableraw&amp;yy'!I$3:I$38,'[14]inland_taf_hatchgrp_tableraw&amp;yy'!$AC$3:$AC$38,'2021 Table 10 CWTs exp'!$A12)</f>
        <v>4</v>
      </c>
      <c r="J12" s="40">
        <f>SUMIFS('[14]inland_taf_hatchgrp_tableraw&amp;yy'!J$3:J$38,'[14]inland_taf_hatchgrp_tableraw&amp;yy'!$AC$3:$AC$38,'2021 Table 10 CWTs exp'!$A12)</f>
        <v>0</v>
      </c>
      <c r="K12" s="39">
        <f>SUMIFS('[14]inland_taf_hatchgrp_tableraw&amp;yy'!K$3:K$38,'[14]inland_taf_hatchgrp_tableraw&amp;yy'!$AC$3:$AC$38,'2021 Table 10 CWTs exp'!$A12)</f>
        <v>0</v>
      </c>
      <c r="L12" s="38">
        <f>SUMIFS('[14]inland_taf_hatchgrp_tableraw&amp;yy'!L$3:L$38,'[14]inland_taf_hatchgrp_tableraw&amp;yy'!$AC$3:$AC$38,'2021 Table 10 CWTs exp'!$A12)</f>
        <v>0</v>
      </c>
      <c r="M12" s="38">
        <f>SUMIFS('[14]inland_taf_hatchgrp_tableraw&amp;yy'!M$3:M$38,'[14]inland_taf_hatchgrp_tableraw&amp;yy'!$AC$3:$AC$38,'2021 Table 10 CWTs exp'!$A12)</f>
        <v>138</v>
      </c>
      <c r="N12" s="40">
        <f>SUMIFS('[14]inland_taf_hatchgrp_tableraw&amp;yy'!N$3:N$38,'[14]inland_taf_hatchgrp_tableraw&amp;yy'!$AC$3:$AC$38,'2021 Table 10 CWTs exp'!$A12)</f>
        <v>24</v>
      </c>
      <c r="O12" s="38">
        <f>SUMIFS('[14]inland_taf_hatchgrp_tableraw&amp;yy'!O$3:O$38,'[14]inland_taf_hatchgrp_tableraw&amp;yy'!$AC$3:$AC$38,'2021 Table 10 CWTs exp'!$A12)</f>
        <v>2091</v>
      </c>
      <c r="P12" s="40">
        <f>SUMIFS('[14]inland_taf_hatchgrp_tableraw&amp;yy'!P$3:P$38,'[14]inland_taf_hatchgrp_tableraw&amp;yy'!$AC$3:$AC$38,'2021 Table 10 CWTs exp'!$A12)</f>
        <v>4080</v>
      </c>
      <c r="Q12" s="38">
        <f>SUMIFS('[14]inland_taf_hatchgrp_tableraw&amp;yy'!Q$3:Q$38,'[14]inland_taf_hatchgrp_tableraw&amp;yy'!$AC$3:$AC$38,'2021 Table 10 CWTs exp'!$A12)</f>
        <v>16</v>
      </c>
      <c r="R12" s="38">
        <f>SUMIFS('[14]inland_taf_hatchgrp_tableraw&amp;yy'!R$3:R$38,'[14]inland_taf_hatchgrp_tableraw&amp;yy'!$AC$3:$AC$38,'2021 Table 10 CWTs exp'!$A12)</f>
        <v>1824</v>
      </c>
      <c r="S12" s="38">
        <f>SUMIFS('[14]inland_taf_hatchgrp_tableraw&amp;yy'!S$3:S$38,'[14]inland_taf_hatchgrp_tableraw&amp;yy'!$AC$3:$AC$38,'2021 Table 10 CWTs exp'!$A12)</f>
        <v>241</v>
      </c>
      <c r="T12" s="40">
        <f>SUMIFS('[14]inland_taf_hatchgrp_tableraw&amp;yy'!T$3:T$38,'[14]inland_taf_hatchgrp_tableraw&amp;yy'!$AC$3:$AC$38,'2021 Table 10 CWTs exp'!$A12)</f>
        <v>976</v>
      </c>
      <c r="U12" s="38">
        <f>SUMIFS('[14]inland_taf_hatchgrp_tableraw&amp;yy'!U$3:U$38,'[14]inland_taf_hatchgrp_tableraw&amp;yy'!$AC$3:$AC$38,'2021 Table 10 CWTs exp'!$A12)</f>
        <v>0</v>
      </c>
      <c r="V12" s="40">
        <f>SUMIFS('[14]inland_taf_hatchgrp_tableraw&amp;yy'!V$3:V$38,'[14]inland_taf_hatchgrp_tableraw&amp;yy'!$AC$3:$AC$38,'2021 Table 10 CWTs exp'!$A12)</f>
        <v>172</v>
      </c>
      <c r="W12" s="40">
        <f>SUMIFS('[14]inland_taf_hatchgrp_tableraw&amp;yy'!W$3:W$38,'[14]inland_taf_hatchgrp_tableraw&amp;yy'!$AC$3:$AC$38,'2021 Table 10 CWTs exp'!$A12)</f>
        <v>1</v>
      </c>
      <c r="X12" s="38">
        <f>SUMIFS('[14]inland_taf_hatchgrp_tableraw&amp;yy'!X$3:X$38,'[14]inland_taf_hatchgrp_tableraw&amp;yy'!$AC$3:$AC$38,'2021 Table 10 CWTs exp'!$A12)</f>
        <v>0</v>
      </c>
      <c r="Y12" s="41">
        <f>SUMIFS('[14]inland_taf_hatchgrp_tableraw&amp;yy'!Y$3:Y$38,'[14]inland_taf_hatchgrp_tableraw&amp;yy'!$AC$3:$AC$38,'2021 Table 10 CWTs exp'!$A12)</f>
        <v>9567</v>
      </c>
      <c r="Z12" s="42">
        <f>SUMIFS('[14]inland_taf_hatchgrp_tableraw&amp;yy'!Z$3:Z$38,'[14]inland_taf_hatchgrp_tableraw&amp;yy'!$AC$3:$AC$38,'2021 Table 10 CWTs exp'!$A12)</f>
        <v>1510</v>
      </c>
      <c r="AA12" s="38">
        <f>SUMIFS('[14]inland_taf_hatchgrp_tableraw&amp;yy'!AA$3:AA$38,'[14]inland_taf_hatchgrp_tableraw&amp;yy'!$AC$3:$AC$38,'2021 Table 10 CWTs exp'!$A12)</f>
        <v>11077</v>
      </c>
      <c r="AB12" s="634"/>
      <c r="AC12" s="634"/>
      <c r="AD12" s="603">
        <f>SUMIFS('[14]inland_taf_hatchgrp_tableraw&amp;yy'!AB$3:AB$38,'[14]inland_taf_hatchgrp_tableraw&amp;yy'!$AC$3:$AC$38,'2021 Table 10 CWTs exp'!$A12)</f>
        <v>0.86399999999999999</v>
      </c>
      <c r="AE12" s="604" t="str">
        <f t="shared" si="1"/>
        <v>NBFH503</v>
      </c>
      <c r="AF12" s="603"/>
      <c r="AG12" s="622">
        <f t="shared" si="4"/>
        <v>0.86368150221179019</v>
      </c>
      <c r="AH12" s="597"/>
      <c r="AI12" s="605">
        <f t="shared" si="5"/>
        <v>0.13600000000000001</v>
      </c>
      <c r="AJ12" s="447">
        <f t="shared" si="6"/>
        <v>1510</v>
      </c>
      <c r="AK12" s="650">
        <f t="shared" si="3"/>
        <v>0.13631849778820981</v>
      </c>
      <c r="AL12" s="451"/>
      <c r="AM12" s="442"/>
      <c r="AN12" s="442"/>
      <c r="AO12" s="442"/>
      <c r="AP12" s="442"/>
      <c r="AQ12" s="442"/>
      <c r="AR12" s="442"/>
      <c r="AS12" s="442"/>
      <c r="AT12" s="442"/>
      <c r="AU12" s="442"/>
      <c r="AV12" s="442"/>
      <c r="AW12" s="442"/>
      <c r="AX12" s="442"/>
      <c r="AY12" s="442"/>
      <c r="AZ12" s="442"/>
      <c r="BA12" s="442"/>
      <c r="BB12" s="442"/>
      <c r="BC12" s="442"/>
      <c r="BD12" s="442"/>
      <c r="BE12" s="442"/>
      <c r="BF12" s="442"/>
      <c r="BG12" s="442"/>
      <c r="BH12" s="442"/>
      <c r="BI12" s="442"/>
    </row>
    <row r="13" spans="1:61" ht="14.5" customHeight="1" x14ac:dyDescent="0.25">
      <c r="A13" s="50" t="str">
        <f t="shared" si="0"/>
        <v>MRFI503</v>
      </c>
      <c r="B13" s="13" t="s">
        <v>52</v>
      </c>
      <c r="C13" s="13">
        <v>50</v>
      </c>
      <c r="D13" s="13">
        <v>3</v>
      </c>
      <c r="E13" s="3" t="s">
        <v>53</v>
      </c>
      <c r="F13" s="43" t="str">
        <f t="shared" si="2"/>
        <v>Fall</v>
      </c>
      <c r="G13" s="38">
        <f>SUMIFS('[14]inland_taf_hatchgrp_tableraw&amp;yy'!G$3:G$38,'[14]inland_taf_hatchgrp_tableraw&amp;yy'!$AC$3:$AC$38,'2021 Table 10 CWTs exp'!$A13)</f>
        <v>0</v>
      </c>
      <c r="H13" s="39">
        <f>SUMIFS('[14]inland_taf_hatchgrp_tableraw&amp;yy'!H$3:H$38,'[14]inland_taf_hatchgrp_tableraw&amp;yy'!$AC$3:$AC$38,'2021 Table 10 CWTs exp'!$A13)</f>
        <v>0</v>
      </c>
      <c r="I13" s="38">
        <f>SUMIFS('[14]inland_taf_hatchgrp_tableraw&amp;yy'!I$3:I$38,'[14]inland_taf_hatchgrp_tableraw&amp;yy'!$AC$3:$AC$38,'2021 Table 10 CWTs exp'!$A13)</f>
        <v>4</v>
      </c>
      <c r="J13" s="40">
        <f>SUMIFS('[14]inland_taf_hatchgrp_tableraw&amp;yy'!J$3:J$38,'[14]inland_taf_hatchgrp_tableraw&amp;yy'!$AC$3:$AC$38,'2021 Table 10 CWTs exp'!$A13)</f>
        <v>0</v>
      </c>
      <c r="K13" s="39">
        <f>SUMIFS('[14]inland_taf_hatchgrp_tableraw&amp;yy'!K$3:K$38,'[14]inland_taf_hatchgrp_tableraw&amp;yy'!$AC$3:$AC$38,'2021 Table 10 CWTs exp'!$A13)</f>
        <v>0</v>
      </c>
      <c r="L13" s="38">
        <f>SUMIFS('[14]inland_taf_hatchgrp_tableraw&amp;yy'!L$3:L$38,'[14]inland_taf_hatchgrp_tableraw&amp;yy'!$AC$3:$AC$38,'2021 Table 10 CWTs exp'!$A13)</f>
        <v>0</v>
      </c>
      <c r="M13" s="38">
        <f>SUMIFS('[14]inland_taf_hatchgrp_tableraw&amp;yy'!M$3:M$38,'[14]inland_taf_hatchgrp_tableraw&amp;yy'!$AC$3:$AC$38,'2021 Table 10 CWTs exp'!$A13)</f>
        <v>178</v>
      </c>
      <c r="N13" s="40">
        <f>SUMIFS('[14]inland_taf_hatchgrp_tableraw&amp;yy'!N$3:N$38,'[14]inland_taf_hatchgrp_tableraw&amp;yy'!$AC$3:$AC$38,'2021 Table 10 CWTs exp'!$A13)</f>
        <v>20</v>
      </c>
      <c r="O13" s="38">
        <f>SUMIFS('[14]inland_taf_hatchgrp_tableraw&amp;yy'!O$3:O$38,'[14]inland_taf_hatchgrp_tableraw&amp;yy'!$AC$3:$AC$38,'2021 Table 10 CWTs exp'!$A13)</f>
        <v>8</v>
      </c>
      <c r="P13" s="40">
        <f>SUMIFS('[14]inland_taf_hatchgrp_tableraw&amp;yy'!P$3:P$38,'[14]inland_taf_hatchgrp_tableraw&amp;yy'!$AC$3:$AC$38,'2021 Table 10 CWTs exp'!$A13)</f>
        <v>430</v>
      </c>
      <c r="Q13" s="38">
        <f>SUMIFS('[14]inland_taf_hatchgrp_tableraw&amp;yy'!Q$3:Q$38,'[14]inland_taf_hatchgrp_tableraw&amp;yy'!$AC$3:$AC$38,'2021 Table 10 CWTs exp'!$A13)</f>
        <v>54</v>
      </c>
      <c r="R13" s="38">
        <f>SUMIFS('[14]inland_taf_hatchgrp_tableraw&amp;yy'!R$3:R$38,'[14]inland_taf_hatchgrp_tableraw&amp;yy'!$AC$3:$AC$38,'2021 Table 10 CWTs exp'!$A13)</f>
        <v>2146</v>
      </c>
      <c r="S13" s="38">
        <f>SUMIFS('[14]inland_taf_hatchgrp_tableraw&amp;yy'!S$3:S$38,'[14]inland_taf_hatchgrp_tableraw&amp;yy'!$AC$3:$AC$38,'2021 Table 10 CWTs exp'!$A13)</f>
        <v>99</v>
      </c>
      <c r="T13" s="40">
        <f>SUMIFS('[14]inland_taf_hatchgrp_tableraw&amp;yy'!T$3:T$38,'[14]inland_taf_hatchgrp_tableraw&amp;yy'!$AC$3:$AC$38,'2021 Table 10 CWTs exp'!$A13)</f>
        <v>564</v>
      </c>
      <c r="U13" s="38">
        <f>SUMIFS('[14]inland_taf_hatchgrp_tableraw&amp;yy'!U$3:U$38,'[14]inland_taf_hatchgrp_tableraw&amp;yy'!$AC$3:$AC$38,'2021 Table 10 CWTs exp'!$A13)</f>
        <v>0</v>
      </c>
      <c r="V13" s="40">
        <f>SUMIFS('[14]inland_taf_hatchgrp_tableraw&amp;yy'!V$3:V$38,'[14]inland_taf_hatchgrp_tableraw&amp;yy'!$AC$3:$AC$38,'2021 Table 10 CWTs exp'!$A13)</f>
        <v>247</v>
      </c>
      <c r="W13" s="40">
        <f>SUMIFS('[14]inland_taf_hatchgrp_tableraw&amp;yy'!W$3:W$38,'[14]inland_taf_hatchgrp_tableraw&amp;yy'!$AC$3:$AC$38,'2021 Table 10 CWTs exp'!$A13)</f>
        <v>1</v>
      </c>
      <c r="X13" s="38">
        <f>SUMIFS('[14]inland_taf_hatchgrp_tableraw&amp;yy'!X$3:X$38,'[14]inland_taf_hatchgrp_tableraw&amp;yy'!$AC$3:$AC$38,'2021 Table 10 CWTs exp'!$A13)</f>
        <v>0</v>
      </c>
      <c r="Y13" s="41">
        <f>SUMIFS('[14]inland_taf_hatchgrp_tableraw&amp;yy'!Y$3:Y$38,'[14]inland_taf_hatchgrp_tableraw&amp;yy'!$AC$3:$AC$38,'2021 Table 10 CWTs exp'!$A13)</f>
        <v>3751</v>
      </c>
      <c r="Z13" s="42">
        <f>SUMIFS('[14]inland_taf_hatchgrp_tableraw&amp;yy'!Z$3:Z$38,'[14]inland_taf_hatchgrp_tableraw&amp;yy'!$AC$3:$AC$38,'2021 Table 10 CWTs exp'!$A13)</f>
        <v>466</v>
      </c>
      <c r="AA13" s="38">
        <f>SUMIFS('[14]inland_taf_hatchgrp_tableraw&amp;yy'!AA$3:AA$38,'[14]inland_taf_hatchgrp_tableraw&amp;yy'!$AC$3:$AC$38,'2021 Table 10 CWTs exp'!$A13)</f>
        <v>4217</v>
      </c>
      <c r="AB13" s="634"/>
      <c r="AC13" s="634"/>
      <c r="AD13" s="603">
        <f>SUMIFS('[14]inland_taf_hatchgrp_tableraw&amp;yy'!AB$3:AB$38,'[14]inland_taf_hatchgrp_tableraw&amp;yy'!$AC$3:$AC$38,'2021 Table 10 CWTs exp'!$A13)</f>
        <v>0.88900000000000001</v>
      </c>
      <c r="AE13" s="604" t="str">
        <f t="shared" si="1"/>
        <v>MRFI503</v>
      </c>
      <c r="AF13" s="603"/>
      <c r="AG13" s="622">
        <f t="shared" si="4"/>
        <v>0.88949490158880717</v>
      </c>
      <c r="AH13" s="597"/>
      <c r="AI13" s="605">
        <f t="shared" si="5"/>
        <v>0.11099999999999999</v>
      </c>
      <c r="AJ13" s="447">
        <f t="shared" si="6"/>
        <v>466</v>
      </c>
      <c r="AK13" s="650">
        <f t="shared" si="3"/>
        <v>0.11050509841119278</v>
      </c>
      <c r="AL13" s="451"/>
      <c r="AM13" s="442"/>
      <c r="AN13" s="442"/>
      <c r="AO13" s="442"/>
      <c r="AP13" s="442"/>
      <c r="AQ13" s="442"/>
      <c r="AR13" s="442"/>
      <c r="AS13" s="442"/>
      <c r="AT13" s="442"/>
      <c r="AU13" s="442"/>
      <c r="AV13" s="442"/>
      <c r="AW13" s="442"/>
      <c r="AX13" s="442"/>
      <c r="AY13" s="442"/>
      <c r="AZ13" s="442"/>
      <c r="BA13" s="442"/>
      <c r="BB13" s="442"/>
      <c r="BC13" s="442"/>
      <c r="BD13" s="442"/>
      <c r="BE13" s="442"/>
      <c r="BF13" s="442"/>
      <c r="BG13" s="442"/>
      <c r="BH13" s="442"/>
      <c r="BI13" s="442"/>
    </row>
    <row r="14" spans="1:61" ht="14.5" customHeight="1" x14ac:dyDescent="0.25">
      <c r="A14" s="50" t="str">
        <f t="shared" si="0"/>
        <v>MRFF503</v>
      </c>
      <c r="B14" s="13" t="s">
        <v>54</v>
      </c>
      <c r="C14" s="13">
        <v>50</v>
      </c>
      <c r="D14" s="13">
        <v>3</v>
      </c>
      <c r="E14" s="3" t="s">
        <v>55</v>
      </c>
      <c r="F14" s="43" t="str">
        <f t="shared" si="2"/>
        <v>Fall</v>
      </c>
      <c r="G14" s="38">
        <f>SUMIFS('[14]inland_taf_hatchgrp_tableraw&amp;yy'!G$3:G$38,'[14]inland_taf_hatchgrp_tableraw&amp;yy'!$AC$3:$AC$38,'2021 Table 10 CWTs exp'!$A14)</f>
        <v>0</v>
      </c>
      <c r="H14" s="39">
        <f>SUMIFS('[14]inland_taf_hatchgrp_tableraw&amp;yy'!H$3:H$38,'[14]inland_taf_hatchgrp_tableraw&amp;yy'!$AC$3:$AC$38,'2021 Table 10 CWTs exp'!$A14)</f>
        <v>1</v>
      </c>
      <c r="I14" s="38">
        <f>SUMIFS('[14]inland_taf_hatchgrp_tableraw&amp;yy'!I$3:I$38,'[14]inland_taf_hatchgrp_tableraw&amp;yy'!$AC$3:$AC$38,'2021 Table 10 CWTs exp'!$A14)</f>
        <v>0</v>
      </c>
      <c r="J14" s="40">
        <f>SUMIFS('[14]inland_taf_hatchgrp_tableraw&amp;yy'!J$3:J$38,'[14]inland_taf_hatchgrp_tableraw&amp;yy'!$AC$3:$AC$38,'2021 Table 10 CWTs exp'!$A14)</f>
        <v>0</v>
      </c>
      <c r="K14" s="39">
        <f>SUMIFS('[14]inland_taf_hatchgrp_tableraw&amp;yy'!K$3:K$38,'[14]inland_taf_hatchgrp_tableraw&amp;yy'!$AC$3:$AC$38,'2021 Table 10 CWTs exp'!$A14)</f>
        <v>0</v>
      </c>
      <c r="L14" s="38">
        <f>SUMIFS('[14]inland_taf_hatchgrp_tableraw&amp;yy'!L$3:L$38,'[14]inland_taf_hatchgrp_tableraw&amp;yy'!$AC$3:$AC$38,'2021 Table 10 CWTs exp'!$A14)</f>
        <v>0</v>
      </c>
      <c r="M14" s="38">
        <f>SUMIFS('[14]inland_taf_hatchgrp_tableraw&amp;yy'!M$3:M$38,'[14]inland_taf_hatchgrp_tableraw&amp;yy'!$AC$3:$AC$38,'2021 Table 10 CWTs exp'!$A14)</f>
        <v>8</v>
      </c>
      <c r="N14" s="40">
        <f>SUMIFS('[14]inland_taf_hatchgrp_tableraw&amp;yy'!N$3:N$38,'[14]inland_taf_hatchgrp_tableraw&amp;yy'!$AC$3:$AC$38,'2021 Table 10 CWTs exp'!$A14)</f>
        <v>0</v>
      </c>
      <c r="O14" s="38">
        <f>SUMIFS('[14]inland_taf_hatchgrp_tableraw&amp;yy'!O$3:O$38,'[14]inland_taf_hatchgrp_tableraw&amp;yy'!$AC$3:$AC$38,'2021 Table 10 CWTs exp'!$A14)</f>
        <v>0</v>
      </c>
      <c r="P14" s="40">
        <f>SUMIFS('[14]inland_taf_hatchgrp_tableraw&amp;yy'!P$3:P$38,'[14]inland_taf_hatchgrp_tableraw&amp;yy'!$AC$3:$AC$38,'2021 Table 10 CWTs exp'!$A14)</f>
        <v>20</v>
      </c>
      <c r="Q14" s="38">
        <f>SUMIFS('[14]inland_taf_hatchgrp_tableraw&amp;yy'!Q$3:Q$38,'[14]inland_taf_hatchgrp_tableraw&amp;yy'!$AC$3:$AC$38,'2021 Table 10 CWTs exp'!$A14)</f>
        <v>0</v>
      </c>
      <c r="R14" s="38">
        <f>SUMIFS('[14]inland_taf_hatchgrp_tableraw&amp;yy'!R$3:R$38,'[14]inland_taf_hatchgrp_tableraw&amp;yy'!$AC$3:$AC$38,'2021 Table 10 CWTs exp'!$A14)</f>
        <v>162</v>
      </c>
      <c r="S14" s="38">
        <f>SUMIFS('[14]inland_taf_hatchgrp_tableraw&amp;yy'!S$3:S$38,'[14]inland_taf_hatchgrp_tableraw&amp;yy'!$AC$3:$AC$38,'2021 Table 10 CWTs exp'!$A14)</f>
        <v>0</v>
      </c>
      <c r="T14" s="40">
        <f>SUMIFS('[14]inland_taf_hatchgrp_tableraw&amp;yy'!T$3:T$38,'[14]inland_taf_hatchgrp_tableraw&amp;yy'!$AC$3:$AC$38,'2021 Table 10 CWTs exp'!$A14)</f>
        <v>27</v>
      </c>
      <c r="U14" s="38">
        <f>SUMIFS('[14]inland_taf_hatchgrp_tableraw&amp;yy'!U$3:U$38,'[14]inland_taf_hatchgrp_tableraw&amp;yy'!$AC$3:$AC$38,'2021 Table 10 CWTs exp'!$A14)</f>
        <v>0</v>
      </c>
      <c r="V14" s="40">
        <f>SUMIFS('[14]inland_taf_hatchgrp_tableraw&amp;yy'!V$3:V$38,'[14]inland_taf_hatchgrp_tableraw&amp;yy'!$AC$3:$AC$38,'2021 Table 10 CWTs exp'!$A14)</f>
        <v>46</v>
      </c>
      <c r="W14" s="40">
        <f>SUMIFS('[14]inland_taf_hatchgrp_tableraw&amp;yy'!W$3:W$38,'[14]inland_taf_hatchgrp_tableraw&amp;yy'!$AC$3:$AC$38,'2021 Table 10 CWTs exp'!$A14)</f>
        <v>2</v>
      </c>
      <c r="X14" s="38">
        <f>SUMIFS('[14]inland_taf_hatchgrp_tableraw&amp;yy'!X$3:X$38,'[14]inland_taf_hatchgrp_tableraw&amp;yy'!$AC$3:$AC$38,'2021 Table 10 CWTs exp'!$A14)</f>
        <v>0</v>
      </c>
      <c r="Y14" s="41">
        <f>SUMIFS('[14]inland_taf_hatchgrp_tableraw&amp;yy'!Y$3:Y$38,'[14]inland_taf_hatchgrp_tableraw&amp;yy'!$AC$3:$AC$38,'2021 Table 10 CWTs exp'!$A14)</f>
        <v>266</v>
      </c>
      <c r="Z14" s="42">
        <f>SUMIFS('[14]inland_taf_hatchgrp_tableraw&amp;yy'!Z$3:Z$38,'[14]inland_taf_hatchgrp_tableraw&amp;yy'!$AC$3:$AC$38,'2021 Table 10 CWTs exp'!$A14)</f>
        <v>1</v>
      </c>
      <c r="AA14" s="38">
        <f>SUMIFS('[14]inland_taf_hatchgrp_tableraw&amp;yy'!AA$3:AA$38,'[14]inland_taf_hatchgrp_tableraw&amp;yy'!$AC$3:$AC$38,'2021 Table 10 CWTs exp'!$A14)</f>
        <v>267</v>
      </c>
      <c r="AB14" s="651">
        <f>W14/AA14</f>
        <v>7.4906367041198503E-3</v>
      </c>
      <c r="AC14" s="651"/>
      <c r="AD14" s="603">
        <f>SUMIFS('[14]inland_taf_hatchgrp_tableraw&amp;yy'!AB$3:AB$38,'[14]inland_taf_hatchgrp_tableraw&amp;yy'!$AC$3:$AC$38,'2021 Table 10 CWTs exp'!$A14)</f>
        <v>0.996</v>
      </c>
      <c r="AE14" s="604" t="str">
        <f t="shared" si="1"/>
        <v>MRFF503</v>
      </c>
      <c r="AF14" s="603"/>
      <c r="AG14" s="622">
        <f t="shared" si="4"/>
        <v>0.99625468164794007</v>
      </c>
      <c r="AH14" s="597"/>
      <c r="AI14" s="605">
        <f t="shared" si="5"/>
        <v>4.0000000000000036E-3</v>
      </c>
      <c r="AJ14" s="447">
        <f t="shared" si="6"/>
        <v>1</v>
      </c>
      <c r="AK14" s="650">
        <f t="shared" si="3"/>
        <v>3.7453183520599251E-3</v>
      </c>
      <c r="AL14" s="451"/>
      <c r="AM14" s="442"/>
      <c r="AN14" s="442"/>
      <c r="AO14" s="442"/>
      <c r="AP14" s="442"/>
      <c r="AQ14" s="442"/>
      <c r="AR14" s="442"/>
      <c r="AS14" s="442"/>
      <c r="AT14" s="442"/>
      <c r="AU14" s="442"/>
      <c r="AV14" s="442"/>
      <c r="AW14" s="442"/>
      <c r="AX14" s="442"/>
      <c r="AY14" s="442"/>
      <c r="AZ14" s="442"/>
      <c r="BA14" s="442"/>
      <c r="BB14" s="442"/>
      <c r="BC14" s="442"/>
      <c r="BD14" s="442"/>
      <c r="BE14" s="442"/>
      <c r="BF14" s="442"/>
      <c r="BG14" s="442"/>
      <c r="BH14" s="442"/>
      <c r="BI14" s="442"/>
    </row>
    <row r="15" spans="1:61" ht="14.5" customHeight="1" x14ac:dyDescent="0.25">
      <c r="A15" s="50" t="str">
        <f t="shared" si="0"/>
        <v>CNFH507</v>
      </c>
      <c r="B15" s="13" t="s">
        <v>40</v>
      </c>
      <c r="C15" s="13">
        <v>50</v>
      </c>
      <c r="D15" s="13">
        <v>7</v>
      </c>
      <c r="E15" s="3" t="s">
        <v>56</v>
      </c>
      <c r="F15" s="37" t="s">
        <v>57</v>
      </c>
      <c r="G15" s="38">
        <f>SUMIFS('[14]inland_taf_hatchgrp_tableraw&amp;yy'!G$3:G$38,'[14]inland_taf_hatchgrp_tableraw&amp;yy'!$AC$3:$AC$38,'2021 Table 10 CWTs exp'!$A15)</f>
        <v>0</v>
      </c>
      <c r="H15" s="39">
        <f>SUMIFS('[14]inland_taf_hatchgrp_tableraw&amp;yy'!H$3:H$38,'[14]inland_taf_hatchgrp_tableraw&amp;yy'!$AC$3:$AC$38,'2021 Table 10 CWTs exp'!$A15)</f>
        <v>2309</v>
      </c>
      <c r="I15" s="38">
        <f>SUMIFS('[14]inland_taf_hatchgrp_tableraw&amp;yy'!I$3:I$38,'[14]inland_taf_hatchgrp_tableraw&amp;yy'!$AC$3:$AC$38,'2021 Table 10 CWTs exp'!$A15)</f>
        <v>0</v>
      </c>
      <c r="J15" s="40">
        <f>SUMIFS('[14]inland_taf_hatchgrp_tableraw&amp;yy'!J$3:J$38,'[14]inland_taf_hatchgrp_tableraw&amp;yy'!$AC$3:$AC$38,'2021 Table 10 CWTs exp'!$A15)</f>
        <v>0</v>
      </c>
      <c r="K15" s="39">
        <f>SUMIFS('[14]inland_taf_hatchgrp_tableraw&amp;yy'!K$3:K$38,'[14]inland_taf_hatchgrp_tableraw&amp;yy'!$AC$3:$AC$38,'2021 Table 10 CWTs exp'!$A15)</f>
        <v>0</v>
      </c>
      <c r="L15" s="38">
        <f>SUMIFS('[14]inland_taf_hatchgrp_tableraw&amp;yy'!L$3:L$38,'[14]inland_taf_hatchgrp_tableraw&amp;yy'!$AC$3:$AC$38,'2021 Table 10 CWTs exp'!$A15)</f>
        <v>0</v>
      </c>
      <c r="M15" s="38">
        <f>SUMIFS('[14]inland_taf_hatchgrp_tableraw&amp;yy'!M$3:M$38,'[14]inland_taf_hatchgrp_tableraw&amp;yy'!$AC$3:$AC$38,'2021 Table 10 CWTs exp'!$A15)</f>
        <v>0</v>
      </c>
      <c r="N15" s="40">
        <f>SUMIFS('[14]inland_taf_hatchgrp_tableraw&amp;yy'!N$3:N$38,'[14]inland_taf_hatchgrp_tableraw&amp;yy'!$AC$3:$AC$38,'2021 Table 10 CWTs exp'!$A15)</f>
        <v>0</v>
      </c>
      <c r="O15" s="38">
        <f>SUMIFS('[14]inland_taf_hatchgrp_tableraw&amp;yy'!O$3:O$38,'[14]inland_taf_hatchgrp_tableraw&amp;yy'!$AC$3:$AC$38,'2021 Table 10 CWTs exp'!$A15)</f>
        <v>0</v>
      </c>
      <c r="P15" s="40">
        <f>SUMIFS('[14]inland_taf_hatchgrp_tableraw&amp;yy'!P$3:P$38,'[14]inland_taf_hatchgrp_tableraw&amp;yy'!$AC$3:$AC$38,'2021 Table 10 CWTs exp'!$A15)</f>
        <v>0</v>
      </c>
      <c r="Q15" s="38">
        <f>SUMIFS('[14]inland_taf_hatchgrp_tableraw&amp;yy'!Q$3:Q$38,'[14]inland_taf_hatchgrp_tableraw&amp;yy'!$AC$3:$AC$38,'2021 Table 10 CWTs exp'!$A15)</f>
        <v>0</v>
      </c>
      <c r="R15" s="38">
        <f>SUMIFS('[14]inland_taf_hatchgrp_tableraw&amp;yy'!R$3:R$38,'[14]inland_taf_hatchgrp_tableraw&amp;yy'!$AC$3:$AC$38,'2021 Table 10 CWTs exp'!$A15)</f>
        <v>0</v>
      </c>
      <c r="S15" s="38">
        <f>SUMIFS('[14]inland_taf_hatchgrp_tableraw&amp;yy'!S$3:S$38,'[14]inland_taf_hatchgrp_tableraw&amp;yy'!$AC$3:$AC$38,'2021 Table 10 CWTs exp'!$A15)</f>
        <v>0</v>
      </c>
      <c r="T15" s="40">
        <f>SUMIFS('[14]inland_taf_hatchgrp_tableraw&amp;yy'!T$3:T$38,'[14]inland_taf_hatchgrp_tableraw&amp;yy'!$AC$3:$AC$38,'2021 Table 10 CWTs exp'!$A15)</f>
        <v>0</v>
      </c>
      <c r="U15" s="38">
        <f>SUMIFS('[14]inland_taf_hatchgrp_tableraw&amp;yy'!U$3:U$38,'[14]inland_taf_hatchgrp_tableraw&amp;yy'!$AC$3:$AC$38,'2021 Table 10 CWTs exp'!$A15)</f>
        <v>0</v>
      </c>
      <c r="V15" s="40">
        <f>SUMIFS('[14]inland_taf_hatchgrp_tableraw&amp;yy'!V$3:V$38,'[14]inland_taf_hatchgrp_tableraw&amp;yy'!$AC$3:$AC$38,'2021 Table 10 CWTs exp'!$A15)</f>
        <v>0</v>
      </c>
      <c r="W15" s="40">
        <f>SUMIFS('[14]inland_taf_hatchgrp_tableraw&amp;yy'!W$3:W$38,'[14]inland_taf_hatchgrp_tableraw&amp;yy'!$AC$3:$AC$38,'2021 Table 10 CWTs exp'!$A15)</f>
        <v>0</v>
      </c>
      <c r="X15" s="38">
        <f>SUMIFS('[14]inland_taf_hatchgrp_tableraw&amp;yy'!X$3:X$38,'[14]inland_taf_hatchgrp_tableraw&amp;yy'!$AC$3:$AC$38,'2021 Table 10 CWTs exp'!$A15)</f>
        <v>0</v>
      </c>
      <c r="Y15" s="41">
        <f>SUMIFS('[14]inland_taf_hatchgrp_tableraw&amp;yy'!Y$3:Y$38,'[14]inland_taf_hatchgrp_tableraw&amp;yy'!$AC$3:$AC$38,'2021 Table 10 CWTs exp'!$A15)</f>
        <v>2309</v>
      </c>
      <c r="Z15" s="42">
        <f>SUMIFS('[14]inland_taf_hatchgrp_tableraw&amp;yy'!Z$3:Z$38,'[14]inland_taf_hatchgrp_tableraw&amp;yy'!$AC$3:$AC$38,'2021 Table 10 CWTs exp'!$A15)</f>
        <v>1</v>
      </c>
      <c r="AA15" s="38">
        <f>SUMIFS('[14]inland_taf_hatchgrp_tableraw&amp;yy'!AA$3:AA$38,'[14]inland_taf_hatchgrp_tableraw&amp;yy'!$AC$3:$AC$38,'2021 Table 10 CWTs exp'!$A15)</f>
        <v>2310</v>
      </c>
      <c r="AB15" s="634"/>
      <c r="AC15" s="634"/>
      <c r="AD15" s="603">
        <f>SUMIFS('[14]inland_taf_hatchgrp_tableraw&amp;yy'!AB$3:AB$38,'[14]inland_taf_hatchgrp_tableraw&amp;yy'!$AC$3:$AC$38,'2021 Table 10 CWTs exp'!$A15)</f>
        <v>1</v>
      </c>
      <c r="AE15" s="604" t="str">
        <f t="shared" si="1"/>
        <v>CNFH507</v>
      </c>
      <c r="AF15" s="603"/>
      <c r="AG15" s="622">
        <f t="shared" si="4"/>
        <v>0.99956709956709955</v>
      </c>
      <c r="AH15" s="600" t="s">
        <v>58</v>
      </c>
      <c r="AI15" s="592">
        <f>AVERAGE(AI9:AI14)</f>
        <v>0.25983333333333331</v>
      </c>
      <c r="AJ15" s="447">
        <f>SUM(AJ9:AJ14)</f>
        <v>6226</v>
      </c>
      <c r="AK15" s="640" t="e">
        <f>AVERAGE(AK9:AK14)</f>
        <v>#DIV/0!</v>
      </c>
      <c r="AL15" s="451"/>
      <c r="AM15" s="442"/>
      <c r="AN15" s="442"/>
      <c r="AO15" s="442"/>
      <c r="AP15" s="442"/>
      <c r="AQ15" s="442"/>
      <c r="AR15" s="442"/>
      <c r="AS15" s="442"/>
      <c r="AT15" s="442"/>
      <c r="AU15" s="442"/>
      <c r="AV15" s="442"/>
      <c r="AW15" s="442"/>
      <c r="AX15" s="442"/>
      <c r="AY15" s="442"/>
      <c r="AZ15" s="442"/>
      <c r="BA15" s="442"/>
      <c r="BB15" s="442"/>
      <c r="BC15" s="442"/>
      <c r="BD15" s="442"/>
      <c r="BE15" s="442"/>
      <c r="BF15" s="442"/>
      <c r="BG15" s="442"/>
      <c r="BH15" s="442"/>
      <c r="BI15" s="442"/>
    </row>
    <row r="16" spans="1:61" ht="13.5" x14ac:dyDescent="0.25">
      <c r="A16" s="50" t="str">
        <f t="shared" si="0"/>
        <v>CNFW527</v>
      </c>
      <c r="B16" s="13" t="s">
        <v>59</v>
      </c>
      <c r="C16" s="13">
        <v>52</v>
      </c>
      <c r="D16" s="13">
        <v>7</v>
      </c>
      <c r="E16" s="3" t="s">
        <v>60</v>
      </c>
      <c r="F16" s="37" t="s">
        <v>57</v>
      </c>
      <c r="G16" s="38">
        <f>SUMIFS('[14]inland_taf_hatchgrp_tableraw&amp;yy'!G$3:G$38,'[14]inland_taf_hatchgrp_tableraw&amp;yy'!$AC$3:$AC$38,'2021 Table 10 CWTs exp'!$A16)</f>
        <v>0</v>
      </c>
      <c r="H16" s="39">
        <f>SUMIFS('[14]inland_taf_hatchgrp_tableraw&amp;yy'!H$3:H$38,'[14]inland_taf_hatchgrp_tableraw&amp;yy'!$AC$3:$AC$38,'2021 Table 10 CWTs exp'!$A16)</f>
        <v>74</v>
      </c>
      <c r="I16" s="38">
        <f>SUMIFS('[14]inland_taf_hatchgrp_tableraw&amp;yy'!I$3:I$38,'[14]inland_taf_hatchgrp_tableraw&amp;yy'!$AC$3:$AC$38,'2021 Table 10 CWTs exp'!$A16)</f>
        <v>0</v>
      </c>
      <c r="J16" s="40">
        <f>SUMIFS('[14]inland_taf_hatchgrp_tableraw&amp;yy'!J$3:J$38,'[14]inland_taf_hatchgrp_tableraw&amp;yy'!$AC$3:$AC$38,'2021 Table 10 CWTs exp'!$A16)</f>
        <v>0</v>
      </c>
      <c r="K16" s="39">
        <f>SUMIFS('[14]inland_taf_hatchgrp_tableraw&amp;yy'!K$3:K$38,'[14]inland_taf_hatchgrp_tableraw&amp;yy'!$AC$3:$AC$38,'2021 Table 10 CWTs exp'!$A16)</f>
        <v>0</v>
      </c>
      <c r="L16" s="38">
        <f>SUMIFS('[14]inland_taf_hatchgrp_tableraw&amp;yy'!L$3:L$38,'[14]inland_taf_hatchgrp_tableraw&amp;yy'!$AC$3:$AC$38,'2021 Table 10 CWTs exp'!$A16)</f>
        <v>0</v>
      </c>
      <c r="M16" s="38">
        <f>SUMIFS('[14]inland_taf_hatchgrp_tableraw&amp;yy'!M$3:M$38,'[14]inland_taf_hatchgrp_tableraw&amp;yy'!$AC$3:$AC$38,'2021 Table 10 CWTs exp'!$A16)</f>
        <v>0</v>
      </c>
      <c r="N16" s="40">
        <f>SUMIFS('[14]inland_taf_hatchgrp_tableraw&amp;yy'!N$3:N$38,'[14]inland_taf_hatchgrp_tableraw&amp;yy'!$AC$3:$AC$38,'2021 Table 10 CWTs exp'!$A16)</f>
        <v>0</v>
      </c>
      <c r="O16" s="38">
        <f>SUMIFS('[14]inland_taf_hatchgrp_tableraw&amp;yy'!O$3:O$38,'[14]inland_taf_hatchgrp_tableraw&amp;yy'!$AC$3:$AC$38,'2021 Table 10 CWTs exp'!$A16)</f>
        <v>0</v>
      </c>
      <c r="P16" s="40">
        <f>SUMIFS('[14]inland_taf_hatchgrp_tableraw&amp;yy'!P$3:P$38,'[14]inland_taf_hatchgrp_tableraw&amp;yy'!$AC$3:$AC$38,'2021 Table 10 CWTs exp'!$A16)</f>
        <v>0</v>
      </c>
      <c r="Q16" s="38">
        <f>SUMIFS('[14]inland_taf_hatchgrp_tableraw&amp;yy'!Q$3:Q$38,'[14]inland_taf_hatchgrp_tableraw&amp;yy'!$AC$3:$AC$38,'2021 Table 10 CWTs exp'!$A16)</f>
        <v>0</v>
      </c>
      <c r="R16" s="38">
        <f>SUMIFS('[14]inland_taf_hatchgrp_tableraw&amp;yy'!R$3:R$38,'[14]inland_taf_hatchgrp_tableraw&amp;yy'!$AC$3:$AC$38,'2021 Table 10 CWTs exp'!$A16)</f>
        <v>0</v>
      </c>
      <c r="S16" s="38">
        <f>SUMIFS('[14]inland_taf_hatchgrp_tableraw&amp;yy'!S$3:S$38,'[14]inland_taf_hatchgrp_tableraw&amp;yy'!$AC$3:$AC$38,'2021 Table 10 CWTs exp'!$A16)</f>
        <v>0</v>
      </c>
      <c r="T16" s="40">
        <f>SUMIFS('[14]inland_taf_hatchgrp_tableraw&amp;yy'!T$3:T$38,'[14]inland_taf_hatchgrp_tableraw&amp;yy'!$AC$3:$AC$38,'2021 Table 10 CWTs exp'!$A16)</f>
        <v>0</v>
      </c>
      <c r="U16" s="38">
        <f>SUMIFS('[14]inland_taf_hatchgrp_tableraw&amp;yy'!U$3:U$38,'[14]inland_taf_hatchgrp_tableraw&amp;yy'!$AC$3:$AC$38,'2021 Table 10 CWTs exp'!$A16)</f>
        <v>0</v>
      </c>
      <c r="V16" s="40">
        <f>SUMIFS('[14]inland_taf_hatchgrp_tableraw&amp;yy'!V$3:V$38,'[14]inland_taf_hatchgrp_tableraw&amp;yy'!$AC$3:$AC$38,'2021 Table 10 CWTs exp'!$A16)</f>
        <v>0</v>
      </c>
      <c r="W16" s="40">
        <f>SUMIFS('[14]inland_taf_hatchgrp_tableraw&amp;yy'!W$3:W$38,'[14]inland_taf_hatchgrp_tableraw&amp;yy'!$AC$3:$AC$38,'2021 Table 10 CWTs exp'!$A16)</f>
        <v>0</v>
      </c>
      <c r="X16" s="38">
        <f>SUMIFS('[14]inland_taf_hatchgrp_tableraw&amp;yy'!X$3:X$38,'[14]inland_taf_hatchgrp_tableraw&amp;yy'!$AC$3:$AC$38,'2021 Table 10 CWTs exp'!$A16)</f>
        <v>0</v>
      </c>
      <c r="Y16" s="41">
        <f>SUMIFS('[14]inland_taf_hatchgrp_tableraw&amp;yy'!Y$3:Y$38,'[14]inland_taf_hatchgrp_tableraw&amp;yy'!$AC$3:$AC$38,'2021 Table 10 CWTs exp'!$A16)</f>
        <v>74</v>
      </c>
      <c r="Z16" s="42">
        <f>SUMIFS('[14]inland_taf_hatchgrp_tableraw&amp;yy'!Z$3:Z$38,'[14]inland_taf_hatchgrp_tableraw&amp;yy'!$AC$3:$AC$38,'2021 Table 10 CWTs exp'!$A16)</f>
        <v>0</v>
      </c>
      <c r="AA16" s="38">
        <f>SUMIFS('[14]inland_taf_hatchgrp_tableraw&amp;yy'!AA$3:AA$38,'[14]inland_taf_hatchgrp_tableraw&amp;yy'!$AC$3:$AC$38,'2021 Table 10 CWTs exp'!$A16)</f>
        <v>74</v>
      </c>
      <c r="AB16" s="634"/>
      <c r="AC16" s="634"/>
      <c r="AD16" s="603">
        <f>SUMIFS('[14]inland_taf_hatchgrp_tableraw&amp;yy'!AB$3:AB$38,'[14]inland_taf_hatchgrp_tableraw&amp;yy'!$AC$3:$AC$38,'2021 Table 10 CWTs exp'!$A16)</f>
        <v>1</v>
      </c>
      <c r="AE16" s="604" t="str">
        <f t="shared" si="1"/>
        <v>CNFW527</v>
      </c>
      <c r="AF16" s="444"/>
      <c r="AG16" s="622">
        <f t="shared" si="4"/>
        <v>1</v>
      </c>
      <c r="AH16" s="606"/>
      <c r="AI16" s="600"/>
      <c r="AJ16" s="599"/>
      <c r="AK16" s="451"/>
      <c r="AL16" s="451"/>
      <c r="AM16" s="442"/>
      <c r="AN16" s="442"/>
      <c r="AO16" s="442"/>
      <c r="AP16" s="442"/>
      <c r="AQ16" s="442"/>
      <c r="AR16" s="442"/>
      <c r="AS16" s="442"/>
      <c r="AT16" s="442"/>
      <c r="AU16" s="442"/>
      <c r="AV16" s="442"/>
      <c r="AW16" s="442"/>
      <c r="AX16" s="442"/>
      <c r="AY16" s="442"/>
      <c r="AZ16" s="442"/>
      <c r="BA16" s="442"/>
      <c r="BB16" s="442"/>
      <c r="BC16" s="442"/>
      <c r="BD16" s="442"/>
      <c r="BE16" s="442"/>
      <c r="BF16" s="442"/>
      <c r="BG16" s="442"/>
      <c r="BH16" s="442"/>
      <c r="BI16" s="442"/>
    </row>
    <row r="17" spans="1:61" ht="14.5" hidden="1" customHeight="1" x14ac:dyDescent="0.25">
      <c r="A17" s="50" t="str">
        <f t="shared" si="0"/>
        <v>KESW507</v>
      </c>
      <c r="B17" s="13" t="s">
        <v>43</v>
      </c>
      <c r="C17" s="13">
        <v>50</v>
      </c>
      <c r="D17" s="13">
        <v>7</v>
      </c>
      <c r="E17" s="3" t="s">
        <v>44</v>
      </c>
      <c r="F17" s="37" t="s">
        <v>57</v>
      </c>
      <c r="G17" s="38"/>
      <c r="H17" s="39">
        <f>SUMIFS('[14]inland_taf_hatchgrp_tableraw&amp;yy'!H$3:H$38,'[14]inland_taf_hatchgrp_tableraw&amp;yy'!$AC$3:$AC$38,'2021 Table 10 CWTs exp'!$A17)</f>
        <v>0</v>
      </c>
      <c r="I17" s="38">
        <f>SUMIFS('[14]inland_taf_hatchgrp_tableraw&amp;yy'!I$3:I$38,'[14]inland_taf_hatchgrp_tableraw&amp;yy'!$AC$3:$AC$38,'2021 Table 10 CWTs exp'!$A17)</f>
        <v>0</v>
      </c>
      <c r="J17" s="40">
        <f>SUMIFS('[14]inland_taf_hatchgrp_tableraw&amp;yy'!J$3:J$38,'[14]inland_taf_hatchgrp_tableraw&amp;yy'!$AC$3:$AC$38,'2021 Table 10 CWTs exp'!$A17)</f>
        <v>0</v>
      </c>
      <c r="K17" s="39">
        <f>SUMIFS('[14]inland_taf_hatchgrp_tableraw&amp;yy'!K$3:K$38,'[14]inland_taf_hatchgrp_tableraw&amp;yy'!$AC$3:$AC$38,'2021 Table 10 CWTs exp'!$A17)</f>
        <v>0</v>
      </c>
      <c r="L17" s="38">
        <f>SUMIFS('[14]inland_taf_hatchgrp_tableraw&amp;yy'!L$3:L$38,'[14]inland_taf_hatchgrp_tableraw&amp;yy'!$AC$3:$AC$38,'2021 Table 10 CWTs exp'!$A17)</f>
        <v>0</v>
      </c>
      <c r="M17" s="38">
        <f>SUMIFS('[14]inland_taf_hatchgrp_tableraw&amp;yy'!M$3:M$38,'[14]inland_taf_hatchgrp_tableraw&amp;yy'!$AC$3:$AC$38,'2021 Table 10 CWTs exp'!$A17)</f>
        <v>0</v>
      </c>
      <c r="N17" s="40">
        <f>SUMIFS('[14]inland_taf_hatchgrp_tableraw&amp;yy'!N$3:N$38,'[14]inland_taf_hatchgrp_tableraw&amp;yy'!$AC$3:$AC$38,'2021 Table 10 CWTs exp'!$A17)</f>
        <v>0</v>
      </c>
      <c r="O17" s="38">
        <f>SUMIFS('[14]inland_taf_hatchgrp_tableraw&amp;yy'!O$3:O$38,'[14]inland_taf_hatchgrp_tableraw&amp;yy'!$AC$3:$AC$38,'2021 Table 10 CWTs exp'!$A17)</f>
        <v>0</v>
      </c>
      <c r="P17" s="40">
        <f>SUMIFS('[14]inland_taf_hatchgrp_tableraw&amp;yy'!P$3:P$38,'[14]inland_taf_hatchgrp_tableraw&amp;yy'!$AC$3:$AC$38,'2021 Table 10 CWTs exp'!$A17)</f>
        <v>0</v>
      </c>
      <c r="Q17" s="38">
        <f>SUMIFS('[14]inland_taf_hatchgrp_tableraw&amp;yy'!Q$3:Q$38,'[14]inland_taf_hatchgrp_tableraw&amp;yy'!$AC$3:$AC$38,'2021 Table 10 CWTs exp'!$A17)</f>
        <v>0</v>
      </c>
      <c r="R17" s="38">
        <f>SUMIFS('[14]inland_taf_hatchgrp_tableraw&amp;yy'!R$3:R$38,'[14]inland_taf_hatchgrp_tableraw&amp;yy'!$AC$3:$AC$38,'2021 Table 10 CWTs exp'!$A17)</f>
        <v>0</v>
      </c>
      <c r="S17" s="38">
        <f>SUMIFS('[14]inland_taf_hatchgrp_tableraw&amp;yy'!S$3:S$38,'[14]inland_taf_hatchgrp_tableraw&amp;yy'!$AC$3:$AC$38,'2021 Table 10 CWTs exp'!$A17)</f>
        <v>0</v>
      </c>
      <c r="T17" s="40">
        <f>SUMIFS('[14]inland_taf_hatchgrp_tableraw&amp;yy'!T$3:T$38,'[14]inland_taf_hatchgrp_tableraw&amp;yy'!$AC$3:$AC$38,'2021 Table 10 CWTs exp'!$A17)</f>
        <v>0</v>
      </c>
      <c r="U17" s="38">
        <f>SUMIFS('[14]inland_taf_hatchgrp_tableraw&amp;yy'!U$3:U$38,'[14]inland_taf_hatchgrp_tableraw&amp;yy'!$AC$3:$AC$38,'2021 Table 10 CWTs exp'!$A17)</f>
        <v>0</v>
      </c>
      <c r="V17" s="40">
        <f>SUMIFS('[14]inland_taf_hatchgrp_tableraw&amp;yy'!V$3:V$38,'[14]inland_taf_hatchgrp_tableraw&amp;yy'!$AC$3:$AC$38,'2021 Table 10 CWTs exp'!$A17)</f>
        <v>0</v>
      </c>
      <c r="W17" s="40">
        <f>SUMIFS('[14]inland_taf_hatchgrp_tableraw&amp;yy'!W$3:W$38,'[14]inland_taf_hatchgrp_tableraw&amp;yy'!$AC$3:$AC$38,'2021 Table 10 CWTs exp'!$A17)</f>
        <v>0</v>
      </c>
      <c r="X17" s="38">
        <f>SUMIFS('[14]inland_taf_hatchgrp_tableraw&amp;yy'!X$3:X$38,'[14]inland_taf_hatchgrp_tableraw&amp;yy'!$AC$3:$AC$38,'2021 Table 10 CWTs exp'!$A17)</f>
        <v>0</v>
      </c>
      <c r="Y17" s="41">
        <f>SUMIFS('[14]inland_taf_hatchgrp_tableraw&amp;yy'!Y$3:Y$38,'[14]inland_taf_hatchgrp_tableraw&amp;yy'!$AC$3:$AC$38,'2021 Table 10 CWTs exp'!$A17)</f>
        <v>0</v>
      </c>
      <c r="Z17" s="42">
        <f>SUMIFS('[14]inland_taf_hatchgrp_tableraw&amp;yy'!Z$3:Z$38,'[14]inland_taf_hatchgrp_tableraw&amp;yy'!$AC$3:$AC$38,'2021 Table 10 CWTs exp'!$A17)</f>
        <v>0</v>
      </c>
      <c r="AA17" s="38">
        <f>SUMIFS('[14]inland_taf_hatchgrp_tableraw&amp;yy'!AA$3:AA$38,'[14]inland_taf_hatchgrp_tableraw&amp;yy'!$AC$3:$AC$38,'2021 Table 10 CWTs exp'!$A17)</f>
        <v>0</v>
      </c>
      <c r="AB17" s="634"/>
      <c r="AC17" s="634"/>
      <c r="AD17" s="603">
        <f>SUMIFS('[14]inland_taf_hatchgrp_tableraw&amp;yy'!AB$3:AB$38,'[14]inland_taf_hatchgrp_tableraw&amp;yy'!$AC$3:$AC$38,'2021 Table 10 CWTs exp'!$A17)</f>
        <v>0</v>
      </c>
      <c r="AE17" s="604" t="str">
        <f t="shared" si="1"/>
        <v>KESW507</v>
      </c>
      <c r="AF17" s="444"/>
      <c r="AG17" s="622" t="e">
        <f t="shared" si="4"/>
        <v>#DIV/0!</v>
      </c>
      <c r="AH17" s="606"/>
      <c r="AI17" s="600"/>
      <c r="AJ17" s="599"/>
      <c r="AK17" s="451"/>
      <c r="AL17" s="451"/>
      <c r="AM17" s="442"/>
      <c r="AN17" s="442"/>
      <c r="AO17" s="442"/>
      <c r="AP17" s="442"/>
      <c r="AQ17" s="442"/>
      <c r="AR17" s="442"/>
      <c r="AS17" s="442"/>
      <c r="AT17" s="442"/>
      <c r="AU17" s="442"/>
      <c r="AV17" s="442"/>
      <c r="AW17" s="442"/>
      <c r="AX17" s="442"/>
      <c r="AY17" s="442"/>
      <c r="AZ17" s="442"/>
      <c r="BA17" s="442"/>
      <c r="BB17" s="442"/>
      <c r="BC17" s="442"/>
      <c r="BD17" s="442"/>
      <c r="BE17" s="442"/>
      <c r="BF17" s="442"/>
      <c r="BG17" s="442"/>
      <c r="BH17" s="442"/>
      <c r="BI17" s="442"/>
    </row>
    <row r="18" spans="1:61" ht="14.15" customHeight="1" x14ac:dyDescent="0.3">
      <c r="A18" s="55"/>
      <c r="B18" s="56"/>
      <c r="C18" s="56"/>
      <c r="D18" s="56"/>
      <c r="E18" s="743" t="s">
        <v>61</v>
      </c>
      <c r="F18" s="743"/>
      <c r="G18" s="57">
        <f>SUM(G9:G14)</f>
        <v>0</v>
      </c>
      <c r="H18" s="58">
        <f t="shared" ref="H18:Z18" si="7">SUM(H9:H14)</f>
        <v>2</v>
      </c>
      <c r="I18" s="59">
        <f t="shared" si="7"/>
        <v>14467</v>
      </c>
      <c r="J18" s="60">
        <f t="shared" si="7"/>
        <v>0</v>
      </c>
      <c r="K18" s="58">
        <f t="shared" si="7"/>
        <v>1635</v>
      </c>
      <c r="L18" s="59">
        <f t="shared" si="7"/>
        <v>75</v>
      </c>
      <c r="M18" s="59">
        <f t="shared" si="7"/>
        <v>7215</v>
      </c>
      <c r="N18" s="60">
        <f t="shared" si="7"/>
        <v>820</v>
      </c>
      <c r="O18" s="59">
        <f t="shared" si="7"/>
        <v>2147</v>
      </c>
      <c r="P18" s="60">
        <f t="shared" si="7"/>
        <v>4751</v>
      </c>
      <c r="Q18" s="59">
        <f t="shared" si="7"/>
        <v>72</v>
      </c>
      <c r="R18" s="59">
        <f t="shared" si="7"/>
        <v>4265</v>
      </c>
      <c r="S18" s="59">
        <f t="shared" si="7"/>
        <v>382</v>
      </c>
      <c r="T18" s="60">
        <f t="shared" si="7"/>
        <v>1695</v>
      </c>
      <c r="U18" s="59">
        <f t="shared" si="7"/>
        <v>0</v>
      </c>
      <c r="V18" s="60">
        <f t="shared" si="7"/>
        <v>599</v>
      </c>
      <c r="W18" s="60">
        <f t="shared" si="7"/>
        <v>33</v>
      </c>
      <c r="X18" s="59">
        <f t="shared" si="7"/>
        <v>0</v>
      </c>
      <c r="Y18" s="61">
        <f t="shared" si="7"/>
        <v>38158</v>
      </c>
      <c r="Z18" s="62">
        <f t="shared" si="7"/>
        <v>6226</v>
      </c>
      <c r="AA18" s="63">
        <f>SUM(AA9:AA14)</f>
        <v>44384</v>
      </c>
      <c r="AB18" s="630"/>
      <c r="AC18" s="630"/>
      <c r="AD18" s="445">
        <f>Y18/AA18</f>
        <v>0.85972422494592649</v>
      </c>
      <c r="AE18" s="445"/>
      <c r="AF18" s="607"/>
      <c r="AG18" s="622">
        <f>Y18/AA18</f>
        <v>0.85972422494592649</v>
      </c>
      <c r="AH18" s="608"/>
      <c r="AI18" s="608"/>
      <c r="AJ18" s="609"/>
      <c r="AK18" s="610"/>
      <c r="AL18" s="610"/>
      <c r="AM18" s="442"/>
      <c r="AN18" s="442"/>
      <c r="AO18" s="442"/>
      <c r="AP18" s="442"/>
      <c r="AQ18" s="442"/>
      <c r="AR18" s="442"/>
      <c r="AS18" s="442"/>
      <c r="AT18" s="442"/>
      <c r="AU18" s="442"/>
      <c r="AV18" s="442"/>
      <c r="AW18" s="442"/>
      <c r="AX18" s="442"/>
      <c r="AY18" s="442"/>
      <c r="AZ18" s="442"/>
      <c r="BA18" s="442"/>
      <c r="BB18" s="442"/>
      <c r="BC18" s="442"/>
      <c r="BD18" s="442"/>
      <c r="BE18" s="442"/>
      <c r="BF18" s="442"/>
      <c r="BG18" s="442"/>
      <c r="BH18" s="442"/>
      <c r="BI18" s="442"/>
    </row>
    <row r="19" spans="1:61" ht="14.15" customHeight="1" x14ac:dyDescent="0.3">
      <c r="A19" s="50" t="s">
        <v>62</v>
      </c>
      <c r="B19" s="13"/>
      <c r="C19" s="13"/>
      <c r="D19" s="13"/>
      <c r="E19" s="26" t="s">
        <v>63</v>
      </c>
      <c r="F19" s="47"/>
      <c r="G19" s="68"/>
      <c r="H19" s="69"/>
      <c r="I19" s="68"/>
      <c r="J19" s="70"/>
      <c r="K19" s="69"/>
      <c r="L19" s="68"/>
      <c r="M19" s="68"/>
      <c r="N19" s="70"/>
      <c r="O19" s="68"/>
      <c r="P19" s="70"/>
      <c r="Q19" s="68"/>
      <c r="R19" s="68"/>
      <c r="S19" s="68"/>
      <c r="T19" s="70"/>
      <c r="U19" s="68"/>
      <c r="V19" s="70"/>
      <c r="W19" s="70"/>
      <c r="X19" s="68"/>
      <c r="Y19" s="71"/>
      <c r="Z19" s="72"/>
      <c r="AA19" s="73"/>
      <c r="AB19" s="611"/>
      <c r="AC19" s="611"/>
      <c r="AD19" s="611"/>
      <c r="AE19" s="611"/>
      <c r="AF19" s="442"/>
      <c r="AG19" s="597"/>
      <c r="AH19" s="597"/>
      <c r="AI19" s="597"/>
      <c r="AJ19" s="599"/>
      <c r="AK19" s="451"/>
      <c r="AL19" s="451"/>
      <c r="AM19" s="442"/>
      <c r="AN19" s="442"/>
      <c r="AO19" s="442"/>
      <c r="AP19" s="442"/>
      <c r="AQ19" s="442"/>
      <c r="AR19" s="442"/>
      <c r="AS19" s="442"/>
      <c r="AT19" s="442"/>
      <c r="AU19" s="442"/>
      <c r="AV19" s="442"/>
      <c r="AW19" s="442"/>
      <c r="AX19" s="442"/>
      <c r="AY19" s="442"/>
      <c r="AZ19" s="442"/>
      <c r="BA19" s="442"/>
      <c r="BB19" s="442"/>
      <c r="BC19" s="442"/>
      <c r="BD19" s="442"/>
      <c r="BE19" s="442"/>
      <c r="BF19" s="442"/>
      <c r="BG19" s="442"/>
      <c r="BH19" s="442"/>
      <c r="BI19" s="442"/>
    </row>
    <row r="20" spans="1:61" ht="14.5" customHeight="1" x14ac:dyDescent="0.25">
      <c r="A20" s="50" t="str">
        <f t="shared" ref="A20:A41" si="8">CONCATENATE(B20,C20,D20)</f>
        <v>USAC544</v>
      </c>
      <c r="B20" s="13" t="s">
        <v>64</v>
      </c>
      <c r="C20" s="13">
        <v>54</v>
      </c>
      <c r="D20" s="13">
        <v>4</v>
      </c>
      <c r="E20" s="3" t="s">
        <v>65</v>
      </c>
      <c r="F20" s="43" t="str">
        <f>LOOKUP(D20,$AL$8:$AL$11,$AM$8:$AM$11)</f>
        <v>Winter</v>
      </c>
      <c r="G20" s="38">
        <f>SUMIFS('[14]inland_taf_hatchgrp_tableraw&amp;yy'!G$3:G$38,'[14]inland_taf_hatchgrp_tableraw&amp;yy'!$AC$3:$AC$38,'2021 Table 10 CWTs exp'!$A20)</f>
        <v>2940</v>
      </c>
      <c r="H20" s="39">
        <f>SUMIFS('[14]inland_taf_hatchgrp_tableraw&amp;yy'!H$3:H$38,'[14]inland_taf_hatchgrp_tableraw&amp;yy'!$AC$3:$AC$38,'2021 Table 10 CWTs exp'!$A20)</f>
        <v>0</v>
      </c>
      <c r="I20" s="38">
        <f>SUMIFS('[14]inland_taf_hatchgrp_tableraw&amp;yy'!I$3:I$38,'[14]inland_taf_hatchgrp_tableraw&amp;yy'!$AC$3:$AC$38,'2021 Table 10 CWTs exp'!$A20)</f>
        <v>0</v>
      </c>
      <c r="J20" s="40">
        <f>SUMIFS('[14]inland_taf_hatchgrp_tableraw&amp;yy'!J$3:J$38,'[14]inland_taf_hatchgrp_tableraw&amp;yy'!$AC$3:$AC$38,'2021 Table 10 CWTs exp'!$A20)</f>
        <v>0</v>
      </c>
      <c r="K20" s="39">
        <f>SUMIFS('[14]inland_taf_hatchgrp_tableraw&amp;yy'!K$3:K$38,'[14]inland_taf_hatchgrp_tableraw&amp;yy'!$AC$3:$AC$38,'2021 Table 10 CWTs exp'!$A20)</f>
        <v>0</v>
      </c>
      <c r="L20" s="38">
        <f>SUMIFS('[14]inland_taf_hatchgrp_tableraw&amp;yy'!L$3:L$38,'[14]inland_taf_hatchgrp_tableraw&amp;yy'!$AC$3:$AC$38,'2021 Table 10 CWTs exp'!$A20)</f>
        <v>0</v>
      </c>
      <c r="M20" s="38">
        <f>SUMIFS('[14]inland_taf_hatchgrp_tableraw&amp;yy'!M$3:M$38,'[14]inland_taf_hatchgrp_tableraw&amp;yy'!$AC$3:$AC$38,'2021 Table 10 CWTs exp'!$A20)</f>
        <v>0</v>
      </c>
      <c r="N20" s="40">
        <f>SUMIFS('[14]inland_taf_hatchgrp_tableraw&amp;yy'!N$3:N$38,'[14]inland_taf_hatchgrp_tableraw&amp;yy'!$AC$3:$AC$38,'2021 Table 10 CWTs exp'!$A20)</f>
        <v>0</v>
      </c>
      <c r="O20" s="38">
        <f>SUMIFS('[14]inland_taf_hatchgrp_tableraw&amp;yy'!O$3:O$38,'[14]inland_taf_hatchgrp_tableraw&amp;yy'!$AC$3:$AC$38,'2021 Table 10 CWTs exp'!$A20)</f>
        <v>0</v>
      </c>
      <c r="P20" s="40">
        <f>SUMIFS('[14]inland_taf_hatchgrp_tableraw&amp;yy'!P$3:P$38,'[14]inland_taf_hatchgrp_tableraw&amp;yy'!$AC$3:$AC$38,'2021 Table 10 CWTs exp'!$A20)</f>
        <v>0</v>
      </c>
      <c r="Q20" s="38">
        <f>SUMIFS('[14]inland_taf_hatchgrp_tableraw&amp;yy'!Q$3:Q$38,'[14]inland_taf_hatchgrp_tableraw&amp;yy'!$AC$3:$AC$38,'2021 Table 10 CWTs exp'!$A20)</f>
        <v>0</v>
      </c>
      <c r="R20" s="38">
        <f>SUMIFS('[14]inland_taf_hatchgrp_tableraw&amp;yy'!R$3:R$38,'[14]inland_taf_hatchgrp_tableraw&amp;yy'!$AC$3:$AC$38,'2021 Table 10 CWTs exp'!$A20)</f>
        <v>0</v>
      </c>
      <c r="S20" s="38">
        <f>SUMIFS('[14]inland_taf_hatchgrp_tableraw&amp;yy'!S$3:S$38,'[14]inland_taf_hatchgrp_tableraw&amp;yy'!$AC$3:$AC$38,'2021 Table 10 CWTs exp'!$A20)</f>
        <v>0</v>
      </c>
      <c r="T20" s="40">
        <f>SUMIFS('[14]inland_taf_hatchgrp_tableraw&amp;yy'!T$3:T$38,'[14]inland_taf_hatchgrp_tableraw&amp;yy'!$AC$3:$AC$38,'2021 Table 10 CWTs exp'!$A20)</f>
        <v>0</v>
      </c>
      <c r="U20" s="38">
        <f>SUMIFS('[14]inland_taf_hatchgrp_tableraw&amp;yy'!U$3:U$38,'[14]inland_taf_hatchgrp_tableraw&amp;yy'!$AC$3:$AC$38,'2021 Table 10 CWTs exp'!$A20)</f>
        <v>0</v>
      </c>
      <c r="V20" s="40">
        <f>SUMIFS('[14]inland_taf_hatchgrp_tableraw&amp;yy'!V$3:V$38,'[14]inland_taf_hatchgrp_tableraw&amp;yy'!$AC$3:$AC$38,'2021 Table 10 CWTs exp'!$A20)</f>
        <v>0</v>
      </c>
      <c r="W20" s="40">
        <f>SUMIFS('[14]inland_taf_hatchgrp_tableraw&amp;yy'!W$3:W$38,'[14]inland_taf_hatchgrp_tableraw&amp;yy'!$AC$3:$AC$38,'2021 Table 10 CWTs exp'!$A20)</f>
        <v>0</v>
      </c>
      <c r="X20" s="38">
        <f>SUMIFS('[14]inland_taf_hatchgrp_tableraw&amp;yy'!X$3:X$38,'[14]inland_taf_hatchgrp_tableraw&amp;yy'!$AC$3:$AC$38,'2021 Table 10 CWTs exp'!$A20)</f>
        <v>0</v>
      </c>
      <c r="Y20" s="41">
        <f>SUMIFS('[14]inland_taf_hatchgrp_tableraw&amp;yy'!Y$3:Y$38,'[14]inland_taf_hatchgrp_tableraw&amp;yy'!$AC$3:$AC$38,'2021 Table 10 CWTs exp'!$A20)</f>
        <v>2940</v>
      </c>
      <c r="Z20" s="42">
        <f>SUMIFS('[14]inland_taf_hatchgrp_tableraw&amp;yy'!Z$3:Z$38,'[14]inland_taf_hatchgrp_tableraw&amp;yy'!$AC$3:$AC$38,'2021 Table 10 CWTs exp'!$A20)</f>
        <v>7031</v>
      </c>
      <c r="AA20" s="38">
        <f>SUMIFS('[14]inland_taf_hatchgrp_tableraw&amp;yy'!AA$3:AA$38,'[14]inland_taf_hatchgrp_tableraw&amp;yy'!$AC$3:$AC$38,'2021 Table 10 CWTs exp'!$A20)</f>
        <v>9971</v>
      </c>
      <c r="AB20" s="636"/>
      <c r="AC20" s="636"/>
      <c r="AD20" s="567">
        <f>SUMIFS('[14]inland_taf_hatchgrp_tableraw&amp;yy'!AB$3:AB$38,'[14]inland_taf_hatchgrp_tableraw&amp;yy'!$AC$3:$AC$38,'2021 Table 10 CWTs exp'!$A20)</f>
        <v>0.29499999999999998</v>
      </c>
      <c r="AE20" s="604" t="str">
        <f t="shared" ref="AE20:AE41" si="9">A20</f>
        <v>USAC544</v>
      </c>
      <c r="AF20" s="442"/>
      <c r="AG20" s="622">
        <f t="shared" ref="AG20:AG41" si="10">Y20/AA20</f>
        <v>0.29485507973122055</v>
      </c>
      <c r="AH20" s="652">
        <f t="shared" ref="AH20:AH39" si="11">Z20/AA20</f>
        <v>0.70514492026877951</v>
      </c>
      <c r="AI20" s="597"/>
      <c r="AJ20" s="599"/>
      <c r="AK20" s="451"/>
      <c r="AL20" s="451"/>
      <c r="AM20" s="442"/>
      <c r="AN20" s="442"/>
      <c r="AO20" s="442"/>
      <c r="AP20" s="442"/>
      <c r="AQ20" s="442"/>
      <c r="AR20" s="442"/>
      <c r="AS20" s="442"/>
      <c r="AT20" s="442"/>
      <c r="AU20" s="442"/>
      <c r="AV20" s="442"/>
      <c r="AW20" s="442"/>
      <c r="AX20" s="442"/>
      <c r="AY20" s="442"/>
      <c r="AZ20" s="442"/>
      <c r="BA20" s="442"/>
      <c r="BB20" s="442"/>
      <c r="BC20" s="442"/>
      <c r="BD20" s="442"/>
      <c r="BE20" s="442"/>
      <c r="BF20" s="442"/>
      <c r="BG20" s="442"/>
      <c r="BH20" s="442"/>
      <c r="BI20" s="442"/>
    </row>
    <row r="21" spans="1:61" ht="14.25" customHeight="1" x14ac:dyDescent="0.25">
      <c r="A21" s="50" t="str">
        <f>CONCATENATE(B21,C21,D21)</f>
        <v>BUTT541</v>
      </c>
      <c r="B21" s="13" t="s">
        <v>66</v>
      </c>
      <c r="C21" s="13">
        <v>54</v>
      </c>
      <c r="D21" s="13">
        <v>1</v>
      </c>
      <c r="E21" s="3" t="s">
        <v>67</v>
      </c>
      <c r="F21" s="43" t="str">
        <f>LOOKUP(D21,$AL$8:$AL$11,$AM$8:$AM$11)</f>
        <v>Spring</v>
      </c>
      <c r="G21" s="38">
        <f>SUMIFS('[14]inland_taf_hatchgrp_tableraw&amp;yy'!G$3:G$38,'[14]inland_taf_hatchgrp_tableraw&amp;yy'!$AC$3:$AC$38,'2021 Table 10 CWTs exp'!$A21)</f>
        <v>0</v>
      </c>
      <c r="H21" s="39">
        <f>SUMIFS('[14]inland_taf_hatchgrp_tableraw&amp;yy'!H$3:H$38,'[14]inland_taf_hatchgrp_tableraw&amp;yy'!$AC$3:$AC$38,'2021 Table 10 CWTs exp'!$A21)</f>
        <v>0</v>
      </c>
      <c r="I21" s="38">
        <f>SUMIFS('[14]inland_taf_hatchgrp_tableraw&amp;yy'!I$3:I$38,'[14]inland_taf_hatchgrp_tableraw&amp;yy'!$AC$3:$AC$38,'2021 Table 10 CWTs exp'!$A21)</f>
        <v>0</v>
      </c>
      <c r="J21" s="40">
        <f>SUMIFS('[14]inland_taf_hatchgrp_tableraw&amp;yy'!J$3:J$38,'[14]inland_taf_hatchgrp_tableraw&amp;yy'!$AC$3:$AC$38,'2021 Table 10 CWTs exp'!$A21)</f>
        <v>0</v>
      </c>
      <c r="K21" s="39">
        <f>SUMIFS('[14]inland_taf_hatchgrp_tableraw&amp;yy'!K$3:K$38,'[14]inland_taf_hatchgrp_tableraw&amp;yy'!$AC$3:$AC$38,'2021 Table 10 CWTs exp'!$A21)</f>
        <v>0</v>
      </c>
      <c r="L21" s="38">
        <f>SUMIFS('[14]inland_taf_hatchgrp_tableraw&amp;yy'!L$3:L$38,'[14]inland_taf_hatchgrp_tableraw&amp;yy'!$AC$3:$AC$38,'2021 Table 10 CWTs exp'!$A21)</f>
        <v>0</v>
      </c>
      <c r="M21" s="38">
        <f>SUMIFS('[14]inland_taf_hatchgrp_tableraw&amp;yy'!M$3:M$38,'[14]inland_taf_hatchgrp_tableraw&amp;yy'!$AC$3:$AC$38,'2021 Table 10 CWTs exp'!$A21)</f>
        <v>0</v>
      </c>
      <c r="N21" s="40">
        <f>SUMIFS('[14]inland_taf_hatchgrp_tableraw&amp;yy'!N$3:N$38,'[14]inland_taf_hatchgrp_tableraw&amp;yy'!$AC$3:$AC$38,'2021 Table 10 CWTs exp'!$A21)</f>
        <v>0</v>
      </c>
      <c r="O21" s="38">
        <f>SUMIFS('[14]inland_taf_hatchgrp_tableraw&amp;yy'!O$3:O$38,'[14]inland_taf_hatchgrp_tableraw&amp;yy'!$AC$3:$AC$38,'2021 Table 10 CWTs exp'!$A21)</f>
        <v>0</v>
      </c>
      <c r="P21" s="40">
        <f>SUMIFS('[14]inland_taf_hatchgrp_tableraw&amp;yy'!P$3:P$38,'[14]inland_taf_hatchgrp_tableraw&amp;yy'!$AC$3:$AC$38,'2021 Table 10 CWTs exp'!$A21)</f>
        <v>0</v>
      </c>
      <c r="Q21" s="38">
        <f>SUMIFS('[14]inland_taf_hatchgrp_tableraw&amp;yy'!Q$3:Q$38,'[14]inland_taf_hatchgrp_tableraw&amp;yy'!$AC$3:$AC$38,'2021 Table 10 CWTs exp'!$A21)</f>
        <v>0</v>
      </c>
      <c r="R21" s="38">
        <f>SUMIFS('[14]inland_taf_hatchgrp_tableraw&amp;yy'!R$3:R$38,'[14]inland_taf_hatchgrp_tableraw&amp;yy'!$AC$3:$AC$38,'2021 Table 10 CWTs exp'!$A21)</f>
        <v>0</v>
      </c>
      <c r="S21" s="38">
        <f>SUMIFS('[14]inland_taf_hatchgrp_tableraw&amp;yy'!S$3:S$38,'[14]inland_taf_hatchgrp_tableraw&amp;yy'!$AC$3:$AC$38,'2021 Table 10 CWTs exp'!$A21)</f>
        <v>0</v>
      </c>
      <c r="T21" s="40">
        <f>SUMIFS('[14]inland_taf_hatchgrp_tableraw&amp;yy'!T$3:T$38,'[14]inland_taf_hatchgrp_tableraw&amp;yy'!$AC$3:$AC$38,'2021 Table 10 CWTs exp'!$A21)</f>
        <v>0</v>
      </c>
      <c r="U21" s="38">
        <f>SUMIFS('[14]inland_taf_hatchgrp_tableraw&amp;yy'!U$3:U$38,'[14]inland_taf_hatchgrp_tableraw&amp;yy'!$AC$3:$AC$38,'2021 Table 10 CWTs exp'!$A21)</f>
        <v>0</v>
      </c>
      <c r="V21" s="40">
        <f>SUMIFS('[14]inland_taf_hatchgrp_tableraw&amp;yy'!V$3:V$38,'[14]inland_taf_hatchgrp_tableraw&amp;yy'!$AC$3:$AC$38,'2021 Table 10 CWTs exp'!$A21)</f>
        <v>0</v>
      </c>
      <c r="W21" s="40">
        <f>SUMIFS('[14]inland_taf_hatchgrp_tableraw&amp;yy'!W$3:W$38,'[14]inland_taf_hatchgrp_tableraw&amp;yy'!$AC$3:$AC$38,'2021 Table 10 CWTs exp'!$A21)</f>
        <v>0</v>
      </c>
      <c r="X21" s="38">
        <f>SUMIFS('[14]inland_taf_hatchgrp_tableraw&amp;yy'!X$3:X$38,'[14]inland_taf_hatchgrp_tableraw&amp;yy'!$AC$3:$AC$38,'2021 Table 10 CWTs exp'!$A21)</f>
        <v>0</v>
      </c>
      <c r="Y21" s="41">
        <f>SUMIFS('[14]inland_taf_hatchgrp_tableraw&amp;yy'!Y$3:Y$38,'[14]inland_taf_hatchgrp_tableraw&amp;yy'!$AC$3:$AC$38,'2021 Table 10 CWTs exp'!$A21)</f>
        <v>0</v>
      </c>
      <c r="Z21" s="42">
        <f>SUMIFS('[14]inland_taf_hatchgrp_tableraw&amp;yy'!Z$3:Z$38,'[14]inland_taf_hatchgrp_tableraw&amp;yy'!$AC$3:$AC$38,'2021 Table 10 CWTs exp'!$A21)</f>
        <v>1807</v>
      </c>
      <c r="AA21" s="38">
        <f>SUMIFS('[14]inland_taf_hatchgrp_tableraw&amp;yy'!AA$3:AA$38,'[14]inland_taf_hatchgrp_tableraw&amp;yy'!$AC$3:$AC$38,'2021 Table 10 CWTs exp'!$A21)</f>
        <v>1807</v>
      </c>
      <c r="AB21" s="636"/>
      <c r="AC21" s="636"/>
      <c r="AD21" s="567">
        <v>0</v>
      </c>
      <c r="AE21" s="604" t="str">
        <f t="shared" si="9"/>
        <v>BUTT541</v>
      </c>
      <c r="AF21" s="442"/>
      <c r="AG21" s="622">
        <f t="shared" si="10"/>
        <v>0</v>
      </c>
      <c r="AH21" s="652">
        <f t="shared" si="11"/>
        <v>1</v>
      </c>
      <c r="AI21" s="597"/>
      <c r="AJ21" s="599"/>
      <c r="AK21" s="451"/>
      <c r="AL21" s="451"/>
      <c r="AM21" s="442"/>
      <c r="AN21" s="442"/>
      <c r="AO21" s="442"/>
      <c r="AP21" s="442"/>
      <c r="AQ21" s="442"/>
      <c r="AR21" s="442"/>
      <c r="AS21" s="442"/>
      <c r="AT21" s="442"/>
      <c r="AU21" s="442"/>
      <c r="AV21" s="442"/>
      <c r="AW21" s="442"/>
      <c r="AX21" s="442"/>
      <c r="AY21" s="442"/>
      <c r="AZ21" s="442"/>
      <c r="BA21" s="442"/>
      <c r="BB21" s="442"/>
      <c r="BC21" s="442"/>
      <c r="BD21" s="442"/>
      <c r="BE21" s="442"/>
      <c r="BF21" s="442"/>
      <c r="BG21" s="442"/>
      <c r="BH21" s="442"/>
      <c r="BI21" s="442"/>
    </row>
    <row r="22" spans="1:61" ht="14.25" customHeight="1" x14ac:dyDescent="0.25">
      <c r="A22" s="50" t="str">
        <f>CONCATENATE(B22,C22,D22)</f>
        <v>UPSJ541</v>
      </c>
      <c r="B22" s="13" t="s">
        <v>68</v>
      </c>
      <c r="C22" s="13">
        <v>54</v>
      </c>
      <c r="D22" s="13">
        <v>1</v>
      </c>
      <c r="E22" s="3" t="s">
        <v>69</v>
      </c>
      <c r="F22" s="43" t="s">
        <v>47</v>
      </c>
      <c r="G22" s="38">
        <f>SUMIFS('[14]inland_taf_hatchgrp_tableraw&amp;yy'!G$3:G$38,'[14]inland_taf_hatchgrp_tableraw&amp;yy'!$AC$3:$AC$38,'2021 Table 10 CWTs exp'!$A22)</f>
        <v>0</v>
      </c>
      <c r="H22" s="39">
        <f>SUMIFS('[14]inland_taf_hatchgrp_tableraw&amp;yy'!H$3:H$38,'[14]inland_taf_hatchgrp_tableraw&amp;yy'!$AC$3:$AC$38,'2021 Table 10 CWTs exp'!$A22)</f>
        <v>0</v>
      </c>
      <c r="I22" s="38">
        <f>SUMIFS('[14]inland_taf_hatchgrp_tableraw&amp;yy'!I$3:I$38,'[14]inland_taf_hatchgrp_tableraw&amp;yy'!$AC$3:$AC$38,'2021 Table 10 CWTs exp'!$A22)</f>
        <v>0</v>
      </c>
      <c r="J22" s="40">
        <f>SUMIFS('[14]inland_taf_hatchgrp_tableraw&amp;yy'!J$3:J$38,'[14]inland_taf_hatchgrp_tableraw&amp;yy'!$AC$3:$AC$38,'2021 Table 10 CWTs exp'!$A22)</f>
        <v>0</v>
      </c>
      <c r="K22" s="39">
        <f>SUMIFS('[14]inland_taf_hatchgrp_tableraw&amp;yy'!K$3:K$38,'[14]inland_taf_hatchgrp_tableraw&amp;yy'!$AC$3:$AC$38,'2021 Table 10 CWTs exp'!$A22)</f>
        <v>0</v>
      </c>
      <c r="L22" s="38">
        <f>SUMIFS('[14]inland_taf_hatchgrp_tableraw&amp;yy'!L$3:L$38,'[14]inland_taf_hatchgrp_tableraw&amp;yy'!$AC$3:$AC$38,'2021 Table 10 CWTs exp'!$A22)</f>
        <v>0</v>
      </c>
      <c r="M22" s="38">
        <f>SUMIFS('[14]inland_taf_hatchgrp_tableraw&amp;yy'!M$3:M$38,'[14]inland_taf_hatchgrp_tableraw&amp;yy'!$AC$3:$AC$38,'2021 Table 10 CWTs exp'!$A22)</f>
        <v>0</v>
      </c>
      <c r="N22" s="40">
        <f>SUMIFS('[14]inland_taf_hatchgrp_tableraw&amp;yy'!N$3:N$38,'[14]inland_taf_hatchgrp_tableraw&amp;yy'!$AC$3:$AC$38,'2021 Table 10 CWTs exp'!$A22)</f>
        <v>0</v>
      </c>
      <c r="O22" s="38">
        <f>SUMIFS('[14]inland_taf_hatchgrp_tableraw&amp;yy'!O$3:O$38,'[14]inland_taf_hatchgrp_tableraw&amp;yy'!$AC$3:$AC$38,'2021 Table 10 CWTs exp'!$A22)</f>
        <v>0</v>
      </c>
      <c r="P22" s="40">
        <f>SUMIFS('[14]inland_taf_hatchgrp_tableraw&amp;yy'!P$3:P$38,'[14]inland_taf_hatchgrp_tableraw&amp;yy'!$AC$3:$AC$38,'2021 Table 10 CWTs exp'!$A22)</f>
        <v>0</v>
      </c>
      <c r="Q22" s="38">
        <f>SUMIFS('[14]inland_taf_hatchgrp_tableraw&amp;yy'!Q$3:Q$38,'[14]inland_taf_hatchgrp_tableraw&amp;yy'!$AC$3:$AC$38,'2021 Table 10 CWTs exp'!$A22)</f>
        <v>0</v>
      </c>
      <c r="R22" s="38">
        <f>SUMIFS('[14]inland_taf_hatchgrp_tableraw&amp;yy'!R$3:R$38,'[14]inland_taf_hatchgrp_tableraw&amp;yy'!$AC$3:$AC$38,'2021 Table 10 CWTs exp'!$A22)</f>
        <v>0</v>
      </c>
      <c r="S22" s="38">
        <f>SUMIFS('[14]inland_taf_hatchgrp_tableraw&amp;yy'!S$3:S$38,'[14]inland_taf_hatchgrp_tableraw&amp;yy'!$AC$3:$AC$38,'2021 Table 10 CWTs exp'!$A22)</f>
        <v>0</v>
      </c>
      <c r="T22" s="40">
        <f>SUMIFS('[14]inland_taf_hatchgrp_tableraw&amp;yy'!T$3:T$38,'[14]inland_taf_hatchgrp_tableraw&amp;yy'!$AC$3:$AC$38,'2021 Table 10 CWTs exp'!$A22)</f>
        <v>0</v>
      </c>
      <c r="U22" s="38">
        <f>SUMIFS('[14]inland_taf_hatchgrp_tableraw&amp;yy'!U$3:U$38,'[14]inland_taf_hatchgrp_tableraw&amp;yy'!$AC$3:$AC$38,'2021 Table 10 CWTs exp'!$A22)</f>
        <v>0</v>
      </c>
      <c r="V22" s="40">
        <f>SUMIFS('[14]inland_taf_hatchgrp_tableraw&amp;yy'!V$3:V$38,'[14]inland_taf_hatchgrp_tableraw&amp;yy'!$AC$3:$AC$38,'2021 Table 10 CWTs exp'!$A22)</f>
        <v>0</v>
      </c>
      <c r="W22" s="40">
        <f>SUMIFS('[14]inland_taf_hatchgrp_tableraw&amp;yy'!W$3:W$38,'[14]inland_taf_hatchgrp_tableraw&amp;yy'!$AC$3:$AC$38,'2021 Table 10 CWTs exp'!$A22)</f>
        <v>24</v>
      </c>
      <c r="X22" s="38">
        <f>SUMIFS('[14]inland_taf_hatchgrp_tableraw&amp;yy'!X$3:X$38,'[14]inland_taf_hatchgrp_tableraw&amp;yy'!$AC$3:$AC$38,'2021 Table 10 CWTs exp'!$A22)</f>
        <v>0</v>
      </c>
      <c r="Y22" s="41">
        <f>SUM(G22:X22)</f>
        <v>24</v>
      </c>
      <c r="Z22" s="42">
        <f>SUMIFS('[14]inland_taf_hatchgrp_tableraw&amp;yy'!Z$3:Z$38,'[14]inland_taf_hatchgrp_tableraw&amp;yy'!$AC$3:$AC$38,'2021 Table 10 CWTs exp'!$A22)</f>
        <v>8</v>
      </c>
      <c r="AA22" s="38">
        <f>SUMIFS('[14]inland_taf_hatchgrp_tableraw&amp;yy'!AA$3:AA$38,'[14]inland_taf_hatchgrp_tableraw&amp;yy'!$AC$3:$AC$38,'2021 Table 10 CWTs exp'!$A22)</f>
        <v>32</v>
      </c>
      <c r="AB22" s="636"/>
      <c r="AC22" s="636"/>
      <c r="AD22" s="567">
        <f>SUMIFS('[14]inland_taf_hatchgrp_tableraw&amp;yy'!AB$3:AB$38,'[14]inland_taf_hatchgrp_tableraw&amp;yy'!$AC$3:$AC$38,'2021 Table 10 CWTs exp'!$A22)</f>
        <v>0.75</v>
      </c>
      <c r="AE22" s="604" t="str">
        <f t="shared" si="9"/>
        <v>UPSJ541</v>
      </c>
      <c r="AF22" s="442"/>
      <c r="AG22" s="622">
        <f t="shared" si="10"/>
        <v>0.75</v>
      </c>
      <c r="AH22" s="652"/>
      <c r="AI22" s="597"/>
      <c r="AJ22" s="599"/>
      <c r="AK22" s="451"/>
      <c r="AL22" s="451"/>
      <c r="AM22" s="442"/>
      <c r="AN22" s="442"/>
      <c r="AO22" s="442"/>
      <c r="AP22" s="442"/>
      <c r="AQ22" s="442"/>
      <c r="AR22" s="442"/>
      <c r="AS22" s="442"/>
      <c r="AT22" s="442"/>
      <c r="AU22" s="442"/>
      <c r="AV22" s="442"/>
      <c r="AW22" s="442"/>
      <c r="AX22" s="442"/>
      <c r="AY22" s="442"/>
      <c r="AZ22" s="442"/>
      <c r="BA22" s="442"/>
      <c r="BB22" s="442"/>
      <c r="BC22" s="442"/>
      <c r="BD22" s="442"/>
      <c r="BE22" s="442"/>
      <c r="BF22" s="442"/>
      <c r="BG22" s="442"/>
      <c r="BH22" s="442"/>
      <c r="BI22" s="442"/>
    </row>
    <row r="23" spans="1:61" ht="14.5" customHeight="1" x14ac:dyDescent="0.25">
      <c r="A23" s="50" t="str">
        <f t="shared" si="8"/>
        <v>USAC543</v>
      </c>
      <c r="B23" s="13" t="s">
        <v>64</v>
      </c>
      <c r="C23" s="13">
        <v>54</v>
      </c>
      <c r="D23" s="13">
        <v>3</v>
      </c>
      <c r="E23" s="3" t="s">
        <v>65</v>
      </c>
      <c r="F23" s="43" t="str">
        <f>LOOKUP(D23,$AL$8:$AL$11,$AM$8:$AM$11)</f>
        <v>Fall</v>
      </c>
      <c r="G23" s="38">
        <f>SUMIFS('[14]inland_taf_hatchgrp_tableraw&amp;yy'!G$3:G$38,'[14]inland_taf_hatchgrp_tableraw&amp;yy'!$AC$3:$AC$38,'2021 Table 10 CWTs exp'!$A23)</f>
        <v>0</v>
      </c>
      <c r="H23" s="39">
        <f>SUMIFS('[14]inland_taf_hatchgrp_tableraw&amp;yy'!H$3:H$38,'[14]inland_taf_hatchgrp_tableraw&amp;yy'!$AC$3:$AC$38,'2021 Table 10 CWTs exp'!$A23)</f>
        <v>0</v>
      </c>
      <c r="I23" s="38">
        <f>SUMIFS('[14]inland_taf_hatchgrp_tableraw&amp;yy'!I$3:I$38,'[14]inland_taf_hatchgrp_tableraw&amp;yy'!$AC$3:$AC$38,'2021 Table 10 CWTs exp'!$A23)</f>
        <v>3996</v>
      </c>
      <c r="J23" s="40">
        <f>SUMIFS('[14]inland_taf_hatchgrp_tableraw&amp;yy'!J$3:J$38,'[14]inland_taf_hatchgrp_tableraw&amp;yy'!$AC$3:$AC$38,'2021 Table 10 CWTs exp'!$A23)</f>
        <v>0</v>
      </c>
      <c r="K23" s="39">
        <f>SUMIFS('[14]inland_taf_hatchgrp_tableraw&amp;yy'!K$3:K$38,'[14]inland_taf_hatchgrp_tableraw&amp;yy'!$AC$3:$AC$38,'2021 Table 10 CWTs exp'!$A23)</f>
        <v>0</v>
      </c>
      <c r="L23" s="38">
        <f>SUMIFS('[14]inland_taf_hatchgrp_tableraw&amp;yy'!L$3:L$38,'[14]inland_taf_hatchgrp_tableraw&amp;yy'!$AC$3:$AC$38,'2021 Table 10 CWTs exp'!$A23)</f>
        <v>0</v>
      </c>
      <c r="M23" s="38">
        <f>SUMIFS('[14]inland_taf_hatchgrp_tableraw&amp;yy'!M$3:M$38,'[14]inland_taf_hatchgrp_tableraw&amp;yy'!$AC$3:$AC$38,'2021 Table 10 CWTs exp'!$A23)</f>
        <v>1898</v>
      </c>
      <c r="N23" s="40">
        <f>SUMIFS('[14]inland_taf_hatchgrp_tableraw&amp;yy'!N$3:N$38,'[14]inland_taf_hatchgrp_tableraw&amp;yy'!$AC$3:$AC$38,'2021 Table 10 CWTs exp'!$A23)</f>
        <v>237</v>
      </c>
      <c r="O23" s="38">
        <f>SUMIFS('[14]inland_taf_hatchgrp_tableraw&amp;yy'!O$3:O$38,'[14]inland_taf_hatchgrp_tableraw&amp;yy'!$AC$3:$AC$38,'2021 Table 10 CWTs exp'!$A23)</f>
        <v>0</v>
      </c>
      <c r="P23" s="40">
        <f>SUMIFS('[14]inland_taf_hatchgrp_tableraw&amp;yy'!P$3:P$38,'[14]inland_taf_hatchgrp_tableraw&amp;yy'!$AC$3:$AC$38,'2021 Table 10 CWTs exp'!$A23)</f>
        <v>0</v>
      </c>
      <c r="Q23" s="38">
        <f>SUMIFS('[14]inland_taf_hatchgrp_tableraw&amp;yy'!Q$3:Q$38,'[14]inland_taf_hatchgrp_tableraw&amp;yy'!$AC$3:$AC$38,'2021 Table 10 CWTs exp'!$A23)</f>
        <v>0</v>
      </c>
      <c r="R23" s="38">
        <f>SUMIFS('[14]inland_taf_hatchgrp_tableraw&amp;yy'!R$3:R$38,'[14]inland_taf_hatchgrp_tableraw&amp;yy'!$AC$3:$AC$38,'2021 Table 10 CWTs exp'!$A23)</f>
        <v>0</v>
      </c>
      <c r="S23" s="38">
        <f>SUMIFS('[14]inland_taf_hatchgrp_tableraw&amp;yy'!S$3:S$38,'[14]inland_taf_hatchgrp_tableraw&amp;yy'!$AC$3:$AC$38,'2021 Table 10 CWTs exp'!$A23)</f>
        <v>0</v>
      </c>
      <c r="T23" s="40">
        <f>SUMIFS('[14]inland_taf_hatchgrp_tableraw&amp;yy'!T$3:T$38,'[14]inland_taf_hatchgrp_tableraw&amp;yy'!$AC$3:$AC$38,'2021 Table 10 CWTs exp'!$A23)</f>
        <v>0</v>
      </c>
      <c r="U23" s="38">
        <f>SUMIFS('[14]inland_taf_hatchgrp_tableraw&amp;yy'!U$3:U$38,'[14]inland_taf_hatchgrp_tableraw&amp;yy'!$AC$3:$AC$38,'2021 Table 10 CWTs exp'!$A23)</f>
        <v>0</v>
      </c>
      <c r="V23" s="40">
        <f>SUMIFS('[14]inland_taf_hatchgrp_tableraw&amp;yy'!V$3:V$38,'[14]inland_taf_hatchgrp_tableraw&amp;yy'!$AC$3:$AC$38,'2021 Table 10 CWTs exp'!$A23)</f>
        <v>0</v>
      </c>
      <c r="W23" s="40">
        <f>SUMIFS('[14]inland_taf_hatchgrp_tableraw&amp;yy'!W$3:W$38,'[14]inland_taf_hatchgrp_tableraw&amp;yy'!$AC$3:$AC$38,'2021 Table 10 CWTs exp'!$A23)</f>
        <v>30</v>
      </c>
      <c r="X23" s="38">
        <f>SUMIFS('[14]inland_taf_hatchgrp_tableraw&amp;yy'!X$3:X$38,'[14]inland_taf_hatchgrp_tableraw&amp;yy'!$AC$3:$AC$38,'2021 Table 10 CWTs exp'!$A23)</f>
        <v>0</v>
      </c>
      <c r="Y23" s="41">
        <f>SUMIFS('[14]inland_taf_hatchgrp_tableraw&amp;yy'!Y$3:Y$38,'[14]inland_taf_hatchgrp_tableraw&amp;yy'!$AC$3:$AC$38,'2021 Table 10 CWTs exp'!$A23)</f>
        <v>6161</v>
      </c>
      <c r="Z23" s="42">
        <f>SUMIFS('[14]inland_taf_hatchgrp_tableraw&amp;yy'!Z$3:Z$38,'[14]inland_taf_hatchgrp_tableraw&amp;yy'!$AC$3:$AC$38,'2021 Table 10 CWTs exp'!$A23)</f>
        <v>9468</v>
      </c>
      <c r="AA23" s="38">
        <f>SUMIFS('[14]inland_taf_hatchgrp_tableraw&amp;yy'!AA$3:AA$38,'[14]inland_taf_hatchgrp_tableraw&amp;yy'!$AC$3:$AC$38,'2021 Table 10 CWTs exp'!$A23)</f>
        <v>15629</v>
      </c>
      <c r="AB23" s="636"/>
      <c r="AC23" s="636"/>
      <c r="AD23" s="567">
        <f>SUMIFS('[14]inland_taf_hatchgrp_tableraw&amp;yy'!AB$3:AB$38,'[14]inland_taf_hatchgrp_tableraw&amp;yy'!$AC$3:$AC$38,'2021 Table 10 CWTs exp'!$A23)</f>
        <v>0.39400000000000002</v>
      </c>
      <c r="AE23" s="604" t="str">
        <f t="shared" si="9"/>
        <v>USAC543</v>
      </c>
      <c r="AF23" s="442"/>
      <c r="AG23" s="622">
        <f t="shared" si="10"/>
        <v>0.39420308401049331</v>
      </c>
      <c r="AH23" s="652">
        <f t="shared" si="11"/>
        <v>0.60579691598950669</v>
      </c>
      <c r="AI23" s="605">
        <f>1-AD23</f>
        <v>0.60599999999999998</v>
      </c>
      <c r="AJ23" s="447">
        <f t="shared" ref="AJ23:AJ39" si="12">Z23</f>
        <v>9468</v>
      </c>
      <c r="AK23" s="650">
        <f>AJ23/AA23</f>
        <v>0.60579691598950669</v>
      </c>
      <c r="AL23" s="451"/>
      <c r="AM23" s="442"/>
      <c r="AN23" s="442"/>
      <c r="AO23" s="442"/>
      <c r="AP23" s="442"/>
      <c r="AQ23" s="442"/>
      <c r="AR23" s="442"/>
      <c r="AS23" s="442"/>
      <c r="AT23" s="442"/>
      <c r="AU23" s="442"/>
      <c r="AV23" s="442"/>
      <c r="AW23" s="442"/>
      <c r="AX23" s="442"/>
      <c r="AY23" s="442"/>
      <c r="AZ23" s="442"/>
      <c r="BA23" s="442"/>
      <c r="BB23" s="442"/>
      <c r="BC23" s="442"/>
      <c r="BD23" s="442"/>
      <c r="BE23" s="442"/>
      <c r="BF23" s="442"/>
      <c r="BG23" s="442"/>
      <c r="BH23" s="442"/>
      <c r="BI23" s="442"/>
    </row>
    <row r="24" spans="1:61" ht="14.25" customHeight="1" x14ac:dyDescent="0.25">
      <c r="A24" s="50" t="str">
        <f t="shared" si="8"/>
        <v>CLR543</v>
      </c>
      <c r="B24" s="13" t="s">
        <v>70</v>
      </c>
      <c r="C24" s="13">
        <v>54</v>
      </c>
      <c r="D24" s="13">
        <v>3</v>
      </c>
      <c r="E24" s="3" t="s">
        <v>71</v>
      </c>
      <c r="F24" s="43" t="str">
        <f>LOOKUP(D24,$AL$8:$AL$11,$AM$8:$AM$11)</f>
        <v>Fall</v>
      </c>
      <c r="G24" s="38">
        <f>SUMIFS('[14]inland_taf_hatchgrp_tableraw&amp;yy'!G$3:G$38,'[14]inland_taf_hatchgrp_tableraw&amp;yy'!$AC$3:$AC$38,'2021 Table 10 CWTs exp'!$A24)</f>
        <v>0</v>
      </c>
      <c r="H24" s="39">
        <f>SUMIFS('[14]inland_taf_hatchgrp_tableraw&amp;yy'!H$3:H$38,'[14]inland_taf_hatchgrp_tableraw&amp;yy'!$AC$3:$AC$38,'2021 Table 10 CWTs exp'!$A24)</f>
        <v>0</v>
      </c>
      <c r="I24" s="38">
        <f>SUMIFS('[14]inland_taf_hatchgrp_tableraw&amp;yy'!I$3:I$38,'[14]inland_taf_hatchgrp_tableraw&amp;yy'!$AC$3:$AC$38,'2021 Table 10 CWTs exp'!$A24)</f>
        <v>6407</v>
      </c>
      <c r="J24" s="40">
        <f>SUMIFS('[14]inland_taf_hatchgrp_tableraw&amp;yy'!J$3:J$38,'[14]inland_taf_hatchgrp_tableraw&amp;yy'!$AC$3:$AC$38,'2021 Table 10 CWTs exp'!$A24)</f>
        <v>0</v>
      </c>
      <c r="K24" s="39">
        <f>SUMIFS('[14]inland_taf_hatchgrp_tableraw&amp;yy'!K$3:K$38,'[14]inland_taf_hatchgrp_tableraw&amp;yy'!$AC$3:$AC$38,'2021 Table 10 CWTs exp'!$A24)</f>
        <v>0</v>
      </c>
      <c r="L24" s="38">
        <f>SUMIFS('[14]inland_taf_hatchgrp_tableraw&amp;yy'!L$3:L$38,'[14]inland_taf_hatchgrp_tableraw&amp;yy'!$AC$3:$AC$38,'2021 Table 10 CWTs exp'!$A24)</f>
        <v>0</v>
      </c>
      <c r="M24" s="38">
        <f>SUMIFS('[14]inland_taf_hatchgrp_tableraw&amp;yy'!M$3:M$38,'[14]inland_taf_hatchgrp_tableraw&amp;yy'!$AC$3:$AC$38,'2021 Table 10 CWTs exp'!$A24)</f>
        <v>3193</v>
      </c>
      <c r="N24" s="40">
        <f>SUMIFS('[14]inland_taf_hatchgrp_tableraw&amp;yy'!N$3:N$38,'[14]inland_taf_hatchgrp_tableraw&amp;yy'!$AC$3:$AC$38,'2021 Table 10 CWTs exp'!$A24)</f>
        <v>686</v>
      </c>
      <c r="O24" s="38">
        <f>SUMIFS('[14]inland_taf_hatchgrp_tableraw&amp;yy'!O$3:O$38,'[14]inland_taf_hatchgrp_tableraw&amp;yy'!$AC$3:$AC$38,'2021 Table 10 CWTs exp'!$A24)</f>
        <v>57</v>
      </c>
      <c r="P24" s="40">
        <f>SUMIFS('[14]inland_taf_hatchgrp_tableraw&amp;yy'!P$3:P$38,'[14]inland_taf_hatchgrp_tableraw&amp;yy'!$AC$3:$AC$38,'2021 Table 10 CWTs exp'!$A24)</f>
        <v>227</v>
      </c>
      <c r="Q24" s="38">
        <f>SUMIFS('[14]inland_taf_hatchgrp_tableraw&amp;yy'!Q$3:Q$38,'[14]inland_taf_hatchgrp_tableraw&amp;yy'!$AC$3:$AC$38,'2021 Table 10 CWTs exp'!$A24)</f>
        <v>0</v>
      </c>
      <c r="R24" s="38">
        <f>SUMIFS('[14]inland_taf_hatchgrp_tableraw&amp;yy'!R$3:R$38,'[14]inland_taf_hatchgrp_tableraw&amp;yy'!$AC$3:$AC$38,'2021 Table 10 CWTs exp'!$A24)</f>
        <v>0</v>
      </c>
      <c r="S24" s="38">
        <f>SUMIFS('[14]inland_taf_hatchgrp_tableraw&amp;yy'!S$3:S$38,'[14]inland_taf_hatchgrp_tableraw&amp;yy'!$AC$3:$AC$38,'2021 Table 10 CWTs exp'!$A24)</f>
        <v>14</v>
      </c>
      <c r="T24" s="40">
        <f>SUMIFS('[14]inland_taf_hatchgrp_tableraw&amp;yy'!T$3:T$38,'[14]inland_taf_hatchgrp_tableraw&amp;yy'!$AC$3:$AC$38,'2021 Table 10 CWTs exp'!$A24)</f>
        <v>57</v>
      </c>
      <c r="U24" s="38">
        <f>SUMIFS('[14]inland_taf_hatchgrp_tableraw&amp;yy'!U$3:U$38,'[14]inland_taf_hatchgrp_tableraw&amp;yy'!$AC$3:$AC$38,'2021 Table 10 CWTs exp'!$A24)</f>
        <v>0</v>
      </c>
      <c r="V24" s="40">
        <f>SUMIFS('[14]inland_taf_hatchgrp_tableraw&amp;yy'!V$3:V$38,'[14]inland_taf_hatchgrp_tableraw&amp;yy'!$AC$3:$AC$38,'2021 Table 10 CWTs exp'!$A24)</f>
        <v>133</v>
      </c>
      <c r="W24" s="40">
        <f>SUMIFS('[14]inland_taf_hatchgrp_tableraw&amp;yy'!W$3:W$38,'[14]inland_taf_hatchgrp_tableraw&amp;yy'!$AC$3:$AC$38,'2021 Table 10 CWTs exp'!$A24)</f>
        <v>0</v>
      </c>
      <c r="X24" s="38">
        <f>SUMIFS('[14]inland_taf_hatchgrp_tableraw&amp;yy'!X$3:X$38,'[14]inland_taf_hatchgrp_tableraw&amp;yy'!$AC$3:$AC$38,'2021 Table 10 CWTs exp'!$A24)</f>
        <v>0</v>
      </c>
      <c r="Y24" s="41">
        <f>SUMIFS('[14]inland_taf_hatchgrp_tableraw&amp;yy'!Y$3:Y$38,'[14]inland_taf_hatchgrp_tableraw&amp;yy'!$AC$3:$AC$38,'2021 Table 10 CWTs exp'!$A24)</f>
        <v>10774</v>
      </c>
      <c r="Z24" s="42">
        <f>SUMIFS('[14]inland_taf_hatchgrp_tableraw&amp;yy'!Z$3:Z$38,'[14]inland_taf_hatchgrp_tableraw&amp;yy'!$AC$3:$AC$38,'2021 Table 10 CWTs exp'!$A24)</f>
        <v>9093</v>
      </c>
      <c r="AA24" s="38">
        <f>SUMIFS('[14]inland_taf_hatchgrp_tableraw&amp;yy'!AA$3:AA$38,'[14]inland_taf_hatchgrp_tableraw&amp;yy'!$AC$3:$AC$38,'2021 Table 10 CWTs exp'!$A24)</f>
        <v>19867</v>
      </c>
      <c r="AB24" s="636"/>
      <c r="AC24" s="636"/>
      <c r="AD24" s="567">
        <f>SUMIFS('[14]inland_taf_hatchgrp_tableraw&amp;yy'!AB$3:AB$38,'[14]inland_taf_hatchgrp_tableraw&amp;yy'!$AC$3:$AC$38,'2021 Table 10 CWTs exp'!$A24)</f>
        <v>0.54200000000000004</v>
      </c>
      <c r="AE24" s="604" t="str">
        <f t="shared" si="9"/>
        <v>CLR543</v>
      </c>
      <c r="AF24" s="613"/>
      <c r="AG24" s="622">
        <f t="shared" si="10"/>
        <v>0.54230633714199428</v>
      </c>
      <c r="AH24" s="652">
        <f t="shared" si="11"/>
        <v>0.45769366285800572</v>
      </c>
      <c r="AI24" s="605">
        <f t="shared" ref="AI24:AI40" si="13">1-AD24</f>
        <v>0.45799999999999996</v>
      </c>
      <c r="AJ24" s="447">
        <f t="shared" si="12"/>
        <v>9093</v>
      </c>
      <c r="AK24" s="650">
        <f t="shared" ref="AK24:AK40" si="14">AJ24/AA24</f>
        <v>0.45769366285800572</v>
      </c>
      <c r="AL24" s="451"/>
      <c r="AM24" s="442"/>
      <c r="AN24" s="442"/>
      <c r="AO24" s="442"/>
      <c r="AP24" s="442"/>
      <c r="AQ24" s="442"/>
      <c r="AR24" s="442"/>
      <c r="AS24" s="442"/>
      <c r="AT24" s="442"/>
      <c r="AU24" s="442"/>
      <c r="AV24" s="442"/>
      <c r="AW24" s="442"/>
      <c r="AX24" s="442"/>
      <c r="AY24" s="442"/>
      <c r="AZ24" s="442"/>
      <c r="BA24" s="442"/>
      <c r="BB24" s="442"/>
      <c r="BC24" s="442"/>
      <c r="BD24" s="442"/>
      <c r="BE24" s="442"/>
      <c r="BF24" s="442"/>
      <c r="BG24" s="442"/>
      <c r="BH24" s="442"/>
      <c r="BI24" s="442"/>
    </row>
    <row r="25" spans="1:61" ht="14.5" x14ac:dyDescent="0.25">
      <c r="A25" s="50" t="str">
        <f t="shared" si="8"/>
        <v>BATT543</v>
      </c>
      <c r="B25" s="13" t="s">
        <v>72</v>
      </c>
      <c r="C25" s="13">
        <v>54</v>
      </c>
      <c r="D25" s="13">
        <v>3</v>
      </c>
      <c r="E25" s="75" t="s">
        <v>73</v>
      </c>
      <c r="F25" s="43" t="s">
        <v>48</v>
      </c>
      <c r="G25" s="38">
        <f>SUMIFS('[14]inland_taf_hatchgrp_tableraw&amp;yy'!G$3:G$38,'[14]inland_taf_hatchgrp_tableraw&amp;yy'!$AC$3:$AC$38,'2021 Table 10 CWTs exp'!$A25)</f>
        <v>0</v>
      </c>
      <c r="H25" s="39">
        <f>SUMIFS('[14]inland_taf_hatchgrp_tableraw&amp;yy'!H$3:H$38,'[14]inland_taf_hatchgrp_tableraw&amp;yy'!$AC$3:$AC$38,'2021 Table 10 CWTs exp'!$A25)</f>
        <v>1</v>
      </c>
      <c r="I25" s="38">
        <f>SUMIFS('[14]inland_taf_hatchgrp_tableraw&amp;yy'!I$3:I$38,'[14]inland_taf_hatchgrp_tableraw&amp;yy'!$AC$3:$AC$38,'2021 Table 10 CWTs exp'!$A25)</f>
        <v>15354</v>
      </c>
      <c r="J25" s="40">
        <f>SUMIFS('[14]inland_taf_hatchgrp_tableraw&amp;yy'!J$3:J$38,'[14]inland_taf_hatchgrp_tableraw&amp;yy'!$AC$3:$AC$38,'2021 Table 10 CWTs exp'!$A25)</f>
        <v>0</v>
      </c>
      <c r="K25" s="39">
        <f>SUMIFS('[14]inland_taf_hatchgrp_tableraw&amp;yy'!K$3:K$38,'[14]inland_taf_hatchgrp_tableraw&amp;yy'!$AC$3:$AC$38,'2021 Table 10 CWTs exp'!$A25)</f>
        <v>0</v>
      </c>
      <c r="L25" s="38">
        <f>SUMIFS('[14]inland_taf_hatchgrp_tableraw&amp;yy'!L$3:L$38,'[14]inland_taf_hatchgrp_tableraw&amp;yy'!$AC$3:$AC$38,'2021 Table 10 CWTs exp'!$A25)</f>
        <v>0</v>
      </c>
      <c r="M25" s="38">
        <f>SUMIFS('[14]inland_taf_hatchgrp_tableraw&amp;yy'!M$3:M$38,'[14]inland_taf_hatchgrp_tableraw&amp;yy'!$AC$3:$AC$38,'2021 Table 10 CWTs exp'!$A25)</f>
        <v>195</v>
      </c>
      <c r="N25" s="40">
        <f>SUMIFS('[14]inland_taf_hatchgrp_tableraw&amp;yy'!N$3:N$38,'[14]inland_taf_hatchgrp_tableraw&amp;yy'!$AC$3:$AC$38,'2021 Table 10 CWTs exp'!$A25)</f>
        <v>4</v>
      </c>
      <c r="O25" s="38">
        <f>SUMIFS('[14]inland_taf_hatchgrp_tableraw&amp;yy'!O$3:O$38,'[14]inland_taf_hatchgrp_tableraw&amp;yy'!$AC$3:$AC$38,'2021 Table 10 CWTs exp'!$A25)</f>
        <v>0</v>
      </c>
      <c r="P25" s="40">
        <f>SUMIFS('[14]inland_taf_hatchgrp_tableraw&amp;yy'!P$3:P$38,'[14]inland_taf_hatchgrp_tableraw&amp;yy'!$AC$3:$AC$38,'2021 Table 10 CWTs exp'!$A25)</f>
        <v>4</v>
      </c>
      <c r="Q25" s="38">
        <f>SUMIFS('[14]inland_taf_hatchgrp_tableraw&amp;yy'!Q$3:Q$38,'[14]inland_taf_hatchgrp_tableraw&amp;yy'!$AC$3:$AC$38,'2021 Table 10 CWTs exp'!$A25)</f>
        <v>0</v>
      </c>
      <c r="R25" s="38">
        <f>SUMIFS('[14]inland_taf_hatchgrp_tableraw&amp;yy'!R$3:R$38,'[14]inland_taf_hatchgrp_tableraw&amp;yy'!$AC$3:$AC$38,'2021 Table 10 CWTs exp'!$A25)</f>
        <v>0</v>
      </c>
      <c r="S25" s="38">
        <f>SUMIFS('[14]inland_taf_hatchgrp_tableraw&amp;yy'!S$3:S$38,'[14]inland_taf_hatchgrp_tableraw&amp;yy'!$AC$3:$AC$38,'2021 Table 10 CWTs exp'!$A25)</f>
        <v>1</v>
      </c>
      <c r="T25" s="40">
        <f>SUMIFS('[14]inland_taf_hatchgrp_tableraw&amp;yy'!T$3:T$38,'[14]inland_taf_hatchgrp_tableraw&amp;yy'!$AC$3:$AC$38,'2021 Table 10 CWTs exp'!$A25)</f>
        <v>9</v>
      </c>
      <c r="U25" s="38">
        <f>SUMIFS('[14]inland_taf_hatchgrp_tableraw&amp;yy'!U$3:U$38,'[14]inland_taf_hatchgrp_tableraw&amp;yy'!$AC$3:$AC$38,'2021 Table 10 CWTs exp'!$A25)</f>
        <v>0</v>
      </c>
      <c r="V25" s="40">
        <f>SUMIFS('[14]inland_taf_hatchgrp_tableraw&amp;yy'!V$3:V$38,'[14]inland_taf_hatchgrp_tableraw&amp;yy'!$AC$3:$AC$38,'2021 Table 10 CWTs exp'!$A25)</f>
        <v>4</v>
      </c>
      <c r="W25" s="40">
        <f>SUMIFS('[14]inland_taf_hatchgrp_tableraw&amp;yy'!W$3:W$38,'[14]inland_taf_hatchgrp_tableraw&amp;yy'!$AC$3:$AC$38,'2021 Table 10 CWTs exp'!$A25)</f>
        <v>0</v>
      </c>
      <c r="X25" s="38">
        <f>SUMIFS('[14]inland_taf_hatchgrp_tableraw&amp;yy'!X$3:X$38,'[14]inland_taf_hatchgrp_tableraw&amp;yy'!$AC$3:$AC$38,'2021 Table 10 CWTs exp'!$A25)</f>
        <v>0</v>
      </c>
      <c r="Y25" s="41">
        <f>SUMIFS('[14]inland_taf_hatchgrp_tableraw&amp;yy'!Y$3:Y$38,'[14]inland_taf_hatchgrp_tableraw&amp;yy'!$AC$3:$AC$38,'2021 Table 10 CWTs exp'!$A25)</f>
        <v>15572</v>
      </c>
      <c r="Z25" s="42">
        <f>SUMIFS('[14]inland_taf_hatchgrp_tableraw&amp;yy'!Z$3:Z$38,'[14]inland_taf_hatchgrp_tableraw&amp;yy'!$AC$3:$AC$38,'2021 Table 10 CWTs exp'!$A25)</f>
        <v>1881</v>
      </c>
      <c r="AA25" s="38">
        <f>SUMIFS('[14]inland_taf_hatchgrp_tableraw&amp;yy'!AA$3:AA$38,'[14]inland_taf_hatchgrp_tableraw&amp;yy'!$AC$3:$AC$38,'2021 Table 10 CWTs exp'!$A25)</f>
        <v>17453</v>
      </c>
      <c r="AB25" s="636"/>
      <c r="AC25" s="636"/>
      <c r="AD25" s="567">
        <f>Y25/AA25</f>
        <v>0.89222483240703609</v>
      </c>
      <c r="AE25" s="604" t="str">
        <f t="shared" si="9"/>
        <v>BATT543</v>
      </c>
      <c r="AF25" s="442"/>
      <c r="AG25" s="622">
        <f t="shared" si="10"/>
        <v>0.89222483240703609</v>
      </c>
      <c r="AH25" s="652">
        <f t="shared" si="11"/>
        <v>0.10777516759296396</v>
      </c>
      <c r="AI25" s="605">
        <f t="shared" si="13"/>
        <v>0.10777516759296391</v>
      </c>
      <c r="AJ25" s="447">
        <f t="shared" si="12"/>
        <v>1881</v>
      </c>
      <c r="AK25" s="650">
        <f t="shared" si="14"/>
        <v>0.10777516759296396</v>
      </c>
      <c r="AL25" s="451"/>
      <c r="AM25" s="442"/>
      <c r="AN25" s="442"/>
      <c r="AO25" s="442"/>
      <c r="AP25" s="442"/>
      <c r="AQ25" s="442"/>
      <c r="AR25" s="442"/>
      <c r="AS25" s="442"/>
      <c r="AT25" s="442"/>
      <c r="AU25" s="442"/>
      <c r="AV25" s="442"/>
      <c r="AW25" s="442"/>
      <c r="AX25" s="442"/>
      <c r="AY25" s="442"/>
      <c r="AZ25" s="442"/>
      <c r="BA25" s="442"/>
      <c r="BB25" s="442"/>
      <c r="BC25" s="442"/>
      <c r="BD25" s="442"/>
      <c r="BE25" s="442"/>
      <c r="BF25" s="442"/>
      <c r="BG25" s="442"/>
      <c r="BH25" s="442"/>
      <c r="BI25" s="442"/>
    </row>
    <row r="26" spans="1:61" hidden="1" x14ac:dyDescent="0.25">
      <c r="A26" s="50" t="str">
        <f t="shared" si="8"/>
        <v>COT543</v>
      </c>
      <c r="B26" s="13" t="s">
        <v>74</v>
      </c>
      <c r="C26" s="13">
        <v>54</v>
      </c>
      <c r="D26" s="13">
        <v>3</v>
      </c>
      <c r="E26" s="3" t="s">
        <v>75</v>
      </c>
      <c r="F26" s="43" t="str">
        <f t="shared" ref="F26:F40" si="15">LOOKUP(D26,$AL$8:$AL$11,$AM$8:$AM$11)</f>
        <v>Fall</v>
      </c>
      <c r="G26" s="38">
        <f>SUMIFS('[14]inland_taf_hatchgrp_tableraw&amp;yy'!G$3:G$38,'[14]inland_taf_hatchgrp_tableraw&amp;yy'!$AC$3:$AC$38,'2021 Table 10 CWTs exp'!$A26)</f>
        <v>0</v>
      </c>
      <c r="H26" s="39">
        <f>SUMIFS('[14]inland_taf_hatchgrp_tableraw&amp;yy'!H$3:H$38,'[14]inland_taf_hatchgrp_tableraw&amp;yy'!$AC$3:$AC$38,'2021 Table 10 CWTs exp'!$A26)</f>
        <v>0</v>
      </c>
      <c r="I26" s="38">
        <f>SUMIFS('[14]inland_taf_hatchgrp_tableraw&amp;yy'!I$3:I$38,'[14]inland_taf_hatchgrp_tableraw&amp;yy'!$AC$3:$AC$38,'2021 Table 10 CWTs exp'!$A26)</f>
        <v>0</v>
      </c>
      <c r="J26" s="40">
        <f>SUMIFS('[14]inland_taf_hatchgrp_tableraw&amp;yy'!J$3:J$38,'[14]inland_taf_hatchgrp_tableraw&amp;yy'!$AC$3:$AC$38,'2021 Table 10 CWTs exp'!$A26)</f>
        <v>0</v>
      </c>
      <c r="K26" s="39">
        <f>SUMIFS('[14]inland_taf_hatchgrp_tableraw&amp;yy'!K$3:K$38,'[14]inland_taf_hatchgrp_tableraw&amp;yy'!$AC$3:$AC$38,'2021 Table 10 CWTs exp'!$A26)</f>
        <v>0</v>
      </c>
      <c r="L26" s="38">
        <f>SUMIFS('[14]inland_taf_hatchgrp_tableraw&amp;yy'!L$3:L$38,'[14]inland_taf_hatchgrp_tableraw&amp;yy'!$AC$3:$AC$38,'2021 Table 10 CWTs exp'!$A26)</f>
        <v>0</v>
      </c>
      <c r="M26" s="38">
        <f>SUMIFS('[14]inland_taf_hatchgrp_tableraw&amp;yy'!M$3:M$38,'[14]inland_taf_hatchgrp_tableraw&amp;yy'!$AC$3:$AC$38,'2021 Table 10 CWTs exp'!$A26)</f>
        <v>0</v>
      </c>
      <c r="N26" s="40">
        <f>SUMIFS('[14]inland_taf_hatchgrp_tableraw&amp;yy'!N$3:N$38,'[14]inland_taf_hatchgrp_tableraw&amp;yy'!$AC$3:$AC$38,'2021 Table 10 CWTs exp'!$A26)</f>
        <v>0</v>
      </c>
      <c r="O26" s="38">
        <f>SUMIFS('[14]inland_taf_hatchgrp_tableraw&amp;yy'!O$3:O$38,'[14]inland_taf_hatchgrp_tableraw&amp;yy'!$AC$3:$AC$38,'2021 Table 10 CWTs exp'!$A26)</f>
        <v>0</v>
      </c>
      <c r="P26" s="40">
        <f>SUMIFS('[14]inland_taf_hatchgrp_tableraw&amp;yy'!P$3:P$38,'[14]inland_taf_hatchgrp_tableraw&amp;yy'!$AC$3:$AC$38,'2021 Table 10 CWTs exp'!$A26)</f>
        <v>0</v>
      </c>
      <c r="Q26" s="38">
        <f>SUMIFS('[14]inland_taf_hatchgrp_tableraw&amp;yy'!Q$3:Q$38,'[14]inland_taf_hatchgrp_tableraw&amp;yy'!$AC$3:$AC$38,'2021 Table 10 CWTs exp'!$A26)</f>
        <v>0</v>
      </c>
      <c r="R26" s="38">
        <f>SUMIFS('[14]inland_taf_hatchgrp_tableraw&amp;yy'!R$3:R$38,'[14]inland_taf_hatchgrp_tableraw&amp;yy'!$AC$3:$AC$38,'2021 Table 10 CWTs exp'!$A26)</f>
        <v>0</v>
      </c>
      <c r="S26" s="38">
        <f>SUMIFS('[14]inland_taf_hatchgrp_tableraw&amp;yy'!S$3:S$38,'[14]inland_taf_hatchgrp_tableraw&amp;yy'!$AC$3:$AC$38,'2021 Table 10 CWTs exp'!$A26)</f>
        <v>0</v>
      </c>
      <c r="T26" s="40">
        <f>SUMIFS('[14]inland_taf_hatchgrp_tableraw&amp;yy'!T$3:T$38,'[14]inland_taf_hatchgrp_tableraw&amp;yy'!$AC$3:$AC$38,'2021 Table 10 CWTs exp'!$A26)</f>
        <v>0</v>
      </c>
      <c r="U26" s="38">
        <f>SUMIFS('[14]inland_taf_hatchgrp_tableraw&amp;yy'!U$3:U$38,'[14]inland_taf_hatchgrp_tableraw&amp;yy'!$AC$3:$AC$38,'2021 Table 10 CWTs exp'!$A26)</f>
        <v>0</v>
      </c>
      <c r="V26" s="40">
        <f>SUMIFS('[14]inland_taf_hatchgrp_tableraw&amp;yy'!V$3:V$38,'[14]inland_taf_hatchgrp_tableraw&amp;yy'!$AC$3:$AC$38,'2021 Table 10 CWTs exp'!$A26)</f>
        <v>0</v>
      </c>
      <c r="W26" s="40">
        <f>SUMIFS('[14]inland_taf_hatchgrp_tableraw&amp;yy'!W$3:W$38,'[14]inland_taf_hatchgrp_tableraw&amp;yy'!$AC$3:$AC$38,'2021 Table 10 CWTs exp'!$A26)</f>
        <v>0</v>
      </c>
      <c r="X26" s="38">
        <f>SUMIFS('[14]inland_taf_hatchgrp_tableraw&amp;yy'!X$3:X$38,'[14]inland_taf_hatchgrp_tableraw&amp;yy'!$AC$3:$AC$38,'2021 Table 10 CWTs exp'!$A26)</f>
        <v>0</v>
      </c>
      <c r="Y26" s="41">
        <f>SUMIFS('[14]inland_taf_hatchgrp_tableraw&amp;yy'!Y$3:Y$38,'[14]inland_taf_hatchgrp_tableraw&amp;yy'!$AC$3:$AC$38,'2021 Table 10 CWTs exp'!$A26)</f>
        <v>0</v>
      </c>
      <c r="Z26" s="42">
        <f>SUMIFS('[14]inland_taf_hatchgrp_tableraw&amp;yy'!Z$3:Z$38,'[14]inland_taf_hatchgrp_tableraw&amp;yy'!$AC$3:$AC$38,'2021 Table 10 CWTs exp'!$A26)</f>
        <v>0</v>
      </c>
      <c r="AA26" s="38">
        <f>SUMIFS('[14]inland_taf_hatchgrp_tableraw&amp;yy'!AA$3:AA$38,'[14]inland_taf_hatchgrp_tableraw&amp;yy'!$AC$3:$AC$38,'2021 Table 10 CWTs exp'!$A26)</f>
        <v>0</v>
      </c>
      <c r="AB26" s="636"/>
      <c r="AC26" s="636"/>
      <c r="AD26" s="567">
        <f>SUMIFS('[14]inland_taf_hatchgrp_tableraw&amp;yy'!AB$3:AB$38,'[14]inland_taf_hatchgrp_tableraw&amp;yy'!$AC$3:$AC$38,'2021 Table 10 CWTs exp'!$A26)</f>
        <v>0</v>
      </c>
      <c r="AE26" s="604" t="str">
        <f t="shared" si="9"/>
        <v>COT543</v>
      </c>
      <c r="AF26" s="442"/>
      <c r="AG26" s="622" t="e">
        <f t="shared" si="10"/>
        <v>#DIV/0!</v>
      </c>
      <c r="AH26" s="652" t="e">
        <f t="shared" si="11"/>
        <v>#DIV/0!</v>
      </c>
      <c r="AI26" s="605">
        <f t="shared" si="13"/>
        <v>1</v>
      </c>
      <c r="AJ26" s="447">
        <f t="shared" si="12"/>
        <v>0</v>
      </c>
      <c r="AK26" s="650" t="e">
        <f t="shared" si="14"/>
        <v>#DIV/0!</v>
      </c>
      <c r="AL26" s="451"/>
      <c r="AM26" s="442"/>
      <c r="AN26" s="442"/>
      <c r="AO26" s="442"/>
      <c r="AP26" s="442"/>
      <c r="AQ26" s="442"/>
      <c r="AR26" s="442"/>
      <c r="AS26" s="442"/>
      <c r="AT26" s="442"/>
      <c r="AU26" s="442"/>
      <c r="AV26" s="442"/>
      <c r="AW26" s="442"/>
      <c r="AX26" s="442"/>
      <c r="AY26" s="442"/>
      <c r="AZ26" s="442"/>
      <c r="BA26" s="442"/>
      <c r="BB26" s="442"/>
      <c r="BC26" s="442"/>
      <c r="BD26" s="442"/>
      <c r="BE26" s="442"/>
      <c r="BF26" s="442"/>
      <c r="BG26" s="442"/>
      <c r="BH26" s="442"/>
      <c r="BI26" s="442"/>
    </row>
    <row r="27" spans="1:61" hidden="1" x14ac:dyDescent="0.25">
      <c r="A27" s="50" t="str">
        <f t="shared" si="8"/>
        <v>COW543</v>
      </c>
      <c r="B27" s="13" t="s">
        <v>76</v>
      </c>
      <c r="C27" s="13">
        <v>54</v>
      </c>
      <c r="D27" s="13">
        <v>3</v>
      </c>
      <c r="E27" s="3" t="s">
        <v>77</v>
      </c>
      <c r="F27" s="43" t="str">
        <f t="shared" si="15"/>
        <v>Fall</v>
      </c>
      <c r="G27" s="38">
        <f>SUMIFS('[14]inland_taf_hatchgrp_tableraw&amp;yy'!G$3:G$38,'[14]inland_taf_hatchgrp_tableraw&amp;yy'!$AC$3:$AC$38,'2021 Table 10 CWTs exp'!$A27)</f>
        <v>0</v>
      </c>
      <c r="H27" s="39">
        <f>SUMIFS('[14]inland_taf_hatchgrp_tableraw&amp;yy'!H$3:H$38,'[14]inland_taf_hatchgrp_tableraw&amp;yy'!$AC$3:$AC$38,'2021 Table 10 CWTs exp'!$A27)</f>
        <v>0</v>
      </c>
      <c r="I27" s="38">
        <f>SUMIFS('[14]inland_taf_hatchgrp_tableraw&amp;yy'!I$3:I$38,'[14]inland_taf_hatchgrp_tableraw&amp;yy'!$AC$3:$AC$38,'2021 Table 10 CWTs exp'!$A27)</f>
        <v>0</v>
      </c>
      <c r="J27" s="40">
        <f>SUMIFS('[14]inland_taf_hatchgrp_tableraw&amp;yy'!J$3:J$38,'[14]inland_taf_hatchgrp_tableraw&amp;yy'!$AC$3:$AC$38,'2021 Table 10 CWTs exp'!$A27)</f>
        <v>0</v>
      </c>
      <c r="K27" s="39">
        <f>SUMIFS('[14]inland_taf_hatchgrp_tableraw&amp;yy'!K$3:K$38,'[14]inland_taf_hatchgrp_tableraw&amp;yy'!$AC$3:$AC$38,'2021 Table 10 CWTs exp'!$A27)</f>
        <v>0</v>
      </c>
      <c r="L27" s="38">
        <f>SUMIFS('[14]inland_taf_hatchgrp_tableraw&amp;yy'!L$3:L$38,'[14]inland_taf_hatchgrp_tableraw&amp;yy'!$AC$3:$AC$38,'2021 Table 10 CWTs exp'!$A27)</f>
        <v>0</v>
      </c>
      <c r="M27" s="38">
        <f>SUMIFS('[14]inland_taf_hatchgrp_tableraw&amp;yy'!M$3:M$38,'[14]inland_taf_hatchgrp_tableraw&amp;yy'!$AC$3:$AC$38,'2021 Table 10 CWTs exp'!$A27)</f>
        <v>0</v>
      </c>
      <c r="N27" s="40">
        <f>SUMIFS('[14]inland_taf_hatchgrp_tableraw&amp;yy'!N$3:N$38,'[14]inland_taf_hatchgrp_tableraw&amp;yy'!$AC$3:$AC$38,'2021 Table 10 CWTs exp'!$A27)</f>
        <v>0</v>
      </c>
      <c r="O27" s="38">
        <f>SUMIFS('[14]inland_taf_hatchgrp_tableraw&amp;yy'!O$3:O$38,'[14]inland_taf_hatchgrp_tableraw&amp;yy'!$AC$3:$AC$38,'2021 Table 10 CWTs exp'!$A27)</f>
        <v>0</v>
      </c>
      <c r="P27" s="40">
        <f>SUMIFS('[14]inland_taf_hatchgrp_tableraw&amp;yy'!P$3:P$38,'[14]inland_taf_hatchgrp_tableraw&amp;yy'!$AC$3:$AC$38,'2021 Table 10 CWTs exp'!$A27)</f>
        <v>0</v>
      </c>
      <c r="Q27" s="38">
        <f>SUMIFS('[14]inland_taf_hatchgrp_tableraw&amp;yy'!Q$3:Q$38,'[14]inland_taf_hatchgrp_tableraw&amp;yy'!$AC$3:$AC$38,'2021 Table 10 CWTs exp'!$A27)</f>
        <v>0</v>
      </c>
      <c r="R27" s="38">
        <f>SUMIFS('[14]inland_taf_hatchgrp_tableraw&amp;yy'!R$3:R$38,'[14]inland_taf_hatchgrp_tableraw&amp;yy'!$AC$3:$AC$38,'2021 Table 10 CWTs exp'!$A27)</f>
        <v>0</v>
      </c>
      <c r="S27" s="38">
        <f>SUMIFS('[14]inland_taf_hatchgrp_tableraw&amp;yy'!S$3:S$38,'[14]inland_taf_hatchgrp_tableraw&amp;yy'!$AC$3:$AC$38,'2021 Table 10 CWTs exp'!$A27)</f>
        <v>0</v>
      </c>
      <c r="T27" s="40">
        <f>SUMIFS('[14]inland_taf_hatchgrp_tableraw&amp;yy'!T$3:T$38,'[14]inland_taf_hatchgrp_tableraw&amp;yy'!$AC$3:$AC$38,'2021 Table 10 CWTs exp'!$A27)</f>
        <v>0</v>
      </c>
      <c r="U27" s="38">
        <f>SUMIFS('[14]inland_taf_hatchgrp_tableraw&amp;yy'!U$3:U$38,'[14]inland_taf_hatchgrp_tableraw&amp;yy'!$AC$3:$AC$38,'2021 Table 10 CWTs exp'!$A27)</f>
        <v>0</v>
      </c>
      <c r="V27" s="40">
        <f>SUMIFS('[14]inland_taf_hatchgrp_tableraw&amp;yy'!V$3:V$38,'[14]inland_taf_hatchgrp_tableraw&amp;yy'!$AC$3:$AC$38,'2021 Table 10 CWTs exp'!$A27)</f>
        <v>0</v>
      </c>
      <c r="W27" s="40">
        <f>SUMIFS('[14]inland_taf_hatchgrp_tableraw&amp;yy'!W$3:W$38,'[14]inland_taf_hatchgrp_tableraw&amp;yy'!$AC$3:$AC$38,'2021 Table 10 CWTs exp'!$A27)</f>
        <v>0</v>
      </c>
      <c r="X27" s="38">
        <f>SUMIFS('[14]inland_taf_hatchgrp_tableraw&amp;yy'!X$3:X$38,'[14]inland_taf_hatchgrp_tableraw&amp;yy'!$AC$3:$AC$38,'2021 Table 10 CWTs exp'!$A27)</f>
        <v>0</v>
      </c>
      <c r="Y27" s="41">
        <f>SUMIFS('[14]inland_taf_hatchgrp_tableraw&amp;yy'!Y$3:Y$38,'[14]inland_taf_hatchgrp_tableraw&amp;yy'!$AC$3:$AC$38,'2021 Table 10 CWTs exp'!$A27)</f>
        <v>0</v>
      </c>
      <c r="Z27" s="42">
        <f>SUMIFS('[14]inland_taf_hatchgrp_tableraw&amp;yy'!Z$3:Z$38,'[14]inland_taf_hatchgrp_tableraw&amp;yy'!$AC$3:$AC$38,'2021 Table 10 CWTs exp'!$A27)</f>
        <v>0</v>
      </c>
      <c r="AA27" s="38">
        <f>SUMIFS('[14]inland_taf_hatchgrp_tableraw&amp;yy'!AA$3:AA$38,'[14]inland_taf_hatchgrp_tableraw&amp;yy'!$AC$3:$AC$38,'2021 Table 10 CWTs exp'!$A27)</f>
        <v>0</v>
      </c>
      <c r="AB27" s="636"/>
      <c r="AC27" s="636"/>
      <c r="AD27" s="567">
        <f>SUMIFS('[14]inland_taf_hatchgrp_tableraw&amp;yy'!AB$3:AB$38,'[14]inland_taf_hatchgrp_tableraw&amp;yy'!$AC$3:$AC$38,'2021 Table 10 CWTs exp'!$A27)</f>
        <v>0</v>
      </c>
      <c r="AE27" s="604" t="str">
        <f t="shared" si="9"/>
        <v>COW543</v>
      </c>
      <c r="AF27" s="442"/>
      <c r="AG27" s="622" t="e">
        <f t="shared" si="10"/>
        <v>#DIV/0!</v>
      </c>
      <c r="AH27" s="652" t="e">
        <f t="shared" si="11"/>
        <v>#DIV/0!</v>
      </c>
      <c r="AI27" s="605">
        <f t="shared" si="13"/>
        <v>1</v>
      </c>
      <c r="AJ27" s="447">
        <f t="shared" si="12"/>
        <v>0</v>
      </c>
      <c r="AK27" s="650" t="e">
        <f t="shared" si="14"/>
        <v>#DIV/0!</v>
      </c>
      <c r="AL27" s="451"/>
      <c r="AM27" s="442"/>
      <c r="AN27" s="442"/>
      <c r="AO27" s="442"/>
      <c r="AP27" s="442"/>
      <c r="AQ27" s="442"/>
      <c r="AR27" s="442"/>
      <c r="AS27" s="442"/>
      <c r="AT27" s="442"/>
      <c r="AU27" s="442"/>
      <c r="AV27" s="442"/>
      <c r="AW27" s="442"/>
      <c r="AX27" s="442"/>
      <c r="AY27" s="442"/>
      <c r="AZ27" s="442"/>
      <c r="BA27" s="442"/>
      <c r="BB27" s="442"/>
      <c r="BC27" s="442"/>
      <c r="BD27" s="442"/>
      <c r="BE27" s="442"/>
      <c r="BF27" s="442"/>
      <c r="BG27" s="442"/>
      <c r="BH27" s="442"/>
      <c r="BI27" s="442"/>
    </row>
    <row r="28" spans="1:61" ht="14.25" hidden="1" customHeight="1" x14ac:dyDescent="0.25">
      <c r="A28" s="50" t="str">
        <f t="shared" si="8"/>
        <v>MLC543</v>
      </c>
      <c r="B28" s="13" t="s">
        <v>78</v>
      </c>
      <c r="C28" s="13">
        <v>54</v>
      </c>
      <c r="D28" s="13">
        <v>3</v>
      </c>
      <c r="E28" s="3" t="s">
        <v>79</v>
      </c>
      <c r="F28" s="43" t="str">
        <f t="shared" si="15"/>
        <v>Fall</v>
      </c>
      <c r="G28" s="38">
        <f>SUMIFS('[14]inland_taf_hatchgrp_tableraw&amp;yy'!G$3:G$38,'[14]inland_taf_hatchgrp_tableraw&amp;yy'!$AC$3:$AC$38,'2021 Table 10 CWTs exp'!$A28)</f>
        <v>0</v>
      </c>
      <c r="H28" s="39">
        <f>SUMIFS('[14]inland_taf_hatchgrp_tableraw&amp;yy'!H$3:H$38,'[14]inland_taf_hatchgrp_tableraw&amp;yy'!$AC$3:$AC$38,'2021 Table 10 CWTs exp'!$A28)</f>
        <v>0</v>
      </c>
      <c r="I28" s="38">
        <f>SUMIFS('[14]inland_taf_hatchgrp_tableraw&amp;yy'!I$3:I$38,'[14]inland_taf_hatchgrp_tableraw&amp;yy'!$AC$3:$AC$38,'2021 Table 10 CWTs exp'!$A28)</f>
        <v>0</v>
      </c>
      <c r="J28" s="40">
        <f>SUMIFS('[14]inland_taf_hatchgrp_tableraw&amp;yy'!J$3:J$38,'[14]inland_taf_hatchgrp_tableraw&amp;yy'!$AC$3:$AC$38,'2021 Table 10 CWTs exp'!$A28)</f>
        <v>0</v>
      </c>
      <c r="K28" s="39">
        <f>SUMIFS('[14]inland_taf_hatchgrp_tableraw&amp;yy'!K$3:K$38,'[14]inland_taf_hatchgrp_tableraw&amp;yy'!$AC$3:$AC$38,'2021 Table 10 CWTs exp'!$A28)</f>
        <v>0</v>
      </c>
      <c r="L28" s="38">
        <f>SUMIFS('[14]inland_taf_hatchgrp_tableraw&amp;yy'!L$3:L$38,'[14]inland_taf_hatchgrp_tableraw&amp;yy'!$AC$3:$AC$38,'2021 Table 10 CWTs exp'!$A28)</f>
        <v>0</v>
      </c>
      <c r="M28" s="38">
        <f>SUMIFS('[14]inland_taf_hatchgrp_tableraw&amp;yy'!M$3:M$38,'[14]inland_taf_hatchgrp_tableraw&amp;yy'!$AC$3:$AC$38,'2021 Table 10 CWTs exp'!$A28)</f>
        <v>0</v>
      </c>
      <c r="N28" s="40">
        <f>SUMIFS('[14]inland_taf_hatchgrp_tableraw&amp;yy'!N$3:N$38,'[14]inland_taf_hatchgrp_tableraw&amp;yy'!$AC$3:$AC$38,'2021 Table 10 CWTs exp'!$A28)</f>
        <v>0</v>
      </c>
      <c r="O28" s="38">
        <f>SUMIFS('[14]inland_taf_hatchgrp_tableraw&amp;yy'!O$3:O$38,'[14]inland_taf_hatchgrp_tableraw&amp;yy'!$AC$3:$AC$38,'2021 Table 10 CWTs exp'!$A28)</f>
        <v>0</v>
      </c>
      <c r="P28" s="40">
        <f>SUMIFS('[14]inland_taf_hatchgrp_tableraw&amp;yy'!P$3:P$38,'[14]inland_taf_hatchgrp_tableraw&amp;yy'!$AC$3:$AC$38,'2021 Table 10 CWTs exp'!$A28)</f>
        <v>0</v>
      </c>
      <c r="Q28" s="38">
        <f>SUMIFS('[14]inland_taf_hatchgrp_tableraw&amp;yy'!Q$3:Q$38,'[14]inland_taf_hatchgrp_tableraw&amp;yy'!$AC$3:$AC$38,'2021 Table 10 CWTs exp'!$A28)</f>
        <v>0</v>
      </c>
      <c r="R28" s="38">
        <f>SUMIFS('[14]inland_taf_hatchgrp_tableraw&amp;yy'!R$3:R$38,'[14]inland_taf_hatchgrp_tableraw&amp;yy'!$AC$3:$AC$38,'2021 Table 10 CWTs exp'!$A28)</f>
        <v>0</v>
      </c>
      <c r="S28" s="38">
        <f>SUMIFS('[14]inland_taf_hatchgrp_tableraw&amp;yy'!S$3:S$38,'[14]inland_taf_hatchgrp_tableraw&amp;yy'!$AC$3:$AC$38,'2021 Table 10 CWTs exp'!$A28)</f>
        <v>0</v>
      </c>
      <c r="T28" s="40">
        <f>SUMIFS('[14]inland_taf_hatchgrp_tableraw&amp;yy'!T$3:T$38,'[14]inland_taf_hatchgrp_tableraw&amp;yy'!$AC$3:$AC$38,'2021 Table 10 CWTs exp'!$A28)</f>
        <v>0</v>
      </c>
      <c r="U28" s="38">
        <f>SUMIFS('[14]inland_taf_hatchgrp_tableraw&amp;yy'!U$3:U$38,'[14]inland_taf_hatchgrp_tableraw&amp;yy'!$AC$3:$AC$38,'2021 Table 10 CWTs exp'!$A28)</f>
        <v>0</v>
      </c>
      <c r="V28" s="40">
        <f>SUMIFS('[14]inland_taf_hatchgrp_tableraw&amp;yy'!V$3:V$38,'[14]inland_taf_hatchgrp_tableraw&amp;yy'!$AC$3:$AC$38,'2021 Table 10 CWTs exp'!$A28)</f>
        <v>0</v>
      </c>
      <c r="W28" s="40">
        <f>SUMIFS('[14]inland_taf_hatchgrp_tableraw&amp;yy'!W$3:W$38,'[14]inland_taf_hatchgrp_tableraw&amp;yy'!$AC$3:$AC$38,'2021 Table 10 CWTs exp'!$A28)</f>
        <v>0</v>
      </c>
      <c r="X28" s="38">
        <f>SUMIFS('[14]inland_taf_hatchgrp_tableraw&amp;yy'!X$3:X$38,'[14]inland_taf_hatchgrp_tableraw&amp;yy'!$AC$3:$AC$38,'2021 Table 10 CWTs exp'!$A28)</f>
        <v>0</v>
      </c>
      <c r="Y28" s="41">
        <f>SUMIFS('[14]inland_taf_hatchgrp_tableraw&amp;yy'!Y$3:Y$38,'[14]inland_taf_hatchgrp_tableraw&amp;yy'!$AC$3:$AC$38,'2021 Table 10 CWTs exp'!$A28)</f>
        <v>0</v>
      </c>
      <c r="Z28" s="42">
        <f>SUMIFS('[14]inland_taf_hatchgrp_tableraw&amp;yy'!Z$3:Z$38,'[14]inland_taf_hatchgrp_tableraw&amp;yy'!$AC$3:$AC$38,'2021 Table 10 CWTs exp'!$A28)</f>
        <v>0</v>
      </c>
      <c r="AA28" s="38">
        <f>SUMIFS('[14]inland_taf_hatchgrp_tableraw&amp;yy'!AA$3:AA$38,'[14]inland_taf_hatchgrp_tableraw&amp;yy'!$AC$3:$AC$38,'2021 Table 10 CWTs exp'!$A28)</f>
        <v>0</v>
      </c>
      <c r="AB28" s="636"/>
      <c r="AC28" s="636"/>
      <c r="AD28" s="567">
        <f>SUMIFS('[14]inland_taf_hatchgrp_tableraw&amp;yy'!AB$3:AB$38,'[14]inland_taf_hatchgrp_tableraw&amp;yy'!$AC$3:$AC$38,'2021 Table 10 CWTs exp'!$A28)</f>
        <v>0</v>
      </c>
      <c r="AE28" s="604" t="str">
        <f t="shared" si="9"/>
        <v>MLC543</v>
      </c>
      <c r="AF28" s="442"/>
      <c r="AG28" s="622" t="e">
        <f t="shared" si="10"/>
        <v>#DIV/0!</v>
      </c>
      <c r="AH28" s="652" t="e">
        <f t="shared" si="11"/>
        <v>#DIV/0!</v>
      </c>
      <c r="AI28" s="605">
        <f t="shared" si="13"/>
        <v>1</v>
      </c>
      <c r="AJ28" s="447">
        <f t="shared" si="12"/>
        <v>0</v>
      </c>
      <c r="AK28" s="650" t="e">
        <f t="shared" si="14"/>
        <v>#DIV/0!</v>
      </c>
      <c r="AL28" s="451"/>
      <c r="AM28" s="442"/>
      <c r="AN28" s="442"/>
      <c r="AO28" s="442"/>
      <c r="AP28" s="442"/>
      <c r="AQ28" s="442"/>
      <c r="AR28" s="442"/>
      <c r="AS28" s="442"/>
      <c r="AT28" s="442"/>
      <c r="AU28" s="442"/>
      <c r="AV28" s="442"/>
      <c r="AW28" s="442"/>
      <c r="AX28" s="442"/>
      <c r="AY28" s="442"/>
      <c r="AZ28" s="442"/>
      <c r="BA28" s="442"/>
      <c r="BB28" s="442"/>
      <c r="BC28" s="442"/>
      <c r="BD28" s="442"/>
      <c r="BE28" s="442"/>
      <c r="BF28" s="442"/>
      <c r="BG28" s="442"/>
      <c r="BH28" s="442"/>
      <c r="BI28" s="442"/>
    </row>
    <row r="29" spans="1:61" ht="14.25" hidden="1" customHeight="1" x14ac:dyDescent="0.25">
      <c r="A29" s="50" t="str">
        <f t="shared" si="8"/>
        <v>BUTT543</v>
      </c>
      <c r="B29" s="13" t="s">
        <v>66</v>
      </c>
      <c r="C29" s="13">
        <v>54</v>
      </c>
      <c r="D29" s="13">
        <v>3</v>
      </c>
      <c r="E29" s="3" t="s">
        <v>67</v>
      </c>
      <c r="F29" s="43" t="str">
        <f t="shared" si="15"/>
        <v>Fall</v>
      </c>
      <c r="G29" s="38">
        <f>SUMIFS('[14]inland_taf_hatchgrp_tableraw&amp;yy'!G$3:G$38,'[14]inland_taf_hatchgrp_tableraw&amp;yy'!$AC$3:$AC$38,'2021 Table 10 CWTs exp'!$A29)</f>
        <v>0</v>
      </c>
      <c r="H29" s="39">
        <f>SUMIFS('[14]inland_taf_hatchgrp_tableraw&amp;yy'!H$3:H$38,'[14]inland_taf_hatchgrp_tableraw&amp;yy'!$AC$3:$AC$38,'2021 Table 10 CWTs exp'!$A29)</f>
        <v>0</v>
      </c>
      <c r="I29" s="38">
        <f>SUMIFS('[14]inland_taf_hatchgrp_tableraw&amp;yy'!I$3:I$38,'[14]inland_taf_hatchgrp_tableraw&amp;yy'!$AC$3:$AC$38,'2021 Table 10 CWTs exp'!$A29)</f>
        <v>0</v>
      </c>
      <c r="J29" s="40">
        <f>SUMIFS('[14]inland_taf_hatchgrp_tableraw&amp;yy'!J$3:J$38,'[14]inland_taf_hatchgrp_tableraw&amp;yy'!$AC$3:$AC$38,'2021 Table 10 CWTs exp'!$A29)</f>
        <v>0</v>
      </c>
      <c r="K29" s="39">
        <f>SUMIFS('[14]inland_taf_hatchgrp_tableraw&amp;yy'!K$3:K$38,'[14]inland_taf_hatchgrp_tableraw&amp;yy'!$AC$3:$AC$38,'2021 Table 10 CWTs exp'!$A29)</f>
        <v>0</v>
      </c>
      <c r="L29" s="38">
        <f>SUMIFS('[14]inland_taf_hatchgrp_tableraw&amp;yy'!L$3:L$38,'[14]inland_taf_hatchgrp_tableraw&amp;yy'!$AC$3:$AC$38,'2021 Table 10 CWTs exp'!$A29)</f>
        <v>0</v>
      </c>
      <c r="M29" s="38">
        <f>SUMIFS('[14]inland_taf_hatchgrp_tableraw&amp;yy'!M$3:M$38,'[14]inland_taf_hatchgrp_tableraw&amp;yy'!$AC$3:$AC$38,'2021 Table 10 CWTs exp'!$A29)</f>
        <v>0</v>
      </c>
      <c r="N29" s="40">
        <f>SUMIFS('[14]inland_taf_hatchgrp_tableraw&amp;yy'!N$3:N$38,'[14]inland_taf_hatchgrp_tableraw&amp;yy'!$AC$3:$AC$38,'2021 Table 10 CWTs exp'!$A29)</f>
        <v>0</v>
      </c>
      <c r="O29" s="38">
        <f>SUMIFS('[14]inland_taf_hatchgrp_tableraw&amp;yy'!O$3:O$38,'[14]inland_taf_hatchgrp_tableraw&amp;yy'!$AC$3:$AC$38,'2021 Table 10 CWTs exp'!$A29)</f>
        <v>0</v>
      </c>
      <c r="P29" s="40">
        <f>SUMIFS('[14]inland_taf_hatchgrp_tableraw&amp;yy'!P$3:P$38,'[14]inland_taf_hatchgrp_tableraw&amp;yy'!$AC$3:$AC$38,'2021 Table 10 CWTs exp'!$A29)</f>
        <v>0</v>
      </c>
      <c r="Q29" s="38">
        <f>SUMIFS('[14]inland_taf_hatchgrp_tableraw&amp;yy'!Q$3:Q$38,'[14]inland_taf_hatchgrp_tableraw&amp;yy'!$AC$3:$AC$38,'2021 Table 10 CWTs exp'!$A29)</f>
        <v>0</v>
      </c>
      <c r="R29" s="38">
        <f>SUMIFS('[14]inland_taf_hatchgrp_tableraw&amp;yy'!R$3:R$38,'[14]inland_taf_hatchgrp_tableraw&amp;yy'!$AC$3:$AC$38,'2021 Table 10 CWTs exp'!$A29)</f>
        <v>0</v>
      </c>
      <c r="S29" s="38">
        <f>SUMIFS('[14]inland_taf_hatchgrp_tableraw&amp;yy'!S$3:S$38,'[14]inland_taf_hatchgrp_tableraw&amp;yy'!$AC$3:$AC$38,'2021 Table 10 CWTs exp'!$A29)</f>
        <v>0</v>
      </c>
      <c r="T29" s="40">
        <f>SUMIFS('[14]inland_taf_hatchgrp_tableraw&amp;yy'!T$3:T$38,'[14]inland_taf_hatchgrp_tableraw&amp;yy'!$AC$3:$AC$38,'2021 Table 10 CWTs exp'!$A29)</f>
        <v>0</v>
      </c>
      <c r="U29" s="38">
        <f>SUMIFS('[14]inland_taf_hatchgrp_tableraw&amp;yy'!U$3:U$38,'[14]inland_taf_hatchgrp_tableraw&amp;yy'!$AC$3:$AC$38,'2021 Table 10 CWTs exp'!$A29)</f>
        <v>0</v>
      </c>
      <c r="V29" s="40">
        <f>SUMIFS('[14]inland_taf_hatchgrp_tableraw&amp;yy'!V$3:V$38,'[14]inland_taf_hatchgrp_tableraw&amp;yy'!$AC$3:$AC$38,'2021 Table 10 CWTs exp'!$A29)</f>
        <v>0</v>
      </c>
      <c r="W29" s="40">
        <f>SUMIFS('[14]inland_taf_hatchgrp_tableraw&amp;yy'!W$3:W$38,'[14]inland_taf_hatchgrp_tableraw&amp;yy'!$AC$3:$AC$38,'2021 Table 10 CWTs exp'!$A29)</f>
        <v>0</v>
      </c>
      <c r="X29" s="38">
        <f>SUMIFS('[14]inland_taf_hatchgrp_tableraw&amp;yy'!X$3:X$38,'[14]inland_taf_hatchgrp_tableraw&amp;yy'!$AC$3:$AC$38,'2021 Table 10 CWTs exp'!$A29)</f>
        <v>0</v>
      </c>
      <c r="Y29" s="41">
        <f>SUMIFS('[14]inland_taf_hatchgrp_tableraw&amp;yy'!Y$3:Y$38,'[14]inland_taf_hatchgrp_tableraw&amp;yy'!$AC$3:$AC$38,'2021 Table 10 CWTs exp'!$A29)</f>
        <v>0</v>
      </c>
      <c r="Z29" s="42">
        <f>SUMIFS('[14]inland_taf_hatchgrp_tableraw&amp;yy'!Z$3:Z$38,'[14]inland_taf_hatchgrp_tableraw&amp;yy'!$AC$3:$AC$38,'2021 Table 10 CWTs exp'!$A29)</f>
        <v>0</v>
      </c>
      <c r="AA29" s="38">
        <f>SUMIFS('[14]inland_taf_hatchgrp_tableraw&amp;yy'!AA$3:AA$38,'[14]inland_taf_hatchgrp_tableraw&amp;yy'!$AC$3:$AC$38,'2021 Table 10 CWTs exp'!$A29)</f>
        <v>0</v>
      </c>
      <c r="AB29" s="636"/>
      <c r="AC29" s="636"/>
      <c r="AD29" s="567">
        <f>SUMIFS('[14]inland_taf_hatchgrp_tableraw&amp;yy'!AB$3:AB$38,'[14]inland_taf_hatchgrp_tableraw&amp;yy'!$AC$3:$AC$38,'2021 Table 10 CWTs exp'!$A29)</f>
        <v>0</v>
      </c>
      <c r="AE29" s="604" t="str">
        <f t="shared" si="9"/>
        <v>BUTT543</v>
      </c>
      <c r="AF29" s="442"/>
      <c r="AG29" s="622" t="e">
        <f t="shared" si="10"/>
        <v>#DIV/0!</v>
      </c>
      <c r="AH29" s="652" t="e">
        <f t="shared" si="11"/>
        <v>#DIV/0!</v>
      </c>
      <c r="AI29" s="605">
        <f t="shared" si="13"/>
        <v>1</v>
      </c>
      <c r="AJ29" s="447">
        <f t="shared" si="12"/>
        <v>0</v>
      </c>
      <c r="AK29" s="650" t="e">
        <f t="shared" si="14"/>
        <v>#DIV/0!</v>
      </c>
      <c r="AL29" s="451"/>
      <c r="AM29" s="442"/>
      <c r="AN29" s="442"/>
      <c r="AO29" s="442"/>
      <c r="AP29" s="442"/>
      <c r="AQ29" s="442"/>
      <c r="AR29" s="442"/>
      <c r="AS29" s="442"/>
      <c r="AT29" s="442"/>
      <c r="AU29" s="442"/>
      <c r="AV29" s="442"/>
      <c r="AW29" s="442"/>
      <c r="AX29" s="442"/>
      <c r="AY29" s="442"/>
      <c r="AZ29" s="442"/>
      <c r="BA29" s="442"/>
      <c r="BB29" s="442"/>
      <c r="BC29" s="442"/>
      <c r="BD29" s="442"/>
      <c r="BE29" s="442"/>
      <c r="BF29" s="442"/>
      <c r="BG29" s="442"/>
      <c r="BH29" s="442"/>
      <c r="BI29" s="442"/>
    </row>
    <row r="30" spans="1:61" ht="14.5" customHeight="1" x14ac:dyDescent="0.25">
      <c r="A30" s="50" t="str">
        <f t="shared" si="8"/>
        <v>FEA543</v>
      </c>
      <c r="B30" s="13" t="s">
        <v>80</v>
      </c>
      <c r="C30" s="13">
        <v>54</v>
      </c>
      <c r="D30" s="13">
        <v>3</v>
      </c>
      <c r="E30" s="3" t="s">
        <v>81</v>
      </c>
      <c r="F30" s="43" t="str">
        <f t="shared" si="15"/>
        <v>Fall</v>
      </c>
      <c r="G30" s="38">
        <f>SUMIFS('[14]inland_taf_hatchgrp_tableraw&amp;yy'!G$3:G$38,'[14]inland_taf_hatchgrp_tableraw&amp;yy'!$AC$3:$AC$38,'2021 Table 10 CWTs exp'!$A30)</f>
        <v>0</v>
      </c>
      <c r="H30" s="39">
        <f>SUMIFS('[14]inland_taf_hatchgrp_tableraw&amp;yy'!H$3:H$38,'[14]inland_taf_hatchgrp_tableraw&amp;yy'!$AC$3:$AC$38,'2021 Table 10 CWTs exp'!$A30)</f>
        <v>0</v>
      </c>
      <c r="I30" s="38">
        <f>SUMIFS('[14]inland_taf_hatchgrp_tableraw&amp;yy'!I$3:I$38,'[14]inland_taf_hatchgrp_tableraw&amp;yy'!$AC$3:$AC$38,'2021 Table 10 CWTs exp'!$A30)</f>
        <v>0</v>
      </c>
      <c r="J30" s="40">
        <f>SUMIFS('[14]inland_taf_hatchgrp_tableraw&amp;yy'!J$3:J$38,'[14]inland_taf_hatchgrp_tableraw&amp;yy'!$AC$3:$AC$38,'2021 Table 10 CWTs exp'!$A30)</f>
        <v>0</v>
      </c>
      <c r="K30" s="39">
        <f>SUMIFS('[14]inland_taf_hatchgrp_tableraw&amp;yy'!K$3:K$38,'[14]inland_taf_hatchgrp_tableraw&amp;yy'!$AC$3:$AC$38,'2021 Table 10 CWTs exp'!$A30)</f>
        <v>4469</v>
      </c>
      <c r="L30" s="38">
        <f>SUMIFS('[14]inland_taf_hatchgrp_tableraw&amp;yy'!L$3:L$38,'[14]inland_taf_hatchgrp_tableraw&amp;yy'!$AC$3:$AC$38,'2021 Table 10 CWTs exp'!$A30)</f>
        <v>8</v>
      </c>
      <c r="M30" s="38">
        <f>SUMIFS('[14]inland_taf_hatchgrp_tableraw&amp;yy'!M$3:M$38,'[14]inland_taf_hatchgrp_tableraw&amp;yy'!$AC$3:$AC$38,'2021 Table 10 CWTs exp'!$A30)</f>
        <v>2888</v>
      </c>
      <c r="N30" s="40">
        <f>SUMIFS('[14]inland_taf_hatchgrp_tableraw&amp;yy'!N$3:N$38,'[14]inland_taf_hatchgrp_tableraw&amp;yy'!$AC$3:$AC$38,'2021 Table 10 CWTs exp'!$A30)</f>
        <v>218</v>
      </c>
      <c r="O30" s="38">
        <f>SUMIFS('[14]inland_taf_hatchgrp_tableraw&amp;yy'!O$3:O$38,'[14]inland_taf_hatchgrp_tableraw&amp;yy'!$AC$3:$AC$38,'2021 Table 10 CWTs exp'!$A30)</f>
        <v>31</v>
      </c>
      <c r="P30" s="40">
        <f>SUMIFS('[14]inland_taf_hatchgrp_tableraw&amp;yy'!P$3:P$38,'[14]inland_taf_hatchgrp_tableraw&amp;yy'!$AC$3:$AC$38,'2021 Table 10 CWTs exp'!$A30)</f>
        <v>124</v>
      </c>
      <c r="Q30" s="38">
        <f>SUMIFS('[14]inland_taf_hatchgrp_tableraw&amp;yy'!Q$3:Q$38,'[14]inland_taf_hatchgrp_tableraw&amp;yy'!$AC$3:$AC$38,'2021 Table 10 CWTs exp'!$A30)</f>
        <v>0</v>
      </c>
      <c r="R30" s="38">
        <f>SUMIFS('[14]inland_taf_hatchgrp_tableraw&amp;yy'!R$3:R$38,'[14]inland_taf_hatchgrp_tableraw&amp;yy'!$AC$3:$AC$38,'2021 Table 10 CWTs exp'!$A30)</f>
        <v>162</v>
      </c>
      <c r="S30" s="38">
        <f>SUMIFS('[14]inland_taf_hatchgrp_tableraw&amp;yy'!S$3:S$38,'[14]inland_taf_hatchgrp_tableraw&amp;yy'!$AC$3:$AC$38,'2021 Table 10 CWTs exp'!$A30)</f>
        <v>23</v>
      </c>
      <c r="T30" s="40">
        <f>SUMIFS('[14]inland_taf_hatchgrp_tableraw&amp;yy'!T$3:T$38,'[14]inland_taf_hatchgrp_tableraw&amp;yy'!$AC$3:$AC$38,'2021 Table 10 CWTs exp'!$A30)</f>
        <v>185</v>
      </c>
      <c r="U30" s="38">
        <f>SUMIFS('[14]inland_taf_hatchgrp_tableraw&amp;yy'!U$3:U$38,'[14]inland_taf_hatchgrp_tableraw&amp;yy'!$AC$3:$AC$38,'2021 Table 10 CWTs exp'!$A30)</f>
        <v>0</v>
      </c>
      <c r="V30" s="40">
        <f>SUMIFS('[14]inland_taf_hatchgrp_tableraw&amp;yy'!V$3:V$38,'[14]inland_taf_hatchgrp_tableraw&amp;yy'!$AC$3:$AC$38,'2021 Table 10 CWTs exp'!$A30)</f>
        <v>30</v>
      </c>
      <c r="W30" s="40">
        <f>SUMIFS('[14]inland_taf_hatchgrp_tableraw&amp;yy'!W$3:W$38,'[14]inland_taf_hatchgrp_tableraw&amp;yy'!$AC$3:$AC$38,'2021 Table 10 CWTs exp'!$A30)</f>
        <v>55</v>
      </c>
      <c r="X30" s="38">
        <f>SUMIFS('[14]inland_taf_hatchgrp_tableraw&amp;yy'!X$3:X$38,'[14]inland_taf_hatchgrp_tableraw&amp;yy'!$AC$3:$AC$38,'2021 Table 10 CWTs exp'!$A30)</f>
        <v>0</v>
      </c>
      <c r="Y30" s="41">
        <f>SUMIFS('[14]inland_taf_hatchgrp_tableraw&amp;yy'!Y$3:Y$38,'[14]inland_taf_hatchgrp_tableraw&amp;yy'!$AC$3:$AC$38,'2021 Table 10 CWTs exp'!$A30)</f>
        <v>8193</v>
      </c>
      <c r="Z30" s="42">
        <f>SUMIFS('[14]inland_taf_hatchgrp_tableraw&amp;yy'!Z$3:Z$38,'[14]inland_taf_hatchgrp_tableraw&amp;yy'!$AC$3:$AC$38,'2021 Table 10 CWTs exp'!$A30)</f>
        <v>1495</v>
      </c>
      <c r="AA30" s="38">
        <f>SUMIFS('[14]inland_taf_hatchgrp_tableraw&amp;yy'!AA$3:AA$38,'[14]inland_taf_hatchgrp_tableraw&amp;yy'!$AC$3:$AC$38,'2021 Table 10 CWTs exp'!$A30)</f>
        <v>9688</v>
      </c>
      <c r="AB30" s="636"/>
      <c r="AC30" s="636"/>
      <c r="AD30" s="567">
        <f>SUMIFS('[14]inland_taf_hatchgrp_tableraw&amp;yy'!AB$3:AB$38,'[14]inland_taf_hatchgrp_tableraw&amp;yy'!$AC$3:$AC$38,'2021 Table 10 CWTs exp'!$A30)</f>
        <v>0.84599999999999997</v>
      </c>
      <c r="AE30" s="604" t="str">
        <f t="shared" si="9"/>
        <v>FEA543</v>
      </c>
      <c r="AF30" s="442"/>
      <c r="AG30" s="622">
        <f t="shared" si="10"/>
        <v>0.84568538398018167</v>
      </c>
      <c r="AH30" s="652">
        <f t="shared" si="11"/>
        <v>0.15431461601981833</v>
      </c>
      <c r="AI30" s="605">
        <f t="shared" si="13"/>
        <v>0.15400000000000003</v>
      </c>
      <c r="AJ30" s="447">
        <f t="shared" si="12"/>
        <v>1495</v>
      </c>
      <c r="AK30" s="650">
        <f t="shared" si="14"/>
        <v>0.15431461601981833</v>
      </c>
      <c r="AL30" s="451"/>
      <c r="AM30" s="442"/>
      <c r="AN30" s="442"/>
      <c r="AO30" s="442"/>
      <c r="AP30" s="442"/>
      <c r="AQ30" s="442"/>
      <c r="AR30" s="442"/>
      <c r="AS30" s="442"/>
      <c r="AT30" s="442"/>
      <c r="AU30" s="442"/>
      <c r="AV30" s="442"/>
      <c r="AW30" s="442"/>
      <c r="AX30" s="442"/>
      <c r="AY30" s="442"/>
      <c r="AZ30" s="442"/>
      <c r="BA30" s="442"/>
      <c r="BB30" s="442"/>
      <c r="BC30" s="442"/>
      <c r="BD30" s="442"/>
      <c r="BE30" s="442"/>
      <c r="BF30" s="442"/>
      <c r="BG30" s="442"/>
      <c r="BH30" s="442"/>
      <c r="BI30" s="442"/>
    </row>
    <row r="31" spans="1:61" ht="14.5" customHeight="1" x14ac:dyDescent="0.25">
      <c r="A31" s="50" t="str">
        <f t="shared" si="8"/>
        <v>YUBA543</v>
      </c>
      <c r="B31" s="13" t="s">
        <v>82</v>
      </c>
      <c r="C31" s="13">
        <v>54</v>
      </c>
      <c r="D31" s="13">
        <v>3</v>
      </c>
      <c r="E31" s="79" t="s">
        <v>83</v>
      </c>
      <c r="F31" s="43" t="str">
        <f t="shared" si="15"/>
        <v>Fall</v>
      </c>
      <c r="G31" s="38">
        <f>SUMIFS('[14]inland_taf_hatchgrp_tableraw&amp;yy'!G$3:G$38,'[14]inland_taf_hatchgrp_tableraw&amp;yy'!$AC$3:$AC$38,'2021 Table 10 CWTs exp'!$A31)</f>
        <v>0</v>
      </c>
      <c r="H31" s="39">
        <f>SUMIFS('[14]inland_taf_hatchgrp_tableraw&amp;yy'!H$3:H$38,'[14]inland_taf_hatchgrp_tableraw&amp;yy'!$AC$3:$AC$38,'2021 Table 10 CWTs exp'!$A31)</f>
        <v>0</v>
      </c>
      <c r="I31" s="38">
        <f>SUMIFS('[14]inland_taf_hatchgrp_tableraw&amp;yy'!I$3:I$38,'[14]inland_taf_hatchgrp_tableraw&amp;yy'!$AC$3:$AC$38,'2021 Table 10 CWTs exp'!$A31)</f>
        <v>0</v>
      </c>
      <c r="J31" s="40">
        <f>SUMIFS('[14]inland_taf_hatchgrp_tableraw&amp;yy'!J$3:J$38,'[14]inland_taf_hatchgrp_tableraw&amp;yy'!$AC$3:$AC$38,'2021 Table 10 CWTs exp'!$A31)</f>
        <v>0</v>
      </c>
      <c r="K31" s="39">
        <f>SUMIFS('[14]inland_taf_hatchgrp_tableraw&amp;yy'!K$3:K$38,'[14]inland_taf_hatchgrp_tableraw&amp;yy'!$AC$3:$AC$38,'2021 Table 10 CWTs exp'!$A31)</f>
        <v>674</v>
      </c>
      <c r="L31" s="38">
        <f>SUMIFS('[14]inland_taf_hatchgrp_tableraw&amp;yy'!L$3:L$38,'[14]inland_taf_hatchgrp_tableraw&amp;yy'!$AC$3:$AC$38,'2021 Table 10 CWTs exp'!$A31)</f>
        <v>0</v>
      </c>
      <c r="M31" s="38">
        <f>SUMIFS('[14]inland_taf_hatchgrp_tableraw&amp;yy'!M$3:M$38,'[14]inland_taf_hatchgrp_tableraw&amp;yy'!$AC$3:$AC$38,'2021 Table 10 CWTs exp'!$A31)</f>
        <v>168</v>
      </c>
      <c r="N31" s="40">
        <f>SUMIFS('[14]inland_taf_hatchgrp_tableraw&amp;yy'!N$3:N$38,'[14]inland_taf_hatchgrp_tableraw&amp;yy'!$AC$3:$AC$38,'2021 Table 10 CWTs exp'!$A31)</f>
        <v>0</v>
      </c>
      <c r="O31" s="38">
        <f>SUMIFS('[14]inland_taf_hatchgrp_tableraw&amp;yy'!O$3:O$38,'[14]inland_taf_hatchgrp_tableraw&amp;yy'!$AC$3:$AC$38,'2021 Table 10 CWTs exp'!$A31)</f>
        <v>42</v>
      </c>
      <c r="P31" s="40">
        <f>SUMIFS('[14]inland_taf_hatchgrp_tableraw&amp;yy'!P$3:P$38,'[14]inland_taf_hatchgrp_tableraw&amp;yy'!$AC$3:$AC$38,'2021 Table 10 CWTs exp'!$A31)</f>
        <v>670</v>
      </c>
      <c r="Q31" s="38">
        <f>SUMIFS('[14]inland_taf_hatchgrp_tableraw&amp;yy'!Q$3:Q$38,'[14]inland_taf_hatchgrp_tableraw&amp;yy'!$AC$3:$AC$38,'2021 Table 10 CWTs exp'!$A31)</f>
        <v>0</v>
      </c>
      <c r="R31" s="38">
        <f>SUMIFS('[14]inland_taf_hatchgrp_tableraw&amp;yy'!R$3:R$38,'[14]inland_taf_hatchgrp_tableraw&amp;yy'!$AC$3:$AC$38,'2021 Table 10 CWTs exp'!$A31)</f>
        <v>336</v>
      </c>
      <c r="S31" s="38">
        <f>SUMIFS('[14]inland_taf_hatchgrp_tableraw&amp;yy'!S$3:S$38,'[14]inland_taf_hatchgrp_tableraw&amp;yy'!$AC$3:$AC$38,'2021 Table 10 CWTs exp'!$A31)</f>
        <v>42</v>
      </c>
      <c r="T31" s="40">
        <f>SUMIFS('[14]inland_taf_hatchgrp_tableraw&amp;yy'!T$3:T$38,'[14]inland_taf_hatchgrp_tableraw&amp;yy'!$AC$3:$AC$38,'2021 Table 10 CWTs exp'!$A31)</f>
        <v>500</v>
      </c>
      <c r="U31" s="38">
        <f>SUMIFS('[14]inland_taf_hatchgrp_tableraw&amp;yy'!U$3:U$38,'[14]inland_taf_hatchgrp_tableraw&amp;yy'!$AC$3:$AC$38,'2021 Table 10 CWTs exp'!$A31)</f>
        <v>0</v>
      </c>
      <c r="V31" s="40">
        <f>SUMIFS('[14]inland_taf_hatchgrp_tableraw&amp;yy'!V$3:V$38,'[14]inland_taf_hatchgrp_tableraw&amp;yy'!$AC$3:$AC$38,'2021 Table 10 CWTs exp'!$A31)</f>
        <v>0</v>
      </c>
      <c r="W31" s="40">
        <f>SUMIFS('[14]inland_taf_hatchgrp_tableraw&amp;yy'!W$3:W$38,'[14]inland_taf_hatchgrp_tableraw&amp;yy'!$AC$3:$AC$38,'2021 Table 10 CWTs exp'!$A31)</f>
        <v>0</v>
      </c>
      <c r="X31" s="38">
        <f>SUMIFS('[14]inland_taf_hatchgrp_tableraw&amp;yy'!X$3:X$38,'[14]inland_taf_hatchgrp_tableraw&amp;yy'!$AC$3:$AC$38,'2021 Table 10 CWTs exp'!$A31)</f>
        <v>0</v>
      </c>
      <c r="Y31" s="41">
        <f>SUMIFS('[14]inland_taf_hatchgrp_tableraw&amp;yy'!Y$3:Y$38,'[14]inland_taf_hatchgrp_tableraw&amp;yy'!$AC$3:$AC$38,'2021 Table 10 CWTs exp'!$A31)</f>
        <v>2432</v>
      </c>
      <c r="Z31" s="42">
        <f>SUMIFS('[14]inland_taf_hatchgrp_tableraw&amp;yy'!Z$3:Z$38,'[14]inland_taf_hatchgrp_tableraw&amp;yy'!$AC$3:$AC$38,'2021 Table 10 CWTs exp'!$A31)</f>
        <v>2237</v>
      </c>
      <c r="AA31" s="38">
        <f>SUMIFS('[14]inland_taf_hatchgrp_tableraw&amp;yy'!AA$3:AA$38,'[14]inland_taf_hatchgrp_tableraw&amp;yy'!$AC$3:$AC$38,'2021 Table 10 CWTs exp'!$A31)</f>
        <v>4669</v>
      </c>
      <c r="AB31" s="636"/>
      <c r="AC31" s="636"/>
      <c r="AD31" s="567">
        <f>SUMIFS('[14]inland_taf_hatchgrp_tableraw&amp;yy'!AB$3:AB$38,'[14]inland_taf_hatchgrp_tableraw&amp;yy'!$AC$3:$AC$38,'2021 Table 10 CWTs exp'!$A31)</f>
        <v>0.52100000000000002</v>
      </c>
      <c r="AE31" s="604" t="str">
        <f t="shared" si="9"/>
        <v>YUBA543</v>
      </c>
      <c r="AF31" s="442"/>
      <c r="AG31" s="622">
        <f t="shared" si="10"/>
        <v>0.52088241593488971</v>
      </c>
      <c r="AH31" s="652">
        <f t="shared" si="11"/>
        <v>0.47911758406511029</v>
      </c>
      <c r="AI31" s="605">
        <f t="shared" si="13"/>
        <v>0.47899999999999998</v>
      </c>
      <c r="AJ31" s="447">
        <f t="shared" si="12"/>
        <v>2237</v>
      </c>
      <c r="AK31" s="650">
        <f t="shared" si="14"/>
        <v>0.47911758406511029</v>
      </c>
      <c r="AL31" s="451"/>
      <c r="AM31" s="442"/>
      <c r="AN31" s="442"/>
      <c r="AO31" s="442"/>
      <c r="AP31" s="442"/>
      <c r="AQ31" s="442"/>
      <c r="AR31" s="442"/>
      <c r="AS31" s="442"/>
      <c r="AT31" s="442"/>
      <c r="AU31" s="442"/>
      <c r="AV31" s="442"/>
      <c r="AW31" s="442"/>
      <c r="AX31" s="442"/>
      <c r="AY31" s="442"/>
      <c r="AZ31" s="442"/>
      <c r="BA31" s="442"/>
      <c r="BB31" s="442"/>
      <c r="BC31" s="442"/>
      <c r="BD31" s="442"/>
      <c r="BE31" s="442"/>
      <c r="BF31" s="442"/>
      <c r="BG31" s="442"/>
      <c r="BH31" s="442"/>
      <c r="BI31" s="442"/>
    </row>
    <row r="32" spans="1:61" ht="14.25" hidden="1" customHeight="1" x14ac:dyDescent="0.25">
      <c r="A32" s="50" t="str">
        <f t="shared" si="8"/>
        <v>YUBB543</v>
      </c>
      <c r="B32" s="13" t="s">
        <v>84</v>
      </c>
      <c r="C32" s="13">
        <v>54</v>
      </c>
      <c r="D32" s="13">
        <v>3</v>
      </c>
      <c r="E32" s="79" t="s">
        <v>85</v>
      </c>
      <c r="F32" s="43" t="str">
        <f t="shared" si="15"/>
        <v>Fall</v>
      </c>
      <c r="G32" s="38">
        <f>SUMIFS('[14]inland_taf_hatchgrp_tableraw&amp;yy'!G$3:G$38,'[14]inland_taf_hatchgrp_tableraw&amp;yy'!$AC$3:$AC$38,'2021 Table 10 CWTs exp'!$A32)</f>
        <v>0</v>
      </c>
      <c r="H32" s="39">
        <f>SUMIFS('[14]inland_taf_hatchgrp_tableraw&amp;yy'!H$3:H$38,'[14]inland_taf_hatchgrp_tableraw&amp;yy'!$AC$3:$AC$38,'2021 Table 10 CWTs exp'!$A32)</f>
        <v>0</v>
      </c>
      <c r="I32" s="38">
        <f>SUMIFS('[14]inland_taf_hatchgrp_tableraw&amp;yy'!I$3:I$38,'[14]inland_taf_hatchgrp_tableraw&amp;yy'!$AC$3:$AC$38,'2021 Table 10 CWTs exp'!$A32)</f>
        <v>0</v>
      </c>
      <c r="J32" s="40">
        <f>SUMIFS('[14]inland_taf_hatchgrp_tableraw&amp;yy'!J$3:J$38,'[14]inland_taf_hatchgrp_tableraw&amp;yy'!$AC$3:$AC$38,'2021 Table 10 CWTs exp'!$A32)</f>
        <v>0</v>
      </c>
      <c r="K32" s="39">
        <f>SUMIFS('[14]inland_taf_hatchgrp_tableraw&amp;yy'!K$3:K$38,'[14]inland_taf_hatchgrp_tableraw&amp;yy'!$AC$3:$AC$38,'2021 Table 10 CWTs exp'!$A32)</f>
        <v>0</v>
      </c>
      <c r="L32" s="38">
        <f>SUMIFS('[14]inland_taf_hatchgrp_tableraw&amp;yy'!L$3:L$38,'[14]inland_taf_hatchgrp_tableraw&amp;yy'!$AC$3:$AC$38,'2021 Table 10 CWTs exp'!$A32)</f>
        <v>0</v>
      </c>
      <c r="M32" s="38">
        <f>SUMIFS('[14]inland_taf_hatchgrp_tableraw&amp;yy'!M$3:M$38,'[14]inland_taf_hatchgrp_tableraw&amp;yy'!$AC$3:$AC$38,'2021 Table 10 CWTs exp'!$A32)</f>
        <v>0</v>
      </c>
      <c r="N32" s="40">
        <f>SUMIFS('[14]inland_taf_hatchgrp_tableraw&amp;yy'!N$3:N$38,'[14]inland_taf_hatchgrp_tableraw&amp;yy'!$AC$3:$AC$38,'2021 Table 10 CWTs exp'!$A32)</f>
        <v>0</v>
      </c>
      <c r="O32" s="38">
        <f>SUMIFS('[14]inland_taf_hatchgrp_tableraw&amp;yy'!O$3:O$38,'[14]inland_taf_hatchgrp_tableraw&amp;yy'!$AC$3:$AC$38,'2021 Table 10 CWTs exp'!$A32)</f>
        <v>0</v>
      </c>
      <c r="P32" s="40">
        <f>SUMIFS('[14]inland_taf_hatchgrp_tableraw&amp;yy'!P$3:P$38,'[14]inland_taf_hatchgrp_tableraw&amp;yy'!$AC$3:$AC$38,'2021 Table 10 CWTs exp'!$A32)</f>
        <v>0</v>
      </c>
      <c r="Q32" s="38">
        <f>SUMIFS('[14]inland_taf_hatchgrp_tableraw&amp;yy'!Q$3:Q$38,'[14]inland_taf_hatchgrp_tableraw&amp;yy'!$AC$3:$AC$38,'2021 Table 10 CWTs exp'!$A32)</f>
        <v>0</v>
      </c>
      <c r="R32" s="38">
        <f>SUMIFS('[14]inland_taf_hatchgrp_tableraw&amp;yy'!R$3:R$38,'[14]inland_taf_hatchgrp_tableraw&amp;yy'!$AC$3:$AC$38,'2021 Table 10 CWTs exp'!$A32)</f>
        <v>0</v>
      </c>
      <c r="S32" s="38">
        <f>SUMIFS('[14]inland_taf_hatchgrp_tableraw&amp;yy'!S$3:S$38,'[14]inland_taf_hatchgrp_tableraw&amp;yy'!$AC$3:$AC$38,'2021 Table 10 CWTs exp'!$A32)</f>
        <v>0</v>
      </c>
      <c r="T32" s="40">
        <f>SUMIFS('[14]inland_taf_hatchgrp_tableraw&amp;yy'!T$3:T$38,'[14]inland_taf_hatchgrp_tableraw&amp;yy'!$AC$3:$AC$38,'2021 Table 10 CWTs exp'!$A32)</f>
        <v>0</v>
      </c>
      <c r="U32" s="38">
        <f>SUMIFS('[14]inland_taf_hatchgrp_tableraw&amp;yy'!U$3:U$38,'[14]inland_taf_hatchgrp_tableraw&amp;yy'!$AC$3:$AC$38,'2021 Table 10 CWTs exp'!$A32)</f>
        <v>0</v>
      </c>
      <c r="V32" s="40">
        <f>SUMIFS('[14]inland_taf_hatchgrp_tableraw&amp;yy'!V$3:V$38,'[14]inland_taf_hatchgrp_tableraw&amp;yy'!$AC$3:$AC$38,'2021 Table 10 CWTs exp'!$A32)</f>
        <v>0</v>
      </c>
      <c r="W32" s="40">
        <f>SUMIFS('[14]inland_taf_hatchgrp_tableraw&amp;yy'!W$3:W$38,'[14]inland_taf_hatchgrp_tableraw&amp;yy'!$AC$3:$AC$38,'2021 Table 10 CWTs exp'!$A32)</f>
        <v>0</v>
      </c>
      <c r="X32" s="38">
        <f>SUMIFS('[14]inland_taf_hatchgrp_tableraw&amp;yy'!X$3:X$38,'[14]inland_taf_hatchgrp_tableraw&amp;yy'!$AC$3:$AC$38,'2021 Table 10 CWTs exp'!$A32)</f>
        <v>0</v>
      </c>
      <c r="Y32" s="41">
        <f>SUMIFS('[14]inland_taf_hatchgrp_tableraw&amp;yy'!Y$3:Y$38,'[14]inland_taf_hatchgrp_tableraw&amp;yy'!$AC$3:$AC$38,'2021 Table 10 CWTs exp'!$A32)</f>
        <v>0</v>
      </c>
      <c r="Z32" s="42">
        <f>SUMIFS('[14]inland_taf_hatchgrp_tableraw&amp;yy'!Z$3:Z$38,'[14]inland_taf_hatchgrp_tableraw&amp;yy'!$AC$3:$AC$38,'2021 Table 10 CWTs exp'!$A32)</f>
        <v>0</v>
      </c>
      <c r="AA32" s="38">
        <f>SUMIFS('[14]inland_taf_hatchgrp_tableraw&amp;yy'!AA$3:AA$38,'[14]inland_taf_hatchgrp_tableraw&amp;yy'!$AC$3:$AC$38,'2021 Table 10 CWTs exp'!$A32)</f>
        <v>0</v>
      </c>
      <c r="AB32" s="636"/>
      <c r="AC32" s="636"/>
      <c r="AD32" s="567">
        <f>SUMIFS('[14]inland_taf_hatchgrp_tableraw&amp;yy'!AB$3:AB$38,'[14]inland_taf_hatchgrp_tableraw&amp;yy'!$AC$3:$AC$38,'2021 Table 10 CWTs exp'!$A32)</f>
        <v>0</v>
      </c>
      <c r="AE32" s="604" t="str">
        <f t="shared" si="9"/>
        <v>YUBB543</v>
      </c>
      <c r="AF32" s="442"/>
      <c r="AG32" s="622" t="e">
        <f t="shared" si="10"/>
        <v>#DIV/0!</v>
      </c>
      <c r="AH32" s="652" t="e">
        <f t="shared" si="11"/>
        <v>#DIV/0!</v>
      </c>
      <c r="AI32" s="605">
        <f t="shared" si="13"/>
        <v>1</v>
      </c>
      <c r="AJ32" s="447">
        <f t="shared" si="12"/>
        <v>0</v>
      </c>
      <c r="AK32" s="650" t="e">
        <f t="shared" si="14"/>
        <v>#DIV/0!</v>
      </c>
      <c r="AL32" s="451"/>
      <c r="AM32" s="442"/>
      <c r="AN32" s="442"/>
      <c r="AO32" s="442"/>
      <c r="AP32" s="442"/>
      <c r="AQ32" s="442"/>
      <c r="AR32" s="442"/>
      <c r="AS32" s="442"/>
      <c r="AT32" s="442"/>
      <c r="AU32" s="442"/>
      <c r="AV32" s="442"/>
      <c r="AW32" s="442"/>
      <c r="AX32" s="442"/>
      <c r="AY32" s="442"/>
      <c r="AZ32" s="442"/>
      <c r="BA32" s="442"/>
      <c r="BB32" s="442"/>
      <c r="BC32" s="442"/>
      <c r="BD32" s="442"/>
      <c r="BE32" s="442"/>
      <c r="BF32" s="442"/>
      <c r="BG32" s="442"/>
      <c r="BH32" s="442"/>
      <c r="BI32" s="442"/>
    </row>
    <row r="33" spans="1:61" ht="14.5" customHeight="1" x14ac:dyDescent="0.25">
      <c r="A33" s="50" t="str">
        <f t="shared" si="8"/>
        <v>LARC543</v>
      </c>
      <c r="B33" s="13" t="s">
        <v>86</v>
      </c>
      <c r="C33" s="13">
        <v>54</v>
      </c>
      <c r="D33" s="13">
        <v>3</v>
      </c>
      <c r="E33" s="3" t="s">
        <v>87</v>
      </c>
      <c r="F33" s="43" t="str">
        <f t="shared" si="15"/>
        <v>Fall</v>
      </c>
      <c r="G33" s="38">
        <f>SUMIFS('[14]inland_taf_hatchgrp_tableraw&amp;yy'!G$3:G$38,'[14]inland_taf_hatchgrp_tableraw&amp;yy'!$AC$3:$AC$38,'2021 Table 10 CWTs exp'!$A33)</f>
        <v>0</v>
      </c>
      <c r="H33" s="39">
        <f>SUMIFS('[14]inland_taf_hatchgrp_tableraw&amp;yy'!H$3:H$38,'[14]inland_taf_hatchgrp_tableraw&amp;yy'!$AC$3:$AC$38,'2021 Table 10 CWTs exp'!$A33)</f>
        <v>0</v>
      </c>
      <c r="I33" s="38">
        <f>SUMIFS('[14]inland_taf_hatchgrp_tableraw&amp;yy'!I$3:I$38,'[14]inland_taf_hatchgrp_tableraw&amp;yy'!$AC$3:$AC$38,'2021 Table 10 CWTs exp'!$A33)</f>
        <v>0</v>
      </c>
      <c r="J33" s="40">
        <f>SUMIFS('[14]inland_taf_hatchgrp_tableraw&amp;yy'!J$3:J$38,'[14]inland_taf_hatchgrp_tableraw&amp;yy'!$AC$3:$AC$38,'2021 Table 10 CWTs exp'!$A33)</f>
        <v>0</v>
      </c>
      <c r="K33" s="39">
        <f>SUMIFS('[14]inland_taf_hatchgrp_tableraw&amp;yy'!K$3:K$38,'[14]inland_taf_hatchgrp_tableraw&amp;yy'!$AC$3:$AC$38,'2021 Table 10 CWTs exp'!$A33)</f>
        <v>4</v>
      </c>
      <c r="L33" s="38">
        <f>SUMIFS('[14]inland_taf_hatchgrp_tableraw&amp;yy'!L$3:L$38,'[14]inland_taf_hatchgrp_tableraw&amp;yy'!$AC$3:$AC$38,'2021 Table 10 CWTs exp'!$A33)</f>
        <v>0</v>
      </c>
      <c r="M33" s="38">
        <f>SUMIFS('[14]inland_taf_hatchgrp_tableraw&amp;yy'!M$3:M$38,'[14]inland_taf_hatchgrp_tableraw&amp;yy'!$AC$3:$AC$38,'2021 Table 10 CWTs exp'!$A33)</f>
        <v>185</v>
      </c>
      <c r="N33" s="40">
        <f>SUMIFS('[14]inland_taf_hatchgrp_tableraw&amp;yy'!N$3:N$38,'[14]inland_taf_hatchgrp_tableraw&amp;yy'!$AC$3:$AC$38,'2021 Table 10 CWTs exp'!$A33)</f>
        <v>31</v>
      </c>
      <c r="O33" s="38">
        <f>SUMIFS('[14]inland_taf_hatchgrp_tableraw&amp;yy'!O$3:O$38,'[14]inland_taf_hatchgrp_tableraw&amp;yy'!$AC$3:$AC$38,'2021 Table 10 CWTs exp'!$A33)</f>
        <v>2360</v>
      </c>
      <c r="P33" s="40">
        <f>SUMIFS('[14]inland_taf_hatchgrp_tableraw&amp;yy'!P$3:P$38,'[14]inland_taf_hatchgrp_tableraw&amp;yy'!$AC$3:$AC$38,'2021 Table 10 CWTs exp'!$A33)</f>
        <v>3790</v>
      </c>
      <c r="Q33" s="38">
        <f>SUMIFS('[14]inland_taf_hatchgrp_tableraw&amp;yy'!Q$3:Q$38,'[14]inland_taf_hatchgrp_tableraw&amp;yy'!$AC$3:$AC$38,'2021 Table 10 CWTs exp'!$A33)</f>
        <v>8</v>
      </c>
      <c r="R33" s="38">
        <f>SUMIFS('[14]inland_taf_hatchgrp_tableraw&amp;yy'!R$3:R$38,'[14]inland_taf_hatchgrp_tableraw&amp;yy'!$AC$3:$AC$38,'2021 Table 10 CWTs exp'!$A33)</f>
        <v>2358</v>
      </c>
      <c r="S33" s="38">
        <f>SUMIFS('[14]inland_taf_hatchgrp_tableraw&amp;yy'!S$3:S$38,'[14]inland_taf_hatchgrp_tableraw&amp;yy'!$AC$3:$AC$38,'2021 Table 10 CWTs exp'!$A33)</f>
        <v>173</v>
      </c>
      <c r="T33" s="40">
        <f>SUMIFS('[14]inland_taf_hatchgrp_tableraw&amp;yy'!T$3:T$38,'[14]inland_taf_hatchgrp_tableraw&amp;yy'!$AC$3:$AC$38,'2021 Table 10 CWTs exp'!$A33)</f>
        <v>547</v>
      </c>
      <c r="U33" s="38">
        <f>SUMIFS('[14]inland_taf_hatchgrp_tableraw&amp;yy'!U$3:U$38,'[14]inland_taf_hatchgrp_tableraw&amp;yy'!$AC$3:$AC$38,'2021 Table 10 CWTs exp'!$A33)</f>
        <v>0</v>
      </c>
      <c r="V33" s="40">
        <f>SUMIFS('[14]inland_taf_hatchgrp_tableraw&amp;yy'!V$3:V$38,'[14]inland_taf_hatchgrp_tableraw&amp;yy'!$AC$3:$AC$38,'2021 Table 10 CWTs exp'!$A33)</f>
        <v>625</v>
      </c>
      <c r="W33" s="40">
        <f>SUMIFS('[14]inland_taf_hatchgrp_tableraw&amp;yy'!W$3:W$38,'[14]inland_taf_hatchgrp_tableraw&amp;yy'!$AC$3:$AC$38,'2021 Table 10 CWTs exp'!$A33)</f>
        <v>4</v>
      </c>
      <c r="X33" s="38">
        <f>SUMIFS('[14]inland_taf_hatchgrp_tableraw&amp;yy'!X$3:X$38,'[14]inland_taf_hatchgrp_tableraw&amp;yy'!$AC$3:$AC$38,'2021 Table 10 CWTs exp'!$A33)</f>
        <v>0</v>
      </c>
      <c r="Y33" s="41">
        <f>SUMIFS('[14]inland_taf_hatchgrp_tableraw&amp;yy'!Y$3:Y$38,'[14]inland_taf_hatchgrp_tableraw&amp;yy'!$AC$3:$AC$38,'2021 Table 10 CWTs exp'!$A33)</f>
        <v>10085</v>
      </c>
      <c r="Z33" s="42">
        <f>SUMIFS('[14]inland_taf_hatchgrp_tableraw&amp;yy'!Z$3:Z$38,'[14]inland_taf_hatchgrp_tableraw&amp;yy'!$AC$3:$AC$38,'2021 Table 10 CWTs exp'!$A33)</f>
        <v>1147</v>
      </c>
      <c r="AA33" s="38">
        <f>SUMIFS('[14]inland_taf_hatchgrp_tableraw&amp;yy'!AA$3:AA$38,'[14]inland_taf_hatchgrp_tableraw&amp;yy'!$AC$3:$AC$38,'2021 Table 10 CWTs exp'!$A33)</f>
        <v>11232</v>
      </c>
      <c r="AB33" s="636"/>
      <c r="AC33" s="636"/>
      <c r="AD33" s="567">
        <f>SUMIFS('[14]inland_taf_hatchgrp_tableraw&amp;yy'!AB$3:AB$38,'[14]inland_taf_hatchgrp_tableraw&amp;yy'!$AC$3:$AC$38,'2021 Table 10 CWTs exp'!$A33)</f>
        <v>0.89800000000000002</v>
      </c>
      <c r="AE33" s="604" t="str">
        <f t="shared" si="9"/>
        <v>LARC543</v>
      </c>
      <c r="AF33" s="442"/>
      <c r="AG33" s="622">
        <f t="shared" si="10"/>
        <v>0.89788105413105412</v>
      </c>
      <c r="AH33" s="652">
        <f t="shared" si="11"/>
        <v>0.10211894586894586</v>
      </c>
      <c r="AI33" s="605">
        <f t="shared" si="13"/>
        <v>0.10199999999999998</v>
      </c>
      <c r="AJ33" s="447">
        <f t="shared" si="12"/>
        <v>1147</v>
      </c>
      <c r="AK33" s="650">
        <f t="shared" si="14"/>
        <v>0.10211894586894586</v>
      </c>
      <c r="AL33" s="451"/>
      <c r="AM33" s="442"/>
      <c r="AN33" s="442"/>
      <c r="AO33" s="442"/>
      <c r="AP33" s="442"/>
      <c r="AQ33" s="442"/>
      <c r="AR33" s="442"/>
      <c r="AS33" s="442"/>
      <c r="AT33" s="442"/>
      <c r="AU33" s="442"/>
      <c r="AV33" s="442"/>
      <c r="AW33" s="442"/>
      <c r="AX33" s="442"/>
      <c r="AY33" s="442"/>
      <c r="AZ33" s="442"/>
      <c r="BA33" s="442"/>
      <c r="BB33" s="442"/>
      <c r="BC33" s="442"/>
      <c r="BD33" s="442"/>
      <c r="BE33" s="442"/>
      <c r="BF33" s="442"/>
      <c r="BG33" s="442"/>
      <c r="BH33" s="442"/>
      <c r="BI33" s="442"/>
    </row>
    <row r="34" spans="1:61" ht="14.25" hidden="1" customHeight="1" x14ac:dyDescent="0.25">
      <c r="A34" s="36" t="str">
        <f t="shared" si="8"/>
        <v>NIMW593</v>
      </c>
      <c r="B34" s="35" t="s">
        <v>88</v>
      </c>
      <c r="C34" s="35">
        <v>59</v>
      </c>
      <c r="D34" s="35">
        <v>3</v>
      </c>
      <c r="E34" s="3" t="s">
        <v>89</v>
      </c>
      <c r="F34" s="43" t="str">
        <f t="shared" si="15"/>
        <v>Fall</v>
      </c>
      <c r="G34" s="38">
        <f>SUMIFS('[14]inland_taf_hatchgrp_tableraw&amp;yy'!G$3:G$38,'[14]inland_taf_hatchgrp_tableraw&amp;yy'!$AC$3:$AC$38,'2021 Table 10 CWTs exp'!$A34)</f>
        <v>0</v>
      </c>
      <c r="H34" s="39">
        <f>SUMIFS('[14]inland_taf_hatchgrp_tableraw&amp;yy'!H$3:H$38,'[14]inland_taf_hatchgrp_tableraw&amp;yy'!$AC$3:$AC$38,'2021 Table 10 CWTs exp'!$A34)</f>
        <v>0</v>
      </c>
      <c r="I34" s="38">
        <f>SUMIFS('[14]inland_taf_hatchgrp_tableraw&amp;yy'!I$3:I$38,'[14]inland_taf_hatchgrp_tableraw&amp;yy'!$AC$3:$AC$38,'2021 Table 10 CWTs exp'!$A34)</f>
        <v>0</v>
      </c>
      <c r="J34" s="40">
        <f>SUMIFS('[14]inland_taf_hatchgrp_tableraw&amp;yy'!J$3:J$38,'[14]inland_taf_hatchgrp_tableraw&amp;yy'!$AC$3:$AC$38,'2021 Table 10 CWTs exp'!$A34)</f>
        <v>0</v>
      </c>
      <c r="K34" s="39">
        <f>SUMIFS('[14]inland_taf_hatchgrp_tableraw&amp;yy'!K$3:K$38,'[14]inland_taf_hatchgrp_tableraw&amp;yy'!$AC$3:$AC$38,'2021 Table 10 CWTs exp'!$A34)</f>
        <v>0</v>
      </c>
      <c r="L34" s="38">
        <f>SUMIFS('[14]inland_taf_hatchgrp_tableraw&amp;yy'!L$3:L$38,'[14]inland_taf_hatchgrp_tableraw&amp;yy'!$AC$3:$AC$38,'2021 Table 10 CWTs exp'!$A34)</f>
        <v>0</v>
      </c>
      <c r="M34" s="38">
        <f>SUMIFS('[14]inland_taf_hatchgrp_tableraw&amp;yy'!M$3:M$38,'[14]inland_taf_hatchgrp_tableraw&amp;yy'!$AC$3:$AC$38,'2021 Table 10 CWTs exp'!$A34)</f>
        <v>0</v>
      </c>
      <c r="N34" s="40">
        <f>SUMIFS('[14]inland_taf_hatchgrp_tableraw&amp;yy'!N$3:N$38,'[14]inland_taf_hatchgrp_tableraw&amp;yy'!$AC$3:$AC$38,'2021 Table 10 CWTs exp'!$A34)</f>
        <v>0</v>
      </c>
      <c r="O34" s="38">
        <f>SUMIFS('[14]inland_taf_hatchgrp_tableraw&amp;yy'!O$3:O$38,'[14]inland_taf_hatchgrp_tableraw&amp;yy'!$AC$3:$AC$38,'2021 Table 10 CWTs exp'!$A34)</f>
        <v>0</v>
      </c>
      <c r="P34" s="40">
        <f>SUMIFS('[14]inland_taf_hatchgrp_tableraw&amp;yy'!P$3:P$38,'[14]inland_taf_hatchgrp_tableraw&amp;yy'!$AC$3:$AC$38,'2021 Table 10 CWTs exp'!$A34)</f>
        <v>0</v>
      </c>
      <c r="Q34" s="38">
        <f>SUMIFS('[14]inland_taf_hatchgrp_tableraw&amp;yy'!Q$3:Q$38,'[14]inland_taf_hatchgrp_tableraw&amp;yy'!$AC$3:$AC$38,'2021 Table 10 CWTs exp'!$A34)</f>
        <v>0</v>
      </c>
      <c r="R34" s="38">
        <f>SUMIFS('[14]inland_taf_hatchgrp_tableraw&amp;yy'!R$3:R$38,'[14]inland_taf_hatchgrp_tableraw&amp;yy'!$AC$3:$AC$38,'2021 Table 10 CWTs exp'!$A34)</f>
        <v>0</v>
      </c>
      <c r="S34" s="38">
        <f>SUMIFS('[14]inland_taf_hatchgrp_tableraw&amp;yy'!S$3:S$38,'[14]inland_taf_hatchgrp_tableraw&amp;yy'!$AC$3:$AC$38,'2021 Table 10 CWTs exp'!$A34)</f>
        <v>0</v>
      </c>
      <c r="T34" s="40">
        <f>SUMIFS('[14]inland_taf_hatchgrp_tableraw&amp;yy'!T$3:T$38,'[14]inland_taf_hatchgrp_tableraw&amp;yy'!$AC$3:$AC$38,'2021 Table 10 CWTs exp'!$A34)</f>
        <v>0</v>
      </c>
      <c r="U34" s="38">
        <f>SUMIFS('[14]inland_taf_hatchgrp_tableraw&amp;yy'!U$3:U$38,'[14]inland_taf_hatchgrp_tableraw&amp;yy'!$AC$3:$AC$38,'2021 Table 10 CWTs exp'!$A34)</f>
        <v>0</v>
      </c>
      <c r="V34" s="40">
        <f>SUMIFS('[14]inland_taf_hatchgrp_tableraw&amp;yy'!V$3:V$38,'[14]inland_taf_hatchgrp_tableraw&amp;yy'!$AC$3:$AC$38,'2021 Table 10 CWTs exp'!$A34)</f>
        <v>0</v>
      </c>
      <c r="W34" s="40">
        <f>SUMIFS('[14]inland_taf_hatchgrp_tableraw&amp;yy'!W$3:W$38,'[14]inland_taf_hatchgrp_tableraw&amp;yy'!$AC$3:$AC$38,'2021 Table 10 CWTs exp'!$A34)</f>
        <v>0</v>
      </c>
      <c r="X34" s="38">
        <f>SUMIFS('[14]inland_taf_hatchgrp_tableraw&amp;yy'!X$3:X$38,'[14]inland_taf_hatchgrp_tableraw&amp;yy'!$AC$3:$AC$38,'2021 Table 10 CWTs exp'!$A34)</f>
        <v>0</v>
      </c>
      <c r="Y34" s="41">
        <f>SUMIFS('[14]inland_taf_hatchgrp_tableraw&amp;yy'!Y$3:Y$38,'[14]inland_taf_hatchgrp_tableraw&amp;yy'!$AC$3:$AC$38,'2021 Table 10 CWTs exp'!$A34)</f>
        <v>0</v>
      </c>
      <c r="Z34" s="42">
        <f>SUMIFS('[14]inland_taf_hatchgrp_tableraw&amp;yy'!Z$3:Z$38,'[14]inland_taf_hatchgrp_tableraw&amp;yy'!$AC$3:$AC$38,'2021 Table 10 CWTs exp'!$A34)</f>
        <v>0</v>
      </c>
      <c r="AA34" s="38">
        <f>SUMIFS('[14]inland_taf_hatchgrp_tableraw&amp;yy'!AA$3:AA$38,'[14]inland_taf_hatchgrp_tableraw&amp;yy'!$AC$3:$AC$38,'2021 Table 10 CWTs exp'!$A34)</f>
        <v>0</v>
      </c>
      <c r="AB34" s="636"/>
      <c r="AC34" s="636"/>
      <c r="AD34" s="603">
        <f>SUMIFS('[14]inland_taf_hatchgrp_tableraw&amp;yy'!AB$3:AB$38,'[14]inland_taf_hatchgrp_tableraw&amp;yy'!$AC$3:$AC$38,'2021 Table 10 CWTs exp'!$A34)</f>
        <v>0</v>
      </c>
      <c r="AE34" s="604" t="str">
        <f t="shared" si="9"/>
        <v>NIMW593</v>
      </c>
      <c r="AF34" s="603"/>
      <c r="AG34" s="622" t="e">
        <f t="shared" si="10"/>
        <v>#DIV/0!</v>
      </c>
      <c r="AH34" s="652" t="e">
        <f t="shared" si="11"/>
        <v>#DIV/0!</v>
      </c>
      <c r="AI34" s="605">
        <f t="shared" si="13"/>
        <v>1</v>
      </c>
      <c r="AJ34" s="447">
        <f t="shared" si="12"/>
        <v>0</v>
      </c>
      <c r="AK34" s="650" t="e">
        <f t="shared" si="14"/>
        <v>#DIV/0!</v>
      </c>
      <c r="AL34" s="451"/>
      <c r="AM34" s="442"/>
      <c r="AN34" s="442"/>
      <c r="AO34" s="442"/>
      <c r="AP34" s="442"/>
      <c r="AQ34" s="442"/>
      <c r="AR34" s="442"/>
      <c r="AS34" s="442"/>
      <c r="AT34" s="442"/>
      <c r="AU34" s="442"/>
      <c r="AV34" s="442"/>
      <c r="AW34" s="442"/>
      <c r="AX34" s="442"/>
      <c r="AY34" s="442"/>
      <c r="AZ34" s="442"/>
      <c r="BA34" s="442"/>
      <c r="BB34" s="442"/>
      <c r="BC34" s="442"/>
      <c r="BD34" s="442"/>
      <c r="BE34" s="442"/>
      <c r="BF34" s="442"/>
      <c r="BG34" s="442"/>
      <c r="BH34" s="442"/>
      <c r="BI34" s="442"/>
    </row>
    <row r="35" spans="1:61" ht="14.5" hidden="1" customHeight="1" x14ac:dyDescent="0.25">
      <c r="A35" s="50" t="str">
        <f t="shared" si="8"/>
        <v>MOKE543</v>
      </c>
      <c r="B35" s="13" t="s">
        <v>90</v>
      </c>
      <c r="C35" s="13">
        <v>54</v>
      </c>
      <c r="D35" s="13">
        <v>3</v>
      </c>
      <c r="E35" s="3" t="s">
        <v>91</v>
      </c>
      <c r="F35" s="43" t="str">
        <f t="shared" si="15"/>
        <v>Fall</v>
      </c>
      <c r="G35" s="38">
        <f>SUMIFS('[14]inland_taf_hatchgrp_tableraw&amp;yy'!G$3:G$38,'[14]inland_taf_hatchgrp_tableraw&amp;yy'!$AC$3:$AC$38,'2021 Table 10 CWTs exp'!$A35)</f>
        <v>0</v>
      </c>
      <c r="H35" s="39">
        <f>SUMIFS('[14]inland_taf_hatchgrp_tableraw&amp;yy'!H$3:H$38,'[14]inland_taf_hatchgrp_tableraw&amp;yy'!$AC$3:$AC$38,'2021 Table 10 CWTs exp'!$A35)</f>
        <v>0</v>
      </c>
      <c r="I35" s="38">
        <f>SUMIFS('[14]inland_taf_hatchgrp_tableraw&amp;yy'!I$3:I$38,'[14]inland_taf_hatchgrp_tableraw&amp;yy'!$AC$3:$AC$38,'2021 Table 10 CWTs exp'!$A35)</f>
        <v>0</v>
      </c>
      <c r="J35" s="40">
        <f>SUMIFS('[14]inland_taf_hatchgrp_tableraw&amp;yy'!J$3:J$38,'[14]inland_taf_hatchgrp_tableraw&amp;yy'!$AC$3:$AC$38,'2021 Table 10 CWTs exp'!$A35)</f>
        <v>0</v>
      </c>
      <c r="K35" s="39">
        <f>SUMIFS('[14]inland_taf_hatchgrp_tableraw&amp;yy'!K$3:K$38,'[14]inland_taf_hatchgrp_tableraw&amp;yy'!$AC$3:$AC$38,'2021 Table 10 CWTs exp'!$A35)</f>
        <v>0</v>
      </c>
      <c r="L35" s="38">
        <f>SUMIFS('[14]inland_taf_hatchgrp_tableraw&amp;yy'!L$3:L$38,'[14]inland_taf_hatchgrp_tableraw&amp;yy'!$AC$3:$AC$38,'2021 Table 10 CWTs exp'!$A35)</f>
        <v>0</v>
      </c>
      <c r="M35" s="38">
        <f>SUMIFS('[14]inland_taf_hatchgrp_tableraw&amp;yy'!M$3:M$38,'[14]inland_taf_hatchgrp_tableraw&amp;yy'!$AC$3:$AC$38,'2021 Table 10 CWTs exp'!$A35)</f>
        <v>0</v>
      </c>
      <c r="N35" s="40">
        <f>SUMIFS('[14]inland_taf_hatchgrp_tableraw&amp;yy'!N$3:N$38,'[14]inland_taf_hatchgrp_tableraw&amp;yy'!$AC$3:$AC$38,'2021 Table 10 CWTs exp'!$A35)</f>
        <v>0</v>
      </c>
      <c r="O35" s="38">
        <f>SUMIFS('[14]inland_taf_hatchgrp_tableraw&amp;yy'!O$3:O$38,'[14]inland_taf_hatchgrp_tableraw&amp;yy'!$AC$3:$AC$38,'2021 Table 10 CWTs exp'!$A35)</f>
        <v>0</v>
      </c>
      <c r="P35" s="40">
        <f>SUMIFS('[14]inland_taf_hatchgrp_tableraw&amp;yy'!P$3:P$38,'[14]inland_taf_hatchgrp_tableraw&amp;yy'!$AC$3:$AC$38,'2021 Table 10 CWTs exp'!$A35)</f>
        <v>0</v>
      </c>
      <c r="Q35" s="38">
        <f>SUMIFS('[14]inland_taf_hatchgrp_tableraw&amp;yy'!Q$3:Q$38,'[14]inland_taf_hatchgrp_tableraw&amp;yy'!$AC$3:$AC$38,'2021 Table 10 CWTs exp'!$A35)</f>
        <v>0</v>
      </c>
      <c r="R35" s="38">
        <f>SUMIFS('[14]inland_taf_hatchgrp_tableraw&amp;yy'!R$3:R$38,'[14]inland_taf_hatchgrp_tableraw&amp;yy'!$AC$3:$AC$38,'2021 Table 10 CWTs exp'!$A35)</f>
        <v>0</v>
      </c>
      <c r="S35" s="38">
        <f>SUMIFS('[14]inland_taf_hatchgrp_tableraw&amp;yy'!S$3:S$38,'[14]inland_taf_hatchgrp_tableraw&amp;yy'!$AC$3:$AC$38,'2021 Table 10 CWTs exp'!$A35)</f>
        <v>0</v>
      </c>
      <c r="T35" s="40">
        <f>SUMIFS('[14]inland_taf_hatchgrp_tableraw&amp;yy'!T$3:T$38,'[14]inland_taf_hatchgrp_tableraw&amp;yy'!$AC$3:$AC$38,'2021 Table 10 CWTs exp'!$A35)</f>
        <v>0</v>
      </c>
      <c r="U35" s="38">
        <f>SUMIFS('[14]inland_taf_hatchgrp_tableraw&amp;yy'!U$3:U$38,'[14]inland_taf_hatchgrp_tableraw&amp;yy'!$AC$3:$AC$38,'2021 Table 10 CWTs exp'!$A35)</f>
        <v>0</v>
      </c>
      <c r="V35" s="40">
        <f>SUMIFS('[14]inland_taf_hatchgrp_tableraw&amp;yy'!V$3:V$38,'[14]inland_taf_hatchgrp_tableraw&amp;yy'!$AC$3:$AC$38,'2021 Table 10 CWTs exp'!$A35)</f>
        <v>0</v>
      </c>
      <c r="W35" s="40">
        <f>SUMIFS('[14]inland_taf_hatchgrp_tableraw&amp;yy'!W$3:W$38,'[14]inland_taf_hatchgrp_tableraw&amp;yy'!$AC$3:$AC$38,'2021 Table 10 CWTs exp'!$A35)</f>
        <v>0</v>
      </c>
      <c r="X35" s="38">
        <f>SUMIFS('[14]inland_taf_hatchgrp_tableraw&amp;yy'!X$3:X$38,'[14]inland_taf_hatchgrp_tableraw&amp;yy'!$AC$3:$AC$38,'2021 Table 10 CWTs exp'!$A35)</f>
        <v>0</v>
      </c>
      <c r="Y35" s="41">
        <f>SUMIFS('[14]inland_taf_hatchgrp_tableraw&amp;yy'!Y$3:Y$38,'[14]inland_taf_hatchgrp_tableraw&amp;yy'!$AC$3:$AC$38,'2021 Table 10 CWTs exp'!$A35)</f>
        <v>0</v>
      </c>
      <c r="Z35" s="42">
        <f>SUMIFS('[14]inland_taf_hatchgrp_tableraw&amp;yy'!Z$3:Z$38,'[14]inland_taf_hatchgrp_tableraw&amp;yy'!$AC$3:$AC$38,'2021 Table 10 CWTs exp'!$A35)</f>
        <v>0</v>
      </c>
      <c r="AA35" s="38">
        <f>SUMIFS('[14]inland_taf_hatchgrp_tableraw&amp;yy'!AA$3:AA$38,'[14]inland_taf_hatchgrp_tableraw&amp;yy'!$AC$3:$AC$38,'2021 Table 10 CWTs exp'!$A35)</f>
        <v>0</v>
      </c>
      <c r="AB35" s="636"/>
      <c r="AC35" s="636"/>
      <c r="AD35" s="567">
        <f>SUMIFS('[14]inland_taf_hatchgrp_tableraw&amp;yy'!AB$3:AB$38,'[14]inland_taf_hatchgrp_tableraw&amp;yy'!$AC$3:$AC$38,'2021 Table 10 CWTs exp'!$A35)</f>
        <v>0</v>
      </c>
      <c r="AE35" s="604" t="str">
        <f t="shared" si="9"/>
        <v>MOKE543</v>
      </c>
      <c r="AF35" s="442"/>
      <c r="AG35" s="622" t="e">
        <f t="shared" si="10"/>
        <v>#DIV/0!</v>
      </c>
      <c r="AH35" s="652" t="e">
        <f t="shared" si="11"/>
        <v>#DIV/0!</v>
      </c>
      <c r="AI35" s="605">
        <f t="shared" si="13"/>
        <v>1</v>
      </c>
      <c r="AJ35" s="447">
        <f t="shared" si="12"/>
        <v>0</v>
      </c>
      <c r="AK35" s="650" t="e">
        <f t="shared" si="14"/>
        <v>#DIV/0!</v>
      </c>
      <c r="AL35" s="451"/>
      <c r="AM35" s="442"/>
      <c r="AN35" s="442"/>
      <c r="AO35" s="442"/>
      <c r="AP35" s="442"/>
      <c r="AQ35" s="442"/>
      <c r="AR35" s="442"/>
      <c r="AS35" s="442"/>
      <c r="AT35" s="442"/>
      <c r="AU35" s="442"/>
      <c r="AV35" s="442"/>
      <c r="AW35" s="442"/>
      <c r="AX35" s="442"/>
      <c r="AY35" s="442"/>
      <c r="AZ35" s="442"/>
      <c r="BA35" s="442"/>
      <c r="BB35" s="442"/>
      <c r="BC35" s="442"/>
      <c r="BD35" s="442"/>
      <c r="BE35" s="442"/>
      <c r="BF35" s="442"/>
      <c r="BG35" s="442"/>
      <c r="BH35" s="442"/>
      <c r="BI35" s="442"/>
    </row>
    <row r="36" spans="1:61" ht="14.25" hidden="1" customHeight="1" x14ac:dyDescent="0.25">
      <c r="A36" s="50" t="str">
        <f t="shared" si="8"/>
        <v>COSU543</v>
      </c>
      <c r="B36" s="13" t="s">
        <v>92</v>
      </c>
      <c r="C36" s="13">
        <v>54</v>
      </c>
      <c r="D36" s="13">
        <v>3</v>
      </c>
      <c r="E36" s="3" t="s">
        <v>93</v>
      </c>
      <c r="F36" s="43" t="str">
        <f t="shared" si="15"/>
        <v>Fall</v>
      </c>
      <c r="G36" s="38">
        <f>SUMIFS('[14]inland_taf_hatchgrp_tableraw&amp;yy'!G$3:G$38,'[14]inland_taf_hatchgrp_tableraw&amp;yy'!$AC$3:$AC$38,'2021 Table 10 CWTs exp'!$A36)</f>
        <v>0</v>
      </c>
      <c r="H36" s="39">
        <f>SUMIFS('[14]inland_taf_hatchgrp_tableraw&amp;yy'!H$3:H$38,'[14]inland_taf_hatchgrp_tableraw&amp;yy'!$AC$3:$AC$38,'2021 Table 10 CWTs exp'!$A36)</f>
        <v>0</v>
      </c>
      <c r="I36" s="38">
        <f>SUMIFS('[14]inland_taf_hatchgrp_tableraw&amp;yy'!I$3:I$38,'[14]inland_taf_hatchgrp_tableraw&amp;yy'!$AC$3:$AC$38,'2021 Table 10 CWTs exp'!$A36)</f>
        <v>0</v>
      </c>
      <c r="J36" s="40">
        <f>SUMIFS('[14]inland_taf_hatchgrp_tableraw&amp;yy'!J$3:J$38,'[14]inland_taf_hatchgrp_tableraw&amp;yy'!$AC$3:$AC$38,'2021 Table 10 CWTs exp'!$A36)</f>
        <v>0</v>
      </c>
      <c r="K36" s="39">
        <f>SUMIFS('[14]inland_taf_hatchgrp_tableraw&amp;yy'!K$3:K$38,'[14]inland_taf_hatchgrp_tableraw&amp;yy'!$AC$3:$AC$38,'2021 Table 10 CWTs exp'!$A36)</f>
        <v>0</v>
      </c>
      <c r="L36" s="38">
        <f>SUMIFS('[14]inland_taf_hatchgrp_tableraw&amp;yy'!L$3:L$38,'[14]inland_taf_hatchgrp_tableraw&amp;yy'!$AC$3:$AC$38,'2021 Table 10 CWTs exp'!$A36)</f>
        <v>0</v>
      </c>
      <c r="M36" s="38">
        <f>SUMIFS('[14]inland_taf_hatchgrp_tableraw&amp;yy'!M$3:M$38,'[14]inland_taf_hatchgrp_tableraw&amp;yy'!$AC$3:$AC$38,'2021 Table 10 CWTs exp'!$A36)</f>
        <v>0</v>
      </c>
      <c r="N36" s="40">
        <f>SUMIFS('[14]inland_taf_hatchgrp_tableraw&amp;yy'!N$3:N$38,'[14]inland_taf_hatchgrp_tableraw&amp;yy'!$AC$3:$AC$38,'2021 Table 10 CWTs exp'!$A36)</f>
        <v>0</v>
      </c>
      <c r="O36" s="38">
        <f>SUMIFS('[14]inland_taf_hatchgrp_tableraw&amp;yy'!O$3:O$38,'[14]inland_taf_hatchgrp_tableraw&amp;yy'!$AC$3:$AC$38,'2021 Table 10 CWTs exp'!$A36)</f>
        <v>0</v>
      </c>
      <c r="P36" s="40">
        <f>SUMIFS('[14]inland_taf_hatchgrp_tableraw&amp;yy'!P$3:P$38,'[14]inland_taf_hatchgrp_tableraw&amp;yy'!$AC$3:$AC$38,'2021 Table 10 CWTs exp'!$A36)</f>
        <v>0</v>
      </c>
      <c r="Q36" s="38">
        <f>SUMIFS('[14]inland_taf_hatchgrp_tableraw&amp;yy'!Q$3:Q$38,'[14]inland_taf_hatchgrp_tableraw&amp;yy'!$AC$3:$AC$38,'2021 Table 10 CWTs exp'!$A36)</f>
        <v>0</v>
      </c>
      <c r="R36" s="38">
        <f>SUMIFS('[14]inland_taf_hatchgrp_tableraw&amp;yy'!R$3:R$38,'[14]inland_taf_hatchgrp_tableraw&amp;yy'!$AC$3:$AC$38,'2021 Table 10 CWTs exp'!$A36)</f>
        <v>0</v>
      </c>
      <c r="S36" s="38">
        <f>SUMIFS('[14]inland_taf_hatchgrp_tableraw&amp;yy'!S$3:S$38,'[14]inland_taf_hatchgrp_tableraw&amp;yy'!$AC$3:$AC$38,'2021 Table 10 CWTs exp'!$A36)</f>
        <v>0</v>
      </c>
      <c r="T36" s="40">
        <f>SUMIFS('[14]inland_taf_hatchgrp_tableraw&amp;yy'!T$3:T$38,'[14]inland_taf_hatchgrp_tableraw&amp;yy'!$AC$3:$AC$38,'2021 Table 10 CWTs exp'!$A36)</f>
        <v>0</v>
      </c>
      <c r="U36" s="38">
        <f>SUMIFS('[14]inland_taf_hatchgrp_tableraw&amp;yy'!U$3:U$38,'[14]inland_taf_hatchgrp_tableraw&amp;yy'!$AC$3:$AC$38,'2021 Table 10 CWTs exp'!$A36)</f>
        <v>0</v>
      </c>
      <c r="V36" s="40">
        <f>SUMIFS('[14]inland_taf_hatchgrp_tableraw&amp;yy'!V$3:V$38,'[14]inland_taf_hatchgrp_tableraw&amp;yy'!$AC$3:$AC$38,'2021 Table 10 CWTs exp'!$A36)</f>
        <v>0</v>
      </c>
      <c r="W36" s="40">
        <f>SUMIFS('[14]inland_taf_hatchgrp_tableraw&amp;yy'!W$3:W$38,'[14]inland_taf_hatchgrp_tableraw&amp;yy'!$AC$3:$AC$38,'2021 Table 10 CWTs exp'!$A36)</f>
        <v>0</v>
      </c>
      <c r="X36" s="38">
        <f>SUMIFS('[14]inland_taf_hatchgrp_tableraw&amp;yy'!X$3:X$38,'[14]inland_taf_hatchgrp_tableraw&amp;yy'!$AC$3:$AC$38,'2021 Table 10 CWTs exp'!$A36)</f>
        <v>0</v>
      </c>
      <c r="Y36" s="41">
        <f>SUMIFS('[14]inland_taf_hatchgrp_tableraw&amp;yy'!Y$3:Y$38,'[14]inland_taf_hatchgrp_tableraw&amp;yy'!$AC$3:$AC$38,'2021 Table 10 CWTs exp'!$A36)</f>
        <v>0</v>
      </c>
      <c r="Z36" s="42">
        <f>SUMIFS('[14]inland_taf_hatchgrp_tableraw&amp;yy'!Z$3:Z$38,'[14]inland_taf_hatchgrp_tableraw&amp;yy'!$AC$3:$AC$38,'2021 Table 10 CWTs exp'!$A36)</f>
        <v>0</v>
      </c>
      <c r="AA36" s="38">
        <f>SUMIFS('[14]inland_taf_hatchgrp_tableraw&amp;yy'!AA$3:AA$38,'[14]inland_taf_hatchgrp_tableraw&amp;yy'!$AC$3:$AC$38,'2021 Table 10 CWTs exp'!$A36)</f>
        <v>0</v>
      </c>
      <c r="AB36" s="636"/>
      <c r="AC36" s="636"/>
      <c r="AD36" s="567">
        <f>SUMIFS('[14]inland_taf_hatchgrp_tableraw&amp;yy'!AB$3:AB$38,'[14]inland_taf_hatchgrp_tableraw&amp;yy'!$AC$3:$AC$38,'2021 Table 10 CWTs exp'!$A36)</f>
        <v>0</v>
      </c>
      <c r="AE36" s="604" t="str">
        <f t="shared" si="9"/>
        <v>COSU543</v>
      </c>
      <c r="AF36" s="442"/>
      <c r="AG36" s="622" t="e">
        <f t="shared" si="10"/>
        <v>#DIV/0!</v>
      </c>
      <c r="AH36" s="652" t="e">
        <f t="shared" si="11"/>
        <v>#DIV/0!</v>
      </c>
      <c r="AI36" s="605">
        <f t="shared" si="13"/>
        <v>1</v>
      </c>
      <c r="AJ36" s="447">
        <f t="shared" si="12"/>
        <v>0</v>
      </c>
      <c r="AK36" s="650" t="e">
        <f t="shared" si="14"/>
        <v>#DIV/0!</v>
      </c>
      <c r="AL36" s="451"/>
      <c r="AM36" s="442"/>
      <c r="AN36" s="442"/>
      <c r="AO36" s="442"/>
      <c r="AP36" s="442"/>
      <c r="AQ36" s="442"/>
      <c r="AR36" s="442"/>
      <c r="AS36" s="442"/>
      <c r="AT36" s="442"/>
      <c r="AU36" s="442"/>
      <c r="AV36" s="442"/>
      <c r="AW36" s="442"/>
      <c r="AX36" s="442"/>
      <c r="AY36" s="442"/>
      <c r="AZ36" s="442"/>
      <c r="BA36" s="442"/>
      <c r="BB36" s="442"/>
      <c r="BC36" s="442"/>
      <c r="BD36" s="442"/>
      <c r="BE36" s="442"/>
      <c r="BF36" s="442"/>
      <c r="BG36" s="442"/>
      <c r="BH36" s="442"/>
      <c r="BI36" s="442"/>
    </row>
    <row r="37" spans="1:61" ht="14.25" hidden="1" customHeight="1" x14ac:dyDescent="0.25">
      <c r="A37" s="50" t="str">
        <f t="shared" si="8"/>
        <v>CAL543</v>
      </c>
      <c r="B37" s="13" t="s">
        <v>94</v>
      </c>
      <c r="C37" s="13">
        <v>54</v>
      </c>
      <c r="D37" s="13">
        <v>3</v>
      </c>
      <c r="E37" s="3" t="s">
        <v>95</v>
      </c>
      <c r="F37" s="43" t="str">
        <f t="shared" si="15"/>
        <v>Fall</v>
      </c>
      <c r="G37" s="38">
        <f>SUMIFS('[14]inland_taf_hatchgrp_tableraw&amp;yy'!G$3:G$38,'[14]inland_taf_hatchgrp_tableraw&amp;yy'!$AC$3:$AC$38,'2021 Table 10 CWTs exp'!$A37)</f>
        <v>0</v>
      </c>
      <c r="H37" s="39">
        <f>SUMIFS('[14]inland_taf_hatchgrp_tableraw&amp;yy'!H$3:H$38,'[14]inland_taf_hatchgrp_tableraw&amp;yy'!$AC$3:$AC$38,'2021 Table 10 CWTs exp'!$A37)</f>
        <v>0</v>
      </c>
      <c r="I37" s="38">
        <f>SUMIFS('[14]inland_taf_hatchgrp_tableraw&amp;yy'!I$3:I$38,'[14]inland_taf_hatchgrp_tableraw&amp;yy'!$AC$3:$AC$38,'2021 Table 10 CWTs exp'!$A37)</f>
        <v>0</v>
      </c>
      <c r="J37" s="40">
        <f>SUMIFS('[14]inland_taf_hatchgrp_tableraw&amp;yy'!J$3:J$38,'[14]inland_taf_hatchgrp_tableraw&amp;yy'!$AC$3:$AC$38,'2021 Table 10 CWTs exp'!$A37)</f>
        <v>0</v>
      </c>
      <c r="K37" s="39">
        <f>SUMIFS('[14]inland_taf_hatchgrp_tableraw&amp;yy'!K$3:K$38,'[14]inland_taf_hatchgrp_tableraw&amp;yy'!$AC$3:$AC$38,'2021 Table 10 CWTs exp'!$A37)</f>
        <v>0</v>
      </c>
      <c r="L37" s="38">
        <f>SUMIFS('[14]inland_taf_hatchgrp_tableraw&amp;yy'!L$3:L$38,'[14]inland_taf_hatchgrp_tableraw&amp;yy'!$AC$3:$AC$38,'2021 Table 10 CWTs exp'!$A37)</f>
        <v>0</v>
      </c>
      <c r="M37" s="38">
        <f>SUMIFS('[14]inland_taf_hatchgrp_tableraw&amp;yy'!M$3:M$38,'[14]inland_taf_hatchgrp_tableraw&amp;yy'!$AC$3:$AC$38,'2021 Table 10 CWTs exp'!$A37)</f>
        <v>0</v>
      </c>
      <c r="N37" s="40">
        <f>SUMIFS('[14]inland_taf_hatchgrp_tableraw&amp;yy'!N$3:N$38,'[14]inland_taf_hatchgrp_tableraw&amp;yy'!$AC$3:$AC$38,'2021 Table 10 CWTs exp'!$A37)</f>
        <v>0</v>
      </c>
      <c r="O37" s="38">
        <f>SUMIFS('[14]inland_taf_hatchgrp_tableraw&amp;yy'!O$3:O$38,'[14]inland_taf_hatchgrp_tableraw&amp;yy'!$AC$3:$AC$38,'2021 Table 10 CWTs exp'!$A37)</f>
        <v>0</v>
      </c>
      <c r="P37" s="40">
        <f>SUMIFS('[14]inland_taf_hatchgrp_tableraw&amp;yy'!P$3:P$38,'[14]inland_taf_hatchgrp_tableraw&amp;yy'!$AC$3:$AC$38,'2021 Table 10 CWTs exp'!$A37)</f>
        <v>0</v>
      </c>
      <c r="Q37" s="38">
        <f>SUMIFS('[14]inland_taf_hatchgrp_tableraw&amp;yy'!Q$3:Q$38,'[14]inland_taf_hatchgrp_tableraw&amp;yy'!$AC$3:$AC$38,'2021 Table 10 CWTs exp'!$A37)</f>
        <v>0</v>
      </c>
      <c r="R37" s="38">
        <f>SUMIFS('[14]inland_taf_hatchgrp_tableraw&amp;yy'!R$3:R$38,'[14]inland_taf_hatchgrp_tableraw&amp;yy'!$AC$3:$AC$38,'2021 Table 10 CWTs exp'!$A37)</f>
        <v>0</v>
      </c>
      <c r="S37" s="38">
        <f>SUMIFS('[14]inland_taf_hatchgrp_tableraw&amp;yy'!S$3:S$38,'[14]inland_taf_hatchgrp_tableraw&amp;yy'!$AC$3:$AC$38,'2021 Table 10 CWTs exp'!$A37)</f>
        <v>0</v>
      </c>
      <c r="T37" s="40">
        <f>SUMIFS('[14]inland_taf_hatchgrp_tableraw&amp;yy'!T$3:T$38,'[14]inland_taf_hatchgrp_tableraw&amp;yy'!$AC$3:$AC$38,'2021 Table 10 CWTs exp'!$A37)</f>
        <v>0</v>
      </c>
      <c r="U37" s="38">
        <f>SUMIFS('[14]inland_taf_hatchgrp_tableraw&amp;yy'!U$3:U$38,'[14]inland_taf_hatchgrp_tableraw&amp;yy'!$AC$3:$AC$38,'2021 Table 10 CWTs exp'!$A37)</f>
        <v>0</v>
      </c>
      <c r="V37" s="40">
        <f>SUMIFS('[14]inland_taf_hatchgrp_tableraw&amp;yy'!V$3:V$38,'[14]inland_taf_hatchgrp_tableraw&amp;yy'!$AC$3:$AC$38,'2021 Table 10 CWTs exp'!$A37)</f>
        <v>0</v>
      </c>
      <c r="W37" s="40">
        <f>SUMIFS('[14]inland_taf_hatchgrp_tableraw&amp;yy'!W$3:W$38,'[14]inland_taf_hatchgrp_tableraw&amp;yy'!$AC$3:$AC$38,'2021 Table 10 CWTs exp'!$A37)</f>
        <v>0</v>
      </c>
      <c r="X37" s="38">
        <f>SUMIFS('[14]inland_taf_hatchgrp_tableraw&amp;yy'!X$3:X$38,'[14]inland_taf_hatchgrp_tableraw&amp;yy'!$AC$3:$AC$38,'2021 Table 10 CWTs exp'!$A37)</f>
        <v>0</v>
      </c>
      <c r="Y37" s="41">
        <f>SUMIFS('[14]inland_taf_hatchgrp_tableraw&amp;yy'!Y$3:Y$38,'[14]inland_taf_hatchgrp_tableraw&amp;yy'!$AC$3:$AC$38,'2021 Table 10 CWTs exp'!$A37)</f>
        <v>0</v>
      </c>
      <c r="Z37" s="42">
        <f>SUMIFS('[14]inland_taf_hatchgrp_tableraw&amp;yy'!Z$3:Z$38,'[14]inland_taf_hatchgrp_tableraw&amp;yy'!$AC$3:$AC$38,'2021 Table 10 CWTs exp'!$A37)</f>
        <v>0</v>
      </c>
      <c r="AA37" s="38">
        <f>SUMIFS('[14]inland_taf_hatchgrp_tableraw&amp;yy'!AA$3:AA$38,'[14]inland_taf_hatchgrp_tableraw&amp;yy'!$AC$3:$AC$38,'2021 Table 10 CWTs exp'!$A37)</f>
        <v>0</v>
      </c>
      <c r="AB37" s="636"/>
      <c r="AC37" s="636"/>
      <c r="AD37" s="567">
        <f>SUMIFS('[14]inland_taf_hatchgrp_tableraw&amp;yy'!AB$3:AB$38,'[14]inland_taf_hatchgrp_tableraw&amp;yy'!$AC$3:$AC$38,'2021 Table 10 CWTs exp'!$A37)</f>
        <v>0</v>
      </c>
      <c r="AE37" s="604" t="str">
        <f t="shared" si="9"/>
        <v>CAL543</v>
      </c>
      <c r="AF37" s="442"/>
      <c r="AG37" s="622" t="e">
        <f t="shared" si="10"/>
        <v>#DIV/0!</v>
      </c>
      <c r="AH37" s="652" t="e">
        <f t="shared" si="11"/>
        <v>#DIV/0!</v>
      </c>
      <c r="AI37" s="605">
        <f t="shared" si="13"/>
        <v>1</v>
      </c>
      <c r="AJ37" s="447">
        <f t="shared" si="12"/>
        <v>0</v>
      </c>
      <c r="AK37" s="650" t="e">
        <f t="shared" si="14"/>
        <v>#DIV/0!</v>
      </c>
      <c r="AL37" s="451"/>
      <c r="AM37" s="442"/>
      <c r="AN37" s="442"/>
      <c r="AO37" s="442"/>
      <c r="AP37" s="442"/>
      <c r="AQ37" s="442"/>
      <c r="AR37" s="442"/>
      <c r="AS37" s="442"/>
      <c r="AT37" s="442"/>
      <c r="AU37" s="442"/>
      <c r="AV37" s="442"/>
      <c r="AW37" s="442"/>
      <c r="AX37" s="442"/>
      <c r="AY37" s="442"/>
      <c r="AZ37" s="442"/>
      <c r="BA37" s="442"/>
      <c r="BB37" s="442"/>
      <c r="BC37" s="442"/>
      <c r="BD37" s="442"/>
      <c r="BE37" s="442"/>
      <c r="BF37" s="442"/>
      <c r="BG37" s="442"/>
      <c r="BH37" s="442"/>
      <c r="BI37" s="442"/>
    </row>
    <row r="38" spans="1:61" ht="14.5" customHeight="1" x14ac:dyDescent="0.25">
      <c r="A38" s="50" t="str">
        <f t="shared" si="8"/>
        <v>STA543</v>
      </c>
      <c r="B38" s="13" t="s">
        <v>96</v>
      </c>
      <c r="C38" s="13">
        <v>54</v>
      </c>
      <c r="D38" s="13">
        <v>3</v>
      </c>
      <c r="E38" s="3" t="s">
        <v>97</v>
      </c>
      <c r="F38" s="43" t="str">
        <f t="shared" si="15"/>
        <v>Fall</v>
      </c>
      <c r="G38" s="38">
        <f>SUMIFS('[14]inland_taf_hatchgrp_tableraw&amp;yy'!G$3:G$38,'[14]inland_taf_hatchgrp_tableraw&amp;yy'!$AC$3:$AC$38,'2021 Table 10 CWTs exp'!$A38)</f>
        <v>0</v>
      </c>
      <c r="H38" s="39">
        <f>SUMIFS('[14]inland_taf_hatchgrp_tableraw&amp;yy'!H$3:H$38,'[14]inland_taf_hatchgrp_tableraw&amp;yy'!$AC$3:$AC$38,'2021 Table 10 CWTs exp'!$A38)</f>
        <v>0</v>
      </c>
      <c r="I38" s="38">
        <f>SUMIFS('[14]inland_taf_hatchgrp_tableraw&amp;yy'!I$3:I$38,'[14]inland_taf_hatchgrp_tableraw&amp;yy'!$AC$3:$AC$38,'2021 Table 10 CWTs exp'!$A38)</f>
        <v>0</v>
      </c>
      <c r="J38" s="40">
        <f>SUMIFS('[14]inland_taf_hatchgrp_tableraw&amp;yy'!J$3:J$38,'[14]inland_taf_hatchgrp_tableraw&amp;yy'!$AC$3:$AC$38,'2021 Table 10 CWTs exp'!$A38)</f>
        <v>0</v>
      </c>
      <c r="K38" s="39">
        <f>SUMIFS('[14]inland_taf_hatchgrp_tableraw&amp;yy'!K$3:K$38,'[14]inland_taf_hatchgrp_tableraw&amp;yy'!$AC$3:$AC$38,'2021 Table 10 CWTs exp'!$A38)</f>
        <v>0</v>
      </c>
      <c r="L38" s="38">
        <f>SUMIFS('[14]inland_taf_hatchgrp_tableraw&amp;yy'!L$3:L$38,'[14]inland_taf_hatchgrp_tableraw&amp;yy'!$AC$3:$AC$38,'2021 Table 10 CWTs exp'!$A38)</f>
        <v>0</v>
      </c>
      <c r="M38" s="38">
        <f>SUMIFS('[14]inland_taf_hatchgrp_tableraw&amp;yy'!M$3:M$38,'[14]inland_taf_hatchgrp_tableraw&amp;yy'!$AC$3:$AC$38,'2021 Table 10 CWTs exp'!$A38)</f>
        <v>146</v>
      </c>
      <c r="N38" s="40">
        <f>SUMIFS('[14]inland_taf_hatchgrp_tableraw&amp;yy'!N$3:N$38,'[14]inland_taf_hatchgrp_tableraw&amp;yy'!$AC$3:$AC$38,'2021 Table 10 CWTs exp'!$A38)</f>
        <v>83</v>
      </c>
      <c r="O38" s="38">
        <f>SUMIFS('[14]inland_taf_hatchgrp_tableraw&amp;yy'!O$3:O$38,'[14]inland_taf_hatchgrp_tableraw&amp;yy'!$AC$3:$AC$38,'2021 Table 10 CWTs exp'!$A38)</f>
        <v>0</v>
      </c>
      <c r="P38" s="40">
        <f>SUMIFS('[14]inland_taf_hatchgrp_tableraw&amp;yy'!P$3:P$38,'[14]inland_taf_hatchgrp_tableraw&amp;yy'!$AC$3:$AC$38,'2021 Table 10 CWTs exp'!$A38)</f>
        <v>248</v>
      </c>
      <c r="Q38" s="38">
        <f>SUMIFS('[14]inland_taf_hatchgrp_tableraw&amp;yy'!Q$3:Q$38,'[14]inland_taf_hatchgrp_tableraw&amp;yy'!$AC$3:$AC$38,'2021 Table 10 CWTs exp'!$A38)</f>
        <v>0</v>
      </c>
      <c r="R38" s="38">
        <f>SUMIFS('[14]inland_taf_hatchgrp_tableraw&amp;yy'!R$3:R$38,'[14]inland_taf_hatchgrp_tableraw&amp;yy'!$AC$3:$AC$38,'2021 Table 10 CWTs exp'!$A38)</f>
        <v>2486</v>
      </c>
      <c r="S38" s="38">
        <f>SUMIFS('[14]inland_taf_hatchgrp_tableraw&amp;yy'!S$3:S$38,'[14]inland_taf_hatchgrp_tableraw&amp;yy'!$AC$3:$AC$38,'2021 Table 10 CWTs exp'!$A38)</f>
        <v>37</v>
      </c>
      <c r="T38" s="40">
        <f>SUMIFS('[14]inland_taf_hatchgrp_tableraw&amp;yy'!T$3:T$38,'[14]inland_taf_hatchgrp_tableraw&amp;yy'!$AC$3:$AC$38,'2021 Table 10 CWTs exp'!$A38)</f>
        <v>637</v>
      </c>
      <c r="U38" s="38">
        <f>SUMIFS('[14]inland_taf_hatchgrp_tableraw&amp;yy'!U$3:U$38,'[14]inland_taf_hatchgrp_tableraw&amp;yy'!$AC$3:$AC$38,'2021 Table 10 CWTs exp'!$A38)</f>
        <v>0</v>
      </c>
      <c r="V38" s="40">
        <f>SUMIFS('[14]inland_taf_hatchgrp_tableraw&amp;yy'!V$3:V$38,'[14]inland_taf_hatchgrp_tableraw&amp;yy'!$AC$3:$AC$38,'2021 Table 10 CWTs exp'!$A38)</f>
        <v>265</v>
      </c>
      <c r="W38" s="40">
        <f>SUMIFS('[14]inland_taf_hatchgrp_tableraw&amp;yy'!W$3:W$38,'[14]inland_taf_hatchgrp_tableraw&amp;yy'!$AC$3:$AC$38,'2021 Table 10 CWTs exp'!$A38)</f>
        <v>10</v>
      </c>
      <c r="X38" s="38">
        <f>SUMIFS('[14]inland_taf_hatchgrp_tableraw&amp;yy'!X$3:X$38,'[14]inland_taf_hatchgrp_tableraw&amp;yy'!$AC$3:$AC$38,'2021 Table 10 CWTs exp'!$A38)</f>
        <v>0</v>
      </c>
      <c r="Y38" s="41">
        <f>SUMIFS('[14]inland_taf_hatchgrp_tableraw&amp;yy'!Y$3:Y$38,'[14]inland_taf_hatchgrp_tableraw&amp;yy'!$AC$3:$AC$38,'2021 Table 10 CWTs exp'!$A38)</f>
        <v>3912</v>
      </c>
      <c r="Z38" s="42">
        <f>SUMIFS('[14]inland_taf_hatchgrp_tableraw&amp;yy'!Z$3:Z$38,'[14]inland_taf_hatchgrp_tableraw&amp;yy'!$AC$3:$AC$38,'2021 Table 10 CWTs exp'!$A38)</f>
        <v>402</v>
      </c>
      <c r="AA38" s="38">
        <f>SUMIFS('[14]inland_taf_hatchgrp_tableraw&amp;yy'!AA$3:AA$38,'[14]inland_taf_hatchgrp_tableraw&amp;yy'!$AC$3:$AC$38,'2021 Table 10 CWTs exp'!$A38)</f>
        <v>4314</v>
      </c>
      <c r="AB38" s="636"/>
      <c r="AC38" s="636"/>
      <c r="AD38" s="567">
        <f>SUMIFS('[14]inland_taf_hatchgrp_tableraw&amp;yy'!AB$3:AB$38,'[14]inland_taf_hatchgrp_tableraw&amp;yy'!$AC$3:$AC$38,'2021 Table 10 CWTs exp'!$A38)</f>
        <v>0.90700000000000003</v>
      </c>
      <c r="AE38" s="604" t="str">
        <f t="shared" si="9"/>
        <v>STA543</v>
      </c>
      <c r="AF38" s="442"/>
      <c r="AG38" s="622">
        <f t="shared" si="10"/>
        <v>0.90681502086230881</v>
      </c>
      <c r="AH38" s="652">
        <f t="shared" si="11"/>
        <v>9.3184979137691235E-2</v>
      </c>
      <c r="AI38" s="605">
        <f t="shared" si="13"/>
        <v>9.2999999999999972E-2</v>
      </c>
      <c r="AJ38" s="447">
        <f t="shared" si="12"/>
        <v>402</v>
      </c>
      <c r="AK38" s="650">
        <f t="shared" si="14"/>
        <v>9.3184979137691235E-2</v>
      </c>
      <c r="AL38" s="451"/>
      <c r="AM38" s="442"/>
      <c r="AN38" s="442"/>
      <c r="AO38" s="442"/>
      <c r="AP38" s="442"/>
      <c r="AQ38" s="442"/>
      <c r="AR38" s="442"/>
      <c r="AS38" s="442"/>
      <c r="AT38" s="442"/>
      <c r="AU38" s="442"/>
      <c r="AV38" s="442"/>
      <c r="AW38" s="442"/>
      <c r="AX38" s="442"/>
      <c r="AY38" s="442"/>
      <c r="AZ38" s="442"/>
      <c r="BA38" s="442"/>
      <c r="BB38" s="442"/>
      <c r="BC38" s="442"/>
      <c r="BD38" s="442"/>
      <c r="BE38" s="442"/>
      <c r="BF38" s="442"/>
      <c r="BG38" s="442"/>
      <c r="BH38" s="442"/>
      <c r="BI38" s="442"/>
    </row>
    <row r="39" spans="1:61" ht="14.5" customHeight="1" x14ac:dyDescent="0.25">
      <c r="A39" s="50" t="str">
        <f t="shared" si="8"/>
        <v>TUO543</v>
      </c>
      <c r="B39" s="13" t="s">
        <v>98</v>
      </c>
      <c r="C39" s="13">
        <v>54</v>
      </c>
      <c r="D39" s="13">
        <v>3</v>
      </c>
      <c r="E39" s="3" t="s">
        <v>99</v>
      </c>
      <c r="F39" s="43" t="str">
        <f t="shared" si="15"/>
        <v>Fall</v>
      </c>
      <c r="G39" s="38">
        <f>SUMIFS('[14]inland_taf_hatchgrp_tableraw&amp;yy'!G$3:G$38,'[14]inland_taf_hatchgrp_tableraw&amp;yy'!$AC$3:$AC$38,'2021 Table 10 CWTs exp'!$A39)</f>
        <v>0</v>
      </c>
      <c r="H39" s="39">
        <f>SUMIFS('[14]inland_taf_hatchgrp_tableraw&amp;yy'!H$3:H$38,'[14]inland_taf_hatchgrp_tableraw&amp;yy'!$AC$3:$AC$38,'2021 Table 10 CWTs exp'!$A39)</f>
        <v>0</v>
      </c>
      <c r="I39" s="38">
        <f>SUMIFS('[14]inland_taf_hatchgrp_tableraw&amp;yy'!I$3:I$38,'[14]inland_taf_hatchgrp_tableraw&amp;yy'!$AC$3:$AC$38,'2021 Table 10 CWTs exp'!$A39)</f>
        <v>0</v>
      </c>
      <c r="J39" s="40">
        <f>SUMIFS('[14]inland_taf_hatchgrp_tableraw&amp;yy'!J$3:J$38,'[14]inland_taf_hatchgrp_tableraw&amp;yy'!$AC$3:$AC$38,'2021 Table 10 CWTs exp'!$A39)</f>
        <v>0</v>
      </c>
      <c r="K39" s="39">
        <f>SUMIFS('[14]inland_taf_hatchgrp_tableraw&amp;yy'!K$3:K$38,'[14]inland_taf_hatchgrp_tableraw&amp;yy'!$AC$3:$AC$38,'2021 Table 10 CWTs exp'!$A39)</f>
        <v>0</v>
      </c>
      <c r="L39" s="38">
        <f>SUMIFS('[14]inland_taf_hatchgrp_tableraw&amp;yy'!L$3:L$38,'[14]inland_taf_hatchgrp_tableraw&amp;yy'!$AC$3:$AC$38,'2021 Table 10 CWTs exp'!$A39)</f>
        <v>0</v>
      </c>
      <c r="M39" s="38">
        <f>SUMIFS('[14]inland_taf_hatchgrp_tableraw&amp;yy'!M$3:M$38,'[14]inland_taf_hatchgrp_tableraw&amp;yy'!$AC$3:$AC$38,'2021 Table 10 CWTs exp'!$A39)</f>
        <v>0</v>
      </c>
      <c r="N39" s="40">
        <f>SUMIFS('[14]inland_taf_hatchgrp_tableraw&amp;yy'!N$3:N$38,'[14]inland_taf_hatchgrp_tableraw&amp;yy'!$AC$3:$AC$38,'2021 Table 10 CWTs exp'!$A39)</f>
        <v>0</v>
      </c>
      <c r="O39" s="38">
        <f>SUMIFS('[14]inland_taf_hatchgrp_tableraw&amp;yy'!O$3:O$38,'[14]inland_taf_hatchgrp_tableraw&amp;yy'!$AC$3:$AC$38,'2021 Table 10 CWTs exp'!$A39)</f>
        <v>0</v>
      </c>
      <c r="P39" s="40">
        <f>SUMIFS('[14]inland_taf_hatchgrp_tableraw&amp;yy'!P$3:P$38,'[14]inland_taf_hatchgrp_tableraw&amp;yy'!$AC$3:$AC$38,'2021 Table 10 CWTs exp'!$A39)</f>
        <v>0</v>
      </c>
      <c r="Q39" s="38">
        <f>SUMIFS('[14]inland_taf_hatchgrp_tableraw&amp;yy'!Q$3:Q$38,'[14]inland_taf_hatchgrp_tableraw&amp;yy'!$AC$3:$AC$38,'2021 Table 10 CWTs exp'!$A39)</f>
        <v>0</v>
      </c>
      <c r="R39" s="38">
        <f>SUMIFS('[14]inland_taf_hatchgrp_tableraw&amp;yy'!R$3:R$38,'[14]inland_taf_hatchgrp_tableraw&amp;yy'!$AC$3:$AC$38,'2021 Table 10 CWTs exp'!$A39)</f>
        <v>55</v>
      </c>
      <c r="S39" s="38">
        <f>SUMIFS('[14]inland_taf_hatchgrp_tableraw&amp;yy'!S$3:S$38,'[14]inland_taf_hatchgrp_tableraw&amp;yy'!$AC$3:$AC$38,'2021 Table 10 CWTs exp'!$A39)</f>
        <v>0</v>
      </c>
      <c r="T39" s="40">
        <f>SUMIFS('[14]inland_taf_hatchgrp_tableraw&amp;yy'!T$3:T$38,'[14]inland_taf_hatchgrp_tableraw&amp;yy'!$AC$3:$AC$38,'2021 Table 10 CWTs exp'!$A39)</f>
        <v>0</v>
      </c>
      <c r="U39" s="38">
        <f>SUMIFS('[14]inland_taf_hatchgrp_tableraw&amp;yy'!U$3:U$38,'[14]inland_taf_hatchgrp_tableraw&amp;yy'!$AC$3:$AC$38,'2021 Table 10 CWTs exp'!$A39)</f>
        <v>0</v>
      </c>
      <c r="V39" s="40">
        <f>SUMIFS('[14]inland_taf_hatchgrp_tableraw&amp;yy'!V$3:V$38,'[14]inland_taf_hatchgrp_tableraw&amp;yy'!$AC$3:$AC$38,'2021 Table 10 CWTs exp'!$A39)</f>
        <v>19</v>
      </c>
      <c r="W39" s="40">
        <f>SUMIFS('[14]inland_taf_hatchgrp_tableraw&amp;yy'!W$3:W$38,'[14]inland_taf_hatchgrp_tableraw&amp;yy'!$AC$3:$AC$38,'2021 Table 10 CWTs exp'!$A39)</f>
        <v>84</v>
      </c>
      <c r="X39" s="38">
        <f>SUMIFS('[14]inland_taf_hatchgrp_tableraw&amp;yy'!X$3:X$38,'[14]inland_taf_hatchgrp_tableraw&amp;yy'!$AC$3:$AC$38,'2021 Table 10 CWTs exp'!$A39)</f>
        <v>0</v>
      </c>
      <c r="Y39" s="41">
        <f>SUMIFS('[14]inland_taf_hatchgrp_tableraw&amp;yy'!Y$3:Y$38,'[14]inland_taf_hatchgrp_tableraw&amp;yy'!$AC$3:$AC$38,'2021 Table 10 CWTs exp'!$A39)</f>
        <v>158</v>
      </c>
      <c r="Z39" s="42">
        <f>SUMIFS('[14]inland_taf_hatchgrp_tableraw&amp;yy'!Z$3:Z$38,'[14]inland_taf_hatchgrp_tableraw&amp;yy'!$AC$3:$AC$38,'2021 Table 10 CWTs exp'!$A39)</f>
        <v>30</v>
      </c>
      <c r="AA39" s="38">
        <f>SUMIFS('[14]inland_taf_hatchgrp_tableraw&amp;yy'!AA$3:AA$38,'[14]inland_taf_hatchgrp_tableraw&amp;yy'!$AC$3:$AC$38,'2021 Table 10 CWTs exp'!$A39)</f>
        <v>188</v>
      </c>
      <c r="AB39" s="636"/>
      <c r="AC39" s="636"/>
      <c r="AD39" s="567">
        <f>SUMIFS('[14]inland_taf_hatchgrp_tableraw&amp;yy'!AB$3:AB$38,'[14]inland_taf_hatchgrp_tableraw&amp;yy'!$AC$3:$AC$38,'2021 Table 10 CWTs exp'!$A39)</f>
        <v>0.84</v>
      </c>
      <c r="AE39" s="604" t="str">
        <f t="shared" si="9"/>
        <v>TUO543</v>
      </c>
      <c r="AF39" s="442"/>
      <c r="AG39" s="622">
        <f>Y39/AA39</f>
        <v>0.84042553191489366</v>
      </c>
      <c r="AH39" s="652">
        <f t="shared" si="11"/>
        <v>0.15957446808510639</v>
      </c>
      <c r="AI39" s="605">
        <f t="shared" si="13"/>
        <v>0.16000000000000003</v>
      </c>
      <c r="AJ39" s="447">
        <f t="shared" si="12"/>
        <v>30</v>
      </c>
      <c r="AK39" s="650">
        <f t="shared" si="14"/>
        <v>0.15957446808510639</v>
      </c>
      <c r="AL39" s="451"/>
      <c r="AM39" s="442"/>
      <c r="AN39" s="442"/>
      <c r="AO39" s="442"/>
      <c r="AP39" s="442"/>
      <c r="AQ39" s="442"/>
      <c r="AR39" s="442"/>
      <c r="AS39" s="442"/>
      <c r="AT39" s="442"/>
      <c r="AU39" s="442"/>
      <c r="AV39" s="442"/>
      <c r="AW39" s="442"/>
      <c r="AX39" s="442"/>
      <c r="AY39" s="442"/>
      <c r="AZ39" s="442"/>
      <c r="BA39" s="442"/>
      <c r="BB39" s="442"/>
      <c r="BC39" s="442"/>
      <c r="BD39" s="442"/>
      <c r="BE39" s="442"/>
      <c r="BF39" s="442"/>
      <c r="BG39" s="442"/>
      <c r="BH39" s="442"/>
      <c r="BI39" s="442"/>
    </row>
    <row r="40" spans="1:61" ht="14.5" customHeight="1" x14ac:dyDescent="0.25">
      <c r="A40" s="50" t="str">
        <f t="shared" si="8"/>
        <v>MER543</v>
      </c>
      <c r="B40" s="13" t="s">
        <v>5</v>
      </c>
      <c r="C40" s="13">
        <v>54</v>
      </c>
      <c r="D40" s="13">
        <v>3</v>
      </c>
      <c r="E40" s="3" t="s">
        <v>100</v>
      </c>
      <c r="F40" s="43" t="str">
        <f t="shared" si="15"/>
        <v>Fall</v>
      </c>
      <c r="G40" s="38">
        <f>SUMIFS('[14]inland_taf_hatchgrp_tableraw&amp;yy'!G$3:G$38,'[14]inland_taf_hatchgrp_tableraw&amp;yy'!$AC$3:$AC$38,'2021 Table 10 CWTs exp'!$A40)</f>
        <v>0</v>
      </c>
      <c r="H40" s="39">
        <f>SUMIFS('[14]inland_taf_hatchgrp_tableraw&amp;yy'!H$3:H$38,'[14]inland_taf_hatchgrp_tableraw&amp;yy'!$AC$3:$AC$38,'2021 Table 10 CWTs exp'!$A40)</f>
        <v>0</v>
      </c>
      <c r="I40" s="38">
        <f>SUMIFS('[14]inland_taf_hatchgrp_tableraw&amp;yy'!I$3:I$38,'[14]inland_taf_hatchgrp_tableraw&amp;yy'!$AC$3:$AC$38,'2021 Table 10 CWTs exp'!$A40)</f>
        <v>0</v>
      </c>
      <c r="J40" s="40">
        <f>SUMIFS('[14]inland_taf_hatchgrp_tableraw&amp;yy'!J$3:J$38,'[14]inland_taf_hatchgrp_tableraw&amp;yy'!$AC$3:$AC$38,'2021 Table 10 CWTs exp'!$A40)</f>
        <v>0</v>
      </c>
      <c r="K40" s="39">
        <f>SUMIFS('[14]inland_taf_hatchgrp_tableraw&amp;yy'!K$3:K$38,'[14]inland_taf_hatchgrp_tableraw&amp;yy'!$AC$3:$AC$38,'2021 Table 10 CWTs exp'!$A40)</f>
        <v>0</v>
      </c>
      <c r="L40" s="38">
        <f>SUMIFS('[14]inland_taf_hatchgrp_tableraw&amp;yy'!L$3:L$38,'[14]inland_taf_hatchgrp_tableraw&amp;yy'!$AC$3:$AC$38,'2021 Table 10 CWTs exp'!$A40)</f>
        <v>0</v>
      </c>
      <c r="M40" s="38">
        <f>SUMIFS('[14]inland_taf_hatchgrp_tableraw&amp;yy'!M$3:M$38,'[14]inland_taf_hatchgrp_tableraw&amp;yy'!$AC$3:$AC$38,'2021 Table 10 CWTs exp'!$A40)</f>
        <v>0</v>
      </c>
      <c r="N40" s="40">
        <f>SUMIFS('[14]inland_taf_hatchgrp_tableraw&amp;yy'!N$3:N$38,'[14]inland_taf_hatchgrp_tableraw&amp;yy'!$AC$3:$AC$38,'2021 Table 10 CWTs exp'!$A40)</f>
        <v>0</v>
      </c>
      <c r="O40" s="38">
        <f>SUMIFS('[14]inland_taf_hatchgrp_tableraw&amp;yy'!O$3:O$38,'[14]inland_taf_hatchgrp_tableraw&amp;yy'!$AC$3:$AC$38,'2021 Table 10 CWTs exp'!$A40)</f>
        <v>0</v>
      </c>
      <c r="P40" s="40">
        <f>SUMIFS('[14]inland_taf_hatchgrp_tableraw&amp;yy'!P$3:P$38,'[14]inland_taf_hatchgrp_tableraw&amp;yy'!$AC$3:$AC$38,'2021 Table 10 CWTs exp'!$A40)</f>
        <v>52</v>
      </c>
      <c r="Q40" s="38">
        <f>SUMIFS('[14]inland_taf_hatchgrp_tableraw&amp;yy'!Q$3:Q$38,'[14]inland_taf_hatchgrp_tableraw&amp;yy'!$AC$3:$AC$38,'2021 Table 10 CWTs exp'!$A40)</f>
        <v>0</v>
      </c>
      <c r="R40" s="38">
        <f>SUMIFS('[14]inland_taf_hatchgrp_tableraw&amp;yy'!R$3:R$38,'[14]inland_taf_hatchgrp_tableraw&amp;yy'!$AC$3:$AC$38,'2021 Table 10 CWTs exp'!$A40)</f>
        <v>183</v>
      </c>
      <c r="S40" s="38">
        <f>SUMIFS('[14]inland_taf_hatchgrp_tableraw&amp;yy'!S$3:S$38,'[14]inland_taf_hatchgrp_tableraw&amp;yy'!$AC$3:$AC$38,'2021 Table 10 CWTs exp'!$A40)</f>
        <v>0</v>
      </c>
      <c r="T40" s="40">
        <f>SUMIFS('[14]inland_taf_hatchgrp_tableraw&amp;yy'!T$3:T$38,'[14]inland_taf_hatchgrp_tableraw&amp;yy'!$AC$3:$AC$38,'2021 Table 10 CWTs exp'!$A40)</f>
        <v>26</v>
      </c>
      <c r="U40" s="38">
        <f>SUMIFS('[14]inland_taf_hatchgrp_tableraw&amp;yy'!U$3:U$38,'[14]inland_taf_hatchgrp_tableraw&amp;yy'!$AC$3:$AC$38,'2021 Table 10 CWTs exp'!$A40)</f>
        <v>34</v>
      </c>
      <c r="V40" s="40">
        <f>SUMIFS('[14]inland_taf_hatchgrp_tableraw&amp;yy'!V$3:V$38,'[14]inland_taf_hatchgrp_tableraw&amp;yy'!$AC$3:$AC$38,'2021 Table 10 CWTs exp'!$A40)</f>
        <v>26</v>
      </c>
      <c r="W40" s="40">
        <f>SUMIFS('[14]inland_taf_hatchgrp_tableraw&amp;yy'!W$3:W$38,'[14]inland_taf_hatchgrp_tableraw&amp;yy'!$AC$3:$AC$38,'2021 Table 10 CWTs exp'!$A40)</f>
        <v>0</v>
      </c>
      <c r="X40" s="38">
        <f>SUMIFS('[14]inland_taf_hatchgrp_tableraw&amp;yy'!X$3:X$38,'[14]inland_taf_hatchgrp_tableraw&amp;yy'!$AC$3:$AC$38,'2021 Table 10 CWTs exp'!$A40)</f>
        <v>0</v>
      </c>
      <c r="Y40" s="41">
        <f>SUMIFS('[14]inland_taf_hatchgrp_tableraw&amp;yy'!Y$3:Y$38,'[14]inland_taf_hatchgrp_tableraw&amp;yy'!$AC$3:$AC$38,'2021 Table 10 CWTs exp'!$A40)</f>
        <v>321</v>
      </c>
      <c r="Z40" s="42">
        <f>SUMIFS('[14]inland_taf_hatchgrp_tableraw&amp;yy'!Z$3:Z$38,'[14]inland_taf_hatchgrp_tableraw&amp;yy'!$AC$3:$AC$38,'2021 Table 10 CWTs exp'!$A40)</f>
        <v>149</v>
      </c>
      <c r="AA40" s="38">
        <f>SUMIFS('[14]inland_taf_hatchgrp_tableraw&amp;yy'!AA$3:AA$38,'[14]inland_taf_hatchgrp_tableraw&amp;yy'!$AC$3:$AC$38,'2021 Table 10 CWTs exp'!$A40)</f>
        <v>470</v>
      </c>
      <c r="AB40" s="636"/>
      <c r="AC40" s="636"/>
      <c r="AD40" s="567">
        <f>SUMIFS('[14]inland_taf_hatchgrp_tableraw&amp;yy'!AB$3:AB$38,'[14]inland_taf_hatchgrp_tableraw&amp;yy'!$AC$3:$AC$38,'2021 Table 10 CWTs exp'!$A40)</f>
        <v>0.68300000000000005</v>
      </c>
      <c r="AE40" s="604" t="str">
        <f t="shared" si="9"/>
        <v>MER543</v>
      </c>
      <c r="AF40" s="442"/>
      <c r="AG40" s="622">
        <f t="shared" si="10"/>
        <v>0.68297872340425536</v>
      </c>
      <c r="AH40" s="652">
        <f>Z40/AA40</f>
        <v>0.31702127659574469</v>
      </c>
      <c r="AI40" s="605">
        <f t="shared" si="13"/>
        <v>0.31699999999999995</v>
      </c>
      <c r="AJ40" s="447">
        <f>Z40</f>
        <v>149</v>
      </c>
      <c r="AK40" s="650">
        <f t="shared" si="14"/>
        <v>0.31702127659574469</v>
      </c>
      <c r="AL40" s="451"/>
      <c r="AM40" s="442"/>
      <c r="AN40" s="442"/>
      <c r="AO40" s="442"/>
      <c r="AP40" s="442"/>
      <c r="AQ40" s="442"/>
      <c r="AR40" s="442"/>
      <c r="AS40" s="442"/>
      <c r="AT40" s="442"/>
      <c r="AU40" s="442"/>
      <c r="AV40" s="442"/>
      <c r="AW40" s="442"/>
      <c r="AX40" s="442"/>
      <c r="AY40" s="442"/>
      <c r="AZ40" s="442"/>
      <c r="BA40" s="442"/>
      <c r="BB40" s="442"/>
      <c r="BC40" s="442"/>
      <c r="BD40" s="442"/>
      <c r="BE40" s="442"/>
      <c r="BF40" s="442"/>
      <c r="BG40" s="442"/>
      <c r="BH40" s="442"/>
      <c r="BI40" s="442"/>
    </row>
    <row r="41" spans="1:61" ht="14.5" customHeight="1" x14ac:dyDescent="0.25">
      <c r="A41" s="50" t="str">
        <f t="shared" si="8"/>
        <v>USAC547</v>
      </c>
      <c r="B41" s="13" t="s">
        <v>64</v>
      </c>
      <c r="C41" s="13">
        <v>54</v>
      </c>
      <c r="D41" s="13">
        <v>7</v>
      </c>
      <c r="E41" s="3" t="s">
        <v>65</v>
      </c>
      <c r="F41" s="37" t="s">
        <v>57</v>
      </c>
      <c r="G41" s="38">
        <f>SUMIFS('[14]inland_taf_hatchgrp_tableraw&amp;yy'!G$3:G$38,'[14]inland_taf_hatchgrp_tableraw&amp;yy'!$AC$3:$AC$38,'2021 Table 10 CWTs exp'!$A41)</f>
        <v>120</v>
      </c>
      <c r="H41" s="39">
        <f>SUMIFS('[14]inland_taf_hatchgrp_tableraw&amp;yy'!H$3:H$38,'[14]inland_taf_hatchgrp_tableraw&amp;yy'!$AC$3:$AC$38,'2021 Table 10 CWTs exp'!$A41)</f>
        <v>61</v>
      </c>
      <c r="I41" s="38">
        <f>SUMIFS('[14]inland_taf_hatchgrp_tableraw&amp;yy'!I$3:I$38,'[14]inland_taf_hatchgrp_tableraw&amp;yy'!$AC$3:$AC$38,'2021 Table 10 CWTs exp'!$A41)</f>
        <v>0</v>
      </c>
      <c r="J41" s="40">
        <f>SUMIFS('[14]inland_taf_hatchgrp_tableraw&amp;yy'!J$3:J$38,'[14]inland_taf_hatchgrp_tableraw&amp;yy'!$AC$3:$AC$38,'2021 Table 10 CWTs exp'!$A41)</f>
        <v>0</v>
      </c>
      <c r="K41" s="39">
        <f>SUMIFS('[14]inland_taf_hatchgrp_tableraw&amp;yy'!K$3:K$38,'[14]inland_taf_hatchgrp_tableraw&amp;yy'!$AC$3:$AC$38,'2021 Table 10 CWTs exp'!$A41)</f>
        <v>0</v>
      </c>
      <c r="L41" s="38">
        <f>SUMIFS('[14]inland_taf_hatchgrp_tableraw&amp;yy'!L$3:L$38,'[14]inland_taf_hatchgrp_tableraw&amp;yy'!$AC$3:$AC$38,'2021 Table 10 CWTs exp'!$A41)</f>
        <v>0</v>
      </c>
      <c r="M41" s="38">
        <f>SUMIFS('[14]inland_taf_hatchgrp_tableraw&amp;yy'!M$3:M$38,'[14]inland_taf_hatchgrp_tableraw&amp;yy'!$AC$3:$AC$38,'2021 Table 10 CWTs exp'!$A41)</f>
        <v>0</v>
      </c>
      <c r="N41" s="40">
        <f>SUMIFS('[14]inland_taf_hatchgrp_tableraw&amp;yy'!N$3:N$38,'[14]inland_taf_hatchgrp_tableraw&amp;yy'!$AC$3:$AC$38,'2021 Table 10 CWTs exp'!$A41)</f>
        <v>0</v>
      </c>
      <c r="O41" s="38">
        <f>SUMIFS('[14]inland_taf_hatchgrp_tableraw&amp;yy'!O$3:O$38,'[14]inland_taf_hatchgrp_tableraw&amp;yy'!$AC$3:$AC$38,'2021 Table 10 CWTs exp'!$A41)</f>
        <v>0</v>
      </c>
      <c r="P41" s="40">
        <f>SUMIFS('[14]inland_taf_hatchgrp_tableraw&amp;yy'!P$3:P$38,'[14]inland_taf_hatchgrp_tableraw&amp;yy'!$AC$3:$AC$38,'2021 Table 10 CWTs exp'!$A41)</f>
        <v>0</v>
      </c>
      <c r="Q41" s="38">
        <f>SUMIFS('[14]inland_taf_hatchgrp_tableraw&amp;yy'!Q$3:Q$38,'[14]inland_taf_hatchgrp_tableraw&amp;yy'!$AC$3:$AC$38,'2021 Table 10 CWTs exp'!$A41)</f>
        <v>0</v>
      </c>
      <c r="R41" s="38">
        <f>SUMIFS('[14]inland_taf_hatchgrp_tableraw&amp;yy'!R$3:R$38,'[14]inland_taf_hatchgrp_tableraw&amp;yy'!$AC$3:$AC$38,'2021 Table 10 CWTs exp'!$A41)</f>
        <v>0</v>
      </c>
      <c r="S41" s="38">
        <f>SUMIFS('[14]inland_taf_hatchgrp_tableraw&amp;yy'!S$3:S$38,'[14]inland_taf_hatchgrp_tableraw&amp;yy'!$AC$3:$AC$38,'2021 Table 10 CWTs exp'!$A41)</f>
        <v>60</v>
      </c>
      <c r="T41" s="40">
        <f>SUMIFS('[14]inland_taf_hatchgrp_tableraw&amp;yy'!T$3:T$38,'[14]inland_taf_hatchgrp_tableraw&amp;yy'!$AC$3:$AC$38,'2021 Table 10 CWTs exp'!$A41)</f>
        <v>0</v>
      </c>
      <c r="U41" s="38">
        <f>SUMIFS('[14]inland_taf_hatchgrp_tableraw&amp;yy'!U$3:U$38,'[14]inland_taf_hatchgrp_tableraw&amp;yy'!$AC$3:$AC$38,'2021 Table 10 CWTs exp'!$A41)</f>
        <v>0</v>
      </c>
      <c r="V41" s="40">
        <f>SUMIFS('[14]inland_taf_hatchgrp_tableraw&amp;yy'!V$3:V$38,'[14]inland_taf_hatchgrp_tableraw&amp;yy'!$AC$3:$AC$38,'2021 Table 10 CWTs exp'!$A41)</f>
        <v>0</v>
      </c>
      <c r="W41" s="40">
        <f>SUMIFS('[14]inland_taf_hatchgrp_tableraw&amp;yy'!W$3:W$38,'[14]inland_taf_hatchgrp_tableraw&amp;yy'!$AC$3:$AC$38,'2021 Table 10 CWTs exp'!$A41)</f>
        <v>0</v>
      </c>
      <c r="X41" s="38">
        <f>SUMIFS('[14]inland_taf_hatchgrp_tableraw&amp;yy'!X$3:X$38,'[14]inland_taf_hatchgrp_tableraw&amp;yy'!$AC$3:$AC$38,'2021 Table 10 CWTs exp'!$A41)</f>
        <v>0</v>
      </c>
      <c r="Y41" s="41">
        <f>SUMIFS('[14]inland_taf_hatchgrp_tableraw&amp;yy'!Y$3:Y$38,'[14]inland_taf_hatchgrp_tableraw&amp;yy'!$AC$3:$AC$38,'2021 Table 10 CWTs exp'!$A41)</f>
        <v>241</v>
      </c>
      <c r="Z41" s="42">
        <f>SUMIFS('[14]inland_taf_hatchgrp_tableraw&amp;yy'!Z$3:Z$38,'[14]inland_taf_hatchgrp_tableraw&amp;yy'!$AC$3:$AC$38,'2021 Table 10 CWTs exp'!$A41)</f>
        <v>4493</v>
      </c>
      <c r="AA41" s="38">
        <f>SUMIFS('[14]inland_taf_hatchgrp_tableraw&amp;yy'!AA$3:AA$38,'[14]inland_taf_hatchgrp_tableraw&amp;yy'!$AC$3:$AC$38,'2021 Table 10 CWTs exp'!$A41)</f>
        <v>4734</v>
      </c>
      <c r="AB41" s="636"/>
      <c r="AC41" s="636"/>
      <c r="AD41" s="567">
        <f>Y41/AA41</f>
        <v>5.0908322771440639E-2</v>
      </c>
      <c r="AE41" s="604" t="str">
        <f t="shared" si="9"/>
        <v>USAC547</v>
      </c>
      <c r="AF41" s="444"/>
      <c r="AG41" s="622">
        <f t="shared" si="10"/>
        <v>5.0908322771440639E-2</v>
      </c>
      <c r="AH41" s="606"/>
      <c r="AI41" s="592">
        <f>AVERAGE(AI23:AI40)</f>
        <v>0.63759862042183135</v>
      </c>
      <c r="AJ41" s="447">
        <f>SUM(AJ23:AJ40)</f>
        <v>25902</v>
      </c>
      <c r="AK41" s="650">
        <f>AJ41/AA42</f>
        <v>0.31016644713207997</v>
      </c>
      <c r="AL41" s="451"/>
      <c r="AM41" s="442"/>
      <c r="AN41" s="442"/>
      <c r="AO41" s="442"/>
      <c r="AP41" s="442"/>
      <c r="AQ41" s="442"/>
      <c r="AR41" s="442"/>
      <c r="AS41" s="442"/>
      <c r="AT41" s="442"/>
      <c r="AU41" s="442"/>
      <c r="AV41" s="442"/>
      <c r="AW41" s="442"/>
      <c r="AX41" s="442"/>
      <c r="AY41" s="442"/>
      <c r="AZ41" s="442"/>
      <c r="BA41" s="442"/>
      <c r="BB41" s="442"/>
      <c r="BC41" s="442"/>
      <c r="BD41" s="442"/>
      <c r="BE41" s="442"/>
      <c r="BF41" s="442"/>
      <c r="BG41" s="442"/>
      <c r="BH41" s="442"/>
      <c r="BI41" s="442"/>
    </row>
    <row r="42" spans="1:61" ht="14.15" customHeight="1" x14ac:dyDescent="0.25">
      <c r="A42" s="50"/>
      <c r="B42" s="13"/>
      <c r="C42" s="13"/>
      <c r="D42" s="13"/>
      <c r="E42" s="743" t="s">
        <v>101</v>
      </c>
      <c r="F42" s="743"/>
      <c r="G42" s="63">
        <f t="shared" ref="G42:Y42" si="16">SUM(G23:G40)</f>
        <v>0</v>
      </c>
      <c r="H42" s="80">
        <f t="shared" si="16"/>
        <v>1</v>
      </c>
      <c r="I42" s="63">
        <f t="shared" si="16"/>
        <v>25757</v>
      </c>
      <c r="J42" s="81">
        <f t="shared" si="16"/>
        <v>0</v>
      </c>
      <c r="K42" s="80">
        <f t="shared" si="16"/>
        <v>5147</v>
      </c>
      <c r="L42" s="63">
        <f t="shared" si="16"/>
        <v>8</v>
      </c>
      <c r="M42" s="63">
        <f t="shared" si="16"/>
        <v>8673</v>
      </c>
      <c r="N42" s="81">
        <f t="shared" si="16"/>
        <v>1259</v>
      </c>
      <c r="O42" s="63">
        <f t="shared" si="16"/>
        <v>2490</v>
      </c>
      <c r="P42" s="81">
        <f t="shared" si="16"/>
        <v>5115</v>
      </c>
      <c r="Q42" s="63">
        <f t="shared" si="16"/>
        <v>8</v>
      </c>
      <c r="R42" s="63">
        <f t="shared" si="16"/>
        <v>5580</v>
      </c>
      <c r="S42" s="63">
        <f t="shared" si="16"/>
        <v>290</v>
      </c>
      <c r="T42" s="81">
        <f t="shared" si="16"/>
        <v>1961</v>
      </c>
      <c r="U42" s="63">
        <f t="shared" si="16"/>
        <v>34</v>
      </c>
      <c r="V42" s="81">
        <f t="shared" si="16"/>
        <v>1102</v>
      </c>
      <c r="W42" s="81">
        <f t="shared" si="16"/>
        <v>183</v>
      </c>
      <c r="X42" s="63">
        <f>SUM(X23:X40)</f>
        <v>0</v>
      </c>
      <c r="Y42" s="61">
        <f t="shared" si="16"/>
        <v>57608</v>
      </c>
      <c r="Z42" s="62">
        <f>SUM(Z23:Z40)</f>
        <v>25902</v>
      </c>
      <c r="AA42" s="63">
        <f>SUM(AA23:AA40)</f>
        <v>83510</v>
      </c>
      <c r="AB42" s="630"/>
      <c r="AC42" s="630"/>
      <c r="AD42" s="445">
        <f>Y42/(Y42+Z42)</f>
        <v>0.68983355286792003</v>
      </c>
      <c r="AE42" s="445"/>
      <c r="AF42" s="607"/>
      <c r="AG42" s="608"/>
      <c r="AH42" s="608"/>
      <c r="AI42" s="606">
        <f>AA42-AA25</f>
        <v>66057</v>
      </c>
      <c r="AJ42" s="447">
        <f>AJ41-AJ25</f>
        <v>24021</v>
      </c>
      <c r="AK42" s="650">
        <f>AJ42/AI42</f>
        <v>0.36364049230210271</v>
      </c>
      <c r="AL42" s="443" t="s">
        <v>102</v>
      </c>
      <c r="AM42" s="442"/>
      <c r="AN42" s="442"/>
      <c r="AO42" s="442"/>
      <c r="AP42" s="442"/>
      <c r="AQ42" s="442"/>
      <c r="AR42" s="442"/>
      <c r="AS42" s="442"/>
      <c r="AT42" s="442"/>
      <c r="AU42" s="442"/>
      <c r="AV42" s="442"/>
      <c r="AW42" s="442"/>
      <c r="AX42" s="442"/>
      <c r="AY42" s="442"/>
      <c r="AZ42" s="442"/>
      <c r="BA42" s="442"/>
      <c r="BB42" s="442"/>
      <c r="BC42" s="442"/>
      <c r="BD42" s="442"/>
      <c r="BE42" s="442"/>
      <c r="BF42" s="442"/>
      <c r="BG42" s="442"/>
      <c r="BH42" s="442"/>
      <c r="BI42" s="442"/>
    </row>
    <row r="43" spans="1:61" ht="3.75" customHeight="1" x14ac:dyDescent="0.3">
      <c r="A43" s="50"/>
      <c r="B43" s="13"/>
      <c r="C43" s="13"/>
      <c r="D43" s="13"/>
      <c r="E43" s="83"/>
      <c r="G43" s="44"/>
      <c r="H43" s="45"/>
      <c r="I43" s="44"/>
      <c r="J43" s="46"/>
      <c r="K43" s="45"/>
      <c r="L43" s="44"/>
      <c r="M43" s="44"/>
      <c r="N43" s="46"/>
      <c r="O43" s="44"/>
      <c r="P43" s="46"/>
      <c r="Q43" s="44"/>
      <c r="R43" s="44"/>
      <c r="S43" s="44"/>
      <c r="T43" s="46"/>
      <c r="U43" s="44"/>
      <c r="V43" s="46"/>
      <c r="W43" s="46"/>
      <c r="X43" s="44"/>
      <c r="Y43" s="84"/>
      <c r="Z43" s="85"/>
      <c r="AA43" s="44"/>
      <c r="AB43" s="630"/>
      <c r="AC43" s="630"/>
      <c r="AD43" s="445"/>
      <c r="AE43" s="445"/>
      <c r="AF43" s="607"/>
      <c r="AG43" s="608"/>
      <c r="AH43" s="608"/>
      <c r="AI43" s="606"/>
      <c r="AJ43" s="447"/>
      <c r="AK43" s="650"/>
      <c r="AL43" s="451"/>
      <c r="AM43" s="442"/>
      <c r="AN43" s="442"/>
      <c r="AO43" s="442"/>
      <c r="AP43" s="442"/>
      <c r="AQ43" s="442"/>
      <c r="AR43" s="442"/>
      <c r="AS43" s="442"/>
      <c r="AT43" s="442"/>
      <c r="AU43" s="442"/>
      <c r="AV43" s="442"/>
      <c r="AW43" s="442"/>
      <c r="AX43" s="442"/>
      <c r="AY43" s="442"/>
      <c r="AZ43" s="442"/>
      <c r="BA43" s="442"/>
      <c r="BB43" s="442"/>
      <c r="BC43" s="442"/>
      <c r="BD43" s="442"/>
      <c r="BE43" s="442"/>
      <c r="BF43" s="442"/>
      <c r="BG43" s="442"/>
      <c r="BH43" s="442"/>
      <c r="BI43" s="442"/>
    </row>
    <row r="44" spans="1:61" ht="14.9" customHeight="1" x14ac:dyDescent="0.25">
      <c r="A44" s="50"/>
      <c r="B44" s="13"/>
      <c r="C44" s="13"/>
      <c r="D44" s="13"/>
      <c r="E44" s="27" t="s">
        <v>103</v>
      </c>
      <c r="F44" s="37" t="s">
        <v>104</v>
      </c>
      <c r="G44" s="68">
        <f>G10+G16+G15+G23+G25+G41+G17+G9+G7+G20+G6</f>
        <v>3362</v>
      </c>
      <c r="H44" s="69">
        <f>H10+H16+H15+H23+H25+H41+H17+H9+H7+H20+H6</f>
        <v>2446</v>
      </c>
      <c r="I44" s="68">
        <f t="shared" ref="I44:J44" si="17">I10+I16+I15+I23+I25+I41+I17+I9+I7+I20+I6</f>
        <v>33799</v>
      </c>
      <c r="J44" s="70">
        <f t="shared" si="17"/>
        <v>0</v>
      </c>
      <c r="K44" s="69">
        <f>K8+K11+K30+K31+K32</f>
        <v>8368</v>
      </c>
      <c r="L44" s="68">
        <f t="shared" ref="L44" si="18">L8+L11+L30+L31+L32</f>
        <v>83</v>
      </c>
      <c r="M44" s="68">
        <f>M8+M11+M30+M31+M32</f>
        <v>9776</v>
      </c>
      <c r="N44" s="70">
        <f>N8+N11+N30+N31+N32</f>
        <v>994</v>
      </c>
      <c r="O44" s="68">
        <f>O12+O34+O33</f>
        <v>4451</v>
      </c>
      <c r="P44" s="70">
        <f>P12+P34+P33</f>
        <v>7870</v>
      </c>
      <c r="Q44" s="68">
        <f>Q13+Q35</f>
        <v>54</v>
      </c>
      <c r="R44" s="68">
        <f t="shared" ref="R44:S44" si="19">R13+R35</f>
        <v>2146</v>
      </c>
      <c r="S44" s="68">
        <f t="shared" si="19"/>
        <v>99</v>
      </c>
      <c r="T44" s="70">
        <f>T13+T35</f>
        <v>564</v>
      </c>
      <c r="U44" s="68">
        <f>U14+U40</f>
        <v>34</v>
      </c>
      <c r="V44" s="70">
        <f>V14+V40</f>
        <v>72</v>
      </c>
      <c r="W44" s="70">
        <f>W22</f>
        <v>24</v>
      </c>
      <c r="X44" s="68"/>
      <c r="Y44" s="86">
        <f>SUM(G44:X44)</f>
        <v>74142</v>
      </c>
      <c r="Z44" s="87">
        <f>Z46</f>
        <v>45816</v>
      </c>
      <c r="AA44" s="44">
        <f>Z44+Y44</f>
        <v>119958</v>
      </c>
      <c r="AB44" s="630"/>
      <c r="AC44" s="630"/>
      <c r="AD44" s="567">
        <f>Y44/AA44</f>
        <v>0.6180663232131246</v>
      </c>
      <c r="AE44" s="445"/>
      <c r="AF44" s="607"/>
      <c r="AG44" s="608"/>
      <c r="AH44" s="608"/>
      <c r="AI44" s="606"/>
      <c r="AJ44" s="447"/>
      <c r="AK44" s="650"/>
      <c r="AL44" s="451"/>
      <c r="AM44" s="442"/>
      <c r="AN44" s="442"/>
      <c r="AO44" s="442"/>
      <c r="AP44" s="442"/>
      <c r="AQ44" s="442"/>
      <c r="AR44" s="442"/>
      <c r="AS44" s="442"/>
      <c r="AT44" s="442"/>
      <c r="AU44" s="442"/>
      <c r="AV44" s="442"/>
      <c r="AW44" s="442"/>
      <c r="AX44" s="442"/>
      <c r="AY44" s="442"/>
      <c r="AZ44" s="442"/>
      <c r="BA44" s="442"/>
      <c r="BB44" s="442"/>
      <c r="BC44" s="442"/>
      <c r="BD44" s="442"/>
      <c r="BE44" s="442"/>
      <c r="BF44" s="442"/>
      <c r="BG44" s="442"/>
      <c r="BH44" s="442"/>
      <c r="BI44" s="442"/>
    </row>
    <row r="45" spans="1:61" ht="14.9" customHeight="1" x14ac:dyDescent="0.25">
      <c r="A45" s="50"/>
      <c r="B45" s="13"/>
      <c r="C45" s="13"/>
      <c r="D45" s="13"/>
      <c r="E45" s="27" t="s">
        <v>105</v>
      </c>
      <c r="F45" s="37" t="s">
        <v>104</v>
      </c>
      <c r="G45" s="70">
        <f t="shared" ref="G45:Y45" si="20">G46-G44</f>
        <v>0</v>
      </c>
      <c r="H45" s="69">
        <f t="shared" si="20"/>
        <v>1</v>
      </c>
      <c r="I45" s="68">
        <f t="shared" si="20"/>
        <v>6425</v>
      </c>
      <c r="J45" s="70">
        <f t="shared" si="20"/>
        <v>0</v>
      </c>
      <c r="K45" s="69">
        <f t="shared" si="20"/>
        <v>4</v>
      </c>
      <c r="L45" s="68">
        <f t="shared" si="20"/>
        <v>0</v>
      </c>
      <c r="M45" s="68">
        <f t="shared" si="20"/>
        <v>6124</v>
      </c>
      <c r="N45" s="70">
        <f t="shared" si="20"/>
        <v>1089</v>
      </c>
      <c r="O45" s="68">
        <f t="shared" si="20"/>
        <v>186</v>
      </c>
      <c r="P45" s="70">
        <f t="shared" si="20"/>
        <v>1996</v>
      </c>
      <c r="Q45" s="68">
        <f t="shared" si="20"/>
        <v>26</v>
      </c>
      <c r="R45" s="68">
        <f t="shared" si="20"/>
        <v>7699</v>
      </c>
      <c r="S45" s="68">
        <f t="shared" si="20"/>
        <v>633</v>
      </c>
      <c r="T45" s="70">
        <f t="shared" si="20"/>
        <v>3092</v>
      </c>
      <c r="U45" s="68">
        <f t="shared" si="20"/>
        <v>0</v>
      </c>
      <c r="V45" s="70">
        <f t="shared" si="20"/>
        <v>1629</v>
      </c>
      <c r="W45" s="70">
        <f t="shared" si="20"/>
        <v>227</v>
      </c>
      <c r="X45" s="68">
        <f>X46-X44</f>
        <v>0</v>
      </c>
      <c r="Y45" s="86">
        <f t="shared" si="20"/>
        <v>29131</v>
      </c>
      <c r="Z45" s="87"/>
      <c r="AA45" s="44">
        <f>Z45+Y45</f>
        <v>29131</v>
      </c>
      <c r="AB45" s="630">
        <f>SUM(G45:X45)</f>
        <v>29131</v>
      </c>
      <c r="AC45" s="630"/>
      <c r="AD45" s="567">
        <f>Y45/AA45</f>
        <v>1</v>
      </c>
      <c r="AE45" s="625" t="s">
        <v>106</v>
      </c>
      <c r="AF45" s="626" t="s">
        <v>107</v>
      </c>
      <c r="AG45" s="600" t="s">
        <v>108</v>
      </c>
      <c r="AH45" s="608"/>
      <c r="AI45" s="606"/>
      <c r="AJ45" s="447"/>
      <c r="AK45" s="650"/>
      <c r="AL45" s="451"/>
      <c r="AM45" s="442"/>
      <c r="AN45" s="442"/>
      <c r="AO45" s="442"/>
      <c r="AP45" s="442"/>
      <c r="AQ45" s="442"/>
      <c r="AR45" s="442"/>
      <c r="AS45" s="442"/>
      <c r="AT45" s="442"/>
      <c r="AU45" s="442"/>
      <c r="AV45" s="442"/>
      <c r="AW45" s="442"/>
      <c r="AX45" s="442"/>
      <c r="AY45" s="442"/>
      <c r="AZ45" s="442"/>
      <c r="BA45" s="442"/>
      <c r="BB45" s="442"/>
      <c r="BC45" s="442"/>
      <c r="BD45" s="442"/>
      <c r="BE45" s="442"/>
      <c r="BF45" s="442"/>
      <c r="BG45" s="442"/>
      <c r="BH45" s="442"/>
      <c r="BI45" s="442"/>
    </row>
    <row r="46" spans="1:61" ht="14.9" customHeight="1" x14ac:dyDescent="0.3">
      <c r="A46" s="50"/>
      <c r="B46" s="13"/>
      <c r="C46" s="13"/>
      <c r="D46" s="13"/>
      <c r="E46" s="27"/>
      <c r="F46" s="88" t="s">
        <v>109</v>
      </c>
      <c r="G46" s="89">
        <f>SUM(G20:G41,G6:G17)</f>
        <v>3362</v>
      </c>
      <c r="H46" s="90">
        <f t="shared" ref="H46:X46" si="21">SUM(H20:H41,H6:H17)</f>
        <v>2447</v>
      </c>
      <c r="I46" s="89">
        <f t="shared" si="21"/>
        <v>40224</v>
      </c>
      <c r="J46" s="91">
        <f t="shared" si="21"/>
        <v>0</v>
      </c>
      <c r="K46" s="90">
        <f t="shared" si="21"/>
        <v>8372</v>
      </c>
      <c r="L46" s="89">
        <f t="shared" si="21"/>
        <v>83</v>
      </c>
      <c r="M46" s="89">
        <f t="shared" si="21"/>
        <v>15900</v>
      </c>
      <c r="N46" s="91">
        <f t="shared" si="21"/>
        <v>2083</v>
      </c>
      <c r="O46" s="89">
        <f t="shared" si="21"/>
        <v>4637</v>
      </c>
      <c r="P46" s="91">
        <f t="shared" si="21"/>
        <v>9866</v>
      </c>
      <c r="Q46" s="89">
        <f t="shared" si="21"/>
        <v>80</v>
      </c>
      <c r="R46" s="89">
        <f t="shared" si="21"/>
        <v>9845</v>
      </c>
      <c r="S46" s="89">
        <f t="shared" si="21"/>
        <v>732</v>
      </c>
      <c r="T46" s="91">
        <f t="shared" si="21"/>
        <v>3656</v>
      </c>
      <c r="U46" s="89">
        <f t="shared" si="21"/>
        <v>34</v>
      </c>
      <c r="V46" s="91">
        <f t="shared" si="21"/>
        <v>1701</v>
      </c>
      <c r="W46" s="91">
        <f t="shared" si="21"/>
        <v>251</v>
      </c>
      <c r="X46" s="89">
        <f t="shared" si="21"/>
        <v>0</v>
      </c>
      <c r="Y46" s="92">
        <f>SUM(Y20:Y41,Y6:Y17)</f>
        <v>103273</v>
      </c>
      <c r="Z46" s="93">
        <f>SUM(Z20:Z41,Z6:Z17)</f>
        <v>45816</v>
      </c>
      <c r="AA46" s="94">
        <f>Z46+Y46</f>
        <v>149089</v>
      </c>
      <c r="AB46" s="444"/>
      <c r="AC46" s="444"/>
      <c r="AD46" s="445">
        <f>Y46/AA46</f>
        <v>0.69269362595496653</v>
      </c>
      <c r="AE46" s="627" t="s">
        <v>106</v>
      </c>
      <c r="AF46" s="628" t="s">
        <v>110</v>
      </c>
      <c r="AG46" s="614">
        <f>SUM(G46:X46)</f>
        <v>103273</v>
      </c>
      <c r="AH46" s="608"/>
      <c r="AI46" s="606"/>
      <c r="AJ46" s="447"/>
      <c r="AK46" s="650"/>
      <c r="AL46" s="451"/>
      <c r="AM46" s="442"/>
      <c r="AN46" s="442"/>
      <c r="AO46" s="442"/>
      <c r="AP46" s="442"/>
      <c r="AQ46" s="442"/>
      <c r="AR46" s="442"/>
      <c r="AS46" s="442"/>
      <c r="AT46" s="442"/>
      <c r="AU46" s="442"/>
      <c r="AV46" s="442"/>
      <c r="AW46" s="442"/>
      <c r="AX46" s="442"/>
      <c r="AY46" s="442"/>
      <c r="AZ46" s="442"/>
      <c r="BA46" s="442"/>
      <c r="BB46" s="442"/>
      <c r="BC46" s="442"/>
      <c r="BD46" s="442"/>
      <c r="BE46" s="442"/>
      <c r="BF46" s="442"/>
      <c r="BG46" s="442"/>
      <c r="BH46" s="442"/>
      <c r="BI46" s="442"/>
    </row>
    <row r="47" spans="1:61" ht="13.5" customHeight="1" x14ac:dyDescent="0.25">
      <c r="A47" s="50"/>
      <c r="B47" s="13"/>
      <c r="C47" s="13"/>
      <c r="D47" s="13"/>
      <c r="E47" s="27"/>
      <c r="F47" s="95" t="s">
        <v>111</v>
      </c>
      <c r="G47" s="96">
        <f t="shared" ref="G47:I47" si="22">IF(G46&gt;0,G45/G46," ")</f>
        <v>0</v>
      </c>
      <c r="H47" s="97">
        <f t="shared" si="22"/>
        <v>4.086636697997548E-4</v>
      </c>
      <c r="I47" s="98">
        <f t="shared" si="22"/>
        <v>0.15973050914876691</v>
      </c>
      <c r="J47" s="99" t="str">
        <f>IF(J46&gt;0,J45/J46," ")</f>
        <v xml:space="preserve"> </v>
      </c>
      <c r="K47" s="97">
        <f t="shared" ref="K47:M47" si="23">IF(K46&gt;0,K45/K46," ")</f>
        <v>4.7778308647873863E-4</v>
      </c>
      <c r="L47" s="100">
        <f t="shared" si="23"/>
        <v>0</v>
      </c>
      <c r="M47" s="98">
        <f t="shared" si="23"/>
        <v>0.3851572327044025</v>
      </c>
      <c r="N47" s="99">
        <f>IF(N46&gt;0,N45/N46," ")</f>
        <v>0.52280364858377337</v>
      </c>
      <c r="O47" s="100">
        <f t="shared" ref="O47:W47" si="24">IF(O46&gt;0,O45/O46," ")</f>
        <v>4.0112141470778517E-2</v>
      </c>
      <c r="P47" s="99">
        <f t="shared" si="24"/>
        <v>0.20231096695722683</v>
      </c>
      <c r="Q47" s="98">
        <f t="shared" si="24"/>
        <v>0.32500000000000001</v>
      </c>
      <c r="R47" s="98">
        <f t="shared" si="24"/>
        <v>0.7820213306246826</v>
      </c>
      <c r="S47" s="98">
        <f t="shared" si="24"/>
        <v>0.86475409836065575</v>
      </c>
      <c r="T47" s="99">
        <f t="shared" si="24"/>
        <v>0.84573304157549234</v>
      </c>
      <c r="U47" s="98">
        <f t="shared" si="24"/>
        <v>0</v>
      </c>
      <c r="V47" s="99">
        <f t="shared" si="24"/>
        <v>0.95767195767195767</v>
      </c>
      <c r="W47" s="99">
        <f t="shared" si="24"/>
        <v>0.90438247011952189</v>
      </c>
      <c r="X47" s="98"/>
      <c r="Y47" s="101">
        <f>Y45/Y46</f>
        <v>0.28207760014718269</v>
      </c>
      <c r="Z47" s="102"/>
      <c r="AA47" s="98">
        <f t="shared" ref="AA47" si="25">AA45/AA46</f>
        <v>0.19539335564662719</v>
      </c>
      <c r="AB47" s="630"/>
      <c r="AC47" s="630"/>
      <c r="AD47" s="445"/>
      <c r="AE47" s="445"/>
      <c r="AF47" s="607"/>
      <c r="AG47" s="608"/>
      <c r="AH47" s="608"/>
      <c r="AI47" s="606"/>
      <c r="AJ47" s="447"/>
      <c r="AK47" s="650"/>
      <c r="AL47" s="451"/>
      <c r="AM47" s="442"/>
      <c r="AN47" s="442"/>
      <c r="AO47" s="442"/>
      <c r="AP47" s="442"/>
      <c r="AQ47" s="442"/>
      <c r="AR47" s="442"/>
      <c r="AS47" s="442"/>
      <c r="AT47" s="442"/>
      <c r="AU47" s="442"/>
      <c r="AV47" s="442"/>
      <c r="AW47" s="442"/>
      <c r="AX47" s="442"/>
      <c r="AY47" s="442"/>
      <c r="AZ47" s="442"/>
      <c r="BA47" s="442"/>
      <c r="BB47" s="442"/>
      <c r="BC47" s="442"/>
      <c r="BD47" s="442"/>
      <c r="BE47" s="442"/>
      <c r="BF47" s="442"/>
      <c r="BG47" s="442"/>
      <c r="BH47" s="442"/>
      <c r="BI47" s="442"/>
    </row>
    <row r="48" spans="1:61" ht="15" customHeight="1" x14ac:dyDescent="0.25">
      <c r="A48" s="5" t="s">
        <v>112</v>
      </c>
      <c r="B48" s="13"/>
      <c r="C48" s="13"/>
      <c r="D48" s="13"/>
      <c r="E48" s="103" t="s">
        <v>113</v>
      </c>
      <c r="F48" s="47"/>
      <c r="G48" s="68"/>
      <c r="H48" s="69"/>
      <c r="I48" s="68"/>
      <c r="J48" s="70"/>
      <c r="K48" s="69"/>
      <c r="L48" s="68"/>
      <c r="M48" s="68"/>
      <c r="N48" s="70"/>
      <c r="O48" s="68"/>
      <c r="P48" s="70"/>
      <c r="Q48" s="68"/>
      <c r="R48" s="68"/>
      <c r="S48" s="68"/>
      <c r="T48" s="70"/>
      <c r="U48" s="68"/>
      <c r="V48" s="70"/>
      <c r="W48" s="70"/>
      <c r="X48" s="68"/>
      <c r="Y48" s="86"/>
      <c r="Z48" s="87"/>
      <c r="AA48" s="68"/>
      <c r="AB48" s="611"/>
      <c r="AC48" s="611"/>
      <c r="AD48" s="567"/>
      <c r="AE48" s="567"/>
      <c r="AF48" s="442"/>
      <c r="AG48" s="597"/>
      <c r="AH48" s="597"/>
      <c r="AI48" s="597"/>
      <c r="AJ48" s="599"/>
      <c r="AK48" s="451"/>
      <c r="AL48" s="451"/>
      <c r="AM48" s="442"/>
      <c r="AN48" s="442"/>
      <c r="AO48" s="442"/>
      <c r="AP48" s="442"/>
      <c r="AQ48" s="442"/>
      <c r="AR48" s="442"/>
      <c r="AS48" s="442"/>
      <c r="AT48" s="442"/>
      <c r="AU48" s="442"/>
      <c r="AV48" s="442"/>
      <c r="AW48" s="442"/>
      <c r="AX48" s="442"/>
      <c r="AY48" s="442"/>
      <c r="AZ48" s="442"/>
      <c r="BA48" s="442"/>
      <c r="BB48" s="442"/>
      <c r="BC48" s="442"/>
      <c r="BD48" s="442"/>
      <c r="BE48" s="442"/>
      <c r="BF48" s="442"/>
      <c r="BG48" s="442"/>
      <c r="BH48" s="442"/>
      <c r="BI48" s="442"/>
    </row>
    <row r="49" spans="1:61" ht="14.5" customHeight="1" x14ac:dyDescent="0.25">
      <c r="A49" s="50" t="str">
        <f t="shared" ref="A49:A54" si="26">CONCATENATE(B49,C49,D49)</f>
        <v>USAC463</v>
      </c>
      <c r="B49" s="13" t="s">
        <v>64</v>
      </c>
      <c r="C49" s="13">
        <v>46</v>
      </c>
      <c r="D49" s="13">
        <v>3</v>
      </c>
      <c r="E49" s="3" t="s">
        <v>114</v>
      </c>
      <c r="F49" s="43" t="str">
        <f>LOOKUP(D49,$AL$8:$AL$11,$AM$8:$AM$11)</f>
        <v>Fall</v>
      </c>
      <c r="G49" s="38">
        <f>SUMIFS('[14]inland_taf_hatchgrp_tableraw&amp;yy'!G$3:G$38,'[14]inland_taf_hatchgrp_tableraw&amp;yy'!$AC$3:$AC$38,'2021 Table 10 CWTs exp'!$A49)</f>
        <v>0</v>
      </c>
      <c r="H49" s="39">
        <f>SUMIFS('[14]inland_taf_hatchgrp_tableraw&amp;yy'!H$3:H$38,'[14]inland_taf_hatchgrp_tableraw&amp;yy'!$AC$3:$AC$38,'2021 Table 10 CWTs exp'!$A49)</f>
        <v>0</v>
      </c>
      <c r="I49" s="38">
        <f>SUMIFS('[14]inland_taf_hatchgrp_tableraw&amp;yy'!I$3:I$38,'[14]inland_taf_hatchgrp_tableraw&amp;yy'!$AC$3:$AC$38,'2021 Table 10 CWTs exp'!$A49)</f>
        <v>4098</v>
      </c>
      <c r="J49" s="40">
        <f>SUMIFS('[14]inland_taf_hatchgrp_tableraw&amp;yy'!J$3:J$38,'[14]inland_taf_hatchgrp_tableraw&amp;yy'!$AC$3:$AC$38,'2021 Table 10 CWTs exp'!$A49)</f>
        <v>0</v>
      </c>
      <c r="K49" s="39">
        <f>SUMIFS('[14]inland_taf_hatchgrp_tableraw&amp;yy'!K$3:K$38,'[14]inland_taf_hatchgrp_tableraw&amp;yy'!$AC$3:$AC$38,'2021 Table 10 CWTs exp'!$A49)</f>
        <v>0</v>
      </c>
      <c r="L49" s="38">
        <f>SUMIFS('[14]inland_taf_hatchgrp_tableraw&amp;yy'!L$3:L$38,'[14]inland_taf_hatchgrp_tableraw&amp;yy'!$AC$3:$AC$38,'2021 Table 10 CWTs exp'!$A49)</f>
        <v>14</v>
      </c>
      <c r="M49" s="38">
        <f>SUMIFS('[14]inland_taf_hatchgrp_tableraw&amp;yy'!M$3:M$38,'[14]inland_taf_hatchgrp_tableraw&amp;yy'!$AC$3:$AC$38,'2021 Table 10 CWTs exp'!$A49)</f>
        <v>933</v>
      </c>
      <c r="N49" s="40">
        <f>SUMIFS('[14]inland_taf_hatchgrp_tableraw&amp;yy'!N$3:N$38,'[14]inland_taf_hatchgrp_tableraw&amp;yy'!$AC$3:$AC$38,'2021 Table 10 CWTs exp'!$A49)</f>
        <v>59</v>
      </c>
      <c r="O49" s="38">
        <f>SUMIFS('[14]inland_taf_hatchgrp_tableraw&amp;yy'!O$3:O$38,'[14]inland_taf_hatchgrp_tableraw&amp;yy'!$AC$3:$AC$38,'2021 Table 10 CWTs exp'!$A49)</f>
        <v>0</v>
      </c>
      <c r="P49" s="40">
        <f>SUMIFS('[14]inland_taf_hatchgrp_tableraw&amp;yy'!P$3:P$38,'[14]inland_taf_hatchgrp_tableraw&amp;yy'!$AC$3:$AC$38,'2021 Table 10 CWTs exp'!$A49)</f>
        <v>0</v>
      </c>
      <c r="Q49" s="38">
        <f>SUMIFS('[14]inland_taf_hatchgrp_tableraw&amp;yy'!Q$3:Q$38,'[14]inland_taf_hatchgrp_tableraw&amp;yy'!$AC$3:$AC$38,'2021 Table 10 CWTs exp'!$A49)</f>
        <v>15</v>
      </c>
      <c r="R49" s="38">
        <f>SUMIFS('[14]inland_taf_hatchgrp_tableraw&amp;yy'!R$3:R$38,'[14]inland_taf_hatchgrp_tableraw&amp;yy'!$AC$3:$AC$38,'2021 Table 10 CWTs exp'!$A49)</f>
        <v>0</v>
      </c>
      <c r="S49" s="38">
        <f>SUMIFS('[14]inland_taf_hatchgrp_tableraw&amp;yy'!S$3:S$38,'[14]inland_taf_hatchgrp_tableraw&amp;yy'!$AC$3:$AC$38,'2021 Table 10 CWTs exp'!$A49)</f>
        <v>0</v>
      </c>
      <c r="T49" s="40">
        <f>SUMIFS('[14]inland_taf_hatchgrp_tableraw&amp;yy'!T$3:T$38,'[14]inland_taf_hatchgrp_tableraw&amp;yy'!$AC$3:$AC$38,'2021 Table 10 CWTs exp'!$A49)</f>
        <v>0</v>
      </c>
      <c r="U49" s="38">
        <f>SUMIFS('[14]inland_taf_hatchgrp_tableraw&amp;yy'!U$3:U$38,'[14]inland_taf_hatchgrp_tableraw&amp;yy'!$AC$3:$AC$38,'2021 Table 10 CWTs exp'!$A49)</f>
        <v>0</v>
      </c>
      <c r="V49" s="40">
        <f>SUMIFS('[14]inland_taf_hatchgrp_tableraw&amp;yy'!V$3:V$38,'[14]inland_taf_hatchgrp_tableraw&amp;yy'!$AC$3:$AC$38,'2021 Table 10 CWTs exp'!$A49)</f>
        <v>0</v>
      </c>
      <c r="W49" s="40">
        <f>SUMIFS('[14]inland_taf_hatchgrp_tableraw&amp;yy'!W$3:W$38,'[14]inland_taf_hatchgrp_tableraw&amp;yy'!$AC$3:$AC$38,'2021 Table 10 CWTs exp'!$A49)</f>
        <v>29</v>
      </c>
      <c r="X49" s="38">
        <f>SUMIFS('[14]inland_taf_hatchgrp_tableraw&amp;yy'!X$3:X$38,'[14]inland_taf_hatchgrp_tableraw&amp;yy'!$AC$3:$AC$38,'2021 Table 10 CWTs exp'!$A49)</f>
        <v>0</v>
      </c>
      <c r="Y49" s="41">
        <f>SUMIFS('[14]inland_taf_hatchgrp_tableraw&amp;yy'!Y$3:Y$38,'[14]inland_taf_hatchgrp_tableraw&amp;yy'!$AC$3:$AC$38,'2021 Table 10 CWTs exp'!$A49)</f>
        <v>5148</v>
      </c>
      <c r="Z49" s="42">
        <f>SUMIFS('[14]inland_taf_hatchgrp_tableraw&amp;yy'!Z$3:Z$38,'[14]inland_taf_hatchgrp_tableraw&amp;yy'!$AC$3:$AC$38,'2021 Table 10 CWTs exp'!$A49)</f>
        <v>3803</v>
      </c>
      <c r="AA49" s="38">
        <f>SUMIFS('[14]inland_taf_hatchgrp_tableraw&amp;yy'!AA$3:AA$38,'[14]inland_taf_hatchgrp_tableraw&amp;yy'!$AC$3:$AC$38,'2021 Table 10 CWTs exp'!$A49)</f>
        <v>8951</v>
      </c>
      <c r="AB49" s="636"/>
      <c r="AC49" s="636"/>
      <c r="AD49" s="567">
        <f>SUMIFS('[14]inland_taf_hatchgrp_tableraw&amp;yy'!AB$3:AB$38,'[14]inland_taf_hatchgrp_tableraw&amp;yy'!$AC$3:$AC$38,'2021 Table 10 CWTs exp'!$A49)</f>
        <v>0.57499999999999996</v>
      </c>
      <c r="AE49" s="604" t="str">
        <f t="shared" ref="AE49:AE55" si="27">A49</f>
        <v>USAC463</v>
      </c>
      <c r="AF49" s="442"/>
      <c r="AG49" s="622">
        <f>Y49/AA49</f>
        <v>0.57513127024913413</v>
      </c>
      <c r="AH49" s="597"/>
      <c r="AI49" s="597"/>
      <c r="AJ49" s="599"/>
      <c r="AK49" s="451"/>
      <c r="AL49" s="451"/>
      <c r="AM49" s="442"/>
      <c r="AN49" s="442"/>
      <c r="AO49" s="442"/>
      <c r="AP49" s="442"/>
      <c r="AQ49" s="442"/>
      <c r="AR49" s="442"/>
      <c r="AS49" s="442"/>
      <c r="AT49" s="442"/>
      <c r="AU49" s="442"/>
      <c r="AV49" s="442"/>
      <c r="AW49" s="442"/>
      <c r="AX49" s="442"/>
      <c r="AY49" s="442"/>
      <c r="AZ49" s="442"/>
      <c r="BA49" s="442"/>
      <c r="BB49" s="442"/>
      <c r="BC49" s="442"/>
      <c r="BD49" s="442"/>
      <c r="BE49" s="442"/>
      <c r="BF49" s="442"/>
      <c r="BG49" s="442"/>
      <c r="BH49" s="442"/>
      <c r="BI49" s="442"/>
    </row>
    <row r="50" spans="1:61" ht="14.5" customHeight="1" x14ac:dyDescent="0.25">
      <c r="A50" s="50" t="str">
        <f t="shared" si="26"/>
        <v>LSAC463</v>
      </c>
      <c r="B50" s="13" t="s">
        <v>115</v>
      </c>
      <c r="C50" s="13">
        <v>46</v>
      </c>
      <c r="D50" s="13">
        <v>3</v>
      </c>
      <c r="E50" s="3" t="s">
        <v>116</v>
      </c>
      <c r="F50" s="43" t="str">
        <f>LOOKUP(D50,$AL$8:$AL$11,$AM$8:$AM$11)</f>
        <v>Fall</v>
      </c>
      <c r="G50" s="38">
        <f>SUMIFS('[14]inland_taf_hatchgrp_tableraw&amp;yy'!G$3:G$38,'[14]inland_taf_hatchgrp_tableraw&amp;yy'!$AC$3:$AC$38,'2021 Table 10 CWTs exp'!$A50)</f>
        <v>0</v>
      </c>
      <c r="H50" s="39">
        <f>SUMIFS('[14]inland_taf_hatchgrp_tableraw&amp;yy'!H$3:H$38,'[14]inland_taf_hatchgrp_tableraw&amp;yy'!$AC$3:$AC$38,'2021 Table 10 CWTs exp'!$A50)</f>
        <v>35</v>
      </c>
      <c r="I50" s="38">
        <f>SUMIFS('[14]inland_taf_hatchgrp_tableraw&amp;yy'!I$3:I$38,'[14]inland_taf_hatchgrp_tableraw&amp;yy'!$AC$3:$AC$38,'2021 Table 10 CWTs exp'!$A50)</f>
        <v>0</v>
      </c>
      <c r="J50" s="40">
        <f>SUMIFS('[14]inland_taf_hatchgrp_tableraw&amp;yy'!J$3:J$38,'[14]inland_taf_hatchgrp_tableraw&amp;yy'!$AC$3:$AC$38,'2021 Table 10 CWTs exp'!$A50)</f>
        <v>0</v>
      </c>
      <c r="K50" s="39">
        <f>SUMIFS('[14]inland_taf_hatchgrp_tableraw&amp;yy'!K$3:K$38,'[14]inland_taf_hatchgrp_tableraw&amp;yy'!$AC$3:$AC$38,'2021 Table 10 CWTs exp'!$A50)</f>
        <v>0</v>
      </c>
      <c r="L50" s="38">
        <f>SUMIFS('[14]inland_taf_hatchgrp_tableraw&amp;yy'!L$3:L$38,'[14]inland_taf_hatchgrp_tableraw&amp;yy'!$AC$3:$AC$38,'2021 Table 10 CWTs exp'!$A50)</f>
        <v>0</v>
      </c>
      <c r="M50" s="38">
        <f>SUMIFS('[14]inland_taf_hatchgrp_tableraw&amp;yy'!M$3:M$38,'[14]inland_taf_hatchgrp_tableraw&amp;yy'!$AC$3:$AC$38,'2021 Table 10 CWTs exp'!$A50)</f>
        <v>412</v>
      </c>
      <c r="N50" s="40">
        <f>SUMIFS('[14]inland_taf_hatchgrp_tableraw&amp;yy'!N$3:N$38,'[14]inland_taf_hatchgrp_tableraw&amp;yy'!$AC$3:$AC$38,'2021 Table 10 CWTs exp'!$A50)</f>
        <v>137</v>
      </c>
      <c r="O50" s="38">
        <f>SUMIFS('[14]inland_taf_hatchgrp_tableraw&amp;yy'!O$3:O$38,'[14]inland_taf_hatchgrp_tableraw&amp;yy'!$AC$3:$AC$38,'2021 Table 10 CWTs exp'!$A50)</f>
        <v>85</v>
      </c>
      <c r="P50" s="40">
        <f>SUMIFS('[14]inland_taf_hatchgrp_tableraw&amp;yy'!P$3:P$38,'[14]inland_taf_hatchgrp_tableraw&amp;yy'!$AC$3:$AC$38,'2021 Table 10 CWTs exp'!$A50)</f>
        <v>410</v>
      </c>
      <c r="Q50" s="38">
        <f>SUMIFS('[14]inland_taf_hatchgrp_tableraw&amp;yy'!Q$3:Q$38,'[14]inland_taf_hatchgrp_tableraw&amp;yy'!$AC$3:$AC$38,'2021 Table 10 CWTs exp'!$A50)</f>
        <v>0</v>
      </c>
      <c r="R50" s="38">
        <f>SUMIFS('[14]inland_taf_hatchgrp_tableraw&amp;yy'!R$3:R$38,'[14]inland_taf_hatchgrp_tableraw&amp;yy'!$AC$3:$AC$38,'2021 Table 10 CWTs exp'!$A50)</f>
        <v>221</v>
      </c>
      <c r="S50" s="38">
        <f>SUMIFS('[14]inland_taf_hatchgrp_tableraw&amp;yy'!S$3:S$38,'[14]inland_taf_hatchgrp_tableraw&amp;yy'!$AC$3:$AC$38,'2021 Table 10 CWTs exp'!$A50)</f>
        <v>102</v>
      </c>
      <c r="T50" s="40">
        <f>SUMIFS('[14]inland_taf_hatchgrp_tableraw&amp;yy'!T$3:T$38,'[14]inland_taf_hatchgrp_tableraw&amp;yy'!$AC$3:$AC$38,'2021 Table 10 CWTs exp'!$A50)</f>
        <v>544</v>
      </c>
      <c r="U50" s="38">
        <f>SUMIFS('[14]inland_taf_hatchgrp_tableraw&amp;yy'!U$3:U$38,'[14]inland_taf_hatchgrp_tableraw&amp;yy'!$AC$3:$AC$38,'2021 Table 10 CWTs exp'!$A50)</f>
        <v>0</v>
      </c>
      <c r="V50" s="40">
        <f>SUMIFS('[14]inland_taf_hatchgrp_tableraw&amp;yy'!V$3:V$38,'[14]inland_taf_hatchgrp_tableraw&amp;yy'!$AC$3:$AC$38,'2021 Table 10 CWTs exp'!$A50)</f>
        <v>138</v>
      </c>
      <c r="W50" s="40">
        <f>SUMIFS('[14]inland_taf_hatchgrp_tableraw&amp;yy'!W$3:W$38,'[14]inland_taf_hatchgrp_tableraw&amp;yy'!$AC$3:$AC$38,'2021 Table 10 CWTs exp'!$A50)</f>
        <v>0</v>
      </c>
      <c r="X50" s="38">
        <f>SUMIFS('[14]inland_taf_hatchgrp_tableraw&amp;yy'!X$3:X$38,'[14]inland_taf_hatchgrp_tableraw&amp;yy'!$AC$3:$AC$38,'2021 Table 10 CWTs exp'!$A50)</f>
        <v>0</v>
      </c>
      <c r="Y50" s="41">
        <f>SUMIFS('[14]inland_taf_hatchgrp_tableraw&amp;yy'!Y$3:Y$38,'[14]inland_taf_hatchgrp_tableraw&amp;yy'!$AC$3:$AC$38,'2021 Table 10 CWTs exp'!$A50)</f>
        <v>2084</v>
      </c>
      <c r="Z50" s="42">
        <f>SUMIFS('[14]inland_taf_hatchgrp_tableraw&amp;yy'!Z$3:Z$38,'[14]inland_taf_hatchgrp_tableraw&amp;yy'!$AC$3:$AC$38,'2021 Table 10 CWTs exp'!$A50)</f>
        <v>502</v>
      </c>
      <c r="AA50" s="38">
        <f>SUMIFS('[14]inland_taf_hatchgrp_tableraw&amp;yy'!AA$3:AA$38,'[14]inland_taf_hatchgrp_tableraw&amp;yy'!$AC$3:$AC$38,'2021 Table 10 CWTs exp'!$A50)</f>
        <v>2586</v>
      </c>
      <c r="AB50" s="636"/>
      <c r="AC50" s="636"/>
      <c r="AD50" s="567">
        <f>SUMIFS('[14]inland_taf_hatchgrp_tableraw&amp;yy'!AB$3:AB$38,'[14]inland_taf_hatchgrp_tableraw&amp;yy'!$AC$3:$AC$38,'2021 Table 10 CWTs exp'!$A50)</f>
        <v>0.80600000000000005</v>
      </c>
      <c r="AE50" s="604" t="str">
        <f t="shared" si="27"/>
        <v>LSAC463</v>
      </c>
      <c r="AF50" s="442"/>
      <c r="AG50" s="622">
        <f t="shared" ref="AG50:AG54" si="28">Y50/AA50</f>
        <v>0.80587780355761796</v>
      </c>
      <c r="AH50" s="597"/>
      <c r="AI50" s="597"/>
      <c r="AJ50" s="599"/>
      <c r="AK50" s="451"/>
      <c r="AL50" s="451"/>
      <c r="AM50" s="442"/>
      <c r="AN50" s="442"/>
      <c r="AO50" s="442"/>
      <c r="AP50" s="442"/>
      <c r="AQ50" s="442"/>
      <c r="AR50" s="442"/>
      <c r="AS50" s="442"/>
      <c r="AT50" s="442"/>
      <c r="AU50" s="442"/>
      <c r="AV50" s="442"/>
      <c r="AW50" s="442"/>
      <c r="AX50" s="442"/>
      <c r="AY50" s="442"/>
      <c r="AZ50" s="442"/>
      <c r="BA50" s="442"/>
      <c r="BB50" s="442"/>
      <c r="BC50" s="442"/>
      <c r="BD50" s="442"/>
      <c r="BE50" s="442"/>
      <c r="BF50" s="442"/>
      <c r="BG50" s="442"/>
      <c r="BH50" s="442"/>
      <c r="BI50" s="442"/>
    </row>
    <row r="51" spans="1:61" ht="14.5" customHeight="1" x14ac:dyDescent="0.25">
      <c r="A51" s="50" t="str">
        <f t="shared" si="26"/>
        <v>FEA463</v>
      </c>
      <c r="B51" s="13" t="s">
        <v>80</v>
      </c>
      <c r="C51" s="13">
        <v>46</v>
      </c>
      <c r="D51" s="13">
        <v>3</v>
      </c>
      <c r="E51" s="3" t="s">
        <v>117</v>
      </c>
      <c r="F51" s="43" t="str">
        <f>LOOKUP(D51,$AL$8:$AL$11,$AM$8:$AM$11)</f>
        <v>Fall</v>
      </c>
      <c r="G51" s="38">
        <f>SUMIFS('[14]inland_taf_hatchgrp_tableraw&amp;yy'!G$3:G$38,'[14]inland_taf_hatchgrp_tableraw&amp;yy'!$AC$3:$AC$38,'2021 Table 10 CWTs exp'!$A51)</f>
        <v>0</v>
      </c>
      <c r="H51" s="39">
        <f>SUMIFS('[14]inland_taf_hatchgrp_tableraw&amp;yy'!H$3:H$38,'[14]inland_taf_hatchgrp_tableraw&amp;yy'!$AC$3:$AC$38,'2021 Table 10 CWTs exp'!$A51)</f>
        <v>0</v>
      </c>
      <c r="I51" s="38">
        <f>SUMIFS('[14]inland_taf_hatchgrp_tableraw&amp;yy'!I$3:I$38,'[14]inland_taf_hatchgrp_tableraw&amp;yy'!$AC$3:$AC$38,'2021 Table 10 CWTs exp'!$A51)</f>
        <v>0</v>
      </c>
      <c r="J51" s="40">
        <f>SUMIFS('[14]inland_taf_hatchgrp_tableraw&amp;yy'!J$3:J$38,'[14]inland_taf_hatchgrp_tableraw&amp;yy'!$AC$3:$AC$38,'2021 Table 10 CWTs exp'!$A51)</f>
        <v>0</v>
      </c>
      <c r="K51" s="39">
        <f>SUMIFS('[14]inland_taf_hatchgrp_tableraw&amp;yy'!K$3:K$38,'[14]inland_taf_hatchgrp_tableraw&amp;yy'!$AC$3:$AC$38,'2021 Table 10 CWTs exp'!$A51)</f>
        <v>38</v>
      </c>
      <c r="L51" s="38">
        <f>SUMIFS('[14]inland_taf_hatchgrp_tableraw&amp;yy'!L$3:L$38,'[14]inland_taf_hatchgrp_tableraw&amp;yy'!$AC$3:$AC$38,'2021 Table 10 CWTs exp'!$A51)</f>
        <v>0</v>
      </c>
      <c r="M51" s="38">
        <f>SUMIFS('[14]inland_taf_hatchgrp_tableraw&amp;yy'!M$3:M$38,'[14]inland_taf_hatchgrp_tableraw&amp;yy'!$AC$3:$AC$38,'2021 Table 10 CWTs exp'!$A51)</f>
        <v>305</v>
      </c>
      <c r="N51" s="40">
        <f>SUMIFS('[14]inland_taf_hatchgrp_tableraw&amp;yy'!N$3:N$38,'[14]inland_taf_hatchgrp_tableraw&amp;yy'!$AC$3:$AC$38,'2021 Table 10 CWTs exp'!$A51)</f>
        <v>0</v>
      </c>
      <c r="O51" s="38">
        <f>SUMIFS('[14]inland_taf_hatchgrp_tableraw&amp;yy'!O$3:O$38,'[14]inland_taf_hatchgrp_tableraw&amp;yy'!$AC$3:$AC$38,'2021 Table 10 CWTs exp'!$A51)</f>
        <v>0</v>
      </c>
      <c r="P51" s="40">
        <f>SUMIFS('[14]inland_taf_hatchgrp_tableraw&amp;yy'!P$3:P$38,'[14]inland_taf_hatchgrp_tableraw&amp;yy'!$AC$3:$AC$38,'2021 Table 10 CWTs exp'!$A51)</f>
        <v>0</v>
      </c>
      <c r="Q51" s="38">
        <f>SUMIFS('[14]inland_taf_hatchgrp_tableraw&amp;yy'!Q$3:Q$38,'[14]inland_taf_hatchgrp_tableraw&amp;yy'!$AC$3:$AC$38,'2021 Table 10 CWTs exp'!$A51)</f>
        <v>0</v>
      </c>
      <c r="R51" s="38">
        <f>SUMIFS('[14]inland_taf_hatchgrp_tableraw&amp;yy'!R$3:R$38,'[14]inland_taf_hatchgrp_tableraw&amp;yy'!$AC$3:$AC$38,'2021 Table 10 CWTs exp'!$A51)</f>
        <v>51</v>
      </c>
      <c r="S51" s="38">
        <f>SUMIFS('[14]inland_taf_hatchgrp_tableraw&amp;yy'!S$3:S$38,'[14]inland_taf_hatchgrp_tableraw&amp;yy'!$AC$3:$AC$38,'2021 Table 10 CWTs exp'!$A51)</f>
        <v>0</v>
      </c>
      <c r="T51" s="40">
        <f>SUMIFS('[14]inland_taf_hatchgrp_tableraw&amp;yy'!T$3:T$38,'[14]inland_taf_hatchgrp_tableraw&amp;yy'!$AC$3:$AC$38,'2021 Table 10 CWTs exp'!$A51)</f>
        <v>0</v>
      </c>
      <c r="U51" s="38">
        <f>SUMIFS('[14]inland_taf_hatchgrp_tableraw&amp;yy'!U$3:U$38,'[14]inland_taf_hatchgrp_tableraw&amp;yy'!$AC$3:$AC$38,'2021 Table 10 CWTs exp'!$A51)</f>
        <v>0</v>
      </c>
      <c r="V51" s="40">
        <f>SUMIFS('[14]inland_taf_hatchgrp_tableraw&amp;yy'!V$3:V$38,'[14]inland_taf_hatchgrp_tableraw&amp;yy'!$AC$3:$AC$38,'2021 Table 10 CWTs exp'!$A51)</f>
        <v>0</v>
      </c>
      <c r="W51" s="40">
        <f>SUMIFS('[14]inland_taf_hatchgrp_tableraw&amp;yy'!W$3:W$38,'[14]inland_taf_hatchgrp_tableraw&amp;yy'!$AC$3:$AC$38,'2021 Table 10 CWTs exp'!$A51)</f>
        <v>13</v>
      </c>
      <c r="X51" s="38">
        <f>SUMIFS('[14]inland_taf_hatchgrp_tableraw&amp;yy'!X$3:X$38,'[14]inland_taf_hatchgrp_tableraw&amp;yy'!$AC$3:$AC$38,'2021 Table 10 CWTs exp'!$A51)</f>
        <v>0</v>
      </c>
      <c r="Y51" s="41">
        <f>SUMIFS('[14]inland_taf_hatchgrp_tableraw&amp;yy'!Y$3:Y$38,'[14]inland_taf_hatchgrp_tableraw&amp;yy'!$AC$3:$AC$38,'2021 Table 10 CWTs exp'!$A51)</f>
        <v>407</v>
      </c>
      <c r="Z51" s="42">
        <f>SUMIFS('[14]inland_taf_hatchgrp_tableraw&amp;yy'!Z$3:Z$38,'[14]inland_taf_hatchgrp_tableraw&amp;yy'!$AC$3:$AC$38,'2021 Table 10 CWTs exp'!$A51)</f>
        <v>394</v>
      </c>
      <c r="AA51" s="38">
        <f>SUMIFS('[14]inland_taf_hatchgrp_tableraw&amp;yy'!AA$3:AA$38,'[14]inland_taf_hatchgrp_tableraw&amp;yy'!$AC$3:$AC$38,'2021 Table 10 CWTs exp'!$A51)</f>
        <v>801</v>
      </c>
      <c r="AB51" s="636"/>
      <c r="AC51" s="636"/>
      <c r="AD51" s="567">
        <f>SUMIFS('[14]inland_taf_hatchgrp_tableraw&amp;yy'!AB$3:AB$38,'[14]inland_taf_hatchgrp_tableraw&amp;yy'!$AC$3:$AC$38,'2021 Table 10 CWTs exp'!$A51)</f>
        <v>0.50800000000000001</v>
      </c>
      <c r="AE51" s="604" t="str">
        <f t="shared" si="27"/>
        <v>FEA463</v>
      </c>
      <c r="AF51" s="442"/>
      <c r="AG51" s="622">
        <f t="shared" si="28"/>
        <v>0.50811485642946319</v>
      </c>
      <c r="AH51" s="597"/>
      <c r="AI51" s="597"/>
      <c r="AJ51" s="599"/>
      <c r="AK51" s="451"/>
      <c r="AL51" s="451"/>
      <c r="AM51" s="442"/>
      <c r="AN51" s="442"/>
      <c r="AO51" s="442"/>
      <c r="AP51" s="442"/>
      <c r="AQ51" s="442"/>
      <c r="AR51" s="442"/>
      <c r="AS51" s="442"/>
      <c r="AT51" s="442"/>
      <c r="AU51" s="442"/>
      <c r="AV51" s="442"/>
      <c r="AW51" s="442"/>
      <c r="AX51" s="442"/>
      <c r="AY51" s="442"/>
      <c r="AZ51" s="442"/>
      <c r="BA51" s="442"/>
      <c r="BB51" s="442"/>
      <c r="BC51" s="442"/>
      <c r="BD51" s="442"/>
      <c r="BE51" s="442"/>
      <c r="BF51" s="442"/>
      <c r="BG51" s="442"/>
      <c r="BH51" s="442"/>
      <c r="BI51" s="442"/>
    </row>
    <row r="52" spans="1:61" ht="14.5" customHeight="1" x14ac:dyDescent="0.25">
      <c r="A52" s="50" t="str">
        <f t="shared" si="26"/>
        <v>AMN463</v>
      </c>
      <c r="B52" s="13" t="s">
        <v>118</v>
      </c>
      <c r="C52" s="13">
        <v>46</v>
      </c>
      <c r="D52" s="13">
        <v>3</v>
      </c>
      <c r="E52" s="3" t="s">
        <v>119</v>
      </c>
      <c r="F52" s="43" t="str">
        <f>LOOKUP(D52,$AL$8:$AL$11,$AM$8:$AM$11)</f>
        <v>Fall</v>
      </c>
      <c r="G52" s="38">
        <f>SUMIFS('[14]inland_taf_hatchgrp_tableraw&amp;yy'!G$3:G$38,'[14]inland_taf_hatchgrp_tableraw&amp;yy'!$AC$3:$AC$38,'2021 Table 10 CWTs exp'!$A52)</f>
        <v>0</v>
      </c>
      <c r="H52" s="39">
        <f>SUMIFS('[14]inland_taf_hatchgrp_tableraw&amp;yy'!H$3:H$38,'[14]inland_taf_hatchgrp_tableraw&amp;yy'!$AC$3:$AC$38,'2021 Table 10 CWTs exp'!$A52)</f>
        <v>0</v>
      </c>
      <c r="I52" s="38">
        <f>SUMIFS('[14]inland_taf_hatchgrp_tableraw&amp;yy'!I$3:I$38,'[14]inland_taf_hatchgrp_tableraw&amp;yy'!$AC$3:$AC$38,'2021 Table 10 CWTs exp'!$A52)</f>
        <v>0</v>
      </c>
      <c r="J52" s="40">
        <f>SUMIFS('[14]inland_taf_hatchgrp_tableraw&amp;yy'!J$3:J$38,'[14]inland_taf_hatchgrp_tableraw&amp;yy'!$AC$3:$AC$38,'2021 Table 10 CWTs exp'!$A52)</f>
        <v>0</v>
      </c>
      <c r="K52" s="39">
        <f>SUMIFS('[14]inland_taf_hatchgrp_tableraw&amp;yy'!K$3:K$38,'[14]inland_taf_hatchgrp_tableraw&amp;yy'!$AC$3:$AC$38,'2021 Table 10 CWTs exp'!$A52)</f>
        <v>0</v>
      </c>
      <c r="L52" s="38">
        <f>SUMIFS('[14]inland_taf_hatchgrp_tableraw&amp;yy'!L$3:L$38,'[14]inland_taf_hatchgrp_tableraw&amp;yy'!$AC$3:$AC$38,'2021 Table 10 CWTs exp'!$A52)</f>
        <v>0</v>
      </c>
      <c r="M52" s="38">
        <f>SUMIFS('[14]inland_taf_hatchgrp_tableraw&amp;yy'!M$3:M$38,'[14]inland_taf_hatchgrp_tableraw&amp;yy'!$AC$3:$AC$38,'2021 Table 10 CWTs exp'!$A52)</f>
        <v>0</v>
      </c>
      <c r="N52" s="40">
        <f>SUMIFS('[14]inland_taf_hatchgrp_tableraw&amp;yy'!N$3:N$38,'[14]inland_taf_hatchgrp_tableraw&amp;yy'!$AC$3:$AC$38,'2021 Table 10 CWTs exp'!$A52)</f>
        <v>90</v>
      </c>
      <c r="O52" s="38">
        <f>SUMIFS('[14]inland_taf_hatchgrp_tableraw&amp;yy'!O$3:O$38,'[14]inland_taf_hatchgrp_tableraw&amp;yy'!$AC$3:$AC$38,'2021 Table 10 CWTs exp'!$A52)</f>
        <v>178</v>
      </c>
      <c r="P52" s="40">
        <f>SUMIFS('[14]inland_taf_hatchgrp_tableraw&amp;yy'!P$3:P$38,'[14]inland_taf_hatchgrp_tableraw&amp;yy'!$AC$3:$AC$38,'2021 Table 10 CWTs exp'!$A52)</f>
        <v>801</v>
      </c>
      <c r="Q52" s="38">
        <f>SUMIFS('[14]inland_taf_hatchgrp_tableraw&amp;yy'!Q$3:Q$38,'[14]inland_taf_hatchgrp_tableraw&amp;yy'!$AC$3:$AC$38,'2021 Table 10 CWTs exp'!$A52)</f>
        <v>0</v>
      </c>
      <c r="R52" s="38">
        <f>SUMIFS('[14]inland_taf_hatchgrp_tableraw&amp;yy'!R$3:R$38,'[14]inland_taf_hatchgrp_tableraw&amp;yy'!$AC$3:$AC$38,'2021 Table 10 CWTs exp'!$A52)</f>
        <v>89</v>
      </c>
      <c r="S52" s="38">
        <f>SUMIFS('[14]inland_taf_hatchgrp_tableraw&amp;yy'!S$3:S$38,'[14]inland_taf_hatchgrp_tableraw&amp;yy'!$AC$3:$AC$38,'2021 Table 10 CWTs exp'!$A52)</f>
        <v>22</v>
      </c>
      <c r="T52" s="40">
        <f>SUMIFS('[14]inland_taf_hatchgrp_tableraw&amp;yy'!T$3:T$38,'[14]inland_taf_hatchgrp_tableraw&amp;yy'!$AC$3:$AC$38,'2021 Table 10 CWTs exp'!$A52)</f>
        <v>0</v>
      </c>
      <c r="U52" s="38">
        <f>SUMIFS('[14]inland_taf_hatchgrp_tableraw&amp;yy'!U$3:U$38,'[14]inland_taf_hatchgrp_tableraw&amp;yy'!$AC$3:$AC$38,'2021 Table 10 CWTs exp'!$A52)</f>
        <v>0</v>
      </c>
      <c r="V52" s="40">
        <f>SUMIFS('[14]inland_taf_hatchgrp_tableraw&amp;yy'!V$3:V$38,'[14]inland_taf_hatchgrp_tableraw&amp;yy'!$AC$3:$AC$38,'2021 Table 10 CWTs exp'!$A52)</f>
        <v>90</v>
      </c>
      <c r="W52" s="40">
        <f>SUMIFS('[14]inland_taf_hatchgrp_tableraw&amp;yy'!W$3:W$38,'[14]inland_taf_hatchgrp_tableraw&amp;yy'!$AC$3:$AC$38,'2021 Table 10 CWTs exp'!$A52)</f>
        <v>0</v>
      </c>
      <c r="X52" s="38">
        <f>SUMIFS('[14]inland_taf_hatchgrp_tableraw&amp;yy'!X$3:X$38,'[14]inland_taf_hatchgrp_tableraw&amp;yy'!$AC$3:$AC$38,'2021 Table 10 CWTs exp'!$A52)</f>
        <v>0</v>
      </c>
      <c r="Y52" s="41">
        <f>SUMIFS('[14]inland_taf_hatchgrp_tableraw&amp;yy'!Y$3:Y$38,'[14]inland_taf_hatchgrp_tableraw&amp;yy'!$AC$3:$AC$38,'2021 Table 10 CWTs exp'!$A52)</f>
        <v>1270</v>
      </c>
      <c r="Z52" s="42">
        <f>SUMIFS('[14]inland_taf_hatchgrp_tableraw&amp;yy'!Z$3:Z$38,'[14]inland_taf_hatchgrp_tableraw&amp;yy'!$AC$3:$AC$38,'2021 Table 10 CWTs exp'!$A52)</f>
        <v>323</v>
      </c>
      <c r="AA52" s="38">
        <f>SUMIFS('[14]inland_taf_hatchgrp_tableraw&amp;yy'!AA$3:AA$38,'[14]inland_taf_hatchgrp_tableraw&amp;yy'!$AC$3:$AC$38,'2021 Table 10 CWTs exp'!$A52)</f>
        <v>1593</v>
      </c>
      <c r="AB52" s="636"/>
      <c r="AC52" s="636"/>
      <c r="AD52" s="567">
        <f>SUMIFS('[14]inland_taf_hatchgrp_tableraw&amp;yy'!AB$3:AB$38,'[14]inland_taf_hatchgrp_tableraw&amp;yy'!$AC$3:$AC$38,'2021 Table 10 CWTs exp'!$A52)</f>
        <v>0.79700000000000004</v>
      </c>
      <c r="AE52" s="604" t="str">
        <f t="shared" si="27"/>
        <v>AMN463</v>
      </c>
      <c r="AF52" s="442"/>
      <c r="AG52" s="622">
        <f t="shared" si="28"/>
        <v>0.79723791588198367</v>
      </c>
      <c r="AH52" s="597"/>
      <c r="AI52" s="442"/>
      <c r="AJ52" s="451"/>
      <c r="AK52" s="451"/>
      <c r="AL52" s="451"/>
      <c r="AM52" s="442"/>
      <c r="AN52" s="442"/>
      <c r="AO52" s="442"/>
      <c r="AP52" s="442"/>
      <c r="AQ52" s="442"/>
      <c r="AR52" s="442"/>
      <c r="AS52" s="442"/>
      <c r="AT52" s="442"/>
      <c r="AU52" s="442"/>
      <c r="AV52" s="442"/>
      <c r="AW52" s="442"/>
      <c r="AX52" s="442"/>
      <c r="AY52" s="442"/>
      <c r="AZ52" s="442"/>
      <c r="BA52" s="442"/>
      <c r="BB52" s="442"/>
      <c r="BC52" s="442"/>
      <c r="BD52" s="442"/>
      <c r="BE52" s="442"/>
      <c r="BF52" s="442"/>
      <c r="BG52" s="442"/>
      <c r="BH52" s="442"/>
      <c r="BI52" s="442"/>
    </row>
    <row r="53" spans="1:61" ht="14.5" hidden="1" customHeight="1" x14ac:dyDescent="0.25">
      <c r="A53" s="50" t="str">
        <f t="shared" si="26"/>
        <v>MOKE463</v>
      </c>
      <c r="B53" s="13" t="s">
        <v>90</v>
      </c>
      <c r="C53" s="13">
        <v>46</v>
      </c>
      <c r="D53" s="13">
        <v>3</v>
      </c>
      <c r="E53" s="3" t="s">
        <v>91</v>
      </c>
      <c r="F53" s="43" t="str">
        <f>LOOKUP(D53,$AL$8:$AL$11,$AM$8:$AM$11)</f>
        <v>Fall</v>
      </c>
      <c r="G53" s="38">
        <f>SUMIFS('[14]inland_taf_hatchgrp_tableraw&amp;yy'!G$3:G$38,'[14]inland_taf_hatchgrp_tableraw&amp;yy'!$AC$3:$AC$38,'2021 Table 10 CWTs exp'!$A53)</f>
        <v>0</v>
      </c>
      <c r="H53" s="39">
        <f>SUMIFS('[14]inland_taf_hatchgrp_tableraw&amp;yy'!H$3:H$38,'[14]inland_taf_hatchgrp_tableraw&amp;yy'!$AC$3:$AC$38,'2021 Table 10 CWTs exp'!$A53)</f>
        <v>0</v>
      </c>
      <c r="I53" s="38">
        <f>SUMIFS('[14]inland_taf_hatchgrp_tableraw&amp;yy'!I$3:I$38,'[14]inland_taf_hatchgrp_tableraw&amp;yy'!$AC$3:$AC$38,'2021 Table 10 CWTs exp'!$A53)</f>
        <v>0</v>
      </c>
      <c r="J53" s="40">
        <f>SUMIFS('[14]inland_taf_hatchgrp_tableraw&amp;yy'!J$3:J$38,'[14]inland_taf_hatchgrp_tableraw&amp;yy'!$AC$3:$AC$38,'2021 Table 10 CWTs exp'!$A53)</f>
        <v>0</v>
      </c>
      <c r="K53" s="39">
        <f>SUMIFS('[14]inland_taf_hatchgrp_tableraw&amp;yy'!K$3:K$38,'[14]inland_taf_hatchgrp_tableraw&amp;yy'!$AC$3:$AC$38,'2021 Table 10 CWTs exp'!$A53)</f>
        <v>0</v>
      </c>
      <c r="L53" s="38">
        <f>SUMIFS('[14]inland_taf_hatchgrp_tableraw&amp;yy'!L$3:L$38,'[14]inland_taf_hatchgrp_tableraw&amp;yy'!$AC$3:$AC$38,'2021 Table 10 CWTs exp'!$A53)</f>
        <v>0</v>
      </c>
      <c r="M53" s="38">
        <f>SUMIFS('[14]inland_taf_hatchgrp_tableraw&amp;yy'!M$3:M$38,'[14]inland_taf_hatchgrp_tableraw&amp;yy'!$AC$3:$AC$38,'2021 Table 10 CWTs exp'!$A53)</f>
        <v>0</v>
      </c>
      <c r="N53" s="40">
        <f>SUMIFS('[14]inland_taf_hatchgrp_tableraw&amp;yy'!N$3:N$38,'[14]inland_taf_hatchgrp_tableraw&amp;yy'!$AC$3:$AC$38,'2021 Table 10 CWTs exp'!$A53)</f>
        <v>0</v>
      </c>
      <c r="O53" s="38">
        <f>SUMIFS('[14]inland_taf_hatchgrp_tableraw&amp;yy'!O$3:O$38,'[14]inland_taf_hatchgrp_tableraw&amp;yy'!$AC$3:$AC$38,'2021 Table 10 CWTs exp'!$A53)</f>
        <v>0</v>
      </c>
      <c r="P53" s="40">
        <f>SUMIFS('[14]inland_taf_hatchgrp_tableraw&amp;yy'!P$3:P$38,'[14]inland_taf_hatchgrp_tableraw&amp;yy'!$AC$3:$AC$38,'2021 Table 10 CWTs exp'!$A53)</f>
        <v>0</v>
      </c>
      <c r="Q53" s="38">
        <f>SUMIFS('[14]inland_taf_hatchgrp_tableraw&amp;yy'!Q$3:Q$38,'[14]inland_taf_hatchgrp_tableraw&amp;yy'!$AC$3:$AC$38,'2021 Table 10 CWTs exp'!$A53)</f>
        <v>0</v>
      </c>
      <c r="R53" s="38">
        <f>SUMIFS('[14]inland_taf_hatchgrp_tableraw&amp;yy'!R$3:R$38,'[14]inland_taf_hatchgrp_tableraw&amp;yy'!$AC$3:$AC$38,'2021 Table 10 CWTs exp'!$A53)</f>
        <v>0</v>
      </c>
      <c r="S53" s="38">
        <f>SUMIFS('[14]inland_taf_hatchgrp_tableraw&amp;yy'!S$3:S$38,'[14]inland_taf_hatchgrp_tableraw&amp;yy'!$AC$3:$AC$38,'2021 Table 10 CWTs exp'!$A53)</f>
        <v>0</v>
      </c>
      <c r="T53" s="40">
        <f>SUMIFS('[14]inland_taf_hatchgrp_tableraw&amp;yy'!T$3:T$38,'[14]inland_taf_hatchgrp_tableraw&amp;yy'!$AC$3:$AC$38,'2021 Table 10 CWTs exp'!$A53)</f>
        <v>0</v>
      </c>
      <c r="U53" s="38">
        <f>SUMIFS('[14]inland_taf_hatchgrp_tableraw&amp;yy'!U$3:U$38,'[14]inland_taf_hatchgrp_tableraw&amp;yy'!$AC$3:$AC$38,'2021 Table 10 CWTs exp'!$A53)</f>
        <v>0</v>
      </c>
      <c r="V53" s="40">
        <f>SUMIFS('[14]inland_taf_hatchgrp_tableraw&amp;yy'!V$3:V$38,'[14]inland_taf_hatchgrp_tableraw&amp;yy'!$AC$3:$AC$38,'2021 Table 10 CWTs exp'!$A53)</f>
        <v>0</v>
      </c>
      <c r="W53" s="40">
        <f>SUMIFS('[14]inland_taf_hatchgrp_tableraw&amp;yy'!W$3:W$38,'[14]inland_taf_hatchgrp_tableraw&amp;yy'!$AC$3:$AC$38,'2021 Table 10 CWTs exp'!$A53)</f>
        <v>0</v>
      </c>
      <c r="X53" s="38">
        <f>SUMIFS('[14]inland_taf_hatchgrp_tableraw&amp;yy'!X$3:X$38,'[14]inland_taf_hatchgrp_tableraw&amp;yy'!$AC$3:$AC$38,'2021 Table 10 CWTs exp'!$A53)</f>
        <v>0</v>
      </c>
      <c r="Y53" s="41">
        <f>SUMIFS('[14]inland_taf_hatchgrp_tableraw&amp;yy'!Y$3:Y$38,'[14]inland_taf_hatchgrp_tableraw&amp;yy'!$AC$3:$AC$38,'2021 Table 10 CWTs exp'!$A53)</f>
        <v>0</v>
      </c>
      <c r="Z53" s="42">
        <f>SUMIFS('[14]inland_taf_hatchgrp_tableraw&amp;yy'!Z$3:Z$38,'[14]inland_taf_hatchgrp_tableraw&amp;yy'!$AC$3:$AC$38,'2021 Table 10 CWTs exp'!$A53)</f>
        <v>0</v>
      </c>
      <c r="AA53" s="38">
        <f>SUMIFS('[14]inland_taf_hatchgrp_tableraw&amp;yy'!AA$3:AA$38,'[14]inland_taf_hatchgrp_tableraw&amp;yy'!$AC$3:$AC$38,'2021 Table 10 CWTs exp'!$A53)</f>
        <v>0</v>
      </c>
      <c r="AB53" s="636"/>
      <c r="AC53" s="636"/>
      <c r="AD53" s="567">
        <f>SUMIFS('[14]inland_taf_hatchgrp_tableraw&amp;yy'!AB$3:AB$38,'[14]inland_taf_hatchgrp_tableraw&amp;yy'!$AC$3:$AC$38,'2021 Table 10 CWTs exp'!$A53)</f>
        <v>0</v>
      </c>
      <c r="AE53" s="604" t="str">
        <f t="shared" si="27"/>
        <v>MOKE463</v>
      </c>
      <c r="AF53" s="442"/>
      <c r="AG53" s="622" t="e">
        <f t="shared" si="28"/>
        <v>#DIV/0!</v>
      </c>
      <c r="AH53" s="597"/>
      <c r="AI53" s="442"/>
      <c r="AJ53" s="451"/>
      <c r="AK53" s="451"/>
      <c r="AL53" s="451"/>
      <c r="AM53" s="442"/>
      <c r="AN53" s="442"/>
      <c r="AO53" s="442"/>
      <c r="AP53" s="442"/>
      <c r="AQ53" s="442"/>
      <c r="AR53" s="442"/>
      <c r="AS53" s="442"/>
      <c r="AT53" s="442"/>
      <c r="AU53" s="442"/>
      <c r="AV53" s="442"/>
      <c r="AW53" s="442"/>
      <c r="AX53" s="442"/>
      <c r="AY53" s="442"/>
      <c r="AZ53" s="442"/>
      <c r="BA53" s="442"/>
      <c r="BB53" s="442"/>
      <c r="BC53" s="442"/>
      <c r="BD53" s="442"/>
      <c r="BE53" s="442"/>
      <c r="BF53" s="442"/>
      <c r="BG53" s="442"/>
      <c r="BH53" s="442"/>
      <c r="BI53" s="442"/>
    </row>
    <row r="54" spans="1:61" ht="14.5" customHeight="1" x14ac:dyDescent="0.25">
      <c r="A54" s="50" t="str">
        <f t="shared" si="26"/>
        <v>USAC467</v>
      </c>
      <c r="B54" s="13" t="s">
        <v>64</v>
      </c>
      <c r="C54" s="13">
        <v>46</v>
      </c>
      <c r="D54" s="13">
        <v>7</v>
      </c>
      <c r="E54" s="3" t="s">
        <v>114</v>
      </c>
      <c r="F54" s="37" t="s">
        <v>49</v>
      </c>
      <c r="G54" s="38">
        <f>SUMIFS('[14]inland_taf_hatchgrp_tableraw&amp;yy'!G$3:G$38,'[14]inland_taf_hatchgrp_tableraw&amp;yy'!$AC$3:$AC$38,'2021 Table 10 CWTs exp'!$A54)</f>
        <v>0</v>
      </c>
      <c r="H54" s="39">
        <f>SUMIFS('[14]inland_taf_hatchgrp_tableraw&amp;yy'!H$3:H$38,'[14]inland_taf_hatchgrp_tableraw&amp;yy'!$AC$3:$AC$38,'2021 Table 10 CWTs exp'!$A54)</f>
        <v>328</v>
      </c>
      <c r="I54" s="38">
        <f>SUMIFS('[14]inland_taf_hatchgrp_tableraw&amp;yy'!I$3:I$38,'[14]inland_taf_hatchgrp_tableraw&amp;yy'!$AC$3:$AC$38,'2021 Table 10 CWTs exp'!$A54)</f>
        <v>10</v>
      </c>
      <c r="J54" s="40">
        <f>SUMIFS('[14]inland_taf_hatchgrp_tableraw&amp;yy'!J$3:J$38,'[14]inland_taf_hatchgrp_tableraw&amp;yy'!$AC$3:$AC$38,'2021 Table 10 CWTs exp'!$A54)</f>
        <v>0</v>
      </c>
      <c r="K54" s="39">
        <f>SUMIFS('[14]inland_taf_hatchgrp_tableraw&amp;yy'!K$3:K$38,'[14]inland_taf_hatchgrp_tableraw&amp;yy'!$AC$3:$AC$38,'2021 Table 10 CWTs exp'!$A54)</f>
        <v>0</v>
      </c>
      <c r="L54" s="38">
        <f>SUMIFS('[14]inland_taf_hatchgrp_tableraw&amp;yy'!L$3:L$38,'[14]inland_taf_hatchgrp_tableraw&amp;yy'!$AC$3:$AC$38,'2021 Table 10 CWTs exp'!$A54)</f>
        <v>0</v>
      </c>
      <c r="M54" s="38">
        <f>SUMIFS('[14]inland_taf_hatchgrp_tableraw&amp;yy'!M$3:M$38,'[14]inland_taf_hatchgrp_tableraw&amp;yy'!$AC$3:$AC$38,'2021 Table 10 CWTs exp'!$A54)</f>
        <v>0</v>
      </c>
      <c r="N54" s="40">
        <f>SUMIFS('[14]inland_taf_hatchgrp_tableraw&amp;yy'!N$3:N$38,'[14]inland_taf_hatchgrp_tableraw&amp;yy'!$AC$3:$AC$38,'2021 Table 10 CWTs exp'!$A54)</f>
        <v>0</v>
      </c>
      <c r="O54" s="38">
        <f>SUMIFS('[14]inland_taf_hatchgrp_tableraw&amp;yy'!O$3:O$38,'[14]inland_taf_hatchgrp_tableraw&amp;yy'!$AC$3:$AC$38,'2021 Table 10 CWTs exp'!$A54)</f>
        <v>0</v>
      </c>
      <c r="P54" s="40">
        <f>SUMIFS('[14]inland_taf_hatchgrp_tableraw&amp;yy'!P$3:P$38,'[14]inland_taf_hatchgrp_tableraw&amp;yy'!$AC$3:$AC$38,'2021 Table 10 CWTs exp'!$A54)</f>
        <v>39</v>
      </c>
      <c r="Q54" s="38">
        <f>SUMIFS('[14]inland_taf_hatchgrp_tableraw&amp;yy'!Q$3:Q$38,'[14]inland_taf_hatchgrp_tableraw&amp;yy'!$AC$3:$AC$38,'2021 Table 10 CWTs exp'!$A54)</f>
        <v>0</v>
      </c>
      <c r="R54" s="38">
        <f>SUMIFS('[14]inland_taf_hatchgrp_tableraw&amp;yy'!R$3:R$38,'[14]inland_taf_hatchgrp_tableraw&amp;yy'!$AC$3:$AC$38,'2021 Table 10 CWTs exp'!$A54)</f>
        <v>0</v>
      </c>
      <c r="S54" s="38">
        <f>SUMIFS('[14]inland_taf_hatchgrp_tableraw&amp;yy'!S$3:S$38,'[14]inland_taf_hatchgrp_tableraw&amp;yy'!$AC$3:$AC$38,'2021 Table 10 CWTs exp'!$A54)</f>
        <v>0</v>
      </c>
      <c r="T54" s="40">
        <f>SUMIFS('[14]inland_taf_hatchgrp_tableraw&amp;yy'!T$3:T$38,'[14]inland_taf_hatchgrp_tableraw&amp;yy'!$AC$3:$AC$38,'2021 Table 10 CWTs exp'!$A54)</f>
        <v>39</v>
      </c>
      <c r="U54" s="38">
        <f>SUMIFS('[14]inland_taf_hatchgrp_tableraw&amp;yy'!U$3:U$38,'[14]inland_taf_hatchgrp_tableraw&amp;yy'!$AC$3:$AC$38,'2021 Table 10 CWTs exp'!$A54)</f>
        <v>0</v>
      </c>
      <c r="V54" s="40">
        <f>SUMIFS('[14]inland_taf_hatchgrp_tableraw&amp;yy'!V$3:V$38,'[14]inland_taf_hatchgrp_tableraw&amp;yy'!$AC$3:$AC$38,'2021 Table 10 CWTs exp'!$A54)</f>
        <v>0</v>
      </c>
      <c r="W54" s="40">
        <f>SUMIFS('[14]inland_taf_hatchgrp_tableraw&amp;yy'!W$3:W$38,'[14]inland_taf_hatchgrp_tableraw&amp;yy'!$AC$3:$AC$38,'2021 Table 10 CWTs exp'!$A54)</f>
        <v>0</v>
      </c>
      <c r="X54" s="38">
        <f>SUMIFS('[14]inland_taf_hatchgrp_tableraw&amp;yy'!X$3:X$38,'[14]inland_taf_hatchgrp_tableraw&amp;yy'!$AC$3:$AC$38,'2021 Table 10 CWTs exp'!$A54)</f>
        <v>0</v>
      </c>
      <c r="Y54" s="41">
        <f>SUMIFS('[14]inland_taf_hatchgrp_tableraw&amp;yy'!Y$3:Y$38,'[14]inland_taf_hatchgrp_tableraw&amp;yy'!$AC$3:$AC$38,'2021 Table 10 CWTs exp'!$A54)</f>
        <v>416</v>
      </c>
      <c r="Z54" s="42">
        <f>SUMIFS('[14]inland_taf_hatchgrp_tableraw&amp;yy'!Z$3:Z$38,'[14]inland_taf_hatchgrp_tableraw&amp;yy'!$AC$3:$AC$38,'2021 Table 10 CWTs exp'!$A54)</f>
        <v>177</v>
      </c>
      <c r="AA54" s="38">
        <f>SUMIFS('[14]inland_taf_hatchgrp_tableraw&amp;yy'!AA$3:AA$38,'[14]inland_taf_hatchgrp_tableraw&amp;yy'!$AC$3:$AC$38,'2021 Table 10 CWTs exp'!$A54)</f>
        <v>593</v>
      </c>
      <c r="AB54" s="636"/>
      <c r="AC54" s="636"/>
      <c r="AD54" s="567">
        <f>SUMIFS('[14]inland_taf_hatchgrp_tableraw&amp;yy'!AB$3:AB$38,'[14]inland_taf_hatchgrp_tableraw&amp;yy'!$AC$3:$AC$38,'2021 Table 10 CWTs exp'!$A54)</f>
        <v>0.70199999999999996</v>
      </c>
      <c r="AE54" s="604" t="str">
        <f t="shared" si="27"/>
        <v>USAC467</v>
      </c>
      <c r="AF54" s="444"/>
      <c r="AG54" s="622">
        <f t="shared" si="28"/>
        <v>0.70151770657672852</v>
      </c>
      <c r="AH54" s="606"/>
      <c r="AI54" s="442"/>
      <c r="AJ54" s="451"/>
      <c r="AK54" s="451"/>
      <c r="AL54" s="451"/>
      <c r="AM54" s="442"/>
      <c r="AN54" s="442"/>
      <c r="AO54" s="442"/>
      <c r="AP54" s="442"/>
      <c r="AQ54" s="442"/>
      <c r="AR54" s="442"/>
      <c r="AS54" s="442"/>
      <c r="AT54" s="442"/>
      <c r="AU54" s="442"/>
      <c r="AV54" s="442"/>
      <c r="AW54" s="442"/>
      <c r="AX54" s="442"/>
      <c r="AY54" s="442"/>
      <c r="AZ54" s="442"/>
      <c r="BA54" s="442"/>
      <c r="BB54" s="442"/>
      <c r="BC54" s="442"/>
      <c r="BD54" s="442"/>
      <c r="BE54" s="442"/>
      <c r="BF54" s="442"/>
      <c r="BG54" s="442"/>
      <c r="BH54" s="442"/>
      <c r="BI54" s="442"/>
    </row>
    <row r="55" spans="1:61" ht="14.15" customHeight="1" x14ac:dyDescent="0.3">
      <c r="A55" s="50"/>
      <c r="B55" s="13"/>
      <c r="C55" s="13"/>
      <c r="D55" s="13"/>
      <c r="E55" s="3"/>
      <c r="F55" s="88" t="s">
        <v>120</v>
      </c>
      <c r="G55" s="104">
        <f>SUM(G49:G54)</f>
        <v>0</v>
      </c>
      <c r="H55" s="105">
        <f>SUM(H49:H54)</f>
        <v>363</v>
      </c>
      <c r="I55" s="94">
        <f t="shared" ref="I55:AA55" si="29">SUM(I49:I54)</f>
        <v>4108</v>
      </c>
      <c r="J55" s="106">
        <f t="shared" si="29"/>
        <v>0</v>
      </c>
      <c r="K55" s="105">
        <f t="shared" si="29"/>
        <v>38</v>
      </c>
      <c r="L55" s="94">
        <f t="shared" si="29"/>
        <v>14</v>
      </c>
      <c r="M55" s="94">
        <f t="shared" si="29"/>
        <v>1650</v>
      </c>
      <c r="N55" s="106">
        <f t="shared" si="29"/>
        <v>286</v>
      </c>
      <c r="O55" s="94">
        <f t="shared" si="29"/>
        <v>263</v>
      </c>
      <c r="P55" s="106">
        <f t="shared" si="29"/>
        <v>1250</v>
      </c>
      <c r="Q55" s="94">
        <f t="shared" si="29"/>
        <v>15</v>
      </c>
      <c r="R55" s="94">
        <f t="shared" si="29"/>
        <v>361</v>
      </c>
      <c r="S55" s="94">
        <f t="shared" si="29"/>
        <v>124</v>
      </c>
      <c r="T55" s="106">
        <f t="shared" si="29"/>
        <v>583</v>
      </c>
      <c r="U55" s="94">
        <f t="shared" si="29"/>
        <v>0</v>
      </c>
      <c r="V55" s="106">
        <f t="shared" si="29"/>
        <v>228</v>
      </c>
      <c r="W55" s="106">
        <f t="shared" si="29"/>
        <v>42</v>
      </c>
      <c r="X55" s="94">
        <f t="shared" si="29"/>
        <v>0</v>
      </c>
      <c r="Y55" s="92">
        <f t="shared" si="29"/>
        <v>9325</v>
      </c>
      <c r="Z55" s="107">
        <f t="shared" si="29"/>
        <v>5199</v>
      </c>
      <c r="AA55" s="89">
        <f t="shared" si="29"/>
        <v>14524</v>
      </c>
      <c r="AB55" s="636"/>
      <c r="AC55" s="636"/>
      <c r="AD55" s="445">
        <f>Y55/AA55</f>
        <v>0.64204076012117872</v>
      </c>
      <c r="AE55" s="642">
        <f t="shared" si="27"/>
        <v>0</v>
      </c>
      <c r="AF55" s="643">
        <f>SUM(Y49:Y54)</f>
        <v>9325</v>
      </c>
      <c r="AG55" s="644">
        <f>SUM(Z49:Z54)</f>
        <v>5199</v>
      </c>
      <c r="AH55" s="644">
        <f>SUM(AA49:AA54)</f>
        <v>14524</v>
      </c>
      <c r="AI55" s="645"/>
      <c r="AJ55" s="451"/>
      <c r="AK55" s="451"/>
      <c r="AL55" s="451"/>
      <c r="AM55" s="442"/>
      <c r="AN55" s="442"/>
      <c r="AO55" s="442"/>
      <c r="AP55" s="442"/>
      <c r="AQ55" s="442"/>
      <c r="AR55" s="442"/>
      <c r="AS55" s="442"/>
      <c r="AT55" s="442"/>
      <c r="AU55" s="442"/>
      <c r="AV55" s="442"/>
      <c r="AW55" s="442"/>
      <c r="AX55" s="442"/>
      <c r="AY55" s="442"/>
      <c r="AZ55" s="442"/>
      <c r="BA55" s="442"/>
      <c r="BB55" s="442"/>
      <c r="BC55" s="442"/>
      <c r="BD55" s="442"/>
      <c r="BE55" s="442"/>
      <c r="BF55" s="442"/>
      <c r="BG55" s="442"/>
      <c r="BH55" s="442"/>
      <c r="BI55" s="442"/>
    </row>
    <row r="56" spans="1:61" ht="2.9" customHeight="1" x14ac:dyDescent="0.3">
      <c r="A56" s="50"/>
      <c r="B56" s="11"/>
      <c r="C56" s="11"/>
      <c r="D56" s="11"/>
      <c r="E56" s="110"/>
      <c r="F56" s="110"/>
      <c r="G56" s="111"/>
      <c r="H56" s="112"/>
      <c r="I56" s="111"/>
      <c r="J56" s="113"/>
      <c r="K56" s="111"/>
      <c r="L56" s="111"/>
      <c r="M56" s="111"/>
      <c r="N56" s="113"/>
      <c r="O56" s="111"/>
      <c r="P56" s="113"/>
      <c r="Q56" s="111"/>
      <c r="R56" s="111"/>
      <c r="S56" s="111"/>
      <c r="T56" s="113"/>
      <c r="U56" s="111"/>
      <c r="V56" s="113"/>
      <c r="W56" s="113"/>
      <c r="X56" s="111"/>
      <c r="Y56" s="114"/>
      <c r="Z56" s="115"/>
      <c r="AA56" s="111"/>
      <c r="AB56" s="451"/>
      <c r="AC56" s="451"/>
      <c r="AD56" s="451"/>
      <c r="AE56" s="451"/>
      <c r="AF56" s="442"/>
      <c r="AG56" s="597"/>
      <c r="AH56" s="597"/>
      <c r="AI56" s="442"/>
      <c r="AJ56" s="451"/>
      <c r="AK56" s="451"/>
      <c r="AL56" s="451"/>
      <c r="AM56" s="442"/>
      <c r="AN56" s="442"/>
      <c r="AO56" s="442"/>
      <c r="AP56" s="442"/>
      <c r="AQ56" s="442"/>
      <c r="AR56" s="442"/>
      <c r="AS56" s="442"/>
      <c r="AT56" s="442"/>
      <c r="AU56" s="442"/>
      <c r="AV56" s="442"/>
      <c r="AW56" s="442"/>
      <c r="AX56" s="442"/>
      <c r="AY56" s="442"/>
      <c r="AZ56" s="442"/>
      <c r="BA56" s="442"/>
      <c r="BB56" s="442"/>
      <c r="BC56" s="442"/>
      <c r="BD56" s="442"/>
      <c r="BE56" s="442"/>
      <c r="BF56" s="442"/>
      <c r="BG56" s="442"/>
      <c r="BH56" s="442"/>
      <c r="BI56" s="442"/>
    </row>
    <row r="57" spans="1:61" s="47" customFormat="1" ht="27" customHeight="1" x14ac:dyDescent="0.25">
      <c r="A57" s="36"/>
      <c r="B57" s="48"/>
      <c r="C57" s="48"/>
      <c r="D57" s="48"/>
      <c r="E57" s="751" t="s">
        <v>121</v>
      </c>
      <c r="F57" s="751"/>
      <c r="G57" s="751"/>
      <c r="H57" s="751"/>
      <c r="I57" s="751"/>
      <c r="J57" s="751"/>
      <c r="K57" s="751"/>
      <c r="L57" s="751"/>
      <c r="M57" s="751"/>
      <c r="N57" s="751"/>
      <c r="O57" s="751"/>
      <c r="P57" s="751"/>
      <c r="Q57" s="751"/>
      <c r="R57" s="751"/>
      <c r="S57" s="751"/>
      <c r="T57" s="751"/>
      <c r="U57" s="751"/>
      <c r="V57" s="751"/>
      <c r="W57" s="751"/>
      <c r="X57" s="751"/>
      <c r="Y57" s="751"/>
      <c r="Z57" s="751"/>
      <c r="AA57" s="751"/>
      <c r="AB57" s="442"/>
      <c r="AC57" s="442"/>
      <c r="AD57" s="442"/>
      <c r="AE57" s="442"/>
      <c r="AF57" s="594"/>
      <c r="AG57" s="616"/>
      <c r="AH57" s="616"/>
      <c r="AI57" s="594"/>
      <c r="AJ57" s="601"/>
      <c r="AK57" s="601"/>
      <c r="AL57" s="601"/>
      <c r="AM57" s="594"/>
      <c r="AN57" s="594"/>
      <c r="AO57" s="594"/>
      <c r="AP57" s="594"/>
      <c r="AQ57" s="594"/>
      <c r="AR57" s="594"/>
      <c r="AS57" s="594"/>
      <c r="AT57" s="594"/>
      <c r="AU57" s="594"/>
      <c r="AV57" s="594"/>
      <c r="AW57" s="594"/>
      <c r="AX57" s="594"/>
      <c r="AY57" s="594"/>
      <c r="AZ57" s="594"/>
      <c r="BA57" s="594"/>
      <c r="BB57" s="594"/>
      <c r="BC57" s="594"/>
      <c r="BD57" s="594"/>
      <c r="BE57" s="594"/>
      <c r="BF57" s="594"/>
      <c r="BG57" s="594"/>
      <c r="BH57" s="594"/>
      <c r="BI57" s="594"/>
    </row>
    <row r="58" spans="1:61" s="47" customFormat="1" ht="14.25" customHeight="1" x14ac:dyDescent="0.25">
      <c r="A58" s="116"/>
      <c r="B58" s="117"/>
      <c r="C58" s="48"/>
      <c r="D58" s="48"/>
      <c r="E58" s="27" t="s">
        <v>122</v>
      </c>
      <c r="F58" s="27"/>
      <c r="G58" s="27"/>
      <c r="H58" s="27"/>
      <c r="I58" s="27"/>
      <c r="J58" s="27"/>
      <c r="K58" s="27"/>
      <c r="L58" s="27"/>
      <c r="M58" s="27"/>
      <c r="N58" s="27"/>
      <c r="O58" s="27"/>
      <c r="P58" s="27"/>
      <c r="Q58" s="27"/>
      <c r="R58" s="27"/>
      <c r="S58" s="27"/>
      <c r="T58" s="27"/>
      <c r="U58" s="27"/>
      <c r="V58" s="27"/>
      <c r="W58" s="27"/>
      <c r="X58" s="27"/>
      <c r="Y58" s="118"/>
      <c r="Z58" s="27"/>
      <c r="AA58" s="27"/>
      <c r="AB58" s="594"/>
      <c r="AC58" s="594"/>
      <c r="AD58" s="646">
        <f>SUM(Y49:Y53)</f>
        <v>8909</v>
      </c>
      <c r="AE58" s="646">
        <f>SUM(AA49:AA53)</f>
        <v>13931</v>
      </c>
      <c r="AF58" s="647" t="s">
        <v>123</v>
      </c>
      <c r="AG58" s="618"/>
      <c r="AH58" s="618"/>
      <c r="AI58" s="594"/>
      <c r="AJ58" s="601"/>
      <c r="AK58" s="601"/>
      <c r="AL58" s="601"/>
      <c r="AM58" s="594"/>
      <c r="AN58" s="594"/>
      <c r="AO58" s="594"/>
      <c r="AP58" s="594"/>
      <c r="AQ58" s="594"/>
      <c r="AR58" s="594"/>
      <c r="AS58" s="594"/>
      <c r="AT58" s="594"/>
      <c r="AU58" s="594"/>
      <c r="AV58" s="594"/>
      <c r="AW58" s="594"/>
      <c r="AX58" s="594"/>
      <c r="AY58" s="594"/>
      <c r="AZ58" s="594"/>
      <c r="BA58" s="594"/>
      <c r="BB58" s="594"/>
      <c r="BC58" s="594"/>
      <c r="BD58" s="594"/>
      <c r="BE58" s="594"/>
      <c r="BF58" s="594"/>
      <c r="BG58" s="594"/>
      <c r="BH58" s="594"/>
      <c r="BI58" s="594"/>
    </row>
    <row r="59" spans="1:61" s="47" customFormat="1" ht="14.25" customHeight="1" x14ac:dyDescent="0.25">
      <c r="A59" s="116"/>
      <c r="B59" s="48"/>
      <c r="C59" s="48"/>
      <c r="D59" s="48"/>
      <c r="E59" s="27" t="s">
        <v>124</v>
      </c>
      <c r="F59" s="27"/>
      <c r="G59" s="27"/>
      <c r="H59" s="27"/>
      <c r="I59" s="27"/>
      <c r="J59" s="27"/>
      <c r="K59" s="27"/>
      <c r="L59" s="27"/>
      <c r="M59" s="27"/>
      <c r="N59" s="27"/>
      <c r="O59" s="27"/>
      <c r="P59" s="27"/>
      <c r="Q59" s="27"/>
      <c r="R59" s="27"/>
      <c r="S59" s="27"/>
      <c r="T59" s="27"/>
      <c r="U59" s="27"/>
      <c r="V59" s="27"/>
      <c r="W59" s="27"/>
      <c r="X59" s="27"/>
      <c r="Y59" s="27"/>
      <c r="Z59" s="27"/>
      <c r="AA59" s="27"/>
      <c r="AB59" s="594"/>
      <c r="AC59" s="594"/>
      <c r="AD59" s="594"/>
      <c r="AE59" s="594"/>
      <c r="AF59" s="594"/>
      <c r="AG59" s="594"/>
      <c r="AH59" s="594"/>
      <c r="AI59" s="594"/>
      <c r="AJ59" s="601"/>
      <c r="AK59" s="601"/>
      <c r="AL59" s="601"/>
      <c r="AM59" s="594"/>
      <c r="AN59" s="594"/>
      <c r="AO59" s="594"/>
      <c r="AP59" s="594"/>
      <c r="AQ59" s="594"/>
      <c r="AR59" s="594"/>
      <c r="AS59" s="594"/>
      <c r="AT59" s="594"/>
      <c r="AU59" s="594"/>
      <c r="AV59" s="594"/>
      <c r="AW59" s="594"/>
      <c r="AX59" s="594"/>
      <c r="AY59" s="594"/>
      <c r="AZ59" s="594"/>
      <c r="BA59" s="594"/>
      <c r="BB59" s="594"/>
      <c r="BC59" s="594"/>
      <c r="BD59" s="594"/>
      <c r="BE59" s="594"/>
      <c r="BF59" s="594"/>
      <c r="BG59" s="594"/>
      <c r="BH59" s="594"/>
      <c r="BI59" s="594"/>
    </row>
    <row r="60" spans="1:61" s="47" customFormat="1" ht="14.25" customHeight="1" x14ac:dyDescent="0.25">
      <c r="A60" s="116"/>
      <c r="B60" s="48"/>
      <c r="C60" s="48"/>
      <c r="D60" s="48"/>
      <c r="E60" s="27" t="s">
        <v>125</v>
      </c>
      <c r="F60" s="1"/>
      <c r="G60" s="1"/>
      <c r="H60"/>
      <c r="I60"/>
      <c r="J60"/>
      <c r="K60"/>
      <c r="L60"/>
      <c r="M60" s="27"/>
      <c r="N60" s="27"/>
      <c r="O60" s="27"/>
      <c r="P60" s="27"/>
      <c r="Q60" s="27"/>
      <c r="R60" s="27"/>
      <c r="S60" s="27"/>
      <c r="T60" s="27"/>
      <c r="U60" s="27"/>
      <c r="V60" s="27"/>
      <c r="W60" s="27"/>
      <c r="X60" s="27"/>
      <c r="Y60" s="27"/>
      <c r="Z60" s="27"/>
      <c r="AA60" s="27"/>
      <c r="AB60" s="594"/>
      <c r="AC60" s="594"/>
      <c r="AD60" s="617"/>
      <c r="AE60" s="617"/>
      <c r="AF60" s="617"/>
      <c r="AG60" s="617"/>
      <c r="AH60" s="617"/>
      <c r="AI60" s="594"/>
      <c r="AJ60" s="601"/>
      <c r="AK60" s="601"/>
      <c r="AL60" s="601"/>
      <c r="AM60" s="594"/>
      <c r="AN60" s="594"/>
      <c r="AO60" s="594"/>
      <c r="AP60" s="594"/>
      <c r="AQ60" s="594"/>
      <c r="AR60" s="594"/>
      <c r="AS60" s="594"/>
      <c r="AT60" s="594"/>
      <c r="AU60" s="594"/>
      <c r="AV60" s="594"/>
      <c r="AW60" s="594"/>
      <c r="AX60" s="594"/>
      <c r="AY60" s="594"/>
      <c r="AZ60" s="594"/>
      <c r="BA60" s="594"/>
      <c r="BB60" s="594"/>
      <c r="BC60" s="594"/>
      <c r="BD60" s="594"/>
      <c r="BE60" s="594"/>
      <c r="BF60" s="594"/>
      <c r="BG60" s="594"/>
      <c r="BH60" s="594"/>
      <c r="BI60" s="594"/>
    </row>
    <row r="61" spans="1:61" x14ac:dyDescent="0.25">
      <c r="A61" s="15"/>
      <c r="AB61" s="442"/>
      <c r="AC61" s="442"/>
      <c r="AD61" s="442"/>
      <c r="AE61" s="442"/>
      <c r="AF61" s="442"/>
      <c r="AG61" s="442"/>
      <c r="AH61" s="442"/>
      <c r="AI61" s="442"/>
      <c r="AJ61" s="451"/>
      <c r="AK61" s="451"/>
      <c r="AL61" s="451"/>
      <c r="AM61" s="442"/>
      <c r="AN61" s="442"/>
      <c r="AO61" s="442"/>
      <c r="AP61" s="442"/>
      <c r="AQ61" s="442"/>
      <c r="AR61" s="442"/>
      <c r="AS61" s="442"/>
      <c r="AT61" s="442"/>
      <c r="AU61" s="442"/>
      <c r="AV61" s="442"/>
      <c r="AW61" s="442"/>
      <c r="AX61" s="442"/>
      <c r="AY61" s="442"/>
      <c r="AZ61" s="442"/>
      <c r="BA61" s="442"/>
      <c r="BB61" s="442"/>
      <c r="BC61" s="442"/>
      <c r="BD61" s="442"/>
      <c r="BE61" s="442"/>
      <c r="BF61" s="442"/>
      <c r="BG61" s="442"/>
      <c r="BH61" s="442"/>
      <c r="BI61" s="442"/>
    </row>
    <row r="62" spans="1:61" x14ac:dyDescent="0.25">
      <c r="A62" s="15"/>
      <c r="AG62" s="3"/>
      <c r="AO62" s="442"/>
      <c r="AP62" s="442" t="s">
        <v>126</v>
      </c>
      <c r="AQ62" s="442"/>
      <c r="AR62" s="442"/>
      <c r="AS62" s="442" t="s">
        <v>127</v>
      </c>
      <c r="AT62" s="442"/>
      <c r="AU62" s="442"/>
    </row>
    <row r="63" spans="1:61" x14ac:dyDescent="0.25">
      <c r="A63" s="15"/>
      <c r="Y63" s="14"/>
      <c r="AA63" s="14"/>
      <c r="AD63" s="82"/>
      <c r="AE63" s="82"/>
      <c r="AF63" s="82"/>
      <c r="AO63" s="442"/>
      <c r="AP63" s="442"/>
      <c r="AQ63" s="442"/>
      <c r="AR63" s="442"/>
      <c r="AS63" s="442"/>
      <c r="AT63" s="442"/>
      <c r="AU63" s="442"/>
    </row>
    <row r="64" spans="1:61" ht="4.5" customHeight="1" x14ac:dyDescent="0.3">
      <c r="A64" s="15"/>
      <c r="F64" s="119"/>
      <c r="G64" s="120"/>
      <c r="H64" s="741"/>
      <c r="I64" s="741"/>
      <c r="J64" s="741"/>
      <c r="K64" s="741"/>
      <c r="L64" s="744"/>
      <c r="M64" s="744"/>
      <c r="N64" s="744"/>
      <c r="O64" s="744"/>
      <c r="P64" s="744"/>
      <c r="Q64" s="741"/>
      <c r="R64" s="741"/>
      <c r="S64" s="122"/>
      <c r="T64" s="123"/>
      <c r="U64" s="122"/>
      <c r="V64" s="741"/>
      <c r="W64" s="741"/>
      <c r="X64" s="124"/>
      <c r="Y64" s="742"/>
      <c r="Z64" s="742"/>
      <c r="AA64" s="126"/>
    </row>
    <row r="65" spans="1:52" ht="17.5" customHeight="1" x14ac:dyDescent="0.3">
      <c r="A65" s="15"/>
      <c r="F65" s="119"/>
      <c r="G65" s="120"/>
      <c r="H65" s="120"/>
      <c r="I65" s="120"/>
      <c r="J65" s="120"/>
      <c r="K65" s="120"/>
      <c r="L65" s="121"/>
      <c r="M65" s="121"/>
      <c r="N65" s="121"/>
      <c r="O65" s="121"/>
      <c r="P65" s="121"/>
      <c r="Q65" s="120"/>
      <c r="R65" s="120"/>
      <c r="S65" s="122"/>
      <c r="T65" s="123"/>
      <c r="U65" s="122"/>
      <c r="V65" s="120"/>
      <c r="W65" s="120"/>
      <c r="X65" s="124"/>
      <c r="Y65" s="125"/>
      <c r="Z65" s="125"/>
      <c r="AA65" s="126"/>
      <c r="AZ65" s="127"/>
    </row>
    <row r="66" spans="1:52" x14ac:dyDescent="0.25">
      <c r="A66" s="15"/>
      <c r="E66" s="128" t="s">
        <v>128</v>
      </c>
      <c r="F66" s="129"/>
      <c r="G66" s="130"/>
      <c r="H66" s="131"/>
      <c r="I66" s="131"/>
      <c r="J66" s="131"/>
      <c r="K66" s="131"/>
      <c r="L66" s="131"/>
      <c r="M66" s="132"/>
      <c r="N66" s="132"/>
      <c r="O66" s="132"/>
      <c r="P66" s="132"/>
      <c r="Q66" s="132"/>
      <c r="R66" s="132"/>
      <c r="S66" s="132"/>
      <c r="T66" s="132"/>
      <c r="U66" s="132"/>
      <c r="V66" s="132"/>
      <c r="W66" s="132"/>
      <c r="X66" s="133"/>
      <c r="Y66" s="132"/>
      <c r="Z66" s="132"/>
    </row>
    <row r="67" spans="1:52" x14ac:dyDescent="0.25">
      <c r="A67" s="15"/>
      <c r="H67" s="134"/>
      <c r="I67" s="134"/>
      <c r="J67" s="134"/>
    </row>
    <row r="68" spans="1:52" ht="20.9" customHeight="1" x14ac:dyDescent="0.25">
      <c r="A68" s="15"/>
      <c r="AB68" s="77"/>
      <c r="AC68" s="77"/>
      <c r="AD68" s="14"/>
      <c r="AE68" s="14"/>
    </row>
    <row r="69" spans="1:52" x14ac:dyDescent="0.25">
      <c r="A69" s="15"/>
      <c r="AB69" s="78"/>
      <c r="AC69" s="78"/>
    </row>
    <row r="70" spans="1:52" x14ac:dyDescent="0.25">
      <c r="A70" s="15"/>
    </row>
    <row r="71" spans="1:52" x14ac:dyDescent="0.25">
      <c r="A71" s="15"/>
    </row>
    <row r="72" spans="1:52" ht="20.9" customHeight="1" x14ac:dyDescent="0.25">
      <c r="A72" s="15"/>
      <c r="F72" s="135"/>
      <c r="G72" s="136"/>
      <c r="H72" s="136"/>
      <c r="I72" s="137"/>
      <c r="J72" s="136"/>
      <c r="K72" s="136"/>
      <c r="L72" s="136"/>
      <c r="M72" s="136"/>
      <c r="N72" s="136"/>
      <c r="O72" s="136"/>
      <c r="P72" s="136"/>
      <c r="Q72" s="136"/>
      <c r="R72" s="136"/>
      <c r="S72" s="136"/>
      <c r="T72" s="136"/>
      <c r="U72" s="136"/>
      <c r="V72" s="136"/>
      <c r="W72" s="136"/>
      <c r="X72" s="136"/>
      <c r="Y72" s="136"/>
      <c r="Z72" s="136"/>
      <c r="AA72" s="136"/>
    </row>
    <row r="73" spans="1:52" x14ac:dyDescent="0.25">
      <c r="A73" s="15"/>
      <c r="F73" s="135"/>
      <c r="G73" s="138"/>
      <c r="H73" s="138"/>
      <c r="I73" s="138"/>
      <c r="J73" s="138"/>
      <c r="K73" s="138"/>
      <c r="L73" s="138"/>
      <c r="M73" s="138"/>
      <c r="N73" s="138"/>
      <c r="O73" s="138"/>
      <c r="P73" s="138"/>
      <c r="Q73" s="138"/>
      <c r="R73" s="138"/>
      <c r="S73" s="138"/>
      <c r="T73" s="138"/>
      <c r="U73" s="138"/>
      <c r="V73" s="138"/>
      <c r="W73" s="138"/>
      <c r="X73" s="138"/>
      <c r="Y73" s="138"/>
    </row>
    <row r="74" spans="1:52" ht="20.9" customHeight="1" x14ac:dyDescent="0.25">
      <c r="A74" s="15"/>
    </row>
    <row r="77" spans="1:52" ht="20.9" customHeight="1" x14ac:dyDescent="0.25"/>
    <row r="79" spans="1:52" ht="20.9" customHeight="1" x14ac:dyDescent="0.25"/>
    <row r="81" spans="6:39" ht="20.9" customHeight="1" x14ac:dyDescent="0.25"/>
    <row r="82" spans="6:39" ht="15" customHeight="1" x14ac:dyDescent="0.25"/>
    <row r="83" spans="6:39" ht="21" customHeight="1" x14ac:dyDescent="0.25"/>
    <row r="84" spans="6:39" ht="21" customHeight="1" x14ac:dyDescent="0.25"/>
    <row r="85" spans="6:39" x14ac:dyDescent="0.25">
      <c r="AC85" s="442"/>
      <c r="AD85" s="442"/>
      <c r="AE85" s="442"/>
      <c r="AF85" s="442"/>
      <c r="AG85" s="442"/>
    </row>
    <row r="86" spans="6:39" x14ac:dyDescent="0.25">
      <c r="AC86" s="442"/>
      <c r="AD86" s="442" t="s">
        <v>129</v>
      </c>
      <c r="AE86" s="442"/>
      <c r="AF86" s="442" t="s">
        <v>38</v>
      </c>
      <c r="AG86" s="442"/>
    </row>
    <row r="87" spans="6:39" x14ac:dyDescent="0.25">
      <c r="F87" s="4"/>
      <c r="H87" s="4"/>
      <c r="I87" s="4"/>
      <c r="AC87" s="442"/>
      <c r="AD87" s="442"/>
      <c r="AE87" s="442"/>
      <c r="AF87" s="442" t="s">
        <v>130</v>
      </c>
      <c r="AG87" s="442"/>
    </row>
    <row r="88" spans="6:39" x14ac:dyDescent="0.25">
      <c r="G88"/>
      <c r="AC88" s="442"/>
      <c r="AD88" s="442"/>
      <c r="AE88" s="442"/>
      <c r="AF88" s="442" t="s">
        <v>9</v>
      </c>
      <c r="AG88" s="442"/>
    </row>
    <row r="89" spans="6:39" x14ac:dyDescent="0.25">
      <c r="G89"/>
      <c r="AC89" s="442"/>
      <c r="AD89" s="442"/>
      <c r="AE89" s="442"/>
      <c r="AF89" s="442"/>
      <c r="AG89" s="442"/>
      <c r="AK89"/>
      <c r="AM89" s="1"/>
    </row>
    <row r="90" spans="6:39" x14ac:dyDescent="0.25">
      <c r="G90"/>
      <c r="AC90" s="442"/>
      <c r="AD90" s="442"/>
      <c r="AE90" s="442"/>
      <c r="AF90" s="442"/>
      <c r="AG90" s="442"/>
    </row>
    <row r="91" spans="6:39" x14ac:dyDescent="0.25">
      <c r="G91"/>
      <c r="AC91" s="442"/>
      <c r="AD91" s="442"/>
      <c r="AE91" s="442"/>
      <c r="AF91" s="442"/>
      <c r="AG91" s="442"/>
    </row>
    <row r="92" spans="6:39" x14ac:dyDescent="0.25">
      <c r="G92"/>
    </row>
    <row r="93" spans="6:39" x14ac:dyDescent="0.25">
      <c r="G93"/>
    </row>
    <row r="94" spans="6:39" ht="21" customHeight="1" x14ac:dyDescent="0.25">
      <c r="G94"/>
    </row>
    <row r="95" spans="6:39" x14ac:dyDescent="0.25">
      <c r="G95"/>
    </row>
    <row r="96" spans="6:39" x14ac:dyDescent="0.25">
      <c r="G96"/>
    </row>
    <row r="97" spans="7:32" x14ac:dyDescent="0.25">
      <c r="G97"/>
    </row>
    <row r="98" spans="7:32" ht="20.9" customHeight="1" x14ac:dyDescent="0.25">
      <c r="G98"/>
    </row>
    <row r="99" spans="7:32" x14ac:dyDescent="0.25">
      <c r="G99"/>
    </row>
    <row r="100" spans="7:32" ht="21" customHeight="1" x14ac:dyDescent="0.25">
      <c r="G100"/>
    </row>
    <row r="101" spans="7:32" x14ac:dyDescent="0.25">
      <c r="G101"/>
    </row>
    <row r="102" spans="7:32" x14ac:dyDescent="0.25">
      <c r="G102"/>
    </row>
    <row r="103" spans="7:32" ht="21" customHeight="1" x14ac:dyDescent="0.25">
      <c r="G103"/>
    </row>
    <row r="105" spans="7:32" ht="21" customHeight="1" x14ac:dyDescent="0.25"/>
    <row r="107" spans="7:32" ht="21" customHeight="1" x14ac:dyDescent="0.25"/>
    <row r="110" spans="7:32" x14ac:dyDescent="0.25">
      <c r="AF110" s="3"/>
    </row>
    <row r="111" spans="7:32" x14ac:dyDescent="0.25">
      <c r="AF111" s="3"/>
    </row>
    <row r="112" spans="7:32" x14ac:dyDescent="0.25">
      <c r="AF112" s="3" t="s">
        <v>9</v>
      </c>
    </row>
  </sheetData>
  <mergeCells count="15">
    <mergeCell ref="Y3:Z3"/>
    <mergeCell ref="E18:F18"/>
    <mergeCell ref="E42:F42"/>
    <mergeCell ref="E57:AA57"/>
    <mergeCell ref="H64:J64"/>
    <mergeCell ref="K64:P64"/>
    <mergeCell ref="Q64:R64"/>
    <mergeCell ref="V64:W64"/>
    <mergeCell ref="Y64:Z64"/>
    <mergeCell ref="H3:J3"/>
    <mergeCell ref="K3:N3"/>
    <mergeCell ref="O3:P3"/>
    <mergeCell ref="Q3:T3"/>
    <mergeCell ref="U3:V3"/>
    <mergeCell ref="X3:X4"/>
  </mergeCells>
  <pageMargins left="0.5" right="0.25" top="0.5" bottom="0.25" header="0.3" footer="0.3"/>
  <pageSetup scale="29" fitToHeight="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14</vt:i4>
      </vt:variant>
    </vt:vector>
  </HeadingPairs>
  <TitlesOfParts>
    <vt:vector size="38" baseType="lpstr">
      <vt:lpstr>Table 6.Inland 2010 Tag Summary</vt:lpstr>
      <vt:lpstr>cv catch sample 2010</vt:lpstr>
      <vt:lpstr>Table 7 Inland 2011 Tag Summary</vt:lpstr>
      <vt:lpstr>2011 Table 9</vt:lpstr>
      <vt:lpstr>Table 7 Inland 2012 Tag Summary</vt:lpstr>
      <vt:lpstr>2012 table 9</vt:lpstr>
      <vt:lpstr>2013 Table 9 proportion </vt:lpstr>
      <vt:lpstr>2013 Table 11 CWTs exp</vt:lpstr>
      <vt:lpstr>2014 Table 9 proportion</vt:lpstr>
      <vt:lpstr>2014 Table 11 CWTs exp</vt:lpstr>
      <vt:lpstr>2015 Table 9 proportion </vt:lpstr>
      <vt:lpstr>2015 Table 11 CWTs exp</vt:lpstr>
      <vt:lpstr>2016 Table 9 proportion </vt:lpstr>
      <vt:lpstr>2016 Table 11 CWTs exp</vt:lpstr>
      <vt:lpstr>2017 Table 9 proportion </vt:lpstr>
      <vt:lpstr>2017 Table 10 CWTs exp</vt:lpstr>
      <vt:lpstr>2018 Table 9 proportion </vt:lpstr>
      <vt:lpstr>2018 Table 10 CWTs exp</vt:lpstr>
      <vt:lpstr>2019 Table 9 proportion </vt:lpstr>
      <vt:lpstr>2019 Table 10 CWTs exp</vt:lpstr>
      <vt:lpstr>2020 Table 9 proportion </vt:lpstr>
      <vt:lpstr>2020 Table 10 CWTs exp </vt:lpstr>
      <vt:lpstr>2021 Table 9 proportion </vt:lpstr>
      <vt:lpstr>2021 Table 10 CWTs exp</vt:lpstr>
      <vt:lpstr>'2011 Table 9'!Print_Area</vt:lpstr>
      <vt:lpstr>'2012 table 9'!Print_Area</vt:lpstr>
      <vt:lpstr>'2013 Table 11 CWTs exp'!Print_Area</vt:lpstr>
      <vt:lpstr>'2013 Table 9 proportion '!Print_Area</vt:lpstr>
      <vt:lpstr>'2014 Table 11 CWTs exp'!Print_Area</vt:lpstr>
      <vt:lpstr>'2014 Table 9 proportion'!Print_Area</vt:lpstr>
      <vt:lpstr>'2015 Table 11 CWTs exp'!Print_Area</vt:lpstr>
      <vt:lpstr>'2015 Table 9 proportion '!Print_Area</vt:lpstr>
      <vt:lpstr>'2020 Table 10 CWTs exp '!Print_Area</vt:lpstr>
      <vt:lpstr>'2020 Table 9 proportion '!Print_Area</vt:lpstr>
      <vt:lpstr>'cv catch sample 2010'!Print_Area</vt:lpstr>
      <vt:lpstr>'Table 6.Inland 2010 Tag Summary'!Print_Area</vt:lpstr>
      <vt:lpstr>'Table 7 Inland 2011 Tag Summary'!Print_Area</vt:lpstr>
      <vt:lpstr>'Table 7 Inland 2012 Tag Summary'!Print_Area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Garelick, Angela@Wildlife</dc:creator>
  <cp:lastModifiedBy>Barros, Arthur@Wildlife</cp:lastModifiedBy>
  <dcterms:created xsi:type="dcterms:W3CDTF">2025-12-10T16:47:28Z</dcterms:created>
  <dcterms:modified xsi:type="dcterms:W3CDTF">2026-02-25T16:15:13Z</dcterms:modified>
</cp:coreProperties>
</file>